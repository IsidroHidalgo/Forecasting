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40"/>
  </bookViews>
  <sheets>
    <sheet name="Mediana" sheetId="139" r:id="rId1"/>
    <sheet name="ParoEPACLM" sheetId="1" r:id="rId2"/>
  </sheets>
  <externalReferences>
    <externalReference r:id="rId3"/>
  </externalReferences>
  <definedNames>
    <definedName name="Amplitud">ParoEPACLM!$E$2</definedName>
    <definedName name="Inicio">ParoEPACLM!$D$2</definedName>
  </definedNames>
  <calcPr calcId="162913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D2" i="1"/>
  <c r="CA11" i="139" l="1"/>
  <c r="CA13" i="139" s="1"/>
  <c r="CA22" i="139" s="1"/>
  <c r="CM11" i="139"/>
  <c r="CM13" i="139" s="1"/>
  <c r="CM22" i="139" s="1"/>
  <c r="CY11" i="139"/>
  <c r="CY13" i="139" s="1"/>
  <c r="CY22" i="139" s="1"/>
  <c r="DK11" i="139"/>
  <c r="DK13" i="139" s="1"/>
  <c r="DK22" i="139" s="1"/>
  <c r="DR11" i="139"/>
  <c r="DR13" i="139"/>
  <c r="DR22" i="139" s="1"/>
  <c r="CA14" i="139"/>
  <c r="CA23" i="139" s="1"/>
  <c r="DK14" i="139"/>
  <c r="DK23" i="139" s="1"/>
  <c r="DR14" i="139"/>
  <c r="DR23" i="139" s="1"/>
  <c r="DR15" i="139"/>
  <c r="DR24" i="139" s="1"/>
  <c r="CA16" i="139"/>
  <c r="CA25" i="139" s="1"/>
  <c r="CM14" i="139" l="1"/>
  <c r="CM23" i="139" s="1"/>
  <c r="DJ11" i="139"/>
  <c r="DJ13" i="139" s="1"/>
  <c r="DJ22" i="139" s="1"/>
  <c r="CX11" i="139"/>
  <c r="CX13" i="139" s="1"/>
  <c r="CX22" i="139" s="1"/>
  <c r="CL11" i="139"/>
  <c r="CL13" i="139" s="1"/>
  <c r="CL22" i="139" s="1"/>
  <c r="BZ11" i="139"/>
  <c r="BZ13" i="139" s="1"/>
  <c r="BZ22" i="139" s="1"/>
  <c r="CY16" i="139"/>
  <c r="CY25" i="139" s="1"/>
  <c r="CY14" i="139"/>
  <c r="CY23" i="139" s="1"/>
  <c r="CX15" i="139"/>
  <c r="CX24" i="139" s="1"/>
  <c r="BZ15" i="139"/>
  <c r="BZ24" i="139" s="1"/>
  <c r="DJ14" i="139"/>
  <c r="DJ23" i="139" s="1"/>
  <c r="CL14" i="139"/>
  <c r="CL23" i="139" s="1"/>
  <c r="BZ14" i="139"/>
  <c r="BZ23" i="139" s="1"/>
  <c r="DK16" i="139"/>
  <c r="DK25" i="139" s="1"/>
  <c r="CM16" i="139"/>
  <c r="CM25" i="139" s="1"/>
  <c r="DJ15" i="139"/>
  <c r="DJ24" i="139" s="1"/>
  <c r="CL15" i="139"/>
  <c r="CL24" i="139" s="1"/>
  <c r="DR16" i="139"/>
  <c r="DR25" i="139" s="1"/>
  <c r="DJ16" i="139"/>
  <c r="DJ25" i="139" s="1"/>
  <c r="CL16" i="139"/>
  <c r="CL25" i="139" s="1"/>
  <c r="BZ16" i="139"/>
  <c r="BZ25" i="139" s="1"/>
  <c r="DK15" i="139"/>
  <c r="DK24" i="139" s="1"/>
  <c r="CY15" i="139"/>
  <c r="CY24" i="139" s="1"/>
  <c r="CM15" i="139"/>
  <c r="CM24" i="139" s="1"/>
  <c r="CA15" i="139"/>
  <c r="CA24" i="139" s="1"/>
  <c r="DP11" i="139"/>
  <c r="DO11" i="139" s="1"/>
  <c r="DQ11" i="139"/>
  <c r="DH11" i="139"/>
  <c r="DI11" i="139"/>
  <c r="DE11" i="139"/>
  <c r="DD11" i="139" s="1"/>
  <c r="CW11" i="139"/>
  <c r="CV11" i="139" s="1"/>
  <c r="CR11" i="139"/>
  <c r="CQ11" i="139" s="1"/>
  <c r="CS11" i="139"/>
  <c r="CJ11" i="139"/>
  <c r="CI11" i="139" s="1"/>
  <c r="CK11" i="139"/>
  <c r="CG11" i="139"/>
  <c r="CF11" i="139" s="1"/>
  <c r="BY11" i="139"/>
  <c r="BX11" i="139" s="1"/>
  <c r="CV14" i="139" l="1"/>
  <c r="CV23" i="139" s="1"/>
  <c r="CU11" i="139"/>
  <c r="CF14" i="139"/>
  <c r="CF23" i="139" s="1"/>
  <c r="CE11" i="139"/>
  <c r="BX14" i="139"/>
  <c r="BX23" i="139" s="1"/>
  <c r="BW11" i="139"/>
  <c r="DD14" i="139"/>
  <c r="DD23" i="139" s="1"/>
  <c r="DC11" i="139"/>
  <c r="CI13" i="139"/>
  <c r="CI22" i="139" s="1"/>
  <c r="CH11" i="139"/>
  <c r="CI16" i="139"/>
  <c r="CI25" i="139" s="1"/>
  <c r="CI14" i="139"/>
  <c r="CI23" i="139" s="1"/>
  <c r="DH14" i="139"/>
  <c r="DH23" i="139" s="1"/>
  <c r="DG11" i="139"/>
  <c r="CQ13" i="139"/>
  <c r="CQ22" i="139" s="1"/>
  <c r="CP11" i="139"/>
  <c r="CX14" i="139"/>
  <c r="CX23" i="139" s="1"/>
  <c r="DO13" i="139"/>
  <c r="DO22" i="139" s="1"/>
  <c r="DN11" i="139"/>
  <c r="CI15" i="139"/>
  <c r="CI24" i="139" s="1"/>
  <c r="DO16" i="139"/>
  <c r="DO25" i="139" s="1"/>
  <c r="CX16" i="139"/>
  <c r="CX25" i="139" s="1"/>
  <c r="CQ15" i="139"/>
  <c r="CQ24" i="139" s="1"/>
  <c r="DO15" i="139"/>
  <c r="DO24" i="139" s="1"/>
  <c r="CQ14" i="139"/>
  <c r="CQ23" i="139" s="1"/>
  <c r="DO14" i="139"/>
  <c r="DO23" i="139" s="1"/>
  <c r="CQ16" i="139"/>
  <c r="CQ25" i="139" s="1"/>
  <c r="DP14" i="139"/>
  <c r="DP23" i="139" s="1"/>
  <c r="BY14" i="139"/>
  <c r="BY23" i="139" s="1"/>
  <c r="BY15" i="139"/>
  <c r="BY24" i="139" s="1"/>
  <c r="BY16" i="139"/>
  <c r="BY25" i="139" s="1"/>
  <c r="CG14" i="139"/>
  <c r="CG23" i="139" s="1"/>
  <c r="CG15" i="139"/>
  <c r="CG24" i="139" s="1"/>
  <c r="CG16" i="139"/>
  <c r="CG25" i="139" s="1"/>
  <c r="CK14" i="139"/>
  <c r="CK23" i="139" s="1"/>
  <c r="CK15" i="139"/>
  <c r="CK24" i="139" s="1"/>
  <c r="CK16" i="139"/>
  <c r="CK25" i="139" s="1"/>
  <c r="CS14" i="139"/>
  <c r="CS23" i="139" s="1"/>
  <c r="CS15" i="139"/>
  <c r="CS24" i="139" s="1"/>
  <c r="CS16" i="139"/>
  <c r="CS25" i="139" s="1"/>
  <c r="CW14" i="139"/>
  <c r="CW23" i="139" s="1"/>
  <c r="CW15" i="139"/>
  <c r="CW24" i="139" s="1"/>
  <c r="CW16" i="139"/>
  <c r="CW25" i="139" s="1"/>
  <c r="DE14" i="139"/>
  <c r="DE23" i="139" s="1"/>
  <c r="DE15" i="139"/>
  <c r="DE24" i="139" s="1"/>
  <c r="DE16" i="139"/>
  <c r="DE25" i="139" s="1"/>
  <c r="DI14" i="139"/>
  <c r="DI23" i="139" s="1"/>
  <c r="DI15" i="139"/>
  <c r="DI24" i="139" s="1"/>
  <c r="DI16" i="139"/>
  <c r="DI25" i="139" s="1"/>
  <c r="DQ14" i="139"/>
  <c r="DQ23" i="139" s="1"/>
  <c r="DQ15" i="139"/>
  <c r="DQ24" i="139" s="1"/>
  <c r="DQ16" i="139"/>
  <c r="DQ25" i="139" s="1"/>
  <c r="BX15" i="139"/>
  <c r="BX24" i="139" s="1"/>
  <c r="BX16" i="139"/>
  <c r="BX25" i="139" s="1"/>
  <c r="BX13" i="139"/>
  <c r="BX22" i="139" s="1"/>
  <c r="CF15" i="139"/>
  <c r="CF24" i="139" s="1"/>
  <c r="CF16" i="139"/>
  <c r="CF25" i="139" s="1"/>
  <c r="CF13" i="139"/>
  <c r="CF22" i="139" s="1"/>
  <c r="CJ15" i="139"/>
  <c r="CJ24" i="139" s="1"/>
  <c r="CJ16" i="139"/>
  <c r="CJ25" i="139" s="1"/>
  <c r="CJ13" i="139"/>
  <c r="CJ22" i="139" s="1"/>
  <c r="CR15" i="139"/>
  <c r="CR24" i="139" s="1"/>
  <c r="CR16" i="139"/>
  <c r="CR25" i="139" s="1"/>
  <c r="CR13" i="139"/>
  <c r="CR22" i="139" s="1"/>
  <c r="CV15" i="139"/>
  <c r="CV24" i="139" s="1"/>
  <c r="CV16" i="139"/>
  <c r="CV25" i="139" s="1"/>
  <c r="CV13" i="139"/>
  <c r="CV22" i="139" s="1"/>
  <c r="DD15" i="139"/>
  <c r="DD24" i="139" s="1"/>
  <c r="DD16" i="139"/>
  <c r="DD25" i="139" s="1"/>
  <c r="DD13" i="139"/>
  <c r="DD22" i="139" s="1"/>
  <c r="DH15" i="139"/>
  <c r="DH24" i="139" s="1"/>
  <c r="DH16" i="139"/>
  <c r="DH25" i="139" s="1"/>
  <c r="DH13" i="139"/>
  <c r="DH22" i="139" s="1"/>
  <c r="DP15" i="139"/>
  <c r="DP24" i="139" s="1"/>
  <c r="DP16" i="139"/>
  <c r="DP25" i="139" s="1"/>
  <c r="DP13" i="139"/>
  <c r="DP22" i="139" s="1"/>
  <c r="BY13" i="139"/>
  <c r="BY22" i="139" s="1"/>
  <c r="CG13" i="139"/>
  <c r="CG22" i="139" s="1"/>
  <c r="CK13" i="139"/>
  <c r="CK22" i="139" s="1"/>
  <c r="CS13" i="139"/>
  <c r="CS22" i="139" s="1"/>
  <c r="CW13" i="139"/>
  <c r="CW22" i="139" s="1"/>
  <c r="DE13" i="139"/>
  <c r="DE22" i="139" s="1"/>
  <c r="DI13" i="139"/>
  <c r="DI22" i="139" s="1"/>
  <c r="DQ13" i="139"/>
  <c r="DQ22" i="139" s="1"/>
  <c r="CJ14" i="139"/>
  <c r="CJ23" i="139" s="1"/>
  <c r="CR14" i="139"/>
  <c r="CR23" i="139" s="1"/>
  <c r="BW13" i="139" l="1"/>
  <c r="BW22" i="139" s="1"/>
  <c r="BV11" i="139"/>
  <c r="BW14" i="139"/>
  <c r="BW23" i="139" s="1"/>
  <c r="BW16" i="139"/>
  <c r="BW25" i="139" s="1"/>
  <c r="BW15" i="139"/>
  <c r="BW24" i="139" s="1"/>
  <c r="CH14" i="139"/>
  <c r="CH23" i="139" s="1"/>
  <c r="CH13" i="139"/>
  <c r="CH22" i="139" s="1"/>
  <c r="CH15" i="139"/>
  <c r="CH24" i="139" s="1"/>
  <c r="CH16" i="139"/>
  <c r="CH25" i="139" s="1"/>
  <c r="CE13" i="139"/>
  <c r="CE22" i="139" s="1"/>
  <c r="CD11" i="139"/>
  <c r="CE15" i="139"/>
  <c r="CE24" i="139" s="1"/>
  <c r="CE14" i="139"/>
  <c r="CE23" i="139" s="1"/>
  <c r="CE16" i="139"/>
  <c r="CE25" i="139" s="1"/>
  <c r="CP13" i="139"/>
  <c r="CP22" i="139" s="1"/>
  <c r="CP14" i="139"/>
  <c r="CP23" i="139" s="1"/>
  <c r="CP15" i="139"/>
  <c r="CP24" i="139" s="1"/>
  <c r="CP16" i="139"/>
  <c r="CP25" i="139" s="1"/>
  <c r="CO11" i="139"/>
  <c r="DG13" i="139"/>
  <c r="DG22" i="139" s="1"/>
  <c r="DF11" i="139"/>
  <c r="DG14" i="139"/>
  <c r="DG23" i="139" s="1"/>
  <c r="DG16" i="139"/>
  <c r="DG25" i="139" s="1"/>
  <c r="DG15" i="139"/>
  <c r="DG24" i="139" s="1"/>
  <c r="DC13" i="139"/>
  <c r="DC22" i="139" s="1"/>
  <c r="DB11" i="139"/>
  <c r="DC14" i="139"/>
  <c r="DC23" i="139" s="1"/>
  <c r="DC15" i="139"/>
  <c r="DC24" i="139" s="1"/>
  <c r="DC16" i="139"/>
  <c r="DC25" i="139" s="1"/>
  <c r="CU13" i="139"/>
  <c r="CU22" i="139" s="1"/>
  <c r="CT11" i="139"/>
  <c r="CU14" i="139"/>
  <c r="CU23" i="139" s="1"/>
  <c r="CU16" i="139"/>
  <c r="CU25" i="139" s="1"/>
  <c r="CU15" i="139"/>
  <c r="CU24" i="139" s="1"/>
  <c r="DN13" i="139"/>
  <c r="DN22" i="139" s="1"/>
  <c r="DN14" i="139"/>
  <c r="DN23" i="139" s="1"/>
  <c r="DN15" i="139"/>
  <c r="DN24" i="139" s="1"/>
  <c r="DM11" i="139"/>
  <c r="DN16" i="139"/>
  <c r="DN25" i="139" s="1"/>
  <c r="DF15" i="139" l="1"/>
  <c r="DF24" i="139" s="1"/>
  <c r="DF13" i="139"/>
  <c r="DF22" i="139" s="1"/>
  <c r="DF14" i="139"/>
  <c r="DF23" i="139" s="1"/>
  <c r="DF16" i="139"/>
  <c r="DF25" i="139" s="1"/>
  <c r="CT13" i="139"/>
  <c r="CT22" i="139" s="1"/>
  <c r="CT15" i="139"/>
  <c r="CT24" i="139" s="1"/>
  <c r="CT14" i="139"/>
  <c r="CT23" i="139" s="1"/>
  <c r="CT16" i="139"/>
  <c r="CT25" i="139" s="1"/>
  <c r="CN11" i="139"/>
  <c r="CO13" i="139"/>
  <c r="CO22" i="139" s="1"/>
  <c r="CO14" i="139"/>
  <c r="CO23" i="139" s="1"/>
  <c r="CO16" i="139"/>
  <c r="CO25" i="139" s="1"/>
  <c r="CO15" i="139"/>
  <c r="CO24" i="139" s="1"/>
  <c r="CD13" i="139"/>
  <c r="CD22" i="139" s="1"/>
  <c r="CD14" i="139"/>
  <c r="CD23" i="139" s="1"/>
  <c r="CD15" i="139"/>
  <c r="CD24" i="139" s="1"/>
  <c r="CC11" i="139"/>
  <c r="CD16" i="139"/>
  <c r="CD25" i="139" s="1"/>
  <c r="BV13" i="139"/>
  <c r="BV22" i="139" s="1"/>
  <c r="BV15" i="139"/>
  <c r="BV24" i="139" s="1"/>
  <c r="BV14" i="139"/>
  <c r="BV23" i="139" s="1"/>
  <c r="BV16" i="139"/>
  <c r="BV25" i="139" s="1"/>
  <c r="DB15" i="139"/>
  <c r="DB24" i="139" s="1"/>
  <c r="DB14" i="139"/>
  <c r="DB23" i="139" s="1"/>
  <c r="DB13" i="139"/>
  <c r="DB22" i="139" s="1"/>
  <c r="DA11" i="139"/>
  <c r="DB16" i="139"/>
  <c r="DB25" i="139" s="1"/>
  <c r="DL11" i="139"/>
  <c r="DM13" i="139"/>
  <c r="DM22" i="139" s="1"/>
  <c r="DM14" i="139"/>
  <c r="DM23" i="139" s="1"/>
  <c r="DM16" i="139"/>
  <c r="DM25" i="139" s="1"/>
  <c r="DM15" i="139"/>
  <c r="DM24" i="139" s="1"/>
  <c r="BT11" i="139"/>
  <c r="BT15" i="139" s="1"/>
  <c r="BT24" i="139" s="1"/>
  <c r="BU11" i="139"/>
  <c r="BU14" i="139" s="1"/>
  <c r="BU23" i="139" s="1"/>
  <c r="CB11" i="139" l="1"/>
  <c r="CC16" i="139"/>
  <c r="CC25" i="139" s="1"/>
  <c r="CC13" i="139"/>
  <c r="CC22" i="139" s="1"/>
  <c r="CC14" i="139"/>
  <c r="CC23" i="139" s="1"/>
  <c r="CC15" i="139"/>
  <c r="CC24" i="139" s="1"/>
  <c r="CU31" i="139"/>
  <c r="CN14" i="139"/>
  <c r="CN23" i="139" s="1"/>
  <c r="CZ32" i="139" s="1"/>
  <c r="CN13" i="139"/>
  <c r="CN22" i="139" s="1"/>
  <c r="CN15" i="139"/>
  <c r="CN24" i="139" s="1"/>
  <c r="CZ33" i="139" s="1"/>
  <c r="CN16" i="139"/>
  <c r="CN25" i="139" s="1"/>
  <c r="CX34" i="139" s="1"/>
  <c r="DL15" i="139"/>
  <c r="DL24" i="139" s="1"/>
  <c r="DL16" i="139"/>
  <c r="DL25" i="139" s="1"/>
  <c r="DL13" i="139"/>
  <c r="DL22" i="139" s="1"/>
  <c r="DR31" i="139" s="1"/>
  <c r="DL14" i="139"/>
  <c r="DL23" i="139" s="1"/>
  <c r="CV32" i="139"/>
  <c r="BS11" i="139"/>
  <c r="BS15" i="139" s="1"/>
  <c r="BS24" i="139" s="1"/>
  <c r="CZ11" i="139"/>
  <c r="DA16" i="139"/>
  <c r="DA25" i="139" s="1"/>
  <c r="DA13" i="139"/>
  <c r="DA22" i="139" s="1"/>
  <c r="DA14" i="139"/>
  <c r="DA23" i="139" s="1"/>
  <c r="DA15" i="139"/>
  <c r="DA24" i="139" s="1"/>
  <c r="CX32" i="139"/>
  <c r="BT16" i="139"/>
  <c r="BT25" i="139" s="1"/>
  <c r="BT14" i="139"/>
  <c r="BT23" i="139" s="1"/>
  <c r="BU13" i="139"/>
  <c r="BU22" i="139" s="1"/>
  <c r="BU16" i="139"/>
  <c r="BU25" i="139" s="1"/>
  <c r="BS14" i="139"/>
  <c r="BS23" i="139" s="1"/>
  <c r="BT13" i="139"/>
  <c r="BT22" i="139" s="1"/>
  <c r="BU15" i="139"/>
  <c r="BU24" i="139" s="1"/>
  <c r="BS13" i="139" l="1"/>
  <c r="BS22" i="139" s="1"/>
  <c r="CP31" i="139"/>
  <c r="CZ34" i="139"/>
  <c r="CY34" i="139"/>
  <c r="DQ31" i="139"/>
  <c r="CV34" i="139"/>
  <c r="DR32" i="139"/>
  <c r="DQ32" i="139"/>
  <c r="DP32" i="139"/>
  <c r="DO32" i="139"/>
  <c r="DN32" i="139"/>
  <c r="BS16" i="139"/>
  <c r="BS25" i="139" s="1"/>
  <c r="BR11" i="139"/>
  <c r="DO31" i="139"/>
  <c r="CZ31" i="139"/>
  <c r="CY31" i="139"/>
  <c r="CX31" i="139"/>
  <c r="CS31" i="139"/>
  <c r="CW31" i="139"/>
  <c r="CV31" i="139"/>
  <c r="CT31" i="139"/>
  <c r="CQ31" i="139"/>
  <c r="CR31" i="139"/>
  <c r="DP31" i="139"/>
  <c r="CX33" i="139"/>
  <c r="CB13" i="139"/>
  <c r="CB22" i="139" s="1"/>
  <c r="CB14" i="139"/>
  <c r="CB23" i="139" s="1"/>
  <c r="CB16" i="139"/>
  <c r="CB25" i="139" s="1"/>
  <c r="CO34" i="139" s="1"/>
  <c r="CB15" i="139"/>
  <c r="CB24" i="139" s="1"/>
  <c r="CO33" i="139" s="1"/>
  <c r="CJ33" i="139"/>
  <c r="DQ33" i="139"/>
  <c r="DR33" i="139"/>
  <c r="DP33" i="139"/>
  <c r="DO33" i="139"/>
  <c r="DN33" i="139"/>
  <c r="CW33" i="139"/>
  <c r="CU33" i="139"/>
  <c r="CT33" i="139"/>
  <c r="CS33" i="139"/>
  <c r="CP33" i="139"/>
  <c r="CQ33" i="139"/>
  <c r="CR33" i="139"/>
  <c r="CU32" i="139"/>
  <c r="CS32" i="139"/>
  <c r="CT32" i="139"/>
  <c r="CR32" i="139"/>
  <c r="CQ32" i="139"/>
  <c r="CP32" i="139"/>
  <c r="CW32" i="139"/>
  <c r="CO32" i="139"/>
  <c r="CY33" i="139"/>
  <c r="CV33" i="139"/>
  <c r="DN31" i="139"/>
  <c r="CG31" i="139"/>
  <c r="CF31" i="139"/>
  <c r="DQ34" i="139"/>
  <c r="DR34" i="139"/>
  <c r="DP34" i="139"/>
  <c r="DO34" i="139"/>
  <c r="DN34" i="139"/>
  <c r="CY32" i="139"/>
  <c r="CZ13" i="139"/>
  <c r="CZ22" i="139" s="1"/>
  <c r="DM31" i="139" s="1"/>
  <c r="CZ16" i="139"/>
  <c r="CZ25" i="139" s="1"/>
  <c r="DH34" i="139" s="1"/>
  <c r="CZ15" i="139"/>
  <c r="CZ24" i="139" s="1"/>
  <c r="DM33" i="139" s="1"/>
  <c r="CZ14" i="139"/>
  <c r="CZ23" i="139" s="1"/>
  <c r="CU34" i="139"/>
  <c r="CT34" i="139"/>
  <c r="CS34" i="139"/>
  <c r="CQ34" i="139"/>
  <c r="CP34" i="139"/>
  <c r="CR34" i="139"/>
  <c r="CW34" i="139"/>
  <c r="CI33" i="139" l="1"/>
  <c r="CH33" i="139"/>
  <c r="CG33" i="139"/>
  <c r="CF33" i="139"/>
  <c r="CM33" i="139"/>
  <c r="CN33" i="139"/>
  <c r="CL33" i="139"/>
  <c r="CK33" i="139"/>
  <c r="DG32" i="139"/>
  <c r="DF32" i="139"/>
  <c r="DE32" i="139"/>
  <c r="DD32" i="139"/>
  <c r="DC32" i="139"/>
  <c r="DB32" i="139"/>
  <c r="DL32" i="139"/>
  <c r="DA32" i="139"/>
  <c r="DK32" i="139"/>
  <c r="DJ32" i="139"/>
  <c r="DI32" i="139"/>
  <c r="DG33" i="139"/>
  <c r="DE33" i="139"/>
  <c r="DF33" i="139"/>
  <c r="DD33" i="139"/>
  <c r="DC33" i="139"/>
  <c r="DJ33" i="139"/>
  <c r="DB33" i="139"/>
  <c r="DI33" i="139"/>
  <c r="DA33" i="139"/>
  <c r="DK33" i="139"/>
  <c r="DL33" i="139"/>
  <c r="CI32" i="139"/>
  <c r="CH32" i="139"/>
  <c r="CG32" i="139"/>
  <c r="CF32" i="139"/>
  <c r="CM32" i="139"/>
  <c r="CN32" i="139"/>
  <c r="CL32" i="139"/>
  <c r="CK32" i="139"/>
  <c r="BR13" i="139"/>
  <c r="BR22" i="139" s="1"/>
  <c r="BQ11" i="139"/>
  <c r="BR15" i="139"/>
  <c r="BR24" i="139" s="1"/>
  <c r="CE33" i="139" s="1"/>
  <c r="BR14" i="139"/>
  <c r="BR23" i="139" s="1"/>
  <c r="BR16" i="139"/>
  <c r="BR25" i="139" s="1"/>
  <c r="DM32" i="139"/>
  <c r="DH32" i="139"/>
  <c r="DG34" i="139"/>
  <c r="DF34" i="139"/>
  <c r="DD34" i="139"/>
  <c r="DE34" i="139"/>
  <c r="DC34" i="139"/>
  <c r="DJ34" i="139"/>
  <c r="DB34" i="139"/>
  <c r="DI34" i="139"/>
  <c r="DL34" i="139"/>
  <c r="DK34" i="139"/>
  <c r="DA34" i="139"/>
  <c r="CN31" i="139"/>
  <c r="CM31" i="139"/>
  <c r="CK31" i="139"/>
  <c r="CL31" i="139"/>
  <c r="CJ31" i="139"/>
  <c r="CI31" i="139"/>
  <c r="CI34" i="139"/>
  <c r="CH34" i="139"/>
  <c r="CG34" i="139"/>
  <c r="CN34" i="139"/>
  <c r="CE34" i="139"/>
  <c r="CF34" i="139"/>
  <c r="CM34" i="139"/>
  <c r="CL34" i="139"/>
  <c r="CK34" i="139"/>
  <c r="CJ34" i="139"/>
  <c r="DL31" i="139"/>
  <c r="DA31" i="139"/>
  <c r="DK31" i="139"/>
  <c r="DJ31" i="139"/>
  <c r="DI31" i="139"/>
  <c r="DH31" i="139"/>
  <c r="DF31" i="139"/>
  <c r="DC31" i="139"/>
  <c r="DE31" i="139"/>
  <c r="DG31" i="139"/>
  <c r="DD31" i="139"/>
  <c r="CJ32" i="139"/>
  <c r="DB31" i="139"/>
  <c r="CH31" i="139"/>
  <c r="CO31" i="139"/>
  <c r="DH33" i="139"/>
  <c r="DM34" i="139"/>
  <c r="BQ14" i="139" l="1"/>
  <c r="BQ23" i="139" s="1"/>
  <c r="BP11" i="139"/>
  <c r="BQ13" i="139"/>
  <c r="BQ22" i="139" s="1"/>
  <c r="BQ15" i="139"/>
  <c r="BQ24" i="139" s="1"/>
  <c r="BQ16" i="139"/>
  <c r="BQ25" i="139" s="1"/>
  <c r="CE31" i="139"/>
  <c r="CE32" i="139"/>
  <c r="CD33" i="139" l="1"/>
  <c r="CD31" i="139"/>
  <c r="BP15" i="139"/>
  <c r="BP24" i="139" s="1"/>
  <c r="BP13" i="139"/>
  <c r="BP22" i="139" s="1"/>
  <c r="CC31" i="139" s="1"/>
  <c r="BP16" i="139"/>
  <c r="BP25" i="139" s="1"/>
  <c r="BP14" i="139"/>
  <c r="BP23" i="139" s="1"/>
  <c r="BO11" i="139"/>
  <c r="CD34" i="139"/>
  <c r="CD32" i="139"/>
  <c r="CC33" i="139" l="1"/>
  <c r="BO15" i="139"/>
  <c r="BO24" i="139" s="1"/>
  <c r="BN11" i="139"/>
  <c r="BO13" i="139"/>
  <c r="BO22" i="139" s="1"/>
  <c r="CB31" i="139" s="1"/>
  <c r="BO14" i="139"/>
  <c r="BO23" i="139" s="1"/>
  <c r="BO16" i="139"/>
  <c r="BO25" i="139" s="1"/>
  <c r="CC32" i="139"/>
  <c r="CC34" i="139"/>
  <c r="CB32" i="139" l="1"/>
  <c r="CB33" i="139"/>
  <c r="BN15" i="139"/>
  <c r="BN24" i="139" s="1"/>
  <c r="BN13" i="139"/>
  <c r="BN22" i="139" s="1"/>
  <c r="CA31" i="139" s="1"/>
  <c r="BN16" i="139"/>
  <c r="BN25" i="139" s="1"/>
  <c r="BN14" i="139"/>
  <c r="BN23" i="139" s="1"/>
  <c r="BM11" i="139"/>
  <c r="CB34" i="139"/>
  <c r="CA33" i="139" l="1"/>
  <c r="BM14" i="139"/>
  <c r="BM23" i="139" s="1"/>
  <c r="BM13" i="139"/>
  <c r="BM22" i="139" s="1"/>
  <c r="BZ31" i="139" s="1"/>
  <c r="BM16" i="139"/>
  <c r="BM25" i="139" s="1"/>
  <c r="BL11" i="139"/>
  <c r="BM15" i="139"/>
  <c r="BM24" i="139" s="1"/>
  <c r="CA32" i="139"/>
  <c r="CA34" i="139"/>
  <c r="BZ34" i="139" l="1"/>
  <c r="BL14" i="139"/>
  <c r="BL23" i="139" s="1"/>
  <c r="BL16" i="139"/>
  <c r="BL25" i="139" s="1"/>
  <c r="BL15" i="139"/>
  <c r="BL24" i="139" s="1"/>
  <c r="BK11" i="139"/>
  <c r="BL13" i="139"/>
  <c r="BL22" i="139" s="1"/>
  <c r="BY31" i="139" s="1"/>
  <c r="BZ32" i="139"/>
  <c r="BZ33" i="139"/>
  <c r="BY33" i="139" l="1"/>
  <c r="BY32" i="139"/>
  <c r="BJ11" i="139"/>
  <c r="BK14" i="139"/>
  <c r="BK23" i="139" s="1"/>
  <c r="BK15" i="139"/>
  <c r="BK24" i="139" s="1"/>
  <c r="BK13" i="139"/>
  <c r="BK22" i="139" s="1"/>
  <c r="BX31" i="139" s="1"/>
  <c r="BK16" i="139"/>
  <c r="BK25" i="139" s="1"/>
  <c r="BY34" i="139"/>
  <c r="BJ14" i="139" l="1"/>
  <c r="BJ23" i="139" s="1"/>
  <c r="BW32" i="139" s="1"/>
  <c r="BJ16" i="139"/>
  <c r="BJ25" i="139" s="1"/>
  <c r="BW34" i="139" s="1"/>
  <c r="BJ15" i="139"/>
  <c r="BJ24" i="139" s="1"/>
  <c r="BW33" i="139" s="1"/>
  <c r="BI11" i="139"/>
  <c r="BJ13" i="139"/>
  <c r="BJ22" i="139" s="1"/>
  <c r="BW31" i="139" s="1"/>
  <c r="BX34" i="139"/>
  <c r="BX32" i="139"/>
  <c r="BX33" i="139"/>
  <c r="BH11" i="139" l="1"/>
  <c r="BI16" i="139"/>
  <c r="BI25" i="139" s="1"/>
  <c r="BV34" i="139" s="1"/>
  <c r="BI13" i="139"/>
  <c r="BI22" i="139" s="1"/>
  <c r="BV31" i="139" s="1"/>
  <c r="BI15" i="139"/>
  <c r="BI24" i="139" s="1"/>
  <c r="BV33" i="139" s="1"/>
  <c r="BI14" i="139"/>
  <c r="BI23" i="139" s="1"/>
  <c r="BV32" i="139" s="1"/>
  <c r="BH15" i="139" l="1"/>
  <c r="BH24" i="139" s="1"/>
  <c r="BU33" i="139" s="1"/>
  <c r="BH14" i="139"/>
  <c r="BH23" i="139" s="1"/>
  <c r="BU32" i="139" s="1"/>
  <c r="BH13" i="139"/>
  <c r="BH22" i="139" s="1"/>
  <c r="BU31" i="139" s="1"/>
  <c r="BG11" i="139"/>
  <c r="BH16" i="139"/>
  <c r="BH25" i="139" s="1"/>
  <c r="BU34" i="139" s="1"/>
  <c r="BG16" i="139" l="1"/>
  <c r="BG25" i="139" s="1"/>
  <c r="BT34" i="139" s="1"/>
  <c r="BG14" i="139"/>
  <c r="BG23" i="139" s="1"/>
  <c r="BT32" i="139" s="1"/>
  <c r="BG13" i="139"/>
  <c r="BG22" i="139" s="1"/>
  <c r="BT31" i="139" s="1"/>
  <c r="BF11" i="139"/>
  <c r="BG15" i="139"/>
  <c r="BG24" i="139" s="1"/>
  <c r="BT33" i="139" s="1"/>
  <c r="BF14" i="139" l="1"/>
  <c r="BF23" i="139" s="1"/>
  <c r="BS32" i="139" s="1"/>
  <c r="BF16" i="139"/>
  <c r="BF25" i="139" s="1"/>
  <c r="BS34" i="139" s="1"/>
  <c r="BE11" i="139"/>
  <c r="BF15" i="139"/>
  <c r="BF24" i="139" s="1"/>
  <c r="BS33" i="139" s="1"/>
  <c r="BF13" i="139"/>
  <c r="BF22" i="139" s="1"/>
  <c r="BS31" i="139" s="1"/>
  <c r="BD11" i="139" l="1"/>
  <c r="BE15" i="139"/>
  <c r="BE24" i="139" s="1"/>
  <c r="BR33" i="139" s="1"/>
  <c r="BE16" i="139"/>
  <c r="BE25" i="139" s="1"/>
  <c r="BR34" i="139" s="1"/>
  <c r="BE13" i="139"/>
  <c r="BE22" i="139" s="1"/>
  <c r="BR31" i="139" s="1"/>
  <c r="BE14" i="139"/>
  <c r="BE23" i="139" s="1"/>
  <c r="BR32" i="139" s="1"/>
  <c r="BC11" i="139" l="1"/>
  <c r="BD13" i="139"/>
  <c r="BD22" i="139" s="1"/>
  <c r="BQ31" i="139" s="1"/>
  <c r="BD15" i="139"/>
  <c r="BD24" i="139" s="1"/>
  <c r="BQ33" i="139" s="1"/>
  <c r="BD16" i="139"/>
  <c r="BD25" i="139" s="1"/>
  <c r="BQ34" i="139" s="1"/>
  <c r="BD14" i="139"/>
  <c r="BD23" i="139" s="1"/>
  <c r="BQ32" i="139" s="1"/>
  <c r="BC16" i="139" l="1"/>
  <c r="BC25" i="139" s="1"/>
  <c r="BP34" i="139" s="1"/>
  <c r="BC13" i="139"/>
  <c r="BC22" i="139" s="1"/>
  <c r="BP31" i="139" s="1"/>
  <c r="BC14" i="139"/>
  <c r="BC23" i="139" s="1"/>
  <c r="BP32" i="139" s="1"/>
  <c r="BC15" i="139"/>
  <c r="BC24" i="139" s="1"/>
  <c r="BP33" i="139" s="1"/>
  <c r="BB11" i="139"/>
  <c r="BA11" i="139" l="1"/>
  <c r="BB16" i="139"/>
  <c r="BB25" i="139" s="1"/>
  <c r="BO34" i="139" s="1"/>
  <c r="BB15" i="139"/>
  <c r="BB24" i="139" s="1"/>
  <c r="BO33" i="139" s="1"/>
  <c r="BB13" i="139"/>
  <c r="BB22" i="139" s="1"/>
  <c r="BO31" i="139" s="1"/>
  <c r="BB14" i="139"/>
  <c r="BB23" i="139" s="1"/>
  <c r="BO32" i="139" s="1"/>
  <c r="BA16" i="139" l="1"/>
  <c r="BA25" i="139" s="1"/>
  <c r="BN34" i="139" s="1"/>
  <c r="AZ11" i="139"/>
  <c r="BA13" i="139"/>
  <c r="BA22" i="139" s="1"/>
  <c r="BN31" i="139" s="1"/>
  <c r="BA15" i="139"/>
  <c r="BA24" i="139" s="1"/>
  <c r="BN33" i="139" s="1"/>
  <c r="BA14" i="139"/>
  <c r="BA23" i="139" s="1"/>
  <c r="BN32" i="139" s="1"/>
  <c r="AY11" i="139" l="1"/>
  <c r="AZ16" i="139"/>
  <c r="AZ25" i="139" s="1"/>
  <c r="BM34" i="139" s="1"/>
  <c r="AZ15" i="139"/>
  <c r="AZ24" i="139" s="1"/>
  <c r="BM33" i="139" s="1"/>
  <c r="AZ14" i="139"/>
  <c r="AZ23" i="139" s="1"/>
  <c r="BM32" i="139" s="1"/>
  <c r="AZ13" i="139"/>
  <c r="AZ22" i="139" s="1"/>
  <c r="BM31" i="139" s="1"/>
  <c r="AY15" i="139" l="1"/>
  <c r="AY24" i="139" s="1"/>
  <c r="BL33" i="139" s="1"/>
  <c r="AY14" i="139"/>
  <c r="AY23" i="139" s="1"/>
  <c r="BL32" i="139" s="1"/>
  <c r="AY16" i="139"/>
  <c r="AY25" i="139" s="1"/>
  <c r="BL34" i="139" s="1"/>
  <c r="AY13" i="139"/>
  <c r="AY22" i="139" s="1"/>
  <c r="BL31" i="139" s="1"/>
  <c r="AX11" i="139"/>
  <c r="AX13" i="139" l="1"/>
  <c r="AX22" i="139" s="1"/>
  <c r="BK31" i="139" s="1"/>
  <c r="AX14" i="139"/>
  <c r="AX23" i="139" s="1"/>
  <c r="BK32" i="139" s="1"/>
  <c r="AX16" i="139"/>
  <c r="AX25" i="139" s="1"/>
  <c r="BK34" i="139" s="1"/>
  <c r="AX15" i="139"/>
  <c r="AX24" i="139" s="1"/>
  <c r="BK33" i="139" s="1"/>
  <c r="AW11" i="139"/>
  <c r="AV11" i="139" l="1"/>
  <c r="AW13" i="139"/>
  <c r="AW22" i="139" s="1"/>
  <c r="BJ31" i="139" s="1"/>
  <c r="AW15" i="139"/>
  <c r="AW24" i="139" s="1"/>
  <c r="BJ33" i="139" s="1"/>
  <c r="AW14" i="139"/>
  <c r="AW23" i="139" s="1"/>
  <c r="BJ32" i="139" s="1"/>
  <c r="AW16" i="139"/>
  <c r="AW25" i="139" s="1"/>
  <c r="BJ34" i="139" s="1"/>
  <c r="AU11" i="139" l="1"/>
  <c r="AV13" i="139"/>
  <c r="AV22" i="139" s="1"/>
  <c r="BI31" i="139" s="1"/>
  <c r="AV14" i="139"/>
  <c r="AV23" i="139" s="1"/>
  <c r="BI32" i="139" s="1"/>
  <c r="AV15" i="139"/>
  <c r="AV24" i="139" s="1"/>
  <c r="BI33" i="139" s="1"/>
  <c r="AV16" i="139"/>
  <c r="AV25" i="139" s="1"/>
  <c r="BI34" i="139" s="1"/>
  <c r="AU13" i="139" l="1"/>
  <c r="AU22" i="139" s="1"/>
  <c r="BH31" i="139" s="1"/>
  <c r="AT11" i="139"/>
  <c r="AU14" i="139"/>
  <c r="AU23" i="139" s="1"/>
  <c r="BH32" i="139" s="1"/>
  <c r="AU15" i="139"/>
  <c r="AU24" i="139" s="1"/>
  <c r="BH33" i="139" s="1"/>
  <c r="AU16" i="139"/>
  <c r="AU25" i="139" s="1"/>
  <c r="BH34" i="139" s="1"/>
  <c r="AS11" i="139" l="1"/>
  <c r="AT15" i="139"/>
  <c r="AT24" i="139" s="1"/>
  <c r="BG33" i="139" s="1"/>
  <c r="AT13" i="139"/>
  <c r="AT22" i="139" s="1"/>
  <c r="BG31" i="139" s="1"/>
  <c r="AT14" i="139"/>
  <c r="AT23" i="139" s="1"/>
  <c r="BG32" i="139" s="1"/>
  <c r="AT16" i="139"/>
  <c r="AT25" i="139" s="1"/>
  <c r="BG34" i="139" s="1"/>
  <c r="AS13" i="139" l="1"/>
  <c r="AS22" i="139" s="1"/>
  <c r="BF31" i="139" s="1"/>
  <c r="AS16" i="139"/>
  <c r="AS25" i="139" s="1"/>
  <c r="BF34" i="139" s="1"/>
  <c r="AS14" i="139"/>
  <c r="AS23" i="139" s="1"/>
  <c r="BF32" i="139" s="1"/>
  <c r="AS15" i="139"/>
  <c r="AS24" i="139" s="1"/>
  <c r="BF33" i="139" s="1"/>
  <c r="AR11" i="139"/>
  <c r="AR14" i="139" l="1"/>
  <c r="AR23" i="139" s="1"/>
  <c r="BE32" i="139" s="1"/>
  <c r="AR16" i="139"/>
  <c r="AR25" i="139" s="1"/>
  <c r="BE34" i="139" s="1"/>
  <c r="AR13" i="139"/>
  <c r="AR22" i="139" s="1"/>
  <c r="BE31" i="139" s="1"/>
  <c r="AR15" i="139"/>
  <c r="AR24" i="139" s="1"/>
  <c r="BE33" i="139" s="1"/>
  <c r="AQ11" i="139"/>
  <c r="AQ13" i="139" l="1"/>
  <c r="AQ22" i="139" s="1"/>
  <c r="BD31" i="139" s="1"/>
  <c r="AQ15" i="139"/>
  <c r="AQ24" i="139" s="1"/>
  <c r="BD33" i="139" s="1"/>
  <c r="AQ14" i="139"/>
  <c r="AQ23" i="139" s="1"/>
  <c r="BD32" i="139" s="1"/>
  <c r="AQ16" i="139"/>
  <c r="AQ25" i="139" s="1"/>
  <c r="BD34" i="139" s="1"/>
  <c r="AP11" i="139"/>
  <c r="AO11" i="139" l="1"/>
  <c r="AP15" i="139"/>
  <c r="AP24" i="139" s="1"/>
  <c r="BC33" i="139" s="1"/>
  <c r="AP13" i="139"/>
  <c r="AP22" i="139" s="1"/>
  <c r="BC31" i="139" s="1"/>
  <c r="AP14" i="139"/>
  <c r="AP23" i="139" s="1"/>
  <c r="BC32" i="139" s="1"/>
  <c r="AP16" i="139"/>
  <c r="AP25" i="139" s="1"/>
  <c r="BC34" i="139" s="1"/>
  <c r="AO16" i="139" l="1"/>
  <c r="AO25" i="139" s="1"/>
  <c r="BB34" i="139" s="1"/>
  <c r="AO15" i="139"/>
  <c r="AO24" i="139" s="1"/>
  <c r="BB33" i="139" s="1"/>
  <c r="AO14" i="139"/>
  <c r="AO23" i="139" s="1"/>
  <c r="BB32" i="139" s="1"/>
  <c r="AO13" i="139"/>
  <c r="AO22" i="139" s="1"/>
  <c r="BB31" i="139" s="1"/>
  <c r="AN11" i="139"/>
  <c r="AN15" i="139" l="1"/>
  <c r="AN24" i="139" s="1"/>
  <c r="BA33" i="139" s="1"/>
  <c r="AN16" i="139"/>
  <c r="AN25" i="139" s="1"/>
  <c r="BA34" i="139" s="1"/>
  <c r="AN13" i="139"/>
  <c r="AN22" i="139" s="1"/>
  <c r="BA31" i="139" s="1"/>
  <c r="AN14" i="139"/>
  <c r="AN23" i="139" s="1"/>
  <c r="BA32" i="139" s="1"/>
  <c r="AM11" i="139"/>
  <c r="AM15" i="139" l="1"/>
  <c r="AM24" i="139" s="1"/>
  <c r="AZ33" i="139" s="1"/>
  <c r="AM14" i="139"/>
  <c r="AM23" i="139" s="1"/>
  <c r="AZ32" i="139" s="1"/>
  <c r="AL11" i="139"/>
  <c r="AM13" i="139"/>
  <c r="AM22" i="139" s="1"/>
  <c r="AZ31" i="139" s="1"/>
  <c r="AM16" i="139"/>
  <c r="AM25" i="139" s="1"/>
  <c r="AZ34" i="139" s="1"/>
  <c r="AL13" i="139" l="1"/>
  <c r="AL22" i="139" s="1"/>
  <c r="AY31" i="139" s="1"/>
  <c r="AL15" i="139"/>
  <c r="AL24" i="139" s="1"/>
  <c r="AY33" i="139" s="1"/>
  <c r="AK11" i="139"/>
  <c r="AL14" i="139"/>
  <c r="AL23" i="139" s="1"/>
  <c r="AY32" i="139" s="1"/>
  <c r="AL16" i="139"/>
  <c r="AL25" i="139" s="1"/>
  <c r="AY34" i="139" s="1"/>
  <c r="AK14" i="139" l="1"/>
  <c r="AK23" i="139" s="1"/>
  <c r="AX32" i="139" s="1"/>
  <c r="AK15" i="139"/>
  <c r="AK24" i="139" s="1"/>
  <c r="AX33" i="139" s="1"/>
  <c r="AJ11" i="139"/>
  <c r="AK13" i="139"/>
  <c r="AK22" i="139" s="1"/>
  <c r="AX31" i="139" s="1"/>
  <c r="AK16" i="139"/>
  <c r="AK25" i="139" s="1"/>
  <c r="AX34" i="139" s="1"/>
  <c r="AJ15" i="139" l="1"/>
  <c r="AJ24" i="139" s="1"/>
  <c r="AW33" i="139" s="1"/>
  <c r="AJ14" i="139"/>
  <c r="AJ23" i="139" s="1"/>
  <c r="AW32" i="139" s="1"/>
  <c r="AI11" i="139"/>
  <c r="AJ16" i="139"/>
  <c r="AJ25" i="139" s="1"/>
  <c r="AW34" i="139" s="1"/>
  <c r="AJ13" i="139"/>
  <c r="AJ22" i="139" s="1"/>
  <c r="AW31" i="139" s="1"/>
  <c r="AI16" i="139" l="1"/>
  <c r="AI25" i="139" s="1"/>
  <c r="AV34" i="139" s="1"/>
  <c r="AH11" i="139"/>
  <c r="AI14" i="139"/>
  <c r="AI23" i="139" s="1"/>
  <c r="AV32" i="139" s="1"/>
  <c r="AI13" i="139"/>
  <c r="AI22" i="139" s="1"/>
  <c r="AV31" i="139" s="1"/>
  <c r="AI15" i="139"/>
  <c r="AI24" i="139" s="1"/>
  <c r="AV33" i="139" s="1"/>
  <c r="AH15" i="139" l="1"/>
  <c r="AH24" i="139" s="1"/>
  <c r="AU33" i="139" s="1"/>
  <c r="AH13" i="139"/>
  <c r="AH22" i="139" s="1"/>
  <c r="AU31" i="139" s="1"/>
  <c r="AH14" i="139"/>
  <c r="AH23" i="139" s="1"/>
  <c r="AU32" i="139" s="1"/>
  <c r="AG11" i="139"/>
  <c r="AH16" i="139"/>
  <c r="AH25" i="139" s="1"/>
  <c r="AU34" i="139" s="1"/>
  <c r="AG14" i="139" l="1"/>
  <c r="AG23" i="139" s="1"/>
  <c r="AT32" i="139" s="1"/>
  <c r="AG15" i="139"/>
  <c r="AG24" i="139" s="1"/>
  <c r="AT33" i="139" s="1"/>
  <c r="AF11" i="139"/>
  <c r="AG13" i="139"/>
  <c r="AG22" i="139" s="1"/>
  <c r="AT31" i="139" s="1"/>
  <c r="AG16" i="139"/>
  <c r="AG25" i="139" s="1"/>
  <c r="AT34" i="139" s="1"/>
  <c r="AF15" i="139" l="1"/>
  <c r="AF24" i="139" s="1"/>
  <c r="AS33" i="139" s="1"/>
  <c r="AF13" i="139"/>
  <c r="AF22" i="139" s="1"/>
  <c r="AS31" i="139" s="1"/>
  <c r="AE11" i="139"/>
  <c r="AF16" i="139"/>
  <c r="AF25" i="139" s="1"/>
  <c r="AS34" i="139" s="1"/>
  <c r="AF14" i="139"/>
  <c r="AF23" i="139" s="1"/>
  <c r="AS32" i="139" s="1"/>
  <c r="AD11" i="139" l="1"/>
  <c r="AE16" i="139"/>
  <c r="AE25" i="139" s="1"/>
  <c r="AR34" i="139" s="1"/>
  <c r="AE13" i="139"/>
  <c r="AE22" i="139" s="1"/>
  <c r="AR31" i="139" s="1"/>
  <c r="AE14" i="139"/>
  <c r="AE23" i="139" s="1"/>
  <c r="AR32" i="139" s="1"/>
  <c r="AE15" i="139"/>
  <c r="AE24" i="139" s="1"/>
  <c r="AR33" i="139" s="1"/>
  <c r="AD14" i="139" l="1"/>
  <c r="AD23" i="139" s="1"/>
  <c r="AQ32" i="139" s="1"/>
  <c r="AD16" i="139"/>
  <c r="AD25" i="139" s="1"/>
  <c r="AQ34" i="139" s="1"/>
  <c r="AC11" i="139"/>
  <c r="AD13" i="139"/>
  <c r="AD22" i="139" s="1"/>
  <c r="AQ31" i="139" s="1"/>
  <c r="AD15" i="139"/>
  <c r="AD24" i="139" s="1"/>
  <c r="AQ33" i="139" s="1"/>
  <c r="AC14" i="139" l="1"/>
  <c r="AC23" i="139" s="1"/>
  <c r="AP32" i="139" s="1"/>
  <c r="AC16" i="139"/>
  <c r="AC25" i="139" s="1"/>
  <c r="AP34" i="139" s="1"/>
  <c r="AB11" i="139"/>
  <c r="AC13" i="139"/>
  <c r="AC22" i="139" s="1"/>
  <c r="AP31" i="139" s="1"/>
  <c r="AC15" i="139"/>
  <c r="AC24" i="139" s="1"/>
  <c r="AP33" i="139" s="1"/>
  <c r="AB13" i="139" l="1"/>
  <c r="AB22" i="139" s="1"/>
  <c r="AO31" i="139" s="1"/>
  <c r="AA11" i="139"/>
  <c r="AB15" i="139"/>
  <c r="AB24" i="139" s="1"/>
  <c r="AO33" i="139" s="1"/>
  <c r="AB16" i="139"/>
  <c r="AB25" i="139" s="1"/>
  <c r="AO34" i="139" s="1"/>
  <c r="AB14" i="139"/>
  <c r="AB23" i="139" s="1"/>
  <c r="AO32" i="139" s="1"/>
  <c r="AA16" i="139" l="1"/>
  <c r="AA25" i="139" s="1"/>
  <c r="AN34" i="139" s="1"/>
  <c r="AA13" i="139"/>
  <c r="AA22" i="139" s="1"/>
  <c r="AN31" i="139" s="1"/>
  <c r="AA14" i="139"/>
  <c r="AA23" i="139" s="1"/>
  <c r="AN32" i="139" s="1"/>
  <c r="Z11" i="139"/>
  <c r="AA15" i="139"/>
  <c r="AA24" i="139" s="1"/>
  <c r="AN33" i="139" s="1"/>
  <c r="Z16" i="139" l="1"/>
  <c r="Z25" i="139" s="1"/>
  <c r="AM34" i="139" s="1"/>
  <c r="Z14" i="139"/>
  <c r="Z23" i="139" s="1"/>
  <c r="AM32" i="139" s="1"/>
  <c r="Y11" i="139"/>
  <c r="Z15" i="139"/>
  <c r="Z24" i="139" s="1"/>
  <c r="AM33" i="139" s="1"/>
  <c r="Z13" i="139"/>
  <c r="Z22" i="139" s="1"/>
  <c r="AM31" i="139" s="1"/>
  <c r="X11" i="139" l="1"/>
  <c r="Y16" i="139"/>
  <c r="Y25" i="139" s="1"/>
  <c r="AL34" i="139" s="1"/>
  <c r="Y14" i="139"/>
  <c r="Y23" i="139" s="1"/>
  <c r="AL32" i="139" s="1"/>
  <c r="Y13" i="139"/>
  <c r="Y22" i="139" s="1"/>
  <c r="AL31" i="139" s="1"/>
  <c r="Y15" i="139"/>
  <c r="Y24" i="139" s="1"/>
  <c r="AL33" i="139" s="1"/>
  <c r="W11" i="139" l="1"/>
  <c r="X16" i="139"/>
  <c r="X25" i="139" s="1"/>
  <c r="AK34" i="139" s="1"/>
  <c r="X13" i="139"/>
  <c r="X22" i="139" s="1"/>
  <c r="AK31" i="139" s="1"/>
  <c r="X15" i="139"/>
  <c r="X24" i="139" s="1"/>
  <c r="AK33" i="139" s="1"/>
  <c r="X14" i="139"/>
  <c r="X23" i="139" s="1"/>
  <c r="AK32" i="139" s="1"/>
  <c r="W15" i="139" l="1"/>
  <c r="W24" i="139" s="1"/>
  <c r="AJ33" i="139" s="1"/>
  <c r="W16" i="139"/>
  <c r="W25" i="139" s="1"/>
  <c r="AJ34" i="139" s="1"/>
  <c r="V11" i="139"/>
  <c r="W13" i="139"/>
  <c r="W22" i="139" s="1"/>
  <c r="AJ31" i="139" s="1"/>
  <c r="W14" i="139"/>
  <c r="W23" i="139" s="1"/>
  <c r="AJ32" i="139" s="1"/>
  <c r="U11" i="139" l="1"/>
  <c r="V15" i="139"/>
  <c r="V24" i="139" s="1"/>
  <c r="AI33" i="139" s="1"/>
  <c r="V14" i="139"/>
  <c r="V23" i="139" s="1"/>
  <c r="AI32" i="139" s="1"/>
  <c r="V16" i="139"/>
  <c r="V25" i="139" s="1"/>
  <c r="AI34" i="139" s="1"/>
  <c r="V13" i="139"/>
  <c r="V22" i="139" s="1"/>
  <c r="AI31" i="139" s="1"/>
  <c r="T11" i="139" l="1"/>
  <c r="U16" i="139"/>
  <c r="U25" i="139" s="1"/>
  <c r="AH34" i="139" s="1"/>
  <c r="U15" i="139"/>
  <c r="U24" i="139" s="1"/>
  <c r="AH33" i="139" s="1"/>
  <c r="U14" i="139"/>
  <c r="U23" i="139" s="1"/>
  <c r="AH32" i="139" s="1"/>
  <c r="U13" i="139"/>
  <c r="U22" i="139" s="1"/>
  <c r="AH31" i="139" s="1"/>
  <c r="S11" i="139" l="1"/>
  <c r="T14" i="139"/>
  <c r="T23" i="139" s="1"/>
  <c r="AG32" i="139" s="1"/>
  <c r="T15" i="139"/>
  <c r="T24" i="139" s="1"/>
  <c r="AG33" i="139" s="1"/>
  <c r="T16" i="139"/>
  <c r="T25" i="139" s="1"/>
  <c r="AG34" i="139" s="1"/>
  <c r="T13" i="139"/>
  <c r="T22" i="139" s="1"/>
  <c r="AG31" i="139" s="1"/>
  <c r="S13" i="139" l="1"/>
  <c r="S22" i="139" s="1"/>
  <c r="AF31" i="139" s="1"/>
  <c r="S16" i="139"/>
  <c r="S25" i="139" s="1"/>
  <c r="AF34" i="139" s="1"/>
  <c r="R11" i="139"/>
  <c r="S15" i="139"/>
  <c r="S24" i="139" s="1"/>
  <c r="AF33" i="139" s="1"/>
  <c r="S14" i="139"/>
  <c r="S23" i="139" s="1"/>
  <c r="AF32" i="139" s="1"/>
  <c r="R16" i="139" l="1"/>
  <c r="R25" i="139" s="1"/>
  <c r="AE34" i="139" s="1"/>
  <c r="Q11" i="139"/>
  <c r="R14" i="139"/>
  <c r="R23" i="139" s="1"/>
  <c r="AE32" i="139" s="1"/>
  <c r="R13" i="139"/>
  <c r="R22" i="139" s="1"/>
  <c r="AE31" i="139" s="1"/>
  <c r="R15" i="139"/>
  <c r="R24" i="139" s="1"/>
  <c r="AE33" i="139" s="1"/>
  <c r="Q14" i="139" l="1"/>
  <c r="Q23" i="139" s="1"/>
  <c r="AD32" i="139" s="1"/>
  <c r="Q15" i="139"/>
  <c r="Q24" i="139" s="1"/>
  <c r="AD33" i="139" s="1"/>
  <c r="Q16" i="139"/>
  <c r="Q25" i="139" s="1"/>
  <c r="AD34" i="139" s="1"/>
  <c r="P11" i="139"/>
  <c r="Q13" i="139"/>
  <c r="Q22" i="139" s="1"/>
  <c r="AD31" i="139" s="1"/>
  <c r="P14" i="139" l="1"/>
  <c r="P23" i="139" s="1"/>
  <c r="AC32" i="139" s="1"/>
  <c r="P16" i="139"/>
  <c r="P25" i="139" s="1"/>
  <c r="AC34" i="139" s="1"/>
  <c r="P15" i="139"/>
  <c r="P24" i="139" s="1"/>
  <c r="AC33" i="139" s="1"/>
  <c r="O11" i="139"/>
  <c r="P13" i="139"/>
  <c r="P22" i="139" s="1"/>
  <c r="AC31" i="139" s="1"/>
  <c r="O16" i="139" l="1"/>
  <c r="O25" i="139" s="1"/>
  <c r="AB34" i="139" s="1"/>
  <c r="O13" i="139"/>
  <c r="O22" i="139" s="1"/>
  <c r="AB31" i="139" s="1"/>
  <c r="O15" i="139"/>
  <c r="O24" i="139" s="1"/>
  <c r="AB33" i="139" s="1"/>
  <c r="O14" i="139"/>
  <c r="O23" i="139" s="1"/>
  <c r="AB32" i="139" s="1"/>
  <c r="N11" i="139"/>
  <c r="N13" i="139" l="1"/>
  <c r="N22" i="139" s="1"/>
  <c r="AA31" i="139" s="1"/>
  <c r="M11" i="139"/>
  <c r="N15" i="139"/>
  <c r="N24" i="139" s="1"/>
  <c r="AA33" i="139" s="1"/>
  <c r="N16" i="139"/>
  <c r="N25" i="139" s="1"/>
  <c r="AA34" i="139" s="1"/>
  <c r="N14" i="139"/>
  <c r="N23" i="139" s="1"/>
  <c r="AA32" i="139" s="1"/>
  <c r="L11" i="139" l="1"/>
  <c r="M15" i="139"/>
  <c r="M24" i="139" s="1"/>
  <c r="Z33" i="139" s="1"/>
  <c r="M16" i="139"/>
  <c r="M25" i="139" s="1"/>
  <c r="Z34" i="139" s="1"/>
  <c r="M13" i="139"/>
  <c r="M22" i="139" s="1"/>
  <c r="Z31" i="139" s="1"/>
  <c r="M14" i="139"/>
  <c r="M23" i="139" s="1"/>
  <c r="Z32" i="139" s="1"/>
  <c r="L13" i="139" l="1"/>
  <c r="L22" i="139" s="1"/>
  <c r="Y31" i="139" s="1"/>
  <c r="L16" i="139"/>
  <c r="L25" i="139" s="1"/>
  <c r="Y34" i="139" s="1"/>
  <c r="L14" i="139"/>
  <c r="L23" i="139" s="1"/>
  <c r="Y32" i="139" s="1"/>
  <c r="K11" i="139"/>
  <c r="L15" i="139"/>
  <c r="L24" i="139" s="1"/>
  <c r="Y33" i="139" s="1"/>
  <c r="K13" i="139" l="1"/>
  <c r="K22" i="139" s="1"/>
  <c r="X31" i="139" s="1"/>
  <c r="K15" i="139"/>
  <c r="K24" i="139" s="1"/>
  <c r="X33" i="139" s="1"/>
  <c r="K14" i="139"/>
  <c r="K23" i="139" s="1"/>
  <c r="X32" i="139" s="1"/>
  <c r="J11" i="139"/>
  <c r="K16" i="139"/>
  <c r="K25" i="139" s="1"/>
  <c r="X34" i="139" s="1"/>
  <c r="I11" i="139" l="1"/>
  <c r="J15" i="139"/>
  <c r="J24" i="139" s="1"/>
  <c r="W33" i="139" s="1"/>
  <c r="J13" i="139"/>
  <c r="J22" i="139" s="1"/>
  <c r="W31" i="139" s="1"/>
  <c r="J16" i="139"/>
  <c r="J25" i="139" s="1"/>
  <c r="W34" i="139" s="1"/>
  <c r="J14" i="139"/>
  <c r="J23" i="139" s="1"/>
  <c r="W32" i="139" s="1"/>
  <c r="I14" i="139" l="1"/>
  <c r="I23" i="139" s="1"/>
  <c r="V32" i="139" s="1"/>
  <c r="I13" i="139"/>
  <c r="I22" i="139" s="1"/>
  <c r="V31" i="139" s="1"/>
  <c r="H11" i="139"/>
  <c r="I16" i="139"/>
  <c r="I25" i="139" s="1"/>
  <c r="V34" i="139" s="1"/>
  <c r="I15" i="139"/>
  <c r="I24" i="139" s="1"/>
  <c r="V33" i="139" s="1"/>
  <c r="H15" i="139" l="1"/>
  <c r="H24" i="139" s="1"/>
  <c r="U33" i="139" s="1"/>
  <c r="H13" i="139"/>
  <c r="H22" i="139" s="1"/>
  <c r="U31" i="139" s="1"/>
  <c r="G11" i="139"/>
  <c r="H14" i="139"/>
  <c r="H23" i="139" s="1"/>
  <c r="U32" i="139" s="1"/>
  <c r="H16" i="139"/>
  <c r="H25" i="139" s="1"/>
  <c r="U34" i="139" s="1"/>
  <c r="G14" i="139" l="1"/>
  <c r="G23" i="139" s="1"/>
  <c r="T32" i="139" s="1"/>
  <c r="G15" i="139"/>
  <c r="G24" i="139" s="1"/>
  <c r="T33" i="139" s="1"/>
  <c r="F11" i="139"/>
  <c r="G16" i="139"/>
  <c r="G25" i="139" s="1"/>
  <c r="T34" i="139" s="1"/>
  <c r="G13" i="139"/>
  <c r="G22" i="139" s="1"/>
  <c r="T31" i="139" s="1"/>
  <c r="F14" i="139" l="1"/>
  <c r="F23" i="139" s="1"/>
  <c r="S32" i="139" s="1"/>
  <c r="F15" i="139"/>
  <c r="F24" i="139" s="1"/>
  <c r="S33" i="139" s="1"/>
  <c r="F13" i="139"/>
  <c r="F22" i="139" s="1"/>
  <c r="S31" i="139" s="1"/>
  <c r="E11" i="139"/>
  <c r="F16" i="139"/>
  <c r="F25" i="139" s="1"/>
  <c r="S34" i="139" s="1"/>
  <c r="E13" i="139" l="1"/>
  <c r="E22" i="139" s="1"/>
  <c r="R31" i="139" s="1"/>
  <c r="E16" i="139"/>
  <c r="E25" i="139" s="1"/>
  <c r="R34" i="139" s="1"/>
  <c r="E14" i="139"/>
  <c r="E23" i="139" s="1"/>
  <c r="R32" i="139" s="1"/>
  <c r="D11" i="139"/>
  <c r="E15" i="139"/>
  <c r="E24" i="139" s="1"/>
  <c r="R33" i="139" s="1"/>
  <c r="C11" i="139" l="1"/>
  <c r="D15" i="139"/>
  <c r="D24" i="139" s="1"/>
  <c r="Q33" i="139" s="1"/>
  <c r="D14" i="139"/>
  <c r="D23" i="139" s="1"/>
  <c r="Q32" i="139" s="1"/>
  <c r="D16" i="139"/>
  <c r="D25" i="139" s="1"/>
  <c r="Q34" i="139" s="1"/>
  <c r="D13" i="139"/>
  <c r="D22" i="139" s="1"/>
  <c r="Q31" i="139" s="1"/>
  <c r="C15" i="139" l="1"/>
  <c r="C24" i="139" s="1"/>
  <c r="P33" i="139" s="1"/>
  <c r="C16" i="139"/>
  <c r="C25" i="139" s="1"/>
  <c r="P34" i="139" s="1"/>
  <c r="B11" i="139"/>
  <c r="C13" i="139"/>
  <c r="C22" i="139" s="1"/>
  <c r="P31" i="139" s="1"/>
  <c r="C14" i="139"/>
  <c r="C23" i="139" s="1"/>
  <c r="P32" i="139" s="1"/>
  <c r="B14" i="139" l="1"/>
  <c r="B23" i="139" s="1"/>
  <c r="O32" i="139" s="1"/>
  <c r="B16" i="139"/>
  <c r="B25" i="139" s="1"/>
  <c r="O34" i="139" s="1"/>
  <c r="B15" i="139"/>
  <c r="B24" i="139" s="1"/>
  <c r="O33" i="139" s="1"/>
  <c r="B13" i="139"/>
  <c r="B22" i="139" s="1"/>
  <c r="O31" i="139" s="1"/>
  <c r="DT25" i="139" l="1"/>
  <c r="DT14" i="139"/>
  <c r="DT24" i="139"/>
  <c r="DT23" i="139"/>
  <c r="DT22" i="139"/>
  <c r="DT15" i="139"/>
  <c r="DT16" i="139"/>
  <c r="DU16" i="139"/>
  <c r="DV16" i="139" s="1"/>
  <c r="DX16" i="139" s="1"/>
  <c r="DU22" i="139"/>
  <c r="DV22" i="139" s="1"/>
  <c r="DX22" i="139" s="1"/>
  <c r="DU13" i="139"/>
  <c r="DV13" i="139" s="1"/>
  <c r="DT13" i="139"/>
  <c r="DS23" i="139"/>
  <c r="DU23" i="139"/>
  <c r="DV23" i="139" s="1"/>
  <c r="DS16" i="139"/>
  <c r="DS22" i="139"/>
  <c r="DS14" i="139"/>
  <c r="DU14" i="139"/>
  <c r="DV14" i="139" s="1"/>
  <c r="DS24" i="139"/>
  <c r="DU24" i="139"/>
  <c r="DV24" i="139" s="1"/>
  <c r="DS15" i="139"/>
  <c r="DU15" i="139"/>
  <c r="DV15" i="139" s="1"/>
  <c r="DS25" i="139"/>
  <c r="DU25" i="139"/>
  <c r="DV25" i="139" s="1"/>
  <c r="DX25" i="139" s="1"/>
  <c r="DS13" i="139"/>
  <c r="DW15" i="139" l="1"/>
  <c r="DW22" i="139"/>
  <c r="DW23" i="139"/>
  <c r="DX23" i="139"/>
  <c r="DW25" i="139"/>
  <c r="DX14" i="139"/>
  <c r="DW14" i="139"/>
  <c r="DW16" i="139"/>
  <c r="DX13" i="139"/>
  <c r="DW13" i="139"/>
  <c r="DW24" i="139"/>
  <c r="DX24" i="139"/>
  <c r="DX15" i="139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<sst xmlns="http://schemas.openxmlformats.org/spreadsheetml/2006/main" count="226" uniqueCount="11">
  <si>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</si>
  <si>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</si>
  <si>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</si>
  <si>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</si>
  <si>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</si>
  <si>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</si>
  <si>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t>ParoEPACLM</t>
  </si>
  <si>
    <t>Inicio</t>
  </si>
  <si>
    <t>Amplitud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</si>
  <si>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σ</t>
    </r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</si>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</sst>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8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G7">
            <v>27131.31</v>
          </cell>
        </row>
        <row r="8">
          <cell r="G8">
            <v>23331.31</v>
          </cell>
        </row>
        <row r="9">
          <cell r="G9">
            <v>25031.31</v>
          </cell>
        </row>
        <row r="10">
          <cell r="G10">
            <v>24431.31</v>
          </cell>
        </row>
        <row r="11">
          <cell r="G11">
            <v>27331.31</v>
          </cell>
        </row>
        <row r="12">
          <cell r="G12">
            <v>29031.31</v>
          </cell>
        </row>
        <row r="13">
          <cell r="G13">
            <v>35731.31</v>
          </cell>
        </row>
        <row r="14">
          <cell r="G14">
            <v>34031.31</v>
          </cell>
        </row>
        <row r="15">
          <cell r="G15">
            <v>32331.31</v>
          </cell>
        </row>
        <row r="16">
          <cell r="G16">
            <v>37231.31</v>
          </cell>
        </row>
        <row r="17">
          <cell r="G17">
            <v>39431.31</v>
          </cell>
        </row>
        <row r="18">
          <cell r="G18">
            <v>38731.31</v>
          </cell>
        </row>
        <row r="19">
          <cell r="G19">
            <v>44331.31</v>
          </cell>
        </row>
        <row r="20">
          <cell r="G20">
            <v>49631.31</v>
          </cell>
        </row>
        <row r="21">
          <cell r="G21">
            <v>52831.31</v>
          </cell>
        </row>
        <row r="22">
          <cell r="G22">
            <v>58031.31</v>
          </cell>
        </row>
        <row r="23">
          <cell r="G23">
            <v>62631.31</v>
          </cell>
        </row>
        <row r="24">
          <cell r="G24">
            <v>63331.31</v>
          </cell>
        </row>
        <row r="25">
          <cell r="G25">
            <v>73731.31</v>
          </cell>
        </row>
        <row r="26">
          <cell r="G26">
            <v>76431.31</v>
          </cell>
        </row>
        <row r="27">
          <cell r="G27">
            <v>78331.31</v>
          </cell>
        </row>
        <row r="28">
          <cell r="G28">
            <v>81731.31</v>
          </cell>
        </row>
        <row r="29">
          <cell r="G29">
            <v>83131.31</v>
          </cell>
        </row>
        <row r="30">
          <cell r="G30">
            <v>75731.31</v>
          </cell>
        </row>
        <row r="31">
          <cell r="G31">
            <v>77231.31</v>
          </cell>
        </row>
        <row r="32">
          <cell r="G32">
            <v>74231.31</v>
          </cell>
        </row>
        <row r="33">
          <cell r="G33">
            <v>80931.31</v>
          </cell>
        </row>
        <row r="34">
          <cell r="G34">
            <v>81831.31</v>
          </cell>
        </row>
        <row r="35">
          <cell r="G35">
            <v>78131.31</v>
          </cell>
        </row>
        <row r="36">
          <cell r="G36">
            <v>81931.31</v>
          </cell>
        </row>
        <row r="37">
          <cell r="G37">
            <v>90931.31</v>
          </cell>
        </row>
        <row r="38">
          <cell r="G38">
            <v>91531.31</v>
          </cell>
        </row>
        <row r="39">
          <cell r="G39">
            <v>92531.31</v>
          </cell>
        </row>
        <row r="40">
          <cell r="G40">
            <v>97331.31</v>
          </cell>
        </row>
        <row r="41">
          <cell r="G41">
            <v>103831.31</v>
          </cell>
        </row>
        <row r="42">
          <cell r="G42">
            <v>98631.31</v>
          </cell>
        </row>
        <row r="43">
          <cell r="G43">
            <v>94131.31</v>
          </cell>
        </row>
        <row r="44">
          <cell r="G44">
            <v>88731.31</v>
          </cell>
        </row>
        <row r="45">
          <cell r="G45">
            <v>90731.31</v>
          </cell>
        </row>
        <row r="46">
          <cell r="G46">
            <v>88131.31</v>
          </cell>
        </row>
        <row r="47">
          <cell r="G47">
            <v>84931.31</v>
          </cell>
        </row>
        <row r="48">
          <cell r="G48">
            <v>89831.31</v>
          </cell>
        </row>
        <row r="49">
          <cell r="G49">
            <v>99331.31</v>
          </cell>
        </row>
        <row r="50">
          <cell r="G50">
            <v>86631.31</v>
          </cell>
        </row>
        <row r="51">
          <cell r="G51">
            <v>84831.31</v>
          </cell>
        </row>
        <row r="52">
          <cell r="G52">
            <v>88231.31</v>
          </cell>
        </row>
        <row r="53">
          <cell r="G53">
            <v>97331.31</v>
          </cell>
        </row>
        <row r="54">
          <cell r="G54">
            <v>99231.31</v>
          </cell>
        </row>
        <row r="55">
          <cell r="G55">
            <v>89231.31</v>
          </cell>
        </row>
        <row r="56">
          <cell r="G56">
            <v>90831.31</v>
          </cell>
        </row>
        <row r="57">
          <cell r="G57">
            <v>95031.31</v>
          </cell>
        </row>
        <row r="58">
          <cell r="G58">
            <v>91931.31</v>
          </cell>
        </row>
        <row r="59">
          <cell r="G59">
            <v>81031.31</v>
          </cell>
        </row>
        <row r="60">
          <cell r="G60">
            <v>89431.31</v>
          </cell>
        </row>
        <row r="61">
          <cell r="G61">
            <v>88931.31</v>
          </cell>
        </row>
        <row r="62">
          <cell r="G62">
            <v>83031.31</v>
          </cell>
        </row>
        <row r="63">
          <cell r="G63">
            <v>77531.31</v>
          </cell>
        </row>
        <row r="64">
          <cell r="G64">
            <v>80831.31</v>
          </cell>
        </row>
        <row r="65">
          <cell r="G65">
            <v>83831.31</v>
          </cell>
        </row>
        <row r="66">
          <cell r="G66">
            <v>85831.31</v>
          </cell>
        </row>
        <row r="67">
          <cell r="G67">
            <v>80031.31</v>
          </cell>
        </row>
        <row r="68">
          <cell r="G68">
            <v>86031.31</v>
          </cell>
        </row>
        <row r="69">
          <cell r="G69">
            <v>95531.31</v>
          </cell>
        </row>
        <row r="70">
          <cell r="G70">
            <v>98131.31</v>
          </cell>
        </row>
        <row r="71">
          <cell r="G71">
            <v>104031.31</v>
          </cell>
        </row>
        <row r="72">
          <cell r="G72">
            <v>106531.31</v>
          </cell>
        </row>
        <row r="73">
          <cell r="G73">
            <v>121631.31</v>
          </cell>
        </row>
        <row r="74">
          <cell r="G74">
            <v>127031.31</v>
          </cell>
        </row>
        <row r="75">
          <cell r="G75">
            <v>125331.31</v>
          </cell>
        </row>
        <row r="76">
          <cell r="G76">
            <v>133731.31</v>
          </cell>
        </row>
        <row r="77">
          <cell r="G77">
            <v>133731.31</v>
          </cell>
        </row>
        <row r="78">
          <cell r="G78">
            <v>133131.31</v>
          </cell>
        </row>
        <row r="79">
          <cell r="G79">
            <v>116631.31</v>
          </cell>
        </row>
        <row r="80">
          <cell r="G80">
            <v>122131.31</v>
          </cell>
        </row>
        <row r="81">
          <cell r="G81">
            <v>129331.31</v>
          </cell>
        </row>
        <row r="82">
          <cell r="G82">
            <v>130031.31</v>
          </cell>
        </row>
        <row r="83">
          <cell r="G83">
            <v>126931.31</v>
          </cell>
        </row>
        <row r="84">
          <cell r="G84">
            <v>126931.31</v>
          </cell>
        </row>
        <row r="85">
          <cell r="G85">
            <v>132331.31</v>
          </cell>
        </row>
        <row r="86">
          <cell r="G86">
            <v>127831.31</v>
          </cell>
        </row>
        <row r="87">
          <cell r="G87">
            <v>118531.31</v>
          </cell>
        </row>
        <row r="88">
          <cell r="G88">
            <v>122931.31</v>
          </cell>
        </row>
        <row r="89">
          <cell r="G89">
            <v>129631.31</v>
          </cell>
        </row>
        <row r="90">
          <cell r="G90">
            <v>123231.31</v>
          </cell>
        </row>
        <row r="91">
          <cell r="G91">
            <v>116431.31</v>
          </cell>
        </row>
        <row r="92">
          <cell r="G92">
            <v>119531.31</v>
          </cell>
        </row>
        <row r="93">
          <cell r="G93">
            <v>124431.31</v>
          </cell>
        </row>
        <row r="94">
          <cell r="G94">
            <v>112331.31</v>
          </cell>
        </row>
        <row r="95">
          <cell r="G95">
            <v>108931.31</v>
          </cell>
        </row>
        <row r="96">
          <cell r="G96">
            <v>113831.31</v>
          </cell>
        </row>
        <row r="97">
          <cell r="G97">
            <v>112031.31</v>
          </cell>
        </row>
        <row r="98">
          <cell r="G98">
            <v>105031.31</v>
          </cell>
        </row>
        <row r="99">
          <cell r="G99">
            <v>95731.31</v>
          </cell>
        </row>
        <row r="100">
          <cell r="G100">
            <v>102431.31</v>
          </cell>
        </row>
        <row r="101">
          <cell r="G101">
            <v>97431.31</v>
          </cell>
        </row>
        <row r="102">
          <cell r="G102">
            <v>86131.31</v>
          </cell>
        </row>
        <row r="103">
          <cell r="G103">
            <v>80731.31</v>
          </cell>
        </row>
        <row r="104">
          <cell r="G104">
            <v>91631.31</v>
          </cell>
        </row>
        <row r="105">
          <cell r="G105">
            <v>72731.31</v>
          </cell>
        </row>
        <row r="106">
          <cell r="G106">
            <v>66431.31</v>
          </cell>
        </row>
        <row r="107">
          <cell r="G107">
            <v>64531.31</v>
          </cell>
        </row>
        <row r="108">
          <cell r="G108">
            <v>65531.31</v>
          </cell>
        </row>
        <row r="109">
          <cell r="G109">
            <v>69531.31</v>
          </cell>
        </row>
        <row r="110">
          <cell r="G110">
            <v>68091.570000000007</v>
          </cell>
        </row>
        <row r="111">
          <cell r="G111">
            <v>68605.240000000005</v>
          </cell>
        </row>
        <row r="112">
          <cell r="G112">
            <v>74284.78</v>
          </cell>
        </row>
        <row r="113">
          <cell r="G113">
            <v>82698.31</v>
          </cell>
        </row>
        <row r="114">
          <cell r="G114">
            <v>77333.259999999995</v>
          </cell>
        </row>
        <row r="115">
          <cell r="G115">
            <v>76065.149999999994</v>
          </cell>
        </row>
        <row r="116">
          <cell r="G116">
            <v>76593.820000000007</v>
          </cell>
        </row>
        <row r="117">
          <cell r="G117">
            <v>78213.179999999993</v>
          </cell>
        </row>
        <row r="118">
          <cell r="G118">
            <v>69602.100000000006</v>
          </cell>
        </row>
        <row r="119">
          <cell r="G119">
            <v>72448.820000000007</v>
          </cell>
        </row>
        <row r="120">
          <cell r="G120">
            <v>84041.47</v>
          </cell>
        </row>
        <row r="121">
          <cell r="G121">
            <v>79158.63</v>
          </cell>
        </row>
        <row r="122">
          <cell r="G122">
            <v>80012.179999999993</v>
          </cell>
        </row>
        <row r="123">
          <cell r="G123">
            <v>72938.990000000005</v>
          </cell>
        </row>
        <row r="124">
          <cell r="G124">
            <v>82225.399999999994</v>
          </cell>
        </row>
        <row r="125">
          <cell r="G125">
            <v>82147.429999999993</v>
          </cell>
        </row>
        <row r="126">
          <cell r="G126">
            <v>79811.91</v>
          </cell>
        </row>
        <row r="127">
          <cell r="G127">
            <v>79526.36</v>
          </cell>
        </row>
        <row r="128">
          <cell r="G128">
            <v>72840.789999999994</v>
          </cell>
        </row>
        <row r="129">
          <cell r="G129">
            <v>70197.31</v>
          </cell>
        </row>
        <row r="130">
          <cell r="G130">
            <v>73445.09</v>
          </cell>
        </row>
        <row r="131">
          <cell r="G131">
            <v>66404.61</v>
          </cell>
        </row>
        <row r="132">
          <cell r="G132">
            <v>77108.53</v>
          </cell>
        </row>
        <row r="133">
          <cell r="G133">
            <v>92068.24</v>
          </cell>
        </row>
        <row r="134">
          <cell r="G134">
            <v>103898.99</v>
          </cell>
        </row>
        <row r="135">
          <cell r="G135">
            <v>111339.18</v>
          </cell>
        </row>
        <row r="136">
          <cell r="G136">
            <v>147917.60999999999</v>
          </cell>
        </row>
        <row r="137">
          <cell r="G137">
            <v>179904.72</v>
          </cell>
        </row>
        <row r="138">
          <cell r="G138">
            <v>195413.68</v>
          </cell>
        </row>
        <row r="139">
          <cell r="G139">
            <v>182509.61</v>
          </cell>
        </row>
        <row r="140">
          <cell r="G140">
            <v>192296.32000000001</v>
          </cell>
        </row>
        <row r="141">
          <cell r="G141">
            <v>217576.25</v>
          </cell>
        </row>
        <row r="142">
          <cell r="G142">
            <v>213902.41</v>
          </cell>
        </row>
        <row r="143">
          <cell r="G143">
            <v>200311.48</v>
          </cell>
        </row>
        <row r="144">
          <cell r="G144">
            <v>219058.96</v>
          </cell>
        </row>
        <row r="145">
          <cell r="G145">
            <v>223549.3</v>
          </cell>
        </row>
        <row r="146">
          <cell r="G146">
            <v>237594.34</v>
          </cell>
        </row>
        <row r="147">
          <cell r="G147">
            <v>229833.81</v>
          </cell>
        </row>
        <row r="148">
          <cell r="G148">
            <v>251785.03</v>
          </cell>
        </row>
        <row r="149">
          <cell r="G149">
            <v>280793.96999999997</v>
          </cell>
        </row>
        <row r="150">
          <cell r="G150">
            <v>295135.84000000003</v>
          </cell>
        </row>
        <row r="151">
          <cell r="G151">
            <v>283767.46999999997</v>
          </cell>
        </row>
        <row r="152">
          <cell r="G152">
            <v>305488.65999999997</v>
          </cell>
        </row>
        <row r="153">
          <cell r="G153">
            <v>317829.87</v>
          </cell>
        </row>
        <row r="154">
          <cell r="G154">
            <v>308566.28999999998</v>
          </cell>
        </row>
        <row r="155">
          <cell r="G155">
            <v>300378.82</v>
          </cell>
        </row>
        <row r="156">
          <cell r="G156">
            <v>292419.18</v>
          </cell>
        </row>
        <row r="157">
          <cell r="G157">
            <v>306600</v>
          </cell>
        </row>
        <row r="158">
          <cell r="G158">
            <v>288200</v>
          </cell>
        </row>
        <row r="159">
          <cell r="G159">
            <v>285400</v>
          </cell>
        </row>
        <row r="160">
          <cell r="G160">
            <v>283100</v>
          </cell>
        </row>
        <row r="161">
          <cell r="G161">
            <v>284500</v>
          </cell>
        </row>
        <row r="162">
          <cell r="G162">
            <v>266600</v>
          </cell>
        </row>
        <row r="163">
          <cell r="G163">
            <v>245000</v>
          </cell>
        </row>
        <row r="164">
          <cell r="G164">
            <v>246800</v>
          </cell>
        </row>
        <row r="165">
          <cell r="G165">
            <v>250300</v>
          </cell>
        </row>
        <row r="166">
          <cell r="G166">
            <v>235300</v>
          </cell>
        </row>
        <row r="167">
          <cell r="G167">
            <v>221800</v>
          </cell>
        </row>
        <row r="168">
          <cell r="G168">
            <v>219000</v>
          </cell>
        </row>
        <row r="169">
          <cell r="G169">
            <v>223500</v>
          </cell>
        </row>
        <row r="170">
          <cell r="G170">
            <v>219282.45</v>
          </cell>
        </row>
        <row r="171">
          <cell r="G171">
            <v>181020.85</v>
          </cell>
        </row>
        <row r="172">
          <cell r="G172">
            <v>196490.08</v>
          </cell>
        </row>
        <row r="173">
          <cell r="G173">
            <v>202691.47</v>
          </cell>
        </row>
        <row r="174">
          <cell r="G174">
            <v>187799.03</v>
          </cell>
        </row>
        <row r="175">
          <cell r="G175">
            <v>163999.84</v>
          </cell>
        </row>
        <row r="176">
          <cell r="G176">
            <v>159965.99</v>
          </cell>
        </row>
        <row r="177">
          <cell r="G177">
            <v>154900</v>
          </cell>
        </row>
        <row r="178">
          <cell r="G178">
            <v>161201.97</v>
          </cell>
        </row>
        <row r="179">
          <cell r="G179">
            <v>158532.16</v>
          </cell>
        </row>
        <row r="180">
          <cell r="G180">
            <v>163622.69</v>
          </cell>
        </row>
        <row r="181">
          <cell r="G181">
            <v>177115.07</v>
          </cell>
        </row>
        <row r="182">
          <cell r="G182">
            <v>156171.22</v>
          </cell>
        </row>
        <row r="183">
          <cell r="G183">
            <v>179549.8</v>
          </cell>
        </row>
        <row r="184">
          <cell r="G184">
            <v>173019.96000000002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I38"/>
  <sheetViews>
    <sheetView tabSelected="1" topLeftCell="BB1" workbookViewId="0">
      <selection activeCell="BN49" sqref="BN49"/>
    </sheetView>
  </sheetViews>
  <sheetFormatPr baseColWidth="10" defaultRowHeight="15" x14ac:dyDescent="0.25"/>
  <cols>
    <col min="1" max="1" width="7.140625" style="1" bestFit="1" customWidth="1"/>
    <col min="2" max="2" width="7.28515625" style="1" bestFit="1" customWidth="1"/>
    <col min="3" max="3" width="8.42578125" style="1" bestFit="1" customWidth="1"/>
    <col min="4" max="5" width="7.85546875" style="1" bestFit="1" customWidth="1"/>
    <col min="6" max="6" width="7.28515625" style="1" bestFit="1" customWidth="1"/>
    <col min="7" max="7" width="8.42578125" style="1" bestFit="1" customWidth="1"/>
    <col min="8" max="8" width="7.7109375" style="1" bestFit="1" customWidth="1"/>
    <col min="9" max="9" width="7.85546875" style="1" bestFit="1" customWidth="1"/>
    <col min="10" max="10" width="7.28515625" style="1" bestFit="1" customWidth="1"/>
    <col min="11" max="11" width="8.42578125" style="1" bestFit="1" customWidth="1"/>
    <col min="12" max="12" width="7.7109375" style="1" bestFit="1" customWidth="1"/>
    <col min="13" max="13" width="7.85546875" style="1" bestFit="1" customWidth="1"/>
    <col min="14" max="14" width="7.28515625" style="1" bestFit="1" customWidth="1"/>
    <col min="15" max="15" width="8.42578125" style="1" bestFit="1" customWidth="1"/>
    <col min="16" max="18" width="7.85546875" style="1" bestFit="1" customWidth="1"/>
    <col min="19" max="19" width="8.42578125" style="1" bestFit="1" customWidth="1"/>
    <col min="20" max="22" width="7.85546875" style="1" bestFit="1" customWidth="1"/>
    <col min="23" max="23" width="8.42578125" style="1" bestFit="1" customWidth="1"/>
    <col min="24" max="24" width="7.7109375" style="1" bestFit="1" customWidth="1"/>
    <col min="25" max="25" width="7.85546875" style="1" bestFit="1" customWidth="1"/>
    <col min="26" max="26" width="7.5703125" style="1" bestFit="1" customWidth="1"/>
    <col min="27" max="27" width="8.42578125" style="1" bestFit="1" customWidth="1"/>
    <col min="28" max="28" width="7.7109375" style="1" bestFit="1" customWidth="1"/>
    <col min="29" max="29" width="7.85546875" style="1" bestFit="1" customWidth="1"/>
    <col min="30" max="30" width="7.5703125" style="1" bestFit="1" customWidth="1"/>
    <col min="31" max="31" width="8.42578125" style="1" bestFit="1" customWidth="1"/>
    <col min="32" max="32" width="7.7109375" style="1" bestFit="1" customWidth="1"/>
    <col min="33" max="33" width="7.85546875" style="1" bestFit="1" customWidth="1"/>
    <col min="34" max="34" width="7.5703125" style="1" bestFit="1" customWidth="1"/>
    <col min="35" max="35" width="8.42578125" style="1" bestFit="1" customWidth="1"/>
    <col min="36" max="36" width="7.7109375" style="1" bestFit="1" customWidth="1"/>
    <col min="37" max="37" width="7.85546875" style="1" bestFit="1" customWidth="1"/>
    <col min="38" max="38" width="7.5703125" style="1" bestFit="1" customWidth="1"/>
    <col min="39" max="39" width="8.42578125" style="1" bestFit="1" customWidth="1"/>
    <col min="40" max="40" width="7.7109375" style="1" bestFit="1" customWidth="1"/>
    <col min="41" max="41" width="7.85546875" style="1" bestFit="1" customWidth="1"/>
    <col min="42" max="42" width="7.5703125" style="1" bestFit="1" customWidth="1"/>
    <col min="43" max="43" width="8.42578125" style="1" bestFit="1" customWidth="1"/>
    <col min="44" max="44" width="7.7109375" style="1" bestFit="1" customWidth="1"/>
    <col min="45" max="45" width="7.85546875" style="1" bestFit="1" customWidth="1"/>
    <col min="46" max="46" width="7.5703125" style="1" bestFit="1" customWidth="1"/>
    <col min="47" max="47" width="8.42578125" style="1" bestFit="1" customWidth="1"/>
    <col min="48" max="48" width="7.7109375" style="1" bestFit="1" customWidth="1"/>
    <col min="49" max="49" width="7.85546875" style="1" bestFit="1" customWidth="1"/>
    <col min="50" max="50" width="7.5703125" style="1" bestFit="1" customWidth="1"/>
    <col min="51" max="51" width="8.42578125" style="1" bestFit="1" customWidth="1"/>
    <col min="52" max="52" width="7.7109375" style="1" bestFit="1" customWidth="1"/>
    <col min="53" max="53" width="7.85546875" style="1" bestFit="1" customWidth="1"/>
    <col min="54" max="54" width="7.5703125" style="1" bestFit="1" customWidth="1"/>
    <col min="55" max="55" width="8.42578125" style="1" bestFit="1" customWidth="1"/>
    <col min="56" max="56" width="7.7109375" style="1" bestFit="1" customWidth="1"/>
    <col min="57" max="57" width="7.85546875" style="1" bestFit="1" customWidth="1"/>
    <col min="58" max="58" width="7.5703125" style="1" bestFit="1" customWidth="1"/>
    <col min="59" max="59" width="8.42578125" style="1" bestFit="1" customWidth="1"/>
    <col min="60" max="60" width="7.7109375" style="1" bestFit="1" customWidth="1"/>
    <col min="61" max="62" width="7.85546875" style="1" bestFit="1" customWidth="1"/>
    <col min="63" max="63" width="8.42578125" style="1" bestFit="1" customWidth="1"/>
    <col min="64" max="65" width="7.85546875" style="1" bestFit="1" customWidth="1"/>
    <col min="66" max="66" width="7.5703125" style="1" bestFit="1" customWidth="1"/>
    <col min="67" max="67" width="8.42578125" style="1" bestFit="1" customWidth="1"/>
    <col min="68" max="69" width="7.85546875" style="1" bestFit="1" customWidth="1"/>
    <col min="70" max="70" width="7.285156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7.140625" style="1" bestFit="1" customWidth="1"/>
    <col min="124" max="124" width="8.5703125" style="1" bestFit="1" customWidth="1"/>
    <col min="125" max="125" width="9.140625" style="1" bestFit="1" customWidth="1"/>
    <col min="126" max="126" width="7.140625" style="1" bestFit="1" customWidth="1"/>
    <col min="127" max="127" width="17.85546875" style="1" bestFit="1" customWidth="1"/>
    <col min="128" max="128" width="7.14062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79957.292577770655</v>
      </c>
      <c r="C3" s="1">
        <v>73410.208701169293</v>
      </c>
      <c r="D3" s="1">
        <v>66445.249551093701</v>
      </c>
      <c r="E3" s="1">
        <v>76142.913859049921</v>
      </c>
      <c r="F3" s="1">
        <v>86053.794369137482</v>
      </c>
      <c r="G3" s="1">
        <v>75544.019172471002</v>
      </c>
      <c r="H3" s="1">
        <v>78623.90871588554</v>
      </c>
      <c r="I3" s="1">
        <v>78526.696580231001</v>
      </c>
      <c r="J3" s="1">
        <v>82752.575390751357</v>
      </c>
      <c r="K3" s="1">
        <v>77818.081266787049</v>
      </c>
      <c r="L3" s="1">
        <v>77642.61099735921</v>
      </c>
      <c r="M3" s="1">
        <v>86256.715802128543</v>
      </c>
      <c r="N3" s="1">
        <v>74264.153598833494</v>
      </c>
      <c r="O3" s="1">
        <v>66121.383255069057</v>
      </c>
      <c r="P3" s="1">
        <v>70471.482082173185</v>
      </c>
      <c r="Q3" s="1">
        <v>69738.297587845824</v>
      </c>
      <c r="R3" s="1">
        <v>76378.400275847991</v>
      </c>
      <c r="S3" s="1">
        <v>89644.5731560516</v>
      </c>
      <c r="T3" s="1">
        <v>100826.33223694708</v>
      </c>
      <c r="U3" s="1">
        <v>120292.99684537738</v>
      </c>
      <c r="V3" s="1">
        <v>159639.14522505825</v>
      </c>
      <c r="W3" s="1">
        <v>195777.70295504201</v>
      </c>
      <c r="X3" s="1">
        <v>214424.87361985829</v>
      </c>
      <c r="Y3" s="1">
        <v>199882.64493149112</v>
      </c>
      <c r="Z3" s="1">
        <v>201208.30172924497</v>
      </c>
      <c r="AA3" s="1">
        <v>225895.23145744385</v>
      </c>
      <c r="AB3" s="1">
        <v>210777.42629555159</v>
      </c>
      <c r="AC3" s="1">
        <v>214255.05539174643</v>
      </c>
      <c r="AD3" s="1">
        <v>231046.19083455167</v>
      </c>
      <c r="AE3" s="1">
        <v>221718.7823555372</v>
      </c>
      <c r="AF3" s="1">
        <v>232996.39245055587</v>
      </c>
      <c r="AG3" s="1">
        <v>248538.34125847026</v>
      </c>
      <c r="AH3" s="1">
        <v>265556.61021494382</v>
      </c>
      <c r="AI3" s="1">
        <v>287571.41972525098</v>
      </c>
      <c r="AJ3" s="1">
        <v>292347.37937309261</v>
      </c>
      <c r="AK3" s="1">
        <v>306998.64020392299</v>
      </c>
      <c r="AL3" s="1">
        <v>324588.49542144721</v>
      </c>
      <c r="AM3" s="1">
        <v>321571.83928585798</v>
      </c>
      <c r="AN3" s="1">
        <v>294586.69047871558</v>
      </c>
      <c r="AO3" s="1">
        <v>318617.18278506736</v>
      </c>
      <c r="AP3" s="1">
        <v>299055.0167989668</v>
      </c>
      <c r="AQ3" s="1">
        <v>298966.81364977389</v>
      </c>
      <c r="AR3" s="1">
        <v>273103.29281891003</v>
      </c>
      <c r="AS3" s="1">
        <v>297144.30170290353</v>
      </c>
      <c r="AT3" s="1">
        <v>290648.55995527341</v>
      </c>
      <c r="AU3" s="1">
        <v>276176.5827052308</v>
      </c>
      <c r="AV3" s="1">
        <v>251192.49732909445</v>
      </c>
      <c r="AW3" s="1">
        <v>246138.41605974128</v>
      </c>
      <c r="AX3" s="1">
        <v>249755.41763668624</v>
      </c>
      <c r="AY3" s="1">
        <v>239827.45840737113</v>
      </c>
      <c r="AZ3" s="1">
        <v>220346.50969422789</v>
      </c>
      <c r="BA3" s="1">
        <v>226335.04607899784</v>
      </c>
      <c r="BB3" s="1">
        <v>225264.87087197119</v>
      </c>
      <c r="BC3" s="1">
        <v>212838.62903800263</v>
      </c>
      <c r="BD3" s="1">
        <v>206661.80049556924</v>
      </c>
      <c r="BE3" s="1">
        <v>183720.87111099204</v>
      </c>
      <c r="BF3" s="1">
        <v>198890.63735567936</v>
      </c>
      <c r="BG3" s="1">
        <v>193993.43197481259</v>
      </c>
      <c r="BH3" s="1">
        <v>174529.98029023671</v>
      </c>
      <c r="BI3" s="1">
        <v>167944.33858347661</v>
      </c>
      <c r="BJ3" s="1">
        <v>160757.34342375322</v>
      </c>
      <c r="BK3" s="1">
        <v>143116.58981739491</v>
      </c>
      <c r="BL3" s="1">
        <v>147559.90745360893</v>
      </c>
      <c r="BM3" s="1">
        <v>165975.80030168453</v>
      </c>
      <c r="BN3" s="1">
        <v>171975.60677368598</v>
      </c>
      <c r="BO3" s="1">
        <v>175891.02970523597</v>
      </c>
      <c r="BP3" s="1">
        <v>145871.39587621921</v>
      </c>
      <c r="BQ3" s="1">
        <v>186781.46212569508</v>
      </c>
      <c r="BR3" s="1">
        <v>183838.84418311791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75501.468449761378</v>
      </c>
      <c r="C4" s="1">
        <v>70713.262473436655</v>
      </c>
      <c r="D4" s="1">
        <v>70214.792367053218</v>
      </c>
      <c r="E4" s="1">
        <v>78647.253030078311</v>
      </c>
      <c r="F4" s="1">
        <v>81617.639718553561</v>
      </c>
      <c r="G4" s="1">
        <v>73851.043194956379</v>
      </c>
      <c r="H4" s="1">
        <v>85249.873204048054</v>
      </c>
      <c r="I4" s="1">
        <v>79667.275258090231</v>
      </c>
      <c r="J4" s="1">
        <v>78902.490358499781</v>
      </c>
      <c r="K4" s="1">
        <v>75563.467806618079</v>
      </c>
      <c r="L4" s="1">
        <v>84056.132830254734</v>
      </c>
      <c r="M4" s="1">
        <v>87175.426990193781</v>
      </c>
      <c r="N4" s="1">
        <v>70081.22352181813</v>
      </c>
      <c r="O4" s="1">
        <v>64123.558451646953</v>
      </c>
      <c r="P4" s="1">
        <v>74046.688368241696</v>
      </c>
      <c r="Q4" s="1">
        <v>69505.034364185209</v>
      </c>
      <c r="R4" s="1">
        <v>75122.374626549776</v>
      </c>
      <c r="S4" s="1">
        <v>87254.655006810164</v>
      </c>
      <c r="T4" s="1">
        <v>105758.62029925463</v>
      </c>
      <c r="U4" s="1">
        <v>127550.10211498407</v>
      </c>
      <c r="V4" s="1">
        <v>168141.38630142354</v>
      </c>
      <c r="W4" s="1">
        <v>210828.31272688272</v>
      </c>
      <c r="X4" s="1">
        <v>242017.69973459555</v>
      </c>
      <c r="Y4" s="1">
        <v>210750.8522259263</v>
      </c>
      <c r="Z4" s="1">
        <v>202012.07661980414</v>
      </c>
      <c r="AA4" s="1">
        <v>228554.90562047204</v>
      </c>
      <c r="AB4" s="1">
        <v>225801.34825093733</v>
      </c>
      <c r="AC4" s="1">
        <v>224160.58701573708</v>
      </c>
      <c r="AD4" s="1">
        <v>232713.46868335537</v>
      </c>
      <c r="AE4" s="1">
        <v>213982.82467239758</v>
      </c>
      <c r="AF4" s="1">
        <v>251969.91971428983</v>
      </c>
      <c r="AG4" s="1">
        <v>262587.5479733409</v>
      </c>
      <c r="AH4" s="1">
        <v>267864.5058227866</v>
      </c>
      <c r="AI4" s="1">
        <v>281587.15310403961</v>
      </c>
      <c r="AJ4" s="1">
        <v>313850.72111698682</v>
      </c>
      <c r="AK4" s="1">
        <v>322837.55831075896</v>
      </c>
      <c r="AL4" s="1">
        <v>332709.93489560077</v>
      </c>
      <c r="AM4" s="1">
        <v>309678.43250575685</v>
      </c>
      <c r="AN4" s="1">
        <v>316768.1427970326</v>
      </c>
      <c r="AO4" s="1">
        <v>331452.55318449641</v>
      </c>
      <c r="AP4" s="1">
        <v>295542.17099728761</v>
      </c>
      <c r="AQ4" s="1">
        <v>285558.05935628293</v>
      </c>
      <c r="AR4" s="1">
        <v>285336.53258692479</v>
      </c>
      <c r="AS4" s="1">
        <v>309894.24826943676</v>
      </c>
      <c r="AT4" s="1">
        <v>282669.45552147535</v>
      </c>
      <c r="AU4" s="1">
        <v>258330.73647561582</v>
      </c>
      <c r="AV4" s="1">
        <v>258908.44922520508</v>
      </c>
      <c r="AW4" s="1">
        <v>248098.03925593698</v>
      </c>
      <c r="AX4" s="1">
        <v>239027.65404270875</v>
      </c>
      <c r="AY4" s="1">
        <v>225070.26111397176</v>
      </c>
      <c r="AZ4" s="1">
        <v>224813.4166732555</v>
      </c>
      <c r="BA4" s="1">
        <v>232057.04321209871</v>
      </c>
      <c r="BB4" s="1">
        <v>215059.79240000015</v>
      </c>
      <c r="BC4" s="1">
        <v>199729.17014586992</v>
      </c>
      <c r="BD4" s="1">
        <v>212727.03165117692</v>
      </c>
      <c r="BE4" s="1">
        <v>185573.74855991744</v>
      </c>
      <c r="BF4" s="1">
        <v>190749.57815593906</v>
      </c>
      <c r="BG4" s="1">
        <v>179346.38167896657</v>
      </c>
      <c r="BH4" s="1">
        <v>180388.59287299437</v>
      </c>
      <c r="BI4" s="1">
        <v>169414.90714413035</v>
      </c>
      <c r="BJ4" s="1">
        <v>152148.90085631947</v>
      </c>
      <c r="BK4" s="1">
        <v>128156.55164874269</v>
      </c>
      <c r="BL4" s="1">
        <v>152736.26193739375</v>
      </c>
      <c r="BM4" s="1">
        <v>172636.76302784198</v>
      </c>
      <c r="BN4" s="1">
        <v>169856.80827114155</v>
      </c>
      <c r="BO4" s="1">
        <v>167602.13942993688</v>
      </c>
      <c r="BP4" s="1">
        <v>149135.16009517235</v>
      </c>
      <c r="BQ4" s="1">
        <v>200329.83769088209</v>
      </c>
      <c r="BR4" s="1">
        <v>179054.31139051716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72587.612749706575</v>
      </c>
      <c r="C5" s="1">
        <v>74589.640553041012</v>
      </c>
      <c r="D5" s="1">
        <v>71420.175459637539</v>
      </c>
      <c r="E5" s="1">
        <v>73509.6644121141</v>
      </c>
      <c r="F5" s="1">
        <v>80450.123015961639</v>
      </c>
      <c r="G5" s="1">
        <v>79252.155397562048</v>
      </c>
      <c r="H5" s="1">
        <v>85363.914979967696</v>
      </c>
      <c r="I5" s="1">
        <v>75525.332975459984</v>
      </c>
      <c r="J5" s="1">
        <v>76447.267301604385</v>
      </c>
      <c r="K5" s="1">
        <v>81771.189023938379</v>
      </c>
      <c r="L5" s="1">
        <v>84907.556846444902</v>
      </c>
      <c r="M5" s="1">
        <v>82997.454953796638</v>
      </c>
      <c r="N5" s="1">
        <v>68065.509474705177</v>
      </c>
      <c r="O5" s="1">
        <v>66558.568148917519</v>
      </c>
      <c r="P5" s="1">
        <v>73450.922294323536</v>
      </c>
      <c r="Q5" s="1">
        <v>67618.956215119149</v>
      </c>
      <c r="R5" s="1">
        <v>72167.589647411747</v>
      </c>
      <c r="S5" s="1">
        <v>91742.851113332494</v>
      </c>
      <c r="T5" s="1">
        <v>109977.00170215976</v>
      </c>
      <c r="U5" s="1">
        <v>128870.59579774582</v>
      </c>
      <c r="V5" s="1">
        <v>174407.49700124015</v>
      </c>
      <c r="W5" s="1">
        <v>241555.46433173417</v>
      </c>
      <c r="X5" s="1">
        <v>263417.81717220583</v>
      </c>
      <c r="Y5" s="1">
        <v>216209.19270198059</v>
      </c>
      <c r="Z5" s="1">
        <v>198618.87296467175</v>
      </c>
      <c r="AA5" s="1">
        <v>238425.45613746333</v>
      </c>
      <c r="AB5" s="1">
        <v>240010.46278722747</v>
      </c>
      <c r="AC5" s="1">
        <v>223415.74188593245</v>
      </c>
      <c r="AD5" s="1">
        <v>226727.59738324478</v>
      </c>
      <c r="AE5" s="1">
        <v>226946.69232520921</v>
      </c>
      <c r="AF5" s="1">
        <v>266544.50050818338</v>
      </c>
      <c r="AG5" s="1">
        <v>266488.11741002649</v>
      </c>
      <c r="AH5" s="1">
        <v>262097.50412301513</v>
      </c>
      <c r="AI5" s="1">
        <v>305469.84881292761</v>
      </c>
      <c r="AJ5" s="1">
        <v>332438.71153944812</v>
      </c>
      <c r="AK5" s="1">
        <v>323574.02438389475</v>
      </c>
      <c r="AL5" s="1">
        <v>325094.51645064761</v>
      </c>
      <c r="AM5" s="1">
        <v>330165.56929792045</v>
      </c>
      <c r="AN5" s="1">
        <v>326898.47787298169</v>
      </c>
      <c r="AO5" s="1">
        <v>330166.38340845658</v>
      </c>
      <c r="AP5" s="1">
        <v>282950.10948815889</v>
      </c>
      <c r="AQ5" s="1">
        <v>303391.38484939619</v>
      </c>
      <c r="AR5" s="1">
        <v>288957.49298660323</v>
      </c>
      <c r="AS5" s="1">
        <v>305010.29019783495</v>
      </c>
      <c r="AT5" s="1">
        <v>273063.45249627263</v>
      </c>
      <c r="AU5" s="1">
        <v>263456.45248607919</v>
      </c>
      <c r="AV5" s="1">
        <v>259180.25801119945</v>
      </c>
      <c r="AW5" s="1">
        <v>237159.93735134683</v>
      </c>
      <c r="AX5" s="1">
        <v>226456.09308096766</v>
      </c>
      <c r="AY5" s="1">
        <v>229913.07064801117</v>
      </c>
      <c r="AZ5" s="1">
        <v>227661.54548804293</v>
      </c>
      <c r="BA5" s="1">
        <v>223191.12174383728</v>
      </c>
      <c r="BB5" s="1">
        <v>201932.81552552572</v>
      </c>
      <c r="BC5" s="1">
        <v>204582.28411243457</v>
      </c>
      <c r="BD5" s="1">
        <v>220220.0284049238</v>
      </c>
      <c r="BE5" s="1">
        <v>173424.28973337985</v>
      </c>
      <c r="BF5" s="1">
        <v>176789.05993220449</v>
      </c>
      <c r="BG5" s="1">
        <v>187335.62715538335</v>
      </c>
      <c r="BH5" s="1">
        <v>185227.04389652272</v>
      </c>
      <c r="BI5" s="1">
        <v>161166.97220482383</v>
      </c>
      <c r="BJ5" s="1">
        <v>134486.83681128817</v>
      </c>
      <c r="BK5" s="1">
        <v>128692.62406767238</v>
      </c>
      <c r="BL5" s="1">
        <v>156888.15729058068</v>
      </c>
      <c r="BM5" s="1">
        <v>169657.8822055331</v>
      </c>
      <c r="BN5" s="1">
        <v>162905.12920683314</v>
      </c>
      <c r="BO5" s="1">
        <v>176322.47263184568</v>
      </c>
      <c r="BP5" s="1">
        <v>155720.3181396664</v>
      </c>
      <c r="BQ5" s="1">
        <v>197988.18664378289</v>
      </c>
      <c r="BR5" s="1">
        <v>175387.01983321353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76394.483691126326</v>
      </c>
      <c r="C6" s="1">
        <v>77030.808815388096</v>
      </c>
      <c r="D6" s="1">
        <v>65870.65852161072</v>
      </c>
      <c r="E6" s="1">
        <v>72232.847422982886</v>
      </c>
      <c r="F6" s="1">
        <v>86278.237594424543</v>
      </c>
      <c r="G6" s="1">
        <v>79738.524119747788</v>
      </c>
      <c r="H6" s="1">
        <v>81841.541848462715</v>
      </c>
      <c r="I6" s="1">
        <v>72916.104989936022</v>
      </c>
      <c r="J6" s="1">
        <v>82115.847707112072</v>
      </c>
      <c r="K6" s="1">
        <v>82270.274386563135</v>
      </c>
      <c r="L6" s="1">
        <v>80897.709578761103</v>
      </c>
      <c r="M6" s="1">
        <v>81047.031569760293</v>
      </c>
      <c r="N6" s="1">
        <v>70240.550766017113</v>
      </c>
      <c r="O6" s="1">
        <v>65563.450582888763</v>
      </c>
      <c r="P6" s="1">
        <v>72083.647521719904</v>
      </c>
      <c r="Q6" s="1">
        <v>64799.486326320402</v>
      </c>
      <c r="R6" s="1">
        <v>77042.725974006258</v>
      </c>
      <c r="S6" s="1">
        <v>95259.076386532688</v>
      </c>
      <c r="T6" s="1">
        <v>109336.06582176214</v>
      </c>
      <c r="U6" s="1">
        <v>126524.74229295042</v>
      </c>
      <c r="V6" s="1">
        <v>188792.05287003185</v>
      </c>
      <c r="W6" s="1">
        <v>265179.49266657268</v>
      </c>
      <c r="X6" s="1">
        <v>277239.09503071115</v>
      </c>
      <c r="Y6" s="1">
        <v>211401.33886421396</v>
      </c>
      <c r="Z6" s="1">
        <v>210865.99161074846</v>
      </c>
      <c r="AA6" s="1">
        <v>254177.72139060206</v>
      </c>
      <c r="AB6" s="1">
        <v>239789.90954888266</v>
      </c>
      <c r="AC6" s="1">
        <v>217513.62266051944</v>
      </c>
      <c r="AD6" s="1">
        <v>241342.3894349281</v>
      </c>
      <c r="AE6" s="1">
        <v>236434.12480319839</v>
      </c>
      <c r="AF6" s="1">
        <v>267304.69082705071</v>
      </c>
      <c r="AG6" s="1">
        <v>260051.45308761447</v>
      </c>
      <c r="AH6" s="1">
        <v>279052.44394976331</v>
      </c>
      <c r="AI6" s="1">
        <v>321757.2966965771</v>
      </c>
      <c r="AJ6" s="1">
        <v>340111.26244961791</v>
      </c>
      <c r="AK6" s="1">
        <v>310733.89579238428</v>
      </c>
      <c r="AL6" s="1">
        <v>347335.39094515756</v>
      </c>
      <c r="AM6" s="1">
        <v>347406.80432549969</v>
      </c>
      <c r="AN6" s="1">
        <v>322351.90285775217</v>
      </c>
      <c r="AO6" s="1">
        <v>320072.4844905386</v>
      </c>
      <c r="AP6" s="1">
        <v>291386.42219893367</v>
      </c>
      <c r="AQ6" s="1">
        <v>311993.21989413438</v>
      </c>
      <c r="AR6" s="1">
        <v>282832.26937744324</v>
      </c>
      <c r="AS6" s="1">
        <v>297226.07885110326</v>
      </c>
      <c r="AT6" s="1">
        <v>274367.53312580107</v>
      </c>
      <c r="AU6" s="1">
        <v>269065.03130753996</v>
      </c>
      <c r="AV6" s="1">
        <v>248373.38327149447</v>
      </c>
      <c r="AW6" s="1">
        <v>222374.76852171181</v>
      </c>
      <c r="AX6" s="1">
        <v>229389.01938741878</v>
      </c>
      <c r="AY6" s="1">
        <v>235957.3085673179</v>
      </c>
      <c r="AZ6" s="1">
        <v>219313.84437475924</v>
      </c>
      <c r="BA6" s="1">
        <v>210700.67407745728</v>
      </c>
      <c r="BB6" s="1">
        <v>205085.62523953809</v>
      </c>
      <c r="BC6" s="1">
        <v>208167.79551541316</v>
      </c>
      <c r="BD6" s="1">
        <v>213731.58146165649</v>
      </c>
      <c r="BE6" s="1">
        <v>156956.92131493447</v>
      </c>
      <c r="BF6" s="1">
        <v>183445.32325628458</v>
      </c>
      <c r="BG6" s="1">
        <v>194218.08800117619</v>
      </c>
      <c r="BH6" s="1">
        <v>178530.04357197066</v>
      </c>
      <c r="BI6" s="1">
        <v>147723.93652287521</v>
      </c>
      <c r="BJ6" s="1">
        <v>137797.87995004118</v>
      </c>
      <c r="BK6" s="1">
        <v>128299.045502983</v>
      </c>
      <c r="BL6" s="1">
        <v>152439.73329648137</v>
      </c>
      <c r="BM6" s="1">
        <v>159907.69116633802</v>
      </c>
      <c r="BN6" s="1">
        <v>168521.30113059934</v>
      </c>
      <c r="BO6" s="1">
        <v>184571.28723693447</v>
      </c>
      <c r="BP6" s="1">
        <v>148731.7985458755</v>
      </c>
      <c r="BQ6" s="1">
        <v>194884.80735742109</v>
      </c>
      <c r="BR6" s="1">
        <v>180612.48326817551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9</v>
      </c>
      <c r="DX12" s="16">
        <v>1</v>
      </c>
      <c r="GI12" s="1"/>
    </row>
    <row r="13" spans="1:191" x14ac:dyDescent="0.25">
      <c r="A13" s="4">
        <v>1</v>
      </c>
      <c r="B13" s="8">
        <f ca="1">IF(OR(B3="",B$11&lt;$A13),"",B3/OFFSET(ParoEPACLM!$A$80,MATCH(B$12,ParoEPACLM!$A$80:$A$500)+$A13-1,1)-1)</f>
        <v>2.2299471492792655E-2</v>
      </c>
      <c r="C13" s="8">
        <f ca="1">IF(OR(C3="",C$11&lt;$A13),"",C3/OFFSET(ParoEPACLM!$A$80,MATCH(C$12,ParoEPACLM!$A$80:$A$500)+$A13-1,1)-1)</f>
        <v>5.4712554666731084E-2</v>
      </c>
      <c r="D13" s="8">
        <f ca="1">IF(OR(D3="",D$11&lt;$A13),"",D3/OFFSET(ParoEPACLM!$A$80,MATCH(D$12,ParoEPACLM!$A$80:$A$500)+$A13-1,1)-1)</f>
        <v>-8.2866366200392338E-2</v>
      </c>
      <c r="E13" s="8">
        <f ca="1">IF(OR(E3="",E$11&lt;$A13),"",E3/OFFSET(ParoEPACLM!$A$80,MATCH(E$12,ParoEPACLM!$A$80:$A$500)+$A13-1,1)-1)</f>
        <v>-9.3984031228274367E-2</v>
      </c>
      <c r="F13" s="8">
        <f ca="1">IF(OR(F3="",F$11&lt;$A13),"",F3/OFFSET(ParoEPACLM!$A$80,MATCH(F$12,ParoEPACLM!$A$80:$A$500)+$A13-1,1)-1)</f>
        <v>8.710565568324613E-2</v>
      </c>
      <c r="G13" s="8">
        <f ca="1">IF(OR(G3="",G$11&lt;$A13),"",G3/OFFSET(ParoEPACLM!$A$80,MATCH(G$12,ParoEPACLM!$A$80:$A$500)+$A13-1,1)-1)</f>
        <v>-5.5843508169993505E-2</v>
      </c>
      <c r="H13" s="8">
        <f ca="1">IF(OR(H3="",H$11&lt;$A13),"",H3/OFFSET(ParoEPACLM!$A$80,MATCH(H$12,ParoEPACLM!$A$80:$A$500)+$A13-1,1)-1)</f>
        <v>7.7940738086523131E-2</v>
      </c>
      <c r="I13" s="8">
        <f ca="1">IF(OR(I3="",I$11&lt;$A13),"",I3/OFFSET(ParoEPACLM!$A$80,MATCH(I$12,ParoEPACLM!$A$80:$A$500)+$A13-1,1)-1)</f>
        <v>-4.4982492268435204E-2</v>
      </c>
      <c r="J13" s="8">
        <f ca="1">IF(OR(J3="",J$11&lt;$A13),"",J3/OFFSET(ParoEPACLM!$A$80,MATCH(J$12,ParoEPACLM!$A$80:$A$500)+$A13-1,1)-1)</f>
        <v>7.366577271515018E-3</v>
      </c>
      <c r="K13" s="8">
        <f ca="1">IF(OR(K3="",K$11&lt;$A13),"",K3/OFFSET(ParoEPACLM!$A$80,MATCH(K$12,ParoEPACLM!$A$80:$A$500)+$A13-1,1)-1)</f>
        <v>-2.4981594015391351E-2</v>
      </c>
      <c r="L13" s="8">
        <f ca="1">IF(OR(L3="",L$11&lt;$A13),"",L3/OFFSET(ParoEPACLM!$A$80,MATCH(L$12,ParoEPACLM!$A$80:$A$500)+$A13-1,1)-1)</f>
        <v>-2.3687102020522377E-2</v>
      </c>
      <c r="M13" s="8">
        <f ca="1">IF(OR(M3="",M$11&lt;$A13),"",M3/OFFSET(ParoEPACLM!$A$80,MATCH(M$12,ParoEPACLM!$A$80:$A$500)+$A13-1,1)-1)</f>
        <v>0.18418149778617932</v>
      </c>
      <c r="N13" s="8">
        <f ca="1">IF(OR(N3="",N$11&lt;$A13),"",N3/OFFSET(ParoEPACLM!$A$80,MATCH(N$12,ParoEPACLM!$A$80:$A$500)+$A13-1,1)-1)</f>
        <v>5.7934464993508961E-2</v>
      </c>
      <c r="O13" s="8">
        <f ca="1">IF(OR(O3="",O$11&lt;$A13),"",O3/OFFSET(ParoEPACLM!$A$80,MATCH(O$12,ParoEPACLM!$A$80:$A$500)+$A13-1,1)-1)</f>
        <v>-9.9716764523413937E-2</v>
      </c>
      <c r="P13" s="8">
        <f ca="1">IF(OR(P3="",P$11&lt;$A13),"",P3/OFFSET(ParoEPACLM!$A$80,MATCH(P$12,ParoEPACLM!$A$80:$A$500)+$A13-1,1)-1)</f>
        <v>6.124382150837393E-2</v>
      </c>
      <c r="Q13" s="8">
        <f ca="1">IF(OR(Q3="",Q$11&lt;$A13),"",Q3/OFFSET(ParoEPACLM!$A$80,MATCH(Q$12,ParoEPACLM!$A$80:$A$500)+$A13-1,1)-1)</f>
        <v>-9.5582582266244387E-2</v>
      </c>
      <c r="R13" s="8">
        <f ca="1">IF(OR(R3="",R$11&lt;$A13),"",R3/OFFSET(ParoEPACLM!$A$80,MATCH(R$12,ParoEPACLM!$A$80:$A$500)+$A13-1,1)-1)</f>
        <v>-0.17041533241161133</v>
      </c>
      <c r="S13" s="8">
        <f ca="1">IF(OR(S3="",S$11&lt;$A13),"",S3/OFFSET(ParoEPACLM!$A$80,MATCH(S$12,ParoEPACLM!$A$80:$A$500)+$A13-1,1)-1)</f>
        <v>-0.13719495101875778</v>
      </c>
      <c r="T13" s="8">
        <f ca="1">IF(OR(T3="",T$11&lt;$A13),"",T3/OFFSET(ParoEPACLM!$A$80,MATCH(T$12,ParoEPACLM!$A$80:$A$500)+$A13-1,1)-1)</f>
        <v>-9.4421817755914073E-2</v>
      </c>
      <c r="U13" s="8">
        <f ca="1">IF(OR(U3="",U$11&lt;$A13),"",U3/OFFSET(ParoEPACLM!$A$80,MATCH(U$12,ParoEPACLM!$A$80:$A$500)+$A13-1,1)-1)</f>
        <v>-0.18675675705294736</v>
      </c>
      <c r="V13" s="8">
        <f ca="1">IF(OR(V3="",V$11&lt;$A13),"",V3/OFFSET(ParoEPACLM!$A$80,MATCH(V$12,ParoEPACLM!$A$80:$A$500)+$A13-1,1)-1)</f>
        <v>-0.11264615389158072</v>
      </c>
      <c r="W13" s="8">
        <f ca="1">IF(OR(W3="",W$11&lt;$A13),"",W3/OFFSET(ParoEPACLM!$A$80,MATCH(W$12,ParoEPACLM!$A$80:$A$500)+$A13-1,1)-1)</f>
        <v>1.862832505083567E-3</v>
      </c>
      <c r="X13" s="8">
        <f ca="1">IF(OR(X3="",X$11&lt;$A13),"",X3/OFFSET(ParoEPACLM!$A$80,MATCH(X$12,ParoEPACLM!$A$80:$A$500)+$A13-1,1)-1)</f>
        <v>0.17486894865348912</v>
      </c>
      <c r="Y13" s="8">
        <f ca="1">IF(OR(Y3="",Y$11&lt;$A13),"",Y3/OFFSET(ParoEPACLM!$A$80,MATCH(Y$12,ParoEPACLM!$A$80:$A$500)+$A13-1,1)-1)</f>
        <v>3.9451222631255334E-2</v>
      </c>
      <c r="Z13" s="8">
        <f ca="1">IF(OR(Z3="",Z$11&lt;$A13),"",Z3/OFFSET(ParoEPACLM!$A$80,MATCH(Z$12,ParoEPACLM!$A$80:$A$500)+$A13-1,1)-1)</f>
        <v>-7.5228561346907252E-2</v>
      </c>
      <c r="AA13" s="8">
        <f ca="1">IF(OR(AA3="",AA$11&lt;$A13),"",AA3/OFFSET(ParoEPACLM!$A$80,MATCH(AA$12,ParoEPACLM!$A$80:$A$500)+$A13-1,1)-1)</f>
        <v>5.6066789791867411E-2</v>
      </c>
      <c r="AB13" s="8">
        <f ca="1">IF(OR(AB3="",AB$11&lt;$A13),"",AB3/OFFSET(ParoEPACLM!$A$80,MATCH(AB$12,ParoEPACLM!$A$80:$A$500)+$A13-1,1)-1)</f>
        <v>5.2248359882077544E-2</v>
      </c>
      <c r="AC13" s="8">
        <f ca="1">IF(OR(AC3="",AC$11&lt;$A13),"",AC3/OFFSET(ParoEPACLM!$A$80,MATCH(AC$12,ParoEPACLM!$A$80:$A$500)+$A13-1,1)-1)</f>
        <v>-2.1929733475652191E-2</v>
      </c>
      <c r="AD13" s="8">
        <f ca="1">IF(OR(AD3="",AD$11&lt;$A13),"",AD3/OFFSET(ParoEPACLM!$A$80,MATCH(AD$12,ParoEPACLM!$A$80:$A$500)+$A13-1,1)-1)</f>
        <v>3.3535738356379019E-2</v>
      </c>
      <c r="AE13" s="8">
        <f ca="1">IF(OR(AE3="",AE$11&lt;$A13),"",AE3/OFFSET(ParoEPACLM!$A$80,MATCH(AE$12,ParoEPACLM!$A$80:$A$500)+$A13-1,1)-1)</f>
        <v>-6.6817911758599968E-2</v>
      </c>
      <c r="AF13" s="8">
        <f ca="1">IF(OR(AF3="",AF$11&lt;$A13),"",AF3/OFFSET(ParoEPACLM!$A$80,MATCH(AF$12,ParoEPACLM!$A$80:$A$500)+$A13-1,1)-1)</f>
        <v>1.3760301195702596E-2</v>
      </c>
      <c r="AG13" s="8">
        <f ca="1">IF(OR(AG3="",AG$11&lt;$A13),"",AG3/OFFSET(ParoEPACLM!$A$80,MATCH(AG$12,ParoEPACLM!$A$80:$A$500)+$A13-1,1)-1)</f>
        <v>-1.2894685365248848E-2</v>
      </c>
      <c r="AH13" s="8">
        <f ca="1">IF(OR(AH3="",AH$11&lt;$A13),"",AH3/OFFSET(ParoEPACLM!$A$80,MATCH(AH$12,ParoEPACLM!$A$80:$A$500)+$A13-1,1)-1)</f>
        <v>-5.4265267110458759E-2</v>
      </c>
      <c r="AI13" s="8">
        <f ca="1">IF(OR(AI3="",AI$11&lt;$A13),"",AI3/OFFSET(ParoEPACLM!$A$80,MATCH(AI$12,ParoEPACLM!$A$80:$A$500)+$A13-1,1)-1)</f>
        <v>-2.5630300524494221E-2</v>
      </c>
      <c r="AJ13" s="8">
        <f ca="1">IF(OR(AJ3="",AJ$11&lt;$A13),"",AJ3/OFFSET(ParoEPACLM!$A$80,MATCH(AJ$12,ParoEPACLM!$A$80:$A$500)+$A13-1,1)-1)</f>
        <v>3.0235704512193262E-2</v>
      </c>
      <c r="AK13" s="8">
        <f ca="1">IF(OR(AK3="",AK$11&lt;$A13),"",AK3/OFFSET(ParoEPACLM!$A$80,MATCH(AK$12,ParoEPACLM!$A$80:$A$500)+$A13-1,1)-1)</f>
        <v>4.9428355341341046E-3</v>
      </c>
      <c r="AL13" s="8">
        <f ca="1">IF(OR(AL3="",AL$11&lt;$A13),"",AL3/OFFSET(ParoEPACLM!$A$80,MATCH(AL$12,ParoEPACLM!$A$80:$A$500)+$A13-1,1)-1)</f>
        <v>2.1264915791102901E-2</v>
      </c>
      <c r="AM13" s="8">
        <f ca="1">IF(OR(AM3="",AM$11&lt;$A13),"",AM3/OFFSET(ParoEPACLM!$A$80,MATCH(AM$12,ParoEPACLM!$A$80:$A$500)+$A13-1,1)-1)</f>
        <v>4.2148315312920293E-2</v>
      </c>
      <c r="AN13" s="8">
        <f ca="1">IF(OR(AN3="",AN$11&lt;$A13),"",AN3/OFFSET(ParoEPACLM!$A$80,MATCH(AN$12,ParoEPACLM!$A$80:$A$500)+$A13-1,1)-1)</f>
        <v>-1.9282749433813029E-2</v>
      </c>
      <c r="AO13" s="8">
        <f ca="1">IF(OR(AO3="",AO$11&lt;$A13),"",AO3/OFFSET(ParoEPACLM!$A$80,MATCH(AO$12,ParoEPACLM!$A$80:$A$500)+$A13-1,1)-1)</f>
        <v>8.9590576052731352E-2</v>
      </c>
      <c r="AP13" s="8">
        <f ca="1">IF(OR(AP3="",AP$11&lt;$A13),"",AP3/OFFSET(ParoEPACLM!$A$80,MATCH(AP$12,ParoEPACLM!$A$80:$A$500)+$A13-1,1)-1)</f>
        <v>-2.4608555776364005E-2</v>
      </c>
      <c r="AQ13" s="8">
        <f ca="1">IF(OR(AQ3="",AQ$11&lt;$A13),"",AQ3/OFFSET(ParoEPACLM!$A$80,MATCH(AQ$12,ParoEPACLM!$A$80:$A$500)+$A13-1,1)-1)</f>
        <v>3.7358825988112132E-2</v>
      </c>
      <c r="AR13" s="8">
        <f ca="1">IF(OR(AR3="",AR$11&lt;$A13),"",AR3/OFFSET(ParoEPACLM!$A$80,MATCH(AR$12,ParoEPACLM!$A$80:$A$500)+$A13-1,1)-1)</f>
        <v>-4.3085869590364312E-2</v>
      </c>
      <c r="AS13" s="8">
        <f ca="1">IF(OR(AS3="",AS$11&lt;$A13),"",AS3/OFFSET(ParoEPACLM!$A$80,MATCH(AS$12,ParoEPACLM!$A$80:$A$500)+$A13-1,1)-1)</f>
        <v>4.9608978109867641E-2</v>
      </c>
      <c r="AT13" s="8">
        <f ca="1">IF(OR(AT3="",AT$11&lt;$A13),"",AT3/OFFSET(ParoEPACLM!$A$80,MATCH(AT$12,ParoEPACLM!$A$80:$A$500)+$A13-1,1)-1)</f>
        <v>2.1611810036110457E-2</v>
      </c>
      <c r="AU13" s="8">
        <f ca="1">IF(OR(AU3="",AU$11&lt;$A13),"",AU3/OFFSET(ParoEPACLM!$A$80,MATCH(AU$12,ParoEPACLM!$A$80:$A$500)+$A13-1,1)-1)</f>
        <v>3.5921165435974567E-2</v>
      </c>
      <c r="AV13" s="8">
        <f ca="1">IF(OR(AV3="",AV$11&lt;$A13),"",AV3/OFFSET(ParoEPACLM!$A$80,MATCH(AV$12,ParoEPACLM!$A$80:$A$500)+$A13-1,1)-1)</f>
        <v>2.527549930242623E-2</v>
      </c>
      <c r="AW13" s="8">
        <f ca="1">IF(OR(AW3="",AW$11&lt;$A13),"",AW3/OFFSET(ParoEPACLM!$A$80,MATCH(AW$12,ParoEPACLM!$A$80:$A$500)+$A13-1,1)-1)</f>
        <v>-2.680648056153645E-3</v>
      </c>
      <c r="AX13" s="8">
        <f ca="1">IF(OR(AX3="",AX$11&lt;$A13),"",AX3/OFFSET(ParoEPACLM!$A$80,MATCH(AX$12,ParoEPACLM!$A$80:$A$500)+$A13-1,1)-1)</f>
        <v>-2.1757185909458965E-3</v>
      </c>
      <c r="AY13" s="8">
        <f ca="1">IF(OR(AY3="",AY$11&lt;$A13),"",AY3/OFFSET(ParoEPACLM!$A$80,MATCH(AY$12,ParoEPACLM!$A$80:$A$500)+$A13-1,1)-1)</f>
        <v>1.9241217200897331E-2</v>
      </c>
      <c r="AZ13" s="8">
        <f ca="1">IF(OR(AZ3="",AZ$11&lt;$A13),"",AZ3/OFFSET(ParoEPACLM!$A$80,MATCH(AZ$12,ParoEPACLM!$A$80:$A$500)+$A13-1,1)-1)</f>
        <v>-6.553157374986962E-3</v>
      </c>
      <c r="BA13" s="8">
        <f ca="1">IF(OR(BA3="",BA$11&lt;$A13),"",BA3/OFFSET(ParoEPACLM!$A$80,MATCH(BA$12,ParoEPACLM!$A$80:$A$500)+$A13-1,1)-1)</f>
        <v>3.34933610913144E-2</v>
      </c>
      <c r="BB13" s="8">
        <f ca="1">IF(OR(BB3="",BB$11&lt;$A13),"",BB3/OFFSET(ParoEPACLM!$A$80,MATCH(BB$12,ParoEPACLM!$A$80:$A$500)+$A13-1,1)-1)</f>
        <v>7.8965139685511776E-3</v>
      </c>
      <c r="BC13" s="8">
        <f ca="1">IF(OR(BC3="",BC$11&lt;$A13),"",BC3/OFFSET(ParoEPACLM!$A$80,MATCH(BC$12,ParoEPACLM!$A$80:$A$500)+$A13-1,1)-1)</f>
        <v>-2.9385940197208527E-2</v>
      </c>
      <c r="BD13" s="8">
        <f ca="1">IF(OR(BD3="",BD$11&lt;$A13),"",BD3/OFFSET(ParoEPACLM!$A$80,MATCH(BD$12,ParoEPACLM!$A$80:$A$500)+$A13-1,1)-1)</f>
        <v>0.14164639319486816</v>
      </c>
      <c r="BE13" s="8">
        <f ca="1">IF(OR(BE3="",BE$11&lt;$A13),"",BE3/OFFSET(ParoEPACLM!$A$80,MATCH(BE$12,ParoEPACLM!$A$80:$A$500)+$A13-1,1)-1)</f>
        <v>-6.4986532088581517E-2</v>
      </c>
      <c r="BF13" s="8">
        <f ca="1">IF(OR(BF3="",BF$11&lt;$A13),"",BF3/OFFSET(ParoEPACLM!$A$80,MATCH(BF$12,ParoEPACLM!$A$80:$A$500)+$A13-1,1)-1)</f>
        <v>-1.8751813504143233E-2</v>
      </c>
      <c r="BG13" s="8">
        <f ca="1">IF(OR(BG3="",BG$11&lt;$A13),"",BG3/OFFSET(ParoEPACLM!$A$80,MATCH(BG$12,ParoEPACLM!$A$80:$A$500)+$A13-1,1)-1)</f>
        <v>3.2984206440323849E-2</v>
      </c>
      <c r="BH13" s="8">
        <f ca="1">IF(OR(BH3="",BH$11&lt;$A13),"",BH3/OFFSET(ParoEPACLM!$A$80,MATCH(BH$12,ParoEPACLM!$A$80:$A$500)+$A13-1,1)-1)</f>
        <v>6.4208235143623948E-2</v>
      </c>
      <c r="BI13" s="8">
        <f ca="1">IF(OR(BI3="",BI$11&lt;$A13),"",BI3/OFFSET(ParoEPACLM!$A$80,MATCH(BI$12,ParoEPACLM!$A$80:$A$500)+$A13-1,1)-1)</f>
        <v>4.9875280260989419E-2</v>
      </c>
      <c r="BJ13" s="8">
        <f ca="1">IF(OR(BJ3="",BJ$11&lt;$A13),"",BJ3/OFFSET(ParoEPACLM!$A$80,MATCH(BJ$12,ParoEPACLM!$A$80:$A$500)+$A13-1,1)-1)</f>
        <v>3.7813708352183451E-2</v>
      </c>
      <c r="BK13" s="8">
        <f ca="1">IF(OR(BK3="",BK$11&lt;$A13),"",BK3/OFFSET(ParoEPACLM!$A$80,MATCH(BK$12,ParoEPACLM!$A$80:$A$500)+$A13-1,1)-1)</f>
        <v>-0.11219081368921913</v>
      </c>
      <c r="BL13" s="8">
        <f ca="1">IF(OR(BL3="",BL$11&lt;$A13),"",BL3/OFFSET(ParoEPACLM!$A$80,MATCH(BL$12,ParoEPACLM!$A$80:$A$500)+$A13-1,1)-1)</f>
        <v>-6.9211524944787661E-2</v>
      </c>
      <c r="BM13" s="8">
        <f ca="1">IF(OR(BM3="",BM$11&lt;$A13),"",BM3/OFFSET(ParoEPACLM!$A$80,MATCH(BM$12,ParoEPACLM!$A$80:$A$500)+$A13-1,1)-1)</f>
        <v>1.438132022939187E-2</v>
      </c>
      <c r="BN13" s="8">
        <f ca="1">IF(OR(BN3="",BN$11&lt;$A13),"",BN3/OFFSET(ParoEPACLM!$A$80,MATCH(BN$12,ParoEPACLM!$A$80:$A$500)+$A13-1,1)-1)</f>
        <v>-2.9017650651150251E-2</v>
      </c>
      <c r="BO13" s="8">
        <f ca="1">IF(OR(BO3="",BO$11&lt;$A13),"",BO3/OFFSET(ParoEPACLM!$A$80,MATCH(BO$12,ParoEPACLM!$A$80:$A$500)+$A13-1,1)-1)</f>
        <v>0.12627044666255394</v>
      </c>
      <c r="BP13" s="8">
        <f ca="1">IF(OR(BP3="",BP$11&lt;$A13),"",BP3/OFFSET(ParoEPACLM!$A$80,MATCH(BP$12,ParoEPACLM!$A$80:$A$500)+$A13-1,1)-1)</f>
        <v>-0.18757138199976153</v>
      </c>
      <c r="BQ13" s="8">
        <f ca="1">IF(OR(BQ3="",BQ$11&lt;$A13),"",BQ3/OFFSET(ParoEPACLM!$A$80,MATCH(BQ$12,ParoEPACLM!$A$80:$A$500)+$A13-1,1)-1)</f>
        <v>7.9537078413930207E-2</v>
      </c>
      <c r="BR13" s="8" t="str">
        <f ca="1">IF(OR(BR3="",BR$11&lt;$A13),"",BR3/OFFSET(ParoEPACLM!$A$80,MATCH(BR$12,ParoEPACLM!$A$80:$A$500)+$A13-1,1)-1)</f>
        <v/>
      </c>
      <c r="BS13" s="8" t="str">
        <f ca="1">IF(OR(BS3="",BS$11&lt;$A13),"",BS3/OFFSET(ParoEPACLM!$A$80,MATCH(BS$12,ParoEPACLM!$A$80:$A$500)+$A13-1,1)-1)</f>
        <v/>
      </c>
      <c r="BT13" s="8" t="str">
        <f ca="1">IF(OR(BT3="",BT$11&lt;$A13),"",BT3/OFFSET(ParoEPACLM!$A$80,MATCH(BT$12,ParoEPACLM!$A$80:$A$500)+$A13-1,1)-1)</f>
        <v/>
      </c>
      <c r="BU13" s="8" t="str">
        <f ca="1">IF(OR(BU3="",BU$11&lt;$A13),"",BU3/OFFSET(ParoEPACLM!$A$80,MATCH(BU$12,ParoEPACLM!$A$80:$A$500)+$A13-1,1)-1)</f>
        <v/>
      </c>
      <c r="BV13" s="8" t="str">
        <f ca="1">IF(OR(BV3="",BV$11&lt;$A13),"",BV3/OFFSET(ParoEPACLM!$A$80,MATCH(BV$12,ParoEPACLM!$A$80:$A$500)+$A13-1,1)-1)</f>
        <v/>
      </c>
      <c r="BW13" s="8" t="str">
        <f ca="1">IF(OR(BW3="",BW$11&lt;$A13),"",BW3/OFFSET(ParoEPACLM!$A$80,MATCH(BW$12,ParoEPACLM!$A$80:$A$500)+$A13-1,1)-1)</f>
        <v/>
      </c>
      <c r="BX13" s="8" t="str">
        <f ca="1">IF(OR(BX3="",BX$11&lt;$A13),"",BX3/OFFSET(ParoEPACLM!$A$80,MATCH(BX$12,ParoEPACLM!$A$80:$A$500)+$A13-1,1)-1)</f>
        <v/>
      </c>
      <c r="BY13" s="8" t="str">
        <f ca="1">IF(OR(BY3="",BY$11&lt;$A13),"",BY3/OFFSET(ParoEPACLM!$A$80,MATCH(BY$12,ParoEPACLM!$A$80:$A$500)+$A13-1,1)-1)</f>
        <v/>
      </c>
      <c r="BZ13" s="8" t="str">
        <f ca="1">IF(OR(BZ3="",BZ$11&lt;$A13),"",BZ3/OFFSET(ParoEPACLM!$A$80,MATCH(BZ$12,ParoEPACLM!$A$80:$A$500)+$A13-1,1)-1)</f>
        <v/>
      </c>
      <c r="CA13" s="8" t="str">
        <f ca="1">IF(OR(CA3="",CA$11&lt;$A13),"",CA3/OFFSET(ParoEPACLM!$A$80,MATCH(CA$12,ParoEPACLM!$A$80:$A$500)+$A13-1,1)-1)</f>
        <v/>
      </c>
      <c r="CB13" s="8" t="str">
        <f ca="1">IF(OR(CB3="",CB$11&lt;$A13),"",CB3/OFFSET(ParoEPACLM!$A$80,MATCH(CB$12,ParoEPACLM!$A$80:$A$500)+$A13-1,1)-1)</f>
        <v/>
      </c>
      <c r="CC13" s="8" t="str">
        <f ca="1">IF(OR(CC3="",CC$11&lt;$A13),"",CC3/OFFSET(ParoEPACLM!$A$80,MATCH(CC$12,ParoEPACLM!$A$80:$A$500)+$A13-1,1)-1)</f>
        <v/>
      </c>
      <c r="CD13" s="8" t="str">
        <f ca="1">IF(OR(CD3="",CD$11&lt;$A13),"",CD3/OFFSET(ParoEPACLM!$A$80,MATCH(CD$12,ParoEPACLM!$A$80:$A$500)+$A13-1,1)-1)</f>
        <v/>
      </c>
      <c r="CE13" s="8" t="str">
        <f ca="1">IF(OR(CE3="",CE$11&lt;$A13),"",CE3/OFFSET(ParoEPACLM!$A$80,MATCH(CE$12,ParoEPACLM!$A$80:$A$500)+$A13-1,1)-1)</f>
        <v/>
      </c>
      <c r="CF13" s="8" t="str">
        <f ca="1">IF(OR(CF3="",CF$11&lt;$A13),"",CF3/OFFSET(ParoEPACLM!$A$80,MATCH(CF$12,ParoEPACLM!$A$80:$A$500)+$A13-1,1)-1)</f>
        <v/>
      </c>
      <c r="CG13" s="8" t="str">
        <f ca="1">IF(OR(CG3="",CG$11&lt;$A13),"",CG3/OFFSET(ParoEPACLM!$A$80,MATCH(CG$12,ParoEPACLM!$A$80:$A$500)+$A13-1,1)-1)</f>
        <v/>
      </c>
      <c r="CH13" s="8" t="str">
        <f ca="1">IF(OR(CH3="",CH$11&lt;$A13),"",CH3/OFFSET(ParoEPACLM!$A$80,MATCH(CH$12,ParoEPACLM!$A$80:$A$500)+$A13-1,1)-1)</f>
        <v/>
      </c>
      <c r="CI13" s="8" t="str">
        <f ca="1">IF(OR(CI3="",CI$11&lt;$A13),"",CI3/OFFSET(ParoEPACLM!$A$80,MATCH(CI$12,ParoEPACLM!$A$80:$A$500)+$A13-1,1)-1)</f>
        <v/>
      </c>
      <c r="CJ13" s="8" t="str">
        <f ca="1">IF(OR(CJ3="",CJ$11&lt;$A13),"",CJ3/OFFSET(ParoEPACLM!$A$80,MATCH(CJ$12,ParoEPACLM!$A$80:$A$500)+$A13-1,1)-1)</f>
        <v/>
      </c>
      <c r="CK13" s="8" t="str">
        <f ca="1">IF(OR(CK3="",CK$11&lt;$A13),"",CK3/OFFSET(ParoEPACLM!$A$80,MATCH(CK$12,ParoEPACLM!$A$80:$A$500)+$A13-1,1)-1)</f>
        <v/>
      </c>
      <c r="CL13" s="8" t="str">
        <f ca="1">IF(OR(CL3="",CL$11&lt;$A13),"",CL3/OFFSET(ParoEPACLM!$A$80,MATCH(CL$12,ParoEPACLM!$A$80:$A$500)+$A13-1,1)-1)</f>
        <v/>
      </c>
      <c r="CM13" s="8" t="str">
        <f ca="1">IF(OR(CM3="",CM$11&lt;$A13),"",CM3/OFFSET(ParoEPACLM!$A$80,MATCH(CM$12,ParoEPACLM!$A$80:$A$500)+$A13-1,1)-1)</f>
        <v/>
      </c>
      <c r="CN13" s="8" t="str">
        <f ca="1">IF(OR(CN3="",CN$11&lt;$A13),"",CN3/OFFSET(ParoEPACLM!$A$80,MATCH(CN$12,ParoEPACLM!$A$80:$A$500)+$A13-1,1)-1)</f>
        <v/>
      </c>
      <c r="CO13" s="8" t="str">
        <f ca="1">IF(OR(CO3="",CO$11&lt;$A13),"",CO3/OFFSET(ParoEPACLM!$A$80,MATCH(CO$12,ParoEPACLM!$A$80:$A$500)+$A13-1,1)-1)</f>
        <v/>
      </c>
      <c r="CP13" s="8" t="str">
        <f ca="1">IF(OR(CP3="",CP$11&lt;$A13),"",CP3/OFFSET(ParoEPACLM!$A$80,MATCH(CP$12,ParoEPACLM!$A$80:$A$500)+$A13-1,1)-1)</f>
        <v/>
      </c>
      <c r="CQ13" s="8" t="str">
        <f ca="1">IF(OR(CQ3="",CQ$11&lt;$A13),"",CQ3/OFFSET(ParoEPACLM!$A$80,MATCH(CQ$12,ParoEPACLM!$A$80:$A$500)+$A13-1,1)-1)</f>
        <v/>
      </c>
      <c r="CR13" s="8" t="str">
        <f ca="1">IF(OR(CR3="",CR$11&lt;$A13),"",CR3/OFFSET(ParoEPACLM!$A$80,MATCH(CR$12,ParoEPACLM!$A$80:$A$500)+$A13-1,1)-1)</f>
        <v/>
      </c>
      <c r="CS13" s="8" t="str">
        <f ca="1">IF(OR(CS3="",CS$11&lt;$A13),"",CS3/OFFSET(ParoEPACLM!$A$80,MATCH(CS$12,ParoEPACLM!$A$80:$A$500)+$A13-1,1)-1)</f>
        <v/>
      </c>
      <c r="CT13" s="8" t="str">
        <f ca="1">IF(OR(CT3="",CT$11&lt;$A13),"",CT3/OFFSET(ParoEPACLM!$A$80,MATCH(CT$12,ParoEPACLM!$A$80:$A$500)+$A13-1,1)-1)</f>
        <v/>
      </c>
      <c r="CU13" s="8" t="str">
        <f ca="1">IF(OR(CU3="",CU$11&lt;$A13),"",CU3/OFFSET(ParoEPACLM!$A$80,MATCH(CU$12,ParoEPACLM!$A$80:$A$500)+$A13-1,1)-1)</f>
        <v/>
      </c>
      <c r="CV13" s="8" t="str">
        <f ca="1">IF(OR(CV3="",CV$11&lt;$A13),"",CV3/OFFSET(ParoEPACLM!$A$80,MATCH(CV$12,ParoEPACLM!$A$80:$A$500)+$A13-1,1)-1)</f>
        <v/>
      </c>
      <c r="CW13" s="8" t="str">
        <f ca="1">IF(OR(CW3="",CW$11&lt;$A13),"",CW3/OFFSET(ParoEPACLM!$A$80,MATCH(CW$12,ParoEPACLM!$A$80:$A$500)+$A13-1,1)-1)</f>
        <v/>
      </c>
      <c r="CX13" s="8" t="str">
        <f ca="1">IF(OR(CX3="",CX$11&lt;$A13),"",CX3/OFFSET(ParoEPACLM!$A$80,MATCH(CX$12,ParoEPACLM!$A$80:$A$500)+$A13-1,1)-1)</f>
        <v/>
      </c>
      <c r="CY13" s="8" t="str">
        <f ca="1">IF(OR(CY3="",CY$11&lt;$A13),"",CY3/OFFSET(ParoEPACLM!$A$80,MATCH(CY$12,ParoEPACLM!$A$80:$A$500)+$A13-1,1)-1)</f>
        <v/>
      </c>
      <c r="CZ13" s="8" t="str">
        <f ca="1">IF(OR(CZ3="",CZ$11&lt;$A13),"",CZ3/OFFSET(ParoEPACLM!$A$80,MATCH(CZ$12,ParoEPACLM!$A$80:$A$500)+$A13-1,1)-1)</f>
        <v/>
      </c>
      <c r="DA13" s="8" t="str">
        <f ca="1">IF(OR(DA3="",DA$11&lt;$A13),"",DA3/OFFSET(ParoEPACLM!$A$80,MATCH(DA$12,ParoEPACLM!$A$80:$A$500)+$A13-1,1)-1)</f>
        <v/>
      </c>
      <c r="DB13" s="8" t="str">
        <f ca="1">IF(OR(DB3="",DB$11&lt;$A13),"",DB3/OFFSET(ParoEPACLM!$A$80,MATCH(DB$12,ParoEPACLM!$A$80:$A$500)+$A13-1,1)-1)</f>
        <v/>
      </c>
      <c r="DC13" s="8" t="str">
        <f ca="1">IF(OR(DC3="",DC$11&lt;$A13),"",DC3/OFFSET(ParoEPACLM!$A$80,MATCH(DC$12,ParoEPACLM!$A$80:$A$500)+$A13-1,1)-1)</f>
        <v/>
      </c>
      <c r="DD13" s="8" t="str">
        <f ca="1">IF(OR(DD3="",DD$11&lt;$A13),"",DD3/OFFSET(ParoEPACLM!$A$80,MATCH(DD$12,ParoEPACLM!$A$80:$A$500)+$A13-1,1)-1)</f>
        <v/>
      </c>
      <c r="DE13" s="8" t="str">
        <f ca="1">IF(OR(DE3="",DE$11&lt;$A13),"",DE3/OFFSET(ParoEPACLM!$A$80,MATCH(DE$12,ParoEPACLM!$A$80:$A$500)+$A13-1,1)-1)</f>
        <v/>
      </c>
      <c r="DF13" s="8" t="str">
        <f ca="1">IF(OR(DF3="",DF$11&lt;$A13),"",DF3/OFFSET(ParoEPACLM!$A$80,MATCH(DF$12,ParoEPACLM!$A$80:$A$500)+$A13-1,1)-1)</f>
        <v/>
      </c>
      <c r="DG13" s="8" t="str">
        <f ca="1">IF(OR(DG3="",DG$11&lt;$A13),"",DG3/OFFSET(ParoEPACLM!$A$80,MATCH(DG$12,ParoEPACLM!$A$80:$A$500)+$A13-1,1)-1)</f>
        <v/>
      </c>
      <c r="DH13" s="8" t="str">
        <f ca="1">IF(OR(DH3="",DH$11&lt;$A13),"",DH3/OFFSET(ParoEPACLM!$A$80,MATCH(DH$12,ParoEPACLM!$A$80:$A$500)+$A13-1,1)-1)</f>
        <v/>
      </c>
      <c r="DI13" s="8" t="str">
        <f ca="1">IF(OR(DI3="",DI$11&lt;$A13),"",DI3/OFFSET(ParoEPACLM!$A$80,MATCH(DI$12,ParoEPACLM!$A$80:$A$500)+$A13-1,1)-1)</f>
        <v/>
      </c>
      <c r="DJ13" s="8" t="str">
        <f ca="1">IF(OR(DJ3="",DJ$11&lt;$A13),"",DJ3/OFFSET(ParoEPACLM!$A$80,MATCH(DJ$12,ParoEPACLM!$A$80:$A$500)+$A13-1,1)-1)</f>
        <v/>
      </c>
      <c r="DK13" s="8" t="str">
        <f ca="1">IF(OR(DK3="",DK$11&lt;$A13),"",DK3/OFFSET(ParoEPACLM!$A$80,MATCH(DK$12,ParoEPACLM!$A$80:$A$500)+$A13-1,1)-1)</f>
        <v/>
      </c>
      <c r="DL13" s="8" t="str">
        <f ca="1">IF(OR(DL3="",DL$11&lt;$A13),"",DL3/OFFSET(ParoEPACLM!$A$80,MATCH(DL$12,ParoEPACLM!$A$80:$A$500)+$A13-1,1)-1)</f>
        <v/>
      </c>
      <c r="DM13" s="8" t="str">
        <f ca="1">IF(OR(DM3="",DM$11&lt;$A13),"",DM3/OFFSET(ParoEPACLM!$A$80,MATCH(DM$12,ParoEPACLM!$A$80:$A$500)+$A13-1,1)-1)</f>
        <v/>
      </c>
      <c r="DN13" s="8" t="str">
        <f ca="1">IF(OR(DN3="",DN$11&lt;$A13),"",DN3/OFFSET(ParoEPACLM!$A$80,MATCH(DN$12,ParoEPACLM!$A$80:$A$500)+$A13-1,1)-1)</f>
        <v/>
      </c>
      <c r="DO13" s="8" t="str">
        <f ca="1">IF(OR(DO3="",DO$11&lt;$A13),"",DO3/OFFSET(ParoEPACLM!$A$80,MATCH(DO$12,ParoEPACLM!$A$80:$A$500)+$A13-1,1)-1)</f>
        <v/>
      </c>
      <c r="DP13" s="8" t="str">
        <f ca="1">IF(OR(DP3="",DP$11&lt;$A13),"",DP3/OFFSET(ParoEPACLM!$A$80,MATCH(DP$12,ParoEPACLM!$A$80:$A$500)+$A13-1,1)-1)</f>
        <v/>
      </c>
      <c r="DQ13" s="8" t="str">
        <f ca="1">IF(OR(DQ3="",DQ$11&lt;$A13),"",DQ3/OFFSET(ParoEPACLM!$A$80,MATCH(DQ$12,ParoEPACLM!$A$80:$A$500)+$A13-1,1)-1)</f>
        <v/>
      </c>
      <c r="DR13" s="8" t="str">
        <f ca="1">IF(OR(DR3="",DR$11&lt;$A13),"",DR3/OFFSET(ParoEPACLM!$A$80,MATCH(DR$12,ParoEPACLM!$A$80:$A$500)+$A13-1,1)-1)</f>
        <v/>
      </c>
      <c r="DS13" s="12">
        <f t="shared" ref="DS13:DS16" ca="1" si="51">AVERAGE(OFFSET($B13,0,Inicio-1,1,Amplitud))</f>
        <v>9.6567927515900237E-3</v>
      </c>
      <c r="DT13" s="12">
        <f t="shared" ref="DT13:DT16" ca="1" si="52">MEDIAN(OFFSET($B13,0,Inicio-1,1,Amplitud))</f>
        <v>1.9241217200897331E-2</v>
      </c>
      <c r="DU13" s="13">
        <f t="shared" ref="DU13:DU16" ca="1" si="53">VARP(OFFSET($B13,0,Inicio-1,1,Amplitud))</f>
        <v>4.1328246471862328E-3</v>
      </c>
      <c r="DV13" s="15">
        <f ca="1">SQRT(DU13)</f>
        <v>6.4287048829342233E-2</v>
      </c>
      <c r="DW13" s="14" t="str">
        <f t="shared" ref="DW13:DW16" ca="1" si="54">CONCATENATE("[ ",TEXT(DS13-2*DV13,"0,00%")," ; ",TEXT(DS13+2*DV13,"0,00%")," ]")</f>
        <v>[ -11,89% ; 13,82% ]</v>
      </c>
      <c r="DX13" s="15">
        <f t="shared" ref="DX13:DX16" ca="1" si="55">DV13*DX$12</f>
        <v>6.4287048829342233E-2</v>
      </c>
      <c r="GI13" s="1"/>
    </row>
    <row r="14" spans="1:191" x14ac:dyDescent="0.25">
      <c r="A14" s="4">
        <v>2</v>
      </c>
      <c r="B14" s="8">
        <f ca="1">IF(OR(B4="",B$11&lt;$A14),"",B4/OFFSET(ParoEPACLM!$A$80,MATCH(B$12,ParoEPACLM!$A$80:$A$500)+$A14-1,1)-1)</f>
        <v>8.4758483576808263E-2</v>
      </c>
      <c r="C14" s="8">
        <f ca="1">IF(OR(C4="",C$11&lt;$A14),"",C4/OFFSET(ParoEPACLM!$A$80,MATCH(C$12,ParoEPACLM!$A$80:$A$500)+$A14-1,1)-1)</f>
        <v>-2.3955635530894082E-2</v>
      </c>
      <c r="D14" s="8">
        <f ca="1">IF(OR(D4="",D$11&lt;$A14),"",D4/OFFSET(ParoEPACLM!$A$80,MATCH(D$12,ParoEPACLM!$A$80:$A$500)+$A14-1,1)-1)</f>
        <v>-0.16452208216903852</v>
      </c>
      <c r="E14" s="8">
        <f ca="1">IF(OR(E4="",E$11&lt;$A14),"",E4/OFFSET(ParoEPACLM!$A$80,MATCH(E$12,ParoEPACLM!$A$80:$A$500)+$A14-1,1)-1)</f>
        <v>-6.4601543751033885E-3</v>
      </c>
      <c r="F14" s="8">
        <f ca="1">IF(OR(F4="",F$11&lt;$A14),"",F4/OFFSET(ParoEPACLM!$A$80,MATCH(F$12,ParoEPACLM!$A$80:$A$500)+$A14-1,1)-1)</f>
        <v>2.0065191556505102E-2</v>
      </c>
      <c r="G14" s="8">
        <f ca="1">IF(OR(G4="",G$11&lt;$A14),"",G4/OFFSET(ParoEPACLM!$A$80,MATCH(G$12,ParoEPACLM!$A$80:$A$500)+$A14-1,1)-1)</f>
        <v>1.2504329919517332E-2</v>
      </c>
      <c r="H14" s="8">
        <f ca="1">IF(OR(H4="",H$11&lt;$A14),"",H4/OFFSET(ParoEPACLM!$A$80,MATCH(H$12,ParoEPACLM!$A$80:$A$500)+$A14-1,1)-1)</f>
        <v>3.678271196063565E-2</v>
      </c>
      <c r="I14" s="8">
        <f ca="1">IF(OR(I4="",I$11&lt;$A14),"",I4/OFFSET(ParoEPACLM!$A$80,MATCH(I$12,ParoEPACLM!$A$80:$A$500)+$A14-1,1)-1)</f>
        <v>-3.0191507414288665E-2</v>
      </c>
      <c r="J14" s="8">
        <f ca="1">IF(OR(J4="",J$11&lt;$A14),"",J4/OFFSET(ParoEPACLM!$A$80,MATCH(J$12,ParoEPACLM!$A$80:$A$500)+$A14-1,1)-1)</f>
        <v>-1.1394535496020874E-2</v>
      </c>
      <c r="K14" s="8">
        <f ca="1">IF(OR(K4="",K$11&lt;$A14),"",K4/OFFSET(ParoEPACLM!$A$80,MATCH(K$12,ParoEPACLM!$A$80:$A$500)+$A14-1,1)-1)</f>
        <v>-4.9831177906066948E-2</v>
      </c>
      <c r="L14" s="8">
        <f ca="1">IF(OR(L4="",L$11&lt;$A14),"",L4/OFFSET(ParoEPACLM!$A$80,MATCH(L$12,ParoEPACLM!$A$80:$A$500)+$A14-1,1)-1)</f>
        <v>0.15397063692272894</v>
      </c>
      <c r="M14" s="8">
        <f ca="1">IF(OR(M4="",M$11&lt;$A14),"",M4/OFFSET(ParoEPACLM!$A$80,MATCH(M$12,ParoEPACLM!$A$80:$A$500)+$A14-1,1)-1)</f>
        <v>0.24186278634029978</v>
      </c>
      <c r="N14" s="8">
        <f ca="1">IF(OR(N4="",N$11&lt;$A14),"",N4/OFFSET(ParoEPACLM!$A$80,MATCH(N$12,ParoEPACLM!$A$80:$A$500)+$A14-1,1)-1)</f>
        <v>-4.5801107714373623E-2</v>
      </c>
      <c r="O14" s="8">
        <f ca="1">IF(OR(O4="",O$11&lt;$A14),"",O4/OFFSET(ParoEPACLM!$A$80,MATCH(O$12,ParoEPACLM!$A$80:$A$500)+$A14-1,1)-1)</f>
        <v>-3.4350801071688308E-2</v>
      </c>
      <c r="P14" s="8">
        <f ca="1">IF(OR(P4="",P$11&lt;$A14),"",P4/OFFSET(ParoEPACLM!$A$80,MATCH(P$12,ParoEPACLM!$A$80:$A$500)+$A14-1,1)-1)</f>
        <v>-3.970820908864825E-2</v>
      </c>
      <c r="Q14" s="8">
        <f ca="1">IF(OR(Q4="",Q$11&lt;$A14),"",Q4/OFFSET(ParoEPACLM!$A$80,MATCH(Q$12,ParoEPACLM!$A$80:$A$500)+$A14-1,1)-1)</f>
        <v>-0.24507045682435979</v>
      </c>
      <c r="R14" s="8">
        <f ca="1">IF(OR(R4="",R$11&lt;$A14),"",R4/OFFSET(ParoEPACLM!$A$80,MATCH(R$12,ParoEPACLM!$A$80:$A$500)+$A14-1,1)-1)</f>
        <v>-0.27696722916604122</v>
      </c>
      <c r="S14" s="8">
        <f ca="1">IF(OR(S4="",S$11&lt;$A14),"",S4/OFFSET(ParoEPACLM!$A$80,MATCH(S$12,ParoEPACLM!$A$80:$A$500)+$A14-1,1)-1)</f>
        <v>-0.21631670893561306</v>
      </c>
      <c r="T14" s="8">
        <f ca="1">IF(OR(T4="",T$11&lt;$A14),"",T4/OFFSET(ParoEPACLM!$A$80,MATCH(T$12,ParoEPACLM!$A$80:$A$500)+$A14-1,1)-1)</f>
        <v>-0.28501670423653658</v>
      </c>
      <c r="U14" s="8">
        <f ca="1">IF(OR(U4="",U$11&lt;$A14),"",U4/OFFSET(ParoEPACLM!$A$80,MATCH(U$12,ParoEPACLM!$A$80:$A$500)+$A14-1,1)-1)</f>
        <v>-0.29101303114790944</v>
      </c>
      <c r="V14" s="8">
        <f ca="1">IF(OR(V4="",V$11&lt;$A14),"",V4/OFFSET(ParoEPACLM!$A$80,MATCH(V$12,ParoEPACLM!$A$80:$A$500)+$A14-1,1)-1)</f>
        <v>-0.13956184489528289</v>
      </c>
      <c r="W14" s="8">
        <f ca="1">IF(OR(W4="",W$11&lt;$A14),"",W4/OFFSET(ParoEPACLM!$A$80,MATCH(W$12,ParoEPACLM!$A$80:$A$500)+$A14-1,1)-1)</f>
        <v>0.15516280335530142</v>
      </c>
      <c r="X14" s="8">
        <f ca="1">IF(OR(X4="",X$11&lt;$A14),"",X4/OFFSET(ParoEPACLM!$A$80,MATCH(X$12,ParoEPACLM!$A$80:$A$500)+$A14-1,1)-1)</f>
        <v>0.25856646520638327</v>
      </c>
      <c r="Y14" s="8">
        <f ca="1">IF(OR(Y4="",Y$11&lt;$A14),"",Y4/OFFSET(ParoEPACLM!$A$80,MATCH(Y$12,ParoEPACLM!$A$80:$A$500)+$A14-1,1)-1)</f>
        <v>-3.137014161276197E-2</v>
      </c>
      <c r="Z14" s="8">
        <f ca="1">IF(OR(Z4="",Z$11&lt;$A14),"",Z4/OFFSET(ParoEPACLM!$A$80,MATCH(Z$12,ParoEPACLM!$A$80:$A$500)+$A14-1,1)-1)</f>
        <v>-5.5587655044166517E-2</v>
      </c>
      <c r="AA14" s="8">
        <f ca="1">IF(OR(AA4="",AA$11&lt;$A14),"",AA4/OFFSET(ParoEPACLM!$A$80,MATCH(AA$12,ParoEPACLM!$A$80:$A$500)+$A14-1,1)-1)</f>
        <v>0.1409975385358444</v>
      </c>
      <c r="AB14" s="8">
        <f ca="1">IF(OR(AB4="",AB$11&lt;$A14),"",AB4/OFFSET(ParoEPACLM!$A$80,MATCH(AB$12,ParoEPACLM!$A$80:$A$500)+$A14-1,1)-1)</f>
        <v>3.077887455933026E-2</v>
      </c>
      <c r="AC14" s="8">
        <f ca="1">IF(OR(AC4="",AC$11&lt;$A14),"",AC4/OFFSET(ParoEPACLM!$A$80,MATCH(AC$12,ParoEPACLM!$A$80:$A$500)+$A14-1,1)-1)</f>
        <v>2.734461775264263E-3</v>
      </c>
      <c r="AD14" s="8">
        <f ca="1">IF(OR(AD4="",AD$11&lt;$A14),"",AD4/OFFSET(ParoEPACLM!$A$80,MATCH(AD$12,ParoEPACLM!$A$80:$A$500)+$A14-1,1)-1)</f>
        <v>-2.0542877059464559E-2</v>
      </c>
      <c r="AE14" s="8">
        <f ca="1">IF(OR(AE4="",AE$11&lt;$A14),"",AE4/OFFSET(ParoEPACLM!$A$80,MATCH(AE$12,ParoEPACLM!$A$80:$A$500)+$A14-1,1)-1)</f>
        <v>-6.8967160782838821E-2</v>
      </c>
      <c r="AF14" s="8">
        <f ca="1">IF(OR(AF4="",AF$11&lt;$A14),"",AF4/OFFSET(ParoEPACLM!$A$80,MATCH(AF$12,ParoEPACLM!$A$80:$A$500)+$A14-1,1)-1)</f>
        <v>7.3431575455384923E-4</v>
      </c>
      <c r="AG14" s="8">
        <f ca="1">IF(OR(AG4="",AG$11&lt;$A14),"",AG4/OFFSET(ParoEPACLM!$A$80,MATCH(AG$12,ParoEPACLM!$A$80:$A$500)+$A14-1,1)-1)</f>
        <v>-6.4839077657754096E-2</v>
      </c>
      <c r="AH14" s="8">
        <f ca="1">IF(OR(AH4="",AH$11&lt;$A14),"",AH4/OFFSET(ParoEPACLM!$A$80,MATCH(AH$12,ParoEPACLM!$A$80:$A$500)+$A14-1,1)-1)</f>
        <v>-9.2402651528914359E-2</v>
      </c>
      <c r="AI14" s="8">
        <f ca="1">IF(OR(AI4="",AI$11&lt;$A14),"",AI4/OFFSET(ParoEPACLM!$A$80,MATCH(AI$12,ParoEPACLM!$A$80:$A$500)+$A14-1,1)-1)</f>
        <v>-7.6834631395923392E-3</v>
      </c>
      <c r="AJ14" s="8">
        <f ca="1">IF(OR(AJ4="",AJ$11&lt;$A14),"",AJ4/OFFSET(ParoEPACLM!$A$80,MATCH(AJ$12,ParoEPACLM!$A$80:$A$500)+$A14-1,1)-1)</f>
        <v>2.7372738212236181E-2</v>
      </c>
      <c r="AK14" s="8">
        <f ca="1">IF(OR(AK4="",AK$11&lt;$A14),"",AK4/OFFSET(ParoEPACLM!$A$80,MATCH(AK$12,ParoEPACLM!$A$80:$A$500)+$A14-1,1)-1)</f>
        <v>1.5755876912258104E-2</v>
      </c>
      <c r="AL14" s="8">
        <f ca="1">IF(OR(AL4="",AL$11&lt;$A14),"",AL4/OFFSET(ParoEPACLM!$A$80,MATCH(AL$12,ParoEPACLM!$A$80:$A$500)+$A14-1,1)-1)</f>
        <v>7.8244596633030739E-2</v>
      </c>
      <c r="AM14" s="8">
        <f ca="1">IF(OR(AM4="",AM$11&lt;$A14),"",AM4/OFFSET(ParoEPACLM!$A$80,MATCH(AM$12,ParoEPACLM!$A$80:$A$500)+$A14-1,1)-1)</f>
        <v>3.0959614615161168E-2</v>
      </c>
      <c r="AN14" s="8">
        <f ca="1">IF(OR(AN4="",AN$11&lt;$A14),"",AN4/OFFSET(ParoEPACLM!$A$80,MATCH(AN$12,ParoEPACLM!$A$80:$A$500)+$A14-1,1)-1)</f>
        <v>8.3267324657132935E-2</v>
      </c>
      <c r="AO14" s="8">
        <f ca="1">IF(OR(AO4="",AO$11&lt;$A14),"",AO4/OFFSET(ParoEPACLM!$A$80,MATCH(AO$12,ParoEPACLM!$A$80:$A$500)+$A14-1,1)-1)</f>
        <v>8.1058555722427927E-2</v>
      </c>
      <c r="AP14" s="8">
        <f ca="1">IF(OR(AP4="",AP$11&lt;$A14),"",AP4/OFFSET(ParoEPACLM!$A$80,MATCH(AP$12,ParoEPACLM!$A$80:$A$500)+$A14-1,1)-1)</f>
        <v>2.5475957658874337E-2</v>
      </c>
      <c r="AQ14" s="8">
        <f ca="1">IF(OR(AQ4="",AQ$11&lt;$A14),"",AQ4/OFFSET(ParoEPACLM!$A$80,MATCH(AQ$12,ParoEPACLM!$A$80:$A$500)+$A14-1,1)-1)</f>
        <v>5.538169456305031E-4</v>
      </c>
      <c r="AR14" s="8">
        <f ca="1">IF(OR(AR4="",AR$11&lt;$A14),"",AR4/OFFSET(ParoEPACLM!$A$80,MATCH(AR$12,ParoEPACLM!$A$80:$A$500)+$A14-1,1)-1)</f>
        <v>7.9001504306774883E-3</v>
      </c>
      <c r="AS14" s="8">
        <f ca="1">IF(OR(AS4="",AS$11&lt;$A14),"",AS4/OFFSET(ParoEPACLM!$A$80,MATCH(AS$12,ParoEPACLM!$A$80:$A$500)+$A14-1,1)-1)</f>
        <v>8.9259220630709235E-2</v>
      </c>
      <c r="AT14" s="8">
        <f ca="1">IF(OR(AT4="",AT$11&lt;$A14),"",AT4/OFFSET(ParoEPACLM!$A$80,MATCH(AT$12,ParoEPACLM!$A$80:$A$500)+$A14-1,1)-1)</f>
        <v>6.0275527087304326E-2</v>
      </c>
      <c r="AU14" s="8">
        <f ca="1">IF(OR(AU4="",AU$11&lt;$A14),"",AU4/OFFSET(ParoEPACLM!$A$80,MATCH(AU$12,ParoEPACLM!$A$80:$A$500)+$A14-1,1)-1)</f>
        <v>5.4411169288227867E-2</v>
      </c>
      <c r="AV14" s="8">
        <f ca="1">IF(OR(AV4="",AV$11&lt;$A14),"",AV4/OFFSET(ParoEPACLM!$A$80,MATCH(AV$12,ParoEPACLM!$A$80:$A$500)+$A14-1,1)-1)</f>
        <v>4.9061787784461464E-2</v>
      </c>
      <c r="AW14" s="8">
        <f ca="1">IF(OR(AW4="",AW$11&lt;$A14),"",AW4/OFFSET(ParoEPACLM!$A$80,MATCH(AW$12,ParoEPACLM!$A$80:$A$500)+$A14-1,1)-1)</f>
        <v>-8.7972862327727608E-3</v>
      </c>
      <c r="AX14" s="8">
        <f ca="1">IF(OR(AX4="",AX$11&lt;$A14),"",AX4/OFFSET(ParoEPACLM!$A$80,MATCH(AX$12,ParoEPACLM!$A$80:$A$500)+$A14-1,1)-1)</f>
        <v>1.5842133628171551E-2</v>
      </c>
      <c r="AY14" s="8">
        <f ca="1">IF(OR(AY4="",AY$11&lt;$A14),"",AY4/OFFSET(ParoEPACLM!$A$80,MATCH(AY$12,ParoEPACLM!$A$80:$A$500)+$A14-1,1)-1)</f>
        <v>1.4744188971919536E-2</v>
      </c>
      <c r="AZ14" s="8">
        <f ca="1">IF(OR(AZ4="",AZ$11&lt;$A14),"",AZ4/OFFSET(ParoEPACLM!$A$80,MATCH(AZ$12,ParoEPACLM!$A$80:$A$500)+$A14-1,1)-1)</f>
        <v>2.6545281613038929E-2</v>
      </c>
      <c r="BA14" s="8">
        <f ca="1">IF(OR(BA4="",BA$11&lt;$A14),"",BA4/OFFSET(ParoEPACLM!$A$80,MATCH(BA$12,ParoEPACLM!$A$80:$A$500)+$A14-1,1)-1)</f>
        <v>3.8286546810285094E-2</v>
      </c>
      <c r="BB14" s="8">
        <f ca="1">IF(OR(BB4="",BB$11&lt;$A14),"",BB4/OFFSET(ParoEPACLM!$A$80,MATCH(BB$12,ParoEPACLM!$A$80:$A$500)+$A14-1,1)-1)</f>
        <v>-1.9256705677995978E-2</v>
      </c>
      <c r="BC14" s="8">
        <f ca="1">IF(OR(BC4="",BC$11&lt;$A14),"",BC4/OFFSET(ParoEPACLM!$A$80,MATCH(BC$12,ParoEPACLM!$A$80:$A$500)+$A14-1,1)-1)</f>
        <v>0.10334897966654077</v>
      </c>
      <c r="BD14" s="8">
        <f ca="1">IF(OR(BD4="",BD$11&lt;$A14),"",BD4/OFFSET(ParoEPACLM!$A$80,MATCH(BD$12,ParoEPACLM!$A$80:$A$500)+$A14-1,1)-1)</f>
        <v>8.2634968906200923E-2</v>
      </c>
      <c r="BE14" s="8">
        <f ca="1">IF(OR(BE4="",BE$11&lt;$A14),"",BE4/OFFSET(ParoEPACLM!$A$80,MATCH(BE$12,ParoEPACLM!$A$80:$A$500)+$A14-1,1)-1)</f>
        <v>-8.445210565635819E-2</v>
      </c>
      <c r="BF14" s="8">
        <f ca="1">IF(OR(BF4="",BF$11&lt;$A14),"",BF4/OFFSET(ParoEPACLM!$A$80,MATCH(BF$12,ParoEPACLM!$A$80:$A$500)+$A14-1,1)-1)</f>
        <v>1.5711200190645647E-2</v>
      </c>
      <c r="BG14" s="8">
        <f ca="1">IF(OR(BG4="",BG$11&lt;$A14),"",BG4/OFFSET(ParoEPACLM!$A$80,MATCH(BG$12,ParoEPACLM!$A$80:$A$500)+$A14-1,1)-1)</f>
        <v>9.357656494644484E-2</v>
      </c>
      <c r="BH14" s="8">
        <f ca="1">IF(OR(BH4="",BH$11&lt;$A14),"",BH4/OFFSET(ParoEPACLM!$A$80,MATCH(BH$12,ParoEPACLM!$A$80:$A$500)+$A14-1,1)-1)</f>
        <v>0.12766840547165303</v>
      </c>
      <c r="BI14" s="8">
        <f ca="1">IF(OR(BI4="",BI$11&lt;$A14),"",BI4/OFFSET(ParoEPACLM!$A$80,MATCH(BI$12,ParoEPACLM!$A$80:$A$500)+$A14-1,1)-1)</f>
        <v>9.3705017069918295E-2</v>
      </c>
      <c r="BJ14" s="8">
        <f ca="1">IF(OR(BJ4="",BJ$11&lt;$A14),"",BJ4/OFFSET(ParoEPACLM!$A$80,MATCH(BJ$12,ParoEPACLM!$A$80:$A$500)+$A14-1,1)-1)</f>
        <v>-5.6159792238770656E-2</v>
      </c>
      <c r="BK14" s="8">
        <f ca="1">IF(OR(BK4="",BK$11&lt;$A14),"",BK4/OFFSET(ParoEPACLM!$A$80,MATCH(BK$12,ParoEPACLM!$A$80:$A$500)+$A14-1,1)-1)</f>
        <v>-0.19160533958067127</v>
      </c>
      <c r="BL14" s="8">
        <f ca="1">IF(OR(BL4="",BL$11&lt;$A14),"",BL4/OFFSET(ParoEPACLM!$A$80,MATCH(BL$12,ParoEPACLM!$A$80:$A$500)+$A14-1,1)-1)</f>
        <v>-6.6533731126204199E-2</v>
      </c>
      <c r="BM14" s="8">
        <f ca="1">IF(OR(BM4="",BM$11&lt;$A14),"",BM4/OFFSET(ParoEPACLM!$A$80,MATCH(BM$12,ParoEPACLM!$A$80:$A$500)+$A14-1,1)-1)</f>
        <v>-2.5284731401783223E-2</v>
      </c>
      <c r="BN14" s="8">
        <f ca="1">IF(OR(BN4="",BN$11&lt;$A14),"",BN4/OFFSET(ParoEPACLM!$A$80,MATCH(BN$12,ParoEPACLM!$A$80:$A$500)+$A14-1,1)-1)</f>
        <v>8.7631948262564263E-2</v>
      </c>
      <c r="BO14" s="8">
        <f ca="1">IF(OR(BO4="",BO$11&lt;$A14),"",BO4/OFFSET(ParoEPACLM!$A$80,MATCH(BO$12,ParoEPACLM!$A$80:$A$500)+$A14-1,1)-1)</f>
        <v>-6.6542321796310033E-2</v>
      </c>
      <c r="BP14" s="8">
        <f ca="1">IF(OR(BP4="",BP$11&lt;$A14),"",BP4/OFFSET(ParoEPACLM!$A$80,MATCH(BP$12,ParoEPACLM!$A$80:$A$500)+$A14-1,1)-1)</f>
        <v>-0.13804649998085572</v>
      </c>
      <c r="BQ14" s="8" t="str">
        <f ca="1">IF(OR(BQ4="",BQ$11&lt;$A14),"",BQ4/OFFSET(ParoEPACLM!$A$80,MATCH(BQ$12,ParoEPACLM!$A$80:$A$500)+$A14-1,1)-1)</f>
        <v/>
      </c>
      <c r="BR14" s="8" t="str">
        <f ca="1">IF(OR(BR4="",BR$11&lt;$A14),"",BR4/OFFSET(ParoEPACLM!$A$80,MATCH(BR$12,ParoEPACLM!$A$80:$A$500)+$A14-1,1)-1)</f>
        <v/>
      </c>
      <c r="BS14" s="8" t="str">
        <f ca="1">IF(OR(BS4="",BS$11&lt;$A14),"",BS4/OFFSET(ParoEPACLM!$A$80,MATCH(BS$12,ParoEPACLM!$A$80:$A$500)+$A14-1,1)-1)</f>
        <v/>
      </c>
      <c r="BT14" s="8" t="str">
        <f ca="1">IF(OR(BT4="",BT$11&lt;$A14),"",BT4/OFFSET(ParoEPACLM!$A$80,MATCH(BT$12,ParoEPACLM!$A$80:$A$500)+$A14-1,1)-1)</f>
        <v/>
      </c>
      <c r="BU14" s="8" t="str">
        <f ca="1">IF(OR(BU4="",BU$11&lt;$A14),"",BU4/OFFSET(ParoEPACLM!$A$80,MATCH(BU$12,ParoEPACLM!$A$80:$A$500)+$A14-1,1)-1)</f>
        <v/>
      </c>
      <c r="BV14" s="8" t="str">
        <f ca="1">IF(OR(BV4="",BV$11&lt;$A14),"",BV4/OFFSET(ParoEPACLM!$A$80,MATCH(BV$12,ParoEPACLM!$A$80:$A$500)+$A14-1,1)-1)</f>
        <v/>
      </c>
      <c r="BW14" s="8" t="str">
        <f ca="1">IF(OR(BW4="",BW$11&lt;$A14),"",BW4/OFFSET(ParoEPACLM!$A$80,MATCH(BW$12,ParoEPACLM!$A$80:$A$500)+$A14-1,1)-1)</f>
        <v/>
      </c>
      <c r="BX14" s="8" t="str">
        <f ca="1">IF(OR(BX4="",BX$11&lt;$A14),"",BX4/OFFSET(ParoEPACLM!$A$80,MATCH(BX$12,ParoEPACLM!$A$80:$A$500)+$A14-1,1)-1)</f>
        <v/>
      </c>
      <c r="BY14" s="8" t="str">
        <f ca="1">IF(OR(BY4="",BY$11&lt;$A14),"",BY4/OFFSET(ParoEPACLM!$A$80,MATCH(BY$12,ParoEPACLM!$A$80:$A$500)+$A14-1,1)-1)</f>
        <v/>
      </c>
      <c r="BZ14" s="8" t="str">
        <f ca="1">IF(OR(BZ4="",BZ$11&lt;$A14),"",BZ4/OFFSET(ParoEPACLM!$A$80,MATCH(BZ$12,ParoEPACLM!$A$80:$A$500)+$A14-1,1)-1)</f>
        <v/>
      </c>
      <c r="CA14" s="8" t="str">
        <f ca="1">IF(OR(CA4="",CA$11&lt;$A14),"",CA4/OFFSET(ParoEPACLM!$A$80,MATCH(CA$12,ParoEPACLM!$A$80:$A$500)+$A14-1,1)-1)</f>
        <v/>
      </c>
      <c r="CB14" s="8" t="str">
        <f ca="1">IF(OR(CB4="",CB$11&lt;$A14),"",CB4/OFFSET(ParoEPACLM!$A$80,MATCH(CB$12,ParoEPACLM!$A$80:$A$500)+$A14-1,1)-1)</f>
        <v/>
      </c>
      <c r="CC14" s="8" t="str">
        <f ca="1">IF(OR(CC4="",CC$11&lt;$A14),"",CC4/OFFSET(ParoEPACLM!$A$80,MATCH(CC$12,ParoEPACLM!$A$80:$A$500)+$A14-1,1)-1)</f>
        <v/>
      </c>
      <c r="CD14" s="8" t="str">
        <f ca="1">IF(OR(CD4="",CD$11&lt;$A14),"",CD4/OFFSET(ParoEPACLM!$A$80,MATCH(CD$12,ParoEPACLM!$A$80:$A$500)+$A14-1,1)-1)</f>
        <v/>
      </c>
      <c r="CE14" s="8" t="str">
        <f ca="1">IF(OR(CE4="",CE$11&lt;$A14),"",CE4/OFFSET(ParoEPACLM!$A$80,MATCH(CE$12,ParoEPACLM!$A$80:$A$500)+$A14-1,1)-1)</f>
        <v/>
      </c>
      <c r="CF14" s="8" t="str">
        <f ca="1">IF(OR(CF4="",CF$11&lt;$A14),"",CF4/OFFSET(ParoEPACLM!$A$80,MATCH(CF$12,ParoEPACLM!$A$80:$A$500)+$A14-1,1)-1)</f>
        <v/>
      </c>
      <c r="CG14" s="8" t="str">
        <f ca="1">IF(OR(CG4="",CG$11&lt;$A14),"",CG4/OFFSET(ParoEPACLM!$A$80,MATCH(CG$12,ParoEPACLM!$A$80:$A$500)+$A14-1,1)-1)</f>
        <v/>
      </c>
      <c r="CH14" s="8" t="str">
        <f ca="1">IF(OR(CH4="",CH$11&lt;$A14),"",CH4/OFFSET(ParoEPACLM!$A$80,MATCH(CH$12,ParoEPACLM!$A$80:$A$500)+$A14-1,1)-1)</f>
        <v/>
      </c>
      <c r="CI14" s="8" t="str">
        <f ca="1">IF(OR(CI4="",CI$11&lt;$A14),"",CI4/OFFSET(ParoEPACLM!$A$80,MATCH(CI$12,ParoEPACLM!$A$80:$A$500)+$A14-1,1)-1)</f>
        <v/>
      </c>
      <c r="CJ14" s="8" t="str">
        <f ca="1">IF(OR(CJ4="",CJ$11&lt;$A14),"",CJ4/OFFSET(ParoEPACLM!$A$80,MATCH(CJ$12,ParoEPACLM!$A$80:$A$500)+$A14-1,1)-1)</f>
        <v/>
      </c>
      <c r="CK14" s="8" t="str">
        <f ca="1">IF(OR(CK4="",CK$11&lt;$A14),"",CK4/OFFSET(ParoEPACLM!$A$80,MATCH(CK$12,ParoEPACLM!$A$80:$A$500)+$A14-1,1)-1)</f>
        <v/>
      </c>
      <c r="CL14" s="8" t="str">
        <f ca="1">IF(OR(CL4="",CL$11&lt;$A14),"",CL4/OFFSET(ParoEPACLM!$A$80,MATCH(CL$12,ParoEPACLM!$A$80:$A$500)+$A14-1,1)-1)</f>
        <v/>
      </c>
      <c r="CM14" s="8" t="str">
        <f ca="1">IF(OR(CM4="",CM$11&lt;$A14),"",CM4/OFFSET(ParoEPACLM!$A$80,MATCH(CM$12,ParoEPACLM!$A$80:$A$500)+$A14-1,1)-1)</f>
        <v/>
      </c>
      <c r="CN14" s="8" t="str">
        <f ca="1">IF(OR(CN4="",CN$11&lt;$A14),"",CN4/OFFSET(ParoEPACLM!$A$80,MATCH(CN$12,ParoEPACLM!$A$80:$A$500)+$A14-1,1)-1)</f>
        <v/>
      </c>
      <c r="CO14" s="8" t="str">
        <f ca="1">IF(OR(CO4="",CO$11&lt;$A14),"",CO4/OFFSET(ParoEPACLM!$A$80,MATCH(CO$12,ParoEPACLM!$A$80:$A$500)+$A14-1,1)-1)</f>
        <v/>
      </c>
      <c r="CP14" s="8" t="str">
        <f ca="1">IF(OR(CP4="",CP$11&lt;$A14),"",CP4/OFFSET(ParoEPACLM!$A$80,MATCH(CP$12,ParoEPACLM!$A$80:$A$500)+$A14-1,1)-1)</f>
        <v/>
      </c>
      <c r="CQ14" s="8" t="str">
        <f ca="1">IF(OR(CQ4="",CQ$11&lt;$A14),"",CQ4/OFFSET(ParoEPACLM!$A$80,MATCH(CQ$12,ParoEPACLM!$A$80:$A$500)+$A14-1,1)-1)</f>
        <v/>
      </c>
      <c r="CR14" s="8" t="str">
        <f ca="1">IF(OR(CR4="",CR$11&lt;$A14),"",CR4/OFFSET(ParoEPACLM!$A$80,MATCH(CR$12,ParoEPACLM!$A$80:$A$500)+$A14-1,1)-1)</f>
        <v/>
      </c>
      <c r="CS14" s="8" t="str">
        <f ca="1">IF(OR(CS4="",CS$11&lt;$A14),"",CS4/OFFSET(ParoEPACLM!$A$80,MATCH(CS$12,ParoEPACLM!$A$80:$A$500)+$A14-1,1)-1)</f>
        <v/>
      </c>
      <c r="CT14" s="8" t="str">
        <f ca="1">IF(OR(CT4="",CT$11&lt;$A14),"",CT4/OFFSET(ParoEPACLM!$A$80,MATCH(CT$12,ParoEPACLM!$A$80:$A$500)+$A14-1,1)-1)</f>
        <v/>
      </c>
      <c r="CU14" s="8" t="str">
        <f ca="1">IF(OR(CU4="",CU$11&lt;$A14),"",CU4/OFFSET(ParoEPACLM!$A$80,MATCH(CU$12,ParoEPACLM!$A$80:$A$500)+$A14-1,1)-1)</f>
        <v/>
      </c>
      <c r="CV14" s="8" t="str">
        <f ca="1">IF(OR(CV4="",CV$11&lt;$A14),"",CV4/OFFSET(ParoEPACLM!$A$80,MATCH(CV$12,ParoEPACLM!$A$80:$A$500)+$A14-1,1)-1)</f>
        <v/>
      </c>
      <c r="CW14" s="8" t="str">
        <f ca="1">IF(OR(CW4="",CW$11&lt;$A14),"",CW4/OFFSET(ParoEPACLM!$A$80,MATCH(CW$12,ParoEPACLM!$A$80:$A$500)+$A14-1,1)-1)</f>
        <v/>
      </c>
      <c r="CX14" s="8" t="str">
        <f ca="1">IF(OR(CX4="",CX$11&lt;$A14),"",CX4/OFFSET(ParoEPACLM!$A$80,MATCH(CX$12,ParoEPACLM!$A$80:$A$500)+$A14-1,1)-1)</f>
        <v/>
      </c>
      <c r="CY14" s="8" t="str">
        <f ca="1">IF(OR(CY4="",CY$11&lt;$A14),"",CY4/OFFSET(ParoEPACLM!$A$80,MATCH(CY$12,ParoEPACLM!$A$80:$A$500)+$A14-1,1)-1)</f>
        <v/>
      </c>
      <c r="CZ14" s="8" t="str">
        <f ca="1">IF(OR(CZ4="",CZ$11&lt;$A14),"",CZ4/OFFSET(ParoEPACLM!$A$80,MATCH(CZ$12,ParoEPACLM!$A$80:$A$500)+$A14-1,1)-1)</f>
        <v/>
      </c>
      <c r="DA14" s="8" t="str">
        <f ca="1">IF(OR(DA4="",DA$11&lt;$A14),"",DA4/OFFSET(ParoEPACLM!$A$80,MATCH(DA$12,ParoEPACLM!$A$80:$A$500)+$A14-1,1)-1)</f>
        <v/>
      </c>
      <c r="DB14" s="8" t="str">
        <f ca="1">IF(OR(DB4="",DB$11&lt;$A14),"",DB4/OFFSET(ParoEPACLM!$A$80,MATCH(DB$12,ParoEPACLM!$A$80:$A$500)+$A14-1,1)-1)</f>
        <v/>
      </c>
      <c r="DC14" s="8" t="str">
        <f ca="1">IF(OR(DC4="",DC$11&lt;$A14),"",DC4/OFFSET(ParoEPACLM!$A$80,MATCH(DC$12,ParoEPACLM!$A$80:$A$500)+$A14-1,1)-1)</f>
        <v/>
      </c>
      <c r="DD14" s="8" t="str">
        <f ca="1">IF(OR(DD4="",DD$11&lt;$A14),"",DD4/OFFSET(ParoEPACLM!$A$80,MATCH(DD$12,ParoEPACLM!$A$80:$A$500)+$A14-1,1)-1)</f>
        <v/>
      </c>
      <c r="DE14" s="8" t="str">
        <f ca="1">IF(OR(DE4="",DE$11&lt;$A14),"",DE4/OFFSET(ParoEPACLM!$A$80,MATCH(DE$12,ParoEPACLM!$A$80:$A$500)+$A14-1,1)-1)</f>
        <v/>
      </c>
      <c r="DF14" s="8" t="str">
        <f ca="1">IF(OR(DF4="",DF$11&lt;$A14),"",DF4/OFFSET(ParoEPACLM!$A$80,MATCH(DF$12,ParoEPACLM!$A$80:$A$500)+$A14-1,1)-1)</f>
        <v/>
      </c>
      <c r="DG14" s="8" t="str">
        <f ca="1">IF(OR(DG4="",DG$11&lt;$A14),"",DG4/OFFSET(ParoEPACLM!$A$80,MATCH(DG$12,ParoEPACLM!$A$80:$A$500)+$A14-1,1)-1)</f>
        <v/>
      </c>
      <c r="DH14" s="8" t="str">
        <f ca="1">IF(OR(DH4="",DH$11&lt;$A14),"",DH4/OFFSET(ParoEPACLM!$A$80,MATCH(DH$12,ParoEPACLM!$A$80:$A$500)+$A14-1,1)-1)</f>
        <v/>
      </c>
      <c r="DI14" s="8" t="str">
        <f ca="1">IF(OR(DI4="",DI$11&lt;$A14),"",DI4/OFFSET(ParoEPACLM!$A$80,MATCH(DI$12,ParoEPACLM!$A$80:$A$500)+$A14-1,1)-1)</f>
        <v/>
      </c>
      <c r="DJ14" s="8" t="str">
        <f ca="1">IF(OR(DJ4="",DJ$11&lt;$A14),"",DJ4/OFFSET(ParoEPACLM!$A$80,MATCH(DJ$12,ParoEPACLM!$A$80:$A$500)+$A14-1,1)-1)</f>
        <v/>
      </c>
      <c r="DK14" s="8" t="str">
        <f ca="1">IF(OR(DK4="",DK$11&lt;$A14),"",DK4/OFFSET(ParoEPACLM!$A$80,MATCH(DK$12,ParoEPACLM!$A$80:$A$500)+$A14-1,1)-1)</f>
        <v/>
      </c>
      <c r="DL14" s="8" t="str">
        <f ca="1">IF(OR(DL4="",DL$11&lt;$A14),"",DL4/OFFSET(ParoEPACLM!$A$80,MATCH(DL$12,ParoEPACLM!$A$80:$A$500)+$A14-1,1)-1)</f>
        <v/>
      </c>
      <c r="DM14" s="8" t="str">
        <f ca="1">IF(OR(DM4="",DM$11&lt;$A14),"",DM4/OFFSET(ParoEPACLM!$A$80,MATCH(DM$12,ParoEPACLM!$A$80:$A$500)+$A14-1,1)-1)</f>
        <v/>
      </c>
      <c r="DN14" s="8" t="str">
        <f ca="1">IF(OR(DN4="",DN$11&lt;$A14),"",DN4/OFFSET(ParoEPACLM!$A$80,MATCH(DN$12,ParoEPACLM!$A$80:$A$500)+$A14-1,1)-1)</f>
        <v/>
      </c>
      <c r="DO14" s="8" t="str">
        <f ca="1">IF(OR(DO4="",DO$11&lt;$A14),"",DO4/OFFSET(ParoEPACLM!$A$80,MATCH(DO$12,ParoEPACLM!$A$80:$A$500)+$A14-1,1)-1)</f>
        <v/>
      </c>
      <c r="DP14" s="8" t="str">
        <f ca="1">IF(OR(DP4="",DP$11&lt;$A14),"",DP4/OFFSET(ParoEPACLM!$A$80,MATCH(DP$12,ParoEPACLM!$A$80:$A$500)+$A14-1,1)-1)</f>
        <v/>
      </c>
      <c r="DQ14" s="8" t="str">
        <f ca="1">IF(OR(DQ4="",DQ$11&lt;$A14),"",DQ4/OFFSET(ParoEPACLM!$A$80,MATCH(DQ$12,ParoEPACLM!$A$80:$A$500)+$A14-1,1)-1)</f>
        <v/>
      </c>
      <c r="DR14" s="8" t="str">
        <f ca="1">IF(OR(DR4="",DR$11&lt;$A14),"",DR4/OFFSET(ParoEPACLM!$A$80,MATCH(DR$12,ParoEPACLM!$A$80:$A$500)+$A14-1,1)-1)</f>
        <v/>
      </c>
      <c r="DS14" s="12">
        <f t="shared" ca="1" si="51"/>
        <v>1.7507994888875604E-2</v>
      </c>
      <c r="DT14" s="12">
        <f t="shared" ca="1" si="52"/>
        <v>2.6010619635956633E-2</v>
      </c>
      <c r="DU14" s="13">
        <f t="shared" ca="1" si="53"/>
        <v>5.361832869548307E-3</v>
      </c>
      <c r="DV14" s="15">
        <f t="shared" ref="DV14:DV16" ca="1" si="56">SQRT(DU14)</f>
        <v>7.322453734608575E-2</v>
      </c>
      <c r="DW14" s="14" t="str">
        <f t="shared" ca="1" si="54"/>
        <v>[ -12,89% ; 16,40% ]</v>
      </c>
      <c r="DX14" s="15">
        <f t="shared" ca="1" si="55"/>
        <v>7.322453734608575E-2</v>
      </c>
      <c r="GI14" s="1"/>
    </row>
    <row r="15" spans="1:191" x14ac:dyDescent="0.25">
      <c r="A15" s="4">
        <v>3</v>
      </c>
      <c r="B15" s="8">
        <f ca="1">IF(OR(B5="",B$11&lt;$A15),"",B5/OFFSET(ParoEPACLM!$A$80,MATCH(B$12,ParoEPACLM!$A$80:$A$500)+$A15-1,1)-1)</f>
        <v>1.9157351314564863E-3</v>
      </c>
      <c r="C15" s="8">
        <f ca="1">IF(OR(C5="",C$11&lt;$A15),"",C5/OFFSET(ParoEPACLM!$A$80,MATCH(C$12,ParoEPACLM!$A$80:$A$500)+$A15-1,1)-1)</f>
        <v>-0.11246625561117607</v>
      </c>
      <c r="D15" s="8">
        <f ca="1">IF(OR(D5="",D$11&lt;$A15),"",D5/OFFSET(ParoEPACLM!$A$80,MATCH(D$12,ParoEPACLM!$A$80:$A$500)+$A15-1,1)-1)</f>
        <v>-9.7758823521357896E-2</v>
      </c>
      <c r="E15" s="8">
        <f ca="1">IF(OR(E5="",E$11&lt;$A15),"",E5/OFFSET(ParoEPACLM!$A$80,MATCH(E$12,ParoEPACLM!$A$80:$A$500)+$A15-1,1)-1)</f>
        <v>-8.1269071632417589E-2</v>
      </c>
      <c r="F15" s="8">
        <f ca="1">IF(OR(F5="",F$11&lt;$A15),"",F5/OFFSET(ParoEPACLM!$A$80,MATCH(F$12,ParoEPACLM!$A$80:$A$500)+$A15-1,1)-1)</f>
        <v>0.10297829756021626</v>
      </c>
      <c r="G15" s="8">
        <f ca="1">IF(OR(G5="",G$11&lt;$A15),"",G5/OFFSET(ParoEPACLM!$A$80,MATCH(G$12,ParoEPACLM!$A$80:$A$500)+$A15-1,1)-1)</f>
        <v>-3.6159685479644321E-2</v>
      </c>
      <c r="H15" s="8">
        <f ca="1">IF(OR(H5="",H$11&lt;$A15),"",H5/OFFSET(ParoEPACLM!$A$80,MATCH(H$12,ParoEPACLM!$A$80:$A$500)+$A15-1,1)-1)</f>
        <v>3.915502870835641E-2</v>
      </c>
      <c r="I15" s="8">
        <f ca="1">IF(OR(I5="",I$11&lt;$A15),"",I5/OFFSET(ParoEPACLM!$A$80,MATCH(I$12,ParoEPACLM!$A$80:$A$500)+$A15-1,1)-1)</f>
        <v>-5.3708488176013036E-2</v>
      </c>
      <c r="J15" s="8">
        <f ca="1">IF(OR(J5="",J$11&lt;$A15),"",J5/OFFSET(ParoEPACLM!$A$80,MATCH(J$12,ParoEPACLM!$A$80:$A$500)+$A15-1,1)-1)</f>
        <v>-3.8717887985764921E-2</v>
      </c>
      <c r="K15" s="8">
        <f ca="1">IF(OR(K5="",K$11&lt;$A15),"",K5/OFFSET(ParoEPACLM!$A$80,MATCH(K$12,ParoEPACLM!$A$80:$A$500)+$A15-1,1)-1)</f>
        <v>0.12260162230445859</v>
      </c>
      <c r="L15" s="8">
        <f ca="1">IF(OR(L5="",L$11&lt;$A15),"",L5/OFFSET(ParoEPACLM!$A$80,MATCH(L$12,ParoEPACLM!$A$80:$A$500)+$A15-1,1)-1)</f>
        <v>0.20955570585888417</v>
      </c>
      <c r="M15" s="8">
        <f ca="1">IF(OR(M5="",M$11&lt;$A15),"",M5/OFFSET(ParoEPACLM!$A$80,MATCH(M$12,ParoEPACLM!$A$80:$A$500)+$A15-1,1)-1)</f>
        <v>0.1300613145657068</v>
      </c>
      <c r="N15" s="8">
        <f ca="1">IF(OR(N5="",N$11&lt;$A15),"",N5/OFFSET(ParoEPACLM!$A$80,MATCH(N$12,ParoEPACLM!$A$80:$A$500)+$A15-1,1)-1)</f>
        <v>2.5011809793102913E-2</v>
      </c>
      <c r="O15" s="8">
        <f ca="1">IF(OR(O5="",O$11&lt;$A15),"",O5/OFFSET(ParoEPACLM!$A$80,MATCH(O$12,ParoEPACLM!$A$80:$A$500)+$A15-1,1)-1)</f>
        <v>-0.1368196469454479</v>
      </c>
      <c r="P15" s="8">
        <f ca="1">IF(OR(P5="",P$11&lt;$A15),"",P5/OFFSET(ParoEPACLM!$A$80,MATCH(P$12,ParoEPACLM!$A$80:$A$500)+$A15-1,1)-1)</f>
        <v>-0.20221216030279787</v>
      </c>
      <c r="Q15" s="8">
        <f ca="1">IF(OR(Q5="",Q$11&lt;$A15),"",Q5/OFFSET(ParoEPACLM!$A$80,MATCH(Q$12,ParoEPACLM!$A$80:$A$500)+$A15-1,1)-1)</f>
        <v>-0.34918562523929109</v>
      </c>
      <c r="R15" s="8">
        <f ca="1">IF(OR(R5="",R$11&lt;$A15),"",R5/OFFSET(ParoEPACLM!$A$80,MATCH(R$12,ParoEPACLM!$A$80:$A$500)+$A15-1,1)-1)</f>
        <v>-0.35182215597948763</v>
      </c>
      <c r="S15" s="8">
        <f ca="1">IF(OR(S5="",S$11&lt;$A15),"",S5/OFFSET(ParoEPACLM!$A$80,MATCH(S$12,ParoEPACLM!$A$80:$A$500)+$A15-1,1)-1)</f>
        <v>-0.37977059585175488</v>
      </c>
      <c r="T15" s="8">
        <f ca="1">IF(OR(T5="",T$11&lt;$A15),"",T5/OFFSET(ParoEPACLM!$A$80,MATCH(T$12,ParoEPACLM!$A$80:$A$500)+$A15-1,1)-1)</f>
        <v>-0.38869307207637604</v>
      </c>
      <c r="U15" s="8">
        <f ca="1">IF(OR(U5="",U$11&lt;$A15),"",U5/OFFSET(ParoEPACLM!$A$80,MATCH(U$12,ParoEPACLM!$A$80:$A$500)+$A15-1,1)-1)</f>
        <v>-0.34052418542168683</v>
      </c>
      <c r="V15" s="8">
        <f ca="1">IF(OR(V5="",V$11&lt;$A15),"",V5/OFFSET(ParoEPACLM!$A$80,MATCH(V$12,ParoEPACLM!$A$80:$A$500)+$A15-1,1)-1)</f>
        <v>-4.4392802103734974E-2</v>
      </c>
      <c r="W15" s="8">
        <f ca="1">IF(OR(W5="",W$11&lt;$A15),"",W5/OFFSET(ParoEPACLM!$A$80,MATCH(W$12,ParoEPACLM!$A$80:$A$500)+$A15-1,1)-1)</f>
        <v>0.25616269896238353</v>
      </c>
      <c r="X15" s="8">
        <f ca="1">IF(OR(X5="",X$11&lt;$A15),"",X5/OFFSET(ParoEPACLM!$A$80,MATCH(X$12,ParoEPACLM!$A$80:$A$500)+$A15-1,1)-1)</f>
        <v>0.21069196280479074</v>
      </c>
      <c r="Y15" s="8">
        <f ca="1">IF(OR(Y5="",Y$11&lt;$A15),"",Y5/OFFSET(ParoEPACLM!$A$80,MATCH(Y$12,ParoEPACLM!$A$80:$A$500)+$A15-1,1)-1)</f>
        <v>1.0784276352849842E-2</v>
      </c>
      <c r="Z15" s="8">
        <f ca="1">IF(OR(Z5="",Z$11&lt;$A15),"",Z5/OFFSET(ParoEPACLM!$A$80,MATCH(Z$12,ParoEPACLM!$A$80:$A$500)+$A15-1,1)-1)</f>
        <v>-8.449875340785562E-3</v>
      </c>
      <c r="AA15" s="8">
        <f ca="1">IF(OR(AA5="",AA$11&lt;$A15),"",AA5/OFFSET(ParoEPACLM!$A$80,MATCH(AA$12,ParoEPACLM!$A$80:$A$500)+$A15-1,1)-1)</f>
        <v>8.8407687763437437E-2</v>
      </c>
      <c r="AB15" s="8">
        <f ca="1">IF(OR(AB5="",AB$11&lt;$A15),"",AB5/OFFSET(ParoEPACLM!$A$80,MATCH(AB$12,ParoEPACLM!$A$80:$A$500)+$A15-1,1)-1)</f>
        <v>7.3635492427073013E-2</v>
      </c>
      <c r="AC15" s="8">
        <f ca="1">IF(OR(AC5="",AC$11&lt;$A15),"",AC5/OFFSET(ParoEPACLM!$A$80,MATCH(AC$12,ParoEPACLM!$A$80:$A$500)+$A15-1,1)-1)</f>
        <v>-5.9675656053370441E-2</v>
      </c>
      <c r="AD15" s="8">
        <f ca="1">IF(OR(AD5="",AD$11&lt;$A15),"",AD5/OFFSET(ParoEPACLM!$A$80,MATCH(AD$12,ParoEPACLM!$A$80:$A$500)+$A15-1,1)-1)</f>
        <v>-1.3515037742946601E-2</v>
      </c>
      <c r="AE15" s="8">
        <f ca="1">IF(OR(AE5="",AE$11&lt;$A15),"",AE5/OFFSET(ParoEPACLM!$A$80,MATCH(AE$12,ParoEPACLM!$A$80:$A$500)+$A15-1,1)-1)</f>
        <v>-9.8648985107616549E-2</v>
      </c>
      <c r="AF15" s="8">
        <f ca="1">IF(OR(AF5="",AF$11&lt;$A15),"",AF5/OFFSET(ParoEPACLM!$A$80,MATCH(AF$12,ParoEPACLM!$A$80:$A$500)+$A15-1,1)-1)</f>
        <v>-5.0747063734369324E-2</v>
      </c>
      <c r="AG15" s="8">
        <f ca="1">IF(OR(AG5="",AG$11&lt;$A15),"",AG5/OFFSET(ParoEPACLM!$A$80,MATCH(AG$12,ParoEPACLM!$A$80:$A$500)+$A15-1,1)-1)</f>
        <v>-9.7066227503828539E-2</v>
      </c>
      <c r="AH15" s="8">
        <f ca="1">IF(OR(AH5="",AH$11&lt;$A15),"",AH5/OFFSET(ParoEPACLM!$A$80,MATCH(AH$12,ParoEPACLM!$A$80:$A$500)+$A15-1,1)-1)</f>
        <v>-7.6365222120015508E-2</v>
      </c>
      <c r="AI15" s="8">
        <f ca="1">IF(OR(AI5="",AI$11&lt;$A15),"",AI5/OFFSET(ParoEPACLM!$A$80,MATCH(AI$12,ParoEPACLM!$A$80:$A$500)+$A15-1,1)-1)</f>
        <v>-6.1577366152865132E-5</v>
      </c>
      <c r="AJ15" s="8">
        <f ca="1">IF(OR(AJ5="",AJ$11&lt;$A15),"",AJ5/OFFSET(ParoEPACLM!$A$80,MATCH(AJ$12,ParoEPACLM!$A$80:$A$500)+$A15-1,1)-1)</f>
        <v>4.5964344192847895E-2</v>
      </c>
      <c r="AK15" s="8">
        <f ca="1">IF(OR(AK5="",AK$11&lt;$A15),"",AK5/OFFSET(ParoEPACLM!$A$80,MATCH(AK$12,ParoEPACLM!$A$80:$A$500)+$A15-1,1)-1)</f>
        <v>4.863698618502621E-2</v>
      </c>
      <c r="AL15" s="8">
        <f ca="1">IF(OR(AL5="",AL$11&lt;$A15),"",AL5/OFFSET(ParoEPACLM!$A$80,MATCH(AL$12,ParoEPACLM!$A$80:$A$500)+$A15-1,1)-1)</f>
        <v>8.2281754920828343E-2</v>
      </c>
      <c r="AM15" s="8">
        <f ca="1">IF(OR(AM5="",AM$11&lt;$A15),"",AM5/OFFSET(ParoEPACLM!$A$80,MATCH(AM$12,ParoEPACLM!$A$80:$A$500)+$A15-1,1)-1)</f>
        <v>0.1290831514469073</v>
      </c>
      <c r="AN15" s="8">
        <f ca="1">IF(OR(AN5="",AN$11&lt;$A15),"",AN5/OFFSET(ParoEPACLM!$A$80,MATCH(AN$12,ParoEPACLM!$A$80:$A$500)+$A15-1,1)-1)</f>
        <v>6.6205081125184861E-2</v>
      </c>
      <c r="AO15" s="8">
        <f ca="1">IF(OR(AO5="",AO$11&lt;$A15),"",AO5/OFFSET(ParoEPACLM!$A$80,MATCH(AO$12,ParoEPACLM!$A$80:$A$500)+$A15-1,1)-1)</f>
        <v>0.14561548719103601</v>
      </c>
      <c r="AP15" s="8">
        <f ca="1">IF(OR(AP5="",AP$11&lt;$A15),"",AP5/OFFSET(ParoEPACLM!$A$80,MATCH(AP$12,ParoEPACLM!$A$80:$A$500)+$A15-1,1)-1)</f>
        <v>-8.5840592566261975E-3</v>
      </c>
      <c r="AQ15" s="8">
        <f ca="1">IF(OR(AQ5="",AQ$11&lt;$A15),"",AQ5/OFFSET(ParoEPACLM!$A$80,MATCH(AQ$12,ParoEPACLM!$A$80:$A$500)+$A15-1,1)-1)</f>
        <v>7.1675679439760387E-2</v>
      </c>
      <c r="AR15" s="8">
        <f ca="1">IF(OR(AR5="",AR$11&lt;$A15),"",AR5/OFFSET(ParoEPACLM!$A$80,MATCH(AR$12,ParoEPACLM!$A$80:$A$500)+$A15-1,1)-1)</f>
        <v>1.5667813661171204E-2</v>
      </c>
      <c r="AS15" s="8">
        <f ca="1">IF(OR(AS5="",AS$11&lt;$A15),"",AS5/OFFSET(ParoEPACLM!$A$80,MATCH(AS$12,ParoEPACLM!$A$80:$A$500)+$A15-1,1)-1)</f>
        <v>0.14407460689360452</v>
      </c>
      <c r="AT15" s="8">
        <f ca="1">IF(OR(AT5="",AT$11&lt;$A15),"",AT5/OFFSET(ParoEPACLM!$A$80,MATCH(AT$12,ParoEPACLM!$A$80:$A$500)+$A15-1,1)-1)</f>
        <v>0.11454470406641892</v>
      </c>
      <c r="AU15" s="8">
        <f ca="1">IF(OR(AU5="",AU$11&lt;$A15),"",AU5/OFFSET(ParoEPACLM!$A$80,MATCH(AU$12,ParoEPACLM!$A$80:$A$500)+$A15-1,1)-1)</f>
        <v>6.7489677820418148E-2</v>
      </c>
      <c r="AV15" s="8">
        <f ca="1">IF(OR(AV5="",AV$11&lt;$A15),"",AV5/OFFSET(ParoEPACLM!$A$80,MATCH(AV$12,ParoEPACLM!$A$80:$A$500)+$A15-1,1)-1)</f>
        <v>3.5478457895323334E-2</v>
      </c>
      <c r="AW15" s="8">
        <f ca="1">IF(OR(AW5="",AW$11&lt;$A15),"",AW5/OFFSET(ParoEPACLM!$A$80,MATCH(AW$12,ParoEPACLM!$A$80:$A$500)+$A15-1,1)-1)</f>
        <v>7.9045361298208938E-3</v>
      </c>
      <c r="AX15" s="8">
        <f ca="1">IF(OR(AX5="",AX$11&lt;$A15),"",AX5/OFFSET(ParoEPACLM!$A$80,MATCH(AX$12,ParoEPACLM!$A$80:$A$500)+$A15-1,1)-1)</f>
        <v>2.0992304242415161E-2</v>
      </c>
      <c r="AY15" s="8">
        <f ca="1">IF(OR(AY5="",AY$11&lt;$A15),"",AY5/OFFSET(ParoEPACLM!$A$80,MATCH(AY$12,ParoEPACLM!$A$80:$A$500)+$A15-1,1)-1)</f>
        <v>4.9831372821968811E-2</v>
      </c>
      <c r="AZ15" s="8">
        <f ca="1">IF(OR(AZ5="",AZ$11&lt;$A15),"",AZ5/OFFSET(ParoEPACLM!$A$80,MATCH(AZ$12,ParoEPACLM!$A$80:$A$500)+$A15-1,1)-1)</f>
        <v>1.8619890326813993E-2</v>
      </c>
      <c r="BA15" s="8">
        <f ca="1">IF(OR(BA5="",BA$11&lt;$A15),"",BA5/OFFSET(ParoEPACLM!$A$80,MATCH(BA$12,ParoEPACLM!$A$80:$A$500)+$A15-1,1)-1)</f>
        <v>1.7824827038539937E-2</v>
      </c>
      <c r="BB15" s="8">
        <f ca="1">IF(OR(BB5="",BB$11&lt;$A15),"",BB5/OFFSET(ParoEPACLM!$A$80,MATCH(BB$12,ParoEPACLM!$A$80:$A$500)+$A15-1,1)-1)</f>
        <v>0.11552241371933514</v>
      </c>
      <c r="BC15" s="8">
        <f ca="1">IF(OR(BC5="",BC$11&lt;$A15),"",BC5/OFFSET(ParoEPACLM!$A$80,MATCH(BC$12,ParoEPACLM!$A$80:$A$500)+$A15-1,1)-1)</f>
        <v>4.1183779417437227E-2</v>
      </c>
      <c r="BD15" s="8">
        <f ca="1">IF(OR(BD5="",BD$11&lt;$A15),"",BD5/OFFSET(ParoEPACLM!$A$80,MATCH(BD$12,ParoEPACLM!$A$80:$A$500)+$A15-1,1)-1)</f>
        <v>8.6479013670006877E-2</v>
      </c>
      <c r="BE15" s="8">
        <f ca="1">IF(OR(BE5="",BE$11&lt;$A15),"",BE5/OFFSET(ParoEPACLM!$A$80,MATCH(BE$12,ParoEPACLM!$A$80:$A$500)+$A15-1,1)-1)</f>
        <v>-7.6543208272269347E-2</v>
      </c>
      <c r="BF15" s="8">
        <f ca="1">IF(OR(BF5="",BF$11&lt;$A15),"",BF5/OFFSET(ParoEPACLM!$A$80,MATCH(BF$12,ParoEPACLM!$A$80:$A$500)+$A15-1,1)-1)</f>
        <v>7.798312444819766E-2</v>
      </c>
      <c r="BG15" s="8">
        <f ca="1">IF(OR(BG5="",BG$11&lt;$A15),"",BG5/OFFSET(ParoEPACLM!$A$80,MATCH(BG$12,ParoEPACLM!$A$80:$A$500)+$A15-1,1)-1)</f>
        <v>0.17109660094238377</v>
      </c>
      <c r="BH15" s="8">
        <f ca="1">IF(OR(BH5="",BH$11&lt;$A15),"",BH5/OFFSET(ParoEPACLM!$A$80,MATCH(BH$12,ParoEPACLM!$A$80:$A$500)+$A15-1,1)-1)</f>
        <v>0.19578466040363285</v>
      </c>
      <c r="BI15" s="8">
        <f ca="1">IF(OR(BI5="",BI$11&lt;$A15),"",BI5/OFFSET(ParoEPACLM!$A$80,MATCH(BI$12,ParoEPACLM!$A$80:$A$500)+$A15-1,1)-1)</f>
        <v>-2.1710525731277741E-4</v>
      </c>
      <c r="BJ15" s="8">
        <f ca="1">IF(OR(BJ5="",BJ$11&lt;$A15),"",BJ5/OFFSET(ParoEPACLM!$A$80,MATCH(BJ$12,ParoEPACLM!$A$80:$A$500)+$A15-1,1)-1)</f>
        <v>-0.15167473393860165</v>
      </c>
      <c r="BK15" s="8">
        <f ca="1">IF(OR(BK5="",BK$11&lt;$A15),"",BK5/OFFSET(ParoEPACLM!$A$80,MATCH(BK$12,ParoEPACLM!$A$80:$A$500)+$A15-1,1)-1)</f>
        <v>-0.21347935260279383</v>
      </c>
      <c r="BL15" s="8">
        <f ca="1">IF(OR(BL5="",BL$11&lt;$A15),"",BL5/OFFSET(ParoEPACLM!$A$80,MATCH(BL$12,ParoEPACLM!$A$80:$A$500)+$A15-1,1)-1)</f>
        <v>-0.11420209872270792</v>
      </c>
      <c r="BM15" s="8">
        <f ca="1">IF(OR(BM5="",BM$11&lt;$A15),"",BM5/OFFSET(ParoEPACLM!$A$80,MATCH(BM$12,ParoEPACLM!$A$80:$A$500)+$A15-1,1)-1)</f>
        <v>8.6358179218508413E-2</v>
      </c>
      <c r="BN15" s="8">
        <f ca="1">IF(OR(BN5="",BN$11&lt;$A15),"",BN5/OFFSET(ParoEPACLM!$A$80,MATCH(BN$12,ParoEPACLM!$A$80:$A$500)+$A15-1,1)-1)</f>
        <v>-9.2702251927692769E-2</v>
      </c>
      <c r="BO15" s="8">
        <f ca="1">IF(OR(BO5="",BO$11&lt;$A15),"",BO5/OFFSET(ParoEPACLM!$A$80,MATCH(BO$12,ParoEPACLM!$A$80:$A$500)+$A15-1,1)-1)</f>
        <v>1.9087466161971545E-2</v>
      </c>
      <c r="BP15" s="8" t="str">
        <f ca="1">IF(OR(BP5="",BP$11&lt;$A15),"",BP5/OFFSET(ParoEPACLM!$A$80,MATCH(BP$12,ParoEPACLM!$A$80:$A$500)+$A15-1,1)-1)</f>
        <v/>
      </c>
      <c r="BQ15" s="8" t="str">
        <f ca="1">IF(OR(BQ5="",BQ$11&lt;$A15),"",BQ5/OFFSET(ParoEPACLM!$A$80,MATCH(BQ$12,ParoEPACLM!$A$80:$A$500)+$A15-1,1)-1)</f>
        <v/>
      </c>
      <c r="BR15" s="8" t="str">
        <f ca="1">IF(OR(BR5="",BR$11&lt;$A15),"",BR5/OFFSET(ParoEPACLM!$A$80,MATCH(BR$12,ParoEPACLM!$A$80:$A$500)+$A15-1,1)-1)</f>
        <v/>
      </c>
      <c r="BS15" s="8" t="str">
        <f ca="1">IF(OR(BS5="",BS$11&lt;$A15),"",BS5/OFFSET(ParoEPACLM!$A$80,MATCH(BS$12,ParoEPACLM!$A$80:$A$500)+$A15-1,1)-1)</f>
        <v/>
      </c>
      <c r="BT15" s="8" t="str">
        <f ca="1">IF(OR(BT5="",BT$11&lt;$A15),"",BT5/OFFSET(ParoEPACLM!$A$80,MATCH(BT$12,ParoEPACLM!$A$80:$A$500)+$A15-1,1)-1)</f>
        <v/>
      </c>
      <c r="BU15" s="8" t="str">
        <f ca="1">IF(OR(BU5="",BU$11&lt;$A15),"",BU5/OFFSET(ParoEPACLM!$A$80,MATCH(BU$12,ParoEPACLM!$A$80:$A$500)+$A15-1,1)-1)</f>
        <v/>
      </c>
      <c r="BV15" s="8" t="str">
        <f ca="1">IF(OR(BV5="",BV$11&lt;$A15),"",BV5/OFFSET(ParoEPACLM!$A$80,MATCH(BV$12,ParoEPACLM!$A$80:$A$500)+$A15-1,1)-1)</f>
        <v/>
      </c>
      <c r="BW15" s="8" t="str">
        <f ca="1">IF(OR(BW5="",BW$11&lt;$A15),"",BW5/OFFSET(ParoEPACLM!$A$80,MATCH(BW$12,ParoEPACLM!$A$80:$A$500)+$A15-1,1)-1)</f>
        <v/>
      </c>
      <c r="BX15" s="8" t="str">
        <f ca="1">IF(OR(BX5="",BX$11&lt;$A15),"",BX5/OFFSET(ParoEPACLM!$A$80,MATCH(BX$12,ParoEPACLM!$A$80:$A$500)+$A15-1,1)-1)</f>
        <v/>
      </c>
      <c r="BY15" s="8" t="str">
        <f ca="1">IF(OR(BY5="",BY$11&lt;$A15),"",BY5/OFFSET(ParoEPACLM!$A$80,MATCH(BY$12,ParoEPACLM!$A$80:$A$500)+$A15-1,1)-1)</f>
        <v/>
      </c>
      <c r="BZ15" s="8" t="str">
        <f ca="1">IF(OR(BZ5="",BZ$11&lt;$A15),"",BZ5/OFFSET(ParoEPACLM!$A$80,MATCH(BZ$12,ParoEPACLM!$A$80:$A$500)+$A15-1,1)-1)</f>
        <v/>
      </c>
      <c r="CA15" s="8" t="str">
        <f ca="1">IF(OR(CA5="",CA$11&lt;$A15),"",CA5/OFFSET(ParoEPACLM!$A$80,MATCH(CA$12,ParoEPACLM!$A$80:$A$500)+$A15-1,1)-1)</f>
        <v/>
      </c>
      <c r="CB15" s="8" t="str">
        <f ca="1">IF(OR(CB5="",CB$11&lt;$A15),"",CB5/OFFSET(ParoEPACLM!$A$80,MATCH(CB$12,ParoEPACLM!$A$80:$A$500)+$A15-1,1)-1)</f>
        <v/>
      </c>
      <c r="CC15" s="8" t="str">
        <f ca="1">IF(OR(CC5="",CC$11&lt;$A15),"",CC5/OFFSET(ParoEPACLM!$A$80,MATCH(CC$12,ParoEPACLM!$A$80:$A$500)+$A15-1,1)-1)</f>
        <v/>
      </c>
      <c r="CD15" s="8" t="str">
        <f ca="1">IF(OR(CD5="",CD$11&lt;$A15),"",CD5/OFFSET(ParoEPACLM!$A$80,MATCH(CD$12,ParoEPACLM!$A$80:$A$500)+$A15-1,1)-1)</f>
        <v/>
      </c>
      <c r="CE15" s="8" t="str">
        <f ca="1">IF(OR(CE5="",CE$11&lt;$A15),"",CE5/OFFSET(ParoEPACLM!$A$80,MATCH(CE$12,ParoEPACLM!$A$80:$A$500)+$A15-1,1)-1)</f>
        <v/>
      </c>
      <c r="CF15" s="8" t="str">
        <f ca="1">IF(OR(CF5="",CF$11&lt;$A15),"",CF5/OFFSET(ParoEPACLM!$A$80,MATCH(CF$12,ParoEPACLM!$A$80:$A$500)+$A15-1,1)-1)</f>
        <v/>
      </c>
      <c r="CG15" s="8" t="str">
        <f ca="1">IF(OR(CG5="",CG$11&lt;$A15),"",CG5/OFFSET(ParoEPACLM!$A$80,MATCH(CG$12,ParoEPACLM!$A$80:$A$500)+$A15-1,1)-1)</f>
        <v/>
      </c>
      <c r="CH15" s="8" t="str">
        <f ca="1">IF(OR(CH5="",CH$11&lt;$A15),"",CH5/OFFSET(ParoEPACLM!$A$80,MATCH(CH$12,ParoEPACLM!$A$80:$A$500)+$A15-1,1)-1)</f>
        <v/>
      </c>
      <c r="CI15" s="8" t="str">
        <f ca="1">IF(OR(CI5="",CI$11&lt;$A15),"",CI5/OFFSET(ParoEPACLM!$A$80,MATCH(CI$12,ParoEPACLM!$A$80:$A$500)+$A15-1,1)-1)</f>
        <v/>
      </c>
      <c r="CJ15" s="8" t="str">
        <f ca="1">IF(OR(CJ5="",CJ$11&lt;$A15),"",CJ5/OFFSET(ParoEPACLM!$A$80,MATCH(CJ$12,ParoEPACLM!$A$80:$A$500)+$A15-1,1)-1)</f>
        <v/>
      </c>
      <c r="CK15" s="8" t="str">
        <f ca="1">IF(OR(CK5="",CK$11&lt;$A15),"",CK5/OFFSET(ParoEPACLM!$A$80,MATCH(CK$12,ParoEPACLM!$A$80:$A$500)+$A15-1,1)-1)</f>
        <v/>
      </c>
      <c r="CL15" s="8" t="str">
        <f ca="1">IF(OR(CL5="",CL$11&lt;$A15),"",CL5/OFFSET(ParoEPACLM!$A$80,MATCH(CL$12,ParoEPACLM!$A$80:$A$500)+$A15-1,1)-1)</f>
        <v/>
      </c>
      <c r="CM15" s="8" t="str">
        <f ca="1">IF(OR(CM5="",CM$11&lt;$A15),"",CM5/OFFSET(ParoEPACLM!$A$80,MATCH(CM$12,ParoEPACLM!$A$80:$A$500)+$A15-1,1)-1)</f>
        <v/>
      </c>
      <c r="CN15" s="8" t="str">
        <f ca="1">IF(OR(CN5="",CN$11&lt;$A15),"",CN5/OFFSET(ParoEPACLM!$A$80,MATCH(CN$12,ParoEPACLM!$A$80:$A$500)+$A15-1,1)-1)</f>
        <v/>
      </c>
      <c r="CO15" s="8" t="str">
        <f ca="1">IF(OR(CO5="",CO$11&lt;$A15),"",CO5/OFFSET(ParoEPACLM!$A$80,MATCH(CO$12,ParoEPACLM!$A$80:$A$500)+$A15-1,1)-1)</f>
        <v/>
      </c>
      <c r="CP15" s="8" t="str">
        <f ca="1">IF(OR(CP5="",CP$11&lt;$A15),"",CP5/OFFSET(ParoEPACLM!$A$80,MATCH(CP$12,ParoEPACLM!$A$80:$A$500)+$A15-1,1)-1)</f>
        <v/>
      </c>
      <c r="CQ15" s="8" t="str">
        <f ca="1">IF(OR(CQ5="",CQ$11&lt;$A15),"",CQ5/OFFSET(ParoEPACLM!$A$80,MATCH(CQ$12,ParoEPACLM!$A$80:$A$500)+$A15-1,1)-1)</f>
        <v/>
      </c>
      <c r="CR15" s="8" t="str">
        <f ca="1">IF(OR(CR5="",CR$11&lt;$A15),"",CR5/OFFSET(ParoEPACLM!$A$80,MATCH(CR$12,ParoEPACLM!$A$80:$A$500)+$A15-1,1)-1)</f>
        <v/>
      </c>
      <c r="CS15" s="8" t="str">
        <f ca="1">IF(OR(CS5="",CS$11&lt;$A15),"",CS5/OFFSET(ParoEPACLM!$A$80,MATCH(CS$12,ParoEPACLM!$A$80:$A$500)+$A15-1,1)-1)</f>
        <v/>
      </c>
      <c r="CT15" s="8" t="str">
        <f ca="1">IF(OR(CT5="",CT$11&lt;$A15),"",CT5/OFFSET(ParoEPACLM!$A$80,MATCH(CT$12,ParoEPACLM!$A$80:$A$500)+$A15-1,1)-1)</f>
        <v/>
      </c>
      <c r="CU15" s="8" t="str">
        <f ca="1">IF(OR(CU5="",CU$11&lt;$A15),"",CU5/OFFSET(ParoEPACLM!$A$80,MATCH(CU$12,ParoEPACLM!$A$80:$A$500)+$A15-1,1)-1)</f>
        <v/>
      </c>
      <c r="CV15" s="8" t="str">
        <f ca="1">IF(OR(CV5="",CV$11&lt;$A15),"",CV5/OFFSET(ParoEPACLM!$A$80,MATCH(CV$12,ParoEPACLM!$A$80:$A$500)+$A15-1,1)-1)</f>
        <v/>
      </c>
      <c r="CW15" s="8" t="str">
        <f ca="1">IF(OR(CW5="",CW$11&lt;$A15),"",CW5/OFFSET(ParoEPACLM!$A$80,MATCH(CW$12,ParoEPACLM!$A$80:$A$500)+$A15-1,1)-1)</f>
        <v/>
      </c>
      <c r="CX15" s="8" t="str">
        <f ca="1">IF(OR(CX5="",CX$11&lt;$A15),"",CX5/OFFSET(ParoEPACLM!$A$80,MATCH(CX$12,ParoEPACLM!$A$80:$A$500)+$A15-1,1)-1)</f>
        <v/>
      </c>
      <c r="CY15" s="8" t="str">
        <f ca="1">IF(OR(CY5="",CY$11&lt;$A15),"",CY5/OFFSET(ParoEPACLM!$A$80,MATCH(CY$12,ParoEPACLM!$A$80:$A$500)+$A15-1,1)-1)</f>
        <v/>
      </c>
      <c r="CZ15" s="8" t="str">
        <f ca="1">IF(OR(CZ5="",CZ$11&lt;$A15),"",CZ5/OFFSET(ParoEPACLM!$A$80,MATCH(CZ$12,ParoEPACLM!$A$80:$A$500)+$A15-1,1)-1)</f>
        <v/>
      </c>
      <c r="DA15" s="8" t="str">
        <f ca="1">IF(OR(DA5="",DA$11&lt;$A15),"",DA5/OFFSET(ParoEPACLM!$A$80,MATCH(DA$12,ParoEPACLM!$A$80:$A$500)+$A15-1,1)-1)</f>
        <v/>
      </c>
      <c r="DB15" s="8" t="str">
        <f ca="1">IF(OR(DB5="",DB$11&lt;$A15),"",DB5/OFFSET(ParoEPACLM!$A$80,MATCH(DB$12,ParoEPACLM!$A$80:$A$500)+$A15-1,1)-1)</f>
        <v/>
      </c>
      <c r="DC15" s="8" t="str">
        <f ca="1">IF(OR(DC5="",DC$11&lt;$A15),"",DC5/OFFSET(ParoEPACLM!$A$80,MATCH(DC$12,ParoEPACLM!$A$80:$A$500)+$A15-1,1)-1)</f>
        <v/>
      </c>
      <c r="DD15" s="8" t="str">
        <f ca="1">IF(OR(DD5="",DD$11&lt;$A15),"",DD5/OFFSET(ParoEPACLM!$A$80,MATCH(DD$12,ParoEPACLM!$A$80:$A$500)+$A15-1,1)-1)</f>
        <v/>
      </c>
      <c r="DE15" s="8" t="str">
        <f ca="1">IF(OR(DE5="",DE$11&lt;$A15),"",DE5/OFFSET(ParoEPACLM!$A$80,MATCH(DE$12,ParoEPACLM!$A$80:$A$500)+$A15-1,1)-1)</f>
        <v/>
      </c>
      <c r="DF15" s="8" t="str">
        <f ca="1">IF(OR(DF5="",DF$11&lt;$A15),"",DF5/OFFSET(ParoEPACLM!$A$80,MATCH(DF$12,ParoEPACLM!$A$80:$A$500)+$A15-1,1)-1)</f>
        <v/>
      </c>
      <c r="DG15" s="8" t="str">
        <f ca="1">IF(OR(DG5="",DG$11&lt;$A15),"",DG5/OFFSET(ParoEPACLM!$A$80,MATCH(DG$12,ParoEPACLM!$A$80:$A$500)+$A15-1,1)-1)</f>
        <v/>
      </c>
      <c r="DH15" s="8" t="str">
        <f ca="1">IF(OR(DH5="",DH$11&lt;$A15),"",DH5/OFFSET(ParoEPACLM!$A$80,MATCH(DH$12,ParoEPACLM!$A$80:$A$500)+$A15-1,1)-1)</f>
        <v/>
      </c>
      <c r="DI15" s="8" t="str">
        <f ca="1">IF(OR(DI5="",DI$11&lt;$A15),"",DI5/OFFSET(ParoEPACLM!$A$80,MATCH(DI$12,ParoEPACLM!$A$80:$A$500)+$A15-1,1)-1)</f>
        <v/>
      </c>
      <c r="DJ15" s="8" t="str">
        <f ca="1">IF(OR(DJ5="",DJ$11&lt;$A15),"",DJ5/OFFSET(ParoEPACLM!$A$80,MATCH(DJ$12,ParoEPACLM!$A$80:$A$500)+$A15-1,1)-1)</f>
        <v/>
      </c>
      <c r="DK15" s="8" t="str">
        <f ca="1">IF(OR(DK5="",DK$11&lt;$A15),"",DK5/OFFSET(ParoEPACLM!$A$80,MATCH(DK$12,ParoEPACLM!$A$80:$A$500)+$A15-1,1)-1)</f>
        <v/>
      </c>
      <c r="DL15" s="8" t="str">
        <f ca="1">IF(OR(DL5="",DL$11&lt;$A15),"",DL5/OFFSET(ParoEPACLM!$A$80,MATCH(DL$12,ParoEPACLM!$A$80:$A$500)+$A15-1,1)-1)</f>
        <v/>
      </c>
      <c r="DM15" s="8" t="str">
        <f ca="1">IF(OR(DM5="",DM$11&lt;$A15),"",DM5/OFFSET(ParoEPACLM!$A$80,MATCH(DM$12,ParoEPACLM!$A$80:$A$500)+$A15-1,1)-1)</f>
        <v/>
      </c>
      <c r="DN15" s="8" t="str">
        <f ca="1">IF(OR(DN5="",DN$11&lt;$A15),"",DN5/OFFSET(ParoEPACLM!$A$80,MATCH(DN$12,ParoEPACLM!$A$80:$A$500)+$A15-1,1)-1)</f>
        <v/>
      </c>
      <c r="DO15" s="8" t="str">
        <f ca="1">IF(OR(DO5="",DO$11&lt;$A15),"",DO5/OFFSET(ParoEPACLM!$A$80,MATCH(DO$12,ParoEPACLM!$A$80:$A$500)+$A15-1,1)-1)</f>
        <v/>
      </c>
      <c r="DP15" s="8" t="str">
        <f ca="1">IF(OR(DP5="",DP$11&lt;$A15),"",DP5/OFFSET(ParoEPACLM!$A$80,MATCH(DP$12,ParoEPACLM!$A$80:$A$500)+$A15-1,1)-1)</f>
        <v/>
      </c>
      <c r="DQ15" s="8" t="str">
        <f ca="1">IF(OR(DQ5="",DQ$11&lt;$A15),"",DQ5/OFFSET(ParoEPACLM!$A$80,MATCH(DQ$12,ParoEPACLM!$A$80:$A$500)+$A15-1,1)-1)</f>
        <v/>
      </c>
      <c r="DR15" s="8" t="str">
        <f ca="1">IF(OR(DR5="",DR$11&lt;$A15),"",DR5/OFFSET(ParoEPACLM!$A$80,MATCH(DR$12,ParoEPACLM!$A$80:$A$500)+$A15-1,1)-1)</f>
        <v/>
      </c>
      <c r="DS15" s="12">
        <f t="shared" ca="1" si="51"/>
        <v>3.5900000624236289E-2</v>
      </c>
      <c r="DT15" s="12">
        <f t="shared" ca="1" si="52"/>
        <v>4.1183779417437227E-2</v>
      </c>
      <c r="DU15" s="13">
        <f t="shared" ca="1" si="53"/>
        <v>8.7508789903030966E-3</v>
      </c>
      <c r="DV15" s="15">
        <f t="shared" ca="1" si="56"/>
        <v>9.354613295215948E-2</v>
      </c>
      <c r="DW15" s="14" t="str">
        <f t="shared" ca="1" si="54"/>
        <v>[ -15,12% ; 22,30% ]</v>
      </c>
      <c r="DX15" s="15">
        <f t="shared" ca="1" si="55"/>
        <v>9.354613295215948E-2</v>
      </c>
      <c r="GI15" s="1"/>
    </row>
    <row r="16" spans="1:191" x14ac:dyDescent="0.25">
      <c r="A16" s="4">
        <v>4</v>
      </c>
      <c r="B16" s="8">
        <f ca="1">IF(OR(B6="",B$11&lt;$A16),"",B6/OFFSET(ParoEPACLM!$A$80,MATCH(B$12,ParoEPACLM!$A$80:$A$500)+$A16-1,1)-1)</f>
        <v>-9.0990630088617852E-2</v>
      </c>
      <c r="C16" s="8">
        <f ca="1">IF(OR(C6="",C$11&lt;$A16),"",C6/OFFSET(ParoEPACLM!$A$80,MATCH(C$12,ParoEPACLM!$A$80:$A$500)+$A16-1,1)-1)</f>
        <v>-2.6880470071449003E-2</v>
      </c>
      <c r="D16" s="8">
        <f ca="1">IF(OR(D6="",D$11&lt;$A16),"",D6/OFFSET(ParoEPACLM!$A$80,MATCH(D$12,ParoEPACLM!$A$80:$A$500)+$A16-1,1)-1)</f>
        <v>-0.17674210949369551</v>
      </c>
      <c r="E16" s="8">
        <f ca="1">IF(OR(E6="",E$11&lt;$A16),"",E6/OFFSET(ParoEPACLM!$A$80,MATCH(E$12,ParoEPACLM!$A$80:$A$500)+$A16-1,1)-1)</f>
        <v>-9.6812771470665693E-3</v>
      </c>
      <c r="F16" s="8">
        <f ca="1">IF(OR(F6="",F$11&lt;$A16),"",F6/OFFSET(ParoEPACLM!$A$80,MATCH(F$12,ParoEPACLM!$A$80:$A$500)+$A16-1,1)-1)</f>
        <v>4.9289363073023118E-2</v>
      </c>
      <c r="G16" s="8">
        <f ca="1">IF(OR(G6="",G$11&lt;$A16),"",G6/OFFSET(ParoEPACLM!$A$80,MATCH(G$12,ParoEPACLM!$A$80:$A$500)+$A16-1,1)-1)</f>
        <v>-2.9324178251860178E-2</v>
      </c>
      <c r="H16" s="8">
        <f ca="1">IF(OR(H6="",H$11&lt;$A16),"",H6/OFFSET(ParoEPACLM!$A$80,MATCH(H$12,ParoEPACLM!$A$80:$A$500)+$A16-1,1)-1)</f>
        <v>2.5430187655735903E-2</v>
      </c>
      <c r="I16" s="8">
        <f ca="1">IF(OR(I6="",I$11&lt;$A16),"",I6/OFFSET(ParoEPACLM!$A$80,MATCH(I$12,ParoEPACLM!$A$80:$A$500)+$A16-1,1)-1)</f>
        <v>-8.3120301370061211E-2</v>
      </c>
      <c r="J16" s="8">
        <f ca="1">IF(OR(J6="",J$11&lt;$A16),"",J6/OFFSET(ParoEPACLM!$A$80,MATCH(J$12,ParoEPACLM!$A$80:$A$500)+$A16-1,1)-1)</f>
        <v>0.12733329370963831</v>
      </c>
      <c r="K16" s="8">
        <f ca="1">IF(OR(K6="",K$11&lt;$A16),"",K6/OFFSET(ParoEPACLM!$A$80,MATCH(K$12,ParoEPACLM!$A$80:$A$500)+$A16-1,1)-1)</f>
        <v>0.17198614001823054</v>
      </c>
      <c r="L16" s="8">
        <f ca="1">IF(OR(L6="",L$11&lt;$A16),"",L6/OFFSET(ParoEPACLM!$A$80,MATCH(L$12,ParoEPACLM!$A$80:$A$500)+$A16-1,1)-1)</f>
        <v>0.10147199191615264</v>
      </c>
      <c r="M16" s="8">
        <f ca="1">IF(OR(M6="",M$11&lt;$A16),"",M6/OFFSET(ParoEPACLM!$A$80,MATCH(M$12,ParoEPACLM!$A$80:$A$500)+$A16-1,1)-1)</f>
        <v>0.22050308811030273</v>
      </c>
      <c r="N16" s="8">
        <f ca="1">IF(OR(N6="",N$11&lt;$A16),"",N6/OFFSET(ParoEPACLM!$A$80,MATCH(N$12,ParoEPACLM!$A$80:$A$500)+$A16-1,1)-1)</f>
        <v>-8.9068994493642695E-2</v>
      </c>
      <c r="O16" s="8">
        <f ca="1">IF(OR(O6="",O$11&lt;$A16),"",O6/OFFSET(ParoEPACLM!$A$80,MATCH(O$12,ParoEPACLM!$A$80:$A$500)+$A16-1,1)-1)</f>
        <v>-0.28788200379535045</v>
      </c>
      <c r="P16" s="8">
        <f ca="1">IF(OR(P6="",P$11&lt;$A16),"",P6/OFFSET(ParoEPACLM!$A$80,MATCH(P$12,ParoEPACLM!$A$80:$A$500)+$A16-1,1)-1)</f>
        <v>-0.30621416510670696</v>
      </c>
      <c r="Q16" s="8">
        <f ca="1">IF(OR(Q6="",Q$11&lt;$A16),"",Q6/OFFSET(ParoEPACLM!$A$80,MATCH(Q$12,ParoEPACLM!$A$80:$A$500)+$A16-1,1)-1)</f>
        <v>-0.41799924944372313</v>
      </c>
      <c r="R16" s="8">
        <f ca="1">IF(OR(R6="",R$11&lt;$A16),"",R6/OFFSET(ParoEPACLM!$A$80,MATCH(R$12,ParoEPACLM!$A$80:$A$500)+$A16-1,1)-1)</f>
        <v>-0.47915108975864151</v>
      </c>
      <c r="S16" s="8">
        <f ca="1">IF(OR(S6="",S$11&lt;$A16),"",S6/OFFSET(ParoEPACLM!$A$80,MATCH(S$12,ParoEPACLM!$A$80:$A$500)+$A16-1,1)-1)</f>
        <v>-0.47050262835498324</v>
      </c>
      <c r="T16" s="8">
        <f ca="1">IF(OR(T6="",T$11&lt;$A16),"",T6/OFFSET(ParoEPACLM!$A$80,MATCH(T$12,ParoEPACLM!$A$80:$A$500)+$A16-1,1)-1)</f>
        <v>-0.4404891928663226</v>
      </c>
      <c r="U16" s="8">
        <f ca="1">IF(OR(U6="",U$11&lt;$A16),"",U6/OFFSET(ParoEPACLM!$A$80,MATCH(U$12,ParoEPACLM!$A$80:$A$500)+$A16-1,1)-1)</f>
        <v>-0.30675024568322495</v>
      </c>
      <c r="V16" s="8">
        <f ca="1">IF(OR(V6="",V$11&lt;$A16),"",V6/OFFSET(ParoEPACLM!$A$80,MATCH(V$12,ParoEPACLM!$A$80:$A$500)+$A16-1,1)-1)</f>
        <v>-1.8223266726935528E-2</v>
      </c>
      <c r="W16" s="8">
        <f ca="1">IF(OR(W6="",W$11&lt;$A16),"",W6/OFFSET(ParoEPACLM!$A$80,MATCH(W$12,ParoEPACLM!$A$80:$A$500)+$A16-1,1)-1)</f>
        <v>0.21878878171019434</v>
      </c>
      <c r="X16" s="8">
        <f ca="1">IF(OR(X6="",X$11&lt;$A16),"",X6/OFFSET(ParoEPACLM!$A$80,MATCH(X$12,ParoEPACLM!$A$80:$A$500)+$A16-1,1)-1)</f>
        <v>0.29610084818918647</v>
      </c>
      <c r="Y16" s="8">
        <f ca="1">IF(OR(Y6="",Y$11&lt;$A16),"",Y6/OFFSET(ParoEPACLM!$A$80,MATCH(Y$12,ParoEPACLM!$A$80:$A$500)+$A16-1,1)-1)</f>
        <v>5.5363071872934766E-2</v>
      </c>
      <c r="Z16" s="8">
        <f ca="1">IF(OR(Z6="",Z$11&lt;$A16),"",Z6/OFFSET(ParoEPACLM!$A$80,MATCH(Z$12,ParoEPACLM!$A$80:$A$500)+$A16-1,1)-1)</f>
        <v>-3.7400745394078116E-2</v>
      </c>
      <c r="AA16" s="8">
        <f ca="1">IF(OR(AA6="",AA$11&lt;$A16),"",AA6/OFFSET(ParoEPACLM!$A$80,MATCH(AA$12,ParoEPACLM!$A$80:$A$500)+$A16-1,1)-1)</f>
        <v>0.13700969491115411</v>
      </c>
      <c r="AB16" s="8">
        <f ca="1">IF(OR(AB6="",AB$11&lt;$A16),"",AB6/OFFSET(ParoEPACLM!$A$80,MATCH(AB$12,ParoEPACLM!$A$80:$A$500)+$A16-1,1)-1)</f>
        <v>9.2408327104200882E-3</v>
      </c>
      <c r="AC16" s="8">
        <f ca="1">IF(OR(AC6="",AC$11&lt;$A16),"",AC6/OFFSET(ParoEPACLM!$A$80,MATCH(AC$12,ParoEPACLM!$A$80:$A$500)+$A16-1,1)-1)</f>
        <v>-5.3604764849351616E-2</v>
      </c>
      <c r="AD16" s="8">
        <f ca="1">IF(OR(AD6="",AD$11&lt;$A16),"",AD6/OFFSET(ParoEPACLM!$A$80,MATCH(AD$12,ParoEPACLM!$A$80:$A$500)+$A16-1,1)-1)</f>
        <v>-4.1474429854197026E-2</v>
      </c>
      <c r="AE16" s="8">
        <f ca="1">IF(OR(AE6="",AE$11&lt;$A16),"",AE6/OFFSET(ParoEPACLM!$A$80,MATCH(AE$12,ParoEPACLM!$A$80:$A$500)+$A16-1,1)-1)</f>
        <v>-0.15798004920405373</v>
      </c>
      <c r="AF16" s="8">
        <f ca="1">IF(OR(AF6="",AF$11&lt;$A16),"",AF6/OFFSET(ParoEPACLM!$A$80,MATCH(AF$12,ParoEPACLM!$A$80:$A$500)+$A16-1,1)-1)</f>
        <v>-9.429945605030321E-2</v>
      </c>
      <c r="AG16" s="8">
        <f ca="1">IF(OR(AG6="",AG$11&lt;$A16),"",AG6/OFFSET(ParoEPACLM!$A$80,MATCH(AG$12,ParoEPACLM!$A$80:$A$500)+$A16-1,1)-1)</f>
        <v>-8.3575530741369031E-2</v>
      </c>
      <c r="AH16" s="8">
        <f ca="1">IF(OR(AH6="",AH$11&lt;$A16),"",AH6/OFFSET(ParoEPACLM!$A$80,MATCH(AH$12,ParoEPACLM!$A$80:$A$500)+$A16-1,1)-1)</f>
        <v>-8.6537470982512632E-2</v>
      </c>
      <c r="AI16" s="8">
        <f ca="1">IF(OR(AI6="",AI$11&lt;$A16),"",AI6/OFFSET(ParoEPACLM!$A$80,MATCH(AI$12,ParoEPACLM!$A$80:$A$500)+$A16-1,1)-1)</f>
        <v>1.2357009416947173E-2</v>
      </c>
      <c r="AJ16" s="8">
        <f ca="1">IF(OR(AJ6="",AJ$11&lt;$A16),"",AJ6/OFFSET(ParoEPACLM!$A$80,MATCH(AJ$12,ParoEPACLM!$A$80:$A$500)+$A16-1,1)-1)</f>
        <v>0.10223077980947926</v>
      </c>
      <c r="AK16" s="8">
        <f ca="1">IF(OR(AK6="",AK$11&lt;$A16),"",AK6/OFFSET(ParoEPACLM!$A$80,MATCH(AK$12,ParoEPACLM!$A$80:$A$500)+$A16-1,1)-1)</f>
        <v>3.4473388611035549E-2</v>
      </c>
      <c r="AL16" s="8">
        <f ca="1">IF(OR(AL6="",AL$11&lt;$A16),"",AL6/OFFSET(ParoEPACLM!$A$80,MATCH(AL$12,ParoEPACLM!$A$80:$A$500)+$A16-1,1)-1)</f>
        <v>0.18779962020671004</v>
      </c>
      <c r="AM16" s="8">
        <f ca="1">IF(OR(AM6="",AM$11&lt;$A16),"",AM6/OFFSET(ParoEPACLM!$A$80,MATCH(AM$12,ParoEPACLM!$A$80:$A$500)+$A16-1,1)-1)</f>
        <v>0.13309459988747463</v>
      </c>
      <c r="AN16" s="8">
        <f ca="1">IF(OR(AN6="",AN$11&lt;$A16),"",AN6/OFFSET(ParoEPACLM!$A$80,MATCH(AN$12,ParoEPACLM!$A$80:$A$500)+$A16-1,1)-1)</f>
        <v>0.11850070387839051</v>
      </c>
      <c r="AO16" s="8">
        <f ca="1">IF(OR(AO6="",AO$11&lt;$A16),"",AO6/OFFSET(ParoEPACLM!$A$80,MATCH(AO$12,ParoEPACLM!$A$80:$A$500)+$A16-1,1)-1)</f>
        <v>0.12148733178184523</v>
      </c>
      <c r="AP16" s="8">
        <f ca="1">IF(OR(AP6="",AP$11&lt;$A16),"",AP6/OFFSET(ParoEPACLM!$A$80,MATCH(AP$12,ParoEPACLM!$A$80:$A$500)+$A16-1,1)-1)</f>
        <v>2.9270300949959971E-2</v>
      </c>
      <c r="AQ16" s="8">
        <f ca="1">IF(OR(AQ6="",AQ$11&lt;$A16),"",AQ6/OFFSET(ParoEPACLM!$A$80,MATCH(AQ$12,ParoEPACLM!$A$80:$A$500)+$A16-1,1)-1)</f>
        <v>9.6636976780788642E-2</v>
      </c>
      <c r="AR16" s="8">
        <f ca="1">IF(OR(AR6="",AR$11&lt;$A16),"",AR6/OFFSET(ParoEPACLM!$A$80,MATCH(AR$12,ParoEPACLM!$A$80:$A$500)+$A16-1,1)-1)</f>
        <v>6.0886231723342954E-2</v>
      </c>
      <c r="AS16" s="8">
        <f ca="1">IF(OR(AS6="",AS$11&lt;$A16),"",AS6/OFFSET(ParoEPACLM!$A$80,MATCH(AS$12,ParoEPACLM!$A$80:$A$500)+$A16-1,1)-1)</f>
        <v>0.21316766878001325</v>
      </c>
      <c r="AT16" s="8">
        <f ca="1">IF(OR(AT6="",AT$11&lt;$A16),"",AT6/OFFSET(ParoEPACLM!$A$80,MATCH(AT$12,ParoEPACLM!$A$80:$A$500)+$A16-1,1)-1)</f>
        <v>0.1116998911094047</v>
      </c>
      <c r="AU16" s="8">
        <f ca="1">IF(OR(AU6="",AU$11&lt;$A16),"",AU6/OFFSET(ParoEPACLM!$A$80,MATCH(AU$12,ParoEPACLM!$A$80:$A$500)+$A16-1,1)-1)</f>
        <v>7.4970161036915561E-2</v>
      </c>
      <c r="AV16" s="8">
        <f ca="1">IF(OR(AV6="",AV$11&lt;$A16),"",AV6/OFFSET(ParoEPACLM!$A$80,MATCH(AV$12,ParoEPACLM!$A$80:$A$500)+$A16-1,1)-1)</f>
        <v>5.5560489891604226E-2</v>
      </c>
      <c r="AW16" s="8">
        <f ca="1">IF(OR(AW6="",AW$11&lt;$A16),"",AW6/OFFSET(ParoEPACLM!$A$80,MATCH(AW$12,ParoEPACLM!$A$80:$A$500)+$A16-1,1)-1)</f>
        <v>2.5913819734526555E-3</v>
      </c>
      <c r="AX16" s="8">
        <f ca="1">IF(OR(AX6="",AX$11&lt;$A16),"",AX6/OFFSET(ParoEPACLM!$A$80,MATCH(AX$12,ParoEPACLM!$A$80:$A$500)+$A16-1,1)-1)</f>
        <v>4.7438444691410009E-2</v>
      </c>
      <c r="AY16" s="8">
        <f ca="1">IF(OR(AY6="",AY$11&lt;$A16),"",AY6/OFFSET(ParoEPACLM!$A$80,MATCH(AY$12,ParoEPACLM!$A$80:$A$500)+$A16-1,1)-1)</f>
        <v>5.5737398511489511E-2</v>
      </c>
      <c r="AZ16" s="8">
        <f ca="1">IF(OR(AZ6="",AZ$11&lt;$A16),"",AZ6/OFFSET(ParoEPACLM!$A$80,MATCH(AZ$12,ParoEPACLM!$A$80:$A$500)+$A16-1,1)-1)</f>
        <v>1.4316866105446024E-4</v>
      </c>
      <c r="BA16" s="8">
        <f ca="1">IF(OR(BA6="",BA$11&lt;$A16),"",BA6/OFFSET(ParoEPACLM!$A$80,MATCH(BA$12,ParoEPACLM!$A$80:$A$500)+$A16-1,1)-1)</f>
        <v>0.16395804172534412</v>
      </c>
      <c r="BB16" s="8">
        <f ca="1">IF(OR(BB6="",BB$11&lt;$A16),"",BB6/OFFSET(ParoEPACLM!$A$80,MATCH(BB$12,ParoEPACLM!$A$80:$A$500)+$A16-1,1)-1)</f>
        <v>4.3745441192441392E-2</v>
      </c>
      <c r="BC16" s="8">
        <f ca="1">IF(OR(BC6="",BC$11&lt;$A16),"",BC6/OFFSET(ParoEPACLM!$A$80,MATCH(BC$12,ParoEPACLM!$A$80:$A$500)+$A16-1,1)-1)</f>
        <v>2.7018036404852896E-2</v>
      </c>
      <c r="BD16" s="8">
        <f ca="1">IF(OR(BD6="",BD$11&lt;$A16),"",BD6/OFFSET(ParoEPACLM!$A$80,MATCH(BD$12,ParoEPACLM!$A$80:$A$500)+$A16-1,1)-1)</f>
        <v>0.13808671675064832</v>
      </c>
      <c r="BE16" s="8">
        <f ca="1">IF(OR(BE6="",BE$11&lt;$A16),"",BE6/OFFSET(ParoEPACLM!$A$80,MATCH(BE$12,ParoEPACLM!$A$80:$A$500)+$A16-1,1)-1)</f>
        <v>-4.2944668025685417E-2</v>
      </c>
      <c r="BF16" s="8">
        <f ca="1">IF(OR(BF6="",BF$11&lt;$A16),"",BF6/OFFSET(ParoEPACLM!$A$80,MATCH(BF$12,ParoEPACLM!$A$80:$A$500)+$A16-1,1)-1)</f>
        <v>0.14677703214467397</v>
      </c>
      <c r="BG16" s="8">
        <f ca="1">IF(OR(BG6="",BG$11&lt;$A16),"",BG6/OFFSET(ParoEPACLM!$A$80,MATCH(BG$12,ParoEPACLM!$A$80:$A$500)+$A16-1,1)-1)</f>
        <v>0.25382884442334541</v>
      </c>
      <c r="BH16" s="8">
        <f ca="1">IF(OR(BH6="",BH$11&lt;$A16),"",BH6/OFFSET(ParoEPACLM!$A$80,MATCH(BH$12,ParoEPACLM!$A$80:$A$500)+$A16-1,1)-1)</f>
        <v>0.10749293927345094</v>
      </c>
      <c r="BI16" s="8">
        <f ca="1">IF(OR(BI6="",BI$11&lt;$A16),"",BI6/OFFSET(ParoEPACLM!$A$80,MATCH(BI$12,ParoEPACLM!$A$80:$A$500)+$A16-1,1)-1)</f>
        <v>-6.8176851164614138E-2</v>
      </c>
      <c r="BJ16" s="8">
        <f ca="1">IF(OR(BJ6="",BJ$11&lt;$A16),"",BJ6/OFFSET(ParoEPACLM!$A$80,MATCH(BJ$12,ParoEPACLM!$A$80:$A$500)+$A16-1,1)-1)</f>
        <v>-0.15783147221182359</v>
      </c>
      <c r="BK16" s="8">
        <f ca="1">IF(OR(BK6="",BK$11&lt;$A16),"",BK6/OFFSET(ParoEPACLM!$A$80,MATCH(BK$12,ParoEPACLM!$A$80:$A$500)+$A16-1,1)-1)</f>
        <v>-0.27561756600958354</v>
      </c>
      <c r="BL16" s="8">
        <f ca="1">IF(OR(BL6="",BL$11&lt;$A16),"",BL6/OFFSET(ParoEPACLM!$A$80,MATCH(BL$12,ParoEPACLM!$A$80:$A$500)+$A16-1,1)-1)</f>
        <v>-2.3893561845253153E-2</v>
      </c>
      <c r="BM16" s="8">
        <f ca="1">IF(OR(BM6="",BM$11&lt;$A16),"",BM6/OFFSET(ParoEPACLM!$A$80,MATCH(BM$12,ParoEPACLM!$A$80:$A$500)+$A16-1,1)-1)</f>
        <v>-0.10939643950403721</v>
      </c>
      <c r="BN16" s="8">
        <f ca="1">IF(OR(BN6="",BN$11&lt;$A16),"",BN6/OFFSET(ParoEPACLM!$A$80,MATCH(BN$12,ParoEPACLM!$A$80:$A$500)+$A16-1,1)-1)</f>
        <v>-2.6000808631562955E-2</v>
      </c>
      <c r="BO16" s="8" t="str">
        <f ca="1">IF(OR(BO6="",BO$11&lt;$A16),"",BO6/OFFSET(ParoEPACLM!$A$80,MATCH(BO$12,ParoEPACLM!$A$80:$A$500)+$A16-1,1)-1)</f>
        <v/>
      </c>
      <c r="BP16" s="8" t="str">
        <f ca="1">IF(OR(BP6="",BP$11&lt;$A16),"",BP6/OFFSET(ParoEPACLM!$A$80,MATCH(BP$12,ParoEPACLM!$A$80:$A$500)+$A16-1,1)-1)</f>
        <v/>
      </c>
      <c r="BQ16" s="8" t="str">
        <f ca="1">IF(OR(BQ6="",BQ$11&lt;$A16),"",BQ6/OFFSET(ParoEPACLM!$A$80,MATCH(BQ$12,ParoEPACLM!$A$80:$A$500)+$A16-1,1)-1)</f>
        <v/>
      </c>
      <c r="BR16" s="8" t="str">
        <f ca="1">IF(OR(BR6="",BR$11&lt;$A16),"",BR6/OFFSET(ParoEPACLM!$A$80,MATCH(BR$12,ParoEPACLM!$A$80:$A$500)+$A16-1,1)-1)</f>
        <v/>
      </c>
      <c r="BS16" s="8" t="str">
        <f ca="1">IF(OR(BS6="",BS$11&lt;$A16),"",BS6/OFFSET(ParoEPACLM!$A$80,MATCH(BS$12,ParoEPACLM!$A$80:$A$500)+$A16-1,1)-1)</f>
        <v/>
      </c>
      <c r="BT16" s="8" t="str">
        <f ca="1">IF(OR(BT6="",BT$11&lt;$A16),"",BT6/OFFSET(ParoEPACLM!$A$80,MATCH(BT$12,ParoEPACLM!$A$80:$A$500)+$A16-1,1)-1)</f>
        <v/>
      </c>
      <c r="BU16" s="8" t="str">
        <f ca="1">IF(OR(BU6="",BU$11&lt;$A16),"",BU6/OFFSET(ParoEPACLM!$A$80,MATCH(BU$12,ParoEPACLM!$A$80:$A$500)+$A16-1,1)-1)</f>
        <v/>
      </c>
      <c r="BV16" s="8" t="str">
        <f ca="1">IF(OR(BV6="",BV$11&lt;$A16),"",BV6/OFFSET(ParoEPACLM!$A$80,MATCH(BV$12,ParoEPACLM!$A$80:$A$500)+$A16-1,1)-1)</f>
        <v/>
      </c>
      <c r="BW16" s="8" t="str">
        <f ca="1">IF(OR(BW6="",BW$11&lt;$A16),"",BW6/OFFSET(ParoEPACLM!$A$80,MATCH(BW$12,ParoEPACLM!$A$80:$A$500)+$A16-1,1)-1)</f>
        <v/>
      </c>
      <c r="BX16" s="8" t="str">
        <f ca="1">IF(OR(BX6="",BX$11&lt;$A16),"",BX6/OFFSET(ParoEPACLM!$A$80,MATCH(BX$12,ParoEPACLM!$A$80:$A$500)+$A16-1,1)-1)</f>
        <v/>
      </c>
      <c r="BY16" s="8" t="str">
        <f ca="1">IF(OR(BY6="",BY$11&lt;$A16),"",BY6/OFFSET(ParoEPACLM!$A$80,MATCH(BY$12,ParoEPACLM!$A$80:$A$500)+$A16-1,1)-1)</f>
        <v/>
      </c>
      <c r="BZ16" s="8" t="str">
        <f ca="1">IF(OR(BZ6="",BZ$11&lt;$A16),"",BZ6/OFFSET(ParoEPACLM!$A$80,MATCH(BZ$12,ParoEPACLM!$A$80:$A$500)+$A16-1,1)-1)</f>
        <v/>
      </c>
      <c r="CA16" s="8" t="str">
        <f ca="1">IF(OR(CA6="",CA$11&lt;$A16),"",CA6/OFFSET(ParoEPACLM!$A$80,MATCH(CA$12,ParoEPACLM!$A$80:$A$500)+$A16-1,1)-1)</f>
        <v/>
      </c>
      <c r="CB16" s="8" t="str">
        <f ca="1">IF(OR(CB6="",CB$11&lt;$A16),"",CB6/OFFSET(ParoEPACLM!$A$80,MATCH(CB$12,ParoEPACLM!$A$80:$A$500)+$A16-1,1)-1)</f>
        <v/>
      </c>
      <c r="CC16" s="8" t="str">
        <f ca="1">IF(OR(CC6="",CC$11&lt;$A16),"",CC6/OFFSET(ParoEPACLM!$A$80,MATCH(CC$12,ParoEPACLM!$A$80:$A$500)+$A16-1,1)-1)</f>
        <v/>
      </c>
      <c r="CD16" s="8" t="str">
        <f ca="1">IF(OR(CD6="",CD$11&lt;$A16),"",CD6/OFFSET(ParoEPACLM!$A$80,MATCH(CD$12,ParoEPACLM!$A$80:$A$500)+$A16-1,1)-1)</f>
        <v/>
      </c>
      <c r="CE16" s="8" t="str">
        <f ca="1">IF(OR(CE6="",CE$11&lt;$A16),"",CE6/OFFSET(ParoEPACLM!$A$80,MATCH(CE$12,ParoEPACLM!$A$80:$A$500)+$A16-1,1)-1)</f>
        <v/>
      </c>
      <c r="CF16" s="8" t="str">
        <f ca="1">IF(OR(CF6="",CF$11&lt;$A16),"",CF6/OFFSET(ParoEPACLM!$A$80,MATCH(CF$12,ParoEPACLM!$A$80:$A$500)+$A16-1,1)-1)</f>
        <v/>
      </c>
      <c r="CG16" s="8" t="str">
        <f ca="1">IF(OR(CG6="",CG$11&lt;$A16),"",CG6/OFFSET(ParoEPACLM!$A$80,MATCH(CG$12,ParoEPACLM!$A$80:$A$500)+$A16-1,1)-1)</f>
        <v/>
      </c>
      <c r="CH16" s="8" t="str">
        <f ca="1">IF(OR(CH6="",CH$11&lt;$A16),"",CH6/OFFSET(ParoEPACLM!$A$80,MATCH(CH$12,ParoEPACLM!$A$80:$A$500)+$A16-1,1)-1)</f>
        <v/>
      </c>
      <c r="CI16" s="8" t="str">
        <f ca="1">IF(OR(CI6="",CI$11&lt;$A16),"",CI6/OFFSET(ParoEPACLM!$A$80,MATCH(CI$12,ParoEPACLM!$A$80:$A$500)+$A16-1,1)-1)</f>
        <v/>
      </c>
      <c r="CJ16" s="8" t="str">
        <f ca="1">IF(OR(CJ6="",CJ$11&lt;$A16),"",CJ6/OFFSET(ParoEPACLM!$A$80,MATCH(CJ$12,ParoEPACLM!$A$80:$A$500)+$A16-1,1)-1)</f>
        <v/>
      </c>
      <c r="CK16" s="8" t="str">
        <f ca="1">IF(OR(CK6="",CK$11&lt;$A16),"",CK6/OFFSET(ParoEPACLM!$A$80,MATCH(CK$12,ParoEPACLM!$A$80:$A$500)+$A16-1,1)-1)</f>
        <v/>
      </c>
      <c r="CL16" s="8" t="str">
        <f ca="1">IF(OR(CL6="",CL$11&lt;$A16),"",CL6/OFFSET(ParoEPACLM!$A$80,MATCH(CL$12,ParoEPACLM!$A$80:$A$500)+$A16-1,1)-1)</f>
        <v/>
      </c>
      <c r="CM16" s="8" t="str">
        <f ca="1">IF(OR(CM6="",CM$11&lt;$A16),"",CM6/OFFSET(ParoEPACLM!$A$80,MATCH(CM$12,ParoEPACLM!$A$80:$A$500)+$A16-1,1)-1)</f>
        <v/>
      </c>
      <c r="CN16" s="8" t="str">
        <f ca="1">IF(OR(CN6="",CN$11&lt;$A16),"",CN6/OFFSET(ParoEPACLM!$A$80,MATCH(CN$12,ParoEPACLM!$A$80:$A$500)+$A16-1,1)-1)</f>
        <v/>
      </c>
      <c r="CO16" s="8" t="str">
        <f ca="1">IF(OR(CO6="",CO$11&lt;$A16),"",CO6/OFFSET(ParoEPACLM!$A$80,MATCH(CO$12,ParoEPACLM!$A$80:$A$500)+$A16-1,1)-1)</f>
        <v/>
      </c>
      <c r="CP16" s="8" t="str">
        <f ca="1">IF(OR(CP6="",CP$11&lt;$A16),"",CP6/OFFSET(ParoEPACLM!$A$80,MATCH(CP$12,ParoEPACLM!$A$80:$A$500)+$A16-1,1)-1)</f>
        <v/>
      </c>
      <c r="CQ16" s="8" t="str">
        <f ca="1">IF(OR(CQ6="",CQ$11&lt;$A16),"",CQ6/OFFSET(ParoEPACLM!$A$80,MATCH(CQ$12,ParoEPACLM!$A$80:$A$500)+$A16-1,1)-1)</f>
        <v/>
      </c>
      <c r="CR16" s="8" t="str">
        <f ca="1">IF(OR(CR6="",CR$11&lt;$A16),"",CR6/OFFSET(ParoEPACLM!$A$80,MATCH(CR$12,ParoEPACLM!$A$80:$A$500)+$A16-1,1)-1)</f>
        <v/>
      </c>
      <c r="CS16" s="8" t="str">
        <f ca="1">IF(OR(CS6="",CS$11&lt;$A16),"",CS6/OFFSET(ParoEPACLM!$A$80,MATCH(CS$12,ParoEPACLM!$A$80:$A$500)+$A16-1,1)-1)</f>
        <v/>
      </c>
      <c r="CT16" s="8" t="str">
        <f ca="1">IF(OR(CT6="",CT$11&lt;$A16),"",CT6/OFFSET(ParoEPACLM!$A$80,MATCH(CT$12,ParoEPACLM!$A$80:$A$500)+$A16-1,1)-1)</f>
        <v/>
      </c>
      <c r="CU16" s="8" t="str">
        <f ca="1">IF(OR(CU6="",CU$11&lt;$A16),"",CU6/OFFSET(ParoEPACLM!$A$80,MATCH(CU$12,ParoEPACLM!$A$80:$A$500)+$A16-1,1)-1)</f>
        <v/>
      </c>
      <c r="CV16" s="8" t="str">
        <f ca="1">IF(OR(CV6="",CV$11&lt;$A16),"",CV6/OFFSET(ParoEPACLM!$A$80,MATCH(CV$12,ParoEPACLM!$A$80:$A$500)+$A16-1,1)-1)</f>
        <v/>
      </c>
      <c r="CW16" s="8" t="str">
        <f ca="1">IF(OR(CW6="",CW$11&lt;$A16),"",CW6/OFFSET(ParoEPACLM!$A$80,MATCH(CW$12,ParoEPACLM!$A$80:$A$500)+$A16-1,1)-1)</f>
        <v/>
      </c>
      <c r="CX16" s="8" t="str">
        <f ca="1">IF(OR(CX6="",CX$11&lt;$A16),"",CX6/OFFSET(ParoEPACLM!$A$80,MATCH(CX$12,ParoEPACLM!$A$80:$A$500)+$A16-1,1)-1)</f>
        <v/>
      </c>
      <c r="CY16" s="8" t="str">
        <f ca="1">IF(OR(CY6="",CY$11&lt;$A16),"",CY6/OFFSET(ParoEPACLM!$A$80,MATCH(CY$12,ParoEPACLM!$A$80:$A$500)+$A16-1,1)-1)</f>
        <v/>
      </c>
      <c r="CZ16" s="8" t="str">
        <f ca="1">IF(OR(CZ6="",CZ$11&lt;$A16),"",CZ6/OFFSET(ParoEPACLM!$A$80,MATCH(CZ$12,ParoEPACLM!$A$80:$A$500)+$A16-1,1)-1)</f>
        <v/>
      </c>
      <c r="DA16" s="8" t="str">
        <f ca="1">IF(OR(DA6="",DA$11&lt;$A16),"",DA6/OFFSET(ParoEPACLM!$A$80,MATCH(DA$12,ParoEPACLM!$A$80:$A$500)+$A16-1,1)-1)</f>
        <v/>
      </c>
      <c r="DB16" s="8" t="str">
        <f ca="1">IF(OR(DB6="",DB$11&lt;$A16),"",DB6/OFFSET(ParoEPACLM!$A$80,MATCH(DB$12,ParoEPACLM!$A$80:$A$500)+$A16-1,1)-1)</f>
        <v/>
      </c>
      <c r="DC16" s="8" t="str">
        <f ca="1">IF(OR(DC6="",DC$11&lt;$A16),"",DC6/OFFSET(ParoEPACLM!$A$80,MATCH(DC$12,ParoEPACLM!$A$80:$A$500)+$A16-1,1)-1)</f>
        <v/>
      </c>
      <c r="DD16" s="8" t="str">
        <f ca="1">IF(OR(DD6="",DD$11&lt;$A16),"",DD6/OFFSET(ParoEPACLM!$A$80,MATCH(DD$12,ParoEPACLM!$A$80:$A$500)+$A16-1,1)-1)</f>
        <v/>
      </c>
      <c r="DE16" s="8" t="str">
        <f ca="1">IF(OR(DE6="",DE$11&lt;$A16),"",DE6/OFFSET(ParoEPACLM!$A$80,MATCH(DE$12,ParoEPACLM!$A$80:$A$500)+$A16-1,1)-1)</f>
        <v/>
      </c>
      <c r="DF16" s="8" t="str">
        <f ca="1">IF(OR(DF6="",DF$11&lt;$A16),"",DF6/OFFSET(ParoEPACLM!$A$80,MATCH(DF$12,ParoEPACLM!$A$80:$A$500)+$A16-1,1)-1)</f>
        <v/>
      </c>
      <c r="DG16" s="8" t="str">
        <f ca="1">IF(OR(DG6="",DG$11&lt;$A16),"",DG6/OFFSET(ParoEPACLM!$A$80,MATCH(DG$12,ParoEPACLM!$A$80:$A$500)+$A16-1,1)-1)</f>
        <v/>
      </c>
      <c r="DH16" s="8" t="str">
        <f ca="1">IF(OR(DH6="",DH$11&lt;$A16),"",DH6/OFFSET(ParoEPACLM!$A$80,MATCH(DH$12,ParoEPACLM!$A$80:$A$500)+$A16-1,1)-1)</f>
        <v/>
      </c>
      <c r="DI16" s="8" t="str">
        <f ca="1">IF(OR(DI6="",DI$11&lt;$A16),"",DI6/OFFSET(ParoEPACLM!$A$80,MATCH(DI$12,ParoEPACLM!$A$80:$A$500)+$A16-1,1)-1)</f>
        <v/>
      </c>
      <c r="DJ16" s="8" t="str">
        <f ca="1">IF(OR(DJ6="",DJ$11&lt;$A16),"",DJ6/OFFSET(ParoEPACLM!$A$80,MATCH(DJ$12,ParoEPACLM!$A$80:$A$500)+$A16-1,1)-1)</f>
        <v/>
      </c>
      <c r="DK16" s="8" t="str">
        <f ca="1">IF(OR(DK6="",DK$11&lt;$A16),"",DK6/OFFSET(ParoEPACLM!$A$80,MATCH(DK$12,ParoEPACLM!$A$80:$A$500)+$A16-1,1)-1)</f>
        <v/>
      </c>
      <c r="DL16" s="8" t="str">
        <f ca="1">IF(OR(DL6="",DL$11&lt;$A16),"",DL6/OFFSET(ParoEPACLM!$A$80,MATCH(DL$12,ParoEPACLM!$A$80:$A$500)+$A16-1,1)-1)</f>
        <v/>
      </c>
      <c r="DM16" s="8" t="str">
        <f ca="1">IF(OR(DM6="",DM$11&lt;$A16),"",DM6/OFFSET(ParoEPACLM!$A$80,MATCH(DM$12,ParoEPACLM!$A$80:$A$500)+$A16-1,1)-1)</f>
        <v/>
      </c>
      <c r="DN16" s="8" t="str">
        <f ca="1">IF(OR(DN6="",DN$11&lt;$A16),"",DN6/OFFSET(ParoEPACLM!$A$80,MATCH(DN$12,ParoEPACLM!$A$80:$A$500)+$A16-1,1)-1)</f>
        <v/>
      </c>
      <c r="DO16" s="8" t="str">
        <f ca="1">IF(OR(DO6="",DO$11&lt;$A16),"",DO6/OFFSET(ParoEPACLM!$A$80,MATCH(DO$12,ParoEPACLM!$A$80:$A$500)+$A16-1,1)-1)</f>
        <v/>
      </c>
      <c r="DP16" s="8" t="str">
        <f ca="1">IF(OR(DP6="",DP$11&lt;$A16),"",DP6/OFFSET(ParoEPACLM!$A$80,MATCH(DP$12,ParoEPACLM!$A$80:$A$500)+$A16-1,1)-1)</f>
        <v/>
      </c>
      <c r="DQ16" s="8" t="str">
        <f ca="1">IF(OR(DQ6="",DQ$11&lt;$A16),"",DQ6/OFFSET(ParoEPACLM!$A$80,MATCH(DQ$12,ParoEPACLM!$A$80:$A$500)+$A16-1,1)-1)</f>
        <v/>
      </c>
      <c r="DR16" s="8" t="str">
        <f ca="1">IF(OR(DR6="",DR$11&lt;$A16),"",DR6/OFFSET(ParoEPACLM!$A$80,MATCH(DR$12,ParoEPACLM!$A$80:$A$500)+$A16-1,1)-1)</f>
        <v/>
      </c>
      <c r="DS16" s="12">
        <f t="shared" ca="1" si="51"/>
        <v>4.636537264926225E-2</v>
      </c>
      <c r="DT16" s="12">
        <f t="shared" ca="1" si="52"/>
        <v>5.5648944201546868E-2</v>
      </c>
      <c r="DU16" s="13">
        <f t="shared" ca="1" si="53"/>
        <v>1.2104208026214841E-2</v>
      </c>
      <c r="DV16" s="15">
        <f t="shared" ca="1" si="56"/>
        <v>0.11001912572918783</v>
      </c>
      <c r="DW16" s="14" t="str">
        <f t="shared" ca="1" si="54"/>
        <v>[ -17,37% ; 26,64% ]</v>
      </c>
      <c r="DX16" s="15">
        <f t="shared" ca="1" si="55"/>
        <v>0.11001912572918783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9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2.2299471492792655E-2</v>
      </c>
      <c r="C22" s="8">
        <f t="shared" ca="1" si="57"/>
        <v>5.4712554666731084E-2</v>
      </c>
      <c r="D22" s="8">
        <f t="shared" ca="1" si="57"/>
        <v>8.2866366200392338E-2</v>
      </c>
      <c r="E22" s="8">
        <f t="shared" ca="1" si="57"/>
        <v>9.3984031228274367E-2</v>
      </c>
      <c r="F22" s="8">
        <f t="shared" ca="1" si="57"/>
        <v>8.710565568324613E-2</v>
      </c>
      <c r="G22" s="8">
        <f t="shared" ca="1" si="57"/>
        <v>5.5843508169993505E-2</v>
      </c>
      <c r="H22" s="8">
        <f t="shared" ca="1" si="57"/>
        <v>7.7940738086523131E-2</v>
      </c>
      <c r="I22" s="8">
        <f t="shared" ca="1" si="57"/>
        <v>4.4982492268435204E-2</v>
      </c>
      <c r="J22" s="8">
        <f t="shared" ca="1" si="57"/>
        <v>7.366577271515018E-3</v>
      </c>
      <c r="K22" s="8">
        <f t="shared" ca="1" si="57"/>
        <v>2.4981594015391351E-2</v>
      </c>
      <c r="L22" s="8">
        <f t="shared" ca="1" si="57"/>
        <v>2.3687102020522377E-2</v>
      </c>
      <c r="M22" s="8">
        <f t="shared" ca="1" si="57"/>
        <v>0.18418149778617932</v>
      </c>
      <c r="N22" s="8">
        <f t="shared" ca="1" si="57"/>
        <v>5.7934464993508961E-2</v>
      </c>
      <c r="O22" s="8">
        <f t="shared" ca="1" si="57"/>
        <v>9.9716764523413937E-2</v>
      </c>
      <c r="P22" s="8">
        <f t="shared" ca="1" si="57"/>
        <v>6.124382150837393E-2</v>
      </c>
      <c r="Q22" s="8">
        <f t="shared" ca="1" si="57"/>
        <v>9.5582582266244387E-2</v>
      </c>
      <c r="R22" s="8">
        <f t="shared" ca="1" si="57"/>
        <v>0.17041533241161133</v>
      </c>
      <c r="S22" s="8">
        <f t="shared" ca="1" si="57"/>
        <v>0.13719495101875778</v>
      </c>
      <c r="T22" s="8">
        <f t="shared" ca="1" si="57"/>
        <v>9.4421817755914073E-2</v>
      </c>
      <c r="U22" s="8">
        <f t="shared" ca="1" si="57"/>
        <v>0.18675675705294736</v>
      </c>
      <c r="V22" s="8">
        <f t="shared" ca="1" si="57"/>
        <v>0.11264615389158072</v>
      </c>
      <c r="W22" s="8">
        <f t="shared" ca="1" si="57"/>
        <v>1.862832505083567E-3</v>
      </c>
      <c r="X22" s="8">
        <f t="shared" ca="1" si="57"/>
        <v>0.17486894865348912</v>
      </c>
      <c r="Y22" s="8">
        <f t="shared" ca="1" si="57"/>
        <v>3.9451222631255334E-2</v>
      </c>
      <c r="Z22" s="8">
        <f t="shared" ca="1" si="57"/>
        <v>7.5228561346907252E-2</v>
      </c>
      <c r="AA22" s="8">
        <f t="shared" ca="1" si="57"/>
        <v>5.6066789791867411E-2</v>
      </c>
      <c r="AB22" s="8">
        <f t="shared" ca="1" si="57"/>
        <v>5.2248359882077544E-2</v>
      </c>
      <c r="AC22" s="8">
        <f t="shared" ca="1" si="57"/>
        <v>2.1929733475652191E-2</v>
      </c>
      <c r="AD22" s="8">
        <f t="shared" ca="1" si="57"/>
        <v>3.3535738356379019E-2</v>
      </c>
      <c r="AE22" s="8">
        <f t="shared" ca="1" si="57"/>
        <v>6.6817911758599968E-2</v>
      </c>
      <c r="AF22" s="8">
        <f t="shared" ca="1" si="57"/>
        <v>1.3760301195702596E-2</v>
      </c>
      <c r="AG22" s="8">
        <f t="shared" ca="1" si="57"/>
        <v>1.2894685365248848E-2</v>
      </c>
      <c r="AH22" s="8">
        <f t="shared" ca="1" si="57"/>
        <v>5.4265267110458759E-2</v>
      </c>
      <c r="AI22" s="8">
        <f t="shared" ca="1" si="57"/>
        <v>2.5630300524494221E-2</v>
      </c>
      <c r="AJ22" s="8">
        <f t="shared" ca="1" si="57"/>
        <v>3.0235704512193262E-2</v>
      </c>
      <c r="AK22" s="8">
        <f t="shared" ca="1" si="57"/>
        <v>4.9428355341341046E-3</v>
      </c>
      <c r="AL22" s="8">
        <f t="shared" ca="1" si="57"/>
        <v>2.1264915791102901E-2</v>
      </c>
      <c r="AM22" s="8">
        <f t="shared" ca="1" si="57"/>
        <v>4.2148315312920293E-2</v>
      </c>
      <c r="AN22" s="8">
        <f t="shared" ca="1" si="57"/>
        <v>1.9282749433813029E-2</v>
      </c>
      <c r="AO22" s="8">
        <f t="shared" ca="1" si="57"/>
        <v>8.9590576052731352E-2</v>
      </c>
      <c r="AP22" s="8">
        <f t="shared" ca="1" si="57"/>
        <v>2.4608555776364005E-2</v>
      </c>
      <c r="AQ22" s="8">
        <f t="shared" ca="1" si="57"/>
        <v>3.7358825988112132E-2</v>
      </c>
      <c r="AR22" s="8">
        <f t="shared" ca="1" si="57"/>
        <v>4.3085869590364312E-2</v>
      </c>
      <c r="AS22" s="8">
        <f t="shared" ca="1" si="57"/>
        <v>4.9608978109867641E-2</v>
      </c>
      <c r="AT22" s="8">
        <f t="shared" ca="1" si="57"/>
        <v>2.1611810036110457E-2</v>
      </c>
      <c r="AU22" s="8">
        <f t="shared" ca="1" si="57"/>
        <v>3.5921165435974567E-2</v>
      </c>
      <c r="AV22" s="8">
        <f t="shared" ca="1" si="57"/>
        <v>2.527549930242623E-2</v>
      </c>
      <c r="AW22" s="8">
        <f t="shared" ca="1" si="57"/>
        <v>2.680648056153645E-3</v>
      </c>
      <c r="AX22" s="8">
        <f t="shared" ca="1" si="57"/>
        <v>2.1757185909458965E-3</v>
      </c>
      <c r="AY22" s="8">
        <f t="shared" ca="1" si="57"/>
        <v>1.9241217200897331E-2</v>
      </c>
      <c r="AZ22" s="8">
        <f t="shared" ca="1" si="57"/>
        <v>6.553157374986962E-3</v>
      </c>
      <c r="BA22" s="8">
        <f t="shared" ca="1" si="57"/>
        <v>3.34933610913144E-2</v>
      </c>
      <c r="BB22" s="8">
        <f t="shared" ca="1" si="57"/>
        <v>7.8965139685511776E-3</v>
      </c>
      <c r="BC22" s="8">
        <f t="shared" ca="1" si="57"/>
        <v>2.9385940197208527E-2</v>
      </c>
      <c r="BD22" s="8">
        <f t="shared" ca="1" si="57"/>
        <v>0.14164639319486816</v>
      </c>
      <c r="BE22" s="8">
        <f t="shared" ca="1" si="57"/>
        <v>6.4986532088581517E-2</v>
      </c>
      <c r="BF22" s="8">
        <f t="shared" ca="1" si="57"/>
        <v>1.8751813504143233E-2</v>
      </c>
      <c r="BG22" s="8">
        <f t="shared" ca="1" si="57"/>
        <v>3.2984206440323849E-2</v>
      </c>
      <c r="BH22" s="8">
        <f t="shared" ca="1" si="57"/>
        <v>6.4208235143623948E-2</v>
      </c>
      <c r="BI22" s="8">
        <f t="shared" ca="1" si="57"/>
        <v>4.9875280260989419E-2</v>
      </c>
      <c r="BJ22" s="8">
        <f t="shared" ca="1" si="57"/>
        <v>3.7813708352183451E-2</v>
      </c>
      <c r="BK22" s="8">
        <f t="shared" ca="1" si="57"/>
        <v>0.11219081368921913</v>
      </c>
      <c r="BL22" s="8">
        <f t="shared" ca="1" si="57"/>
        <v>6.9211524944787661E-2</v>
      </c>
      <c r="BM22" s="8">
        <f t="shared" ca="1" si="57"/>
        <v>1.438132022939187E-2</v>
      </c>
      <c r="BN22" s="8">
        <f t="shared" ref="BN22:BU24" ca="1" si="58">IF(BN13="","",ABS(BN13))</f>
        <v>2.9017650651150251E-2</v>
      </c>
      <c r="BO22" s="8">
        <f t="shared" ca="1" si="58"/>
        <v>0.12627044666255394</v>
      </c>
      <c r="BP22" s="8">
        <f t="shared" ca="1" si="58"/>
        <v>0.18757138199976153</v>
      </c>
      <c r="BQ22" s="8">
        <f t="shared" ca="1" si="58"/>
        <v>7.9537078413930207E-2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4.8979525390137099E-2</v>
      </c>
      <c r="DT22" s="12">
        <f t="shared" ref="DT22:DT25" ca="1" si="61">MEDIAN(OFFSET($B22,0,Inicio-1,1,Amplitud))</f>
        <v>3.5921165435974567E-2</v>
      </c>
      <c r="DU22" s="13">
        <f t="shared" ref="DU22:DU25" ca="1" si="62">VARP(OFFSET($B22,0,Inicio-1,1,Amplitud))</f>
        <v>1.8270843859903097E-3</v>
      </c>
      <c r="DV22" s="15">
        <f ca="1">SQRT(DU22)</f>
        <v>4.2744407657497249E-2</v>
      </c>
      <c r="DW22" s="14" t="str">
        <f t="shared" ref="DW22:DW25" ca="1" si="63">CONCATENATE("[ ",TEXT(DS22-2*DV22,"0,00%")," ; ",TEXT(DS22+2*DV22,"0,00%")," ]")</f>
        <v>[ -3,65% ; 13,45% ]</v>
      </c>
      <c r="DX22" s="15">
        <f t="shared" ref="DX22:DX25" ca="1" si="64">DV22*DX$12</f>
        <v>4.2744407657497249E-2</v>
      </c>
      <c r="GI22" s="1"/>
    </row>
    <row r="23" spans="1:191" x14ac:dyDescent="0.25">
      <c r="A23" s="4">
        <v>2</v>
      </c>
      <c r="B23" s="8">
        <f t="shared" ca="1" si="57"/>
        <v>8.4758483576808263E-2</v>
      </c>
      <c r="C23" s="8">
        <f t="shared" ca="1" si="57"/>
        <v>2.3955635530894082E-2</v>
      </c>
      <c r="D23" s="8">
        <f t="shared" ca="1" si="57"/>
        <v>0.16452208216903852</v>
      </c>
      <c r="E23" s="8">
        <f t="shared" ca="1" si="57"/>
        <v>6.4601543751033885E-3</v>
      </c>
      <c r="F23" s="8">
        <f t="shared" ca="1" si="57"/>
        <v>2.0065191556505102E-2</v>
      </c>
      <c r="G23" s="8">
        <f t="shared" ca="1" si="57"/>
        <v>1.2504329919517332E-2</v>
      </c>
      <c r="H23" s="8">
        <f t="shared" ca="1" si="57"/>
        <v>3.678271196063565E-2</v>
      </c>
      <c r="I23" s="8">
        <f t="shared" ca="1" si="57"/>
        <v>3.0191507414288665E-2</v>
      </c>
      <c r="J23" s="8">
        <f t="shared" ca="1" si="57"/>
        <v>1.1394535496020874E-2</v>
      </c>
      <c r="K23" s="8">
        <f t="shared" ca="1" si="57"/>
        <v>4.9831177906066948E-2</v>
      </c>
      <c r="L23" s="8">
        <f t="shared" ca="1" si="57"/>
        <v>0.15397063692272894</v>
      </c>
      <c r="M23" s="8">
        <f t="shared" ca="1" si="57"/>
        <v>0.24186278634029978</v>
      </c>
      <c r="N23" s="8">
        <f t="shared" ca="1" si="57"/>
        <v>4.5801107714373623E-2</v>
      </c>
      <c r="O23" s="8">
        <f t="shared" ca="1" si="57"/>
        <v>3.4350801071688308E-2</v>
      </c>
      <c r="P23" s="8">
        <f t="shared" ca="1" si="57"/>
        <v>3.970820908864825E-2</v>
      </c>
      <c r="Q23" s="8">
        <f t="shared" ca="1" si="57"/>
        <v>0.24507045682435979</v>
      </c>
      <c r="R23" s="8">
        <f t="shared" ca="1" si="57"/>
        <v>0.27696722916604122</v>
      </c>
      <c r="S23" s="8">
        <f t="shared" ca="1" si="57"/>
        <v>0.21631670893561306</v>
      </c>
      <c r="T23" s="8">
        <f t="shared" ca="1" si="57"/>
        <v>0.28501670423653658</v>
      </c>
      <c r="U23" s="8">
        <f t="shared" ca="1" si="57"/>
        <v>0.29101303114790944</v>
      </c>
      <c r="V23" s="8">
        <f t="shared" ca="1" si="57"/>
        <v>0.13956184489528289</v>
      </c>
      <c r="W23" s="8">
        <f t="shared" ca="1" si="57"/>
        <v>0.15516280335530142</v>
      </c>
      <c r="X23" s="8">
        <f t="shared" ca="1" si="57"/>
        <v>0.25856646520638327</v>
      </c>
      <c r="Y23" s="8">
        <f t="shared" ca="1" si="57"/>
        <v>3.137014161276197E-2</v>
      </c>
      <c r="Z23" s="8">
        <f t="shared" ca="1" si="57"/>
        <v>5.5587655044166517E-2</v>
      </c>
      <c r="AA23" s="8">
        <f t="shared" ca="1" si="57"/>
        <v>0.1409975385358444</v>
      </c>
      <c r="AB23" s="8">
        <f t="shared" ca="1" si="57"/>
        <v>3.077887455933026E-2</v>
      </c>
      <c r="AC23" s="8">
        <f t="shared" ca="1" si="57"/>
        <v>2.734461775264263E-3</v>
      </c>
      <c r="AD23" s="8">
        <f t="shared" ca="1" si="57"/>
        <v>2.0542877059464559E-2</v>
      </c>
      <c r="AE23" s="8">
        <f t="shared" ca="1" si="57"/>
        <v>6.8967160782838821E-2</v>
      </c>
      <c r="AF23" s="8">
        <f t="shared" ca="1" si="57"/>
        <v>7.3431575455384923E-4</v>
      </c>
      <c r="AG23" s="8">
        <f t="shared" ca="1" si="57"/>
        <v>6.4839077657754096E-2</v>
      </c>
      <c r="AH23" s="8">
        <f t="shared" ca="1" si="57"/>
        <v>9.2402651528914359E-2</v>
      </c>
      <c r="AI23" s="8">
        <f t="shared" ca="1" si="57"/>
        <v>7.6834631395923392E-3</v>
      </c>
      <c r="AJ23" s="8">
        <f t="shared" ca="1" si="57"/>
        <v>2.7372738212236181E-2</v>
      </c>
      <c r="AK23" s="8">
        <f t="shared" ca="1" si="57"/>
        <v>1.5755876912258104E-2</v>
      </c>
      <c r="AL23" s="8">
        <f t="shared" ca="1" si="57"/>
        <v>7.8244596633030739E-2</v>
      </c>
      <c r="AM23" s="8">
        <f t="shared" ca="1" si="57"/>
        <v>3.0959614615161168E-2</v>
      </c>
      <c r="AN23" s="8">
        <f t="shared" ca="1" si="57"/>
        <v>8.3267324657132935E-2</v>
      </c>
      <c r="AO23" s="8">
        <f t="shared" ca="1" si="57"/>
        <v>8.1058555722427927E-2</v>
      </c>
      <c r="AP23" s="8">
        <f t="shared" ca="1" si="57"/>
        <v>2.5475957658874337E-2</v>
      </c>
      <c r="AQ23" s="8">
        <f t="shared" ca="1" si="57"/>
        <v>5.538169456305031E-4</v>
      </c>
      <c r="AR23" s="8">
        <f t="shared" ca="1" si="57"/>
        <v>7.9001504306774883E-3</v>
      </c>
      <c r="AS23" s="8">
        <f t="shared" ca="1" si="57"/>
        <v>8.9259220630709235E-2</v>
      </c>
      <c r="AT23" s="8">
        <f t="shared" ca="1" si="57"/>
        <v>6.0275527087304326E-2</v>
      </c>
      <c r="AU23" s="8">
        <f t="shared" ca="1" si="57"/>
        <v>5.4411169288227867E-2</v>
      </c>
      <c r="AV23" s="8">
        <f t="shared" ca="1" si="57"/>
        <v>4.9061787784461464E-2</v>
      </c>
      <c r="AW23" s="8">
        <f t="shared" ca="1" si="57"/>
        <v>8.7972862327727608E-3</v>
      </c>
      <c r="AX23" s="8">
        <f t="shared" ca="1" si="57"/>
        <v>1.5842133628171551E-2</v>
      </c>
      <c r="AY23" s="8">
        <f t="shared" ca="1" si="57"/>
        <v>1.4744188971919536E-2</v>
      </c>
      <c r="AZ23" s="8">
        <f t="shared" ca="1" si="57"/>
        <v>2.6545281613038929E-2</v>
      </c>
      <c r="BA23" s="8">
        <f t="shared" ca="1" si="57"/>
        <v>3.8286546810285094E-2</v>
      </c>
      <c r="BB23" s="8">
        <f t="shared" ca="1" si="57"/>
        <v>1.9256705677995978E-2</v>
      </c>
      <c r="BC23" s="8">
        <f t="shared" ca="1" si="57"/>
        <v>0.10334897966654077</v>
      </c>
      <c r="BD23" s="8">
        <f t="shared" ca="1" si="57"/>
        <v>8.2634968906200923E-2</v>
      </c>
      <c r="BE23" s="8">
        <f t="shared" ca="1" si="57"/>
        <v>8.445210565635819E-2</v>
      </c>
      <c r="BF23" s="8">
        <f t="shared" ca="1" si="57"/>
        <v>1.5711200190645647E-2</v>
      </c>
      <c r="BG23" s="8">
        <f t="shared" ca="1" si="57"/>
        <v>9.357656494644484E-2</v>
      </c>
      <c r="BH23" s="8">
        <f t="shared" ca="1" si="57"/>
        <v>0.12766840547165303</v>
      </c>
      <c r="BI23" s="8">
        <f t="shared" ca="1" si="57"/>
        <v>9.3705017069918295E-2</v>
      </c>
      <c r="BJ23" s="8">
        <f t="shared" ca="1" si="57"/>
        <v>5.6159792238770656E-2</v>
      </c>
      <c r="BK23" s="8">
        <f t="shared" ca="1" si="57"/>
        <v>0.19160533958067127</v>
      </c>
      <c r="BL23" s="8">
        <f t="shared" ca="1" si="57"/>
        <v>6.6533731126204199E-2</v>
      </c>
      <c r="BM23" s="8">
        <f t="shared" ca="1" si="57"/>
        <v>2.5284731401783223E-2</v>
      </c>
      <c r="BN23" s="8">
        <f t="shared" ca="1" si="58"/>
        <v>8.7631948262564263E-2</v>
      </c>
      <c r="BO23" s="8">
        <f t="shared" ca="1" si="58"/>
        <v>6.6542321796310033E-2</v>
      </c>
      <c r="BP23" s="8">
        <f t="shared" ca="1" si="58"/>
        <v>0.13804649998085572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6.128656246832373E-2</v>
      </c>
      <c r="DT23" s="12">
        <f t="shared" ca="1" si="61"/>
        <v>5.8217659663037491E-2</v>
      </c>
      <c r="DU23" s="13">
        <f t="shared" ca="1" si="62"/>
        <v>1.9123200153934544E-3</v>
      </c>
      <c r="DV23" s="15">
        <f t="shared" ref="DV23:DV25" ca="1" si="66">SQRT(DU23)</f>
        <v>4.3730081355897961E-2</v>
      </c>
      <c r="DW23" s="14" t="str">
        <f t="shared" ca="1" si="63"/>
        <v>[ -2,62% ; 14,87% ]</v>
      </c>
      <c r="DX23" s="15">
        <f t="shared" ca="1" si="64"/>
        <v>4.3730081355897961E-2</v>
      </c>
      <c r="GI23" s="1"/>
    </row>
    <row r="24" spans="1:191" x14ac:dyDescent="0.25">
      <c r="A24" s="4">
        <v>3</v>
      </c>
      <c r="B24" s="8">
        <f t="shared" ca="1" si="57"/>
        <v>1.9157351314564863E-3</v>
      </c>
      <c r="C24" s="8">
        <f t="shared" ca="1" si="57"/>
        <v>0.11246625561117607</v>
      </c>
      <c r="D24" s="8">
        <f t="shared" ca="1" si="57"/>
        <v>9.7758823521357896E-2</v>
      </c>
      <c r="E24" s="8">
        <f t="shared" ca="1" si="57"/>
        <v>8.1269071632417589E-2</v>
      </c>
      <c r="F24" s="8">
        <f t="shared" ca="1" si="57"/>
        <v>0.10297829756021626</v>
      </c>
      <c r="G24" s="8">
        <f t="shared" ca="1" si="57"/>
        <v>3.6159685479644321E-2</v>
      </c>
      <c r="H24" s="8">
        <f t="shared" ca="1" si="57"/>
        <v>3.915502870835641E-2</v>
      </c>
      <c r="I24" s="8">
        <f t="shared" ca="1" si="57"/>
        <v>5.3708488176013036E-2</v>
      </c>
      <c r="J24" s="8">
        <f t="shared" ca="1" si="57"/>
        <v>3.8717887985764921E-2</v>
      </c>
      <c r="K24" s="8">
        <f t="shared" ca="1" si="57"/>
        <v>0.12260162230445859</v>
      </c>
      <c r="L24" s="8">
        <f t="shared" ca="1" si="57"/>
        <v>0.20955570585888417</v>
      </c>
      <c r="M24" s="8">
        <f t="shared" ca="1" si="57"/>
        <v>0.1300613145657068</v>
      </c>
      <c r="N24" s="8">
        <f t="shared" ca="1" si="57"/>
        <v>2.5011809793102913E-2</v>
      </c>
      <c r="O24" s="8">
        <f t="shared" ca="1" si="57"/>
        <v>0.1368196469454479</v>
      </c>
      <c r="P24" s="8">
        <f t="shared" ca="1" si="57"/>
        <v>0.20221216030279787</v>
      </c>
      <c r="Q24" s="8">
        <f t="shared" ca="1" si="57"/>
        <v>0.34918562523929109</v>
      </c>
      <c r="R24" s="8">
        <f t="shared" ca="1" si="57"/>
        <v>0.35182215597948763</v>
      </c>
      <c r="S24" s="8">
        <f t="shared" ca="1" si="57"/>
        <v>0.37977059585175488</v>
      </c>
      <c r="T24" s="8">
        <f t="shared" ca="1" si="57"/>
        <v>0.38869307207637604</v>
      </c>
      <c r="U24" s="8">
        <f t="shared" ca="1" si="57"/>
        <v>0.34052418542168683</v>
      </c>
      <c r="V24" s="8">
        <f t="shared" ca="1" si="57"/>
        <v>4.4392802103734974E-2</v>
      </c>
      <c r="W24" s="8">
        <f t="shared" ca="1" si="57"/>
        <v>0.25616269896238353</v>
      </c>
      <c r="X24" s="8">
        <f t="shared" ca="1" si="57"/>
        <v>0.21069196280479074</v>
      </c>
      <c r="Y24" s="8">
        <f t="shared" ca="1" si="57"/>
        <v>1.0784276352849842E-2</v>
      </c>
      <c r="Z24" s="8">
        <f t="shared" ca="1" si="57"/>
        <v>8.449875340785562E-3</v>
      </c>
      <c r="AA24" s="8">
        <f t="shared" ca="1" si="57"/>
        <v>8.8407687763437437E-2</v>
      </c>
      <c r="AB24" s="8">
        <f t="shared" ca="1" si="57"/>
        <v>7.3635492427073013E-2</v>
      </c>
      <c r="AC24" s="8">
        <f t="shared" ca="1" si="57"/>
        <v>5.9675656053370441E-2</v>
      </c>
      <c r="AD24" s="8">
        <f t="shared" ca="1" si="57"/>
        <v>1.3515037742946601E-2</v>
      </c>
      <c r="AE24" s="8">
        <f t="shared" ca="1" si="57"/>
        <v>9.8648985107616549E-2</v>
      </c>
      <c r="AF24" s="8">
        <f t="shared" ca="1" si="57"/>
        <v>5.0747063734369324E-2</v>
      </c>
      <c r="AG24" s="8">
        <f t="shared" ca="1" si="57"/>
        <v>9.7066227503828539E-2</v>
      </c>
      <c r="AH24" s="8">
        <f t="shared" ca="1" si="57"/>
        <v>7.6365222120015508E-2</v>
      </c>
      <c r="AI24" s="8">
        <f t="shared" ca="1" si="57"/>
        <v>6.1577366152865132E-5</v>
      </c>
      <c r="AJ24" s="8">
        <f t="shared" ca="1" si="57"/>
        <v>4.5964344192847895E-2</v>
      </c>
      <c r="AK24" s="8">
        <f t="shared" ca="1" si="57"/>
        <v>4.863698618502621E-2</v>
      </c>
      <c r="AL24" s="8">
        <f t="shared" ca="1" si="57"/>
        <v>8.2281754920828343E-2</v>
      </c>
      <c r="AM24" s="8">
        <f t="shared" ca="1" si="57"/>
        <v>0.1290831514469073</v>
      </c>
      <c r="AN24" s="8">
        <f t="shared" ca="1" si="57"/>
        <v>6.6205081125184861E-2</v>
      </c>
      <c r="AO24" s="8">
        <f t="shared" ca="1" si="57"/>
        <v>0.14561548719103601</v>
      </c>
      <c r="AP24" s="8">
        <f t="shared" ca="1" si="57"/>
        <v>8.5840592566261975E-3</v>
      </c>
      <c r="AQ24" s="8">
        <f t="shared" ca="1" si="57"/>
        <v>7.1675679439760387E-2</v>
      </c>
      <c r="AR24" s="8">
        <f t="shared" ca="1" si="57"/>
        <v>1.5667813661171204E-2</v>
      </c>
      <c r="AS24" s="8">
        <f t="shared" ca="1" si="57"/>
        <v>0.14407460689360452</v>
      </c>
      <c r="AT24" s="8">
        <f t="shared" ca="1" si="57"/>
        <v>0.11454470406641892</v>
      </c>
      <c r="AU24" s="8">
        <f t="shared" ca="1" si="57"/>
        <v>6.7489677820418148E-2</v>
      </c>
      <c r="AV24" s="8">
        <f t="shared" ca="1" si="57"/>
        <v>3.5478457895323334E-2</v>
      </c>
      <c r="AW24" s="8">
        <f t="shared" ca="1" si="57"/>
        <v>7.9045361298208938E-3</v>
      </c>
      <c r="AX24" s="8">
        <f t="shared" ca="1" si="57"/>
        <v>2.0992304242415161E-2</v>
      </c>
      <c r="AY24" s="8">
        <f t="shared" ca="1" si="57"/>
        <v>4.9831372821968811E-2</v>
      </c>
      <c r="AZ24" s="8">
        <f t="shared" ca="1" si="57"/>
        <v>1.8619890326813993E-2</v>
      </c>
      <c r="BA24" s="8">
        <f t="shared" ca="1" si="57"/>
        <v>1.7824827038539937E-2</v>
      </c>
      <c r="BB24" s="8">
        <f t="shared" ca="1" si="57"/>
        <v>0.11552241371933514</v>
      </c>
      <c r="BC24" s="8">
        <f t="shared" ca="1" si="57"/>
        <v>4.1183779417437227E-2</v>
      </c>
      <c r="BD24" s="8">
        <f t="shared" ca="1" si="57"/>
        <v>8.6479013670006877E-2</v>
      </c>
      <c r="BE24" s="8">
        <f t="shared" ca="1" si="57"/>
        <v>7.6543208272269347E-2</v>
      </c>
      <c r="BF24" s="8">
        <f t="shared" ca="1" si="57"/>
        <v>7.798312444819766E-2</v>
      </c>
      <c r="BG24" s="8">
        <f t="shared" ca="1" si="57"/>
        <v>0.17109660094238377</v>
      </c>
      <c r="BH24" s="8">
        <f t="shared" ca="1" si="57"/>
        <v>0.19578466040363285</v>
      </c>
      <c r="BI24" s="8">
        <f t="shared" ca="1" si="57"/>
        <v>2.1710525731277741E-4</v>
      </c>
      <c r="BJ24" s="8">
        <f t="shared" ca="1" si="57"/>
        <v>0.15167473393860165</v>
      </c>
      <c r="BK24" s="8">
        <f t="shared" ca="1" si="57"/>
        <v>0.21347935260279383</v>
      </c>
      <c r="BL24" s="8">
        <f t="shared" ca="1" si="57"/>
        <v>0.11420209872270792</v>
      </c>
      <c r="BM24" s="8">
        <f t="shared" ca="1" si="57"/>
        <v>8.6358179218508413E-2</v>
      </c>
      <c r="BN24" s="8">
        <f t="shared" ca="1" si="58"/>
        <v>9.2702251927692769E-2</v>
      </c>
      <c r="BO24" s="8">
        <f t="shared" ca="1" si="58"/>
        <v>1.9087466161971545E-2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8.1238125450305565E-2</v>
      </c>
      <c r="DT24" s="12">
        <f t="shared" ca="1" si="61"/>
        <v>7.6543208272269347E-2</v>
      </c>
      <c r="DU24" s="13">
        <f t="shared" ca="1" si="62"/>
        <v>3.4400560084436793E-3</v>
      </c>
      <c r="DV24" s="15">
        <f t="shared" ca="1" si="66"/>
        <v>5.8651990660536654E-2</v>
      </c>
      <c r="DW24" s="14" t="str">
        <f t="shared" ca="1" si="63"/>
        <v>[ -3,61% ; 19,85% ]</v>
      </c>
      <c r="DX24" s="15">
        <f t="shared" ca="1" si="64"/>
        <v>5.8651990660536654E-2</v>
      </c>
      <c r="GI24" s="1"/>
    </row>
    <row r="25" spans="1:191" x14ac:dyDescent="0.25">
      <c r="A25" s="4">
        <v>4</v>
      </c>
      <c r="B25" s="8">
        <f t="shared" ca="1" si="57"/>
        <v>9.0990630088617852E-2</v>
      </c>
      <c r="C25" s="8">
        <f t="shared" ca="1" si="57"/>
        <v>2.6880470071449003E-2</v>
      </c>
      <c r="D25" s="8">
        <f t="shared" ca="1" si="57"/>
        <v>0.17674210949369551</v>
      </c>
      <c r="E25" s="8">
        <f t="shared" ca="1" si="57"/>
        <v>9.6812771470665693E-3</v>
      </c>
      <c r="F25" s="8">
        <f t="shared" ca="1" si="57"/>
        <v>4.9289363073023118E-2</v>
      </c>
      <c r="G25" s="8">
        <f t="shared" ca="1" si="57"/>
        <v>2.9324178251860178E-2</v>
      </c>
      <c r="H25" s="8">
        <f t="shared" ca="1" si="57"/>
        <v>2.5430187655735903E-2</v>
      </c>
      <c r="I25" s="8">
        <f t="shared" ca="1" si="57"/>
        <v>8.3120301370061211E-2</v>
      </c>
      <c r="J25" s="8">
        <f t="shared" ca="1" si="57"/>
        <v>0.12733329370963831</v>
      </c>
      <c r="K25" s="8">
        <f t="shared" ca="1" si="57"/>
        <v>0.17198614001823054</v>
      </c>
      <c r="L25" s="8">
        <f t="shared" ca="1" si="57"/>
        <v>0.10147199191615264</v>
      </c>
      <c r="M25" s="8">
        <f t="shared" ca="1" si="57"/>
        <v>0.22050308811030273</v>
      </c>
      <c r="N25" s="8">
        <f t="shared" ca="1" si="57"/>
        <v>8.9068994493642695E-2</v>
      </c>
      <c r="O25" s="8">
        <f t="shared" ca="1" si="57"/>
        <v>0.28788200379535045</v>
      </c>
      <c r="P25" s="8">
        <f t="shared" ca="1" si="57"/>
        <v>0.30621416510670696</v>
      </c>
      <c r="Q25" s="8">
        <f t="shared" ca="1" si="57"/>
        <v>0.41799924944372313</v>
      </c>
      <c r="R25" s="8">
        <f t="shared" ca="1" si="57"/>
        <v>0.47915108975864151</v>
      </c>
      <c r="S25" s="8">
        <f t="shared" ca="1" si="57"/>
        <v>0.47050262835498324</v>
      </c>
      <c r="T25" s="8">
        <f t="shared" ca="1" si="57"/>
        <v>0.4404891928663226</v>
      </c>
      <c r="U25" s="8">
        <f t="shared" ca="1" si="57"/>
        <v>0.30675024568322495</v>
      </c>
      <c r="V25" s="8">
        <f t="shared" ca="1" si="57"/>
        <v>1.8223266726935528E-2</v>
      </c>
      <c r="W25" s="8">
        <f t="shared" ca="1" si="57"/>
        <v>0.21878878171019434</v>
      </c>
      <c r="X25" s="8">
        <f t="shared" ca="1" si="57"/>
        <v>0.29610084818918647</v>
      </c>
      <c r="Y25" s="8">
        <f t="shared" ca="1" si="57"/>
        <v>5.5363071872934766E-2</v>
      </c>
      <c r="Z25" s="8">
        <f t="shared" ca="1" si="57"/>
        <v>3.7400745394078116E-2</v>
      </c>
      <c r="AA25" s="8">
        <f t="shared" ca="1" si="57"/>
        <v>0.13700969491115411</v>
      </c>
      <c r="AB25" s="8">
        <f t="shared" ca="1" si="57"/>
        <v>9.2408327104200882E-3</v>
      </c>
      <c r="AC25" s="8">
        <f t="shared" ca="1" si="57"/>
        <v>5.3604764849351616E-2</v>
      </c>
      <c r="AD25" s="8">
        <f t="shared" ca="1" si="57"/>
        <v>4.1474429854197026E-2</v>
      </c>
      <c r="AE25" s="8">
        <f t="shared" ca="1" si="57"/>
        <v>0.15798004920405373</v>
      </c>
      <c r="AF25" s="8">
        <f t="shared" ca="1" si="57"/>
        <v>9.429945605030321E-2</v>
      </c>
      <c r="AG25" s="8">
        <f t="shared" ca="1" si="57"/>
        <v>8.3575530741369031E-2</v>
      </c>
      <c r="AH25" s="8">
        <f t="shared" ca="1" si="57"/>
        <v>8.6537470982512632E-2</v>
      </c>
      <c r="AI25" s="8">
        <f t="shared" ca="1" si="57"/>
        <v>1.2357009416947173E-2</v>
      </c>
      <c r="AJ25" s="8">
        <f t="shared" ca="1" si="57"/>
        <v>0.10223077980947926</v>
      </c>
      <c r="AK25" s="8">
        <f t="shared" ca="1" si="57"/>
        <v>3.4473388611035549E-2</v>
      </c>
      <c r="AL25" s="8">
        <f t="shared" ca="1" si="57"/>
        <v>0.18779962020671004</v>
      </c>
      <c r="AM25" s="8">
        <f t="shared" ca="1" si="57"/>
        <v>0.13309459988747463</v>
      </c>
      <c r="AN25" s="8">
        <f t="shared" ca="1" si="57"/>
        <v>0.11850070387839051</v>
      </c>
      <c r="AO25" s="8">
        <f t="shared" ca="1" si="57"/>
        <v>0.12148733178184523</v>
      </c>
      <c r="AP25" s="8">
        <f t="shared" ca="1" si="57"/>
        <v>2.9270300949959971E-2</v>
      </c>
      <c r="AQ25" s="8">
        <f t="shared" ca="1" si="57"/>
        <v>9.6636976780788642E-2</v>
      </c>
      <c r="AR25" s="8">
        <f t="shared" ca="1" si="57"/>
        <v>6.0886231723342954E-2</v>
      </c>
      <c r="AS25" s="8">
        <f t="shared" ca="1" si="57"/>
        <v>0.21316766878001325</v>
      </c>
      <c r="AT25" s="8">
        <f t="shared" ca="1" si="57"/>
        <v>0.1116998911094047</v>
      </c>
      <c r="AU25" s="8">
        <f t="shared" ca="1" si="57"/>
        <v>7.4970161036915561E-2</v>
      </c>
      <c r="AV25" s="8">
        <f t="shared" ca="1" si="57"/>
        <v>5.5560489891604226E-2</v>
      </c>
      <c r="AW25" s="8">
        <f t="shared" ca="1" si="57"/>
        <v>2.5913819734526555E-3</v>
      </c>
      <c r="AX25" s="8">
        <f t="shared" ca="1" si="57"/>
        <v>4.7438444691410009E-2</v>
      </c>
      <c r="AY25" s="8">
        <f t="shared" ca="1" si="57"/>
        <v>5.5737398511489511E-2</v>
      </c>
      <c r="AZ25" s="8">
        <f t="shared" ca="1" si="57"/>
        <v>1.4316866105446024E-4</v>
      </c>
      <c r="BA25" s="8">
        <f t="shared" ca="1" si="57"/>
        <v>0.16395804172534412</v>
      </c>
      <c r="BB25" s="8">
        <f t="shared" ca="1" si="57"/>
        <v>4.3745441192441392E-2</v>
      </c>
      <c r="BC25" s="8">
        <f t="shared" ca="1" si="57"/>
        <v>2.7018036404852896E-2</v>
      </c>
      <c r="BD25" s="8">
        <f t="shared" ca="1" si="57"/>
        <v>0.13808671675064832</v>
      </c>
      <c r="BE25" s="8">
        <f t="shared" ca="1" si="57"/>
        <v>4.2944668025685417E-2</v>
      </c>
      <c r="BF25" s="8">
        <f t="shared" ca="1" si="57"/>
        <v>0.14677703214467397</v>
      </c>
      <c r="BG25" s="8">
        <f t="shared" ca="1" si="57"/>
        <v>0.25382884442334541</v>
      </c>
      <c r="BH25" s="8">
        <f t="shared" ca="1" si="57"/>
        <v>0.10749293927345094</v>
      </c>
      <c r="BI25" s="8">
        <f t="shared" ca="1" si="57"/>
        <v>6.8176851164614138E-2</v>
      </c>
      <c r="BJ25" s="8">
        <f t="shared" ca="1" si="57"/>
        <v>0.15783147221182359</v>
      </c>
      <c r="BK25" s="8">
        <f t="shared" ca="1" si="57"/>
        <v>0.27561756600958354</v>
      </c>
      <c r="BL25" s="8">
        <f t="shared" ca="1" si="57"/>
        <v>2.3893561845253153E-2</v>
      </c>
      <c r="BM25" s="8">
        <f t="shared" ref="BM25:BU25" ca="1" si="68">IF(BM16="","",ABS(BM16))</f>
        <v>0.10939643950403721</v>
      </c>
      <c r="BN25" s="8">
        <f t="shared" ca="1" si="68"/>
        <v>2.6000808631562955E-2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9.664118460587369E-2</v>
      </c>
      <c r="DT25" s="12">
        <f t="shared" ca="1" si="61"/>
        <v>8.5803568908852101E-2</v>
      </c>
      <c r="DU25" s="13">
        <f t="shared" ca="1" si="62"/>
        <v>4.9144372450932389E-3</v>
      </c>
      <c r="DV25" s="15">
        <f t="shared" ca="1" si="66"/>
        <v>7.0103047331005794E-2</v>
      </c>
      <c r="DW25" s="14" t="str">
        <f t="shared" ca="1" si="63"/>
        <v>[ -4,36% ; 23,68% ]</v>
      </c>
      <c r="DX25" s="15">
        <f t="shared" ca="1" si="64"/>
        <v>7.0103047331005794E-2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7">
        <f t="shared" ref="O31:AJ31" ca="1" si="70">IF(O3="","",AVERAGE(N22)+CONFIDENCE(0.05,STDEV(B22:N22),COUNT(B22:N22)))</f>
        <v>8.2774170775387637E-2</v>
      </c>
      <c r="P31" s="17">
        <f t="shared" ca="1" si="70"/>
        <v>0.12417878182840371</v>
      </c>
      <c r="Q31" s="17">
        <f t="shared" ca="1" si="70"/>
        <v>8.563247003839311E-2</v>
      </c>
      <c r="R31" s="17">
        <f t="shared" ca="1" si="70"/>
        <v>0.12021859034474601</v>
      </c>
      <c r="S31" s="17">
        <f t="shared" ca="1" si="70"/>
        <v>0.19920216638213528</v>
      </c>
      <c r="T31" s="17">
        <f t="shared" ca="1" si="70"/>
        <v>0.16740325475867887</v>
      </c>
      <c r="U31" s="17">
        <f t="shared" ca="1" si="70"/>
        <v>0.1244271197156176</v>
      </c>
      <c r="V31" s="17">
        <f t="shared" ca="1" si="70"/>
        <v>0.22055154243421179</v>
      </c>
      <c r="W31" s="17">
        <f t="shared" ca="1" si="70"/>
        <v>0.14568259577668277</v>
      </c>
      <c r="X31" s="17">
        <f t="shared" ca="1" si="70"/>
        <v>3.5273746850077649E-2</v>
      </c>
      <c r="Y31" s="17">
        <f t="shared" ca="1" si="70"/>
        <v>0.20805355883570281</v>
      </c>
      <c r="Z31" s="17">
        <f t="shared" ca="1" si="70"/>
        <v>7.172531302984439E-2</v>
      </c>
      <c r="AA31" s="17">
        <f t="shared" ca="1" si="70"/>
        <v>0.10535715689894927</v>
      </c>
      <c r="AB31" s="17">
        <f t="shared" ca="1" si="70"/>
        <v>8.6261700858592277E-2</v>
      </c>
      <c r="AC31" s="17">
        <f t="shared" ca="1" si="70"/>
        <v>8.3306267004893048E-2</v>
      </c>
      <c r="AD31" s="17">
        <f t="shared" ca="1" si="70"/>
        <v>5.4617778693434933E-2</v>
      </c>
      <c r="AE31" s="17">
        <f t="shared" ca="1" si="70"/>
        <v>6.7453266443922064E-2</v>
      </c>
      <c r="AF31" s="17">
        <f t="shared" ca="1" si="70"/>
        <v>9.8103937656303514E-2</v>
      </c>
      <c r="AG31" s="17">
        <f t="shared" ca="1" si="70"/>
        <v>4.5121741730743847E-2</v>
      </c>
      <c r="AH31" s="17">
        <f t="shared" ca="1" si="70"/>
        <v>4.518426196526984E-2</v>
      </c>
      <c r="AI31" s="17">
        <f t="shared" ca="1" si="70"/>
        <v>7.9734637472425249E-2</v>
      </c>
      <c r="AJ31" s="17">
        <f t="shared" ca="1" si="70"/>
        <v>4.9587495902672966E-2</v>
      </c>
      <c r="AK31" s="17">
        <f ca="1">IF(AK3="","",AVERAGE(AJ22)+CONFIDENCE(0.05,STDEV(X22:AJ22),COUNT(X22:AJ22)))</f>
        <v>5.3198408937314423E-2</v>
      </c>
      <c r="AL31" s="17">
        <f t="shared" ref="AL31:BU31" ca="1" si="71">IF(AL3="","",AK22+CONFIDENCE(0.05,STDEV(Y22:AK22),COUNT(Y22:AK22)))</f>
        <v>1.69048950660005E-2</v>
      </c>
      <c r="AM31" s="17">
        <f t="shared" ca="1" si="71"/>
        <v>3.3464392023498699E-2</v>
      </c>
      <c r="AN31" s="17">
        <f t="shared" ca="1" si="71"/>
        <v>5.2631331464312828E-2</v>
      </c>
      <c r="AO31" s="17">
        <f t="shared" ca="1" si="71"/>
        <v>2.9272805043542523E-2</v>
      </c>
      <c r="AP31" s="17">
        <f t="shared" ca="1" si="71"/>
        <v>0.10267289615228893</v>
      </c>
      <c r="AQ31" s="17">
        <f t="shared" ca="1" si="71"/>
        <v>3.7638353719298599E-2</v>
      </c>
      <c r="AR31" s="17">
        <f t="shared" ca="1" si="71"/>
        <v>5.0399693342505214E-2</v>
      </c>
      <c r="AS31" s="17">
        <f t="shared" ca="1" si="71"/>
        <v>5.5110054473746922E-2</v>
      </c>
      <c r="AT31" s="17">
        <f t="shared" ca="1" si="71"/>
        <v>6.1490609100983064E-2</v>
      </c>
      <c r="AU31" s="17">
        <f t="shared" ca="1" si="71"/>
        <v>3.3162265164509312E-2</v>
      </c>
      <c r="AV31" s="17">
        <f t="shared" ca="1" si="71"/>
        <v>4.7068231523232543E-2</v>
      </c>
      <c r="AW31" s="17">
        <f t="shared" ca="1" si="71"/>
        <v>3.6429450037779802E-2</v>
      </c>
      <c r="AX31" s="17">
        <f t="shared" ca="1" si="71"/>
        <v>1.480848236121121E-2</v>
      </c>
      <c r="AY31" s="17">
        <f t="shared" ca="1" si="71"/>
        <v>1.4462305183408661E-2</v>
      </c>
      <c r="AZ31" s="17">
        <f t="shared" ca="1" si="71"/>
        <v>3.1574610680892332E-2</v>
      </c>
      <c r="BA31" s="17">
        <f t="shared" ca="1" si="71"/>
        <v>1.9307068189282635E-2</v>
      </c>
      <c r="BB31" s="17">
        <f t="shared" ca="1" si="71"/>
        <v>4.6160325758345763E-2</v>
      </c>
      <c r="BC31" s="17">
        <f t="shared" ca="1" si="71"/>
        <v>1.6427086048858085E-2</v>
      </c>
      <c r="BD31" s="17">
        <f t="shared" ca="1" si="71"/>
        <v>3.7957852069078424E-2</v>
      </c>
      <c r="BE31" s="17">
        <f t="shared" ca="1" si="71"/>
        <v>0.16135427626577137</v>
      </c>
      <c r="BF31" s="17">
        <f t="shared" ca="1" si="71"/>
        <v>8.5260814489736686E-2</v>
      </c>
      <c r="BG31" s="17">
        <f t="shared" ca="1" si="71"/>
        <v>3.897038746842816E-2</v>
      </c>
      <c r="BH31" s="17">
        <f t="shared" ca="1" si="71"/>
        <v>5.3138290930073093E-2</v>
      </c>
      <c r="BI31" s="17">
        <f t="shared" ca="1" si="71"/>
        <v>8.4927859420402249E-2</v>
      </c>
      <c r="BJ31" s="17">
        <f t="shared" ca="1" si="71"/>
        <v>7.0655315033947036E-2</v>
      </c>
      <c r="BK31" s="17">
        <f t="shared" ca="1" si="71"/>
        <v>5.7849486459979449E-2</v>
      </c>
      <c r="BL31" s="17">
        <f t="shared" ca="1" si="71"/>
        <v>0.13401254305309943</v>
      </c>
      <c r="BM31" s="17">
        <f t="shared" ca="1" si="71"/>
        <v>9.0731571980315368E-2</v>
      </c>
      <c r="BN31" s="17">
        <f t="shared" ca="1" si="71"/>
        <v>3.5528229481982684E-2</v>
      </c>
      <c r="BO31" s="17">
        <f t="shared" ca="1" si="71"/>
        <v>5.0271837516647738E-2</v>
      </c>
      <c r="BP31" s="17">
        <f t="shared" ca="1" si="71"/>
        <v>0.14895897690522608</v>
      </c>
      <c r="BQ31" s="17">
        <f t="shared" ca="1" si="71"/>
        <v>0.21653032111795573</v>
      </c>
      <c r="BR31" s="17">
        <f t="shared" ca="1" si="71"/>
        <v>0.10630093938651256</v>
      </c>
      <c r="BS31" s="17" t="str">
        <f t="shared" si="71"/>
        <v/>
      </c>
      <c r="BT31" s="17" t="str">
        <f t="shared" si="71"/>
        <v/>
      </c>
      <c r="BU31" s="17" t="str">
        <f t="shared" si="71"/>
        <v/>
      </c>
      <c r="BV31" s="17" t="str">
        <f t="shared" ref="BV31" si="72">IF(BV3="","",BU22+CONFIDENCE(0.05,STDEV(BI22:BU22),COUNT(BI22:BU22)))</f>
        <v/>
      </c>
      <c r="BW31" s="17" t="str">
        <f t="shared" ref="BW31" si="73">IF(BW3="","",BV22+CONFIDENCE(0.05,STDEV(BJ22:BV22),COUNT(BJ22:BV22)))</f>
        <v/>
      </c>
      <c r="BX31" s="17" t="str">
        <f t="shared" ref="BX31" si="74">IF(BX3="","",BW22+CONFIDENCE(0.05,STDEV(BK22:BW22),COUNT(BK22:BW22)))</f>
        <v/>
      </c>
      <c r="BY31" s="17" t="str">
        <f t="shared" ref="BY31" si="75">IF(BY3="","",BX22+CONFIDENCE(0.05,STDEV(BL22:BX22),COUNT(BL22:BX22)))</f>
        <v/>
      </c>
      <c r="BZ31" s="17" t="str">
        <f t="shared" ref="BZ31" si="76">IF(BZ3="","",BY22+CONFIDENCE(0.05,STDEV(BM22:BY22),COUNT(BM22:BY22)))</f>
        <v/>
      </c>
      <c r="CA31" s="17" t="str">
        <f t="shared" ref="CA31" si="77">IF(CA3="","",BZ22+CONFIDENCE(0.05,STDEV(BN22:BZ22),COUNT(BN22:BZ22)))</f>
        <v/>
      </c>
      <c r="CB31" s="17" t="str">
        <f t="shared" ref="CB31" si="78">IF(CB3="","",CA22+CONFIDENCE(0.05,STDEV(BO22:CA22),COUNT(BO22:CA22)))</f>
        <v/>
      </c>
      <c r="CC31" s="17" t="str">
        <f t="shared" ref="CC31" si="79">IF(CC3="","",CB22+CONFIDENCE(0.05,STDEV(BP22:CB22),COUNT(BP22:CB22)))</f>
        <v/>
      </c>
      <c r="CD31" s="17" t="str">
        <f t="shared" ref="CD31" si="80">IF(CD3="","",CC22+CONFIDENCE(0.05,STDEV(BQ22:CC22),COUNT(BQ22:CC22)))</f>
        <v/>
      </c>
      <c r="CE31" s="17" t="str">
        <f t="shared" ref="CE31" si="81">IF(CE3="","",CD22+CONFIDENCE(0.05,STDEV(BR22:CD22),COUNT(BR22:CD22)))</f>
        <v/>
      </c>
      <c r="CF31" s="17" t="str">
        <f t="shared" ref="CF31" si="82">IF(CF3="","",CE22+CONFIDENCE(0.05,STDEV(BS22:CE22),COUNT(BS22:CE22)))</f>
        <v/>
      </c>
      <c r="CG31" s="17" t="str">
        <f t="shared" ref="CG31" si="83">IF(CG3="","",CF22+CONFIDENCE(0.05,STDEV(BT22:CF22),COUNT(BT22:CF22)))</f>
        <v/>
      </c>
      <c r="CH31" s="17" t="str">
        <f t="shared" ref="CH31" si="84">IF(CH3="","",CG22+CONFIDENCE(0.05,STDEV(BU22:CG22),COUNT(BU22:CG22)))</f>
        <v/>
      </c>
      <c r="CI31" s="17" t="str">
        <f t="shared" ref="CI31" si="85">IF(CI3="","",CH22+CONFIDENCE(0.05,STDEV(BV22:CH22),COUNT(BV22:CH22)))</f>
        <v/>
      </c>
      <c r="CJ31" s="17" t="str">
        <f t="shared" ref="CJ31" si="86">IF(CJ3="","",CI22+CONFIDENCE(0.05,STDEV(BW22:CI22),COUNT(BW22:CI22)))</f>
        <v/>
      </c>
      <c r="CK31" s="17" t="str">
        <f t="shared" ref="CK31" si="87">IF(CK3="","",CJ22+CONFIDENCE(0.05,STDEV(BX22:CJ22),COUNT(BX22:CJ22)))</f>
        <v/>
      </c>
      <c r="CL31" s="17" t="str">
        <f t="shared" ref="CL31" si="88">IF(CL3="","",CK22+CONFIDENCE(0.05,STDEV(BY22:CK22),COUNT(BY22:CK22)))</f>
        <v/>
      </c>
      <c r="CM31" s="17" t="str">
        <f t="shared" ref="CM31" si="89">IF(CM3="","",CL22+CONFIDENCE(0.05,STDEV(BZ22:CL22),COUNT(BZ22:CL22)))</f>
        <v/>
      </c>
      <c r="CN31" s="17" t="str">
        <f t="shared" ref="CN31" si="90">IF(CN3="","",CM22+CONFIDENCE(0.05,STDEV(CA22:CM22),COUNT(CA22:CM22)))</f>
        <v/>
      </c>
      <c r="CO31" s="17" t="str">
        <f t="shared" ref="CO31" si="91">IF(CO3="","",CN22+CONFIDENCE(0.05,STDEV(CB22:CN22),COUNT(CB22:CN22)))</f>
        <v/>
      </c>
      <c r="CP31" s="17" t="str">
        <f t="shared" ref="CP31" si="92">IF(CP3="","",CO22+CONFIDENCE(0.05,STDEV(CC22:CO22),COUNT(CC22:CO22)))</f>
        <v/>
      </c>
      <c r="CQ31" s="17" t="str">
        <f t="shared" ref="CQ31" si="93">IF(CQ3="","",CP22+CONFIDENCE(0.05,STDEV(CD22:CP22),COUNT(CD22:CP22)))</f>
        <v/>
      </c>
      <c r="CR31" s="17" t="str">
        <f t="shared" ref="CR31" si="94">IF(CR3="","",CQ22+CONFIDENCE(0.05,STDEV(CE22:CQ22),COUNT(CE22:CQ22)))</f>
        <v/>
      </c>
      <c r="CS31" s="17" t="str">
        <f t="shared" ref="CS31" si="95">IF(CS3="","",CR22+CONFIDENCE(0.05,STDEV(CF22:CR22),COUNT(CF22:CR22)))</f>
        <v/>
      </c>
      <c r="CT31" s="17" t="str">
        <f t="shared" ref="CT31" si="96">IF(CT3="","",CS22+CONFIDENCE(0.05,STDEV(CG22:CS22),COUNT(CG22:CS22)))</f>
        <v/>
      </c>
      <c r="CU31" s="17" t="str">
        <f t="shared" ref="CU31" si="97">IF(CU3="","",CT22+CONFIDENCE(0.05,STDEV(CH22:CT22),COUNT(CH22:CT22)))</f>
        <v/>
      </c>
      <c r="CV31" s="17" t="str">
        <f t="shared" ref="CV31" si="98">IF(CV3="","",CU22+CONFIDENCE(0.05,STDEV(CI22:CU22),COUNT(CI22:CU22)))</f>
        <v/>
      </c>
      <c r="CW31" s="17" t="str">
        <f t="shared" ref="CW31" si="99">IF(CW3="","",CV22+CONFIDENCE(0.05,STDEV(CJ22:CV22),COUNT(CJ22:CV22)))</f>
        <v/>
      </c>
      <c r="CX31" s="17" t="str">
        <f t="shared" ref="CX31" si="100">IF(CX3="","",CW22+CONFIDENCE(0.05,STDEV(CK22:CW22),COUNT(CK22:CW22)))</f>
        <v/>
      </c>
      <c r="CY31" s="17" t="str">
        <f t="shared" ref="CY31" si="101">IF(CY3="","",CX22+CONFIDENCE(0.05,STDEV(CL22:CX22),COUNT(CL22:CX22)))</f>
        <v/>
      </c>
      <c r="CZ31" s="17" t="str">
        <f t="shared" ref="CZ31" si="102">IF(CZ3="","",CY22+CONFIDENCE(0.05,STDEV(CM22:CY22),COUNT(CM22:CY22)))</f>
        <v/>
      </c>
      <c r="DA31" s="17" t="str">
        <f t="shared" ref="DA31" si="103">IF(DA3="","",CZ22+CONFIDENCE(0.05,STDEV(CN22:CZ22),COUNT(CN22:CZ22)))</f>
        <v/>
      </c>
      <c r="DB31" s="17" t="str">
        <f t="shared" ref="DB31" si="104">IF(DB3="","",DA22+CONFIDENCE(0.05,STDEV(CO22:DA22),COUNT(CO22:DA22)))</f>
        <v/>
      </c>
      <c r="DC31" s="17" t="str">
        <f t="shared" ref="DC31" si="105">IF(DC3="","",DB22+CONFIDENCE(0.05,STDEV(CP22:DB22),COUNT(CP22:DB22)))</f>
        <v/>
      </c>
      <c r="DD31" s="17" t="str">
        <f t="shared" ref="DD31" si="106">IF(DD3="","",DC22+CONFIDENCE(0.05,STDEV(CQ22:DC22),COUNT(CQ22:DC22)))</f>
        <v/>
      </c>
      <c r="DE31" s="17" t="str">
        <f t="shared" ref="DE31" si="107">IF(DE3="","",DD22+CONFIDENCE(0.05,STDEV(CR22:DD22),COUNT(CR22:DD22)))</f>
        <v/>
      </c>
      <c r="DF31" s="17" t="str">
        <f t="shared" ref="DF31" si="108">IF(DF3="","",DE22+CONFIDENCE(0.05,STDEV(CS22:DE22),COUNT(CS22:DE22)))</f>
        <v/>
      </c>
      <c r="DG31" s="17" t="str">
        <f t="shared" ref="DG31" si="109">IF(DG3="","",DF22+CONFIDENCE(0.05,STDEV(CT22:DF22),COUNT(CT22:DF22)))</f>
        <v/>
      </c>
      <c r="DH31" s="17" t="str">
        <f t="shared" ref="DH31" si="110">IF(DH3="","",DG22+CONFIDENCE(0.05,STDEV(CU22:DG22),COUNT(CU22:DG22)))</f>
        <v/>
      </c>
      <c r="DI31" s="17" t="str">
        <f t="shared" ref="DI31" si="111">IF(DI3="","",DH22+CONFIDENCE(0.05,STDEV(CV22:DH22),COUNT(CV22:DH22)))</f>
        <v/>
      </c>
      <c r="DJ31" s="17" t="str">
        <f t="shared" ref="DJ31" si="112">IF(DJ3="","",DI22+CONFIDENCE(0.05,STDEV(CW22:DI22),COUNT(CW22:DI22)))</f>
        <v/>
      </c>
      <c r="DK31" s="17" t="str">
        <f t="shared" ref="DK31" si="113">IF(DK3="","",DJ22+CONFIDENCE(0.05,STDEV(CX22:DJ22),COUNT(CX22:DJ22)))</f>
        <v/>
      </c>
      <c r="DL31" s="17" t="str">
        <f t="shared" ref="DL31" si="114">IF(DL3="","",DK22+CONFIDENCE(0.05,STDEV(CY22:DK22),COUNT(CY22:DK22)))</f>
        <v/>
      </c>
      <c r="DM31" s="17" t="str">
        <f t="shared" ref="DM31" si="115">IF(DM3="","",DL22+CONFIDENCE(0.05,STDEV(CZ22:DL22),COUNT(CZ22:DL22)))</f>
        <v/>
      </c>
      <c r="DN31" s="17" t="str">
        <f t="shared" ref="DN31" si="116">IF(DN3="","",DM22+CONFIDENCE(0.05,STDEV(DA22:DM22),COUNT(DA22:DM22)))</f>
        <v/>
      </c>
      <c r="DO31" s="17" t="str">
        <f t="shared" ref="DO31" si="117">IF(DO3="","",DN22+CONFIDENCE(0.05,STDEV(DB22:DN22),COUNT(DB22:DN22)))</f>
        <v/>
      </c>
      <c r="DP31" s="17" t="str">
        <f t="shared" ref="DP31" si="118">IF(DP3="","",DO22+CONFIDENCE(0.05,STDEV(DC22:DO22),COUNT(DC22:DO22)))</f>
        <v/>
      </c>
      <c r="DQ31" s="17" t="str">
        <f t="shared" ref="DQ31" si="119">IF(DQ3="","",DP22+CONFIDENCE(0.05,STDEV(DD22:DP22),COUNT(DD22:DP22)))</f>
        <v/>
      </c>
      <c r="DR31" s="17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7">
        <f t="shared" ref="O32:AJ32" ca="1" si="121">IF(O4="","",AVERAGE(M23:N23)+CONFIDENCE(0.05,STDEV(B23:N23),COUNT(B23:N23)))</f>
        <v>0.18376313410408646</v>
      </c>
      <c r="P32" s="17">
        <f t="shared" ca="1" si="121"/>
        <v>8.0204372064574661E-2</v>
      </c>
      <c r="Q32" s="17">
        <f t="shared" ca="1" si="121"/>
        <v>7.6840081872520463E-2</v>
      </c>
      <c r="R32" s="17">
        <f t="shared" ca="1" si="121"/>
        <v>0.18850237929623137</v>
      </c>
      <c r="S32" s="17">
        <f t="shared" ca="1" si="121"/>
        <v>0.31509989050086146</v>
      </c>
      <c r="T32" s="17">
        <f t="shared" ca="1" si="121"/>
        <v>0.30234734202728653</v>
      </c>
      <c r="U32" s="17">
        <f t="shared" ca="1" si="121"/>
        <v>0.30998800782913633</v>
      </c>
      <c r="V32" s="17">
        <f t="shared" ca="1" si="121"/>
        <v>0.35000608289390445</v>
      </c>
      <c r="W32" s="17">
        <f t="shared" ca="1" si="121"/>
        <v>0.27428981914014178</v>
      </c>
      <c r="X32" s="17">
        <f t="shared" ca="1" si="121"/>
        <v>0.2014517332742006</v>
      </c>
      <c r="Y32" s="17">
        <f t="shared" ca="1" si="121"/>
        <v>0.25890944113413245</v>
      </c>
      <c r="Z32" s="17">
        <f t="shared" ca="1" si="121"/>
        <v>0.2017805421105581</v>
      </c>
      <c r="AA32" s="17">
        <f t="shared" ca="1" si="121"/>
        <v>0.10172754425590363</v>
      </c>
      <c r="AB32" s="17">
        <f t="shared" ca="1" si="121"/>
        <v>0.15365933649424784</v>
      </c>
      <c r="AC32" s="17">
        <f t="shared" ca="1" si="121"/>
        <v>0.14146772789817169</v>
      </c>
      <c r="AD32" s="17">
        <f t="shared" ca="1" si="121"/>
        <v>7.4646768018859166E-2</v>
      </c>
      <c r="AE32" s="17">
        <f t="shared" ca="1" si="121"/>
        <v>7.1624282530324795E-2</v>
      </c>
      <c r="AF32" s="17">
        <f t="shared" ca="1" si="121"/>
        <v>0.10172244073867648</v>
      </c>
      <c r="AG32" s="17">
        <f t="shared" ca="1" si="121"/>
        <v>9.3080089679510064E-2</v>
      </c>
      <c r="AH32" s="17">
        <f t="shared" ca="1" si="121"/>
        <v>8.4141774213956202E-2</v>
      </c>
      <c r="AI32" s="17">
        <f t="shared" ca="1" si="121"/>
        <v>0.11907004289488746</v>
      </c>
      <c r="AJ32" s="17">
        <f t="shared" ca="1" si="121"/>
        <v>9.0733680972402642E-2</v>
      </c>
      <c r="AK32" s="17">
        <f ca="1">IF(AK4="","",AVERAGE(AI23:AJ23)+CONFIDENCE(0.05,STDEV(X23:AJ23),COUNT(X23:AJ23)))</f>
        <v>5.6268305714353289E-2</v>
      </c>
      <c r="AL32" s="17">
        <f ca="1">IF(AL4="","",OFFSET(AK23,0,-COUNTBLANK(AE23:AK23),1,1)+CONFIDENCE(0.05,STDEV(Y23:AK23),COUNT(Y23:AK23)))</f>
        <v>3.7828006488539782E-2</v>
      </c>
      <c r="AM32" s="17">
        <f t="shared" ref="AM32:BU34" ca="1" si="122">IF(AM4="","",OFFSET(AL23,0,-COUNTBLANK(AF23:AL23),1,1)+CONFIDENCE(0.05,STDEV(Z23:AL23),COUNT(Z23:AL23)))</f>
        <v>0.10083084360918768</v>
      </c>
      <c r="AN32" s="17">
        <f t="shared" ca="1" si="122"/>
        <v>5.3611385821670923E-2</v>
      </c>
      <c r="AO32" s="17">
        <f t="shared" ca="1" si="122"/>
        <v>0.10102307798857715</v>
      </c>
      <c r="AP32" s="17">
        <f t="shared" ca="1" si="122"/>
        <v>9.9742264465566957E-2</v>
      </c>
      <c r="AQ32" s="17">
        <f t="shared" ca="1" si="122"/>
        <v>4.3207234529956597E-2</v>
      </c>
      <c r="AR32" s="17">
        <f t="shared" ca="1" si="122"/>
        <v>1.922167801819993E-2</v>
      </c>
      <c r="AS32" s="17">
        <f t="shared" ca="1" si="122"/>
        <v>2.6857885361612939E-2</v>
      </c>
      <c r="AT32" s="17">
        <f t="shared" ca="1" si="122"/>
        <v>0.10843197803750787</v>
      </c>
      <c r="AU32" s="17">
        <f t="shared" ca="1" si="122"/>
        <v>7.9353026404292912E-2</v>
      </c>
      <c r="AV32" s="17">
        <f t="shared" ca="1" si="122"/>
        <v>7.2025225831168369E-2</v>
      </c>
      <c r="AW32" s="17">
        <f t="shared" ca="1" si="122"/>
        <v>6.569605314154485E-2</v>
      </c>
      <c r="AX32" s="17">
        <f t="shared" ca="1" si="122"/>
        <v>2.6174757761563451E-2</v>
      </c>
      <c r="AY32" s="17">
        <f t="shared" ca="1" si="122"/>
        <v>3.321603494989088E-2</v>
      </c>
      <c r="AZ32" s="17">
        <f t="shared" ca="1" si="122"/>
        <v>3.1760848071640591E-2</v>
      </c>
      <c r="BA32" s="17">
        <f t="shared" ca="1" si="122"/>
        <v>4.3633344803425227E-2</v>
      </c>
      <c r="BB32" s="17">
        <f t="shared" ca="1" si="122"/>
        <v>5.3832100852578259E-2</v>
      </c>
      <c r="BC32" s="17">
        <f t="shared" ca="1" si="122"/>
        <v>3.3124789376937136E-2</v>
      </c>
      <c r="BD32" s="17">
        <f t="shared" ca="1" si="122"/>
        <v>0.12086453088302353</v>
      </c>
      <c r="BE32" s="17">
        <f t="shared" ca="1" si="122"/>
        <v>0.10025145599162497</v>
      </c>
      <c r="BF32" s="17">
        <f t="shared" ca="1" si="122"/>
        <v>0.10199972514730551</v>
      </c>
      <c r="BG32" s="17">
        <f t="shared" ca="1" si="122"/>
        <v>3.2676202953549921E-2</v>
      </c>
      <c r="BH32" s="17">
        <f t="shared" ca="1" si="122"/>
        <v>0.11200314330073417</v>
      </c>
      <c r="BI32" s="17">
        <f t="shared" ca="1" si="122"/>
        <v>0.14979227393530564</v>
      </c>
      <c r="BJ32" s="17">
        <f t="shared" ca="1" si="122"/>
        <v>0.1166755147565946</v>
      </c>
      <c r="BK32" s="17">
        <f t="shared" ca="1" si="122"/>
        <v>7.7819537352055032E-2</v>
      </c>
      <c r="BL32" s="17">
        <f t="shared" ca="1" si="122"/>
        <v>0.21979191309462881</v>
      </c>
      <c r="BM32" s="17">
        <f t="shared" ca="1" si="122"/>
        <v>9.3125422784350959E-2</v>
      </c>
      <c r="BN32" s="17">
        <f t="shared" ca="1" si="122"/>
        <v>5.1935796077295329E-2</v>
      </c>
      <c r="BO32" s="17">
        <f t="shared" ca="1" si="122"/>
        <v>0.11355613599633647</v>
      </c>
      <c r="BP32" s="17">
        <f t="shared" ca="1" si="122"/>
        <v>9.0627024509623955E-2</v>
      </c>
      <c r="BQ32" s="17">
        <f t="shared" ca="1" si="122"/>
        <v>0.16334724100806652</v>
      </c>
      <c r="BR32" s="17">
        <f t="shared" ca="1" si="122"/>
        <v>0.16554093332404551</v>
      </c>
      <c r="BS32" s="17" t="str">
        <f t="shared" ca="1" si="122"/>
        <v/>
      </c>
      <c r="BT32" s="17" t="str">
        <f t="shared" ca="1" si="122"/>
        <v/>
      </c>
      <c r="BU32" s="17" t="str">
        <f t="shared" ca="1" si="122"/>
        <v/>
      </c>
      <c r="BV32" s="17" t="str">
        <f t="shared" ref="BV32:BV34" ca="1" si="123">IF(BV4="","",OFFSET(BU23,0,-COUNTBLANK(BO23:BU23),1,1)+CONFIDENCE(0.05,STDEV(BI23:BU23),COUNT(BI23:BU23)))</f>
        <v/>
      </c>
      <c r="BW32" s="17" t="str">
        <f t="shared" ref="BW32:BW34" ca="1" si="124">IF(BW4="","",OFFSET(BV23,0,-COUNTBLANK(BP23:BV23),1,1)+CONFIDENCE(0.05,STDEV(BJ23:BV23),COUNT(BJ23:BV23)))</f>
        <v/>
      </c>
      <c r="BX32" s="17" t="str">
        <f t="shared" ref="BX32:BX34" ca="1" si="125">IF(BX4="","",OFFSET(BW23,0,-COUNTBLANK(BQ23:BW23),1,1)+CONFIDENCE(0.05,STDEV(BK23:BW23),COUNT(BK23:BW23)))</f>
        <v/>
      </c>
      <c r="BY32" s="17" t="str">
        <f t="shared" ref="BY32:BY34" ca="1" si="126">IF(BY4="","",OFFSET(BX23,0,-COUNTBLANK(BR23:BX23),1,1)+CONFIDENCE(0.05,STDEV(BL23:BX23),COUNT(BL23:BX23)))</f>
        <v/>
      </c>
      <c r="BZ32" s="17" t="str">
        <f t="shared" ref="BZ32:BZ34" ca="1" si="127">IF(BZ4="","",OFFSET(BY23,0,-COUNTBLANK(BS23:BY23),1,1)+CONFIDENCE(0.05,STDEV(BM23:BY23),COUNT(BM23:BY23)))</f>
        <v/>
      </c>
      <c r="CA32" s="17" t="str">
        <f t="shared" ref="CA32:CA34" ca="1" si="128">IF(CA4="","",OFFSET(BZ23,0,-COUNTBLANK(BT23:BZ23),1,1)+CONFIDENCE(0.05,STDEV(BN23:BZ23),COUNT(BN23:BZ23)))</f>
        <v/>
      </c>
      <c r="CB32" s="17" t="str">
        <f t="shared" ref="CB32:CB34" ca="1" si="129">IF(CB4="","",OFFSET(CA23,0,-COUNTBLANK(BU23:CA23),1,1)+CONFIDENCE(0.05,STDEV(BO23:CA23),COUNT(BO23:CA23)))</f>
        <v/>
      </c>
      <c r="CC32" s="17" t="str">
        <f t="shared" ref="CC32:CC34" ca="1" si="130">IF(CC4="","",OFFSET(CB23,0,-COUNTBLANK(BV23:CB23),1,1)+CONFIDENCE(0.05,STDEV(BP23:CB23),COUNT(BP23:CB23)))</f>
        <v/>
      </c>
      <c r="CD32" s="17" t="str">
        <f t="shared" ref="CD32:CD34" ca="1" si="131">IF(CD4="","",OFFSET(CC23,0,-COUNTBLANK(BW23:CC23),1,1)+CONFIDENCE(0.05,STDEV(BQ23:CC23),COUNT(BQ23:CC23)))</f>
        <v/>
      </c>
      <c r="CE32" s="17" t="str">
        <f t="shared" ref="CE32:CE34" ca="1" si="132">IF(CE4="","",OFFSET(CD23,0,-COUNTBLANK(BX23:CD23),1,1)+CONFIDENCE(0.05,STDEV(BR23:CD23),COUNT(BR23:CD23)))</f>
        <v/>
      </c>
      <c r="CF32" s="17" t="str">
        <f t="shared" ref="CF32:CF34" ca="1" si="133">IF(CF4="","",OFFSET(CE23,0,-COUNTBLANK(BY23:CE23),1,1)+CONFIDENCE(0.05,STDEV(BS23:CE23),COUNT(BS23:CE23)))</f>
        <v/>
      </c>
      <c r="CG32" s="17" t="str">
        <f t="shared" ref="CG32:CG34" ca="1" si="134">IF(CG4="","",OFFSET(CF23,0,-COUNTBLANK(BZ23:CF23),1,1)+CONFIDENCE(0.05,STDEV(BT23:CF23),COUNT(BT23:CF23)))</f>
        <v/>
      </c>
      <c r="CH32" s="17" t="str">
        <f t="shared" ref="CH32:CH34" ca="1" si="135">IF(CH4="","",OFFSET(CG23,0,-COUNTBLANK(CA23:CG23),1,1)+CONFIDENCE(0.05,STDEV(BU23:CG23),COUNT(BU23:CG23)))</f>
        <v/>
      </c>
      <c r="CI32" s="17" t="str">
        <f t="shared" ref="CI32:CI34" ca="1" si="136">IF(CI4="","",OFFSET(CH23,0,-COUNTBLANK(CB23:CH23),1,1)+CONFIDENCE(0.05,STDEV(BV23:CH23),COUNT(BV23:CH23)))</f>
        <v/>
      </c>
      <c r="CJ32" s="17" t="str">
        <f t="shared" ref="CJ32:CJ34" ca="1" si="137">IF(CJ4="","",OFFSET(CI23,0,-COUNTBLANK(CC23:CI23),1,1)+CONFIDENCE(0.05,STDEV(BW23:CI23),COUNT(BW23:CI23)))</f>
        <v/>
      </c>
      <c r="CK32" s="17" t="str">
        <f t="shared" ref="CK32:CK34" ca="1" si="138">IF(CK4="","",OFFSET(CJ23,0,-COUNTBLANK(CD23:CJ23),1,1)+CONFIDENCE(0.05,STDEV(BX23:CJ23),COUNT(BX23:CJ23)))</f>
        <v/>
      </c>
      <c r="CL32" s="17" t="str">
        <f t="shared" ref="CL32:CL34" ca="1" si="139">IF(CL4="","",OFFSET(CK23,0,-COUNTBLANK(CE23:CK23),1,1)+CONFIDENCE(0.05,STDEV(BY23:CK23),COUNT(BY23:CK23)))</f>
        <v/>
      </c>
      <c r="CM32" s="17" t="str">
        <f t="shared" ref="CM32:CM34" ca="1" si="140">IF(CM4="","",OFFSET(CL23,0,-COUNTBLANK(CF23:CL23),1,1)+CONFIDENCE(0.05,STDEV(BZ23:CL23),COUNT(BZ23:CL23)))</f>
        <v/>
      </c>
      <c r="CN32" s="17" t="str">
        <f t="shared" ref="CN32:CN34" ca="1" si="141">IF(CN4="","",OFFSET(CM23,0,-COUNTBLANK(CG23:CM23),1,1)+CONFIDENCE(0.05,STDEV(CA23:CM23),COUNT(CA23:CM23)))</f>
        <v/>
      </c>
      <c r="CO32" s="17" t="str">
        <f t="shared" ref="CO32:CO34" ca="1" si="142">IF(CO4="","",OFFSET(CN23,0,-COUNTBLANK(CH23:CN23),1,1)+CONFIDENCE(0.05,STDEV(CB23:CN23),COUNT(CB23:CN23)))</f>
        <v/>
      </c>
      <c r="CP32" s="17" t="str">
        <f t="shared" ref="CP32:CP34" ca="1" si="143">IF(CP4="","",OFFSET(CO23,0,-COUNTBLANK(CI23:CO23),1,1)+CONFIDENCE(0.05,STDEV(CC23:CO23),COUNT(CC23:CO23)))</f>
        <v/>
      </c>
      <c r="CQ32" s="17" t="str">
        <f t="shared" ref="CQ32:CQ34" ca="1" si="144">IF(CQ4="","",OFFSET(CP23,0,-COUNTBLANK(CJ23:CP23),1,1)+CONFIDENCE(0.05,STDEV(CD23:CP23),COUNT(CD23:CP23)))</f>
        <v/>
      </c>
      <c r="CR32" s="17" t="str">
        <f t="shared" ref="CR32:CR34" ca="1" si="145">IF(CR4="","",OFFSET(CQ23,0,-COUNTBLANK(CK23:CQ23),1,1)+CONFIDENCE(0.05,STDEV(CE23:CQ23),COUNT(CE23:CQ23)))</f>
        <v/>
      </c>
      <c r="CS32" s="17" t="str">
        <f t="shared" ref="CS32:CS34" ca="1" si="146">IF(CS4="","",OFFSET(CR23,0,-COUNTBLANK(CL23:CR23),1,1)+CONFIDENCE(0.05,STDEV(CF23:CR23),COUNT(CF23:CR23)))</f>
        <v/>
      </c>
      <c r="CT32" s="17" t="str">
        <f t="shared" ref="CT32:CT34" ca="1" si="147">IF(CT4="","",OFFSET(CS23,0,-COUNTBLANK(CM23:CS23),1,1)+CONFIDENCE(0.05,STDEV(CG23:CS23),COUNT(CG23:CS23)))</f>
        <v/>
      </c>
      <c r="CU32" s="17" t="str">
        <f t="shared" ref="CU32:CU34" ca="1" si="148">IF(CU4="","",OFFSET(CT23,0,-COUNTBLANK(CN23:CT23),1,1)+CONFIDENCE(0.05,STDEV(CH23:CT23),COUNT(CH23:CT23)))</f>
        <v/>
      </c>
      <c r="CV32" s="17" t="str">
        <f t="shared" ref="CV32:CV34" ca="1" si="149">IF(CV4="","",OFFSET(CU23,0,-COUNTBLANK(CO23:CU23),1,1)+CONFIDENCE(0.05,STDEV(CI23:CU23),COUNT(CI23:CU23)))</f>
        <v/>
      </c>
      <c r="CW32" s="17" t="str">
        <f t="shared" ref="CW32:CW34" ca="1" si="150">IF(CW4="","",OFFSET(CV23,0,-COUNTBLANK(CP23:CV23),1,1)+CONFIDENCE(0.05,STDEV(CJ23:CV23),COUNT(CJ23:CV23)))</f>
        <v/>
      </c>
      <c r="CX32" s="17" t="str">
        <f t="shared" ref="CX32:CX34" ca="1" si="151">IF(CX4="","",OFFSET(CW23,0,-COUNTBLANK(CQ23:CW23),1,1)+CONFIDENCE(0.05,STDEV(CK23:CW23),COUNT(CK23:CW23)))</f>
        <v/>
      </c>
      <c r="CY32" s="17" t="str">
        <f t="shared" ref="CY32:CY34" ca="1" si="152">IF(CY4="","",OFFSET(CX23,0,-COUNTBLANK(CR23:CX23),1,1)+CONFIDENCE(0.05,STDEV(CL23:CX23),COUNT(CL23:CX23)))</f>
        <v/>
      </c>
      <c r="CZ32" s="17" t="str">
        <f t="shared" ref="CZ32:CZ34" ca="1" si="153">IF(CZ4="","",OFFSET(CY23,0,-COUNTBLANK(CS23:CY23),1,1)+CONFIDENCE(0.05,STDEV(CM23:CY23),COUNT(CM23:CY23)))</f>
        <v/>
      </c>
      <c r="DA32" s="17" t="str">
        <f t="shared" ref="DA32:DA34" ca="1" si="154">IF(DA4="","",OFFSET(CZ23,0,-COUNTBLANK(CT23:CZ23),1,1)+CONFIDENCE(0.05,STDEV(CN23:CZ23),COUNT(CN23:CZ23)))</f>
        <v/>
      </c>
      <c r="DB32" s="17" t="str">
        <f t="shared" ref="DB32:DB34" ca="1" si="155">IF(DB4="","",OFFSET(DA23,0,-COUNTBLANK(CU23:DA23),1,1)+CONFIDENCE(0.05,STDEV(CO23:DA23),COUNT(CO23:DA23)))</f>
        <v/>
      </c>
      <c r="DC32" s="17" t="str">
        <f t="shared" ref="DC32:DC34" ca="1" si="156">IF(DC4="","",OFFSET(DB23,0,-COUNTBLANK(CV23:DB23),1,1)+CONFIDENCE(0.05,STDEV(CP23:DB23),COUNT(CP23:DB23)))</f>
        <v/>
      </c>
      <c r="DD32" s="17" t="str">
        <f t="shared" ref="DD32:DD34" ca="1" si="157">IF(DD4="","",OFFSET(DC23,0,-COUNTBLANK(CW23:DC23),1,1)+CONFIDENCE(0.05,STDEV(CQ23:DC23),COUNT(CQ23:DC23)))</f>
        <v/>
      </c>
      <c r="DE32" s="17" t="str">
        <f t="shared" ref="DE32:DE34" ca="1" si="158">IF(DE4="","",OFFSET(DD23,0,-COUNTBLANK(CX23:DD23),1,1)+CONFIDENCE(0.05,STDEV(CR23:DD23),COUNT(CR23:DD23)))</f>
        <v/>
      </c>
      <c r="DF32" s="17" t="str">
        <f t="shared" ref="DF32:DF34" ca="1" si="159">IF(DF4="","",OFFSET(DE23,0,-COUNTBLANK(CY23:DE23),1,1)+CONFIDENCE(0.05,STDEV(CS23:DE23),COUNT(CS23:DE23)))</f>
        <v/>
      </c>
      <c r="DG32" s="17" t="str">
        <f t="shared" ref="DG32:DG34" ca="1" si="160">IF(DG4="","",OFFSET(DF23,0,-COUNTBLANK(CZ23:DF23),1,1)+CONFIDENCE(0.05,STDEV(CT23:DF23),COUNT(CT23:DF23)))</f>
        <v/>
      </c>
      <c r="DH32" s="17" t="str">
        <f t="shared" ref="DH32:DH34" ca="1" si="161">IF(DH4="","",OFFSET(DG23,0,-COUNTBLANK(DA23:DG23),1,1)+CONFIDENCE(0.05,STDEV(CU23:DG23),COUNT(CU23:DG23)))</f>
        <v/>
      </c>
      <c r="DI32" s="17" t="str">
        <f t="shared" ref="DI32:DI34" ca="1" si="162">IF(DI4="","",OFFSET(DH23,0,-COUNTBLANK(DB23:DH23),1,1)+CONFIDENCE(0.05,STDEV(CV23:DH23),COUNT(CV23:DH23)))</f>
        <v/>
      </c>
      <c r="DJ32" s="17" t="str">
        <f t="shared" ref="DJ32:DJ34" ca="1" si="163">IF(DJ4="","",OFFSET(DI23,0,-COUNTBLANK(DC23:DI23),1,1)+CONFIDENCE(0.05,STDEV(CW23:DI23),COUNT(CW23:DI23)))</f>
        <v/>
      </c>
      <c r="DK32" s="17" t="str">
        <f t="shared" ref="DK32:DK34" ca="1" si="164">IF(DK4="","",OFFSET(DJ23,0,-COUNTBLANK(DD23:DJ23),1,1)+CONFIDENCE(0.05,STDEV(CX23:DJ23),COUNT(CX23:DJ23)))</f>
        <v/>
      </c>
      <c r="DL32" s="17" t="str">
        <f t="shared" ref="DL32:DL34" ca="1" si="165">IF(DL4="","",OFFSET(DK23,0,-COUNTBLANK(DE23:DK23),1,1)+CONFIDENCE(0.05,STDEV(CY23:DK23),COUNT(CY23:DK23)))</f>
        <v/>
      </c>
      <c r="DM32" s="17" t="str">
        <f t="shared" ref="DM32:DM34" ca="1" si="166">IF(DM4="","",OFFSET(DL23,0,-COUNTBLANK(DF23:DL23),1,1)+CONFIDENCE(0.05,STDEV(CZ23:DL23),COUNT(CZ23:DL23)))</f>
        <v/>
      </c>
      <c r="DN32" s="17" t="str">
        <f t="shared" ref="DN32:DN34" ca="1" si="167">IF(DN4="","",OFFSET(DM23,0,-COUNTBLANK(DG23:DM23),1,1)+CONFIDENCE(0.05,STDEV(DA23:DM23),COUNT(DA23:DM23)))</f>
        <v/>
      </c>
      <c r="DO32" s="17" t="str">
        <f t="shared" ref="DO32:DO34" ca="1" si="168">IF(DO4="","",OFFSET(DN23,0,-COUNTBLANK(DH23:DN23),1,1)+CONFIDENCE(0.05,STDEV(DB23:DN23),COUNT(DB23:DN23)))</f>
        <v/>
      </c>
      <c r="DP32" s="17" t="str">
        <f t="shared" ref="DP32:DP34" ca="1" si="169">IF(DP4="","",OFFSET(DO23,0,-COUNTBLANK(DI23:DO23),1,1)+CONFIDENCE(0.05,STDEV(DC23:DO23),COUNT(DC23:DO23)))</f>
        <v/>
      </c>
      <c r="DQ32" s="17" t="str">
        <f t="shared" ref="DQ32:DQ34" ca="1" si="170">IF(DQ4="","",OFFSET(DP23,0,-COUNTBLANK(DJ23:DP23),1,1)+CONFIDENCE(0.05,STDEV(DD23:DP23),COUNT(DD23:DP23)))</f>
        <v/>
      </c>
      <c r="DR32" s="17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7">
        <f t="shared" ref="O33:AJ33" ca="1" si="172">IF(O5="","",AVERAGE(L24:N24)+CONFIDENCE(0.05,STDEV(B24:N24),COUNT(B24:N24)))</f>
        <v>0.15217360826161025</v>
      </c>
      <c r="P33" s="17">
        <f t="shared" ca="1" si="172"/>
        <v>0.12606073753213218</v>
      </c>
      <c r="Q33" s="17">
        <f t="shared" ca="1" si="172"/>
        <v>0.15457689027651964</v>
      </c>
      <c r="R33" s="17">
        <f t="shared" ca="1" si="172"/>
        <v>0.27976638289959743</v>
      </c>
      <c r="S33" s="17">
        <f t="shared" ca="1" si="172"/>
        <v>0.3620433150893671</v>
      </c>
      <c r="T33" s="17">
        <f t="shared" ca="1" si="172"/>
        <v>0.43080888998382755</v>
      </c>
      <c r="U33" s="17">
        <f t="shared" ca="1" si="172"/>
        <v>0.4486550030639001</v>
      </c>
      <c r="V33" s="17">
        <f t="shared" ca="1" si="172"/>
        <v>0.4440489421116891</v>
      </c>
      <c r="W33" s="17">
        <f t="shared" ca="1" si="172"/>
        <v>0.3327496352888058</v>
      </c>
      <c r="X33" s="17">
        <f t="shared" ca="1" si="172"/>
        <v>0.28337965229003059</v>
      </c>
      <c r="Y33" s="17">
        <f t="shared" ca="1" si="172"/>
        <v>0.23812399357438874</v>
      </c>
      <c r="Z33" s="17">
        <f t="shared" ca="1" si="172"/>
        <v>0.23477025689438652</v>
      </c>
      <c r="AA33" s="17">
        <f t="shared" ca="1" si="172"/>
        <v>0.15768608813698048</v>
      </c>
      <c r="AB33" s="17">
        <f t="shared" ca="1" si="172"/>
        <v>0.11390650352433687</v>
      </c>
      <c r="AC33" s="17">
        <f t="shared" ca="1" si="172"/>
        <v>0.13692835242886006</v>
      </c>
      <c r="AD33" s="17">
        <f t="shared" ca="1" si="172"/>
        <v>0.1570832977531636</v>
      </c>
      <c r="AE33" s="17">
        <f t="shared" ca="1" si="172"/>
        <v>0.13239996689774713</v>
      </c>
      <c r="AF33" s="17">
        <f t="shared" ca="1" si="172"/>
        <v>0.13583526609872759</v>
      </c>
      <c r="AG33" s="17">
        <f t="shared" ca="1" si="172"/>
        <v>0.12457121898458247</v>
      </c>
      <c r="AH33" s="17">
        <f t="shared" ca="1" si="172"/>
        <v>0.13787429725481087</v>
      </c>
      <c r="AI33" s="17">
        <f t="shared" ca="1" si="172"/>
        <v>0.11490667192192791</v>
      </c>
      <c r="AJ33" s="17">
        <f t="shared" ca="1" si="172"/>
        <v>9.9604653404666843E-2</v>
      </c>
      <c r="AK33" s="17">
        <f ca="1">IF(AK5="","",AVERAGE(AH24:AJ24)+CONFIDENCE(0.05,STDEV(X24:AJ24),COUNT(X24:AJ24)))</f>
        <v>7.1277171147580407E-2</v>
      </c>
      <c r="AL33" s="17">
        <f t="shared" ref="AL33:AL34" ca="1" si="173">IF(AL5="","",OFFSET(AK24,0,-COUNTBLANK(AE24:AK24),1,1)+CONFIDENCE(0.05,STDEV(Y24:AK24),COUNT(Y24:AK24)))</f>
        <v>6.7516933748351077E-2</v>
      </c>
      <c r="AM33" s="17">
        <f t="shared" ca="1" si="122"/>
        <v>0.10040946073634305</v>
      </c>
      <c r="AN33" s="17">
        <f t="shared" ca="1" si="122"/>
        <v>0.14831417814562459</v>
      </c>
      <c r="AO33" s="17">
        <f t="shared" ca="1" si="122"/>
        <v>8.5100785669667889E-2</v>
      </c>
      <c r="AP33" s="17">
        <f t="shared" ca="1" si="122"/>
        <v>0.16811612813186547</v>
      </c>
      <c r="AQ33" s="17">
        <f t="shared" ca="1" si="122"/>
        <v>3.292210286021427E-2</v>
      </c>
      <c r="AR33" s="17">
        <f t="shared" ca="1" si="122"/>
        <v>9.4431799143588707E-2</v>
      </c>
      <c r="AS33" s="17">
        <f t="shared" ca="1" si="122"/>
        <v>3.9347262021424252E-2</v>
      </c>
      <c r="AT33" s="17">
        <f t="shared" ca="1" si="122"/>
        <v>0.17045034697118394</v>
      </c>
      <c r="AU33" s="17">
        <f t="shared" ca="1" si="122"/>
        <v>0.14146148943720188</v>
      </c>
      <c r="AV33" s="17">
        <f t="shared" ca="1" si="122"/>
        <v>9.4412249990722508E-2</v>
      </c>
      <c r="AW33" s="17">
        <f t="shared" ca="1" si="122"/>
        <v>6.0525140099152164E-2</v>
      </c>
      <c r="AX33" s="17">
        <f t="shared" ca="1" si="122"/>
        <v>3.4638994375267705E-2</v>
      </c>
      <c r="AY33" s="17">
        <f t="shared" ca="1" si="122"/>
        <v>4.8633596933632464E-2</v>
      </c>
      <c r="AZ33" s="17">
        <f t="shared" ca="1" si="122"/>
        <v>7.7549582725024546E-2</v>
      </c>
      <c r="BA33" s="17">
        <f t="shared" ca="1" si="122"/>
        <v>4.5274797826448408E-2</v>
      </c>
      <c r="BB33" s="17">
        <f t="shared" ca="1" si="122"/>
        <v>4.5146297279081156E-2</v>
      </c>
      <c r="BC33" s="17">
        <f t="shared" ca="1" si="122"/>
        <v>0.14068440166113005</v>
      </c>
      <c r="BD33" s="17">
        <f t="shared" ca="1" si="122"/>
        <v>6.5392645612975253E-2</v>
      </c>
      <c r="BE33" s="17">
        <f t="shared" ca="1" si="122"/>
        <v>0.1110326695170222</v>
      </c>
      <c r="BF33" s="17">
        <f t="shared" ca="1" si="122"/>
        <v>0.10030119914459996</v>
      </c>
      <c r="BG33" s="17">
        <f t="shared" ca="1" si="122"/>
        <v>9.7837572413129431E-2</v>
      </c>
      <c r="BH33" s="17">
        <f t="shared" ca="1" si="122"/>
        <v>0.19618516855063764</v>
      </c>
      <c r="BI33" s="17">
        <f t="shared" ca="1" si="122"/>
        <v>0.22815003251343768</v>
      </c>
      <c r="BJ33" s="17">
        <f t="shared" ca="1" si="122"/>
        <v>3.392808809521957E-2</v>
      </c>
      <c r="BK33" s="17">
        <f t="shared" ca="1" si="122"/>
        <v>0.18606867295633903</v>
      </c>
      <c r="BL33" s="17">
        <f t="shared" ca="1" si="122"/>
        <v>0.25191890494123315</v>
      </c>
      <c r="BM33" s="17">
        <f t="shared" ca="1" si="122"/>
        <v>0.1520592691100067</v>
      </c>
      <c r="BN33" s="17">
        <f t="shared" ca="1" si="122"/>
        <v>0.12200855573485861</v>
      </c>
      <c r="BO33" s="17">
        <f t="shared" ca="1" si="122"/>
        <v>0.12559055822578108</v>
      </c>
      <c r="BP33" s="17">
        <f t="shared" ca="1" si="122"/>
        <v>5.4644816397210708E-2</v>
      </c>
      <c r="BQ33" s="17">
        <f t="shared" ca="1" si="122"/>
        <v>5.6200297108978434E-2</v>
      </c>
      <c r="BR33" s="17">
        <f t="shared" ca="1" si="122"/>
        <v>5.9542149197965903E-2</v>
      </c>
      <c r="BS33" s="17" t="str">
        <f t="shared" ca="1" si="122"/>
        <v/>
      </c>
      <c r="BT33" s="17" t="str">
        <f t="shared" ca="1" si="122"/>
        <v/>
      </c>
      <c r="BU33" s="17" t="str">
        <f t="shared" ca="1" si="122"/>
        <v/>
      </c>
      <c r="BV33" s="17" t="str">
        <f t="shared" ca="1" si="123"/>
        <v/>
      </c>
      <c r="BW33" s="17" t="str">
        <f t="shared" ca="1" si="124"/>
        <v/>
      </c>
      <c r="BX33" s="17" t="str">
        <f t="shared" ca="1" si="125"/>
        <v/>
      </c>
      <c r="BY33" s="17" t="str">
        <f t="shared" ca="1" si="126"/>
        <v/>
      </c>
      <c r="BZ33" s="17" t="str">
        <f t="shared" ca="1" si="127"/>
        <v/>
      </c>
      <c r="CA33" s="17" t="str">
        <f t="shared" ca="1" si="128"/>
        <v/>
      </c>
      <c r="CB33" s="17" t="str">
        <f t="shared" ca="1" si="129"/>
        <v/>
      </c>
      <c r="CC33" s="17" t="str">
        <f t="shared" ca="1" si="130"/>
        <v/>
      </c>
      <c r="CD33" s="17" t="str">
        <f t="shared" ca="1" si="131"/>
        <v/>
      </c>
      <c r="CE33" s="17" t="str">
        <f t="shared" ca="1" si="132"/>
        <v/>
      </c>
      <c r="CF33" s="17" t="str">
        <f t="shared" ca="1" si="133"/>
        <v/>
      </c>
      <c r="CG33" s="17" t="str">
        <f t="shared" ca="1" si="134"/>
        <v/>
      </c>
      <c r="CH33" s="17" t="str">
        <f t="shared" ca="1" si="135"/>
        <v/>
      </c>
      <c r="CI33" s="17" t="str">
        <f t="shared" ca="1" si="136"/>
        <v/>
      </c>
      <c r="CJ33" s="17" t="str">
        <f t="shared" ca="1" si="137"/>
        <v/>
      </c>
      <c r="CK33" s="17" t="str">
        <f t="shared" ca="1" si="138"/>
        <v/>
      </c>
      <c r="CL33" s="17" t="str">
        <f t="shared" ca="1" si="139"/>
        <v/>
      </c>
      <c r="CM33" s="17" t="str">
        <f t="shared" ca="1" si="140"/>
        <v/>
      </c>
      <c r="CN33" s="17" t="str">
        <f t="shared" ca="1" si="141"/>
        <v/>
      </c>
      <c r="CO33" s="17" t="str">
        <f t="shared" ca="1" si="142"/>
        <v/>
      </c>
      <c r="CP33" s="17" t="str">
        <f t="shared" ca="1" si="143"/>
        <v/>
      </c>
      <c r="CQ33" s="17" t="str">
        <f t="shared" ca="1" si="144"/>
        <v/>
      </c>
      <c r="CR33" s="17" t="str">
        <f t="shared" ca="1" si="145"/>
        <v/>
      </c>
      <c r="CS33" s="17" t="str">
        <f t="shared" ca="1" si="146"/>
        <v/>
      </c>
      <c r="CT33" s="17" t="str">
        <f t="shared" ca="1" si="147"/>
        <v/>
      </c>
      <c r="CU33" s="17" t="str">
        <f t="shared" ca="1" si="148"/>
        <v/>
      </c>
      <c r="CV33" s="17" t="str">
        <f t="shared" ca="1" si="149"/>
        <v/>
      </c>
      <c r="CW33" s="17" t="str">
        <f t="shared" ca="1" si="150"/>
        <v/>
      </c>
      <c r="CX33" s="17" t="str">
        <f t="shared" ca="1" si="151"/>
        <v/>
      </c>
      <c r="CY33" s="17" t="str">
        <f t="shared" ca="1" si="152"/>
        <v/>
      </c>
      <c r="CZ33" s="17" t="str">
        <f t="shared" ca="1" si="153"/>
        <v/>
      </c>
      <c r="DA33" s="17" t="str">
        <f t="shared" ca="1" si="154"/>
        <v/>
      </c>
      <c r="DB33" s="17" t="str">
        <f t="shared" ca="1" si="155"/>
        <v/>
      </c>
      <c r="DC33" s="17" t="str">
        <f t="shared" ca="1" si="156"/>
        <v/>
      </c>
      <c r="DD33" s="17" t="str">
        <f t="shared" ca="1" si="157"/>
        <v/>
      </c>
      <c r="DE33" s="17" t="str">
        <f t="shared" ca="1" si="158"/>
        <v/>
      </c>
      <c r="DF33" s="17" t="str">
        <f t="shared" ca="1" si="159"/>
        <v/>
      </c>
      <c r="DG33" s="17" t="str">
        <f t="shared" ca="1" si="160"/>
        <v/>
      </c>
      <c r="DH33" s="17" t="str">
        <f t="shared" ca="1" si="161"/>
        <v/>
      </c>
      <c r="DI33" s="17" t="str">
        <f t="shared" ca="1" si="162"/>
        <v/>
      </c>
      <c r="DJ33" s="17" t="str">
        <f t="shared" ca="1" si="163"/>
        <v/>
      </c>
      <c r="DK33" s="17" t="str">
        <f t="shared" ca="1" si="164"/>
        <v/>
      </c>
      <c r="DL33" s="17" t="str">
        <f t="shared" ca="1" si="165"/>
        <v/>
      </c>
      <c r="DM33" s="17" t="str">
        <f t="shared" ca="1" si="166"/>
        <v/>
      </c>
      <c r="DN33" s="17" t="str">
        <f t="shared" ca="1" si="167"/>
        <v/>
      </c>
      <c r="DO33" s="17" t="str">
        <f t="shared" ca="1" si="168"/>
        <v/>
      </c>
      <c r="DP33" s="17" t="str">
        <f t="shared" ca="1" si="169"/>
        <v/>
      </c>
      <c r="DQ33" s="17" t="str">
        <f t="shared" ca="1" si="170"/>
        <v/>
      </c>
      <c r="DR33" s="17" t="str">
        <f t="shared" ca="1" si="171"/>
        <v/>
      </c>
    </row>
    <row r="34" spans="1:122" x14ac:dyDescent="0.25">
      <c r="A34" s="4">
        <v>4</v>
      </c>
      <c r="O34" s="17">
        <f t="shared" ref="O34:AJ34" ca="1" si="174">IF(O6="","",AVERAGE(K25:N25)+CONFIDENCE(0.05,STDEV(B25:N25),COUNT(B25:N25)))</f>
        <v>0.18178728923177356</v>
      </c>
      <c r="P34" s="17">
        <f t="shared" ca="1" si="174"/>
        <v>0.221263099152918</v>
      </c>
      <c r="Q34" s="17">
        <f t="shared" ca="1" si="174"/>
        <v>0.27909995315334046</v>
      </c>
      <c r="R34" s="17">
        <f t="shared" ca="1" si="174"/>
        <v>0.34397701711691292</v>
      </c>
      <c r="S34" s="17">
        <f t="shared" ca="1" si="174"/>
        <v>0.45366872901433536</v>
      </c>
      <c r="T34" s="17">
        <f t="shared" ca="1" si="174"/>
        <v>0.50667887728410976</v>
      </c>
      <c r="U34" s="17">
        <f t="shared" ca="1" si="174"/>
        <v>0.54058441373303401</v>
      </c>
      <c r="V34" s="17">
        <f t="shared" ca="1" si="174"/>
        <v>0.5052120498339534</v>
      </c>
      <c r="W34" s="17">
        <f t="shared" ca="1" si="174"/>
        <v>0.39414035363067035</v>
      </c>
      <c r="X34" s="17">
        <f t="shared" ca="1" si="174"/>
        <v>0.32866419890126852</v>
      </c>
      <c r="Y34" s="17">
        <f t="shared" ca="1" si="174"/>
        <v>0.29099087134213003</v>
      </c>
      <c r="Z34" s="17">
        <f t="shared" ca="1" si="174"/>
        <v>0.23091096763462082</v>
      </c>
      <c r="AA34" s="17">
        <f t="shared" ca="1" si="174"/>
        <v>0.24300029094019593</v>
      </c>
      <c r="AB34" s="17">
        <f t="shared" ca="1" si="174"/>
        <v>0.22056131584542921</v>
      </c>
      <c r="AC34" s="17">
        <f t="shared" ca="1" si="174"/>
        <v>0.15679323610112972</v>
      </c>
      <c r="AD34" s="17">
        <f t="shared" ca="1" si="174"/>
        <v>0.15987983075870602</v>
      </c>
      <c r="AE34" s="17">
        <f t="shared" ca="1" si="174"/>
        <v>0.15922322553155918</v>
      </c>
      <c r="AF34" s="17">
        <f t="shared" ca="1" si="174"/>
        <v>0.15312447601831436</v>
      </c>
      <c r="AG34" s="17">
        <f t="shared" ca="1" si="174"/>
        <v>0.16005994147676922</v>
      </c>
      <c r="AH34" s="17">
        <f t="shared" ca="1" si="174"/>
        <v>0.14945066258266798</v>
      </c>
      <c r="AI34" s="17">
        <f t="shared" ca="1" si="174"/>
        <v>0.15112909301895372</v>
      </c>
      <c r="AJ34" s="17">
        <f t="shared" ca="1" si="174"/>
        <v>0.11498806621945826</v>
      </c>
      <c r="AK34" s="17">
        <f ca="1">IF(AK6="","",AVERAGE(AG25:AJ25)+CONFIDENCE(0.05,STDEV(X25:AJ25),COUNT(X25:AJ25)))</f>
        <v>0.11261161954645092</v>
      </c>
      <c r="AL34" s="17">
        <f t="shared" ca="1" si="173"/>
        <v>5.9261378792775044E-2</v>
      </c>
      <c r="AM34" s="17">
        <f t="shared" ca="1" si="122"/>
        <v>0.21812932283700676</v>
      </c>
      <c r="AN34" s="17">
        <f t="shared" ca="1" si="122"/>
        <v>0.16355781591214169</v>
      </c>
      <c r="AO34" s="17">
        <f t="shared" ca="1" si="122"/>
        <v>0.14834020172952797</v>
      </c>
      <c r="AP34" s="17">
        <f t="shared" ca="1" si="122"/>
        <v>0.1489401445702519</v>
      </c>
      <c r="AQ34" s="17">
        <f t="shared" ca="1" si="122"/>
        <v>5.7836512593992417E-2</v>
      </c>
      <c r="AR34" s="17">
        <f t="shared" ca="1" si="122"/>
        <v>0.12395824059501259</v>
      </c>
      <c r="AS34" s="17">
        <f t="shared" ca="1" si="122"/>
        <v>8.6734389763932759E-2</v>
      </c>
      <c r="AT34" s="17">
        <f t="shared" ca="1" si="122"/>
        <v>0.24508094467581878</v>
      </c>
      <c r="AU34" s="17">
        <f t="shared" ca="1" si="122"/>
        <v>0.14357175845560344</v>
      </c>
      <c r="AV34" s="17">
        <f t="shared" ca="1" si="122"/>
        <v>0.1070151842903979</v>
      </c>
      <c r="AW34" s="17">
        <f t="shared" ca="1" si="122"/>
        <v>8.5282356437933513E-2</v>
      </c>
      <c r="AX34" s="17">
        <f t="shared" ca="1" si="122"/>
        <v>3.5954934928494574E-2</v>
      </c>
      <c r="AY34" s="17">
        <f t="shared" ca="1" si="122"/>
        <v>8.0272078626292043E-2</v>
      </c>
      <c r="AZ34" s="17">
        <f t="shared" ca="1" si="122"/>
        <v>8.5401634436965884E-2</v>
      </c>
      <c r="BA34" s="17">
        <f t="shared" ca="1" si="122"/>
        <v>3.1366878816873577E-2</v>
      </c>
      <c r="BB34" s="17">
        <f t="shared" ca="1" si="122"/>
        <v>0.19737993071166285</v>
      </c>
      <c r="BC34" s="17">
        <f t="shared" ca="1" si="122"/>
        <v>7.6815919895515256E-2</v>
      </c>
      <c r="BD34" s="17">
        <f t="shared" ca="1" si="122"/>
        <v>6.0164387003722883E-2</v>
      </c>
      <c r="BE34" s="17">
        <f t="shared" ca="1" si="122"/>
        <v>0.17251447350612631</v>
      </c>
      <c r="BF34" s="17">
        <f t="shared" ca="1" si="122"/>
        <v>7.7678197937492283E-2</v>
      </c>
      <c r="BG34" s="17">
        <f t="shared" ca="1" si="122"/>
        <v>0.17602355271229941</v>
      </c>
      <c r="BH34" s="17">
        <f t="shared" ca="1" si="122"/>
        <v>0.29390450762625669</v>
      </c>
      <c r="BI34" s="17">
        <f t="shared" ca="1" si="122"/>
        <v>0.1477479769291587</v>
      </c>
      <c r="BJ34" s="17">
        <f t="shared" ca="1" si="122"/>
        <v>0.10826094303870037</v>
      </c>
      <c r="BK34" s="17">
        <f t="shared" ca="1" si="122"/>
        <v>0.19692912718782674</v>
      </c>
      <c r="BL34" s="17">
        <f t="shared" ca="1" si="122"/>
        <v>0.32211391406588868</v>
      </c>
      <c r="BM34" s="17">
        <f t="shared" ca="1" si="122"/>
        <v>7.1603677836586485E-2</v>
      </c>
      <c r="BN34" s="17">
        <f t="shared" ca="1" si="122"/>
        <v>0.15353704643577024</v>
      </c>
      <c r="BO34" s="17">
        <f t="shared" ca="1" si="122"/>
        <v>7.1626414487363121E-2</v>
      </c>
      <c r="BP34" s="17">
        <f t="shared" ca="1" si="122"/>
        <v>7.4216261558974109E-2</v>
      </c>
      <c r="BQ34" s="17">
        <f t="shared" ca="1" si="122"/>
        <v>7.5964897146413579E-2</v>
      </c>
      <c r="BR34" s="17">
        <f t="shared" ca="1" si="122"/>
        <v>8.1137889906257477E-2</v>
      </c>
      <c r="BS34" s="17" t="str">
        <f t="shared" ca="1" si="122"/>
        <v/>
      </c>
      <c r="BT34" s="17" t="str">
        <f t="shared" ca="1" si="122"/>
        <v/>
      </c>
      <c r="BU34" s="17" t="str">
        <f t="shared" ca="1" si="122"/>
        <v/>
      </c>
      <c r="BV34" s="17" t="str">
        <f t="shared" ca="1" si="123"/>
        <v/>
      </c>
      <c r="BW34" s="17" t="str">
        <f t="shared" ca="1" si="124"/>
        <v/>
      </c>
      <c r="BX34" s="17" t="str">
        <f t="shared" ca="1" si="125"/>
        <v/>
      </c>
      <c r="BY34" s="17" t="str">
        <f t="shared" ca="1" si="126"/>
        <v/>
      </c>
      <c r="BZ34" s="17" t="str">
        <f t="shared" ca="1" si="127"/>
        <v/>
      </c>
      <c r="CA34" s="17" t="str">
        <f t="shared" ca="1" si="128"/>
        <v/>
      </c>
      <c r="CB34" s="17" t="str">
        <f t="shared" ca="1" si="129"/>
        <v/>
      </c>
      <c r="CC34" s="17" t="str">
        <f t="shared" ca="1" si="130"/>
        <v/>
      </c>
      <c r="CD34" s="17" t="str">
        <f t="shared" ca="1" si="131"/>
        <v/>
      </c>
      <c r="CE34" s="17" t="str">
        <f t="shared" ca="1" si="132"/>
        <v/>
      </c>
      <c r="CF34" s="17" t="str">
        <f t="shared" ca="1" si="133"/>
        <v/>
      </c>
      <c r="CG34" s="17" t="str">
        <f t="shared" ca="1" si="134"/>
        <v/>
      </c>
      <c r="CH34" s="17" t="str">
        <f t="shared" ca="1" si="135"/>
        <v/>
      </c>
      <c r="CI34" s="17" t="str">
        <f t="shared" ca="1" si="136"/>
        <v/>
      </c>
      <c r="CJ34" s="17" t="str">
        <f t="shared" ca="1" si="137"/>
        <v/>
      </c>
      <c r="CK34" s="17" t="str">
        <f t="shared" ca="1" si="138"/>
        <v/>
      </c>
      <c r="CL34" s="17" t="str">
        <f t="shared" ca="1" si="139"/>
        <v/>
      </c>
      <c r="CM34" s="17" t="str">
        <f t="shared" ca="1" si="140"/>
        <v/>
      </c>
      <c r="CN34" s="17" t="str">
        <f t="shared" ca="1" si="141"/>
        <v/>
      </c>
      <c r="CO34" s="17" t="str">
        <f t="shared" ca="1" si="142"/>
        <v/>
      </c>
      <c r="CP34" s="17" t="str">
        <f t="shared" ca="1" si="143"/>
        <v/>
      </c>
      <c r="CQ34" s="17" t="str">
        <f t="shared" ca="1" si="144"/>
        <v/>
      </c>
      <c r="CR34" s="17" t="str">
        <f t="shared" ca="1" si="145"/>
        <v/>
      </c>
      <c r="CS34" s="17" t="str">
        <f t="shared" ca="1" si="146"/>
        <v/>
      </c>
      <c r="CT34" s="17" t="str">
        <f t="shared" ca="1" si="147"/>
        <v/>
      </c>
      <c r="CU34" s="17" t="str">
        <f t="shared" ca="1" si="148"/>
        <v/>
      </c>
      <c r="CV34" s="17" t="str">
        <f t="shared" ca="1" si="149"/>
        <v/>
      </c>
      <c r="CW34" s="17" t="str">
        <f t="shared" ca="1" si="150"/>
        <v/>
      </c>
      <c r="CX34" s="17" t="str">
        <f t="shared" ca="1" si="151"/>
        <v/>
      </c>
      <c r="CY34" s="17" t="str">
        <f t="shared" ca="1" si="152"/>
        <v/>
      </c>
      <c r="CZ34" s="17" t="str">
        <f t="shared" ca="1" si="153"/>
        <v/>
      </c>
      <c r="DA34" s="17" t="str">
        <f t="shared" ca="1" si="154"/>
        <v/>
      </c>
      <c r="DB34" s="17" t="str">
        <f t="shared" ca="1" si="155"/>
        <v/>
      </c>
      <c r="DC34" s="17" t="str">
        <f t="shared" ca="1" si="156"/>
        <v/>
      </c>
      <c r="DD34" s="17" t="str">
        <f t="shared" ca="1" si="157"/>
        <v/>
      </c>
      <c r="DE34" s="17" t="str">
        <f t="shared" ca="1" si="158"/>
        <v/>
      </c>
      <c r="DF34" s="17" t="str">
        <f t="shared" ca="1" si="159"/>
        <v/>
      </c>
      <c r="DG34" s="17" t="str">
        <f t="shared" ca="1" si="160"/>
        <v/>
      </c>
      <c r="DH34" s="17" t="str">
        <f t="shared" ca="1" si="161"/>
        <v/>
      </c>
      <c r="DI34" s="17" t="str">
        <f t="shared" ca="1" si="162"/>
        <v/>
      </c>
      <c r="DJ34" s="17" t="str">
        <f t="shared" ca="1" si="163"/>
        <v/>
      </c>
      <c r="DK34" s="17" t="str">
        <f t="shared" ca="1" si="164"/>
        <v/>
      </c>
      <c r="DL34" s="17" t="str">
        <f t="shared" ca="1" si="165"/>
        <v/>
      </c>
      <c r="DM34" s="17" t="str">
        <f t="shared" ca="1" si="166"/>
        <v/>
      </c>
      <c r="DN34" s="17" t="str">
        <f t="shared" ca="1" si="167"/>
        <v/>
      </c>
      <c r="DO34" s="17" t="str">
        <f t="shared" ca="1" si="168"/>
        <v/>
      </c>
      <c r="DP34" s="17" t="str">
        <f t="shared" ca="1" si="169"/>
        <v/>
      </c>
      <c r="DQ34" s="17" t="str">
        <f t="shared" ca="1" si="170"/>
        <v/>
      </c>
      <c r="DR34" s="17" t="str">
        <f t="shared" ca="1" si="171"/>
        <v/>
      </c>
    </row>
    <row r="35" spans="1:122" x14ac:dyDescent="0.25">
      <c r="A35" s="4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</row>
    <row r="36" spans="1:122" x14ac:dyDescent="0.25">
      <c r="A36" s="4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</row>
    <row r="37" spans="1:122" x14ac:dyDescent="0.25">
      <c r="A37" s="4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</row>
    <row r="38" spans="1:122" x14ac:dyDescent="0.25">
      <c r="A38" s="4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</row>
  </sheetData>
  <conditionalFormatting sqref="B13:DR20">
    <cfRule type="expression" dxfId="7" priority="7">
      <formula>B13&gt;$DX13</formula>
    </cfRule>
    <cfRule type="expression" dxfId="6" priority="8">
      <formula>B13&lt;-$DX13</formula>
    </cfRule>
  </conditionalFormatting>
  <conditionalFormatting sqref="B22:DR29">
    <cfRule type="expression" dxfId="5" priority="6">
      <formula>B22&gt;$DX22</formula>
    </cfRule>
  </conditionalFormatting>
  <conditionalFormatting sqref="B13:DR20 B22:DR29">
    <cfRule type="cellIs" dxfId="4" priority="5" operator="equal">
      <formula>""</formula>
    </cfRule>
  </conditionalFormatting>
  <conditionalFormatting sqref="B13:DR20">
    <cfRule type="expression" dxfId="3" priority="3">
      <formula>B13&lt;-$DX13</formula>
    </cfRule>
    <cfRule type="expression" dxfId="2" priority="4">
      <formula>B13&gt;$DX13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B2" sqref="B2:B227"/>
    </sheetView>
  </sheetViews>
  <sheetFormatPr baseColWidth="10" defaultRowHeight="15" x14ac:dyDescent="0.25"/>
  <cols>
    <col min="1" max="1" width="10.7109375" bestFit="1" customWidth="1"/>
    <col min="2" max="2" width="12" bestFit="1" customWidth="1"/>
  </cols>
  <sheetData>
    <row r="1" spans="1:5" x14ac:dyDescent="0.25">
      <c r="A1" t="s">
        <v>0</v>
      </c>
      <c r="B1" s="1" t="s">
        <v>6</v>
      </c>
      <c r="D1" t="s">
        <v>7</v>
      </c>
      <c r="E1" t="s">
        <v>8</v>
      </c>
    </row>
    <row r="2" spans="1:5" x14ac:dyDescent="0.25">
      <c r="A2" s="2">
        <v>28033</v>
      </c>
      <c r="B2" s="1">
        <f>IF([1]Rseries!G7="","",[1]Rseries!G7)</f>
        <v>27131.31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">
        <f>IF([1]Rseries!G8="","",[1]Rseries!G8)</f>
        <v>23331.31</v>
      </c>
    </row>
    <row r="4" spans="1:5" x14ac:dyDescent="0.25">
      <c r="A4" s="2">
        <v>28215</v>
      </c>
      <c r="B4" s="1">
        <f>IF([1]Rseries!G9="","",[1]Rseries!G9)</f>
        <v>25031.31</v>
      </c>
    </row>
    <row r="5" spans="1:5" x14ac:dyDescent="0.25">
      <c r="A5" s="2">
        <v>28306</v>
      </c>
      <c r="B5" s="1">
        <f>IF([1]Rseries!G10="","",[1]Rseries!G10)</f>
        <v>24431.31</v>
      </c>
    </row>
    <row r="6" spans="1:5" x14ac:dyDescent="0.25">
      <c r="A6" s="2">
        <v>28398</v>
      </c>
      <c r="B6" s="1">
        <f>IF([1]Rseries!G11="","",[1]Rseries!G11)</f>
        <v>27331.31</v>
      </c>
    </row>
    <row r="7" spans="1:5" x14ac:dyDescent="0.25">
      <c r="A7" s="2">
        <v>28490</v>
      </c>
      <c r="B7" s="1">
        <f>IF([1]Rseries!G12="","",[1]Rseries!G12)</f>
        <v>29031.31</v>
      </c>
    </row>
    <row r="8" spans="1:5" x14ac:dyDescent="0.25">
      <c r="A8" s="2">
        <v>28580</v>
      </c>
      <c r="B8" s="1">
        <f>IF([1]Rseries!G13="","",[1]Rseries!G13)</f>
        <v>35731.31</v>
      </c>
    </row>
    <row r="9" spans="1:5" x14ac:dyDescent="0.25">
      <c r="A9" s="2">
        <v>28671</v>
      </c>
      <c r="B9" s="1">
        <f>IF([1]Rseries!G14="","",[1]Rseries!G14)</f>
        <v>34031.31</v>
      </c>
    </row>
    <row r="10" spans="1:5" x14ac:dyDescent="0.25">
      <c r="A10" s="2">
        <v>28763</v>
      </c>
      <c r="B10" s="1">
        <f>IF([1]Rseries!G15="","",[1]Rseries!G15)</f>
        <v>32331.31</v>
      </c>
    </row>
    <row r="11" spans="1:5" x14ac:dyDescent="0.25">
      <c r="A11" s="2">
        <v>28855</v>
      </c>
      <c r="B11" s="1">
        <f>IF([1]Rseries!G16="","",[1]Rseries!G16)</f>
        <v>37231.31</v>
      </c>
    </row>
    <row r="12" spans="1:5" x14ac:dyDescent="0.25">
      <c r="A12" s="2">
        <v>28945</v>
      </c>
      <c r="B12" s="1">
        <f>IF([1]Rseries!G17="","",[1]Rseries!G17)</f>
        <v>39431.31</v>
      </c>
    </row>
    <row r="13" spans="1:5" x14ac:dyDescent="0.25">
      <c r="A13" s="2">
        <v>29036</v>
      </c>
      <c r="B13" s="1">
        <f>IF([1]Rseries!G18="","",[1]Rseries!G18)</f>
        <v>38731.31</v>
      </c>
    </row>
    <row r="14" spans="1:5" x14ac:dyDescent="0.25">
      <c r="A14" s="2">
        <v>29128</v>
      </c>
      <c r="B14" s="1">
        <f>IF([1]Rseries!G19="","",[1]Rseries!G19)</f>
        <v>44331.31</v>
      </c>
    </row>
    <row r="15" spans="1:5" x14ac:dyDescent="0.25">
      <c r="A15" s="2">
        <v>29220</v>
      </c>
      <c r="B15" s="1">
        <f>IF([1]Rseries!G20="","",[1]Rseries!G20)</f>
        <v>49631.31</v>
      </c>
    </row>
    <row r="16" spans="1:5" x14ac:dyDescent="0.25">
      <c r="A16" s="2">
        <v>29311</v>
      </c>
      <c r="B16" s="1">
        <f>IF([1]Rseries!G21="","",[1]Rseries!G21)</f>
        <v>52831.31</v>
      </c>
    </row>
    <row r="17" spans="1:2" x14ac:dyDescent="0.25">
      <c r="A17" s="2">
        <v>29402</v>
      </c>
      <c r="B17" s="1">
        <f>IF([1]Rseries!G22="","",[1]Rseries!G22)</f>
        <v>58031.31</v>
      </c>
    </row>
    <row r="18" spans="1:2" x14ac:dyDescent="0.25">
      <c r="A18" s="2">
        <v>29494</v>
      </c>
      <c r="B18" s="1">
        <f>IF([1]Rseries!G23="","",[1]Rseries!G23)</f>
        <v>62631.31</v>
      </c>
    </row>
    <row r="19" spans="1:2" x14ac:dyDescent="0.25">
      <c r="A19" s="2">
        <v>29586</v>
      </c>
      <c r="B19" s="1">
        <f>IF([1]Rseries!G24="","",[1]Rseries!G24)</f>
        <v>63331.31</v>
      </c>
    </row>
    <row r="20" spans="1:2" x14ac:dyDescent="0.25">
      <c r="A20" s="2">
        <v>29676</v>
      </c>
      <c r="B20" s="1">
        <f>IF([1]Rseries!G25="","",[1]Rseries!G25)</f>
        <v>73731.31</v>
      </c>
    </row>
    <row r="21" spans="1:2" x14ac:dyDescent="0.25">
      <c r="A21" s="2">
        <v>29767</v>
      </c>
      <c r="B21" s="1">
        <f>IF([1]Rseries!G26="","",[1]Rseries!G26)</f>
        <v>76431.31</v>
      </c>
    </row>
    <row r="22" spans="1:2" x14ac:dyDescent="0.25">
      <c r="A22" s="2">
        <v>29859</v>
      </c>
      <c r="B22" s="1">
        <f>IF([1]Rseries!G27="","",[1]Rseries!G27)</f>
        <v>78331.31</v>
      </c>
    </row>
    <row r="23" spans="1:2" x14ac:dyDescent="0.25">
      <c r="A23" s="2">
        <v>29951</v>
      </c>
      <c r="B23" s="1">
        <f>IF([1]Rseries!G28="","",[1]Rseries!G28)</f>
        <v>81731.31</v>
      </c>
    </row>
    <row r="24" spans="1:2" x14ac:dyDescent="0.25">
      <c r="A24" s="2">
        <v>30041</v>
      </c>
      <c r="B24" s="1">
        <f>IF([1]Rseries!G29="","",[1]Rseries!G29)</f>
        <v>83131.31</v>
      </c>
    </row>
    <row r="25" spans="1:2" x14ac:dyDescent="0.25">
      <c r="A25" s="2">
        <v>30132</v>
      </c>
      <c r="B25" s="1">
        <f>IF([1]Rseries!G30="","",[1]Rseries!G30)</f>
        <v>75731.31</v>
      </c>
    </row>
    <row r="26" spans="1:2" x14ac:dyDescent="0.25">
      <c r="A26" s="2">
        <v>30224</v>
      </c>
      <c r="B26" s="1">
        <f>IF([1]Rseries!G31="","",[1]Rseries!G31)</f>
        <v>77231.31</v>
      </c>
    </row>
    <row r="27" spans="1:2" x14ac:dyDescent="0.25">
      <c r="A27" s="2">
        <v>30316</v>
      </c>
      <c r="B27" s="1">
        <f>IF([1]Rseries!G32="","",[1]Rseries!G32)</f>
        <v>74231.31</v>
      </c>
    </row>
    <row r="28" spans="1:2" x14ac:dyDescent="0.25">
      <c r="A28" s="2">
        <v>30406</v>
      </c>
      <c r="B28" s="1">
        <f>IF([1]Rseries!G33="","",[1]Rseries!G33)</f>
        <v>80931.31</v>
      </c>
    </row>
    <row r="29" spans="1:2" x14ac:dyDescent="0.25">
      <c r="A29" s="2">
        <v>30497</v>
      </c>
      <c r="B29" s="1">
        <f>IF([1]Rseries!G34="","",[1]Rseries!G34)</f>
        <v>81831.31</v>
      </c>
    </row>
    <row r="30" spans="1:2" x14ac:dyDescent="0.25">
      <c r="A30" s="2">
        <v>30589</v>
      </c>
      <c r="B30" s="1">
        <f>IF([1]Rseries!G35="","",[1]Rseries!G35)</f>
        <v>78131.31</v>
      </c>
    </row>
    <row r="31" spans="1:2" x14ac:dyDescent="0.25">
      <c r="A31" s="2">
        <v>30681</v>
      </c>
      <c r="B31" s="1">
        <f>IF([1]Rseries!G36="","",[1]Rseries!G36)</f>
        <v>81931.31</v>
      </c>
    </row>
    <row r="32" spans="1:2" x14ac:dyDescent="0.25">
      <c r="A32" s="2">
        <v>30772</v>
      </c>
      <c r="B32" s="1">
        <f>IF([1]Rseries!G37="","",[1]Rseries!G37)</f>
        <v>90931.31</v>
      </c>
    </row>
    <row r="33" spans="1:2" x14ac:dyDescent="0.25">
      <c r="A33" s="2">
        <v>30863</v>
      </c>
      <c r="B33" s="1">
        <f>IF([1]Rseries!G38="","",[1]Rseries!G38)</f>
        <v>91531.31</v>
      </c>
    </row>
    <row r="34" spans="1:2" x14ac:dyDescent="0.25">
      <c r="A34" s="2">
        <v>30955</v>
      </c>
      <c r="B34" s="1">
        <f>IF([1]Rseries!G39="","",[1]Rseries!G39)</f>
        <v>92531.31</v>
      </c>
    </row>
    <row r="35" spans="1:2" x14ac:dyDescent="0.25">
      <c r="A35" s="2">
        <v>31047</v>
      </c>
      <c r="B35" s="1">
        <f>IF([1]Rseries!G40="","",[1]Rseries!G40)</f>
        <v>97331.31</v>
      </c>
    </row>
    <row r="36" spans="1:2" x14ac:dyDescent="0.25">
      <c r="A36" s="2">
        <v>31137</v>
      </c>
      <c r="B36" s="1">
        <f>IF([1]Rseries!G41="","",[1]Rseries!G41)</f>
        <v>103831.31</v>
      </c>
    </row>
    <row r="37" spans="1:2" x14ac:dyDescent="0.25">
      <c r="A37" s="2">
        <v>31228</v>
      </c>
      <c r="B37" s="1">
        <f>IF([1]Rseries!G42="","",[1]Rseries!G42)</f>
        <v>98631.31</v>
      </c>
    </row>
    <row r="38" spans="1:2" x14ac:dyDescent="0.25">
      <c r="A38" s="2">
        <v>31320</v>
      </c>
      <c r="B38" s="1">
        <f>IF([1]Rseries!G43="","",[1]Rseries!G43)</f>
        <v>94131.31</v>
      </c>
    </row>
    <row r="39" spans="1:2" x14ac:dyDescent="0.25">
      <c r="A39" s="2">
        <v>31412</v>
      </c>
      <c r="B39" s="1">
        <f>IF([1]Rseries!G44="","",[1]Rseries!G44)</f>
        <v>88731.31</v>
      </c>
    </row>
    <row r="40" spans="1:2" x14ac:dyDescent="0.25">
      <c r="A40" s="2">
        <v>31502</v>
      </c>
      <c r="B40" s="1">
        <f>IF([1]Rseries!G45="","",[1]Rseries!G45)</f>
        <v>90731.31</v>
      </c>
    </row>
    <row r="41" spans="1:2" x14ac:dyDescent="0.25">
      <c r="A41" s="2">
        <v>31593</v>
      </c>
      <c r="B41" s="1">
        <f>IF([1]Rseries!G46="","",[1]Rseries!G46)</f>
        <v>88131.31</v>
      </c>
    </row>
    <row r="42" spans="1:2" x14ac:dyDescent="0.25">
      <c r="A42" s="2">
        <v>31685</v>
      </c>
      <c r="B42" s="1">
        <f>IF([1]Rseries!G47="","",[1]Rseries!G47)</f>
        <v>84931.31</v>
      </c>
    </row>
    <row r="43" spans="1:2" x14ac:dyDescent="0.25">
      <c r="A43" s="2">
        <v>31777</v>
      </c>
      <c r="B43" s="1">
        <f>IF([1]Rseries!G48="","",[1]Rseries!G48)</f>
        <v>89831.31</v>
      </c>
    </row>
    <row r="44" spans="1:2" x14ac:dyDescent="0.25">
      <c r="A44" s="2">
        <v>31867</v>
      </c>
      <c r="B44" s="1">
        <f>IF([1]Rseries!G49="","",[1]Rseries!G49)</f>
        <v>99331.31</v>
      </c>
    </row>
    <row r="45" spans="1:2" x14ac:dyDescent="0.25">
      <c r="A45" s="2">
        <v>31958</v>
      </c>
      <c r="B45" s="1">
        <f>IF([1]Rseries!G50="","",[1]Rseries!G50)</f>
        <v>86631.31</v>
      </c>
    </row>
    <row r="46" spans="1:2" x14ac:dyDescent="0.25">
      <c r="A46" s="2">
        <v>32050</v>
      </c>
      <c r="B46" s="1">
        <f>IF([1]Rseries!G51="","",[1]Rseries!G51)</f>
        <v>84831.31</v>
      </c>
    </row>
    <row r="47" spans="1:2" x14ac:dyDescent="0.25">
      <c r="A47" s="2">
        <v>32142</v>
      </c>
      <c r="B47" s="1">
        <f>IF([1]Rseries!G52="","",[1]Rseries!G52)</f>
        <v>88231.31</v>
      </c>
    </row>
    <row r="48" spans="1:2" x14ac:dyDescent="0.25">
      <c r="A48" s="2">
        <v>32233</v>
      </c>
      <c r="B48" s="1">
        <f>IF([1]Rseries!G53="","",[1]Rseries!G53)</f>
        <v>97331.31</v>
      </c>
    </row>
    <row r="49" spans="1:2" x14ac:dyDescent="0.25">
      <c r="A49" s="2">
        <v>32324</v>
      </c>
      <c r="B49" s="1">
        <f>IF([1]Rseries!G54="","",[1]Rseries!G54)</f>
        <v>99231.31</v>
      </c>
    </row>
    <row r="50" spans="1:2" x14ac:dyDescent="0.25">
      <c r="A50" s="2">
        <v>32416</v>
      </c>
      <c r="B50" s="1">
        <f>IF([1]Rseries!G55="","",[1]Rseries!G55)</f>
        <v>89231.31</v>
      </c>
    </row>
    <row r="51" spans="1:2" x14ac:dyDescent="0.25">
      <c r="A51" s="2">
        <v>32508</v>
      </c>
      <c r="B51" s="1">
        <f>IF([1]Rseries!G56="","",[1]Rseries!G56)</f>
        <v>90831.31</v>
      </c>
    </row>
    <row r="52" spans="1:2" x14ac:dyDescent="0.25">
      <c r="A52" s="2">
        <v>32598</v>
      </c>
      <c r="B52" s="1">
        <f>IF([1]Rseries!G57="","",[1]Rseries!G57)</f>
        <v>95031.31</v>
      </c>
    </row>
    <row r="53" spans="1:2" x14ac:dyDescent="0.25">
      <c r="A53" s="2">
        <v>32689</v>
      </c>
      <c r="B53" s="1">
        <f>IF([1]Rseries!G58="","",[1]Rseries!G58)</f>
        <v>91931.31</v>
      </c>
    </row>
    <row r="54" spans="1:2" x14ac:dyDescent="0.25">
      <c r="A54" s="2">
        <v>32781</v>
      </c>
      <c r="B54" s="1">
        <f>IF([1]Rseries!G59="","",[1]Rseries!G59)</f>
        <v>81031.31</v>
      </c>
    </row>
    <row r="55" spans="1:2" x14ac:dyDescent="0.25">
      <c r="A55" s="2">
        <v>32873</v>
      </c>
      <c r="B55" s="1">
        <f>IF([1]Rseries!G60="","",[1]Rseries!G60)</f>
        <v>89431.31</v>
      </c>
    </row>
    <row r="56" spans="1:2" x14ac:dyDescent="0.25">
      <c r="A56" s="2">
        <v>32963</v>
      </c>
      <c r="B56" s="1">
        <f>IF([1]Rseries!G61="","",[1]Rseries!G61)</f>
        <v>88931.31</v>
      </c>
    </row>
    <row r="57" spans="1:2" x14ac:dyDescent="0.25">
      <c r="A57" s="2">
        <v>33054</v>
      </c>
      <c r="B57" s="1">
        <f>IF([1]Rseries!G62="","",[1]Rseries!G62)</f>
        <v>83031.31</v>
      </c>
    </row>
    <row r="58" spans="1:2" x14ac:dyDescent="0.25">
      <c r="A58" s="2">
        <v>33146</v>
      </c>
      <c r="B58" s="1">
        <f>IF([1]Rseries!G63="","",[1]Rseries!G63)</f>
        <v>77531.31</v>
      </c>
    </row>
    <row r="59" spans="1:2" x14ac:dyDescent="0.25">
      <c r="A59" s="2">
        <v>33238</v>
      </c>
      <c r="B59" s="1">
        <f>IF([1]Rseries!G64="","",[1]Rseries!G64)</f>
        <v>80831.31</v>
      </c>
    </row>
    <row r="60" spans="1:2" x14ac:dyDescent="0.25">
      <c r="A60" s="2">
        <v>33328</v>
      </c>
      <c r="B60" s="1">
        <f>IF([1]Rseries!G65="","",[1]Rseries!G65)</f>
        <v>83831.31</v>
      </c>
    </row>
    <row r="61" spans="1:2" x14ac:dyDescent="0.25">
      <c r="A61" s="2">
        <v>33419</v>
      </c>
      <c r="B61" s="1">
        <f>IF([1]Rseries!G66="","",[1]Rseries!G66)</f>
        <v>85831.31</v>
      </c>
    </row>
    <row r="62" spans="1:2" x14ac:dyDescent="0.25">
      <c r="A62" s="2">
        <v>33511</v>
      </c>
      <c r="B62" s="1">
        <f>IF([1]Rseries!G67="","",[1]Rseries!G67)</f>
        <v>80031.31</v>
      </c>
    </row>
    <row r="63" spans="1:2" x14ac:dyDescent="0.25">
      <c r="A63" s="2">
        <v>33603</v>
      </c>
      <c r="B63" s="1">
        <f>IF([1]Rseries!G68="","",[1]Rseries!G68)</f>
        <v>86031.31</v>
      </c>
    </row>
    <row r="64" spans="1:2" x14ac:dyDescent="0.25">
      <c r="A64" s="2">
        <v>33694</v>
      </c>
      <c r="B64" s="1">
        <f>IF([1]Rseries!G69="","",[1]Rseries!G69)</f>
        <v>95531.31</v>
      </c>
    </row>
    <row r="65" spans="1:2" x14ac:dyDescent="0.25">
      <c r="A65" s="2">
        <v>33785</v>
      </c>
      <c r="B65" s="1">
        <f>IF([1]Rseries!G70="","",[1]Rseries!G70)</f>
        <v>98131.31</v>
      </c>
    </row>
    <row r="66" spans="1:2" x14ac:dyDescent="0.25">
      <c r="A66" s="2">
        <v>33877</v>
      </c>
      <c r="B66" s="1">
        <f>IF([1]Rseries!G71="","",[1]Rseries!G71)</f>
        <v>104031.31</v>
      </c>
    </row>
    <row r="67" spans="1:2" x14ac:dyDescent="0.25">
      <c r="A67" s="2">
        <v>33969</v>
      </c>
      <c r="B67" s="1">
        <f>IF([1]Rseries!G72="","",[1]Rseries!G72)</f>
        <v>106531.31</v>
      </c>
    </row>
    <row r="68" spans="1:2" x14ac:dyDescent="0.25">
      <c r="A68" s="2">
        <v>34059</v>
      </c>
      <c r="B68" s="1">
        <f>IF([1]Rseries!G73="","",[1]Rseries!G73)</f>
        <v>121631.31</v>
      </c>
    </row>
    <row r="69" spans="1:2" x14ac:dyDescent="0.25">
      <c r="A69" s="2">
        <v>34150</v>
      </c>
      <c r="B69" s="1">
        <f>IF([1]Rseries!G74="","",[1]Rseries!G74)</f>
        <v>127031.31</v>
      </c>
    </row>
    <row r="70" spans="1:2" x14ac:dyDescent="0.25">
      <c r="A70" s="2">
        <v>34242</v>
      </c>
      <c r="B70" s="1">
        <f>IF([1]Rseries!G75="","",[1]Rseries!G75)</f>
        <v>125331.31</v>
      </c>
    </row>
    <row r="71" spans="1:2" x14ac:dyDescent="0.25">
      <c r="A71" s="2">
        <v>34334</v>
      </c>
      <c r="B71" s="1">
        <f>IF([1]Rseries!G76="","",[1]Rseries!G76)</f>
        <v>133731.31</v>
      </c>
    </row>
    <row r="72" spans="1:2" x14ac:dyDescent="0.25">
      <c r="A72" s="2">
        <v>34424</v>
      </c>
      <c r="B72" s="1">
        <f>IF([1]Rseries!G77="","",[1]Rseries!G77)</f>
        <v>133731.31</v>
      </c>
    </row>
    <row r="73" spans="1:2" x14ac:dyDescent="0.25">
      <c r="A73" s="2">
        <v>34515</v>
      </c>
      <c r="B73" s="1">
        <f>IF([1]Rseries!G78="","",[1]Rseries!G78)</f>
        <v>133131.31</v>
      </c>
    </row>
    <row r="74" spans="1:2" x14ac:dyDescent="0.25">
      <c r="A74" s="2">
        <v>34607</v>
      </c>
      <c r="B74" s="1">
        <f>IF([1]Rseries!G79="","",[1]Rseries!G79)</f>
        <v>116631.31</v>
      </c>
    </row>
    <row r="75" spans="1:2" x14ac:dyDescent="0.25">
      <c r="A75" s="2">
        <v>34699</v>
      </c>
      <c r="B75" s="1">
        <f>IF([1]Rseries!G80="","",[1]Rseries!G80)</f>
        <v>122131.31</v>
      </c>
    </row>
    <row r="76" spans="1:2" x14ac:dyDescent="0.25">
      <c r="A76" s="2">
        <v>34789</v>
      </c>
      <c r="B76" s="1">
        <f>IF([1]Rseries!G81="","",[1]Rseries!G81)</f>
        <v>129331.31</v>
      </c>
    </row>
    <row r="77" spans="1:2" x14ac:dyDescent="0.25">
      <c r="A77" s="2">
        <v>34880</v>
      </c>
      <c r="B77" s="1">
        <f>IF([1]Rseries!G82="","",[1]Rseries!G82)</f>
        <v>130031.31</v>
      </c>
    </row>
    <row r="78" spans="1:2" x14ac:dyDescent="0.25">
      <c r="A78" s="2">
        <v>34972</v>
      </c>
      <c r="B78" s="1">
        <f>IF([1]Rseries!G83="","",[1]Rseries!G83)</f>
        <v>126931.31</v>
      </c>
    </row>
    <row r="79" spans="1:2" x14ac:dyDescent="0.25">
      <c r="A79" s="2">
        <v>35064</v>
      </c>
      <c r="B79" s="1">
        <f>IF([1]Rseries!G84="","",[1]Rseries!G84)</f>
        <v>126931.31</v>
      </c>
    </row>
    <row r="80" spans="1:2" x14ac:dyDescent="0.25">
      <c r="A80" s="2">
        <v>35155</v>
      </c>
      <c r="B80" s="1">
        <f>IF([1]Rseries!G85="","",[1]Rseries!G85)</f>
        <v>132331.31</v>
      </c>
    </row>
    <row r="81" spans="1:2" x14ac:dyDescent="0.25">
      <c r="A81" s="2">
        <v>35246</v>
      </c>
      <c r="B81" s="1">
        <f>IF([1]Rseries!G86="","",[1]Rseries!G86)</f>
        <v>127831.31</v>
      </c>
    </row>
    <row r="82" spans="1:2" x14ac:dyDescent="0.25">
      <c r="A82" s="2">
        <v>35338</v>
      </c>
      <c r="B82" s="1">
        <f>IF([1]Rseries!G87="","",[1]Rseries!G87)</f>
        <v>118531.31</v>
      </c>
    </row>
    <row r="83" spans="1:2" x14ac:dyDescent="0.25">
      <c r="A83" s="2">
        <v>35430</v>
      </c>
      <c r="B83" s="1">
        <f>IF([1]Rseries!G88="","",[1]Rseries!G88)</f>
        <v>122931.31</v>
      </c>
    </row>
    <row r="84" spans="1:2" x14ac:dyDescent="0.25">
      <c r="A84" s="2">
        <v>35520</v>
      </c>
      <c r="B84" s="1">
        <f>IF([1]Rseries!G89="","",[1]Rseries!G89)</f>
        <v>129631.31</v>
      </c>
    </row>
    <row r="85" spans="1:2" x14ac:dyDescent="0.25">
      <c r="A85" s="2">
        <v>35611</v>
      </c>
      <c r="B85" s="1">
        <f>IF([1]Rseries!G90="","",[1]Rseries!G90)</f>
        <v>123231.31</v>
      </c>
    </row>
    <row r="86" spans="1:2" x14ac:dyDescent="0.25">
      <c r="A86" s="2">
        <v>35703</v>
      </c>
      <c r="B86" s="1">
        <f>IF([1]Rseries!G91="","",[1]Rseries!G91)</f>
        <v>116431.31</v>
      </c>
    </row>
    <row r="87" spans="1:2" x14ac:dyDescent="0.25">
      <c r="A87" s="2">
        <v>35795</v>
      </c>
      <c r="B87" s="1">
        <f>IF([1]Rseries!G92="","",[1]Rseries!G92)</f>
        <v>119531.31</v>
      </c>
    </row>
    <row r="88" spans="1:2" x14ac:dyDescent="0.25">
      <c r="A88" s="2">
        <v>35885</v>
      </c>
      <c r="B88" s="1">
        <f>IF([1]Rseries!G93="","",[1]Rseries!G93)</f>
        <v>124431.31</v>
      </c>
    </row>
    <row r="89" spans="1:2" x14ac:dyDescent="0.25">
      <c r="A89" s="2">
        <v>35976</v>
      </c>
      <c r="B89" s="1">
        <f>IF([1]Rseries!G94="","",[1]Rseries!G94)</f>
        <v>112331.31</v>
      </c>
    </row>
    <row r="90" spans="1:2" x14ac:dyDescent="0.25">
      <c r="A90" s="2">
        <v>36068</v>
      </c>
      <c r="B90" s="1">
        <f>IF([1]Rseries!G95="","",[1]Rseries!G95)</f>
        <v>108931.31</v>
      </c>
    </row>
    <row r="91" spans="1:2" x14ac:dyDescent="0.25">
      <c r="A91" s="2">
        <v>36160</v>
      </c>
      <c r="B91" s="1">
        <f>IF([1]Rseries!G96="","",[1]Rseries!G96)</f>
        <v>113831.31</v>
      </c>
    </row>
    <row r="92" spans="1:2" x14ac:dyDescent="0.25">
      <c r="A92" s="2">
        <v>36250</v>
      </c>
      <c r="B92" s="1">
        <f>IF([1]Rseries!G97="","",[1]Rseries!G97)</f>
        <v>112031.31</v>
      </c>
    </row>
    <row r="93" spans="1:2" x14ac:dyDescent="0.25">
      <c r="A93" s="2">
        <v>36341</v>
      </c>
      <c r="B93" s="1">
        <f>IF([1]Rseries!G98="","",[1]Rseries!G98)</f>
        <v>105031.31</v>
      </c>
    </row>
    <row r="94" spans="1:2" x14ac:dyDescent="0.25">
      <c r="A94" s="2">
        <v>36433</v>
      </c>
      <c r="B94" s="1">
        <f>IF([1]Rseries!G99="","",[1]Rseries!G99)</f>
        <v>95731.31</v>
      </c>
    </row>
    <row r="95" spans="1:2" x14ac:dyDescent="0.25">
      <c r="A95" s="2">
        <v>36525</v>
      </c>
      <c r="B95" s="1">
        <f>IF([1]Rseries!G100="","",[1]Rseries!G100)</f>
        <v>102431.31</v>
      </c>
    </row>
    <row r="96" spans="1:2" x14ac:dyDescent="0.25">
      <c r="A96" s="2">
        <v>36616</v>
      </c>
      <c r="B96" s="1">
        <f>IF([1]Rseries!G101="","",[1]Rseries!G101)</f>
        <v>97431.31</v>
      </c>
    </row>
    <row r="97" spans="1:2" x14ac:dyDescent="0.25">
      <c r="A97" s="2">
        <v>36707</v>
      </c>
      <c r="B97" s="1">
        <f>IF([1]Rseries!G102="","",[1]Rseries!G102)</f>
        <v>86131.31</v>
      </c>
    </row>
    <row r="98" spans="1:2" x14ac:dyDescent="0.25">
      <c r="A98" s="2">
        <v>36799</v>
      </c>
      <c r="B98" s="1">
        <f>IF([1]Rseries!G103="","",[1]Rseries!G103)</f>
        <v>80731.31</v>
      </c>
    </row>
    <row r="99" spans="1:2" x14ac:dyDescent="0.25">
      <c r="A99" s="2">
        <v>36891</v>
      </c>
      <c r="B99" s="1">
        <f>IF([1]Rseries!G104="","",[1]Rseries!G104)</f>
        <v>91631.31</v>
      </c>
    </row>
    <row r="100" spans="1:2" x14ac:dyDescent="0.25">
      <c r="A100" s="2">
        <v>36981</v>
      </c>
      <c r="B100" s="1">
        <f>IF([1]Rseries!G105="","",[1]Rseries!G105)</f>
        <v>72731.31</v>
      </c>
    </row>
    <row r="101" spans="1:2" x14ac:dyDescent="0.25">
      <c r="A101" s="2">
        <v>37072</v>
      </c>
      <c r="B101" s="1">
        <f>IF([1]Rseries!G106="","",[1]Rseries!G106)</f>
        <v>66431.31</v>
      </c>
    </row>
    <row r="102" spans="1:2" x14ac:dyDescent="0.25">
      <c r="A102" s="2">
        <v>37164</v>
      </c>
      <c r="B102" s="1">
        <f>IF([1]Rseries!G107="","",[1]Rseries!G107)</f>
        <v>64531.31</v>
      </c>
    </row>
    <row r="103" spans="1:2" x14ac:dyDescent="0.25">
      <c r="A103" s="2">
        <v>37256</v>
      </c>
      <c r="B103" s="1">
        <f>IF([1]Rseries!G108="","",[1]Rseries!G108)</f>
        <v>65531.31</v>
      </c>
    </row>
    <row r="104" spans="1:2" x14ac:dyDescent="0.25">
      <c r="A104" s="2">
        <v>37346</v>
      </c>
      <c r="B104" s="1">
        <f>IF([1]Rseries!G109="","",[1]Rseries!G109)</f>
        <v>69531.31</v>
      </c>
    </row>
    <row r="105" spans="1:2" x14ac:dyDescent="0.25">
      <c r="A105" s="2">
        <v>37437</v>
      </c>
      <c r="B105" s="1">
        <f>IF([1]Rseries!G110="","",[1]Rseries!G110)</f>
        <v>68091.570000000007</v>
      </c>
    </row>
    <row r="106" spans="1:2" x14ac:dyDescent="0.25">
      <c r="A106" s="2">
        <v>37529</v>
      </c>
      <c r="B106" s="1">
        <f>IF([1]Rseries!G111="","",[1]Rseries!G111)</f>
        <v>68605.240000000005</v>
      </c>
    </row>
    <row r="107" spans="1:2" x14ac:dyDescent="0.25">
      <c r="A107" s="2">
        <v>37621</v>
      </c>
      <c r="B107" s="1">
        <f>IF([1]Rseries!G112="","",[1]Rseries!G112)</f>
        <v>74284.78</v>
      </c>
    </row>
    <row r="108" spans="1:2" x14ac:dyDescent="0.25">
      <c r="A108" s="2">
        <v>37711</v>
      </c>
      <c r="B108" s="1">
        <f>IF([1]Rseries!G113="","",[1]Rseries!G113)</f>
        <v>82698.31</v>
      </c>
    </row>
    <row r="109" spans="1:2" x14ac:dyDescent="0.25">
      <c r="A109" s="2">
        <v>37802</v>
      </c>
      <c r="B109" s="1">
        <f>IF([1]Rseries!G114="","",[1]Rseries!G114)</f>
        <v>77333.259999999995</v>
      </c>
    </row>
    <row r="110" spans="1:2" x14ac:dyDescent="0.25">
      <c r="A110" s="2">
        <v>37894</v>
      </c>
      <c r="B110" s="1">
        <f>IF([1]Rseries!G115="","",[1]Rseries!G115)</f>
        <v>76065.149999999994</v>
      </c>
    </row>
    <row r="111" spans="1:2" x14ac:dyDescent="0.25">
      <c r="A111" s="2">
        <v>37986</v>
      </c>
      <c r="B111" s="1">
        <f>IF([1]Rseries!G116="","",[1]Rseries!G116)</f>
        <v>76593.820000000007</v>
      </c>
    </row>
    <row r="112" spans="1:2" x14ac:dyDescent="0.25">
      <c r="A112" s="2">
        <v>38077</v>
      </c>
      <c r="B112" s="1">
        <f>IF([1]Rseries!G117="","",[1]Rseries!G117)</f>
        <v>78213.179999999993</v>
      </c>
    </row>
    <row r="113" spans="1:2" x14ac:dyDescent="0.25">
      <c r="A113" s="2">
        <v>38168</v>
      </c>
      <c r="B113" s="1">
        <f>IF([1]Rseries!G118="","",[1]Rseries!G118)</f>
        <v>69602.100000000006</v>
      </c>
    </row>
    <row r="114" spans="1:2" x14ac:dyDescent="0.25">
      <c r="A114" s="2">
        <v>38260</v>
      </c>
      <c r="B114" s="1">
        <f>IF([1]Rseries!G119="","",[1]Rseries!G119)</f>
        <v>72448.820000000007</v>
      </c>
    </row>
    <row r="115" spans="1:2" x14ac:dyDescent="0.25">
      <c r="A115" s="2">
        <v>38352</v>
      </c>
      <c r="B115" s="1">
        <f>IF([1]Rseries!G120="","",[1]Rseries!G120)</f>
        <v>84041.47</v>
      </c>
    </row>
    <row r="116" spans="1:2" x14ac:dyDescent="0.25">
      <c r="A116" s="2">
        <v>38442</v>
      </c>
      <c r="B116" s="1">
        <f>IF([1]Rseries!G121="","",[1]Rseries!G121)</f>
        <v>79158.63</v>
      </c>
    </row>
    <row r="117" spans="1:2" x14ac:dyDescent="0.25">
      <c r="A117" s="2">
        <v>38533</v>
      </c>
      <c r="B117" s="1">
        <f>IF([1]Rseries!G122="","",[1]Rseries!G122)</f>
        <v>80012.179999999993</v>
      </c>
    </row>
    <row r="118" spans="1:2" x14ac:dyDescent="0.25">
      <c r="A118" s="2">
        <v>38625</v>
      </c>
      <c r="B118" s="1">
        <f>IF([1]Rseries!G123="","",[1]Rseries!G123)</f>
        <v>72938.990000000005</v>
      </c>
    </row>
    <row r="119" spans="1:2" x14ac:dyDescent="0.25">
      <c r="A119" s="2">
        <v>38717</v>
      </c>
      <c r="B119" s="1">
        <f>IF([1]Rseries!G124="","",[1]Rseries!G124)</f>
        <v>82225.399999999994</v>
      </c>
    </row>
    <row r="120" spans="1:2" x14ac:dyDescent="0.25">
      <c r="A120" s="2">
        <v>38807</v>
      </c>
      <c r="B120" s="1">
        <f>IF([1]Rseries!G125="","",[1]Rseries!G125)</f>
        <v>82147.429999999993</v>
      </c>
    </row>
    <row r="121" spans="1:2" x14ac:dyDescent="0.25">
      <c r="A121" s="2">
        <v>38898</v>
      </c>
      <c r="B121" s="1">
        <f>IF([1]Rseries!G126="","",[1]Rseries!G126)</f>
        <v>79811.91</v>
      </c>
    </row>
    <row r="122" spans="1:2" x14ac:dyDescent="0.25">
      <c r="A122" s="2">
        <v>38990</v>
      </c>
      <c r="B122" s="1">
        <f>IF([1]Rseries!G127="","",[1]Rseries!G127)</f>
        <v>79526.36</v>
      </c>
    </row>
    <row r="123" spans="1:2" x14ac:dyDescent="0.25">
      <c r="A123" s="2">
        <v>39082</v>
      </c>
      <c r="B123" s="1">
        <f>IF([1]Rseries!G128="","",[1]Rseries!G128)</f>
        <v>72840.789999999994</v>
      </c>
    </row>
    <row r="124" spans="1:2" x14ac:dyDescent="0.25">
      <c r="A124" s="2">
        <v>39172</v>
      </c>
      <c r="B124" s="1">
        <f>IF([1]Rseries!G129="","",[1]Rseries!G129)</f>
        <v>70197.31</v>
      </c>
    </row>
    <row r="125" spans="1:2" x14ac:dyDescent="0.25">
      <c r="A125" s="2">
        <v>39263</v>
      </c>
      <c r="B125" s="1">
        <f>IF([1]Rseries!G130="","",[1]Rseries!G130)</f>
        <v>73445.09</v>
      </c>
    </row>
    <row r="126" spans="1:2" x14ac:dyDescent="0.25">
      <c r="A126" s="2">
        <v>39355</v>
      </c>
      <c r="B126" s="1">
        <f>IF([1]Rseries!G131="","",[1]Rseries!G131)</f>
        <v>66404.61</v>
      </c>
    </row>
    <row r="127" spans="1:2" x14ac:dyDescent="0.25">
      <c r="A127" s="2">
        <v>39447</v>
      </c>
      <c r="B127" s="1">
        <f>IF([1]Rseries!G132="","",[1]Rseries!G132)</f>
        <v>77108.53</v>
      </c>
    </row>
    <row r="128" spans="1:2" x14ac:dyDescent="0.25">
      <c r="A128" s="2">
        <v>39538</v>
      </c>
      <c r="B128" s="1">
        <f>IF([1]Rseries!G133="","",[1]Rseries!G133)</f>
        <v>92068.24</v>
      </c>
    </row>
    <row r="129" spans="1:2" x14ac:dyDescent="0.25">
      <c r="A129" s="2">
        <v>39629</v>
      </c>
      <c r="B129" s="1">
        <f>IF([1]Rseries!G134="","",[1]Rseries!G134)</f>
        <v>103898.99</v>
      </c>
    </row>
    <row r="130" spans="1:2" x14ac:dyDescent="0.25">
      <c r="A130" s="2">
        <v>39721</v>
      </c>
      <c r="B130" s="1">
        <f>IF([1]Rseries!G135="","",[1]Rseries!G135)</f>
        <v>111339.18</v>
      </c>
    </row>
    <row r="131" spans="1:2" x14ac:dyDescent="0.25">
      <c r="A131" s="2">
        <v>39813</v>
      </c>
      <c r="B131" s="1">
        <f>IF([1]Rseries!G136="","",[1]Rseries!G136)</f>
        <v>147917.60999999999</v>
      </c>
    </row>
    <row r="132" spans="1:2" x14ac:dyDescent="0.25">
      <c r="A132" s="2">
        <v>39903</v>
      </c>
      <c r="B132" s="1">
        <f>IF([1]Rseries!G137="","",[1]Rseries!G137)</f>
        <v>179904.72</v>
      </c>
    </row>
    <row r="133" spans="1:2" x14ac:dyDescent="0.25">
      <c r="A133" s="2">
        <v>39994</v>
      </c>
      <c r="B133" s="1">
        <f>IF([1]Rseries!G138="","",[1]Rseries!G138)</f>
        <v>195413.68</v>
      </c>
    </row>
    <row r="134" spans="1:2" x14ac:dyDescent="0.25">
      <c r="A134" s="2">
        <v>40086</v>
      </c>
      <c r="B134" s="1">
        <f>IF([1]Rseries!G139="","",[1]Rseries!G139)</f>
        <v>182509.61</v>
      </c>
    </row>
    <row r="135" spans="1:2" x14ac:dyDescent="0.25">
      <c r="A135" s="2">
        <v>40178</v>
      </c>
      <c r="B135" s="1">
        <f>IF([1]Rseries!G140="","",[1]Rseries!G140)</f>
        <v>192296.32000000001</v>
      </c>
    </row>
    <row r="136" spans="1:2" x14ac:dyDescent="0.25">
      <c r="A136" s="2">
        <v>40268</v>
      </c>
      <c r="B136" s="1">
        <f>IF([1]Rseries!G141="","",[1]Rseries!G141)</f>
        <v>217576.25</v>
      </c>
    </row>
    <row r="137" spans="1:2" x14ac:dyDescent="0.25">
      <c r="A137" s="2">
        <v>40359</v>
      </c>
      <c r="B137" s="1">
        <f>IF([1]Rseries!G142="","",[1]Rseries!G142)</f>
        <v>213902.41</v>
      </c>
    </row>
    <row r="138" spans="1:2" x14ac:dyDescent="0.25">
      <c r="A138" s="2">
        <v>40451</v>
      </c>
      <c r="B138" s="1">
        <f>IF([1]Rseries!G143="","",[1]Rseries!G143)</f>
        <v>200311.48</v>
      </c>
    </row>
    <row r="139" spans="1:2" x14ac:dyDescent="0.25">
      <c r="A139" s="2">
        <v>40543</v>
      </c>
      <c r="B139" s="1">
        <f>IF([1]Rseries!G144="","",[1]Rseries!G144)</f>
        <v>219058.96</v>
      </c>
    </row>
    <row r="140" spans="1:2" x14ac:dyDescent="0.25">
      <c r="A140" s="2">
        <v>40633</v>
      </c>
      <c r="B140" s="1">
        <f>IF([1]Rseries!G145="","",[1]Rseries!G145)</f>
        <v>223549.3</v>
      </c>
    </row>
    <row r="141" spans="1:2" x14ac:dyDescent="0.25">
      <c r="A141" s="2">
        <v>40724</v>
      </c>
      <c r="B141" s="1">
        <f>IF([1]Rseries!G146="","",[1]Rseries!G146)</f>
        <v>237594.34</v>
      </c>
    </row>
    <row r="142" spans="1:2" x14ac:dyDescent="0.25">
      <c r="A142" s="2">
        <v>40816</v>
      </c>
      <c r="B142" s="1">
        <f>IF([1]Rseries!G147="","",[1]Rseries!G147)</f>
        <v>229833.81</v>
      </c>
    </row>
    <row r="143" spans="1:2" x14ac:dyDescent="0.25">
      <c r="A143" s="2">
        <v>40908</v>
      </c>
      <c r="B143" s="1">
        <f>IF([1]Rseries!G148="","",[1]Rseries!G148)</f>
        <v>251785.03</v>
      </c>
    </row>
    <row r="144" spans="1:2" x14ac:dyDescent="0.25">
      <c r="A144" s="2">
        <v>40999</v>
      </c>
      <c r="B144" s="1">
        <f>IF([1]Rseries!G149="","",[1]Rseries!G149)</f>
        <v>280793.96999999997</v>
      </c>
    </row>
    <row r="145" spans="1:2" x14ac:dyDescent="0.25">
      <c r="A145" s="2">
        <v>41090</v>
      </c>
      <c r="B145" s="1">
        <f>IF([1]Rseries!G150="","",[1]Rseries!G150)</f>
        <v>295135.84000000003</v>
      </c>
    </row>
    <row r="146" spans="1:2" x14ac:dyDescent="0.25">
      <c r="A146" s="2">
        <v>41182</v>
      </c>
      <c r="B146" s="1">
        <f>IF([1]Rseries!G151="","",[1]Rseries!G151)</f>
        <v>283767.46999999997</v>
      </c>
    </row>
    <row r="147" spans="1:2" x14ac:dyDescent="0.25">
      <c r="A147" s="2">
        <v>41274</v>
      </c>
      <c r="B147" s="1">
        <f>IF([1]Rseries!G152="","",[1]Rseries!G152)</f>
        <v>305488.65999999997</v>
      </c>
    </row>
    <row r="148" spans="1:2" x14ac:dyDescent="0.25">
      <c r="A148" s="2">
        <v>41364</v>
      </c>
      <c r="B148" s="1">
        <f>IF([1]Rseries!G153="","",[1]Rseries!G153)</f>
        <v>317829.87</v>
      </c>
    </row>
    <row r="149" spans="1:2" x14ac:dyDescent="0.25">
      <c r="A149" s="2">
        <v>41455</v>
      </c>
      <c r="B149" s="1">
        <f>IF([1]Rseries!G154="","",[1]Rseries!G154)</f>
        <v>308566.28999999998</v>
      </c>
    </row>
    <row r="150" spans="1:2" x14ac:dyDescent="0.25">
      <c r="A150" s="2">
        <v>41547</v>
      </c>
      <c r="B150" s="1">
        <f>IF([1]Rseries!G155="","",[1]Rseries!G155)</f>
        <v>300378.82</v>
      </c>
    </row>
    <row r="151" spans="1:2" x14ac:dyDescent="0.25">
      <c r="A151" s="2">
        <v>41639</v>
      </c>
      <c r="B151" s="1">
        <f>IF([1]Rseries!G156="","",[1]Rseries!G156)</f>
        <v>292419.18</v>
      </c>
    </row>
    <row r="152" spans="1:2" x14ac:dyDescent="0.25">
      <c r="A152" s="2">
        <v>41729</v>
      </c>
      <c r="B152" s="1">
        <f>IF([1]Rseries!G157="","",[1]Rseries!G157)</f>
        <v>306600</v>
      </c>
    </row>
    <row r="153" spans="1:2" x14ac:dyDescent="0.25">
      <c r="A153" s="2">
        <v>41820</v>
      </c>
      <c r="B153" s="1">
        <f>IF([1]Rseries!G158="","",[1]Rseries!G158)</f>
        <v>288200</v>
      </c>
    </row>
    <row r="154" spans="1:2" x14ac:dyDescent="0.25">
      <c r="A154" s="2">
        <v>41912</v>
      </c>
      <c r="B154" s="1">
        <f>IF([1]Rseries!G159="","",[1]Rseries!G159)</f>
        <v>285400</v>
      </c>
    </row>
    <row r="155" spans="1:2" x14ac:dyDescent="0.25">
      <c r="A155" s="2">
        <v>42004</v>
      </c>
      <c r="B155" s="1">
        <f>IF([1]Rseries!G160="","",[1]Rseries!G160)</f>
        <v>283100</v>
      </c>
    </row>
    <row r="156" spans="1:2" x14ac:dyDescent="0.25">
      <c r="A156" s="2">
        <v>42094</v>
      </c>
      <c r="B156" s="1">
        <f>IF([1]Rseries!G161="","",[1]Rseries!G161)</f>
        <v>284500</v>
      </c>
    </row>
    <row r="157" spans="1:2" x14ac:dyDescent="0.25">
      <c r="A157" s="2">
        <v>42185</v>
      </c>
      <c r="B157" s="1">
        <f>IF([1]Rseries!G162="","",[1]Rseries!G162)</f>
        <v>266600</v>
      </c>
    </row>
    <row r="158" spans="1:2" x14ac:dyDescent="0.25">
      <c r="A158" s="2">
        <v>42277</v>
      </c>
      <c r="B158" s="1">
        <f>IF([1]Rseries!G163="","",[1]Rseries!G163)</f>
        <v>245000</v>
      </c>
    </row>
    <row r="159" spans="1:2" x14ac:dyDescent="0.25">
      <c r="A159" s="2">
        <v>42369</v>
      </c>
      <c r="B159" s="1">
        <f>IF([1]Rseries!G164="","",[1]Rseries!G164)</f>
        <v>246800</v>
      </c>
    </row>
    <row r="160" spans="1:2" x14ac:dyDescent="0.25">
      <c r="A160" s="2">
        <v>42460</v>
      </c>
      <c r="B160" s="1">
        <f>IF([1]Rseries!G165="","",[1]Rseries!G165)</f>
        <v>250300</v>
      </c>
    </row>
    <row r="161" spans="1:2" x14ac:dyDescent="0.25">
      <c r="A161" s="2">
        <v>42551</v>
      </c>
      <c r="B161" s="1">
        <f>IF([1]Rseries!G166="","",[1]Rseries!G166)</f>
        <v>235300</v>
      </c>
    </row>
    <row r="162" spans="1:2" x14ac:dyDescent="0.25">
      <c r="A162" s="2">
        <v>42643</v>
      </c>
      <c r="B162" s="1">
        <f>IF([1]Rseries!G167="","",[1]Rseries!G167)</f>
        <v>221800</v>
      </c>
    </row>
    <row r="163" spans="1:2" x14ac:dyDescent="0.25">
      <c r="A163" s="2">
        <v>42735</v>
      </c>
      <c r="B163" s="1">
        <f>IF([1]Rseries!G168="","",[1]Rseries!G168)</f>
        <v>219000</v>
      </c>
    </row>
    <row r="164" spans="1:2" x14ac:dyDescent="0.25">
      <c r="A164" s="2">
        <v>42825</v>
      </c>
      <c r="B164" s="1">
        <f>IF([1]Rseries!G169="","",[1]Rseries!G169)</f>
        <v>223500</v>
      </c>
    </row>
    <row r="165" spans="1:2" x14ac:dyDescent="0.25">
      <c r="A165" s="2">
        <v>42916</v>
      </c>
      <c r="B165" s="1">
        <f>IF([1]Rseries!G170="","",[1]Rseries!G170)</f>
        <v>219282.45</v>
      </c>
    </row>
    <row r="166" spans="1:2" x14ac:dyDescent="0.25">
      <c r="A166" s="2">
        <v>43008</v>
      </c>
      <c r="B166" s="1">
        <f>IF([1]Rseries!G171="","",[1]Rseries!G171)</f>
        <v>181020.85</v>
      </c>
    </row>
    <row r="167" spans="1:2" x14ac:dyDescent="0.25">
      <c r="A167" s="2">
        <v>43100</v>
      </c>
      <c r="B167" s="1">
        <f>IF([1]Rseries!G172="","",[1]Rseries!G172)</f>
        <v>196490.08</v>
      </c>
    </row>
    <row r="168" spans="1:2" x14ac:dyDescent="0.25">
      <c r="A168" s="2">
        <v>43190</v>
      </c>
      <c r="B168" s="1">
        <f>IF([1]Rseries!G173="","",[1]Rseries!G173)</f>
        <v>202691.47</v>
      </c>
    </row>
    <row r="169" spans="1:2" x14ac:dyDescent="0.25">
      <c r="A169" s="2">
        <v>43281</v>
      </c>
      <c r="B169" s="1">
        <f>IF([1]Rseries!G174="","",[1]Rseries!G174)</f>
        <v>187799.03</v>
      </c>
    </row>
    <row r="170" spans="1:2" x14ac:dyDescent="0.25">
      <c r="A170" s="2">
        <v>43373</v>
      </c>
      <c r="B170" s="1">
        <f>IF([1]Rseries!G175="","",[1]Rseries!G175)</f>
        <v>163999.84</v>
      </c>
    </row>
    <row r="171" spans="1:2" x14ac:dyDescent="0.25">
      <c r="A171" s="2">
        <v>43465</v>
      </c>
      <c r="B171" s="1">
        <f>IF([1]Rseries!G176="","",[1]Rseries!G176)</f>
        <v>159965.99</v>
      </c>
    </row>
    <row r="172" spans="1:2" x14ac:dyDescent="0.25">
      <c r="A172" s="2">
        <v>43555</v>
      </c>
      <c r="B172" s="1">
        <f>IF([1]Rseries!G177="","",[1]Rseries!G177)</f>
        <v>154900</v>
      </c>
    </row>
    <row r="173" spans="1:2" x14ac:dyDescent="0.25">
      <c r="A173" s="2">
        <v>43646</v>
      </c>
      <c r="B173" s="1">
        <f>IF([1]Rseries!G178="","",[1]Rseries!G178)</f>
        <v>161201.97</v>
      </c>
    </row>
    <row r="174" spans="1:2" x14ac:dyDescent="0.25">
      <c r="A174" s="2">
        <v>43738</v>
      </c>
      <c r="B174" s="1">
        <f>IF([1]Rseries!G179="","",[1]Rseries!G179)</f>
        <v>158532.16</v>
      </c>
    </row>
    <row r="175" spans="1:2" x14ac:dyDescent="0.25">
      <c r="A175" s="2">
        <v>43830</v>
      </c>
      <c r="B175" s="1">
        <f>IF([1]Rseries!G180="","",[1]Rseries!G180)</f>
        <v>163622.69</v>
      </c>
    </row>
    <row r="176" spans="1:2" x14ac:dyDescent="0.25">
      <c r="A176" s="2">
        <v>43921</v>
      </c>
      <c r="B176" s="1">
        <f>IF([1]Rseries!G181="","",[1]Rseries!G181)</f>
        <v>177115.07</v>
      </c>
    </row>
    <row r="177" spans="1:2" x14ac:dyDescent="0.25">
      <c r="A177" s="2">
        <v>44012</v>
      </c>
      <c r="B177" s="1">
        <f>IF([1]Rseries!G182="","",[1]Rseries!G182)</f>
        <v>156171.22</v>
      </c>
    </row>
    <row r="178" spans="1:2" x14ac:dyDescent="0.25">
      <c r="A178" s="2">
        <v>44104</v>
      </c>
      <c r="B178" s="1">
        <f>IF([1]Rseries!G183="","",[1]Rseries!G183)</f>
        <v>179549.8</v>
      </c>
    </row>
    <row r="179" spans="1:2" x14ac:dyDescent="0.25">
      <c r="A179" s="2">
        <v>44196</v>
      </c>
      <c r="B179" s="1">
        <f>IF([1]Rseries!G184="","",[1]Rseries!G184)</f>
        <v>173019.96000000002</v>
      </c>
    </row>
    <row r="180" spans="1:2" x14ac:dyDescent="0.25">
      <c r="A180" s="2">
        <v>44286</v>
      </c>
      <c r="B180" s="1" t="str">
        <f>IF([1]Rseries!G185="","",[1]Rseries!G185)</f>
        <v/>
      </c>
    </row>
    <row r="181" spans="1:2" x14ac:dyDescent="0.25">
      <c r="A181" s="2">
        <v>44377</v>
      </c>
      <c r="B181" s="1" t="str">
        <f>IF([1]Rseries!G186="","",[1]Rseries!G186)</f>
        <v/>
      </c>
    </row>
    <row r="182" spans="1:2" x14ac:dyDescent="0.25">
      <c r="A182" s="2">
        <v>44469</v>
      </c>
      <c r="B182" s="1" t="str">
        <f>IF([1]Rseries!G187="","",[1]Rseries!G187)</f>
        <v/>
      </c>
    </row>
    <row r="183" spans="1:2" x14ac:dyDescent="0.25">
      <c r="A183" s="2">
        <v>44561</v>
      </c>
      <c r="B183" s="1" t="str">
        <f>IF([1]Rseries!G188="","",[1]Rseries!G188)</f>
        <v/>
      </c>
    </row>
    <row r="184" spans="1:2" x14ac:dyDescent="0.25">
      <c r="A184" s="2">
        <v>44651</v>
      </c>
      <c r="B184" s="1" t="str">
        <f>IF([1]Rseries!G189="","",[1]Rseries!G189)</f>
        <v/>
      </c>
    </row>
    <row r="185" spans="1:2" x14ac:dyDescent="0.25">
      <c r="A185" s="2">
        <v>44742</v>
      </c>
      <c r="B185" s="1" t="str">
        <f>IF([1]Rseries!G190="","",[1]Rseries!G190)</f>
        <v/>
      </c>
    </row>
    <row r="186" spans="1:2" x14ac:dyDescent="0.25">
      <c r="A186" s="2">
        <v>44834</v>
      </c>
      <c r="B186" s="1" t="str">
        <f>IF([1]Rseries!G191="","",[1]Rseries!G191)</f>
        <v/>
      </c>
    </row>
    <row r="187" spans="1:2" x14ac:dyDescent="0.25">
      <c r="A187" s="2">
        <v>44926</v>
      </c>
      <c r="B187" s="1" t="str">
        <f>IF([1]Rseries!G192="","",[1]Rseries!G192)</f>
        <v/>
      </c>
    </row>
    <row r="188" spans="1:2" x14ac:dyDescent="0.25">
      <c r="A188" s="2">
        <v>45016</v>
      </c>
      <c r="B188" s="1" t="str">
        <f>IF([1]Rseries!G193="","",[1]Rseries!G193)</f>
        <v/>
      </c>
    </row>
    <row r="189" spans="1:2" x14ac:dyDescent="0.25">
      <c r="A189" s="2">
        <v>45107</v>
      </c>
      <c r="B189" s="1" t="str">
        <f>IF([1]Rseries!G194="","",[1]Rseries!G194)</f>
        <v/>
      </c>
    </row>
    <row r="190" spans="1:2" x14ac:dyDescent="0.25">
      <c r="A190" s="2">
        <v>45199</v>
      </c>
      <c r="B190" s="1" t="str">
        <f>IF([1]Rseries!G195="","",[1]Rseries!G195)</f>
        <v/>
      </c>
    </row>
    <row r="191" spans="1:2" x14ac:dyDescent="0.25">
      <c r="A191" s="2">
        <v>45291</v>
      </c>
      <c r="B191" s="1" t="str">
        <f>IF([1]Rseries!G196="","",[1]Rseries!G196)</f>
        <v/>
      </c>
    </row>
    <row r="192" spans="1:2" x14ac:dyDescent="0.25">
      <c r="A192" s="2">
        <v>45382</v>
      </c>
      <c r="B192" s="1" t="str">
        <f>IF([1]Rseries!G197="","",[1]Rseries!G197)</f>
        <v/>
      </c>
    </row>
    <row r="193" spans="1:2" x14ac:dyDescent="0.25">
      <c r="A193" s="2">
        <v>45473</v>
      </c>
      <c r="B193" s="1" t="str">
        <f>IF([1]Rseries!G198="","",[1]Rseries!G198)</f>
        <v/>
      </c>
    </row>
    <row r="194" spans="1:2" x14ac:dyDescent="0.25">
      <c r="A194" s="2">
        <v>45565</v>
      </c>
      <c r="B194" s="1" t="str">
        <f>IF([1]Rseries!G199="","",[1]Rseries!G199)</f>
        <v/>
      </c>
    </row>
    <row r="195" spans="1:2" x14ac:dyDescent="0.25">
      <c r="A195" s="2">
        <v>45657</v>
      </c>
      <c r="B195" s="1" t="str">
        <f>IF([1]Rseries!G200="","",[1]Rseries!G200)</f>
        <v/>
      </c>
    </row>
    <row r="196" spans="1:2" x14ac:dyDescent="0.25">
      <c r="A196" s="2">
        <v>45747</v>
      </c>
      <c r="B196" s="1" t="str">
        <f>IF([1]Rseries!G201="","",[1]Rseries!G201)</f>
        <v/>
      </c>
    </row>
    <row r="197" spans="1:2" x14ac:dyDescent="0.25">
      <c r="A197" s="2">
        <v>45838</v>
      </c>
      <c r="B197" s="1" t="str">
        <f>IF([1]Rseries!G202="","",[1]Rseries!G202)</f>
        <v/>
      </c>
    </row>
    <row r="198" spans="1:2" x14ac:dyDescent="0.25">
      <c r="A198" s="2">
        <v>45930</v>
      </c>
      <c r="B198" s="1" t="str">
        <f>IF([1]Rseries!G203="","",[1]Rseries!G203)</f>
        <v/>
      </c>
    </row>
    <row r="199" spans="1:2" x14ac:dyDescent="0.25">
      <c r="A199" s="2">
        <v>46022</v>
      </c>
      <c r="B199" s="1" t="str">
        <f>IF([1]Rseries!G204="","",[1]Rseries!G204)</f>
        <v/>
      </c>
    </row>
    <row r="200" spans="1:2" x14ac:dyDescent="0.25">
      <c r="A200" s="2">
        <v>46112</v>
      </c>
      <c r="B200" s="1" t="str">
        <f>IF([1]Rseries!G205="","",[1]Rseries!G205)</f>
        <v/>
      </c>
    </row>
    <row r="201" spans="1:2" x14ac:dyDescent="0.25">
      <c r="A201" s="2">
        <v>46203</v>
      </c>
      <c r="B201" s="1" t="str">
        <f>IF([1]Rseries!G206="","",[1]Rseries!G206)</f>
        <v/>
      </c>
    </row>
    <row r="202" spans="1:2" x14ac:dyDescent="0.25">
      <c r="A202" s="2">
        <v>46295</v>
      </c>
      <c r="B202" s="1" t="str">
        <f>IF([1]Rseries!G207="","",[1]Rseries!G207)</f>
        <v/>
      </c>
    </row>
    <row r="203" spans="1:2" x14ac:dyDescent="0.25">
      <c r="A203" s="2">
        <v>46387</v>
      </c>
      <c r="B203" s="1" t="str">
        <f>IF([1]Rseries!G208="","",[1]Rseries!G208)</f>
        <v/>
      </c>
    </row>
    <row r="204" spans="1:2" x14ac:dyDescent="0.25">
      <c r="A204" s="2">
        <v>46477</v>
      </c>
      <c r="B204" s="1" t="str">
        <f>IF([1]Rseries!G209="","",[1]Rseries!G209)</f>
        <v/>
      </c>
    </row>
    <row r="205" spans="1:2" x14ac:dyDescent="0.25">
      <c r="A205" s="2">
        <v>46568</v>
      </c>
      <c r="B205" s="1" t="str">
        <f>IF([1]Rseries!G210="","",[1]Rseries!G210)</f>
        <v/>
      </c>
    </row>
    <row r="206" spans="1:2" x14ac:dyDescent="0.25">
      <c r="A206" s="2">
        <v>46660</v>
      </c>
      <c r="B206" s="1" t="str">
        <f>IF([1]Rseries!G211="","",[1]Rseries!G211)</f>
        <v/>
      </c>
    </row>
    <row r="207" spans="1:2" x14ac:dyDescent="0.25">
      <c r="A207" s="2">
        <v>46752</v>
      </c>
      <c r="B207" s="1" t="str">
        <f>IF([1]Rseries!G212="","",[1]Rseries!G212)</f>
        <v/>
      </c>
    </row>
    <row r="208" spans="1:2" x14ac:dyDescent="0.25">
      <c r="A208" s="2">
        <v>46843</v>
      </c>
      <c r="B208" s="1" t="str">
        <f>IF([1]Rseries!G213="","",[1]Rseries!G213)</f>
        <v/>
      </c>
    </row>
    <row r="209" spans="1:2" x14ac:dyDescent="0.25">
      <c r="A209" s="2">
        <v>46934</v>
      </c>
      <c r="B209" s="1" t="str">
        <f>IF([1]Rseries!G214="","",[1]Rseries!G214)</f>
        <v/>
      </c>
    </row>
    <row r="210" spans="1:2" x14ac:dyDescent="0.25">
      <c r="A210" s="2">
        <v>47026</v>
      </c>
      <c r="B210" s="1" t="str">
        <f>IF([1]Rseries!G215="","",[1]Rseries!G215)</f>
        <v/>
      </c>
    </row>
    <row r="211" spans="1:2" x14ac:dyDescent="0.25">
      <c r="A211" s="2">
        <v>47118</v>
      </c>
      <c r="B211" s="1" t="str">
        <f>IF([1]Rseries!G216="","",[1]Rseries!G216)</f>
        <v/>
      </c>
    </row>
    <row r="212" spans="1:2" x14ac:dyDescent="0.25">
      <c r="A212" s="2">
        <v>47208</v>
      </c>
      <c r="B212" s="1" t="str">
        <f>IF([1]Rseries!G217="","",[1]Rseries!G217)</f>
        <v/>
      </c>
    </row>
    <row r="213" spans="1:2" x14ac:dyDescent="0.25">
      <c r="A213" s="2">
        <v>47299</v>
      </c>
      <c r="B213" s="1" t="str">
        <f>IF([1]Rseries!G218="","",[1]Rseries!G218)</f>
        <v/>
      </c>
    </row>
    <row r="214" spans="1:2" x14ac:dyDescent="0.25">
      <c r="A214" s="2">
        <v>47391</v>
      </c>
      <c r="B214" s="1" t="str">
        <f>IF([1]Rseries!G219="","",[1]Rseries!G219)</f>
        <v/>
      </c>
    </row>
    <row r="215" spans="1:2" x14ac:dyDescent="0.25">
      <c r="A215" s="2">
        <v>47483</v>
      </c>
      <c r="B215" s="1" t="str">
        <f>IF([1]Rseries!G220="","",[1]Rseries!G220)</f>
        <v/>
      </c>
    </row>
    <row r="216" spans="1:2" x14ac:dyDescent="0.25">
      <c r="A216" s="2">
        <v>47573</v>
      </c>
      <c r="B216" s="1" t="str">
        <f>IF([1]Rseries!G221="","",[1]Rseries!G221)</f>
        <v/>
      </c>
    </row>
    <row r="217" spans="1:2" x14ac:dyDescent="0.25">
      <c r="A217" s="2">
        <v>47664</v>
      </c>
      <c r="B217" s="1" t="str">
        <f>IF([1]Rseries!G222="","",[1]Rseries!G222)</f>
        <v/>
      </c>
    </row>
    <row r="218" spans="1:2" x14ac:dyDescent="0.25">
      <c r="A218" s="2">
        <v>47756</v>
      </c>
      <c r="B218" s="1" t="str">
        <f>IF([1]Rseries!G223="","",[1]Rseries!G223)</f>
        <v/>
      </c>
    </row>
    <row r="219" spans="1:2" x14ac:dyDescent="0.25">
      <c r="A219" s="2">
        <v>47848</v>
      </c>
      <c r="B219" s="1" t="str">
        <f>IF([1]Rseries!G224="","",[1]Rseries!G224)</f>
        <v/>
      </c>
    </row>
    <row r="220" spans="1:2" x14ac:dyDescent="0.25">
      <c r="A220" s="2">
        <v>47938</v>
      </c>
      <c r="B220" s="1" t="str">
        <f>IF([1]Rseries!G225="","",[1]Rseries!G225)</f>
        <v/>
      </c>
    </row>
    <row r="221" spans="1:2" x14ac:dyDescent="0.25">
      <c r="A221" s="2">
        <v>48029</v>
      </c>
      <c r="B221" s="1" t="str">
        <f>IF([1]Rseries!G226="","",[1]Rseries!G226)</f>
        <v/>
      </c>
    </row>
    <row r="222" spans="1:2" x14ac:dyDescent="0.25">
      <c r="A222" s="2">
        <v>48121</v>
      </c>
      <c r="B222" s="1" t="str">
        <f>IF([1]Rseries!G227="","",[1]Rseries!G227)</f>
        <v/>
      </c>
    </row>
    <row r="223" spans="1:2" x14ac:dyDescent="0.25">
      <c r="A223" s="2">
        <v>48213</v>
      </c>
      <c r="B223" s="1" t="str">
        <f>IF([1]Rseries!G228="","",[1]Rseries!G228)</f>
        <v/>
      </c>
    </row>
    <row r="224" spans="1:2" x14ac:dyDescent="0.25">
      <c r="A224" s="2">
        <v>48304</v>
      </c>
      <c r="B224" s="1" t="str">
        <f>IF([1]Rseries!G229="","",[1]Rseries!G229)</f>
        <v/>
      </c>
    </row>
    <row r="225" spans="1:2" x14ac:dyDescent="0.25">
      <c r="A225" s="2">
        <v>48395</v>
      </c>
      <c r="B225" s="1" t="str">
        <f>IF([1]Rseries!G230="","",[1]Rseries!G230)</f>
        <v/>
      </c>
    </row>
    <row r="226" spans="1:2" x14ac:dyDescent="0.25">
      <c r="A226" s="2">
        <v>48487</v>
      </c>
      <c r="B226" s="1" t="str">
        <f>IF([1]Rseries!G231="","",[1]Rseries!G231)</f>
        <v/>
      </c>
    </row>
    <row r="227" spans="1:2" x14ac:dyDescent="0.25">
      <c r="A227" s="2">
        <v>48579</v>
      </c>
      <c r="B227" s="1" t="str">
        <f>IF([1]Rseries!G232="","",[1]Rseries!G232)</f>
        <v/>
      </c>
    </row>
    <row r="228" spans="1:2" x14ac:dyDescent="0.25">
      <c r="A228" s="2"/>
      <c r="B228" s="1"/>
    </row>
    <row r="229" spans="1:2" x14ac:dyDescent="0.25">
      <c r="A229" s="2"/>
      <c r="B229" s="1"/>
    </row>
    <row r="230" spans="1:2" x14ac:dyDescent="0.25">
      <c r="A230" s="2"/>
      <c r="B230" s="1"/>
    </row>
    <row r="231" spans="1:2" x14ac:dyDescent="0.25">
      <c r="A231" s="2"/>
      <c r="B231" s="1"/>
    </row>
    <row r="232" spans="1:2" x14ac:dyDescent="0.25">
      <c r="A232" s="2"/>
      <c r="B232" s="1"/>
    </row>
    <row r="233" spans="1:2" x14ac:dyDescent="0.25">
      <c r="A233" s="2"/>
      <c r="B233" s="1"/>
    </row>
    <row r="234" spans="1:2" x14ac:dyDescent="0.25">
      <c r="A234" s="2"/>
      <c r="B234" s="1"/>
    </row>
    <row r="235" spans="1:2" x14ac:dyDescent="0.25">
      <c r="A235" s="2"/>
      <c r="B235" s="1"/>
    </row>
    <row r="236" spans="1:2" x14ac:dyDescent="0.25">
      <c r="A236" s="2"/>
      <c r="B236" s="1"/>
    </row>
    <row r="237" spans="1:2" x14ac:dyDescent="0.25">
      <c r="A237" s="2"/>
      <c r="B237" s="1"/>
    </row>
    <row r="238" spans="1:2" x14ac:dyDescent="0.25">
      <c r="A238" s="2"/>
      <c r="B238" s="1"/>
    </row>
    <row r="239" spans="1:2" x14ac:dyDescent="0.25">
      <c r="A239" s="2"/>
      <c r="B239" s="1"/>
    </row>
    <row r="240" spans="1:2" x14ac:dyDescent="0.25">
      <c r="A240" s="2"/>
      <c r="B240" s="1"/>
    </row>
    <row r="241" spans="1:2" x14ac:dyDescent="0.25">
      <c r="A241" s="2"/>
      <c r="B241" s="1"/>
    </row>
    <row r="242" spans="1:2" x14ac:dyDescent="0.25">
      <c r="A242" s="2"/>
      <c r="B242" s="1"/>
    </row>
    <row r="243" spans="1:2" x14ac:dyDescent="0.25">
      <c r="A243" s="2"/>
      <c r="B243" s="1"/>
    </row>
    <row r="244" spans="1:2" x14ac:dyDescent="0.25">
      <c r="A244" s="2"/>
      <c r="B244" s="1"/>
    </row>
    <row r="245" spans="1:2" x14ac:dyDescent="0.25">
      <c r="A245" s="2"/>
      <c r="B245" s="1"/>
    </row>
    <row r="246" spans="1:2" x14ac:dyDescent="0.25">
      <c r="A246" s="2"/>
      <c r="B246" s="1"/>
    </row>
    <row r="247" spans="1:2" x14ac:dyDescent="0.25">
      <c r="A247" s="2"/>
      <c r="B247" s="1"/>
    </row>
    <row r="248" spans="1:2" x14ac:dyDescent="0.25">
      <c r="A248" s="2"/>
      <c r="B248" s="1"/>
    </row>
    <row r="249" spans="1:2" x14ac:dyDescent="0.25">
      <c r="A249" s="2"/>
      <c r="B249" s="1"/>
    </row>
    <row r="250" spans="1:2" x14ac:dyDescent="0.25">
      <c r="A250" s="2"/>
      <c r="B250" s="1"/>
    </row>
    <row r="251" spans="1:2" x14ac:dyDescent="0.25">
      <c r="A251" s="2"/>
      <c r="B251" s="1"/>
    </row>
    <row r="252" spans="1:2" x14ac:dyDescent="0.25">
      <c r="A252" s="2"/>
      <c r="B252" s="1"/>
    </row>
    <row r="253" spans="1:2" x14ac:dyDescent="0.25">
      <c r="A253" s="2"/>
      <c r="B253" s="1"/>
    </row>
    <row r="254" spans="1:2" x14ac:dyDescent="0.25">
      <c r="A254" s="2"/>
      <c r="B254" s="1"/>
    </row>
    <row r="255" spans="1:2" x14ac:dyDescent="0.25">
      <c r="A255" s="2"/>
      <c r="B255" s="1"/>
    </row>
    <row r="256" spans="1:2" x14ac:dyDescent="0.25">
      <c r="A256" s="2"/>
      <c r="B256" s="1"/>
    </row>
    <row r="257" spans="1:2" x14ac:dyDescent="0.25">
      <c r="A257" s="2"/>
      <c r="B257" s="1"/>
    </row>
    <row r="258" spans="1:2" x14ac:dyDescent="0.25">
      <c r="A258" s="2"/>
      <c r="B258" s="1"/>
    </row>
    <row r="259" spans="1:2" x14ac:dyDescent="0.25">
      <c r="A259" s="2"/>
      <c r="B259" s="1"/>
    </row>
    <row r="260" spans="1:2" x14ac:dyDescent="0.25">
      <c r="A260" s="2"/>
      <c r="B260" s="1"/>
    </row>
    <row r="261" spans="1:2" x14ac:dyDescent="0.25">
      <c r="A261" s="2"/>
      <c r="B261" s="1"/>
    </row>
    <row r="262" spans="1:2" x14ac:dyDescent="0.25">
      <c r="A262" s="2"/>
      <c r="B262" s="1"/>
    </row>
    <row r="263" spans="1:2" x14ac:dyDescent="0.25">
      <c r="A263" s="2"/>
      <c r="B263" s="1"/>
    </row>
    <row r="264" spans="1:2" x14ac:dyDescent="0.25">
      <c r="A264" s="2"/>
      <c r="B264" s="1"/>
    </row>
    <row r="265" spans="1:2" x14ac:dyDescent="0.25">
      <c r="A265" s="2"/>
      <c r="B265" s="1"/>
    </row>
    <row r="266" spans="1:2" x14ac:dyDescent="0.25">
      <c r="A266" s="2"/>
      <c r="B266" s="1"/>
    </row>
    <row r="267" spans="1:2" x14ac:dyDescent="0.25">
      <c r="A267" s="2"/>
      <c r="B267" s="1"/>
    </row>
    <row r="268" spans="1:2" x14ac:dyDescent="0.25">
      <c r="A268" s="2"/>
      <c r="B268" s="1"/>
    </row>
    <row r="269" spans="1:2" x14ac:dyDescent="0.25">
      <c r="A269" s="2"/>
      <c r="B269" s="1"/>
    </row>
    <row r="270" spans="1:2" x14ac:dyDescent="0.25">
      <c r="A270" s="2"/>
      <c r="B270" s="1"/>
    </row>
    <row r="271" spans="1:2" x14ac:dyDescent="0.25">
      <c r="A271" s="2"/>
      <c r="B271" s="1"/>
    </row>
    <row r="272" spans="1:2" x14ac:dyDescent="0.25">
      <c r="A272" s="2"/>
      <c r="B272" s="1"/>
    </row>
    <row r="273" spans="1:2" x14ac:dyDescent="0.25">
      <c r="A273" s="2"/>
      <c r="B2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ParoEPACLM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2012-08-28T12:16:58Z</cp:lastPrinted>
  <dcterms:created xsi:type="dcterms:W3CDTF">2012-03-02T12:51:06Z</dcterms:created>
  <dcterms:modified xsi:type="dcterms:W3CDTF">2021-01-28T10:32:14Z</dcterms:modified>
</cp:coreProperties>
</file>