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Trimestrales - EPA\Modelos EPA\"/>
    </mc:Choice>
  </mc:AlternateContent>
  <bookViews>
    <workbookView xWindow="120" yWindow="45" windowWidth="18915" windowHeight="11820" tabRatio="449"/>
  </bookViews>
  <sheets>
    <sheet name="Mediana" sheetId="139" r:id="rId1"/>
    <sheet name="ActivosEPAESP" sheetId="1" r:id="rId2"/>
  </sheets>
  <externalReferences>
    <externalReference r:id="rId3"/>
  </externalReferences>
  <definedNames>
    <definedName name="Amplitud">ActivosEPAESP!$E$2</definedName>
    <definedName name="Inicio">ActivosEPAESP!$D$2</definedName>
  </definedNames>
  <calcPr calcId="162913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" i="1"/>
  <c r="D2" i="1"/>
  <c r="CM32" i="139" l="1"/>
  <c r="CU32" i="139"/>
  <c r="BV33" i="139"/>
  <c r="CL33" i="139"/>
  <c r="DB33" i="139"/>
  <c r="DC33" i="139"/>
  <c r="DR33" i="139"/>
  <c r="CG34" i="139"/>
  <c r="CL16" i="139"/>
  <c r="CL25" i="139" s="1"/>
  <c r="CO34" i="139"/>
  <c r="DA34" i="139"/>
  <c r="BV11" i="139"/>
  <c r="BV16" i="139" s="1"/>
  <c r="BV25" i="139" s="1"/>
  <c r="BZ11" i="139"/>
  <c r="CA11" i="139"/>
  <c r="CD11" i="139"/>
  <c r="CH11" i="139"/>
  <c r="CL11" i="139"/>
  <c r="CM11" i="139"/>
  <c r="CM15" i="139" s="1"/>
  <c r="CM24" i="139" s="1"/>
  <c r="CP11" i="139"/>
  <c r="CP16" i="139" s="1"/>
  <c r="CP25" i="139" s="1"/>
  <c r="CT11" i="139"/>
  <c r="CX11" i="139"/>
  <c r="CY11" i="139"/>
  <c r="DB11" i="139"/>
  <c r="DB16" i="139" s="1"/>
  <c r="DB25" i="139" s="1"/>
  <c r="DF11" i="139"/>
  <c r="DJ11" i="139"/>
  <c r="DK11" i="139"/>
  <c r="DN11" i="139"/>
  <c r="DR11" i="139"/>
  <c r="BZ13" i="139"/>
  <c r="BZ22" i="139" s="1"/>
  <c r="CA13" i="139"/>
  <c r="CA22" i="139" s="1"/>
  <c r="CD13" i="139"/>
  <c r="CD22" i="139" s="1"/>
  <c r="CH13" i="139"/>
  <c r="CH22" i="139" s="1"/>
  <c r="CL13" i="139"/>
  <c r="CL22" i="139" s="1"/>
  <c r="CP13" i="139"/>
  <c r="CP22" i="139" s="1"/>
  <c r="CT13" i="139"/>
  <c r="CT22" i="139" s="1"/>
  <c r="CX13" i="139"/>
  <c r="CX22" i="139" s="1"/>
  <c r="CY13" i="139"/>
  <c r="CY22" i="139" s="1"/>
  <c r="DB13" i="139"/>
  <c r="DB22" i="139" s="1"/>
  <c r="DJ13" i="139"/>
  <c r="DJ22" i="139" s="1"/>
  <c r="DK13" i="139"/>
  <c r="DK22" i="139" s="1"/>
  <c r="DN13" i="139"/>
  <c r="DN22" i="139" s="1"/>
  <c r="DR13" i="139"/>
  <c r="DR22" i="139" s="1"/>
  <c r="BZ14" i="139"/>
  <c r="BZ23" i="139" s="1"/>
  <c r="CD14" i="139"/>
  <c r="CD23" i="139" s="1"/>
  <c r="CH14" i="139"/>
  <c r="CH23" i="139" s="1"/>
  <c r="CL14" i="139"/>
  <c r="CL23" i="139" s="1"/>
  <c r="CP14" i="139"/>
  <c r="CP23" i="139" s="1"/>
  <c r="CT14" i="139"/>
  <c r="CT23" i="139" s="1"/>
  <c r="CX14" i="139"/>
  <c r="CX23" i="139" s="1"/>
  <c r="DB14" i="139"/>
  <c r="DB23" i="139" s="1"/>
  <c r="DJ14" i="139"/>
  <c r="DJ23" i="139" s="1"/>
  <c r="DN14" i="139"/>
  <c r="DN23" i="139" s="1"/>
  <c r="DR14" i="139"/>
  <c r="DR23" i="139" s="1"/>
  <c r="DB15" i="139"/>
  <c r="DB24" i="139" s="1"/>
  <c r="CA16" i="139"/>
  <c r="CA25" i="139" s="1"/>
  <c r="CY16" i="139"/>
  <c r="CY25" i="139" s="1"/>
  <c r="DK16" i="139"/>
  <c r="DK25" i="139" s="1"/>
  <c r="BV31" i="139"/>
  <c r="BW31" i="139"/>
  <c r="BZ31" i="139"/>
  <c r="CA31" i="139"/>
  <c r="CD31" i="139"/>
  <c r="CE31" i="139"/>
  <c r="CH31" i="139"/>
  <c r="CI31" i="139"/>
  <c r="CL31" i="139"/>
  <c r="CM31" i="139"/>
  <c r="CO31" i="139"/>
  <c r="CP31" i="139"/>
  <c r="CQ31" i="139"/>
  <c r="CT31" i="139"/>
  <c r="CU31" i="139"/>
  <c r="CX31" i="139"/>
  <c r="CY31" i="139"/>
  <c r="DB31" i="139"/>
  <c r="DC31" i="139"/>
  <c r="DF31" i="139"/>
  <c r="DG31" i="139"/>
  <c r="DI31" i="139"/>
  <c r="DJ31" i="139"/>
  <c r="DK31" i="139"/>
  <c r="DN31" i="139"/>
  <c r="DO31" i="139"/>
  <c r="DR31" i="139"/>
  <c r="BV32" i="139"/>
  <c r="BY32" i="139"/>
  <c r="BZ32" i="139"/>
  <c r="CC32" i="139"/>
  <c r="CD32" i="139"/>
  <c r="CG32" i="139"/>
  <c r="CH32" i="139"/>
  <c r="CK32" i="139"/>
  <c r="CL32" i="139"/>
  <c r="CN32" i="139"/>
  <c r="CO32" i="139"/>
  <c r="CP32" i="139"/>
  <c r="CS32" i="139"/>
  <c r="CT32" i="139"/>
  <c r="CW32" i="139"/>
  <c r="CX32" i="139"/>
  <c r="DA32" i="139"/>
  <c r="DB32" i="139"/>
  <c r="DE32" i="139"/>
  <c r="DF32" i="139"/>
  <c r="DI32" i="139"/>
  <c r="DJ32" i="139"/>
  <c r="DM32" i="139"/>
  <c r="DN32" i="139"/>
  <c r="DQ32" i="139"/>
  <c r="DR32" i="139"/>
  <c r="BX33" i="139"/>
  <c r="BY33" i="139"/>
  <c r="CB33" i="139"/>
  <c r="CC33" i="139"/>
  <c r="CF33" i="139"/>
  <c r="CG33" i="139"/>
  <c r="CJ33" i="139"/>
  <c r="CK33" i="139"/>
  <c r="CN33" i="139"/>
  <c r="CO33" i="139"/>
  <c r="CR33" i="139"/>
  <c r="CS33" i="139"/>
  <c r="CV33" i="139"/>
  <c r="CW33" i="139"/>
  <c r="CZ33" i="139"/>
  <c r="DA33" i="139"/>
  <c r="DD33" i="139"/>
  <c r="DE33" i="139"/>
  <c r="DH33" i="139"/>
  <c r="DI33" i="139"/>
  <c r="DL33" i="139"/>
  <c r="DM33" i="139"/>
  <c r="DP33" i="139"/>
  <c r="DQ33" i="139"/>
  <c r="BV34" i="139"/>
  <c r="BW34" i="139"/>
  <c r="BX34" i="139"/>
  <c r="CA34" i="139"/>
  <c r="CB34" i="139"/>
  <c r="CE34" i="139"/>
  <c r="CF34" i="139"/>
  <c r="CI34" i="139"/>
  <c r="CJ34" i="139"/>
  <c r="CM34" i="139"/>
  <c r="CN34" i="139"/>
  <c r="CP34" i="139"/>
  <c r="CQ34" i="139"/>
  <c r="CR34" i="139"/>
  <c r="CU34" i="139"/>
  <c r="CV34" i="139"/>
  <c r="CY34" i="139"/>
  <c r="CZ34" i="139"/>
  <c r="DC34" i="139"/>
  <c r="DD34" i="139"/>
  <c r="DG34" i="139"/>
  <c r="DH34" i="139"/>
  <c r="DK34" i="139"/>
  <c r="DL34" i="139"/>
  <c r="DO34" i="139"/>
  <c r="DP34" i="139"/>
  <c r="DR34" i="139"/>
  <c r="BV15" i="139" l="1"/>
  <c r="BV24" i="139" s="1"/>
  <c r="DF13" i="139"/>
  <c r="DF22" i="139" s="1"/>
  <c r="CM13" i="139"/>
  <c r="CM22" i="139" s="1"/>
  <c r="BV13" i="139"/>
  <c r="BV22" i="139" s="1"/>
  <c r="DR16" i="139"/>
  <c r="DR25" i="139" s="1"/>
  <c r="BV14" i="139"/>
  <c r="BV23" i="139" s="1"/>
  <c r="CA15" i="139"/>
  <c r="CA24" i="139" s="1"/>
  <c r="CM16" i="139"/>
  <c r="CM25" i="139" s="1"/>
  <c r="DF14" i="139"/>
  <c r="DF23" i="139" s="1"/>
  <c r="DK15" i="139"/>
  <c r="DK24" i="139" s="1"/>
  <c r="DK33" i="139"/>
  <c r="CY15" i="139"/>
  <c r="CY24" i="139" s="1"/>
  <c r="CY33" i="139"/>
  <c r="CU33" i="139"/>
  <c r="CQ33" i="139"/>
  <c r="CI33" i="139"/>
  <c r="CE33" i="139"/>
  <c r="DL32" i="139"/>
  <c r="CV32" i="139"/>
  <c r="CF32" i="139"/>
  <c r="DM11" i="139"/>
  <c r="DM31" i="139"/>
  <c r="DE11" i="139"/>
  <c r="CW31" i="139"/>
  <c r="CO11" i="139"/>
  <c r="CG13" i="139"/>
  <c r="CG22" i="139" s="1"/>
  <c r="CG11" i="139"/>
  <c r="CG31" i="139"/>
  <c r="CC11" i="139"/>
  <c r="CA33" i="139"/>
  <c r="CW11" i="139"/>
  <c r="CW13" i="139" s="1"/>
  <c r="CW22" i="139" s="1"/>
  <c r="DN16" i="139"/>
  <c r="DN25" i="139" s="1"/>
  <c r="DN34" i="139"/>
  <c r="DJ16" i="139"/>
  <c r="DJ25" i="139" s="1"/>
  <c r="DJ34" i="139"/>
  <c r="DF16" i="139"/>
  <c r="DF25" i="139" s="1"/>
  <c r="DF34" i="139"/>
  <c r="CX16" i="139"/>
  <c r="CX25" i="139" s="1"/>
  <c r="CX34" i="139"/>
  <c r="CT16" i="139"/>
  <c r="CT25" i="139" s="1"/>
  <c r="CT34" i="139"/>
  <c r="CH16" i="139"/>
  <c r="CH25" i="139" s="1"/>
  <c r="CH34" i="139"/>
  <c r="CD16" i="139"/>
  <c r="CD25" i="139" s="1"/>
  <c r="CD34" i="139"/>
  <c r="BZ16" i="139"/>
  <c r="BZ25" i="139" s="1"/>
  <c r="BZ34" i="139"/>
  <c r="DO33" i="139"/>
  <c r="DC15" i="139"/>
  <c r="DC24" i="139" s="1"/>
  <c r="DP32" i="139"/>
  <c r="DH32" i="139"/>
  <c r="CZ32" i="139"/>
  <c r="CJ14" i="139"/>
  <c r="CJ23" i="139" s="1"/>
  <c r="CJ32" i="139"/>
  <c r="CB32" i="139"/>
  <c r="DQ13" i="139"/>
  <c r="DQ22" i="139" s="1"/>
  <c r="DQ31" i="139"/>
  <c r="DQ11" i="139"/>
  <c r="DI11" i="139"/>
  <c r="DA31" i="139"/>
  <c r="DA11" i="139"/>
  <c r="DA13" i="139" s="1"/>
  <c r="DA22" i="139" s="1"/>
  <c r="CS11" i="139"/>
  <c r="CS31" i="139"/>
  <c r="CK11" i="139"/>
  <c r="CK31" i="139"/>
  <c r="BY11" i="139"/>
  <c r="BY13" i="139" s="1"/>
  <c r="BY22" i="139" s="1"/>
  <c r="DB34" i="139"/>
  <c r="BW33" i="139"/>
  <c r="CR32" i="139"/>
  <c r="BX32" i="139"/>
  <c r="DD32" i="139"/>
  <c r="BY31" i="139"/>
  <c r="CL34" i="139"/>
  <c r="DG33" i="139"/>
  <c r="CM33" i="139"/>
  <c r="DE31" i="139"/>
  <c r="CC31" i="139"/>
  <c r="DQ16" i="139"/>
  <c r="DQ25" i="139" s="1"/>
  <c r="DQ34" i="139"/>
  <c r="DM34" i="139"/>
  <c r="DI34" i="139"/>
  <c r="DE16" i="139"/>
  <c r="DE25" i="139" s="1"/>
  <c r="DE34" i="139"/>
  <c r="CW16" i="139"/>
  <c r="CW25" i="139" s="1"/>
  <c r="CW34" i="139"/>
  <c r="CS34" i="139"/>
  <c r="CK34" i="139"/>
  <c r="CC34" i="139"/>
  <c r="BY16" i="139"/>
  <c r="BY25" i="139" s="1"/>
  <c r="BY34" i="139"/>
  <c r="DN15" i="139"/>
  <c r="DN24" i="139" s="1"/>
  <c r="DN33" i="139"/>
  <c r="DJ15" i="139"/>
  <c r="DJ24" i="139" s="1"/>
  <c r="DJ33" i="139"/>
  <c r="DF15" i="139"/>
  <c r="DF24" i="139" s="1"/>
  <c r="DF33" i="139"/>
  <c r="CX15" i="139"/>
  <c r="CX24" i="139" s="1"/>
  <c r="CX33" i="139"/>
  <c r="CT15" i="139"/>
  <c r="CT24" i="139" s="1"/>
  <c r="CT33" i="139"/>
  <c r="CP15" i="139"/>
  <c r="CP24" i="139" s="1"/>
  <c r="CP33" i="139"/>
  <c r="CH15" i="139"/>
  <c r="CH24" i="139" s="1"/>
  <c r="CH33" i="139"/>
  <c r="CD15" i="139"/>
  <c r="CD24" i="139" s="1"/>
  <c r="CD33" i="139"/>
  <c r="BZ15" i="139"/>
  <c r="BZ24" i="139" s="1"/>
  <c r="BZ33" i="139"/>
  <c r="DO32" i="139"/>
  <c r="DK14" i="139"/>
  <c r="DK23" i="139" s="1"/>
  <c r="DK32" i="139"/>
  <c r="DG32" i="139"/>
  <c r="DC32" i="139"/>
  <c r="CY14" i="139"/>
  <c r="CY23" i="139" s="1"/>
  <c r="CY32" i="139"/>
  <c r="CQ14" i="139"/>
  <c r="CQ23" i="139" s="1"/>
  <c r="CQ32" i="139"/>
  <c r="CI32" i="139"/>
  <c r="CE32" i="139"/>
  <c r="CA14" i="139"/>
  <c r="CA23" i="139" s="1"/>
  <c r="CA32" i="139"/>
  <c r="BW32" i="139"/>
  <c r="DO11" i="139"/>
  <c r="DP31" i="139"/>
  <c r="DL11" i="139"/>
  <c r="DL14" i="139" s="1"/>
  <c r="DL23" i="139" s="1"/>
  <c r="DL31" i="139"/>
  <c r="DG11" i="139"/>
  <c r="DH11" i="139"/>
  <c r="DH31" i="139"/>
  <c r="DC11" i="139"/>
  <c r="DD11" i="139"/>
  <c r="DD13" i="139"/>
  <c r="DD22" i="139" s="1"/>
  <c r="DD31" i="139"/>
  <c r="CZ11" i="139"/>
  <c r="CZ14" i="139" s="1"/>
  <c r="CZ23" i="139" s="1"/>
  <c r="CZ31" i="139"/>
  <c r="CU11" i="139"/>
  <c r="CV11" i="139"/>
  <c r="CV13" i="139"/>
  <c r="CV22" i="139" s="1"/>
  <c r="CV31" i="139"/>
  <c r="CQ11" i="139"/>
  <c r="CR11" i="139"/>
  <c r="CR31" i="139"/>
  <c r="CN31" i="139"/>
  <c r="CI11" i="139"/>
  <c r="CI14" i="139" s="1"/>
  <c r="CI23" i="139" s="1"/>
  <c r="CJ31" i="139"/>
  <c r="CE11" i="139"/>
  <c r="CF11" i="139"/>
  <c r="CF13" i="139"/>
  <c r="CF22" i="139" s="1"/>
  <c r="CF31" i="139"/>
  <c r="CB11" i="139"/>
  <c r="CB13" i="139" s="1"/>
  <c r="CB22" i="139" s="1"/>
  <c r="CB31" i="139"/>
  <c r="BW11" i="139"/>
  <c r="BX11" i="139"/>
  <c r="BX31" i="139"/>
  <c r="CO16" i="139"/>
  <c r="CO25" i="139" s="1"/>
  <c r="DH13" i="139"/>
  <c r="DH22" i="139" s="1"/>
  <c r="CJ11" i="139"/>
  <c r="DA16" i="139"/>
  <c r="DA25" i="139" s="1"/>
  <c r="DR15" i="139"/>
  <c r="DR24" i="139" s="1"/>
  <c r="CL15" i="139"/>
  <c r="CL24" i="139" s="1"/>
  <c r="CM14" i="139"/>
  <c r="CM23" i="139" s="1"/>
  <c r="DP11" i="139"/>
  <c r="DP13" i="139" s="1"/>
  <c r="DP22" i="139" s="1"/>
  <c r="CN11" i="139"/>
  <c r="DL13" i="139" l="1"/>
  <c r="DL22" i="139" s="1"/>
  <c r="CF14" i="139"/>
  <c r="CF23" i="139" s="1"/>
  <c r="DD14" i="139"/>
  <c r="DD23" i="139" s="1"/>
  <c r="CE14" i="139"/>
  <c r="CE23" i="139" s="1"/>
  <c r="CJ13" i="139"/>
  <c r="CJ22" i="139" s="1"/>
  <c r="DC14" i="139"/>
  <c r="DC23" i="139" s="1"/>
  <c r="DP14" i="139"/>
  <c r="DP23" i="139" s="1"/>
  <c r="BX15" i="139"/>
  <c r="BX24" i="139" s="1"/>
  <c r="BX16" i="139"/>
  <c r="BX25" i="139" s="1"/>
  <c r="BX13" i="139"/>
  <c r="BX22" i="139" s="1"/>
  <c r="DH15" i="139"/>
  <c r="DH24" i="139" s="1"/>
  <c r="DH16" i="139"/>
  <c r="DH25" i="139" s="1"/>
  <c r="DM14" i="139"/>
  <c r="DM23" i="139" s="1"/>
  <c r="DM15" i="139"/>
  <c r="DM24" i="139" s="1"/>
  <c r="BW16" i="139"/>
  <c r="BW25" i="139" s="1"/>
  <c r="BW13" i="139"/>
  <c r="BW22" i="139" s="1"/>
  <c r="CZ15" i="139"/>
  <c r="CZ24" i="139" s="1"/>
  <c r="CZ16" i="139"/>
  <c r="CZ25" i="139" s="1"/>
  <c r="DG13" i="139"/>
  <c r="DG22" i="139" s="1"/>
  <c r="DG16" i="139"/>
  <c r="DG25" i="139" s="1"/>
  <c r="CC16" i="139"/>
  <c r="CC25" i="139" s="1"/>
  <c r="CS16" i="139"/>
  <c r="CS25" i="139" s="1"/>
  <c r="CK14" i="139"/>
  <c r="CK23" i="139" s="1"/>
  <c r="CK15" i="139"/>
  <c r="CK24" i="139" s="1"/>
  <c r="DI14" i="139"/>
  <c r="DI23" i="139" s="1"/>
  <c r="DI15" i="139"/>
  <c r="DI24" i="139" s="1"/>
  <c r="CC13" i="139"/>
  <c r="CC22" i="139" s="1"/>
  <c r="CO14" i="139"/>
  <c r="CO23" i="139" s="1"/>
  <c r="CO15" i="139"/>
  <c r="CO24" i="139" s="1"/>
  <c r="DE14" i="139"/>
  <c r="DE23" i="139" s="1"/>
  <c r="DE15" i="139"/>
  <c r="DE24" i="139" s="1"/>
  <c r="DM13" i="139"/>
  <c r="DM22" i="139" s="1"/>
  <c r="CN14" i="139"/>
  <c r="CN23" i="139" s="1"/>
  <c r="CE15" i="139"/>
  <c r="CE24" i="139" s="1"/>
  <c r="CQ15" i="139"/>
  <c r="CQ24" i="139" s="1"/>
  <c r="CF15" i="139"/>
  <c r="CF24" i="139" s="1"/>
  <c r="CF16" i="139"/>
  <c r="CF25" i="139" s="1"/>
  <c r="CI16" i="139"/>
  <c r="CI25" i="139" s="1"/>
  <c r="CI13" i="139"/>
  <c r="CI22" i="139" s="1"/>
  <c r="CR15" i="139"/>
  <c r="CR24" i="139" s="1"/>
  <c r="CR16" i="139"/>
  <c r="CR25" i="139" s="1"/>
  <c r="CR13" i="139"/>
  <c r="CR22" i="139" s="1"/>
  <c r="CV15" i="139"/>
  <c r="CV24" i="139" s="1"/>
  <c r="CV16" i="139"/>
  <c r="CV25" i="139" s="1"/>
  <c r="CZ13" i="139"/>
  <c r="CZ22" i="139" s="1"/>
  <c r="DC16" i="139"/>
  <c r="DC25" i="139" s="1"/>
  <c r="DC13" i="139"/>
  <c r="DC22" i="139" s="1"/>
  <c r="BY14" i="139"/>
  <c r="BY23" i="139" s="1"/>
  <c r="BY15" i="139"/>
  <c r="BY24" i="139" s="1"/>
  <c r="CK13" i="139"/>
  <c r="CK22" i="139" s="1"/>
  <c r="DA14" i="139"/>
  <c r="DA23" i="139" s="1"/>
  <c r="DA15" i="139"/>
  <c r="DA24" i="139" s="1"/>
  <c r="DI13" i="139"/>
  <c r="DI22" i="139" s="1"/>
  <c r="CR14" i="139"/>
  <c r="CR23" i="139" s="1"/>
  <c r="DH14" i="139"/>
  <c r="DH23" i="139" s="1"/>
  <c r="CO13" i="139"/>
  <c r="CO22" i="139" s="1"/>
  <c r="DE13" i="139"/>
  <c r="DE22" i="139" s="1"/>
  <c r="BX14" i="139"/>
  <c r="BX23" i="139" s="1"/>
  <c r="DG15" i="139"/>
  <c r="DG24" i="139" s="1"/>
  <c r="CN15" i="139"/>
  <c r="CN24" i="139" s="1"/>
  <c r="CN16" i="139"/>
  <c r="CN25" i="139" s="1"/>
  <c r="CN13" i="139"/>
  <c r="CN22" i="139" s="1"/>
  <c r="CS14" i="139"/>
  <c r="CS23" i="139" s="1"/>
  <c r="CS15" i="139"/>
  <c r="CS24" i="139" s="1"/>
  <c r="CC14" i="139"/>
  <c r="CC23" i="139" s="1"/>
  <c r="CC15" i="139"/>
  <c r="CC24" i="139" s="1"/>
  <c r="DP15" i="139"/>
  <c r="DP24" i="139" s="1"/>
  <c r="DP16" i="139"/>
  <c r="DP25" i="139" s="1"/>
  <c r="DD15" i="139"/>
  <c r="DD24" i="139" s="1"/>
  <c r="DD16" i="139"/>
  <c r="DD25" i="139" s="1"/>
  <c r="BW14" i="139"/>
  <c r="BW23" i="139" s="1"/>
  <c r="DM16" i="139"/>
  <c r="DM25" i="139" s="1"/>
  <c r="CS13" i="139"/>
  <c r="CS22" i="139" s="1"/>
  <c r="CJ15" i="139"/>
  <c r="CJ24" i="139" s="1"/>
  <c r="CJ16" i="139"/>
  <c r="CJ25" i="139" s="1"/>
  <c r="CB15" i="139"/>
  <c r="CB24" i="139" s="1"/>
  <c r="CB16" i="139"/>
  <c r="CB25" i="139" s="1"/>
  <c r="CE16" i="139"/>
  <c r="CE25" i="139" s="1"/>
  <c r="CE13" i="139"/>
  <c r="CE22" i="139" s="1"/>
  <c r="CQ16" i="139"/>
  <c r="CQ25" i="139" s="1"/>
  <c r="CQ13" i="139"/>
  <c r="CQ22" i="139" s="1"/>
  <c r="CU16" i="139"/>
  <c r="CU25" i="139" s="1"/>
  <c r="CU13" i="139"/>
  <c r="CU22" i="139" s="1"/>
  <c r="CU14" i="139"/>
  <c r="CU23" i="139" s="1"/>
  <c r="DL15" i="139"/>
  <c r="DL24" i="139" s="1"/>
  <c r="DL16" i="139"/>
  <c r="DL25" i="139" s="1"/>
  <c r="DO16" i="139"/>
  <c r="DO25" i="139" s="1"/>
  <c r="DO13" i="139"/>
  <c r="DO22" i="139" s="1"/>
  <c r="DG14" i="139"/>
  <c r="DG23" i="139" s="1"/>
  <c r="DO14" i="139"/>
  <c r="DO23" i="139" s="1"/>
  <c r="CK16" i="139"/>
  <c r="CK25" i="139" s="1"/>
  <c r="DI16" i="139"/>
  <c r="DI25" i="139" s="1"/>
  <c r="DQ14" i="139"/>
  <c r="DQ23" i="139" s="1"/>
  <c r="DQ15" i="139"/>
  <c r="DQ24" i="139" s="1"/>
  <c r="CB14" i="139"/>
  <c r="CB23" i="139" s="1"/>
  <c r="DO15" i="139"/>
  <c r="DO24" i="139" s="1"/>
  <c r="CW14" i="139"/>
  <c r="CW23" i="139" s="1"/>
  <c r="CW15" i="139"/>
  <c r="CW24" i="139" s="1"/>
  <c r="CG14" i="139"/>
  <c r="CG23" i="139" s="1"/>
  <c r="CG15" i="139"/>
  <c r="CG24" i="139" s="1"/>
  <c r="CG16" i="139"/>
  <c r="CG25" i="139" s="1"/>
  <c r="CV14" i="139"/>
  <c r="CV23" i="139" s="1"/>
  <c r="BW15" i="139"/>
  <c r="BW24" i="139" s="1"/>
  <c r="CI15" i="139"/>
  <c r="CI24" i="139" s="1"/>
  <c r="CU15" i="139"/>
  <c r="CU24" i="139" s="1"/>
  <c r="BU34" i="139" l="1"/>
  <c r="BT34" i="139"/>
  <c r="BS34" i="139"/>
  <c r="BU33" i="139"/>
  <c r="BT33" i="139"/>
  <c r="BS33" i="139"/>
  <c r="BU32" i="139"/>
  <c r="BT32" i="139"/>
  <c r="BS32" i="139"/>
  <c r="BU31" i="139"/>
  <c r="BT31" i="139"/>
  <c r="BS31" i="139"/>
  <c r="BR11" i="139" l="1"/>
  <c r="BT11" i="139"/>
  <c r="BT16" i="139" l="1"/>
  <c r="BR16" i="139"/>
  <c r="BT14" i="139"/>
  <c r="BR14" i="139"/>
  <c r="BT13" i="139"/>
  <c r="BR13" i="139"/>
  <c r="BT15" i="139"/>
  <c r="BR15" i="139"/>
  <c r="BQ11" i="139"/>
  <c r="BS11" i="139"/>
  <c r="BU11" i="139"/>
  <c r="BU13" i="139" s="1"/>
  <c r="BQ13" i="139" l="1"/>
  <c r="BQ22" i="139" s="1"/>
  <c r="BP11" i="139"/>
  <c r="BU16" i="139"/>
  <c r="BU25" i="139" s="1"/>
  <c r="BU15" i="139"/>
  <c r="BU24" i="139" s="1"/>
  <c r="BQ16" i="139"/>
  <c r="BQ25" i="139" s="1"/>
  <c r="BQ15" i="139"/>
  <c r="BQ24" i="139" s="1"/>
  <c r="BQ14" i="139"/>
  <c r="BQ23" i="139" s="1"/>
  <c r="BU14" i="139"/>
  <c r="BU23" i="139" s="1"/>
  <c r="BS16" i="139"/>
  <c r="BS25" i="139" s="1"/>
  <c r="BS15" i="139"/>
  <c r="BS24" i="139" s="1"/>
  <c r="BS13" i="139"/>
  <c r="BS22" i="139" s="1"/>
  <c r="BS14" i="139"/>
  <c r="BS23" i="139" s="1"/>
  <c r="BR22" i="139"/>
  <c r="BT22" i="139"/>
  <c r="BR25" i="139"/>
  <c r="BT25" i="139"/>
  <c r="BT24" i="139"/>
  <c r="BR24" i="139"/>
  <c r="BT23" i="139"/>
  <c r="BR23" i="139"/>
  <c r="BU22" i="139"/>
  <c r="BP16" i="139" l="1"/>
  <c r="BP25" i="139" s="1"/>
  <c r="BP13" i="139"/>
  <c r="BP22" i="139" s="1"/>
  <c r="BP14" i="139"/>
  <c r="BP23" i="139" s="1"/>
  <c r="BP15" i="139"/>
  <c r="BP24" i="139" s="1"/>
  <c r="BO11" i="139"/>
  <c r="BO16" i="139" l="1"/>
  <c r="BO25" i="139" s="1"/>
  <c r="BO15" i="139"/>
  <c r="BO24" i="139" s="1"/>
  <c r="BO13" i="139"/>
  <c r="BO22" i="139" s="1"/>
  <c r="BN11" i="139"/>
  <c r="BO14" i="139"/>
  <c r="BO23" i="139" s="1"/>
  <c r="BM11" i="139" l="1"/>
  <c r="BN13" i="139"/>
  <c r="BN22" i="139" s="1"/>
  <c r="BN15" i="139"/>
  <c r="BN24" i="139" s="1"/>
  <c r="BN16" i="139"/>
  <c r="BN25" i="139" s="1"/>
  <c r="BN14" i="139"/>
  <c r="BN23" i="139" s="1"/>
  <c r="BM15" i="139" l="1"/>
  <c r="BM24" i="139" s="1"/>
  <c r="BM13" i="139"/>
  <c r="BM22" i="139" s="1"/>
  <c r="BM14" i="139"/>
  <c r="BM23" i="139" s="1"/>
  <c r="BL11" i="139"/>
  <c r="BM16" i="139"/>
  <c r="BM25" i="139" s="1"/>
  <c r="BK11" i="139" l="1"/>
  <c r="BL14" i="139"/>
  <c r="BL23" i="139" s="1"/>
  <c r="BL13" i="139"/>
  <c r="BL22" i="139" s="1"/>
  <c r="BL16" i="139"/>
  <c r="BL25" i="139" s="1"/>
  <c r="BL15" i="139"/>
  <c r="BL24" i="139" s="1"/>
  <c r="BK16" i="139" l="1"/>
  <c r="BK25" i="139" s="1"/>
  <c r="BK14" i="139"/>
  <c r="BK23" i="139" s="1"/>
  <c r="BK13" i="139"/>
  <c r="BK22" i="139" s="1"/>
  <c r="BJ11" i="139"/>
  <c r="BK15" i="139"/>
  <c r="BK24" i="139" s="1"/>
  <c r="BI11" i="139" l="1"/>
  <c r="BJ14" i="139"/>
  <c r="BJ23" i="139" s="1"/>
  <c r="BJ13" i="139"/>
  <c r="BJ22" i="139" s="1"/>
  <c r="BJ16" i="139"/>
  <c r="BJ25" i="139" s="1"/>
  <c r="BJ15" i="139"/>
  <c r="BJ24" i="139" s="1"/>
  <c r="BI15" i="139" l="1"/>
  <c r="BI24" i="139" s="1"/>
  <c r="BI16" i="139"/>
  <c r="BI25" i="139" s="1"/>
  <c r="BH11" i="139"/>
  <c r="BI14" i="139"/>
  <c r="BI23" i="139" s="1"/>
  <c r="BI13" i="139"/>
  <c r="BI22" i="139" s="1"/>
  <c r="BH16" i="139" l="1"/>
  <c r="BH25" i="139" s="1"/>
  <c r="BG11" i="139"/>
  <c r="BH15" i="139"/>
  <c r="BH24" i="139" s="1"/>
  <c r="BH13" i="139"/>
  <c r="BH22" i="139" s="1"/>
  <c r="BH14" i="139"/>
  <c r="BH23" i="139" s="1"/>
  <c r="BG13" i="139" l="1"/>
  <c r="BG22" i="139" s="1"/>
  <c r="BF11" i="139"/>
  <c r="BG15" i="139"/>
  <c r="BG24" i="139" s="1"/>
  <c r="BG14" i="139"/>
  <c r="BG23" i="139" s="1"/>
  <c r="BG16" i="139"/>
  <c r="BG25" i="139" s="1"/>
  <c r="BF16" i="139" l="1"/>
  <c r="BF25" i="139" s="1"/>
  <c r="BF15" i="139"/>
  <c r="BF24" i="139" s="1"/>
  <c r="BE11" i="139"/>
  <c r="BF14" i="139"/>
  <c r="BF23" i="139" s="1"/>
  <c r="BF13" i="139"/>
  <c r="BF22" i="139" s="1"/>
  <c r="BD11" i="139" l="1"/>
  <c r="BE16" i="139"/>
  <c r="BE25" i="139" s="1"/>
  <c r="BR34" i="139" s="1"/>
  <c r="BE14" i="139"/>
  <c r="BE23" i="139" s="1"/>
  <c r="BR32" i="139" s="1"/>
  <c r="BE13" i="139"/>
  <c r="BE22" i="139" s="1"/>
  <c r="BR31" i="139" s="1"/>
  <c r="BE15" i="139"/>
  <c r="BE24" i="139" s="1"/>
  <c r="BR33" i="139" s="1"/>
  <c r="BC11" i="139" l="1"/>
  <c r="BD13" i="139"/>
  <c r="BD22" i="139" s="1"/>
  <c r="BQ31" i="139" s="1"/>
  <c r="BD15" i="139"/>
  <c r="BD24" i="139" s="1"/>
  <c r="BQ33" i="139" s="1"/>
  <c r="BD14" i="139"/>
  <c r="BD23" i="139" s="1"/>
  <c r="BQ32" i="139" s="1"/>
  <c r="BD16" i="139"/>
  <c r="BD25" i="139" s="1"/>
  <c r="BQ34" i="139" s="1"/>
  <c r="BC13" i="139" l="1"/>
  <c r="BC22" i="139" s="1"/>
  <c r="BP31" i="139" s="1"/>
  <c r="BC15" i="139"/>
  <c r="BC24" i="139" s="1"/>
  <c r="BP33" i="139" s="1"/>
  <c r="BB11" i="139"/>
  <c r="BC16" i="139"/>
  <c r="BC25" i="139" s="1"/>
  <c r="BP34" i="139" s="1"/>
  <c r="BC14" i="139"/>
  <c r="BC23" i="139" s="1"/>
  <c r="BP32" i="139" s="1"/>
  <c r="BB13" i="139" l="1"/>
  <c r="BB22" i="139" s="1"/>
  <c r="BO31" i="139" s="1"/>
  <c r="BA11" i="139"/>
  <c r="BB16" i="139"/>
  <c r="BB25" i="139" s="1"/>
  <c r="BO34" i="139" s="1"/>
  <c r="BB15" i="139"/>
  <c r="BB24" i="139" s="1"/>
  <c r="BO33" i="139" s="1"/>
  <c r="BB14" i="139"/>
  <c r="BB23" i="139" s="1"/>
  <c r="BO32" i="139" s="1"/>
  <c r="BA15" i="139" l="1"/>
  <c r="BA24" i="139" s="1"/>
  <c r="BN33" i="139" s="1"/>
  <c r="AZ11" i="139"/>
  <c r="BA16" i="139"/>
  <c r="BA25" i="139" s="1"/>
  <c r="BN34" i="139" s="1"/>
  <c r="BA14" i="139"/>
  <c r="BA23" i="139" s="1"/>
  <c r="BN32" i="139" s="1"/>
  <c r="BA13" i="139"/>
  <c r="BA22" i="139" s="1"/>
  <c r="BN31" i="139" s="1"/>
  <c r="AZ14" i="139" l="1"/>
  <c r="AZ23" i="139" s="1"/>
  <c r="BM32" i="139" s="1"/>
  <c r="AY11" i="139"/>
  <c r="AZ16" i="139"/>
  <c r="AZ25" i="139" s="1"/>
  <c r="BM34" i="139" s="1"/>
  <c r="AZ13" i="139"/>
  <c r="AZ22" i="139" s="1"/>
  <c r="BM31" i="139" s="1"/>
  <c r="AZ15" i="139"/>
  <c r="AZ24" i="139" s="1"/>
  <c r="BM33" i="139" s="1"/>
  <c r="AY13" i="139" l="1"/>
  <c r="AY22" i="139" s="1"/>
  <c r="BL31" i="139" s="1"/>
  <c r="AY15" i="139"/>
  <c r="AY24" i="139" s="1"/>
  <c r="BL33" i="139" s="1"/>
  <c r="AX11" i="139"/>
  <c r="AY14" i="139"/>
  <c r="AY23" i="139" s="1"/>
  <c r="BL32" i="139" s="1"/>
  <c r="AY16" i="139"/>
  <c r="AY25" i="139" s="1"/>
  <c r="BL34" i="139" s="1"/>
  <c r="AX15" i="139" l="1"/>
  <c r="AX24" i="139" s="1"/>
  <c r="BK33" i="139" s="1"/>
  <c r="AX16" i="139"/>
  <c r="AX25" i="139" s="1"/>
  <c r="BK34" i="139" s="1"/>
  <c r="AX13" i="139"/>
  <c r="AX22" i="139" s="1"/>
  <c r="BK31" i="139" s="1"/>
  <c r="AX14" i="139"/>
  <c r="AX23" i="139" s="1"/>
  <c r="BK32" i="139" s="1"/>
  <c r="AW11" i="139"/>
  <c r="AW15" i="139" l="1"/>
  <c r="AW24" i="139" s="1"/>
  <c r="BJ33" i="139" s="1"/>
  <c r="AW16" i="139"/>
  <c r="AW25" i="139" s="1"/>
  <c r="BJ34" i="139" s="1"/>
  <c r="AW13" i="139"/>
  <c r="AW22" i="139" s="1"/>
  <c r="BJ31" i="139" s="1"/>
  <c r="AV11" i="139"/>
  <c r="AW14" i="139"/>
  <c r="AW23" i="139" s="1"/>
  <c r="BJ32" i="139" s="1"/>
  <c r="AV13" i="139" l="1"/>
  <c r="AV22" i="139" s="1"/>
  <c r="BI31" i="139" s="1"/>
  <c r="AV16" i="139"/>
  <c r="AV25" i="139" s="1"/>
  <c r="BI34" i="139" s="1"/>
  <c r="AV15" i="139"/>
  <c r="AV24" i="139" s="1"/>
  <c r="BI33" i="139" s="1"/>
  <c r="AV14" i="139"/>
  <c r="AV23" i="139" s="1"/>
  <c r="BI32" i="139" s="1"/>
  <c r="AU11" i="139"/>
  <c r="AU15" i="139" l="1"/>
  <c r="AU24" i="139" s="1"/>
  <c r="BH33" i="139" s="1"/>
  <c r="AT11" i="139"/>
  <c r="AU13" i="139"/>
  <c r="AU22" i="139" s="1"/>
  <c r="BH31" i="139" s="1"/>
  <c r="AU16" i="139"/>
  <c r="AU25" i="139" s="1"/>
  <c r="BH34" i="139" s="1"/>
  <c r="AU14" i="139"/>
  <c r="AU23" i="139" s="1"/>
  <c r="BH32" i="139" s="1"/>
  <c r="AT13" i="139" l="1"/>
  <c r="AT22" i="139" s="1"/>
  <c r="BG31" i="139" s="1"/>
  <c r="AT14" i="139"/>
  <c r="AT23" i="139" s="1"/>
  <c r="BG32" i="139" s="1"/>
  <c r="AS11" i="139"/>
  <c r="AT16" i="139"/>
  <c r="AT25" i="139" s="1"/>
  <c r="BG34" i="139" s="1"/>
  <c r="AT15" i="139"/>
  <c r="AT24" i="139" s="1"/>
  <c r="BG33" i="139" s="1"/>
  <c r="AS16" i="139" l="1"/>
  <c r="AS25" i="139" s="1"/>
  <c r="BF34" i="139" s="1"/>
  <c r="AR11" i="139"/>
  <c r="AS14" i="139"/>
  <c r="AS23" i="139" s="1"/>
  <c r="BF32" i="139" s="1"/>
  <c r="AS15" i="139"/>
  <c r="AS24" i="139" s="1"/>
  <c r="BF33" i="139" s="1"/>
  <c r="AS13" i="139"/>
  <c r="AS22" i="139" s="1"/>
  <c r="BF31" i="139" s="1"/>
  <c r="AR15" i="139" l="1"/>
  <c r="AR24" i="139" s="1"/>
  <c r="BE33" i="139" s="1"/>
  <c r="AR13" i="139"/>
  <c r="AR22" i="139" s="1"/>
  <c r="BE31" i="139" s="1"/>
  <c r="AR16" i="139"/>
  <c r="AR25" i="139" s="1"/>
  <c r="BE34" i="139" s="1"/>
  <c r="AR14" i="139"/>
  <c r="AR23" i="139" s="1"/>
  <c r="BE32" i="139" s="1"/>
  <c r="AQ11" i="139"/>
  <c r="AQ13" i="139" l="1"/>
  <c r="AQ22" i="139" s="1"/>
  <c r="BD31" i="139" s="1"/>
  <c r="AP11" i="139"/>
  <c r="AQ14" i="139"/>
  <c r="AQ23" i="139" s="1"/>
  <c r="BD32" i="139" s="1"/>
  <c r="AQ15" i="139"/>
  <c r="AQ24" i="139" s="1"/>
  <c r="BD33" i="139" s="1"/>
  <c r="AQ16" i="139"/>
  <c r="AQ25" i="139" s="1"/>
  <c r="BD34" i="139" s="1"/>
  <c r="AO11" i="139" l="1"/>
  <c r="AP15" i="139"/>
  <c r="AP24" i="139" s="1"/>
  <c r="BC33" i="139" s="1"/>
  <c r="AP14" i="139"/>
  <c r="AP23" i="139" s="1"/>
  <c r="BC32" i="139" s="1"/>
  <c r="AP16" i="139"/>
  <c r="AP25" i="139" s="1"/>
  <c r="BC34" i="139" s="1"/>
  <c r="AP13" i="139"/>
  <c r="AP22" i="139" s="1"/>
  <c r="BC31" i="139" s="1"/>
  <c r="AO14" i="139" l="1"/>
  <c r="AO23" i="139" s="1"/>
  <c r="BB32" i="139" s="1"/>
  <c r="AO13" i="139"/>
  <c r="AO22" i="139" s="1"/>
  <c r="BB31" i="139" s="1"/>
  <c r="AO16" i="139"/>
  <c r="AO25" i="139" s="1"/>
  <c r="BB34" i="139" s="1"/>
  <c r="AN11" i="139"/>
  <c r="AO15" i="139"/>
  <c r="AO24" i="139" s="1"/>
  <c r="BB33" i="139" s="1"/>
  <c r="AN16" i="139" l="1"/>
  <c r="AN25" i="139" s="1"/>
  <c r="BA34" i="139" s="1"/>
  <c r="AN13" i="139"/>
  <c r="AN22" i="139" s="1"/>
  <c r="BA31" i="139" s="1"/>
  <c r="AN15" i="139"/>
  <c r="AN24" i="139" s="1"/>
  <c r="BA33" i="139" s="1"/>
  <c r="AN14" i="139"/>
  <c r="AN23" i="139" s="1"/>
  <c r="BA32" i="139" s="1"/>
  <c r="AM11" i="139"/>
  <c r="AL11" i="139" l="1"/>
  <c r="AM14" i="139"/>
  <c r="AM23" i="139" s="1"/>
  <c r="AZ32" i="139" s="1"/>
  <c r="AM13" i="139"/>
  <c r="AM22" i="139" s="1"/>
  <c r="AZ31" i="139" s="1"/>
  <c r="AM15" i="139"/>
  <c r="AM24" i="139" s="1"/>
  <c r="AZ33" i="139" s="1"/>
  <c r="AM16" i="139"/>
  <c r="AM25" i="139" s="1"/>
  <c r="AZ34" i="139" s="1"/>
  <c r="AL14" i="139" l="1"/>
  <c r="AL23" i="139" s="1"/>
  <c r="AY32" i="139" s="1"/>
  <c r="AL13" i="139"/>
  <c r="AL22" i="139" s="1"/>
  <c r="AY31" i="139" s="1"/>
  <c r="AL15" i="139"/>
  <c r="AL24" i="139" s="1"/>
  <c r="AY33" i="139" s="1"/>
  <c r="AK11" i="139"/>
  <c r="AL16" i="139"/>
  <c r="AL25" i="139" s="1"/>
  <c r="AY34" i="139" s="1"/>
  <c r="AK14" i="139" l="1"/>
  <c r="AK23" i="139" s="1"/>
  <c r="AX32" i="139" s="1"/>
  <c r="AK15" i="139"/>
  <c r="AK24" i="139" s="1"/>
  <c r="AX33" i="139" s="1"/>
  <c r="AK13" i="139"/>
  <c r="AK22" i="139" s="1"/>
  <c r="AX31" i="139" s="1"/>
  <c r="AK16" i="139"/>
  <c r="AK25" i="139" s="1"/>
  <c r="AX34" i="139" s="1"/>
  <c r="AJ11" i="139"/>
  <c r="AJ13" i="139" l="1"/>
  <c r="AJ22" i="139" s="1"/>
  <c r="AW31" i="139" s="1"/>
  <c r="AJ15" i="139"/>
  <c r="AJ24" i="139" s="1"/>
  <c r="AW33" i="139" s="1"/>
  <c r="AJ16" i="139"/>
  <c r="AJ25" i="139" s="1"/>
  <c r="AW34" i="139" s="1"/>
  <c r="AJ14" i="139"/>
  <c r="AJ23" i="139" s="1"/>
  <c r="AW32" i="139" s="1"/>
  <c r="AI11" i="139"/>
  <c r="AI14" i="139" l="1"/>
  <c r="AI23" i="139" s="1"/>
  <c r="AV32" i="139" s="1"/>
  <c r="AI15" i="139"/>
  <c r="AI24" i="139" s="1"/>
  <c r="AV33" i="139" s="1"/>
  <c r="AH11" i="139"/>
  <c r="AI16" i="139"/>
  <c r="AI25" i="139" s="1"/>
  <c r="AV34" i="139" s="1"/>
  <c r="AI13" i="139"/>
  <c r="AI22" i="139" s="1"/>
  <c r="AV31" i="139" s="1"/>
  <c r="AH14" i="139" l="1"/>
  <c r="AH23" i="139" s="1"/>
  <c r="AU32" i="139" s="1"/>
  <c r="AH16" i="139"/>
  <c r="AH25" i="139" s="1"/>
  <c r="AU34" i="139" s="1"/>
  <c r="AG11" i="139"/>
  <c r="AH15" i="139"/>
  <c r="AH24" i="139" s="1"/>
  <c r="AU33" i="139" s="1"/>
  <c r="AH13" i="139"/>
  <c r="AH22" i="139" s="1"/>
  <c r="AU31" i="139" s="1"/>
  <c r="AG16" i="139" l="1"/>
  <c r="AG25" i="139" s="1"/>
  <c r="AT34" i="139" s="1"/>
  <c r="AG14" i="139"/>
  <c r="AG23" i="139" s="1"/>
  <c r="AT32" i="139" s="1"/>
  <c r="AF11" i="139"/>
  <c r="AG15" i="139"/>
  <c r="AG24" i="139" s="1"/>
  <c r="AT33" i="139" s="1"/>
  <c r="AG13" i="139"/>
  <c r="AG22" i="139" s="1"/>
  <c r="AT31" i="139" s="1"/>
  <c r="AF13" i="139" l="1"/>
  <c r="AF22" i="139" s="1"/>
  <c r="AS31" i="139" s="1"/>
  <c r="AF16" i="139"/>
  <c r="AF25" i="139" s="1"/>
  <c r="AS34" i="139" s="1"/>
  <c r="AF14" i="139"/>
  <c r="AF23" i="139" s="1"/>
  <c r="AS32" i="139" s="1"/>
  <c r="AE11" i="139"/>
  <c r="AF15" i="139"/>
  <c r="AF24" i="139" s="1"/>
  <c r="AS33" i="139" s="1"/>
  <c r="AE15" i="139" l="1"/>
  <c r="AE24" i="139" s="1"/>
  <c r="AR33" i="139" s="1"/>
  <c r="AD11" i="139"/>
  <c r="AE13" i="139"/>
  <c r="AE22" i="139" s="1"/>
  <c r="AR31" i="139" s="1"/>
  <c r="AE16" i="139"/>
  <c r="AE25" i="139" s="1"/>
  <c r="AR34" i="139" s="1"/>
  <c r="AE14" i="139"/>
  <c r="AE23" i="139" s="1"/>
  <c r="AR32" i="139" s="1"/>
  <c r="AD16" i="139" l="1"/>
  <c r="AD25" i="139" s="1"/>
  <c r="AQ34" i="139" s="1"/>
  <c r="AC11" i="139"/>
  <c r="AD14" i="139"/>
  <c r="AD23" i="139" s="1"/>
  <c r="AQ32" i="139" s="1"/>
  <c r="AD13" i="139"/>
  <c r="AD22" i="139" s="1"/>
  <c r="AQ31" i="139" s="1"/>
  <c r="AD15" i="139"/>
  <c r="AD24" i="139" s="1"/>
  <c r="AQ33" i="139" s="1"/>
  <c r="AC14" i="139" l="1"/>
  <c r="AC23" i="139" s="1"/>
  <c r="AP32" i="139" s="1"/>
  <c r="AC15" i="139"/>
  <c r="AC24" i="139" s="1"/>
  <c r="AP33" i="139" s="1"/>
  <c r="AB11" i="139"/>
  <c r="AC13" i="139"/>
  <c r="AC22" i="139" s="1"/>
  <c r="AP31" i="139" s="1"/>
  <c r="AC16" i="139"/>
  <c r="AC25" i="139" s="1"/>
  <c r="AP34" i="139" s="1"/>
  <c r="AB16" i="139" l="1"/>
  <c r="AB25" i="139" s="1"/>
  <c r="AO34" i="139" s="1"/>
  <c r="AA11" i="139"/>
  <c r="AB14" i="139"/>
  <c r="AB23" i="139" s="1"/>
  <c r="AO32" i="139" s="1"/>
  <c r="AB13" i="139"/>
  <c r="AB22" i="139" s="1"/>
  <c r="AO31" i="139" s="1"/>
  <c r="AB15" i="139"/>
  <c r="AB24" i="139" s="1"/>
  <c r="AO33" i="139" s="1"/>
  <c r="Z11" i="139" l="1"/>
  <c r="AA15" i="139"/>
  <c r="AA24" i="139" s="1"/>
  <c r="AN33" i="139" s="1"/>
  <c r="AA16" i="139"/>
  <c r="AA25" i="139" s="1"/>
  <c r="AN34" i="139" s="1"/>
  <c r="AA14" i="139"/>
  <c r="AA23" i="139" s="1"/>
  <c r="AN32" i="139" s="1"/>
  <c r="AA13" i="139"/>
  <c r="AA22" i="139" s="1"/>
  <c r="AN31" i="139" s="1"/>
  <c r="Z16" i="139" l="1"/>
  <c r="Z25" i="139" s="1"/>
  <c r="AM34" i="139" s="1"/>
  <c r="Z15" i="139"/>
  <c r="Z24" i="139" s="1"/>
  <c r="AM33" i="139" s="1"/>
  <c r="Z14" i="139"/>
  <c r="Z23" i="139" s="1"/>
  <c r="AM32" i="139" s="1"/>
  <c r="Z13" i="139"/>
  <c r="Z22" i="139" s="1"/>
  <c r="AM31" i="139" s="1"/>
  <c r="Y11" i="139"/>
  <c r="Y13" i="139" l="1"/>
  <c r="Y22" i="139" s="1"/>
  <c r="AL31" i="139" s="1"/>
  <c r="X11" i="139"/>
  <c r="Y15" i="139"/>
  <c r="Y24" i="139" s="1"/>
  <c r="AL33" i="139" s="1"/>
  <c r="Y16" i="139"/>
  <c r="Y25" i="139" s="1"/>
  <c r="AL34" i="139" s="1"/>
  <c r="Y14" i="139"/>
  <c r="Y23" i="139" s="1"/>
  <c r="AL32" i="139" s="1"/>
  <c r="X16" i="139" l="1"/>
  <c r="X25" i="139" s="1"/>
  <c r="AK34" i="139" s="1"/>
  <c r="W11" i="139"/>
  <c r="X14" i="139"/>
  <c r="X23" i="139" s="1"/>
  <c r="AK32" i="139" s="1"/>
  <c r="X15" i="139"/>
  <c r="X24" i="139" s="1"/>
  <c r="AK33" i="139" s="1"/>
  <c r="X13" i="139"/>
  <c r="X22" i="139" s="1"/>
  <c r="AK31" i="139" s="1"/>
  <c r="V11" i="139" l="1"/>
  <c r="W16" i="139"/>
  <c r="W25" i="139" s="1"/>
  <c r="AJ34" i="139" s="1"/>
  <c r="W15" i="139"/>
  <c r="W24" i="139" s="1"/>
  <c r="AJ33" i="139" s="1"/>
  <c r="W14" i="139"/>
  <c r="W23" i="139" s="1"/>
  <c r="AJ32" i="139" s="1"/>
  <c r="W13" i="139"/>
  <c r="W22" i="139" s="1"/>
  <c r="AJ31" i="139" s="1"/>
  <c r="V13" i="139" l="1"/>
  <c r="V22" i="139" s="1"/>
  <c r="AI31" i="139" s="1"/>
  <c r="V16" i="139"/>
  <c r="V25" i="139" s="1"/>
  <c r="AI34" i="139" s="1"/>
  <c r="V15" i="139"/>
  <c r="V24" i="139" s="1"/>
  <c r="AI33" i="139" s="1"/>
  <c r="U11" i="139"/>
  <c r="V14" i="139"/>
  <c r="V23" i="139" s="1"/>
  <c r="AI32" i="139" s="1"/>
  <c r="U14" i="139" l="1"/>
  <c r="U23" i="139" s="1"/>
  <c r="AH32" i="139" s="1"/>
  <c r="T11" i="139"/>
  <c r="U13" i="139"/>
  <c r="U22" i="139" s="1"/>
  <c r="AH31" i="139" s="1"/>
  <c r="U15" i="139"/>
  <c r="U24" i="139" s="1"/>
  <c r="AH33" i="139" s="1"/>
  <c r="U16" i="139"/>
  <c r="U25" i="139" s="1"/>
  <c r="AH34" i="139" s="1"/>
  <c r="DU15" i="139"/>
  <c r="DV15" i="139" s="1"/>
  <c r="DX15" i="139" s="1"/>
  <c r="DT15" i="139"/>
  <c r="DS15" i="139"/>
  <c r="DU13" i="139"/>
  <c r="DV13" i="139" s="1"/>
  <c r="DX13" i="139" s="1"/>
  <c r="DT13" i="139"/>
  <c r="DS13" i="139"/>
  <c r="DS14" i="139"/>
  <c r="DU14" i="139"/>
  <c r="DV14" i="139" s="1"/>
  <c r="DX14" i="139" s="1"/>
  <c r="DT14" i="139"/>
  <c r="DU16" i="139"/>
  <c r="DV16" i="139" s="1"/>
  <c r="DX16" i="139" s="1"/>
  <c r="DS16" i="139"/>
  <c r="DT16" i="139"/>
  <c r="S11" i="139" l="1"/>
  <c r="T15" i="139"/>
  <c r="T24" i="139" s="1"/>
  <c r="AG33" i="139" s="1"/>
  <c r="T14" i="139"/>
  <c r="T23" i="139" s="1"/>
  <c r="AG32" i="139" s="1"/>
  <c r="T16" i="139"/>
  <c r="T25" i="139" s="1"/>
  <c r="AG34" i="139" s="1"/>
  <c r="T13" i="139"/>
  <c r="T22" i="139" s="1"/>
  <c r="AG31" i="139" s="1"/>
  <c r="DW15" i="139"/>
  <c r="DW13" i="139"/>
  <c r="DW16" i="139"/>
  <c r="DS25" i="139"/>
  <c r="DT25" i="139"/>
  <c r="DU25" i="139"/>
  <c r="DV25" i="139" s="1"/>
  <c r="DX25" i="139" s="1"/>
  <c r="DT24" i="139"/>
  <c r="DS24" i="139"/>
  <c r="DU24" i="139"/>
  <c r="DV24" i="139" s="1"/>
  <c r="DX24" i="139" s="1"/>
  <c r="DW14" i="139"/>
  <c r="DS23" i="139"/>
  <c r="DT23" i="139"/>
  <c r="DU23" i="139"/>
  <c r="DV23" i="139" s="1"/>
  <c r="DX23" i="139" s="1"/>
  <c r="DT22" i="139"/>
  <c r="DU22" i="139"/>
  <c r="DV22" i="139" s="1"/>
  <c r="DX22" i="139" s="1"/>
  <c r="DS22" i="139"/>
  <c r="S15" i="139" l="1"/>
  <c r="S24" i="139" s="1"/>
  <c r="AF33" i="139" s="1"/>
  <c r="S13" i="139"/>
  <c r="S22" i="139" s="1"/>
  <c r="AF31" i="139" s="1"/>
  <c r="S14" i="139"/>
  <c r="S23" i="139" s="1"/>
  <c r="AF32" i="139" s="1"/>
  <c r="R11" i="139"/>
  <c r="S16" i="139"/>
  <c r="S25" i="139" s="1"/>
  <c r="AF34" i="139" s="1"/>
  <c r="DW22" i="139"/>
  <c r="DW23" i="139"/>
  <c r="DW24" i="139"/>
  <c r="DW25" i="139"/>
  <c r="Q11" i="139" l="1"/>
  <c r="R16" i="139"/>
  <c r="R25" i="139" s="1"/>
  <c r="AE34" i="139" s="1"/>
  <c r="R15" i="139"/>
  <c r="R24" i="139" s="1"/>
  <c r="AE33" i="139" s="1"/>
  <c r="R14" i="139"/>
  <c r="R23" i="139" s="1"/>
  <c r="AE32" i="139" s="1"/>
  <c r="R13" i="139"/>
  <c r="R22" i="139" s="1"/>
  <c r="AE31" i="139" s="1"/>
  <c r="Q14" i="139" l="1"/>
  <c r="Q23" i="139" s="1"/>
  <c r="AD32" i="139" s="1"/>
  <c r="Q15" i="139"/>
  <c r="Q24" i="139" s="1"/>
  <c r="AD33" i="139" s="1"/>
  <c r="Q16" i="139"/>
  <c r="Q25" i="139" s="1"/>
  <c r="AD34" i="139" s="1"/>
  <c r="P11" i="139"/>
  <c r="Q13" i="139"/>
  <c r="Q22" i="139" s="1"/>
  <c r="AD31" i="139" s="1"/>
  <c r="P14" i="139" l="1"/>
  <c r="P23" i="139" s="1"/>
  <c r="AC32" i="139" s="1"/>
  <c r="O11" i="139"/>
  <c r="P13" i="139"/>
  <c r="P22" i="139" s="1"/>
  <c r="AC31" i="139" s="1"/>
  <c r="P15" i="139"/>
  <c r="P24" i="139" s="1"/>
  <c r="AC33" i="139" s="1"/>
  <c r="P16" i="139"/>
  <c r="P25" i="139" s="1"/>
  <c r="AC34" i="139" s="1"/>
  <c r="O14" i="139" l="1"/>
  <c r="O23" i="139" s="1"/>
  <c r="AB32" i="139" s="1"/>
  <c r="O13" i="139"/>
  <c r="O22" i="139" s="1"/>
  <c r="AB31" i="139" s="1"/>
  <c r="O15" i="139"/>
  <c r="O24" i="139" s="1"/>
  <c r="AB33" i="139" s="1"/>
  <c r="N11" i="139"/>
  <c r="O16" i="139"/>
  <c r="O25" i="139" s="1"/>
  <c r="AB34" i="139" s="1"/>
  <c r="N15" i="139" l="1"/>
  <c r="N24" i="139" s="1"/>
  <c r="AA33" i="139" s="1"/>
  <c r="N13" i="139"/>
  <c r="N22" i="139" s="1"/>
  <c r="AA31" i="139" s="1"/>
  <c r="N16" i="139"/>
  <c r="N25" i="139" s="1"/>
  <c r="AA34" i="139" s="1"/>
  <c r="M11" i="139"/>
  <c r="N14" i="139"/>
  <c r="N23" i="139" s="1"/>
  <c r="AA32" i="139" s="1"/>
  <c r="M14" i="139" l="1"/>
  <c r="M23" i="139" s="1"/>
  <c r="Z32" i="139" s="1"/>
  <c r="L11" i="139"/>
  <c r="M15" i="139"/>
  <c r="M24" i="139" s="1"/>
  <c r="Z33" i="139" s="1"/>
  <c r="M16" i="139"/>
  <c r="M25" i="139" s="1"/>
  <c r="Z34" i="139" s="1"/>
  <c r="M13" i="139"/>
  <c r="M22" i="139" s="1"/>
  <c r="Z31" i="139" s="1"/>
  <c r="L14" i="139" l="1"/>
  <c r="L23" i="139" s="1"/>
  <c r="Y32" i="139" s="1"/>
  <c r="K11" i="139"/>
  <c r="L16" i="139"/>
  <c r="L25" i="139" s="1"/>
  <c r="Y34" i="139" s="1"/>
  <c r="L13" i="139"/>
  <c r="L22" i="139" s="1"/>
  <c r="Y31" i="139" s="1"/>
  <c r="L15" i="139"/>
  <c r="L24" i="139" s="1"/>
  <c r="Y33" i="139" s="1"/>
  <c r="K16" i="139" l="1"/>
  <c r="K25" i="139" s="1"/>
  <c r="X34" i="139" s="1"/>
  <c r="J11" i="139"/>
  <c r="K13" i="139"/>
  <c r="K22" i="139" s="1"/>
  <c r="X31" i="139" s="1"/>
  <c r="K14" i="139"/>
  <c r="K23" i="139" s="1"/>
  <c r="X32" i="139" s="1"/>
  <c r="K15" i="139"/>
  <c r="K24" i="139" s="1"/>
  <c r="X33" i="139" s="1"/>
  <c r="I11" i="139" l="1"/>
  <c r="J13" i="139"/>
  <c r="J22" i="139" s="1"/>
  <c r="W31" i="139" s="1"/>
  <c r="J16" i="139"/>
  <c r="J25" i="139" s="1"/>
  <c r="W34" i="139" s="1"/>
  <c r="J14" i="139"/>
  <c r="J23" i="139" s="1"/>
  <c r="W32" i="139" s="1"/>
  <c r="J15" i="139"/>
  <c r="J24" i="139" s="1"/>
  <c r="W33" i="139" s="1"/>
  <c r="H11" i="139" l="1"/>
  <c r="I13" i="139"/>
  <c r="I22" i="139" s="1"/>
  <c r="V31" i="139" s="1"/>
  <c r="I14" i="139"/>
  <c r="I23" i="139" s="1"/>
  <c r="V32" i="139" s="1"/>
  <c r="I15" i="139"/>
  <c r="I24" i="139" s="1"/>
  <c r="V33" i="139" s="1"/>
  <c r="I16" i="139"/>
  <c r="I25" i="139" s="1"/>
  <c r="V34" i="139" s="1"/>
  <c r="H15" i="139" l="1"/>
  <c r="H24" i="139" s="1"/>
  <c r="U33" i="139" s="1"/>
  <c r="H16" i="139"/>
  <c r="H25" i="139" s="1"/>
  <c r="U34" i="139" s="1"/>
  <c r="G11" i="139"/>
  <c r="H13" i="139"/>
  <c r="H22" i="139" s="1"/>
  <c r="U31" i="139" s="1"/>
  <c r="H14" i="139"/>
  <c r="H23" i="139" s="1"/>
  <c r="U32" i="139" s="1"/>
  <c r="G14" i="139" l="1"/>
  <c r="G23" i="139" s="1"/>
  <c r="T32" i="139" s="1"/>
  <c r="F11" i="139"/>
  <c r="G13" i="139"/>
  <c r="G22" i="139" s="1"/>
  <c r="T31" i="139" s="1"/>
  <c r="G16" i="139"/>
  <c r="G25" i="139" s="1"/>
  <c r="T34" i="139" s="1"/>
  <c r="G15" i="139"/>
  <c r="G24" i="139" s="1"/>
  <c r="T33" i="139" s="1"/>
  <c r="E11" i="139" l="1"/>
  <c r="F16" i="139"/>
  <c r="F25" i="139" s="1"/>
  <c r="S34" i="139" s="1"/>
  <c r="F15" i="139"/>
  <c r="F24" i="139" s="1"/>
  <c r="S33" i="139" s="1"/>
  <c r="F13" i="139"/>
  <c r="F22" i="139" s="1"/>
  <c r="S31" i="139" s="1"/>
  <c r="F14" i="139"/>
  <c r="F23" i="139" s="1"/>
  <c r="S32" i="139" s="1"/>
  <c r="E14" i="139" l="1"/>
  <c r="E23" i="139" s="1"/>
  <c r="R32" i="139" s="1"/>
  <c r="E13" i="139"/>
  <c r="E22" i="139" s="1"/>
  <c r="R31" i="139" s="1"/>
  <c r="E16" i="139"/>
  <c r="E25" i="139" s="1"/>
  <c r="R34" i="139" s="1"/>
  <c r="D11" i="139"/>
  <c r="E15" i="139"/>
  <c r="E24" i="139" s="1"/>
  <c r="R33" i="139" s="1"/>
  <c r="D13" i="139" l="1"/>
  <c r="D22" i="139" s="1"/>
  <c r="Q31" i="139" s="1"/>
  <c r="D16" i="139"/>
  <c r="D25" i="139" s="1"/>
  <c r="Q34" i="139" s="1"/>
  <c r="D14" i="139"/>
  <c r="D23" i="139" s="1"/>
  <c r="Q32" i="139" s="1"/>
  <c r="D15" i="139"/>
  <c r="D24" i="139" s="1"/>
  <c r="Q33" i="139" s="1"/>
  <c r="C11" i="139"/>
  <c r="B11" i="139" l="1"/>
  <c r="C13" i="139"/>
  <c r="C22" i="139" s="1"/>
  <c r="P31" i="139" s="1"/>
  <c r="C15" i="139"/>
  <c r="C24" i="139" s="1"/>
  <c r="P33" i="139" s="1"/>
  <c r="C14" i="139"/>
  <c r="C23" i="139" s="1"/>
  <c r="P32" i="139" s="1"/>
  <c r="C16" i="139"/>
  <c r="C25" i="139" s="1"/>
  <c r="P34" i="139" s="1"/>
  <c r="B16" i="139" l="1"/>
  <c r="B25" i="139" s="1"/>
  <c r="O34" i="139" s="1"/>
  <c r="B13" i="139"/>
  <c r="B22" i="139" s="1"/>
  <c r="O31" i="139" s="1"/>
  <c r="B15" i="139"/>
  <c r="B24" i="139" s="1"/>
  <c r="O33" i="139" s="1"/>
  <c r="B14" i="139"/>
  <c r="B23" i="139" s="1"/>
  <c r="O32" i="139" s="1"/>
</calcChain>
</file>

<file path=xl/sharedStrings.xml><?xml version="1.0" encoding="utf-8"?>
<sst xmlns="http://schemas.openxmlformats.org/spreadsheetml/2006/main" count="226" uniqueCount="11">
  <si>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</si>
  <si>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</si>
  <si>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</si>
  <si>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</si>
  <si>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</si>
  <si>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</si>
  <si>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</si>
  <si>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ActivosEPAESP</t>
  </si>
  <si>
    <t>Inicio</t>
  </si>
  <si>
    <t>Amplitud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</si>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</sst>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C0A]mmm\-yy;@"/>
    <numFmt numFmtId="165" formatCode="0.0%"/>
    <numFmt numFmtId="166" formatCode="0.000000"/>
    <numFmt numFmtId="167" formatCode="0.00\ &quot;σ&quot;"/>
    <numFmt numFmtId="168" formatCode="#,##0.0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7" fillId="3" borderId="0" xfId="1" applyNumberFormat="1" applyFont="1" applyFill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168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fill>
        <patternFill>
          <bgColor theme="0"/>
        </patternFill>
      </fill>
    </dxf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FF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L7">
            <v>13529.5</v>
          </cell>
        </row>
        <row r="8">
          <cell r="L8">
            <v>13460</v>
          </cell>
        </row>
        <row r="9">
          <cell r="L9">
            <v>13432.9</v>
          </cell>
        </row>
        <row r="10">
          <cell r="L10">
            <v>13374.9</v>
          </cell>
        </row>
        <row r="11">
          <cell r="L11">
            <v>13464.2</v>
          </cell>
        </row>
        <row r="12">
          <cell r="L12">
            <v>13514.9</v>
          </cell>
        </row>
        <row r="13">
          <cell r="L13">
            <v>13496.3</v>
          </cell>
        </row>
        <row r="14">
          <cell r="L14">
            <v>13442.4</v>
          </cell>
        </row>
        <row r="15">
          <cell r="L15">
            <v>13500.3</v>
          </cell>
        </row>
        <row r="16">
          <cell r="L16">
            <v>13505</v>
          </cell>
        </row>
        <row r="17">
          <cell r="L17">
            <v>13538.3</v>
          </cell>
        </row>
        <row r="18">
          <cell r="L18">
            <v>13462.4</v>
          </cell>
        </row>
        <row r="19">
          <cell r="L19">
            <v>13580.2</v>
          </cell>
        </row>
        <row r="20">
          <cell r="L20">
            <v>13605.1</v>
          </cell>
        </row>
        <row r="21">
          <cell r="L21">
            <v>13604.7</v>
          </cell>
        </row>
        <row r="22">
          <cell r="L22">
            <v>13543.4</v>
          </cell>
        </row>
        <row r="23">
          <cell r="L23">
            <v>13587.9</v>
          </cell>
        </row>
        <row r="24">
          <cell r="L24">
            <v>13627.7</v>
          </cell>
        </row>
        <row r="25">
          <cell r="L25">
            <v>13619.2</v>
          </cell>
        </row>
        <row r="26">
          <cell r="L26">
            <v>13571.6</v>
          </cell>
        </row>
        <row r="27">
          <cell r="L27">
            <v>13665.2</v>
          </cell>
        </row>
        <row r="28">
          <cell r="L28">
            <v>13716.4</v>
          </cell>
        </row>
        <row r="29">
          <cell r="L29">
            <v>13737.8</v>
          </cell>
        </row>
        <row r="30">
          <cell r="L30">
            <v>13718.2</v>
          </cell>
        </row>
        <row r="31">
          <cell r="L31">
            <v>13842.5</v>
          </cell>
        </row>
        <row r="32">
          <cell r="L32">
            <v>13926.9</v>
          </cell>
        </row>
        <row r="33">
          <cell r="L33">
            <v>13899.7</v>
          </cell>
        </row>
        <row r="34">
          <cell r="L34">
            <v>13897.4</v>
          </cell>
        </row>
        <row r="35">
          <cell r="L35">
            <v>14041.6</v>
          </cell>
        </row>
        <row r="36">
          <cell r="L36">
            <v>14078.3</v>
          </cell>
        </row>
        <row r="37">
          <cell r="L37">
            <v>14058.6</v>
          </cell>
        </row>
        <row r="38">
          <cell r="L38">
            <v>14005.2</v>
          </cell>
        </row>
        <row r="39">
          <cell r="L39">
            <v>14086.5</v>
          </cell>
        </row>
        <row r="40">
          <cell r="L40">
            <v>14151.9</v>
          </cell>
        </row>
        <row r="41">
          <cell r="L41">
            <v>14151.4</v>
          </cell>
        </row>
        <row r="42">
          <cell r="L42">
            <v>14116</v>
          </cell>
        </row>
        <row r="43">
          <cell r="L43">
            <v>14177.8</v>
          </cell>
        </row>
        <row r="44">
          <cell r="L44">
            <v>14243.9</v>
          </cell>
        </row>
        <row r="45">
          <cell r="L45">
            <v>14265.4</v>
          </cell>
        </row>
        <row r="46">
          <cell r="L46">
            <v>14282.7</v>
          </cell>
        </row>
        <row r="47">
          <cell r="L47">
            <v>14363.2</v>
          </cell>
        </row>
        <row r="48">
          <cell r="L48">
            <v>14477.2</v>
          </cell>
        </row>
        <row r="49">
          <cell r="L49">
            <v>14574</v>
          </cell>
        </row>
        <row r="50">
          <cell r="L50">
            <v>14813.2</v>
          </cell>
        </row>
        <row r="51">
          <cell r="L51">
            <v>15039.2</v>
          </cell>
        </row>
        <row r="52">
          <cell r="L52">
            <v>15129.5</v>
          </cell>
        </row>
        <row r="53">
          <cell r="L53">
            <v>15178.2</v>
          </cell>
        </row>
        <row r="54">
          <cell r="L54">
            <v>15228.2</v>
          </cell>
        </row>
        <row r="55">
          <cell r="L55">
            <v>15378.8</v>
          </cell>
        </row>
        <row r="56">
          <cell r="L56">
            <v>15308</v>
          </cell>
        </row>
        <row r="57">
          <cell r="L57">
            <v>15342.9</v>
          </cell>
        </row>
        <row r="58">
          <cell r="L58">
            <v>15357.2</v>
          </cell>
        </row>
        <row r="59">
          <cell r="L59">
            <v>15494</v>
          </cell>
        </row>
        <row r="60">
          <cell r="L60">
            <v>15541.4</v>
          </cell>
        </row>
        <row r="61">
          <cell r="L61">
            <v>15585.1</v>
          </cell>
        </row>
        <row r="62">
          <cell r="L62">
            <v>15573.6</v>
          </cell>
        </row>
        <row r="63">
          <cell r="L63">
            <v>15650.9</v>
          </cell>
        </row>
        <row r="64">
          <cell r="L64">
            <v>15704.8</v>
          </cell>
        </row>
        <row r="65">
          <cell r="L65">
            <v>15689.3</v>
          </cell>
        </row>
        <row r="66">
          <cell r="L66">
            <v>15697.6</v>
          </cell>
        </row>
        <row r="67">
          <cell r="L67">
            <v>15843.6</v>
          </cell>
        </row>
        <row r="68">
          <cell r="L68">
            <v>15831.3</v>
          </cell>
        </row>
        <row r="69">
          <cell r="L69">
            <v>15792.4</v>
          </cell>
        </row>
        <row r="70">
          <cell r="L70">
            <v>15832.2</v>
          </cell>
        </row>
        <row r="71">
          <cell r="L71">
            <v>15910.1</v>
          </cell>
        </row>
        <row r="72">
          <cell r="L72">
            <v>15941</v>
          </cell>
        </row>
        <row r="73">
          <cell r="L73">
            <v>15904.5</v>
          </cell>
        </row>
        <row r="74">
          <cell r="L74">
            <v>15997</v>
          </cell>
        </row>
        <row r="75">
          <cell r="L75">
            <v>16138.1</v>
          </cell>
        </row>
        <row r="76">
          <cell r="L76">
            <v>16183.5</v>
          </cell>
        </row>
        <row r="77">
          <cell r="L77">
            <v>16184.6</v>
          </cell>
        </row>
        <row r="78">
          <cell r="L78">
            <v>16244.8</v>
          </cell>
        </row>
        <row r="79">
          <cell r="L79">
            <v>16276.3</v>
          </cell>
        </row>
        <row r="80">
          <cell r="L80">
            <v>16297.9</v>
          </cell>
        </row>
        <row r="81">
          <cell r="L81">
            <v>16316.9</v>
          </cell>
        </row>
        <row r="82">
          <cell r="L82">
            <v>16326.1</v>
          </cell>
        </row>
        <row r="83">
          <cell r="L83">
            <v>16456.7</v>
          </cell>
        </row>
        <row r="84">
          <cell r="L84">
            <v>16463.599999999999</v>
          </cell>
        </row>
        <row r="85">
          <cell r="L85">
            <v>16525.2</v>
          </cell>
        </row>
        <row r="86">
          <cell r="L86">
            <v>16592.2</v>
          </cell>
        </row>
        <row r="87">
          <cell r="L87">
            <v>16780</v>
          </cell>
        </row>
        <row r="88">
          <cell r="L88">
            <v>16826.599999999999</v>
          </cell>
        </row>
        <row r="89">
          <cell r="L89">
            <v>16842</v>
          </cell>
        </row>
        <row r="90">
          <cell r="L90">
            <v>16908.599999999999</v>
          </cell>
        </row>
        <row r="91">
          <cell r="L91">
            <v>17036.3</v>
          </cell>
        </row>
        <row r="92">
          <cell r="L92">
            <v>17104.5</v>
          </cell>
        </row>
        <row r="93">
          <cell r="L93">
            <v>17078.5</v>
          </cell>
        </row>
        <row r="94">
          <cell r="L94">
            <v>17154.400000000001</v>
          </cell>
        </row>
        <row r="95">
          <cell r="L95">
            <v>17360.8</v>
          </cell>
        </row>
        <row r="96">
          <cell r="L96">
            <v>17383</v>
          </cell>
        </row>
        <row r="97">
          <cell r="L97">
            <v>17376.2</v>
          </cell>
        </row>
        <row r="98">
          <cell r="L98">
            <v>17451.5</v>
          </cell>
        </row>
        <row r="99">
          <cell r="L99">
            <v>17671</v>
          </cell>
        </row>
        <row r="100">
          <cell r="L100">
            <v>17802.3</v>
          </cell>
        </row>
        <row r="101">
          <cell r="L101">
            <v>17907.3</v>
          </cell>
        </row>
        <row r="102">
          <cell r="L102">
            <v>18063</v>
          </cell>
        </row>
        <row r="103">
          <cell r="L103">
            <v>18300.599999999999</v>
          </cell>
        </row>
        <row r="104">
          <cell r="L104">
            <v>18390.900000000001</v>
          </cell>
        </row>
        <row r="105">
          <cell r="L105">
            <v>17977.8</v>
          </cell>
        </row>
        <row r="106">
          <cell r="L106">
            <v>18095.3</v>
          </cell>
        </row>
        <row r="107">
          <cell r="L107">
            <v>18327.2</v>
          </cell>
        </row>
        <row r="108">
          <cell r="L108">
            <v>18455.2</v>
          </cell>
        </row>
        <row r="109">
          <cell r="L109">
            <v>18635.099999999999</v>
          </cell>
        </row>
        <row r="110">
          <cell r="L110">
            <v>18870.2</v>
          </cell>
        </row>
        <row r="111">
          <cell r="L111">
            <v>19115.3</v>
          </cell>
        </row>
        <row r="112">
          <cell r="L112">
            <v>19224.3</v>
          </cell>
        </row>
        <row r="113">
          <cell r="L113">
            <v>19421.2</v>
          </cell>
        </row>
        <row r="114">
          <cell r="L114">
            <v>19639.2</v>
          </cell>
        </row>
        <row r="115">
          <cell r="L115">
            <v>19893.5</v>
          </cell>
        </row>
        <row r="116">
          <cell r="L116">
            <v>20017.099999999999</v>
          </cell>
        </row>
        <row r="117">
          <cell r="L117">
            <v>20080</v>
          </cell>
        </row>
        <row r="118">
          <cell r="L118">
            <v>20266.5</v>
          </cell>
        </row>
        <row r="119">
          <cell r="L119">
            <v>20488.900000000001</v>
          </cell>
        </row>
        <row r="120">
          <cell r="L120">
            <v>20667.7</v>
          </cell>
        </row>
        <row r="121">
          <cell r="L121">
            <v>20857.400000000001</v>
          </cell>
        </row>
        <row r="122">
          <cell r="L122">
            <v>21129.7</v>
          </cell>
        </row>
        <row r="123">
          <cell r="L123">
            <v>21205.599999999999</v>
          </cell>
        </row>
        <row r="124">
          <cell r="L124">
            <v>21369.5</v>
          </cell>
        </row>
        <row r="125">
          <cell r="L125">
            <v>21521.3</v>
          </cell>
        </row>
        <row r="126">
          <cell r="L126">
            <v>21726</v>
          </cell>
        </row>
        <row r="127">
          <cell r="L127">
            <v>21857.8</v>
          </cell>
        </row>
        <row r="128">
          <cell r="L128">
            <v>22014.799999999999</v>
          </cell>
        </row>
        <row r="129">
          <cell r="L129">
            <v>22130.799999999999</v>
          </cell>
        </row>
        <row r="130">
          <cell r="L130">
            <v>22354.1</v>
          </cell>
        </row>
        <row r="131">
          <cell r="L131">
            <v>22559.599999999999</v>
          </cell>
        </row>
        <row r="132">
          <cell r="L132">
            <v>22659.9</v>
          </cell>
        </row>
        <row r="133">
          <cell r="L133">
            <v>22810.400000000001</v>
          </cell>
        </row>
        <row r="134">
          <cell r="L134">
            <v>23032.6</v>
          </cell>
        </row>
        <row r="135">
          <cell r="L135">
            <v>23157.1</v>
          </cell>
        </row>
        <row r="136">
          <cell r="L136">
            <v>23262.1</v>
          </cell>
        </row>
        <row r="137">
          <cell r="L137">
            <v>23302.6</v>
          </cell>
        </row>
        <row r="138">
          <cell r="L138">
            <v>23293.8</v>
          </cell>
        </row>
        <row r="139">
          <cell r="L139">
            <v>23219.8</v>
          </cell>
        </row>
        <row r="140">
          <cell r="L140">
            <v>23225.4</v>
          </cell>
        </row>
        <row r="141">
          <cell r="L141">
            <v>23270.5</v>
          </cell>
        </row>
        <row r="142">
          <cell r="L142">
            <v>23406.400000000001</v>
          </cell>
        </row>
        <row r="143">
          <cell r="L143">
            <v>23404.400000000001</v>
          </cell>
        </row>
        <row r="144">
          <cell r="L144">
            <v>23377.1</v>
          </cell>
        </row>
        <row r="145">
          <cell r="L145">
            <v>23347.3</v>
          </cell>
        </row>
        <row r="146">
          <cell r="L146">
            <v>23466.2</v>
          </cell>
        </row>
        <row r="147">
          <cell r="L147">
            <v>23482.5</v>
          </cell>
        </row>
        <row r="148">
          <cell r="L148">
            <v>23440.3</v>
          </cell>
        </row>
        <row r="149">
          <cell r="L149">
            <v>23433</v>
          </cell>
        </row>
        <row r="150">
          <cell r="L150">
            <v>23489.5</v>
          </cell>
        </row>
        <row r="151">
          <cell r="L151">
            <v>23491.9</v>
          </cell>
        </row>
        <row r="152">
          <cell r="L152">
            <v>23360.400000000001</v>
          </cell>
        </row>
        <row r="153">
          <cell r="L153">
            <v>23308.400000000001</v>
          </cell>
        </row>
        <row r="154">
          <cell r="L154">
            <v>23207.9</v>
          </cell>
        </row>
        <row r="155">
          <cell r="L155">
            <v>23173.4</v>
          </cell>
        </row>
        <row r="156">
          <cell r="L156">
            <v>23070.9</v>
          </cell>
        </row>
        <row r="157">
          <cell r="L157">
            <v>22883.9</v>
          </cell>
        </row>
        <row r="158">
          <cell r="L158">
            <v>22975.9</v>
          </cell>
        </row>
        <row r="159">
          <cell r="L159">
            <v>22931.7</v>
          </cell>
        </row>
        <row r="160">
          <cell r="L160">
            <v>23026.799999999999</v>
          </cell>
        </row>
        <row r="161">
          <cell r="L161">
            <v>22899.4</v>
          </cell>
        </row>
        <row r="162">
          <cell r="L162">
            <v>23015.5</v>
          </cell>
        </row>
        <row r="163">
          <cell r="L163">
            <v>22899.5</v>
          </cell>
        </row>
        <row r="164">
          <cell r="L164">
            <v>22873.7</v>
          </cell>
        </row>
        <row r="165">
          <cell r="L165">
            <v>22821</v>
          </cell>
        </row>
        <row r="166">
          <cell r="L166">
            <v>22875.7</v>
          </cell>
        </row>
        <row r="167">
          <cell r="L167">
            <v>22848.3</v>
          </cell>
        </row>
        <row r="168">
          <cell r="L168">
            <v>22745.9</v>
          </cell>
        </row>
        <row r="169">
          <cell r="L169">
            <v>22693.3</v>
          </cell>
        </row>
        <row r="170">
          <cell r="L170">
            <v>22727.6113</v>
          </cell>
        </row>
        <row r="171">
          <cell r="L171">
            <v>22780.94441</v>
          </cell>
        </row>
        <row r="172">
          <cell r="L172">
            <v>22765.025089999999</v>
          </cell>
        </row>
        <row r="173">
          <cell r="L173">
            <v>22670.284090000001</v>
          </cell>
        </row>
        <row r="174">
          <cell r="L174">
            <v>22834.167000000001</v>
          </cell>
        </row>
        <row r="175">
          <cell r="L175">
            <v>22853.955320000001</v>
          </cell>
        </row>
        <row r="176">
          <cell r="L176">
            <v>22868.84549</v>
          </cell>
        </row>
        <row r="177">
          <cell r="L177">
            <v>22825.4</v>
          </cell>
        </row>
        <row r="178">
          <cell r="L178">
            <v>23035.537319999999</v>
          </cell>
        </row>
        <row r="179">
          <cell r="L179">
            <v>23088.704140000002</v>
          </cell>
        </row>
        <row r="180">
          <cell r="L180">
            <v>23158.812160000001</v>
          </cell>
        </row>
        <row r="181">
          <cell r="L181">
            <v>22994.225770000001</v>
          </cell>
        </row>
        <row r="182">
          <cell r="L182">
            <v>21975.17772</v>
          </cell>
        </row>
        <row r="183">
          <cell r="L183">
            <v>22899.796470000001</v>
          </cell>
        </row>
        <row r="184">
          <cell r="L184">
            <v>23064.06985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I38"/>
  <sheetViews>
    <sheetView tabSelected="1" topLeftCell="BA1" workbookViewId="0">
      <selection activeCell="BS3" sqref="BS3"/>
    </sheetView>
  </sheetViews>
  <sheetFormatPr baseColWidth="10" defaultRowHeight="15" x14ac:dyDescent="0.25"/>
  <cols>
    <col min="1" max="1" width="7.140625" style="1" bestFit="1" customWidth="1"/>
    <col min="2" max="2" width="7.28515625" style="1" bestFit="1" customWidth="1"/>
    <col min="3" max="3" width="8.42578125" style="1" bestFit="1" customWidth="1"/>
    <col min="4" max="4" width="7.7109375" style="1" bestFit="1" customWidth="1"/>
    <col min="5" max="5" width="7.85546875" style="1" bestFit="1" customWidth="1"/>
    <col min="6" max="6" width="7.28515625" style="1" bestFit="1" customWidth="1"/>
    <col min="7" max="7" width="8.42578125" style="1" bestFit="1" customWidth="1"/>
    <col min="8" max="8" width="7.7109375" style="1" bestFit="1" customWidth="1"/>
    <col min="9" max="9" width="7.85546875" style="1" bestFit="1" customWidth="1"/>
    <col min="10" max="10" width="7.28515625" style="1" bestFit="1" customWidth="1"/>
    <col min="11" max="11" width="8.42578125" style="1" bestFit="1" customWidth="1"/>
    <col min="12" max="12" width="7.7109375" style="1" bestFit="1" customWidth="1"/>
    <col min="13" max="13" width="7.85546875" style="1" bestFit="1" customWidth="1"/>
    <col min="14" max="14" width="7.28515625" style="1" bestFit="1" customWidth="1"/>
    <col min="15" max="15" width="8.42578125" style="1" bestFit="1" customWidth="1"/>
    <col min="16" max="16" width="7.7109375" style="1" bestFit="1" customWidth="1"/>
    <col min="17" max="17" width="7.85546875" style="1" bestFit="1" customWidth="1"/>
    <col min="18" max="18" width="7.28515625" style="1" bestFit="1" customWidth="1"/>
    <col min="19" max="19" width="8.42578125" style="1" bestFit="1" customWidth="1"/>
    <col min="20" max="20" width="7.7109375" style="1" bestFit="1" customWidth="1"/>
    <col min="21" max="21" width="7.85546875" style="1" bestFit="1" customWidth="1"/>
    <col min="22" max="22" width="7.28515625" style="1" bestFit="1" customWidth="1"/>
    <col min="23" max="23" width="8.42578125" style="1" bestFit="1" customWidth="1"/>
    <col min="24" max="24" width="7.7109375" style="1" bestFit="1" customWidth="1"/>
    <col min="25" max="25" width="7.85546875" style="1" bestFit="1" customWidth="1"/>
    <col min="26" max="26" width="7.28515625" style="1" bestFit="1" customWidth="1"/>
    <col min="27" max="27" width="8.42578125" style="1" bestFit="1" customWidth="1"/>
    <col min="28" max="28" width="7.7109375" style="1" bestFit="1" customWidth="1"/>
    <col min="29" max="29" width="7.85546875" style="1" bestFit="1" customWidth="1"/>
    <col min="30" max="30" width="7.28515625" style="1" bestFit="1" customWidth="1"/>
    <col min="31" max="31" width="8.42578125" style="1" bestFit="1" customWidth="1"/>
    <col min="32" max="32" width="7.7109375" style="1" bestFit="1" customWidth="1"/>
    <col min="33" max="33" width="7.85546875" style="1" bestFit="1" customWidth="1"/>
    <col min="34" max="34" width="7.28515625" style="1" bestFit="1" customWidth="1"/>
    <col min="35" max="35" width="8.42578125" style="1" bestFit="1" customWidth="1"/>
    <col min="36" max="36" width="7.7109375" style="1" bestFit="1" customWidth="1"/>
    <col min="37" max="37" width="7.85546875" style="1" bestFit="1" customWidth="1"/>
    <col min="38" max="38" width="7.28515625" style="1" bestFit="1" customWidth="1"/>
    <col min="39" max="39" width="8.42578125" style="1" bestFit="1" customWidth="1"/>
    <col min="40" max="40" width="7.7109375" style="1" bestFit="1" customWidth="1"/>
    <col min="41" max="41" width="7.85546875" style="1" bestFit="1" customWidth="1"/>
    <col min="42" max="42" width="7.28515625" style="1" bestFit="1" customWidth="1"/>
    <col min="43" max="43" width="8.42578125" style="1" bestFit="1" customWidth="1"/>
    <col min="44" max="44" width="7.7109375" style="1" bestFit="1" customWidth="1"/>
    <col min="45" max="45" width="7.85546875" style="1" bestFit="1" customWidth="1"/>
    <col min="46" max="46" width="7.28515625" style="1" bestFit="1" customWidth="1"/>
    <col min="47" max="47" width="8.42578125" style="1" bestFit="1" customWidth="1"/>
    <col min="48" max="48" width="7.7109375" style="1" bestFit="1" customWidth="1"/>
    <col min="49" max="49" width="7.85546875" style="1" bestFit="1" customWidth="1"/>
    <col min="50" max="50" width="7.28515625" style="1" bestFit="1" customWidth="1"/>
    <col min="51" max="51" width="8.42578125" style="1" bestFit="1" customWidth="1"/>
    <col min="52" max="52" width="7.7109375" style="1" bestFit="1" customWidth="1"/>
    <col min="53" max="53" width="7.85546875" style="1" bestFit="1" customWidth="1"/>
    <col min="54" max="54" width="7.28515625" style="1" bestFit="1" customWidth="1"/>
    <col min="55" max="55" width="8.42578125" style="1" bestFit="1" customWidth="1"/>
    <col min="56" max="56" width="7.7109375" style="1" bestFit="1" customWidth="1"/>
    <col min="57" max="57" width="7.85546875" style="1" bestFit="1" customWidth="1"/>
    <col min="58" max="58" width="7.28515625" style="1" bestFit="1" customWidth="1"/>
    <col min="59" max="59" width="8.42578125" style="1" bestFit="1" customWidth="1"/>
    <col min="60" max="60" width="7.7109375" style="1" bestFit="1" customWidth="1"/>
    <col min="61" max="61" width="7.85546875" style="1" bestFit="1" customWidth="1"/>
    <col min="62" max="62" width="7.28515625" style="1" bestFit="1" customWidth="1"/>
    <col min="63" max="63" width="8.42578125" style="1" bestFit="1" customWidth="1"/>
    <col min="64" max="64" width="7.7109375" style="1" bestFit="1" customWidth="1"/>
    <col min="65" max="65" width="7.85546875" style="1" bestFit="1" customWidth="1"/>
    <col min="66" max="66" width="7.28515625" style="1" bestFit="1" customWidth="1"/>
    <col min="67" max="67" width="8.42578125" style="1" bestFit="1" customWidth="1"/>
    <col min="68" max="68" width="7.7109375" style="1" bestFit="1" customWidth="1"/>
    <col min="69" max="69" width="7.85546875" style="1" bestFit="1" customWidth="1"/>
    <col min="70" max="70" width="7.28515625" style="1" bestFit="1" customWidth="1"/>
    <col min="71" max="71" width="8.42578125" style="1" bestFit="1" customWidth="1"/>
    <col min="72" max="72" width="7.7109375" style="1" bestFit="1" customWidth="1"/>
    <col min="73" max="73" width="7.85546875" style="1" bestFit="1" customWidth="1"/>
    <col min="74" max="74" width="7.28515625" style="1" bestFit="1" customWidth="1"/>
    <col min="75" max="75" width="8.42578125" style="1" bestFit="1" customWidth="1"/>
    <col min="76" max="76" width="7.7109375" style="1" bestFit="1" customWidth="1"/>
    <col min="77" max="77" width="7.85546875" style="1" bestFit="1" customWidth="1"/>
    <col min="78" max="78" width="7.28515625" style="1" bestFit="1" customWidth="1"/>
    <col min="79" max="79" width="8.42578125" style="1" bestFit="1" customWidth="1"/>
    <col min="80" max="80" width="7.7109375" style="1" bestFit="1" customWidth="1"/>
    <col min="81" max="81" width="7.85546875" style="1" bestFit="1" customWidth="1"/>
    <col min="82" max="82" width="7.28515625" style="1" bestFit="1" customWidth="1"/>
    <col min="83" max="83" width="8.42578125" style="1" bestFit="1" customWidth="1"/>
    <col min="84" max="84" width="7.7109375" style="1" bestFit="1" customWidth="1"/>
    <col min="85" max="85" width="7.85546875" style="1" bestFit="1" customWidth="1"/>
    <col min="86" max="86" width="7.28515625" style="1" bestFit="1" customWidth="1"/>
    <col min="87" max="87" width="8.42578125" style="1" bestFit="1" customWidth="1"/>
    <col min="88" max="88" width="7.7109375" style="1" bestFit="1" customWidth="1"/>
    <col min="89" max="89" width="7.85546875" style="1" bestFit="1" customWidth="1"/>
    <col min="90" max="90" width="7.28515625" style="1" bestFit="1" customWidth="1"/>
    <col min="91" max="91" width="8.42578125" style="1" bestFit="1" customWidth="1"/>
    <col min="92" max="92" width="7.7109375" style="1" bestFit="1" customWidth="1"/>
    <col min="93" max="93" width="7.85546875" style="1" bestFit="1" customWidth="1"/>
    <col min="94" max="94" width="7.28515625" style="1" bestFit="1" customWidth="1"/>
    <col min="95" max="95" width="8.42578125" style="1" bestFit="1" customWidth="1"/>
    <col min="96" max="96" width="7.7109375" style="1" bestFit="1" customWidth="1"/>
    <col min="97" max="97" width="7.85546875" style="1" bestFit="1" customWidth="1"/>
    <col min="98" max="98" width="7.28515625" style="1" bestFit="1" customWidth="1"/>
    <col min="99" max="99" width="8.42578125" style="1" bestFit="1" customWidth="1"/>
    <col min="100" max="100" width="7.7109375" style="1" bestFit="1" customWidth="1"/>
    <col min="101" max="101" width="7.85546875" style="1" bestFit="1" customWidth="1"/>
    <col min="102" max="102" width="7.28515625" style="1" bestFit="1" customWidth="1"/>
    <col min="103" max="103" width="8.42578125" style="1" bestFit="1" customWidth="1"/>
    <col min="104" max="104" width="7.7109375" style="1" bestFit="1" customWidth="1"/>
    <col min="105" max="105" width="7.85546875" style="1" bestFit="1" customWidth="1"/>
    <col min="106" max="106" width="7.28515625" style="1" bestFit="1" customWidth="1"/>
    <col min="107" max="107" width="8.42578125" style="1" bestFit="1" customWidth="1"/>
    <col min="108" max="108" width="7.7109375" style="1" bestFit="1" customWidth="1"/>
    <col min="109" max="109" width="7.85546875" style="1" bestFit="1" customWidth="1"/>
    <col min="110" max="110" width="7.28515625" style="1" bestFit="1" customWidth="1"/>
    <col min="111" max="111" width="8.42578125" style="1" bestFit="1" customWidth="1"/>
    <col min="112" max="112" width="7.7109375" style="1" bestFit="1" customWidth="1"/>
    <col min="113" max="113" width="7.85546875" style="1" bestFit="1" customWidth="1"/>
    <col min="114" max="114" width="7.28515625" style="1" bestFit="1" customWidth="1"/>
    <col min="115" max="115" width="8.42578125" style="1" bestFit="1" customWidth="1"/>
    <col min="116" max="116" width="7.7109375" style="1" bestFit="1" customWidth="1"/>
    <col min="117" max="117" width="7.85546875" style="1" bestFit="1" customWidth="1"/>
    <col min="118" max="118" width="7.28515625" style="1" bestFit="1" customWidth="1"/>
    <col min="119" max="119" width="8.42578125" style="1" bestFit="1" customWidth="1"/>
    <col min="120" max="120" width="7.7109375" style="1" bestFit="1" customWidth="1"/>
    <col min="121" max="121" width="7.85546875" style="1" bestFit="1" customWidth="1"/>
    <col min="122" max="122" width="7.28515625" style="1" bestFit="1" customWidth="1"/>
    <col min="123" max="123" width="6.85546875" style="1" bestFit="1" customWidth="1"/>
    <col min="124" max="124" width="8.5703125" style="1" bestFit="1" customWidth="1"/>
    <col min="125" max="125" width="9.140625" style="1" bestFit="1" customWidth="1"/>
    <col min="126" max="126" width="6.140625" style="1" bestFit="1" customWidth="1"/>
    <col min="127" max="127" width="15.7109375" style="1" bestFit="1" customWidth="1"/>
    <col min="128" max="128" width="6.85546875" style="1" bestFit="1" customWidth="1"/>
    <col min="129" max="190" width="9" style="1" customWidth="1"/>
  </cols>
  <sheetData>
    <row r="1" spans="1:191" x14ac:dyDescent="0.25">
      <c r="B1" s="1">
        <v>110</v>
      </c>
      <c r="C1" s="1">
        <v>111</v>
      </c>
      <c r="D1" s="1">
        <v>112</v>
      </c>
      <c r="E1" s="1">
        <v>113</v>
      </c>
      <c r="F1" s="1">
        <v>114</v>
      </c>
      <c r="G1" s="1">
        <v>115</v>
      </c>
      <c r="H1" s="1">
        <v>116</v>
      </c>
      <c r="I1" s="1">
        <v>117</v>
      </c>
      <c r="J1" s="1">
        <v>118</v>
      </c>
      <c r="K1" s="1">
        <v>119</v>
      </c>
      <c r="L1" s="1">
        <v>120</v>
      </c>
      <c r="M1" s="1">
        <v>121</v>
      </c>
      <c r="N1" s="1">
        <v>122</v>
      </c>
      <c r="O1" s="1">
        <v>123</v>
      </c>
      <c r="P1" s="1">
        <v>124</v>
      </c>
      <c r="Q1" s="1">
        <v>125</v>
      </c>
      <c r="R1" s="1">
        <v>126</v>
      </c>
      <c r="S1" s="1">
        <v>127</v>
      </c>
      <c r="T1" s="1">
        <v>128</v>
      </c>
      <c r="U1" s="1">
        <v>129</v>
      </c>
      <c r="V1" s="1">
        <v>130</v>
      </c>
      <c r="W1" s="1">
        <v>131</v>
      </c>
      <c r="X1" s="1">
        <v>132</v>
      </c>
      <c r="Y1" s="1">
        <v>133</v>
      </c>
      <c r="Z1" s="1">
        <v>134</v>
      </c>
      <c r="AA1" s="1">
        <v>135</v>
      </c>
      <c r="AB1" s="1">
        <v>136</v>
      </c>
      <c r="AC1" s="1">
        <v>137</v>
      </c>
      <c r="AD1" s="1">
        <v>138</v>
      </c>
      <c r="AE1" s="1">
        <v>139</v>
      </c>
      <c r="AF1" s="1">
        <v>140</v>
      </c>
      <c r="AG1" s="1">
        <v>141</v>
      </c>
      <c r="AH1" s="1">
        <v>142</v>
      </c>
      <c r="AI1" s="1">
        <v>143</v>
      </c>
      <c r="AJ1" s="1">
        <v>144</v>
      </c>
      <c r="AK1" s="1">
        <v>145</v>
      </c>
      <c r="AL1" s="1">
        <v>146</v>
      </c>
      <c r="AM1" s="1">
        <v>147</v>
      </c>
      <c r="AN1" s="1">
        <v>148</v>
      </c>
      <c r="AO1" s="1">
        <v>149</v>
      </c>
      <c r="AP1" s="1">
        <v>150</v>
      </c>
      <c r="AQ1" s="1">
        <v>151</v>
      </c>
      <c r="AR1" s="1">
        <v>152</v>
      </c>
      <c r="AS1" s="1">
        <v>153</v>
      </c>
      <c r="AT1" s="1">
        <v>154</v>
      </c>
      <c r="AU1" s="1">
        <v>155</v>
      </c>
      <c r="AV1" s="1">
        <v>156</v>
      </c>
      <c r="AW1" s="1">
        <v>157</v>
      </c>
      <c r="AX1" s="1">
        <v>158</v>
      </c>
      <c r="AY1" s="1">
        <v>159</v>
      </c>
      <c r="AZ1" s="1">
        <v>160</v>
      </c>
      <c r="BA1" s="1">
        <v>161</v>
      </c>
      <c r="BB1" s="1">
        <v>162</v>
      </c>
      <c r="BC1" s="1">
        <v>163</v>
      </c>
      <c r="BD1" s="1">
        <v>164</v>
      </c>
      <c r="BE1" s="1">
        <v>165</v>
      </c>
      <c r="BF1" s="1">
        <v>166</v>
      </c>
      <c r="BG1" s="1">
        <v>167</v>
      </c>
      <c r="BH1" s="1">
        <v>168</v>
      </c>
      <c r="BI1" s="1">
        <v>169</v>
      </c>
      <c r="BJ1" s="1">
        <v>170</v>
      </c>
      <c r="BK1" s="1">
        <v>171</v>
      </c>
      <c r="BL1" s="1">
        <v>172</v>
      </c>
      <c r="BM1" s="1">
        <v>173</v>
      </c>
      <c r="BN1" s="1">
        <v>174</v>
      </c>
      <c r="BO1" s="1">
        <v>175</v>
      </c>
      <c r="BP1" s="1">
        <v>176</v>
      </c>
      <c r="BQ1" s="1">
        <v>177</v>
      </c>
      <c r="BR1" s="1">
        <v>178</v>
      </c>
      <c r="BS1" s="1">
        <v>179</v>
      </c>
      <c r="BT1" s="1">
        <v>180</v>
      </c>
      <c r="BU1" s="1">
        <v>181</v>
      </c>
      <c r="BV1" s="1">
        <v>182</v>
      </c>
      <c r="BW1" s="1">
        <v>183</v>
      </c>
      <c r="BX1" s="1">
        <v>184</v>
      </c>
      <c r="BY1" s="1">
        <v>185</v>
      </c>
      <c r="BZ1" s="1">
        <v>186</v>
      </c>
      <c r="CA1" s="1">
        <v>187</v>
      </c>
      <c r="CB1" s="1">
        <v>188</v>
      </c>
      <c r="CC1" s="1">
        <v>189</v>
      </c>
      <c r="CD1" s="1">
        <v>190</v>
      </c>
      <c r="CE1" s="1">
        <v>191</v>
      </c>
      <c r="CF1" s="1">
        <v>192</v>
      </c>
      <c r="CG1" s="1">
        <v>193</v>
      </c>
      <c r="CH1" s="1">
        <v>194</v>
      </c>
      <c r="CI1" s="1">
        <v>195</v>
      </c>
      <c r="CJ1" s="1">
        <v>196</v>
      </c>
      <c r="CK1" s="1">
        <v>197</v>
      </c>
      <c r="CL1" s="1">
        <v>198</v>
      </c>
      <c r="CM1" s="1">
        <v>199</v>
      </c>
      <c r="CN1" s="1">
        <v>200</v>
      </c>
      <c r="CO1" s="1">
        <v>201</v>
      </c>
      <c r="CP1" s="1">
        <v>202</v>
      </c>
      <c r="CQ1" s="1">
        <v>203</v>
      </c>
      <c r="CR1" s="1">
        <v>204</v>
      </c>
      <c r="CS1" s="1">
        <v>205</v>
      </c>
      <c r="CT1" s="1">
        <v>206</v>
      </c>
      <c r="CU1" s="1">
        <v>207</v>
      </c>
      <c r="CV1" s="1">
        <v>208</v>
      </c>
      <c r="CW1" s="1">
        <v>209</v>
      </c>
      <c r="CX1" s="1">
        <v>210</v>
      </c>
      <c r="CY1" s="1">
        <v>211</v>
      </c>
      <c r="CZ1" s="1">
        <v>212</v>
      </c>
      <c r="DA1" s="1">
        <v>213</v>
      </c>
      <c r="DB1" s="1">
        <v>214</v>
      </c>
      <c r="DC1" s="1">
        <v>215</v>
      </c>
      <c r="DD1" s="1">
        <v>216</v>
      </c>
      <c r="DE1" s="1">
        <v>217</v>
      </c>
      <c r="DF1" s="1">
        <v>218</v>
      </c>
      <c r="DG1" s="1">
        <v>219</v>
      </c>
      <c r="DH1" s="1">
        <v>220</v>
      </c>
      <c r="DI1" s="1">
        <v>221</v>
      </c>
      <c r="DJ1" s="1">
        <v>222</v>
      </c>
      <c r="DK1" s="1">
        <v>223</v>
      </c>
      <c r="DL1" s="1">
        <v>224</v>
      </c>
      <c r="DM1" s="1">
        <v>225</v>
      </c>
      <c r="DN1" s="1">
        <v>226</v>
      </c>
      <c r="DO1" s="1">
        <v>227</v>
      </c>
      <c r="DP1" s="1">
        <v>228</v>
      </c>
      <c r="DQ1" s="1">
        <v>229</v>
      </c>
      <c r="DR1" s="1">
        <v>230</v>
      </c>
    </row>
    <row r="2" spans="1:191" x14ac:dyDescent="0.25">
      <c r="A2" s="3" t="s">
        <v>1</v>
      </c>
      <c r="B2" s="7">
        <v>37986</v>
      </c>
      <c r="C2" s="7">
        <v>38077</v>
      </c>
      <c r="D2" s="7">
        <v>38168</v>
      </c>
      <c r="E2" s="7">
        <v>38260</v>
      </c>
      <c r="F2" s="7">
        <v>38352</v>
      </c>
      <c r="G2" s="7">
        <v>38442</v>
      </c>
      <c r="H2" s="7">
        <v>38533</v>
      </c>
      <c r="I2" s="7">
        <v>38625</v>
      </c>
      <c r="J2" s="7">
        <v>38717</v>
      </c>
      <c r="K2" s="7">
        <v>38807</v>
      </c>
      <c r="L2" s="7">
        <v>38898</v>
      </c>
      <c r="M2" s="7">
        <v>38990</v>
      </c>
      <c r="N2" s="7">
        <v>39082</v>
      </c>
      <c r="O2" s="7">
        <v>39172</v>
      </c>
      <c r="P2" s="7">
        <v>39263</v>
      </c>
      <c r="Q2" s="7">
        <v>39355</v>
      </c>
      <c r="R2" s="7">
        <v>39447</v>
      </c>
      <c r="S2" s="7">
        <v>39538</v>
      </c>
      <c r="T2" s="7">
        <v>39629</v>
      </c>
      <c r="U2" s="7">
        <v>39721</v>
      </c>
      <c r="V2" s="7">
        <v>39813</v>
      </c>
      <c r="W2" s="7">
        <v>39903</v>
      </c>
      <c r="X2" s="7">
        <v>39994</v>
      </c>
      <c r="Y2" s="7">
        <v>40086</v>
      </c>
      <c r="Z2" s="7">
        <v>40178</v>
      </c>
      <c r="AA2" s="7">
        <v>40268</v>
      </c>
      <c r="AB2" s="7">
        <v>40359</v>
      </c>
      <c r="AC2" s="7">
        <v>40451</v>
      </c>
      <c r="AD2" s="7">
        <v>40543</v>
      </c>
      <c r="AE2" s="7">
        <v>40633</v>
      </c>
      <c r="AF2" s="7">
        <v>40724</v>
      </c>
      <c r="AG2" s="7">
        <v>40816</v>
      </c>
      <c r="AH2" s="7">
        <v>40908</v>
      </c>
      <c r="AI2" s="7">
        <v>40999</v>
      </c>
      <c r="AJ2" s="7">
        <v>41090</v>
      </c>
      <c r="AK2" s="7">
        <v>41182</v>
      </c>
      <c r="AL2" s="7">
        <v>41274</v>
      </c>
      <c r="AM2" s="7">
        <v>41364</v>
      </c>
      <c r="AN2" s="7">
        <v>41455</v>
      </c>
      <c r="AO2" s="7">
        <v>41547</v>
      </c>
      <c r="AP2" s="7">
        <v>41639</v>
      </c>
      <c r="AQ2" s="7">
        <v>41729</v>
      </c>
      <c r="AR2" s="7">
        <v>41820</v>
      </c>
      <c r="AS2" s="7">
        <v>41912</v>
      </c>
      <c r="AT2" s="7">
        <v>42004</v>
      </c>
      <c r="AU2" s="7">
        <v>42094</v>
      </c>
      <c r="AV2" s="7">
        <v>42185</v>
      </c>
      <c r="AW2" s="7">
        <v>42277</v>
      </c>
      <c r="AX2" s="7">
        <v>42369</v>
      </c>
      <c r="AY2" s="7">
        <v>42460</v>
      </c>
      <c r="AZ2" s="7">
        <v>42551</v>
      </c>
      <c r="BA2" s="7">
        <v>42643</v>
      </c>
      <c r="BB2" s="7">
        <v>42735</v>
      </c>
      <c r="BC2" s="7">
        <v>42825</v>
      </c>
      <c r="BD2" s="7">
        <v>42916</v>
      </c>
      <c r="BE2" s="7">
        <v>43008</v>
      </c>
      <c r="BF2" s="7">
        <v>43100</v>
      </c>
      <c r="BG2" s="7">
        <v>43190</v>
      </c>
      <c r="BH2" s="7">
        <v>43281</v>
      </c>
      <c r="BI2" s="7">
        <v>43373</v>
      </c>
      <c r="BJ2" s="7">
        <v>43465</v>
      </c>
      <c r="BK2" s="7">
        <v>43555</v>
      </c>
      <c r="BL2" s="7">
        <v>43646</v>
      </c>
      <c r="BM2" s="7">
        <v>43738</v>
      </c>
      <c r="BN2" s="7">
        <v>43830</v>
      </c>
      <c r="BO2" s="7">
        <v>43921</v>
      </c>
      <c r="BP2" s="7">
        <v>44012</v>
      </c>
      <c r="BQ2" s="7">
        <v>44104</v>
      </c>
      <c r="BR2" s="7">
        <v>44196</v>
      </c>
      <c r="BS2" s="7">
        <v>44286</v>
      </c>
      <c r="BT2" s="7">
        <v>44377</v>
      </c>
      <c r="BU2" s="7">
        <v>44469</v>
      </c>
      <c r="BV2" s="7">
        <v>44561</v>
      </c>
      <c r="BW2" s="7">
        <v>44651</v>
      </c>
      <c r="BX2" s="7">
        <v>44742</v>
      </c>
      <c r="BY2" s="7">
        <v>44834</v>
      </c>
      <c r="BZ2" s="7">
        <v>44926</v>
      </c>
      <c r="CA2" s="7">
        <v>45016</v>
      </c>
      <c r="CB2" s="7">
        <v>45107</v>
      </c>
      <c r="CC2" s="7">
        <v>45199</v>
      </c>
      <c r="CD2" s="7">
        <v>45291</v>
      </c>
      <c r="CE2" s="7">
        <v>45382</v>
      </c>
      <c r="CF2" s="7">
        <v>45473</v>
      </c>
      <c r="CG2" s="7">
        <v>45565</v>
      </c>
      <c r="CH2" s="7">
        <v>45657</v>
      </c>
      <c r="CI2" s="7">
        <v>45747</v>
      </c>
      <c r="CJ2" s="7">
        <v>45838</v>
      </c>
      <c r="CK2" s="7">
        <v>45930</v>
      </c>
      <c r="CL2" s="7">
        <v>46022</v>
      </c>
      <c r="CM2" s="7">
        <v>46112</v>
      </c>
      <c r="CN2" s="7">
        <v>46203</v>
      </c>
      <c r="CO2" s="7">
        <v>46295</v>
      </c>
      <c r="CP2" s="7">
        <v>46387</v>
      </c>
      <c r="CQ2" s="7">
        <v>46477</v>
      </c>
      <c r="CR2" s="7">
        <v>46568</v>
      </c>
      <c r="CS2" s="7">
        <v>46660</v>
      </c>
      <c r="CT2" s="7">
        <v>46752</v>
      </c>
      <c r="CU2" s="7">
        <v>46843</v>
      </c>
      <c r="CV2" s="7">
        <v>46934</v>
      </c>
      <c r="CW2" s="7">
        <v>47026</v>
      </c>
      <c r="CX2" s="7">
        <v>47118</v>
      </c>
      <c r="CY2" s="7">
        <v>47208</v>
      </c>
      <c r="CZ2" s="7">
        <v>47299</v>
      </c>
      <c r="DA2" s="7">
        <v>47391</v>
      </c>
      <c r="DB2" s="7">
        <v>47483</v>
      </c>
      <c r="DC2" s="7">
        <v>47573</v>
      </c>
      <c r="DD2" s="7">
        <v>47664</v>
      </c>
      <c r="DE2" s="7">
        <v>47756</v>
      </c>
      <c r="DF2" s="7">
        <v>47848</v>
      </c>
      <c r="DG2" s="7">
        <v>47938</v>
      </c>
      <c r="DH2" s="7">
        <v>48029</v>
      </c>
      <c r="DI2" s="7">
        <v>48121</v>
      </c>
      <c r="DJ2" s="7">
        <v>48213</v>
      </c>
      <c r="DK2" s="7">
        <v>48304</v>
      </c>
      <c r="DL2" s="7">
        <v>48395</v>
      </c>
      <c r="DM2" s="7">
        <v>48487</v>
      </c>
      <c r="DN2" s="7">
        <v>48579</v>
      </c>
      <c r="DO2" s="7">
        <v>48669</v>
      </c>
      <c r="DP2" s="7">
        <v>48760</v>
      </c>
      <c r="DQ2" s="7">
        <v>48852</v>
      </c>
      <c r="DR2" s="7">
        <v>48944</v>
      </c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</row>
    <row r="3" spans="1:191" x14ac:dyDescent="0.25">
      <c r="A3" s="4">
        <v>1</v>
      </c>
      <c r="B3" s="1">
        <v>20174.646805046374</v>
      </c>
      <c r="C3" s="1">
        <v>20232.479462493688</v>
      </c>
      <c r="D3" s="1">
        <v>20503.412631637264</v>
      </c>
      <c r="E3" s="1">
        <v>20615.478398727799</v>
      </c>
      <c r="F3" s="1">
        <v>20797.279275256617</v>
      </c>
      <c r="G3" s="1">
        <v>21034.955880161553</v>
      </c>
      <c r="H3" s="1">
        <v>21396.507310951682</v>
      </c>
      <c r="I3" s="1">
        <v>21363.999293529821</v>
      </c>
      <c r="J3" s="1">
        <v>21526.128061596388</v>
      </c>
      <c r="K3" s="1">
        <v>21700.832393382741</v>
      </c>
      <c r="L3" s="1">
        <v>21930.902892793769</v>
      </c>
      <c r="M3" s="1">
        <v>21996.053163818106</v>
      </c>
      <c r="N3" s="1">
        <v>22159.204840754446</v>
      </c>
      <c r="O3" s="1">
        <v>22312.872546975421</v>
      </c>
      <c r="P3" s="1">
        <v>22544.740845874076</v>
      </c>
      <c r="Q3" s="1">
        <v>22722.515146768666</v>
      </c>
      <c r="R3" s="1">
        <v>22789.631139143756</v>
      </c>
      <c r="S3" s="1">
        <v>23000.688339915701</v>
      </c>
      <c r="T3" s="1">
        <v>23226.928982006273</v>
      </c>
      <c r="U3" s="1">
        <v>23288.875520468249</v>
      </c>
      <c r="V3" s="1">
        <v>23392.580543762513</v>
      </c>
      <c r="W3" s="1">
        <v>23469.037899095551</v>
      </c>
      <c r="X3" s="1">
        <v>23412.962727099439</v>
      </c>
      <c r="Y3" s="1">
        <v>23245.420999512233</v>
      </c>
      <c r="Z3" s="1">
        <v>23241.514773047718</v>
      </c>
      <c r="AA3" s="1">
        <v>23332.784720985783</v>
      </c>
      <c r="AB3" s="1">
        <v>23482.543974331053</v>
      </c>
      <c r="AC3" s="1">
        <v>23450.310128970403</v>
      </c>
      <c r="AD3" s="1">
        <v>23398.86865717086</v>
      </c>
      <c r="AE3" s="1">
        <v>23402.521339569445</v>
      </c>
      <c r="AF3" s="1">
        <v>23501.399813940123</v>
      </c>
      <c r="AG3" s="1">
        <v>23503.169685227542</v>
      </c>
      <c r="AH3" s="1">
        <v>23434.784878982922</v>
      </c>
      <c r="AI3" s="1">
        <v>23494.646824804011</v>
      </c>
      <c r="AJ3" s="1">
        <v>23486.234218969043</v>
      </c>
      <c r="AK3" s="1">
        <v>23472.778722427793</v>
      </c>
      <c r="AL3" s="1">
        <v>23315.908348504112</v>
      </c>
      <c r="AM3" s="1">
        <v>23334.059223068019</v>
      </c>
      <c r="AN3" s="1">
        <v>23133.427056051743</v>
      </c>
      <c r="AO3" s="1">
        <v>23082.554850090772</v>
      </c>
      <c r="AP3" s="1">
        <v>22997.067957280276</v>
      </c>
      <c r="AQ3" s="1">
        <v>22812.027183872378</v>
      </c>
      <c r="AR3" s="1">
        <v>22932.668332647765</v>
      </c>
      <c r="AS3" s="1">
        <v>22835.493380924472</v>
      </c>
      <c r="AT3" s="1">
        <v>22997.143262080899</v>
      </c>
      <c r="AU3" s="1">
        <v>22886.429685737494</v>
      </c>
      <c r="AV3" s="1">
        <v>23001.290867654665</v>
      </c>
      <c r="AW3" s="1">
        <v>22853.576979814294</v>
      </c>
      <c r="AX3" s="1">
        <v>22787.676020211533</v>
      </c>
      <c r="AY3" s="1">
        <v>22858.544333646481</v>
      </c>
      <c r="AZ3" s="1">
        <v>22833.535569632724</v>
      </c>
      <c r="BA3" s="1">
        <v>22819.456414547363</v>
      </c>
      <c r="BB3" s="1">
        <v>22662.801468825521</v>
      </c>
      <c r="BC3" s="1">
        <v>22728.069443411696</v>
      </c>
      <c r="BD3" s="1">
        <v>22683.138560521791</v>
      </c>
      <c r="BE3" s="1">
        <v>22750.17213410879</v>
      </c>
      <c r="BF3" s="1">
        <v>22718.702992915147</v>
      </c>
      <c r="BG3" s="1">
        <v>22710.88010262468</v>
      </c>
      <c r="BH3" s="1">
        <v>22845.617935759958</v>
      </c>
      <c r="BI3" s="1">
        <v>22846.634432804734</v>
      </c>
      <c r="BJ3" s="1">
        <v>22831.033003836321</v>
      </c>
      <c r="BK3" s="1">
        <v>22917.337625231852</v>
      </c>
      <c r="BL3" s="1">
        <v>23080.000864258189</v>
      </c>
      <c r="BM3" s="1">
        <v>23113.416318282176</v>
      </c>
      <c r="BN3" s="1">
        <v>23159.809846302436</v>
      </c>
      <c r="BO3" s="1">
        <v>23103.930968527937</v>
      </c>
      <c r="BP3" s="1">
        <v>21819.630827136811</v>
      </c>
      <c r="BQ3" s="1">
        <v>22761.040092269752</v>
      </c>
      <c r="BR3" s="1">
        <v>22964.343789760595</v>
      </c>
      <c r="BS3" s="1" t="s">
        <v>10</v>
      </c>
      <c r="BT3" s="1" t="s">
        <v>10</v>
      </c>
      <c r="BU3" s="1" t="s">
        <v>10</v>
      </c>
      <c r="BV3" s="1" t="s">
        <v>10</v>
      </c>
      <c r="BW3" s="1" t="s">
        <v>10</v>
      </c>
      <c r="BX3" s="1" t="s">
        <v>10</v>
      </c>
      <c r="BY3" s="1" t="s">
        <v>10</v>
      </c>
      <c r="BZ3" s="1" t="s">
        <v>10</v>
      </c>
      <c r="CA3" s="1" t="s">
        <v>10</v>
      </c>
      <c r="CB3" s="1" t="s">
        <v>10</v>
      </c>
      <c r="CC3" s="1" t="s">
        <v>10</v>
      </c>
      <c r="CD3" s="1" t="s">
        <v>10</v>
      </c>
      <c r="CE3" s="1" t="s">
        <v>10</v>
      </c>
      <c r="CF3" s="1" t="s">
        <v>10</v>
      </c>
      <c r="CG3" s="1" t="s">
        <v>10</v>
      </c>
      <c r="CH3" s="1" t="s">
        <v>10</v>
      </c>
      <c r="CI3" s="1" t="s">
        <v>10</v>
      </c>
      <c r="CJ3" s="1" t="s">
        <v>10</v>
      </c>
      <c r="CK3" s="1" t="s">
        <v>10</v>
      </c>
      <c r="CL3" s="1" t="s">
        <v>10</v>
      </c>
      <c r="CM3" s="1" t="s">
        <v>10</v>
      </c>
      <c r="CN3" s="1" t="s">
        <v>10</v>
      </c>
      <c r="CO3" s="1" t="s">
        <v>10</v>
      </c>
      <c r="CP3" s="1" t="s">
        <v>10</v>
      </c>
      <c r="CQ3" s="1" t="s">
        <v>10</v>
      </c>
      <c r="CR3" s="1" t="s">
        <v>10</v>
      </c>
      <c r="CS3" s="1" t="s">
        <v>10</v>
      </c>
      <c r="CT3" s="1" t="s">
        <v>10</v>
      </c>
      <c r="CU3" s="1" t="s">
        <v>10</v>
      </c>
      <c r="CV3" s="1" t="s">
        <v>10</v>
      </c>
      <c r="CW3" s="1" t="s">
        <v>10</v>
      </c>
      <c r="CX3" s="1" t="s">
        <v>10</v>
      </c>
      <c r="CY3" s="1" t="s">
        <v>10</v>
      </c>
      <c r="CZ3" s="1" t="s">
        <v>10</v>
      </c>
      <c r="DA3" s="1" t="s">
        <v>10</v>
      </c>
      <c r="DB3" s="1" t="s">
        <v>10</v>
      </c>
      <c r="DC3" s="1" t="s">
        <v>10</v>
      </c>
      <c r="DD3" s="1" t="s">
        <v>10</v>
      </c>
      <c r="DE3" s="1" t="s">
        <v>10</v>
      </c>
      <c r="DF3" s="1" t="s">
        <v>10</v>
      </c>
      <c r="DG3" s="1" t="s">
        <v>10</v>
      </c>
      <c r="DH3" s="1" t="s">
        <v>10</v>
      </c>
      <c r="DI3" s="1" t="s">
        <v>10</v>
      </c>
      <c r="DJ3" s="1" t="s">
        <v>10</v>
      </c>
      <c r="DK3" s="1" t="s">
        <v>10</v>
      </c>
      <c r="DL3" s="1" t="s">
        <v>10</v>
      </c>
      <c r="DM3" s="1" t="s">
        <v>10</v>
      </c>
      <c r="DN3" s="1" t="s">
        <v>10</v>
      </c>
      <c r="DO3" s="1" t="s">
        <v>10</v>
      </c>
      <c r="DP3" s="1" t="s">
        <v>10</v>
      </c>
      <c r="DQ3" s="1" t="s">
        <v>10</v>
      </c>
      <c r="DR3" s="1" t="s">
        <v>10</v>
      </c>
      <c r="GI3" s="1"/>
    </row>
    <row r="4" spans="1:191" x14ac:dyDescent="0.25">
      <c r="A4" s="4">
        <v>2</v>
      </c>
      <c r="B4" s="1">
        <v>20351.913889702941</v>
      </c>
      <c r="C4" s="1">
        <v>20453.672680868454</v>
      </c>
      <c r="D4" s="1">
        <v>20641.683653070453</v>
      </c>
      <c r="E4" s="1">
        <v>20730.968409732217</v>
      </c>
      <c r="F4" s="1">
        <v>20962.982030785333</v>
      </c>
      <c r="G4" s="1">
        <v>21310.938161995015</v>
      </c>
      <c r="H4" s="1">
        <v>21578.75529949108</v>
      </c>
      <c r="I4" s="1">
        <v>21501.382833211152</v>
      </c>
      <c r="J4" s="1">
        <v>21696.960330309448</v>
      </c>
      <c r="K4" s="1">
        <v>21932.259852405503</v>
      </c>
      <c r="L4" s="1">
        <v>22096.457616410233</v>
      </c>
      <c r="M4" s="1">
        <v>22127.41030150414</v>
      </c>
      <c r="N4" s="1">
        <v>22344.503764313355</v>
      </c>
      <c r="O4" s="1">
        <v>22517.693862866414</v>
      </c>
      <c r="P4" s="1">
        <v>22704.072197579058</v>
      </c>
      <c r="Q4" s="1">
        <v>22863.980811412592</v>
      </c>
      <c r="R4" s="1">
        <v>22987.10107488076</v>
      </c>
      <c r="S4" s="1">
        <v>23211.630813620606</v>
      </c>
      <c r="T4" s="1">
        <v>23377.922275486526</v>
      </c>
      <c r="U4" s="1">
        <v>23424.229647249947</v>
      </c>
      <c r="V4" s="1">
        <v>23586.160638499638</v>
      </c>
      <c r="W4" s="1">
        <v>23640.868051015263</v>
      </c>
      <c r="X4" s="1">
        <v>23533.784593901713</v>
      </c>
      <c r="Y4" s="1">
        <v>23269.447299828997</v>
      </c>
      <c r="Z4" s="1">
        <v>23293.453044296519</v>
      </c>
      <c r="AA4" s="1">
        <v>23395.382449825425</v>
      </c>
      <c r="AB4" s="1">
        <v>23562.651390767722</v>
      </c>
      <c r="AC4" s="1">
        <v>23495.907908767811</v>
      </c>
      <c r="AD4" s="1">
        <v>23467.037972598322</v>
      </c>
      <c r="AE4" s="1">
        <v>23409.305587599476</v>
      </c>
      <c r="AF4" s="1">
        <v>23532.903336129879</v>
      </c>
      <c r="AG4" s="1">
        <v>23515.876857800497</v>
      </c>
      <c r="AH4" s="1">
        <v>23497.917696813205</v>
      </c>
      <c r="AI4" s="1">
        <v>23512.595336054266</v>
      </c>
      <c r="AJ4" s="1">
        <v>23466.513186209253</v>
      </c>
      <c r="AK4" s="1">
        <v>23464.245024115062</v>
      </c>
      <c r="AL4" s="1">
        <v>23356.050773076699</v>
      </c>
      <c r="AM4" s="1">
        <v>23309.791970035229</v>
      </c>
      <c r="AN4" s="1">
        <v>23032.822256976255</v>
      </c>
      <c r="AO4" s="1">
        <v>23018.245090187404</v>
      </c>
      <c r="AP4" s="1">
        <v>22967.093497526897</v>
      </c>
      <c r="AQ4" s="1">
        <v>22738.977648792461</v>
      </c>
      <c r="AR4" s="1">
        <v>22835.833186478383</v>
      </c>
      <c r="AS4" s="1">
        <v>22744.244250552852</v>
      </c>
      <c r="AT4" s="1">
        <v>23019.340193423574</v>
      </c>
      <c r="AU4" s="1">
        <v>22853.419363144138</v>
      </c>
      <c r="AV4" s="1">
        <v>22980.784356011249</v>
      </c>
      <c r="AW4" s="1">
        <v>22762.941380428998</v>
      </c>
      <c r="AX4" s="1">
        <v>22822.401507996175</v>
      </c>
      <c r="AY4" s="1">
        <v>22816.663233433912</v>
      </c>
      <c r="AZ4" s="1">
        <v>22802.623873753291</v>
      </c>
      <c r="BA4" s="1">
        <v>22759.144764462508</v>
      </c>
      <c r="BB4" s="1">
        <v>22692.050805595689</v>
      </c>
      <c r="BC4" s="1">
        <v>22681.798787299045</v>
      </c>
      <c r="BD4" s="1">
        <v>22627.534356635129</v>
      </c>
      <c r="BE4" s="1">
        <v>22705.491489645257</v>
      </c>
      <c r="BF4" s="1">
        <v>22764.837994780348</v>
      </c>
      <c r="BG4" s="1">
        <v>22694.375791128688</v>
      </c>
      <c r="BH4" s="1">
        <v>22834.881745014871</v>
      </c>
      <c r="BI4" s="1">
        <v>22802.371762491552</v>
      </c>
      <c r="BJ4" s="1">
        <v>22915.945962337028</v>
      </c>
      <c r="BK4" s="1">
        <v>22927.243916288335</v>
      </c>
      <c r="BL4" s="1">
        <v>23099.562648112253</v>
      </c>
      <c r="BM4" s="1">
        <v>23097.535793037125</v>
      </c>
      <c r="BN4" s="1">
        <v>23301.323641691837</v>
      </c>
      <c r="BO4" s="1">
        <v>23118.672380880635</v>
      </c>
      <c r="BP4" s="1">
        <v>21644.901608503802</v>
      </c>
      <c r="BQ4" s="1">
        <v>22646.171384550518</v>
      </c>
      <c r="BR4" s="1">
        <v>22977.647741667854</v>
      </c>
      <c r="BS4" s="1" t="s">
        <v>10</v>
      </c>
      <c r="BT4" s="1" t="s">
        <v>10</v>
      </c>
      <c r="BU4" s="1" t="s">
        <v>10</v>
      </c>
      <c r="BV4" s="1" t="s">
        <v>10</v>
      </c>
      <c r="BW4" s="1" t="s">
        <v>10</v>
      </c>
      <c r="BX4" s="1" t="s">
        <v>10</v>
      </c>
      <c r="BY4" s="1" t="s">
        <v>10</v>
      </c>
      <c r="BZ4" s="1" t="s">
        <v>10</v>
      </c>
      <c r="CA4" s="1" t="s">
        <v>10</v>
      </c>
      <c r="CB4" s="1" t="s">
        <v>10</v>
      </c>
      <c r="CC4" s="1" t="s">
        <v>10</v>
      </c>
      <c r="CD4" s="1" t="s">
        <v>10</v>
      </c>
      <c r="CE4" s="1" t="s">
        <v>10</v>
      </c>
      <c r="CF4" s="1" t="s">
        <v>10</v>
      </c>
      <c r="CG4" s="1" t="s">
        <v>10</v>
      </c>
      <c r="CH4" s="1" t="s">
        <v>10</v>
      </c>
      <c r="CI4" s="1" t="s">
        <v>10</v>
      </c>
      <c r="CJ4" s="1" t="s">
        <v>10</v>
      </c>
      <c r="CK4" s="1" t="s">
        <v>10</v>
      </c>
      <c r="CL4" s="1" t="s">
        <v>10</v>
      </c>
      <c r="CM4" s="1" t="s">
        <v>10</v>
      </c>
      <c r="CN4" s="1" t="s">
        <v>10</v>
      </c>
      <c r="CO4" s="1" t="s">
        <v>10</v>
      </c>
      <c r="CP4" s="1" t="s">
        <v>10</v>
      </c>
      <c r="CQ4" s="1" t="s">
        <v>10</v>
      </c>
      <c r="CR4" s="1" t="s">
        <v>10</v>
      </c>
      <c r="CS4" s="1" t="s">
        <v>10</v>
      </c>
      <c r="CT4" s="1" t="s">
        <v>10</v>
      </c>
      <c r="CU4" s="1" t="s">
        <v>10</v>
      </c>
      <c r="CV4" s="1" t="s">
        <v>10</v>
      </c>
      <c r="CW4" s="1" t="s">
        <v>10</v>
      </c>
      <c r="CX4" s="1" t="s">
        <v>10</v>
      </c>
      <c r="CY4" s="1" t="s">
        <v>10</v>
      </c>
      <c r="CZ4" s="1" t="s">
        <v>10</v>
      </c>
      <c r="DA4" s="1" t="s">
        <v>10</v>
      </c>
      <c r="DB4" s="1" t="s">
        <v>10</v>
      </c>
      <c r="DC4" s="1" t="s">
        <v>10</v>
      </c>
      <c r="DD4" s="1" t="s">
        <v>10</v>
      </c>
      <c r="DE4" s="1" t="s">
        <v>10</v>
      </c>
      <c r="DF4" s="1" t="s">
        <v>10</v>
      </c>
      <c r="DG4" s="1" t="s">
        <v>10</v>
      </c>
      <c r="DH4" s="1" t="s">
        <v>10</v>
      </c>
      <c r="DI4" s="1" t="s">
        <v>10</v>
      </c>
      <c r="DJ4" s="1" t="s">
        <v>10</v>
      </c>
      <c r="DK4" s="1" t="s">
        <v>10</v>
      </c>
      <c r="DL4" s="1" t="s">
        <v>10</v>
      </c>
      <c r="DM4" s="1" t="s">
        <v>10</v>
      </c>
      <c r="DN4" s="1" t="s">
        <v>10</v>
      </c>
      <c r="DO4" s="1" t="s">
        <v>10</v>
      </c>
      <c r="DP4" s="1" t="s">
        <v>10</v>
      </c>
      <c r="DQ4" s="1" t="s">
        <v>10</v>
      </c>
      <c r="DR4" s="1" t="s">
        <v>10</v>
      </c>
      <c r="GI4" s="1"/>
    </row>
    <row r="5" spans="1:191" x14ac:dyDescent="0.25">
      <c r="A5" s="5">
        <v>3</v>
      </c>
      <c r="B5" s="1">
        <v>20558.484023237252</v>
      </c>
      <c r="C5" s="1">
        <v>20576.582069944106</v>
      </c>
      <c r="D5" s="1">
        <v>20742.927755714325</v>
      </c>
      <c r="E5" s="1">
        <v>20893.387363238726</v>
      </c>
      <c r="F5" s="1">
        <v>21177.37131525877</v>
      </c>
      <c r="G5" s="1">
        <v>21480.442565431658</v>
      </c>
      <c r="H5" s="1">
        <v>21715.425880448034</v>
      </c>
      <c r="I5" s="1">
        <v>21670.062363054625</v>
      </c>
      <c r="J5" s="1">
        <v>21873.284000802312</v>
      </c>
      <c r="K5" s="1">
        <v>22098.044782297042</v>
      </c>
      <c r="L5" s="1">
        <v>22250.166321855042</v>
      </c>
      <c r="M5" s="1">
        <v>22334.747238186843</v>
      </c>
      <c r="N5" s="1">
        <v>22525.768083729497</v>
      </c>
      <c r="O5" s="1">
        <v>22681.249949361809</v>
      </c>
      <c r="P5" s="1">
        <v>22848.937945977355</v>
      </c>
      <c r="Q5" s="1">
        <v>23070.333408177576</v>
      </c>
      <c r="R5" s="1">
        <v>23172.675327692639</v>
      </c>
      <c r="S5" s="1">
        <v>23363.056293027203</v>
      </c>
      <c r="T5" s="1">
        <v>23538.387754339768</v>
      </c>
      <c r="U5" s="1">
        <v>23636.517094265339</v>
      </c>
      <c r="V5" s="1">
        <v>23751.617940020478</v>
      </c>
      <c r="W5" s="1">
        <v>23770.778366177921</v>
      </c>
      <c r="X5" s="1">
        <v>23649.133547759084</v>
      </c>
      <c r="Y5" s="1">
        <v>23346.366139192767</v>
      </c>
      <c r="Z5" s="1">
        <v>23338.642144385842</v>
      </c>
      <c r="AA5" s="1">
        <v>23447.296414486584</v>
      </c>
      <c r="AB5" s="1">
        <v>23642.680231645496</v>
      </c>
      <c r="AC5" s="1">
        <v>23577.151550249051</v>
      </c>
      <c r="AD5" s="1">
        <v>23494.217524372631</v>
      </c>
      <c r="AE5" s="1">
        <v>23408.283297240399</v>
      </c>
      <c r="AF5" s="1">
        <v>23564.007470021876</v>
      </c>
      <c r="AG5" s="1">
        <v>23589.523842518873</v>
      </c>
      <c r="AH5" s="1">
        <v>23511.174978700034</v>
      </c>
      <c r="AI5" s="1">
        <v>23500.008128291556</v>
      </c>
      <c r="AJ5" s="1">
        <v>23462.002574985057</v>
      </c>
      <c r="AK5" s="1">
        <v>23530.130203100671</v>
      </c>
      <c r="AL5" s="1">
        <v>23331.366926883162</v>
      </c>
      <c r="AM5" s="1">
        <v>23244.350527765622</v>
      </c>
      <c r="AN5" s="1">
        <v>22960.878831850914</v>
      </c>
      <c r="AO5" s="1">
        <v>23003.710684023023</v>
      </c>
      <c r="AP5" s="1">
        <v>22914.580947341143</v>
      </c>
      <c r="AQ5" s="1">
        <v>22612.629599580476</v>
      </c>
      <c r="AR5" s="1">
        <v>22747.660910408049</v>
      </c>
      <c r="AS5" s="1">
        <v>22733.091263546896</v>
      </c>
      <c r="AT5" s="1">
        <v>23002.367570780727</v>
      </c>
      <c r="AU5" s="1">
        <v>22809.092269453682</v>
      </c>
      <c r="AV5" s="1">
        <v>22917.357619747418</v>
      </c>
      <c r="AW5" s="1">
        <v>22795.004094535521</v>
      </c>
      <c r="AX5" s="1">
        <v>22776.809016519259</v>
      </c>
      <c r="AY5" s="1">
        <v>22784.871778666704</v>
      </c>
      <c r="AZ5" s="1">
        <v>22734.575311198314</v>
      </c>
      <c r="BA5" s="1">
        <v>22791.251186556576</v>
      </c>
      <c r="BB5" s="1">
        <v>22640.827602198937</v>
      </c>
      <c r="BC5" s="1">
        <v>22638.886506600138</v>
      </c>
      <c r="BD5" s="1">
        <v>22554.587949224133</v>
      </c>
      <c r="BE5" s="1">
        <v>22748.469161778376</v>
      </c>
      <c r="BF5" s="1">
        <v>22755.680047323865</v>
      </c>
      <c r="BG5" s="1">
        <v>22663.133658556799</v>
      </c>
      <c r="BH5" s="1">
        <v>22787.556694561583</v>
      </c>
      <c r="BI5" s="1">
        <v>22898.946544467439</v>
      </c>
      <c r="BJ5" s="1">
        <v>22928.776310979483</v>
      </c>
      <c r="BK5" s="1">
        <v>22922.699332639582</v>
      </c>
      <c r="BL5" s="1">
        <v>23086.572624524786</v>
      </c>
      <c r="BM5" s="1">
        <v>23239.740793542864</v>
      </c>
      <c r="BN5" s="1">
        <v>23350.41832184227</v>
      </c>
      <c r="BO5" s="1">
        <v>23131.845547860648</v>
      </c>
      <c r="BP5" s="1">
        <v>21450.411300773012</v>
      </c>
      <c r="BQ5" s="1">
        <v>22579.516758435049</v>
      </c>
      <c r="BR5" s="1">
        <v>23046.662065366272</v>
      </c>
      <c r="BS5" s="1" t="s">
        <v>10</v>
      </c>
      <c r="BT5" s="1" t="s">
        <v>10</v>
      </c>
      <c r="BU5" s="1" t="s">
        <v>10</v>
      </c>
      <c r="BV5" s="1" t="s">
        <v>10</v>
      </c>
      <c r="BW5" s="1" t="s">
        <v>10</v>
      </c>
      <c r="BX5" s="1" t="s">
        <v>10</v>
      </c>
      <c r="BY5" s="1" t="s">
        <v>10</v>
      </c>
      <c r="BZ5" s="1" t="s">
        <v>10</v>
      </c>
      <c r="CA5" s="1" t="s">
        <v>10</v>
      </c>
      <c r="CB5" s="1" t="s">
        <v>10</v>
      </c>
      <c r="CC5" s="1" t="s">
        <v>10</v>
      </c>
      <c r="CD5" s="1" t="s">
        <v>10</v>
      </c>
      <c r="CE5" s="1" t="s">
        <v>10</v>
      </c>
      <c r="CF5" s="1" t="s">
        <v>10</v>
      </c>
      <c r="CG5" s="1" t="s">
        <v>10</v>
      </c>
      <c r="CH5" s="1" t="s">
        <v>10</v>
      </c>
      <c r="CI5" s="1" t="s">
        <v>10</v>
      </c>
      <c r="CJ5" s="1" t="s">
        <v>10</v>
      </c>
      <c r="CK5" s="1" t="s">
        <v>10</v>
      </c>
      <c r="CL5" s="1" t="s">
        <v>10</v>
      </c>
      <c r="CM5" s="1" t="s">
        <v>10</v>
      </c>
      <c r="CN5" s="1" t="s">
        <v>10</v>
      </c>
      <c r="CO5" s="1" t="s">
        <v>10</v>
      </c>
      <c r="CP5" s="1" t="s">
        <v>10</v>
      </c>
      <c r="CQ5" s="1" t="s">
        <v>10</v>
      </c>
      <c r="CR5" s="1" t="s">
        <v>10</v>
      </c>
      <c r="CS5" s="1" t="s">
        <v>10</v>
      </c>
      <c r="CT5" s="1" t="s">
        <v>10</v>
      </c>
      <c r="CU5" s="1" t="s">
        <v>10</v>
      </c>
      <c r="CV5" s="1" t="s">
        <v>10</v>
      </c>
      <c r="CW5" s="1" t="s">
        <v>10</v>
      </c>
      <c r="CX5" s="1" t="s">
        <v>10</v>
      </c>
      <c r="CY5" s="1" t="s">
        <v>10</v>
      </c>
      <c r="CZ5" s="1" t="s">
        <v>10</v>
      </c>
      <c r="DA5" s="1" t="s">
        <v>10</v>
      </c>
      <c r="DB5" s="1" t="s">
        <v>10</v>
      </c>
      <c r="DC5" s="1" t="s">
        <v>10</v>
      </c>
      <c r="DD5" s="1" t="s">
        <v>10</v>
      </c>
      <c r="DE5" s="1" t="s">
        <v>10</v>
      </c>
      <c r="DF5" s="1" t="s">
        <v>10</v>
      </c>
      <c r="DG5" s="1" t="s">
        <v>10</v>
      </c>
      <c r="DH5" s="1" t="s">
        <v>10</v>
      </c>
      <c r="DI5" s="1" t="s">
        <v>10</v>
      </c>
      <c r="DJ5" s="1" t="s">
        <v>10</v>
      </c>
      <c r="DK5" s="1" t="s">
        <v>10</v>
      </c>
      <c r="DL5" s="1" t="s">
        <v>10</v>
      </c>
      <c r="DM5" s="1" t="s">
        <v>10</v>
      </c>
      <c r="DN5" s="1" t="s">
        <v>10</v>
      </c>
      <c r="DO5" s="1" t="s">
        <v>10</v>
      </c>
      <c r="DP5" s="1" t="s">
        <v>10</v>
      </c>
      <c r="DQ5" s="1" t="s">
        <v>10</v>
      </c>
      <c r="DR5" s="1" t="s">
        <v>10</v>
      </c>
      <c r="GI5" s="1"/>
    </row>
    <row r="6" spans="1:191" x14ac:dyDescent="0.25">
      <c r="A6" s="5">
        <v>4</v>
      </c>
      <c r="B6" s="1">
        <v>20695.579408870111</v>
      </c>
      <c r="C6" s="1">
        <v>20674.455192955702</v>
      </c>
      <c r="D6" s="1">
        <v>20913.131735571642</v>
      </c>
      <c r="E6" s="1">
        <v>21113.433639329574</v>
      </c>
      <c r="F6" s="1">
        <v>21328.165701659866</v>
      </c>
      <c r="G6" s="1">
        <v>21596.94940947646</v>
      </c>
      <c r="H6" s="1">
        <v>21918.559024613402</v>
      </c>
      <c r="I6" s="1">
        <v>21855.664571174246</v>
      </c>
      <c r="J6" s="1">
        <v>22022.945714758134</v>
      </c>
      <c r="K6" s="1">
        <v>22208.585321781458</v>
      </c>
      <c r="L6" s="1">
        <v>22426.489343433241</v>
      </c>
      <c r="M6" s="1">
        <v>22509.220929449781</v>
      </c>
      <c r="N6" s="1">
        <v>22684.984874604932</v>
      </c>
      <c r="O6" s="1">
        <v>22802.199541678005</v>
      </c>
      <c r="P6" s="1">
        <v>23047.390944583793</v>
      </c>
      <c r="Q6" s="1">
        <v>23256.229817769105</v>
      </c>
      <c r="R6" s="1">
        <v>23319.683331306667</v>
      </c>
      <c r="S6" s="1">
        <v>23493.412984766765</v>
      </c>
      <c r="T6" s="1">
        <v>23736.069144575744</v>
      </c>
      <c r="U6" s="1">
        <v>23805.601519478303</v>
      </c>
      <c r="V6" s="1">
        <v>23889.791863602957</v>
      </c>
      <c r="W6" s="1">
        <v>23873.558104315209</v>
      </c>
      <c r="X6" s="1">
        <v>23782.919059159522</v>
      </c>
      <c r="Y6" s="1">
        <v>23431.805483026241</v>
      </c>
      <c r="Z6" s="1">
        <v>23380.604153155458</v>
      </c>
      <c r="AA6" s="1">
        <v>23469.940283769261</v>
      </c>
      <c r="AB6" s="1">
        <v>23730.137642420603</v>
      </c>
      <c r="AC6" s="1">
        <v>23617.565450989001</v>
      </c>
      <c r="AD6" s="1">
        <v>23512.514110382705</v>
      </c>
      <c r="AE6" s="1">
        <v>23412.776033065828</v>
      </c>
      <c r="AF6" s="1">
        <v>23630.229828871117</v>
      </c>
      <c r="AG6" s="1">
        <v>23622.293366933289</v>
      </c>
      <c r="AH6" s="1">
        <v>23511.306387613768</v>
      </c>
      <c r="AI6" s="1">
        <v>23495.922933596175</v>
      </c>
      <c r="AJ6" s="1">
        <v>23521.983790986036</v>
      </c>
      <c r="AK6" s="1">
        <v>23533.035864116198</v>
      </c>
      <c r="AL6" s="1">
        <v>23264.779368055097</v>
      </c>
      <c r="AM6" s="1">
        <v>23199.195756805311</v>
      </c>
      <c r="AN6" s="1">
        <v>22933.399730644291</v>
      </c>
      <c r="AO6" s="1">
        <v>22945.400758436397</v>
      </c>
      <c r="AP6" s="1">
        <v>22820.862776094087</v>
      </c>
      <c r="AQ6" s="1">
        <v>22490.563310568949</v>
      </c>
      <c r="AR6" s="1">
        <v>22743.300864371231</v>
      </c>
      <c r="AS6" s="1">
        <v>22674.480403035377</v>
      </c>
      <c r="AT6" s="1">
        <v>22981.711399537628</v>
      </c>
      <c r="AU6" s="1">
        <v>22737.54937551303</v>
      </c>
      <c r="AV6" s="1">
        <v>22980.704398260084</v>
      </c>
      <c r="AW6" s="1">
        <v>22738.657112589703</v>
      </c>
      <c r="AX6" s="1">
        <v>22750.211759666094</v>
      </c>
      <c r="AY6" s="1">
        <v>22706.623932795115</v>
      </c>
      <c r="AZ6" s="1">
        <v>22790.841668930192</v>
      </c>
      <c r="BA6" s="1">
        <v>22771.412169612071</v>
      </c>
      <c r="BB6" s="1">
        <v>22592.349243770506</v>
      </c>
      <c r="BC6" s="1">
        <v>22574.538416027244</v>
      </c>
      <c r="BD6" s="1">
        <v>22601.442002771553</v>
      </c>
      <c r="BE6" s="1">
        <v>22740.146624772216</v>
      </c>
      <c r="BF6" s="1">
        <v>22734.795388561542</v>
      </c>
      <c r="BG6" s="1">
        <v>22594.283469286907</v>
      </c>
      <c r="BH6" s="1">
        <v>22871.011694356042</v>
      </c>
      <c r="BI6" s="1">
        <v>22906.040784735407</v>
      </c>
      <c r="BJ6" s="1">
        <v>22933.185381630876</v>
      </c>
      <c r="BK6" s="1">
        <v>22884.74793241419</v>
      </c>
      <c r="BL6" s="1">
        <v>23212.266532660142</v>
      </c>
      <c r="BM6" s="1">
        <v>23274.001362296709</v>
      </c>
      <c r="BN6" s="1">
        <v>23389.997374270548</v>
      </c>
      <c r="BO6" s="1">
        <v>23063.758567616162</v>
      </c>
      <c r="BP6" s="1">
        <v>21275.986681521208</v>
      </c>
      <c r="BQ6" s="1">
        <v>22655.379132441507</v>
      </c>
      <c r="BR6" s="1">
        <v>23095.584456673081</v>
      </c>
      <c r="BS6" s="1" t="s">
        <v>10</v>
      </c>
      <c r="BT6" s="1" t="s">
        <v>10</v>
      </c>
      <c r="BU6" s="1" t="s">
        <v>10</v>
      </c>
      <c r="BV6" s="1" t="s">
        <v>10</v>
      </c>
      <c r="BW6" s="1" t="s">
        <v>10</v>
      </c>
      <c r="BX6" s="1" t="s">
        <v>10</v>
      </c>
      <c r="BY6" s="1" t="s">
        <v>10</v>
      </c>
      <c r="BZ6" s="1" t="s">
        <v>10</v>
      </c>
      <c r="CA6" s="1" t="s">
        <v>10</v>
      </c>
      <c r="CB6" s="1" t="s">
        <v>10</v>
      </c>
      <c r="CC6" s="1" t="s">
        <v>10</v>
      </c>
      <c r="CD6" s="1" t="s">
        <v>10</v>
      </c>
      <c r="CE6" s="1" t="s">
        <v>10</v>
      </c>
      <c r="CF6" s="1" t="s">
        <v>10</v>
      </c>
      <c r="CG6" s="1" t="s">
        <v>10</v>
      </c>
      <c r="CH6" s="1" t="s">
        <v>10</v>
      </c>
      <c r="CI6" s="1" t="s">
        <v>10</v>
      </c>
      <c r="CJ6" s="1" t="s">
        <v>10</v>
      </c>
      <c r="CK6" s="1" t="s">
        <v>10</v>
      </c>
      <c r="CL6" s="1" t="s">
        <v>10</v>
      </c>
      <c r="CM6" s="1" t="s">
        <v>10</v>
      </c>
      <c r="CN6" s="1" t="s">
        <v>10</v>
      </c>
      <c r="CO6" s="1" t="s">
        <v>10</v>
      </c>
      <c r="CP6" s="1" t="s">
        <v>10</v>
      </c>
      <c r="CQ6" s="1" t="s">
        <v>10</v>
      </c>
      <c r="CR6" s="1" t="s">
        <v>10</v>
      </c>
      <c r="CS6" s="1" t="s">
        <v>10</v>
      </c>
      <c r="CT6" s="1" t="s">
        <v>10</v>
      </c>
      <c r="CU6" s="1" t="s">
        <v>10</v>
      </c>
      <c r="CV6" s="1" t="s">
        <v>10</v>
      </c>
      <c r="CW6" s="1" t="s">
        <v>10</v>
      </c>
      <c r="CX6" s="1" t="s">
        <v>10</v>
      </c>
      <c r="CY6" s="1" t="s">
        <v>10</v>
      </c>
      <c r="CZ6" s="1" t="s">
        <v>10</v>
      </c>
      <c r="DA6" s="1" t="s">
        <v>10</v>
      </c>
      <c r="DB6" s="1" t="s">
        <v>10</v>
      </c>
      <c r="DC6" s="1" t="s">
        <v>10</v>
      </c>
      <c r="DD6" s="1" t="s">
        <v>10</v>
      </c>
      <c r="DE6" s="1" t="s">
        <v>10</v>
      </c>
      <c r="DF6" s="1" t="s">
        <v>10</v>
      </c>
      <c r="DG6" s="1" t="s">
        <v>10</v>
      </c>
      <c r="DH6" s="1" t="s">
        <v>10</v>
      </c>
      <c r="DI6" s="1" t="s">
        <v>10</v>
      </c>
      <c r="DJ6" s="1" t="s">
        <v>10</v>
      </c>
      <c r="DK6" s="1" t="s">
        <v>10</v>
      </c>
      <c r="DL6" s="1" t="s">
        <v>10</v>
      </c>
      <c r="DM6" s="1" t="s">
        <v>10</v>
      </c>
      <c r="DN6" s="1" t="s">
        <v>10</v>
      </c>
      <c r="DO6" s="1" t="s">
        <v>10</v>
      </c>
      <c r="DP6" s="1" t="s">
        <v>10</v>
      </c>
      <c r="DQ6" s="1" t="s">
        <v>10</v>
      </c>
      <c r="DR6" s="1" t="s">
        <v>10</v>
      </c>
      <c r="GI6" s="1"/>
    </row>
    <row r="7" spans="1:191" hidden="1" x14ac:dyDescent="0.25">
      <c r="A7" s="5"/>
      <c r="GI7" s="1"/>
    </row>
    <row r="8" spans="1:191" hidden="1" x14ac:dyDescent="0.25">
      <c r="A8" s="5"/>
      <c r="GI8" s="1"/>
    </row>
    <row r="9" spans="1:191" hidden="1" x14ac:dyDescent="0.25">
      <c r="A9" s="4"/>
      <c r="GI9" s="1"/>
    </row>
    <row r="10" spans="1:191" hidden="1" x14ac:dyDescent="0.25">
      <c r="A10" s="4"/>
      <c r="GI10" s="1"/>
    </row>
    <row r="11" spans="1:191" x14ac:dyDescent="0.25">
      <c r="A11" s="5"/>
      <c r="B11" s="1">
        <f>IF(OR(B3="",C3=""),0,MIN(8,C11+1))</f>
        <v>8</v>
      </c>
      <c r="C11" s="1">
        <f t="shared" ref="C11:BN11" si="0">IF(OR(C3="",D3=""),0,MIN(8,D11+1))</f>
        <v>8</v>
      </c>
      <c r="D11" s="1">
        <f t="shared" si="0"/>
        <v>8</v>
      </c>
      <c r="E11" s="1">
        <f t="shared" si="0"/>
        <v>8</v>
      </c>
      <c r="F11" s="1">
        <f t="shared" si="0"/>
        <v>8</v>
      </c>
      <c r="G11" s="1">
        <f t="shared" si="0"/>
        <v>8</v>
      </c>
      <c r="H11" s="1">
        <f t="shared" si="0"/>
        <v>8</v>
      </c>
      <c r="I11" s="1">
        <f t="shared" si="0"/>
        <v>8</v>
      </c>
      <c r="J11" s="1">
        <f t="shared" si="0"/>
        <v>8</v>
      </c>
      <c r="K11" s="1">
        <f t="shared" si="0"/>
        <v>8</v>
      </c>
      <c r="L11" s="1">
        <f t="shared" si="0"/>
        <v>8</v>
      </c>
      <c r="M11" s="1">
        <f t="shared" si="0"/>
        <v>8</v>
      </c>
      <c r="N11" s="1">
        <f t="shared" si="0"/>
        <v>8</v>
      </c>
      <c r="O11" s="1">
        <f t="shared" si="0"/>
        <v>8</v>
      </c>
      <c r="P11" s="1">
        <f t="shared" si="0"/>
        <v>8</v>
      </c>
      <c r="Q11" s="1">
        <f t="shared" si="0"/>
        <v>8</v>
      </c>
      <c r="R11" s="1">
        <f t="shared" si="0"/>
        <v>8</v>
      </c>
      <c r="S11" s="1">
        <f t="shared" si="0"/>
        <v>8</v>
      </c>
      <c r="T11" s="1">
        <f t="shared" si="0"/>
        <v>8</v>
      </c>
      <c r="U11" s="1">
        <f t="shared" si="0"/>
        <v>8</v>
      </c>
      <c r="V11" s="1">
        <f t="shared" si="0"/>
        <v>8</v>
      </c>
      <c r="W11" s="1">
        <f t="shared" si="0"/>
        <v>8</v>
      </c>
      <c r="X11" s="1">
        <f t="shared" si="0"/>
        <v>8</v>
      </c>
      <c r="Y11" s="1">
        <f t="shared" si="0"/>
        <v>8</v>
      </c>
      <c r="Z11" s="1">
        <f t="shared" si="0"/>
        <v>8</v>
      </c>
      <c r="AA11" s="1">
        <f t="shared" si="0"/>
        <v>8</v>
      </c>
      <c r="AB11" s="1">
        <f t="shared" si="0"/>
        <v>8</v>
      </c>
      <c r="AC11" s="1">
        <f t="shared" si="0"/>
        <v>8</v>
      </c>
      <c r="AD11" s="1">
        <f t="shared" si="0"/>
        <v>8</v>
      </c>
      <c r="AE11" s="1">
        <f t="shared" si="0"/>
        <v>8</v>
      </c>
      <c r="AF11" s="1">
        <f t="shared" si="0"/>
        <v>8</v>
      </c>
      <c r="AG11" s="1">
        <f t="shared" si="0"/>
        <v>8</v>
      </c>
      <c r="AH11" s="1">
        <f t="shared" si="0"/>
        <v>8</v>
      </c>
      <c r="AI11" s="1">
        <f t="shared" si="0"/>
        <v>8</v>
      </c>
      <c r="AJ11" s="1">
        <f t="shared" si="0"/>
        <v>8</v>
      </c>
      <c r="AK11" s="1">
        <f t="shared" si="0"/>
        <v>8</v>
      </c>
      <c r="AL11" s="1">
        <f t="shared" si="0"/>
        <v>8</v>
      </c>
      <c r="AM11" s="1">
        <f t="shared" si="0"/>
        <v>8</v>
      </c>
      <c r="AN11" s="1">
        <f t="shared" si="0"/>
        <v>8</v>
      </c>
      <c r="AO11" s="1">
        <f t="shared" si="0"/>
        <v>8</v>
      </c>
      <c r="AP11" s="1">
        <f t="shared" si="0"/>
        <v>8</v>
      </c>
      <c r="AQ11" s="1">
        <f t="shared" si="0"/>
        <v>8</v>
      </c>
      <c r="AR11" s="1">
        <f t="shared" si="0"/>
        <v>8</v>
      </c>
      <c r="AS11" s="1">
        <f t="shared" si="0"/>
        <v>8</v>
      </c>
      <c r="AT11" s="1">
        <f t="shared" si="0"/>
        <v>8</v>
      </c>
      <c r="AU11" s="1">
        <f t="shared" si="0"/>
        <v>8</v>
      </c>
      <c r="AV11" s="1">
        <f t="shared" si="0"/>
        <v>8</v>
      </c>
      <c r="AW11" s="1">
        <f t="shared" si="0"/>
        <v>8</v>
      </c>
      <c r="AX11" s="1">
        <f t="shared" si="0"/>
        <v>8</v>
      </c>
      <c r="AY11" s="1">
        <f t="shared" si="0"/>
        <v>8</v>
      </c>
      <c r="AZ11" s="1">
        <f t="shared" si="0"/>
        <v>8</v>
      </c>
      <c r="BA11" s="1">
        <f t="shared" si="0"/>
        <v>8</v>
      </c>
      <c r="BB11" s="1">
        <f t="shared" si="0"/>
        <v>8</v>
      </c>
      <c r="BC11" s="1">
        <f t="shared" si="0"/>
        <v>8</v>
      </c>
      <c r="BD11" s="1">
        <f t="shared" si="0"/>
        <v>8</v>
      </c>
      <c r="BE11" s="1">
        <f t="shared" si="0"/>
        <v>8</v>
      </c>
      <c r="BF11" s="1">
        <f t="shared" si="0"/>
        <v>8</v>
      </c>
      <c r="BG11" s="1">
        <f t="shared" si="0"/>
        <v>8</v>
      </c>
      <c r="BH11" s="1">
        <f t="shared" si="0"/>
        <v>8</v>
      </c>
      <c r="BI11" s="1">
        <f t="shared" si="0"/>
        <v>8</v>
      </c>
      <c r="BJ11" s="1">
        <f t="shared" si="0"/>
        <v>8</v>
      </c>
      <c r="BK11" s="1">
        <f t="shared" si="0"/>
        <v>7</v>
      </c>
      <c r="BL11" s="1">
        <f t="shared" si="0"/>
        <v>6</v>
      </c>
      <c r="BM11" s="1">
        <f t="shared" si="0"/>
        <v>5</v>
      </c>
      <c r="BN11" s="1">
        <f t="shared" si="0"/>
        <v>4</v>
      </c>
      <c r="BO11" s="1">
        <f t="shared" ref="BO11:BT11" si="1">IF(OR(BO3="",BP3=""),0,MIN(8,BP11+1))</f>
        <v>3</v>
      </c>
      <c r="BP11" s="1">
        <f t="shared" si="1"/>
        <v>2</v>
      </c>
      <c r="BQ11" s="1">
        <f t="shared" si="1"/>
        <v>1</v>
      </c>
      <c r="BR11" s="1">
        <f t="shared" si="1"/>
        <v>0</v>
      </c>
      <c r="BS11" s="1">
        <f t="shared" si="1"/>
        <v>0</v>
      </c>
      <c r="BT11" s="1">
        <f t="shared" si="1"/>
        <v>0</v>
      </c>
      <c r="BU11" s="1">
        <f>IF(OR(BU3="",DR3=""),0,MIN(8,DR11+1))</f>
        <v>0</v>
      </c>
      <c r="BV11" s="1">
        <f t="shared" ref="BV11" si="2">IF(OR(BV3="",BW3=""),0,MIN(8,BW11+1))</f>
        <v>0</v>
      </c>
      <c r="BW11" s="1">
        <f t="shared" ref="BW11" si="3">IF(OR(BW3="",BX3=""),0,MIN(8,BX11+1))</f>
        <v>0</v>
      </c>
      <c r="BX11" s="1">
        <f t="shared" ref="BX11" si="4">IF(OR(BX3="",BY3=""),0,MIN(8,BY11+1))</f>
        <v>0</v>
      </c>
      <c r="BY11" s="1">
        <f t="shared" ref="BY11" si="5">IF(OR(BY3="",BZ3=""),0,MIN(8,BZ11+1))</f>
        <v>0</v>
      </c>
      <c r="BZ11" s="1">
        <f t="shared" ref="BZ11" si="6">IF(OR(BZ3="",CA3=""),0,MIN(8,CA11+1))</f>
        <v>0</v>
      </c>
      <c r="CA11" s="1">
        <f t="shared" ref="CA11" si="7">IF(OR(CA3="",DX3=""),0,MIN(8,DX11+1))</f>
        <v>0</v>
      </c>
      <c r="CB11" s="1">
        <f t="shared" ref="CB11" si="8">IF(OR(CB3="",CC3=""),0,MIN(8,CC11+1))</f>
        <v>0</v>
      </c>
      <c r="CC11" s="1">
        <f t="shared" ref="CC11" si="9">IF(OR(CC3="",CD3=""),0,MIN(8,CD11+1))</f>
        <v>0</v>
      </c>
      <c r="CD11" s="1">
        <f t="shared" ref="CD11" si="10">IF(OR(CD3="",CE3=""),0,MIN(8,CE11+1))</f>
        <v>0</v>
      </c>
      <c r="CE11" s="1">
        <f t="shared" ref="CE11" si="11">IF(OR(CE3="",CF3=""),0,MIN(8,CF11+1))</f>
        <v>0</v>
      </c>
      <c r="CF11" s="1">
        <f t="shared" ref="CF11" si="12">IF(OR(CF3="",CG3=""),0,MIN(8,CG11+1))</f>
        <v>0</v>
      </c>
      <c r="CG11" s="1">
        <f t="shared" ref="CG11" si="13">IF(OR(CG3="",ED3=""),0,MIN(8,ED11+1))</f>
        <v>0</v>
      </c>
      <c r="CH11" s="1">
        <f t="shared" ref="CH11" si="14">IF(OR(CH3="",CI3=""),0,MIN(8,CI11+1))</f>
        <v>0</v>
      </c>
      <c r="CI11" s="1">
        <f t="shared" ref="CI11" si="15">IF(OR(CI3="",CJ3=""),0,MIN(8,CJ11+1))</f>
        <v>0</v>
      </c>
      <c r="CJ11" s="1">
        <f t="shared" ref="CJ11" si="16">IF(OR(CJ3="",CK3=""),0,MIN(8,CK11+1))</f>
        <v>0</v>
      </c>
      <c r="CK11" s="1">
        <f t="shared" ref="CK11" si="17">IF(OR(CK3="",CL3=""),0,MIN(8,CL11+1))</f>
        <v>0</v>
      </c>
      <c r="CL11" s="1">
        <f t="shared" ref="CL11" si="18">IF(OR(CL3="",CM3=""),0,MIN(8,CM11+1))</f>
        <v>0</v>
      </c>
      <c r="CM11" s="1">
        <f t="shared" ref="CM11" si="19">IF(OR(CM3="",EJ3=""),0,MIN(8,EJ11+1))</f>
        <v>0</v>
      </c>
      <c r="CN11" s="1">
        <f t="shared" ref="CN11" si="20">IF(OR(CN3="",CO3=""),0,MIN(8,CO11+1))</f>
        <v>0</v>
      </c>
      <c r="CO11" s="1">
        <f t="shared" ref="CO11" si="21">IF(OR(CO3="",CP3=""),0,MIN(8,CP11+1))</f>
        <v>0</v>
      </c>
      <c r="CP11" s="1">
        <f t="shared" ref="CP11" si="22">IF(OR(CP3="",CQ3=""),0,MIN(8,CQ11+1))</f>
        <v>0</v>
      </c>
      <c r="CQ11" s="1">
        <f t="shared" ref="CQ11" si="23">IF(OR(CQ3="",CR3=""),0,MIN(8,CR11+1))</f>
        <v>0</v>
      </c>
      <c r="CR11" s="1">
        <f t="shared" ref="CR11" si="24">IF(OR(CR3="",CS3=""),0,MIN(8,CS11+1))</f>
        <v>0</v>
      </c>
      <c r="CS11" s="1">
        <f t="shared" ref="CS11" si="25">IF(OR(CS3="",EP3=""),0,MIN(8,EP11+1))</f>
        <v>0</v>
      </c>
      <c r="CT11" s="1">
        <f t="shared" ref="CT11" si="26">IF(OR(CT3="",CU3=""),0,MIN(8,CU11+1))</f>
        <v>0</v>
      </c>
      <c r="CU11" s="1">
        <f t="shared" ref="CU11" si="27">IF(OR(CU3="",CV3=""),0,MIN(8,CV11+1))</f>
        <v>0</v>
      </c>
      <c r="CV11" s="1">
        <f t="shared" ref="CV11" si="28">IF(OR(CV3="",CW3=""),0,MIN(8,CW11+1))</f>
        <v>0</v>
      </c>
      <c r="CW11" s="1">
        <f t="shared" ref="CW11" si="29">IF(OR(CW3="",CX3=""),0,MIN(8,CX11+1))</f>
        <v>0</v>
      </c>
      <c r="CX11" s="1">
        <f t="shared" ref="CX11" si="30">IF(OR(CX3="",CY3=""),0,MIN(8,CY11+1))</f>
        <v>0</v>
      </c>
      <c r="CY11" s="1">
        <f t="shared" ref="CY11" si="31">IF(OR(CY3="",EV3=""),0,MIN(8,EV11+1))</f>
        <v>0</v>
      </c>
      <c r="CZ11" s="1">
        <f t="shared" ref="CZ11" si="32">IF(OR(CZ3="",DA3=""),0,MIN(8,DA11+1))</f>
        <v>0</v>
      </c>
      <c r="DA11" s="1">
        <f t="shared" ref="DA11" si="33">IF(OR(DA3="",DB3=""),0,MIN(8,DB11+1))</f>
        <v>0</v>
      </c>
      <c r="DB11" s="1">
        <f t="shared" ref="DB11" si="34">IF(OR(DB3="",DC3=""),0,MIN(8,DC11+1))</f>
        <v>0</v>
      </c>
      <c r="DC11" s="1">
        <f t="shared" ref="DC11" si="35">IF(OR(DC3="",DD3=""),0,MIN(8,DD11+1))</f>
        <v>0</v>
      </c>
      <c r="DD11" s="1">
        <f t="shared" ref="DD11" si="36">IF(OR(DD3="",DE3=""),0,MIN(8,DE11+1))</f>
        <v>0</v>
      </c>
      <c r="DE11" s="1">
        <f t="shared" ref="DE11" si="37">IF(OR(DE3="",FB3=""),0,MIN(8,FB11+1))</f>
        <v>0</v>
      </c>
      <c r="DF11" s="1">
        <f t="shared" ref="DF11" si="38">IF(OR(DF3="",DG3=""),0,MIN(8,DG11+1))</f>
        <v>0</v>
      </c>
      <c r="DG11" s="1">
        <f t="shared" ref="DG11" si="39">IF(OR(DG3="",DH3=""),0,MIN(8,DH11+1))</f>
        <v>0</v>
      </c>
      <c r="DH11" s="1">
        <f t="shared" ref="DH11" si="40">IF(OR(DH3="",DI3=""),0,MIN(8,DI11+1))</f>
        <v>0</v>
      </c>
      <c r="DI11" s="1">
        <f t="shared" ref="DI11" si="41">IF(OR(DI3="",DJ3=""),0,MIN(8,DJ11+1))</f>
        <v>0</v>
      </c>
      <c r="DJ11" s="1">
        <f t="shared" ref="DJ11" si="42">IF(OR(DJ3="",DK3=""),0,MIN(8,DK11+1))</f>
        <v>0</v>
      </c>
      <c r="DK11" s="1">
        <f t="shared" ref="DK11" si="43">IF(OR(DK3="",FH3=""),0,MIN(8,FH11+1))</f>
        <v>0</v>
      </c>
      <c r="DL11" s="1">
        <f t="shared" ref="DL11" si="44">IF(OR(DL3="",DM3=""),0,MIN(8,DM11+1))</f>
        <v>0</v>
      </c>
      <c r="DM11" s="1">
        <f t="shared" ref="DM11" si="45">IF(OR(DM3="",DN3=""),0,MIN(8,DN11+1))</f>
        <v>0</v>
      </c>
      <c r="DN11" s="1">
        <f t="shared" ref="DN11" si="46">IF(OR(DN3="",DO3=""),0,MIN(8,DO11+1))</f>
        <v>0</v>
      </c>
      <c r="DO11" s="1">
        <f t="shared" ref="DO11" si="47">IF(OR(DO3="",DP3=""),0,MIN(8,DP11+1))</f>
        <v>0</v>
      </c>
      <c r="DP11" s="1">
        <f t="shared" ref="DP11" si="48">IF(OR(DP3="",DQ3=""),0,MIN(8,DQ11+1))</f>
        <v>0</v>
      </c>
      <c r="DQ11" s="1">
        <f t="shared" ref="DQ11" si="49">IF(OR(DQ3="",FN3=""),0,MIN(8,FN11+1))</f>
        <v>0</v>
      </c>
      <c r="DR11" s="1">
        <f t="shared" ref="DR11" si="50">IF(OR(DR3="",DS3=""),0,MIN(8,DS11+1))</f>
        <v>0</v>
      </c>
      <c r="GI11" s="1"/>
    </row>
    <row r="12" spans="1:191" ht="15.75" x14ac:dyDescent="0.25">
      <c r="A12" s="3" t="s">
        <v>1</v>
      </c>
      <c r="B12" s="7">
        <v>37986</v>
      </c>
      <c r="C12" s="7">
        <v>38077</v>
      </c>
      <c r="D12" s="7">
        <v>38168</v>
      </c>
      <c r="E12" s="7">
        <v>38260</v>
      </c>
      <c r="F12" s="7">
        <v>38352</v>
      </c>
      <c r="G12" s="7">
        <v>38442</v>
      </c>
      <c r="H12" s="7">
        <v>38533</v>
      </c>
      <c r="I12" s="7">
        <v>38625</v>
      </c>
      <c r="J12" s="7">
        <v>38717</v>
      </c>
      <c r="K12" s="7">
        <v>38807</v>
      </c>
      <c r="L12" s="7">
        <v>38898</v>
      </c>
      <c r="M12" s="7">
        <v>38990</v>
      </c>
      <c r="N12" s="7">
        <v>39082</v>
      </c>
      <c r="O12" s="7">
        <v>39172</v>
      </c>
      <c r="P12" s="7">
        <v>39263</v>
      </c>
      <c r="Q12" s="7">
        <v>39355</v>
      </c>
      <c r="R12" s="7">
        <v>39447</v>
      </c>
      <c r="S12" s="7">
        <v>39538</v>
      </c>
      <c r="T12" s="7">
        <v>39629</v>
      </c>
      <c r="U12" s="7">
        <v>39721</v>
      </c>
      <c r="V12" s="7">
        <v>39813</v>
      </c>
      <c r="W12" s="7">
        <v>39903</v>
      </c>
      <c r="X12" s="7">
        <v>39994</v>
      </c>
      <c r="Y12" s="7">
        <v>40086</v>
      </c>
      <c r="Z12" s="7">
        <v>40178</v>
      </c>
      <c r="AA12" s="7">
        <v>40268</v>
      </c>
      <c r="AB12" s="7">
        <v>40359</v>
      </c>
      <c r="AC12" s="7">
        <v>40451</v>
      </c>
      <c r="AD12" s="7">
        <v>40543</v>
      </c>
      <c r="AE12" s="7">
        <v>40633</v>
      </c>
      <c r="AF12" s="7">
        <v>40724</v>
      </c>
      <c r="AG12" s="7">
        <v>40816</v>
      </c>
      <c r="AH12" s="7">
        <v>40908</v>
      </c>
      <c r="AI12" s="7">
        <v>40999</v>
      </c>
      <c r="AJ12" s="7">
        <v>41090</v>
      </c>
      <c r="AK12" s="7">
        <v>41182</v>
      </c>
      <c r="AL12" s="7">
        <v>41274</v>
      </c>
      <c r="AM12" s="7">
        <v>41364</v>
      </c>
      <c r="AN12" s="7">
        <v>41455</v>
      </c>
      <c r="AO12" s="7">
        <v>41547</v>
      </c>
      <c r="AP12" s="7">
        <v>41639</v>
      </c>
      <c r="AQ12" s="7">
        <v>41729</v>
      </c>
      <c r="AR12" s="7">
        <v>41820</v>
      </c>
      <c r="AS12" s="7">
        <v>41912</v>
      </c>
      <c r="AT12" s="7">
        <v>42004</v>
      </c>
      <c r="AU12" s="7">
        <v>42094</v>
      </c>
      <c r="AV12" s="7">
        <v>42185</v>
      </c>
      <c r="AW12" s="7">
        <v>42277</v>
      </c>
      <c r="AX12" s="7">
        <v>42369</v>
      </c>
      <c r="AY12" s="7">
        <v>42460</v>
      </c>
      <c r="AZ12" s="7">
        <v>42551</v>
      </c>
      <c r="BA12" s="7">
        <v>42643</v>
      </c>
      <c r="BB12" s="7">
        <v>42735</v>
      </c>
      <c r="BC12" s="7">
        <v>42825</v>
      </c>
      <c r="BD12" s="7">
        <v>42916</v>
      </c>
      <c r="BE12" s="7">
        <v>43008</v>
      </c>
      <c r="BF12" s="7">
        <v>43100</v>
      </c>
      <c r="BG12" s="7">
        <v>43190</v>
      </c>
      <c r="BH12" s="7">
        <v>43281</v>
      </c>
      <c r="BI12" s="7">
        <v>43373</v>
      </c>
      <c r="BJ12" s="7">
        <v>43465</v>
      </c>
      <c r="BK12" s="7">
        <v>43555</v>
      </c>
      <c r="BL12" s="7">
        <v>43646</v>
      </c>
      <c r="BM12" s="7">
        <v>43738</v>
      </c>
      <c r="BN12" s="7">
        <v>43830</v>
      </c>
      <c r="BO12" s="7">
        <v>43921</v>
      </c>
      <c r="BP12" s="7">
        <v>44012</v>
      </c>
      <c r="BQ12" s="7">
        <v>44104</v>
      </c>
      <c r="BR12" s="7">
        <v>44196</v>
      </c>
      <c r="BS12" s="7">
        <v>44286</v>
      </c>
      <c r="BT12" s="7">
        <v>44377</v>
      </c>
      <c r="BU12" s="7">
        <v>44469</v>
      </c>
      <c r="BV12" s="7">
        <v>44561</v>
      </c>
      <c r="BW12" s="7">
        <v>44651</v>
      </c>
      <c r="BX12" s="7">
        <v>44742</v>
      </c>
      <c r="BY12" s="7">
        <v>44834</v>
      </c>
      <c r="BZ12" s="7">
        <v>44926</v>
      </c>
      <c r="CA12" s="7">
        <v>45016</v>
      </c>
      <c r="CB12" s="7">
        <v>45107</v>
      </c>
      <c r="CC12" s="7">
        <v>45199</v>
      </c>
      <c r="CD12" s="7">
        <v>45291</v>
      </c>
      <c r="CE12" s="7">
        <v>45382</v>
      </c>
      <c r="CF12" s="7">
        <v>45473</v>
      </c>
      <c r="CG12" s="7">
        <v>45565</v>
      </c>
      <c r="CH12" s="7">
        <v>45657</v>
      </c>
      <c r="CI12" s="7">
        <v>45747</v>
      </c>
      <c r="CJ12" s="7">
        <v>45838</v>
      </c>
      <c r="CK12" s="7">
        <v>45930</v>
      </c>
      <c r="CL12" s="7">
        <v>46022</v>
      </c>
      <c r="CM12" s="7">
        <v>46112</v>
      </c>
      <c r="CN12" s="7">
        <v>46203</v>
      </c>
      <c r="CO12" s="7">
        <v>46295</v>
      </c>
      <c r="CP12" s="7">
        <v>46387</v>
      </c>
      <c r="CQ12" s="7">
        <v>46477</v>
      </c>
      <c r="CR12" s="7">
        <v>46568</v>
      </c>
      <c r="CS12" s="7">
        <v>46660</v>
      </c>
      <c r="CT12" s="7">
        <v>46752</v>
      </c>
      <c r="CU12" s="7">
        <v>46843</v>
      </c>
      <c r="CV12" s="7">
        <v>46934</v>
      </c>
      <c r="CW12" s="7">
        <v>47026</v>
      </c>
      <c r="CX12" s="7">
        <v>47118</v>
      </c>
      <c r="CY12" s="7">
        <v>47208</v>
      </c>
      <c r="CZ12" s="7">
        <v>47299</v>
      </c>
      <c r="DA12" s="7">
        <v>47391</v>
      </c>
      <c r="DB12" s="7">
        <v>47483</v>
      </c>
      <c r="DC12" s="7">
        <v>47573</v>
      </c>
      <c r="DD12" s="7">
        <v>47664</v>
      </c>
      <c r="DE12" s="7">
        <v>47756</v>
      </c>
      <c r="DF12" s="7">
        <v>47848</v>
      </c>
      <c r="DG12" s="7">
        <v>47938</v>
      </c>
      <c r="DH12" s="7">
        <v>48029</v>
      </c>
      <c r="DI12" s="7">
        <v>48121</v>
      </c>
      <c r="DJ12" s="7">
        <v>48213</v>
      </c>
      <c r="DK12" s="7">
        <v>48304</v>
      </c>
      <c r="DL12" s="7">
        <v>48395</v>
      </c>
      <c r="DM12" s="7">
        <v>48487</v>
      </c>
      <c r="DN12" s="7">
        <v>48579</v>
      </c>
      <c r="DO12" s="7">
        <v>48669</v>
      </c>
      <c r="DP12" s="7">
        <v>48760</v>
      </c>
      <c r="DQ12" s="7">
        <v>48852</v>
      </c>
      <c r="DR12" s="7">
        <v>48944</v>
      </c>
      <c r="DS12" s="9" t="s">
        <v>2</v>
      </c>
      <c r="DT12" s="10" t="s">
        <v>3</v>
      </c>
      <c r="DU12" s="9" t="s">
        <v>4</v>
      </c>
      <c r="DV12" s="11" t="s">
        <v>5</v>
      </c>
      <c r="DW12" s="9" t="s">
        <v>6</v>
      </c>
      <c r="DX12" s="16">
        <v>1.28</v>
      </c>
      <c r="GI12" s="1"/>
    </row>
    <row r="13" spans="1:191" x14ac:dyDescent="0.25">
      <c r="A13" s="4">
        <v>1</v>
      </c>
      <c r="B13" s="8">
        <f ca="1">IF(OR(B3="",B$11&lt;$A13),"",B3/OFFSET(ActivosEPAESP!$A$80,MATCH(B$12,ActivosEPAESP!$A$80:$A$500)+$A13-1,1)-1)</f>
        <v>4.7134863070903421E-3</v>
      </c>
      <c r="C13" s="8">
        <f ca="1">IF(OR(C3="",C$11&lt;$A13),"",C3/OFFSET(ActivosEPAESP!$A$80,MATCH(C$12,ActivosEPAESP!$A$80:$A$500)+$A13-1,1)-1)</f>
        <v>-1.6786587475051684E-3</v>
      </c>
      <c r="D13" s="8">
        <f ca="1">IF(OR(D3="",D$11&lt;$A13),"",D3/OFFSET(ActivosEPAESP!$A$80,MATCH(D$12,ActivosEPAESP!$A$80:$A$500)+$A13-1,1)-1)</f>
        <v>7.083167782195865E-4</v>
      </c>
      <c r="E13" s="8">
        <f ca="1">IF(OR(E3="",E$11&lt;$A13),"",E3/OFFSET(ActivosEPAESP!$A$80,MATCH(E$12,ActivosEPAESP!$A$80:$A$500)+$A13-1,1)-1)</f>
        <v>-2.5267253381944244E-3</v>
      </c>
      <c r="F13" s="8">
        <f ca="1">IF(OR(F3="",F$11&lt;$A13),"",F3/OFFSET(ActivosEPAESP!$A$80,MATCH(F$12,ActivosEPAESP!$A$80:$A$500)+$A13-1,1)-1)</f>
        <v>-2.8824649641558953E-3</v>
      </c>
      <c r="G13" s="8">
        <f ca="1">IF(OR(G3="",G$11&lt;$A13),"",G3/OFFSET(ActivosEPAESP!$A$80,MATCH(G$12,ActivosEPAESP!$A$80:$A$500)+$A13-1,1)-1)</f>
        <v>-4.4839311414003324E-3</v>
      </c>
      <c r="H13" s="8">
        <f ca="1">IF(OR(H3="",H$11&lt;$A13),"",H3/OFFSET(ActivosEPAESP!$A$80,MATCH(H$12,ActivosEPAESP!$A$80:$A$500)+$A13-1,1)-1)</f>
        <v>9.002683769932629E-3</v>
      </c>
      <c r="I13" s="8">
        <f ca="1">IF(OR(I3="",I$11&lt;$A13),"",I3/OFFSET(ActivosEPAESP!$A$80,MATCH(I$12,ActivosEPAESP!$A$80:$A$500)+$A13-1,1)-1)</f>
        <v>-2.5740922670991484E-4</v>
      </c>
      <c r="J13" s="8">
        <f ca="1">IF(OR(J3="",J$11&lt;$A13),"",J3/OFFSET(ActivosEPAESP!$A$80,MATCH(J$12,ActivosEPAESP!$A$80:$A$500)+$A13-1,1)-1)</f>
        <v>2.2433875260263747E-4</v>
      </c>
      <c r="K13" s="8">
        <f ca="1">IF(OR(K3="",K$11&lt;$A13),"",K3/OFFSET(ActivosEPAESP!$A$80,MATCH(K$12,ActivosEPAESP!$A$80:$A$500)+$A13-1,1)-1)</f>
        <v>-1.1584095837825492E-3</v>
      </c>
      <c r="L13" s="8">
        <f ca="1">IF(OR(L3="",L$11&lt;$A13),"",L3/OFFSET(ActivosEPAESP!$A$80,MATCH(L$12,ActivosEPAESP!$A$80:$A$500)+$A13-1,1)-1)</f>
        <v>3.3444762416057205E-3</v>
      </c>
      <c r="M13" s="8">
        <f ca="1">IF(OR(M3="",M$11&lt;$A13),"",M3/OFFSET(ActivosEPAESP!$A$80,MATCH(M$12,ActivosEPAESP!$A$80:$A$500)+$A13-1,1)-1)</f>
        <v>-8.5155605237807741E-4</v>
      </c>
      <c r="N13" s="8">
        <f ca="1">IF(OR(N3="",N$11&lt;$A13),"",N3/OFFSET(ActivosEPAESP!$A$80,MATCH(N$12,ActivosEPAESP!$A$80:$A$500)+$A13-1,1)-1)</f>
        <v>1.2834981453200278E-3</v>
      </c>
      <c r="O13" s="8">
        <f ca="1">IF(OR(O3="",O$11&lt;$A13),"",O3/OFFSET(ActivosEPAESP!$A$80,MATCH(O$12,ActivosEPAESP!$A$80:$A$500)+$A13-1,1)-1)</f>
        <v>-1.8442904444633257E-3</v>
      </c>
      <c r="P13" s="8">
        <f ca="1">IF(OR(P3="",P$11&lt;$A13),"",P3/OFFSET(ActivosEPAESP!$A$80,MATCH(P$12,ActivosEPAESP!$A$80:$A$500)+$A13-1,1)-1)</f>
        <v>-6.58662127250631E-4</v>
      </c>
      <c r="Q13" s="8">
        <f ca="1">IF(OR(Q3="",Q$11&lt;$A13),"",Q3/OFFSET(ActivosEPAESP!$A$80,MATCH(Q$12,ActivosEPAESP!$A$80:$A$500)+$A13-1,1)-1)</f>
        <v>2.7632578594196655E-3</v>
      </c>
      <c r="R13" s="8">
        <f ca="1">IF(OR(R3="",R$11&lt;$A13),"",R3/OFFSET(ActivosEPAESP!$A$80,MATCH(R$12,ActivosEPAESP!$A$80:$A$500)+$A13-1,1)-1)</f>
        <v>-9.1049963421274693E-4</v>
      </c>
      <c r="S13" s="8">
        <f ca="1">IF(OR(S3="",S$11&lt;$A13),"",S3/OFFSET(ActivosEPAESP!$A$80,MATCH(S$12,ActivosEPAESP!$A$80:$A$500)+$A13-1,1)-1)</f>
        <v>-1.3854996867178615E-3</v>
      </c>
      <c r="T13" s="8">
        <f ca="1">IF(OR(T3="",T$11&lt;$A13),"",T3/OFFSET(ActivosEPAESP!$A$80,MATCH(T$12,ActivosEPAESP!$A$80:$A$500)+$A13-1,1)-1)</f>
        <v>3.0154458894366964E-3</v>
      </c>
      <c r="U13" s="8">
        <f ca="1">IF(OR(U3="",U$11&lt;$A13),"",U3/OFFSET(ActivosEPAESP!$A$80,MATCH(U$12,ActivosEPAESP!$A$80:$A$500)+$A13-1,1)-1)</f>
        <v>1.1510362550350983E-3</v>
      </c>
      <c r="V13" s="8">
        <f ca="1">IF(OR(V3="",V$11&lt;$A13),"",V3/OFFSET(ActivosEPAESP!$A$80,MATCH(V$12,ActivosEPAESP!$A$80:$A$500)+$A13-1,1)-1)</f>
        <v>3.8613950272723407E-3</v>
      </c>
      <c r="W13" s="8">
        <f ca="1">IF(OR(W3="",W$11&lt;$A13),"",W3/OFFSET(ActivosEPAESP!$A$80,MATCH(W$12,ActivosEPAESP!$A$80:$A$500)+$A13-1,1)-1)</f>
        <v>7.5229416881552602E-3</v>
      </c>
      <c r="X13" s="8">
        <f ca="1">IF(OR(X3="",X$11&lt;$A13),"",X3/OFFSET(ActivosEPAESP!$A$80,MATCH(X$12,ActivosEPAESP!$A$80:$A$500)+$A13-1,1)-1)</f>
        <v>8.3188798826621113E-3</v>
      </c>
      <c r="Y13" s="8">
        <f ca="1">IF(OR(Y3="",Y$11&lt;$A13),"",Y3/OFFSET(ActivosEPAESP!$A$80,MATCH(Y$12,ActivosEPAESP!$A$80:$A$500)+$A13-1,1)-1)</f>
        <v>8.6203034230769582E-4</v>
      </c>
      <c r="Z13" s="8">
        <f ca="1">IF(OR(Z3="",Z$11&lt;$A13),"",Z3/OFFSET(ActivosEPAESP!$A$80,MATCH(Z$12,ActivosEPAESP!$A$80:$A$500)+$A13-1,1)-1)</f>
        <v>-1.2455781763297535E-3</v>
      </c>
      <c r="AA13" s="8">
        <f ca="1">IF(OR(AA3="",AA$11&lt;$A13),"",AA3/OFFSET(ActivosEPAESP!$A$80,MATCH(AA$12,ActivosEPAESP!$A$80:$A$500)+$A13-1,1)-1)</f>
        <v>-3.1450918985499454E-3</v>
      </c>
      <c r="AB13" s="8">
        <f ca="1">IF(OR(AB3="",AB$11&lt;$A13),"",AB3/OFFSET(ActivosEPAESP!$A$80,MATCH(AB$12,ActivosEPAESP!$A$80:$A$500)+$A13-1,1)-1)</f>
        <v>3.3388582630211605E-3</v>
      </c>
      <c r="AC13" s="8">
        <f ca="1">IF(OR(AC3="",AC$11&lt;$A13),"",AC3/OFFSET(ActivosEPAESP!$A$80,MATCH(AC$12,ActivosEPAESP!$A$80:$A$500)+$A13-1,1)-1)</f>
        <v>3.1317027762385319E-3</v>
      </c>
      <c r="AD13" s="8">
        <f ca="1">IF(OR(AD3="",AD$11&lt;$A13),"",AD3/OFFSET(ActivosEPAESP!$A$80,MATCH(AD$12,ActivosEPAESP!$A$80:$A$500)+$A13-1,1)-1)</f>
        <v>2.2087632047758099E-3</v>
      </c>
      <c r="AE13" s="8">
        <f ca="1">IF(OR(AE3="",AE$11&lt;$A13),"",AE3/OFFSET(ActivosEPAESP!$A$80,MATCH(AE$12,ActivosEPAESP!$A$80:$A$500)+$A13-1,1)-1)</f>
        <v>-2.7136332440086397E-3</v>
      </c>
      <c r="AF13" s="8">
        <f ca="1">IF(OR(AF3="",AF$11&lt;$A13),"",AF3/OFFSET(ActivosEPAESP!$A$80,MATCH(AF$12,ActivosEPAESP!$A$80:$A$500)+$A13-1,1)-1)</f>
        <v>8.0484675567427111E-4</v>
      </c>
      <c r="AG13" s="8">
        <f ca="1">IF(OR(AG3="",AG$11&lt;$A13),"",AG3/OFFSET(ActivosEPAESP!$A$80,MATCH(AG$12,ActivosEPAESP!$A$80:$A$500)+$A13-1,1)-1)</f>
        <v>2.6821194791679659E-3</v>
      </c>
      <c r="AH13" s="8">
        <f ca="1">IF(OR(AH3="",AH$11&lt;$A13),"",AH3/OFFSET(ActivosEPAESP!$A$80,MATCH(AH$12,ActivosEPAESP!$A$80:$A$500)+$A13-1,1)-1)</f>
        <v>7.6169461141306627E-5</v>
      </c>
      <c r="AI13" s="8">
        <f ca="1">IF(OR(AI3="",AI$11&lt;$A13),"",AI3/OFFSET(ActivosEPAESP!$A$80,MATCH(AI$12,ActivosEPAESP!$A$80:$A$500)+$A13-1,1)-1)</f>
        <v>2.1911172242972121E-4</v>
      </c>
      <c r="AJ13" s="8">
        <f ca="1">IF(OR(AJ3="",AJ$11&lt;$A13),"",AJ3/OFFSET(ActivosEPAESP!$A$80,MATCH(AJ$12,ActivosEPAESP!$A$80:$A$500)+$A13-1,1)-1)</f>
        <v>-2.4118019534213886E-4</v>
      </c>
      <c r="AK13" s="8">
        <f ca="1">IF(OR(AK3="",AK$11&lt;$A13),"",AK3/OFFSET(ActivosEPAESP!$A$80,MATCH(AK$12,ActivosEPAESP!$A$80:$A$500)+$A13-1,1)-1)</f>
        <v>4.8106506064875543E-3</v>
      </c>
      <c r="AL13" s="8">
        <f ca="1">IF(OR(AL3="",AL$11&lt;$A13),"",AL3/OFFSET(ActivosEPAESP!$A$80,MATCH(AL$12,ActivosEPAESP!$A$80:$A$500)+$A13-1,1)-1)</f>
        <v>3.221305840002131E-4</v>
      </c>
      <c r="AM13" s="8">
        <f ca="1">IF(OR(AM3="",AM$11&lt;$A13),"",AM3/OFFSET(ActivosEPAESP!$A$80,MATCH(AM$12,ActivosEPAESP!$A$80:$A$500)+$A13-1,1)-1)</f>
        <v>5.4360464784843909E-3</v>
      </c>
      <c r="AN13" s="8">
        <f ca="1">IF(OR(AN3="",AN$11&lt;$A13),"",AN3/OFFSET(ActivosEPAESP!$A$80,MATCH(AN$12,ActivosEPAESP!$A$80:$A$500)+$A13-1,1)-1)</f>
        <v>-1.724949465691572E-3</v>
      </c>
      <c r="AO13" s="8">
        <f ca="1">IF(OR(AO3="",AO$11&lt;$A13),"",AO3/OFFSET(ActivosEPAESP!$A$80,MATCH(AO$12,ActivosEPAESP!$A$80:$A$500)+$A13-1,1)-1)</f>
        <v>5.0517535470095964E-4</v>
      </c>
      <c r="AP13" s="8">
        <f ca="1">IF(OR(AP3="",AP$11&lt;$A13),"",AP3/OFFSET(ActivosEPAESP!$A$80,MATCH(AP$12,ActivosEPAESP!$A$80:$A$500)+$A13-1,1)-1)</f>
        <v>4.9453090286304402E-3</v>
      </c>
      <c r="AQ13" s="8">
        <f ca="1">IF(OR(AQ3="",AQ$11&lt;$A13),"",AQ3/OFFSET(ActivosEPAESP!$A$80,MATCH(AQ$12,ActivosEPAESP!$A$80:$A$500)+$A13-1,1)-1)</f>
        <v>-7.1323785413247576E-3</v>
      </c>
      <c r="AR13" s="8">
        <f ca="1">IF(OR(AR3="",AR$11&lt;$A13),"",AR3/OFFSET(ActivosEPAESP!$A$80,MATCH(AR$12,ActivosEPAESP!$A$80:$A$500)+$A13-1,1)-1)</f>
        <v>4.2226814748413943E-5</v>
      </c>
      <c r="AS13" s="8">
        <f ca="1">IF(OR(AS3="",AS$11&lt;$A13),"",AS3/OFFSET(ActivosEPAESP!$A$80,MATCH(AS$12,ActivosEPAESP!$A$80:$A$500)+$A13-1,1)-1)</f>
        <v>-8.3079984659408801E-3</v>
      </c>
      <c r="AT13" s="8">
        <f ca="1">IF(OR(AT3="",AT$11&lt;$A13),"",AT3/OFFSET(ActivosEPAESP!$A$80,MATCH(AT$12,ActivosEPAESP!$A$80:$A$500)+$A13-1,1)-1)</f>
        <v>4.2683765548834351E-3</v>
      </c>
      <c r="AU13" s="8">
        <f ca="1">IF(OR(AU3="",AU$11&lt;$A13),"",AU3/OFFSET(ActivosEPAESP!$A$80,MATCH(AU$12,ActivosEPAESP!$A$80:$A$500)+$A13-1,1)-1)</f>
        <v>-5.6079735075278414E-3</v>
      </c>
      <c r="AV13" s="8">
        <f ca="1">IF(OR(AV3="",AV$11&lt;$A13),"",AV3/OFFSET(ActivosEPAESP!$A$80,MATCH(AV$12,ActivosEPAESP!$A$80:$A$500)+$A13-1,1)-1)</f>
        <v>4.4451131096603369E-3</v>
      </c>
      <c r="AW13" s="8">
        <f ca="1">IF(OR(AW3="",AW$11&lt;$A13),"",AW3/OFFSET(ActivosEPAESP!$A$80,MATCH(AW$12,ActivosEPAESP!$A$80:$A$500)+$A13-1,1)-1)</f>
        <v>-8.7974486793596096E-4</v>
      </c>
      <c r="AX13" s="8">
        <f ca="1">IF(OR(AX3="",AX$11&lt;$A13),"",AX3/OFFSET(ActivosEPAESP!$A$80,MATCH(AX$12,ActivosEPAESP!$A$80:$A$500)+$A13-1,1)-1)</f>
        <v>-1.4602331093496179E-3</v>
      </c>
      <c r="AY13" s="8">
        <f ca="1">IF(OR(AY3="",AY$11&lt;$A13),"",AY3/OFFSET(ActivosEPAESP!$A$80,MATCH(AY$12,ActivosEPAESP!$A$80:$A$500)+$A13-1,1)-1)</f>
        <v>-7.4995153606316478E-4</v>
      </c>
      <c r="AZ13" s="8">
        <f ca="1">IF(OR(AZ3="",AZ$11&lt;$A13),"",AZ3/OFFSET(ActivosEPAESP!$A$80,MATCH(AZ$12,ActivosEPAESP!$A$80:$A$500)+$A13-1,1)-1)</f>
        <v>-6.4619382480424203E-4</v>
      </c>
      <c r="BA13" s="8">
        <f ca="1">IF(OR(BA3="",BA$11&lt;$A13),"",BA3/OFFSET(ActivosEPAESP!$A$80,MATCH(BA$12,ActivosEPAESP!$A$80:$A$500)+$A13-1,1)-1)</f>
        <v>3.233831791547459E-3</v>
      </c>
      <c r="BB13" s="8">
        <f ca="1">IF(OR(BB3="",BB$11&lt;$A13),"",BB3/OFFSET(ActivosEPAESP!$A$80,MATCH(BB$12,ActivosEPAESP!$A$80:$A$500)+$A13-1,1)-1)</f>
        <v>-1.343944299616151E-3</v>
      </c>
      <c r="BC13" s="8">
        <f ca="1">IF(OR(BC3="",BC$11&lt;$A13),"",BC3/OFFSET(ActivosEPAESP!$A$80,MATCH(BC$12,ActivosEPAESP!$A$80:$A$500)+$A13-1,1)-1)</f>
        <v>2.0158009816695355E-5</v>
      </c>
      <c r="BD13" s="8">
        <f ca="1">IF(OR(BD3="",BD$11&lt;$A13),"",BD3/OFFSET(ActivosEPAESP!$A$80,MATCH(BD$12,ActivosEPAESP!$A$80:$A$500)+$A13-1,1)-1)</f>
        <v>-4.2933184734551544E-3</v>
      </c>
      <c r="BE13" s="8">
        <f ca="1">IF(OR(BE3="",BE$11&lt;$A13),"",BE3/OFFSET(ActivosEPAESP!$A$80,MATCH(BE$12,ActivosEPAESP!$A$80:$A$500)+$A13-1,1)-1)</f>
        <v>-6.524462781168916E-4</v>
      </c>
      <c r="BF13" s="8">
        <f ca="1">IF(OR(BF3="",BF$11&lt;$A13),"",BF3/OFFSET(ActivosEPAESP!$A$80,MATCH(BF$12,ActivosEPAESP!$A$80:$A$500)+$A13-1,1)-1)</f>
        <v>2.1357872147929058E-3</v>
      </c>
      <c r="BG13" s="8">
        <f ca="1">IF(OR(BG3="",BG$11&lt;$A13),"",BG3/OFFSET(ActivosEPAESP!$A$80,MATCH(BG$12,ActivosEPAESP!$A$80:$A$500)+$A13-1,1)-1)</f>
        <v>-5.3992290314475166E-3</v>
      </c>
      <c r="BH13" s="8">
        <f ca="1">IF(OR(BH3="",BH$11&lt;$A13),"",BH3/OFFSET(ActivosEPAESP!$A$80,MATCH(BH$12,ActivosEPAESP!$A$80:$A$500)+$A13-1,1)-1)</f>
        <v>-3.6481143518940495E-4</v>
      </c>
      <c r="BI13" s="8">
        <f ca="1">IF(OR(BI3="",BI$11&lt;$A13),"",BI3/OFFSET(ActivosEPAESP!$A$80,MATCH(BI$12,ActivosEPAESP!$A$80:$A$500)+$A13-1,1)-1)</f>
        <v>-9.7123648874086754E-4</v>
      </c>
      <c r="BJ13" s="8">
        <f ca="1">IF(OR(BJ3="",BJ$11&lt;$A13),"",BJ3/OFFSET(ActivosEPAESP!$A$80,MATCH(BJ$12,ActivosEPAESP!$A$80:$A$500)+$A13-1,1)-1)</f>
        <v>2.4678664278909856E-4</v>
      </c>
      <c r="BK13" s="8">
        <f ca="1">IF(OR(BK3="",BK$11&lt;$A13),"",BK3/OFFSET(ActivosEPAESP!$A$80,MATCH(BK$12,ActivosEPAESP!$A$80:$A$500)+$A13-1,1)-1)</f>
        <v>-5.1311889593095295E-3</v>
      </c>
      <c r="BL13" s="8">
        <f ca="1">IF(OR(BL3="",BL$11&lt;$A13),"",BL3/OFFSET(ActivosEPAESP!$A$80,MATCH(BL$12,ActivosEPAESP!$A$80:$A$500)+$A13-1,1)-1)</f>
        <v>-3.7694951128652843E-4</v>
      </c>
      <c r="BM13" s="8">
        <f ca="1">IF(OR(BM3="",BM$11&lt;$A13),"",BM3/OFFSET(ActivosEPAESP!$A$80,MATCH(BM$12,ActivosEPAESP!$A$80:$A$500)+$A13-1,1)-1)</f>
        <v>-1.9601973280923835E-3</v>
      </c>
      <c r="BN13" s="8">
        <f ca="1">IF(OR(BN3="",BN$11&lt;$A13),"",BN3/OFFSET(ActivosEPAESP!$A$80,MATCH(BN$12,ActivosEPAESP!$A$80:$A$500)+$A13-1,1)-1)</f>
        <v>7.2011155304245733E-3</v>
      </c>
      <c r="BO13" s="8">
        <f ca="1">IF(OR(BO3="",BO$11&lt;$A13),"",BO3/OFFSET(ActivosEPAESP!$A$80,MATCH(BO$12,ActivosEPAESP!$A$80:$A$500)+$A13-1,1)-1)</f>
        <v>5.1364920134440606E-2</v>
      </c>
      <c r="BP13" s="8">
        <f ca="1">IF(OR(BP3="",BP$11&lt;$A13),"",BP3/OFFSET(ActivosEPAESP!$A$80,MATCH(BP$12,ActivosEPAESP!$A$80:$A$500)+$A13-1,1)-1)</f>
        <v>-4.7169224594562076E-2</v>
      </c>
      <c r="BQ13" s="8">
        <f ca="1">IF(OR(BQ3="",BQ$11&lt;$A13),"",BQ3/OFFSET(ActivosEPAESP!$A$80,MATCH(BQ$12,ActivosEPAESP!$A$80:$A$500)+$A13-1,1)-1)</f>
        <v>-1.3138607353387344E-2</v>
      </c>
      <c r="BR13" s="8" t="str">
        <f ca="1">IF(OR(BR3="",BR$11&lt;$A13),"",BR3/OFFSET(ActivosEPAESP!$A$80,MATCH(BR$12,ActivosEPAESP!$A$80:$A$500)+$A13-1,1)-1)</f>
        <v/>
      </c>
      <c r="BS13" s="8" t="str">
        <f ca="1">IF(OR(BS3="",BS$11&lt;$A13),"",BS3/OFFSET(ActivosEPAESP!$A$80,MATCH(BS$12,ActivosEPAESP!$A$80:$A$500)+$A13-1,1)-1)</f>
        <v/>
      </c>
      <c r="BT13" s="8" t="str">
        <f ca="1">IF(OR(BT3="",BT$11&lt;$A13),"",BT3/OFFSET(ActivosEPAESP!$A$80,MATCH(BT$12,ActivosEPAESP!$A$80:$A$500)+$A13-1,1)-1)</f>
        <v/>
      </c>
      <c r="BU13" s="8" t="str">
        <f ca="1">IF(OR(BU3="",BU$11&lt;$A13),"",BU3/OFFSET(ActivosEPAESP!$A$80,MATCH(BU$12,ActivosEPAESP!$A$80:$A$500)+$A13-1,1)-1)</f>
        <v/>
      </c>
      <c r="BV13" s="8" t="str">
        <f ca="1">IF(OR(BV3="",BV$11&lt;$A13),"",BV3/OFFSET(ActivosEPAESP!$A$80,MATCH(BV$12,ActivosEPAESP!$A$80:$A$500)+$A13-1,1)-1)</f>
        <v/>
      </c>
      <c r="BW13" s="8" t="str">
        <f ca="1">IF(OR(BW3="",BW$11&lt;$A13),"",BW3/OFFSET(ActivosEPAESP!$A$80,MATCH(BW$12,ActivosEPAESP!$A$80:$A$500)+$A13-1,1)-1)</f>
        <v/>
      </c>
      <c r="BX13" s="8" t="str">
        <f ca="1">IF(OR(BX3="",BX$11&lt;$A13),"",BX3/OFFSET(ActivosEPAESP!$A$80,MATCH(BX$12,ActivosEPAESP!$A$80:$A$500)+$A13-1,1)-1)</f>
        <v/>
      </c>
      <c r="BY13" s="8" t="str">
        <f ca="1">IF(OR(BY3="",BY$11&lt;$A13),"",BY3/OFFSET(ActivosEPAESP!$A$80,MATCH(BY$12,ActivosEPAESP!$A$80:$A$500)+$A13-1,1)-1)</f>
        <v/>
      </c>
      <c r="BZ13" s="8" t="str">
        <f ca="1">IF(OR(BZ3="",BZ$11&lt;$A13),"",BZ3/OFFSET(ActivosEPAESP!$A$80,MATCH(BZ$12,ActivosEPAESP!$A$80:$A$500)+$A13-1,1)-1)</f>
        <v/>
      </c>
      <c r="CA13" s="8" t="str">
        <f ca="1">IF(OR(CA3="",CA$11&lt;$A13),"",CA3/OFFSET(ActivosEPAESP!$A$80,MATCH(CA$12,ActivosEPAESP!$A$80:$A$500)+$A13-1,1)-1)</f>
        <v/>
      </c>
      <c r="CB13" s="8" t="str">
        <f ca="1">IF(OR(CB3="",CB$11&lt;$A13),"",CB3/OFFSET(ActivosEPAESP!$A$80,MATCH(CB$12,ActivosEPAESP!$A$80:$A$500)+$A13-1,1)-1)</f>
        <v/>
      </c>
      <c r="CC13" s="8" t="str">
        <f ca="1">IF(OR(CC3="",CC$11&lt;$A13),"",CC3/OFFSET(ActivosEPAESP!$A$80,MATCH(CC$12,ActivosEPAESP!$A$80:$A$500)+$A13-1,1)-1)</f>
        <v/>
      </c>
      <c r="CD13" s="8" t="str">
        <f ca="1">IF(OR(CD3="",CD$11&lt;$A13),"",CD3/OFFSET(ActivosEPAESP!$A$80,MATCH(CD$12,ActivosEPAESP!$A$80:$A$500)+$A13-1,1)-1)</f>
        <v/>
      </c>
      <c r="CE13" s="8" t="str">
        <f ca="1">IF(OR(CE3="",CE$11&lt;$A13),"",CE3/OFFSET(ActivosEPAESP!$A$80,MATCH(CE$12,ActivosEPAESP!$A$80:$A$500)+$A13-1,1)-1)</f>
        <v/>
      </c>
      <c r="CF13" s="8" t="str">
        <f ca="1">IF(OR(CF3="",CF$11&lt;$A13),"",CF3/OFFSET(ActivosEPAESP!$A$80,MATCH(CF$12,ActivosEPAESP!$A$80:$A$500)+$A13-1,1)-1)</f>
        <v/>
      </c>
      <c r="CG13" s="8" t="str">
        <f ca="1">IF(OR(CG3="",CG$11&lt;$A13),"",CG3/OFFSET(ActivosEPAESP!$A$80,MATCH(CG$12,ActivosEPAESP!$A$80:$A$500)+$A13-1,1)-1)</f>
        <v/>
      </c>
      <c r="CH13" s="8" t="str">
        <f ca="1">IF(OR(CH3="",CH$11&lt;$A13),"",CH3/OFFSET(ActivosEPAESP!$A$80,MATCH(CH$12,ActivosEPAESP!$A$80:$A$500)+$A13-1,1)-1)</f>
        <v/>
      </c>
      <c r="CI13" s="8" t="str">
        <f ca="1">IF(OR(CI3="",CI$11&lt;$A13),"",CI3/OFFSET(ActivosEPAESP!$A$80,MATCH(CI$12,ActivosEPAESP!$A$80:$A$500)+$A13-1,1)-1)</f>
        <v/>
      </c>
      <c r="CJ13" s="8" t="str">
        <f ca="1">IF(OR(CJ3="",CJ$11&lt;$A13),"",CJ3/OFFSET(ActivosEPAESP!$A$80,MATCH(CJ$12,ActivosEPAESP!$A$80:$A$500)+$A13-1,1)-1)</f>
        <v/>
      </c>
      <c r="CK13" s="8" t="str">
        <f ca="1">IF(OR(CK3="",CK$11&lt;$A13),"",CK3/OFFSET(ActivosEPAESP!$A$80,MATCH(CK$12,ActivosEPAESP!$A$80:$A$500)+$A13-1,1)-1)</f>
        <v/>
      </c>
      <c r="CL13" s="8" t="str">
        <f ca="1">IF(OR(CL3="",CL$11&lt;$A13),"",CL3/OFFSET(ActivosEPAESP!$A$80,MATCH(CL$12,ActivosEPAESP!$A$80:$A$500)+$A13-1,1)-1)</f>
        <v/>
      </c>
      <c r="CM13" s="8" t="str">
        <f ca="1">IF(OR(CM3="",CM$11&lt;$A13),"",CM3/OFFSET(ActivosEPAESP!$A$80,MATCH(CM$12,ActivosEPAESP!$A$80:$A$500)+$A13-1,1)-1)</f>
        <v/>
      </c>
      <c r="CN13" s="8" t="str">
        <f ca="1">IF(OR(CN3="",CN$11&lt;$A13),"",CN3/OFFSET(ActivosEPAESP!$A$80,MATCH(CN$12,ActivosEPAESP!$A$80:$A$500)+$A13-1,1)-1)</f>
        <v/>
      </c>
      <c r="CO13" s="8" t="str">
        <f ca="1">IF(OR(CO3="",CO$11&lt;$A13),"",CO3/OFFSET(ActivosEPAESP!$A$80,MATCH(CO$12,ActivosEPAESP!$A$80:$A$500)+$A13-1,1)-1)</f>
        <v/>
      </c>
      <c r="CP13" s="8" t="str">
        <f ca="1">IF(OR(CP3="",CP$11&lt;$A13),"",CP3/OFFSET(ActivosEPAESP!$A$80,MATCH(CP$12,ActivosEPAESP!$A$80:$A$500)+$A13-1,1)-1)</f>
        <v/>
      </c>
      <c r="CQ13" s="8" t="str">
        <f ca="1">IF(OR(CQ3="",CQ$11&lt;$A13),"",CQ3/OFFSET(ActivosEPAESP!$A$80,MATCH(CQ$12,ActivosEPAESP!$A$80:$A$500)+$A13-1,1)-1)</f>
        <v/>
      </c>
      <c r="CR13" s="8" t="str">
        <f ca="1">IF(OR(CR3="",CR$11&lt;$A13),"",CR3/OFFSET(ActivosEPAESP!$A$80,MATCH(CR$12,ActivosEPAESP!$A$80:$A$500)+$A13-1,1)-1)</f>
        <v/>
      </c>
      <c r="CS13" s="8" t="str">
        <f ca="1">IF(OR(CS3="",CS$11&lt;$A13),"",CS3/OFFSET(ActivosEPAESP!$A$80,MATCH(CS$12,ActivosEPAESP!$A$80:$A$500)+$A13-1,1)-1)</f>
        <v/>
      </c>
      <c r="CT13" s="8" t="str">
        <f ca="1">IF(OR(CT3="",CT$11&lt;$A13),"",CT3/OFFSET(ActivosEPAESP!$A$80,MATCH(CT$12,ActivosEPAESP!$A$80:$A$500)+$A13-1,1)-1)</f>
        <v/>
      </c>
      <c r="CU13" s="8" t="str">
        <f ca="1">IF(OR(CU3="",CU$11&lt;$A13),"",CU3/OFFSET(ActivosEPAESP!$A$80,MATCH(CU$12,ActivosEPAESP!$A$80:$A$500)+$A13-1,1)-1)</f>
        <v/>
      </c>
      <c r="CV13" s="8" t="str">
        <f ca="1">IF(OR(CV3="",CV$11&lt;$A13),"",CV3/OFFSET(ActivosEPAESP!$A$80,MATCH(CV$12,ActivosEPAESP!$A$80:$A$500)+$A13-1,1)-1)</f>
        <v/>
      </c>
      <c r="CW13" s="8" t="str">
        <f ca="1">IF(OR(CW3="",CW$11&lt;$A13),"",CW3/OFFSET(ActivosEPAESP!$A$80,MATCH(CW$12,ActivosEPAESP!$A$80:$A$500)+$A13-1,1)-1)</f>
        <v/>
      </c>
      <c r="CX13" s="8" t="str">
        <f ca="1">IF(OR(CX3="",CX$11&lt;$A13),"",CX3/OFFSET(ActivosEPAESP!$A$80,MATCH(CX$12,ActivosEPAESP!$A$80:$A$500)+$A13-1,1)-1)</f>
        <v/>
      </c>
      <c r="CY13" s="8" t="str">
        <f ca="1">IF(OR(CY3="",CY$11&lt;$A13),"",CY3/OFFSET(ActivosEPAESP!$A$80,MATCH(CY$12,ActivosEPAESP!$A$80:$A$500)+$A13-1,1)-1)</f>
        <v/>
      </c>
      <c r="CZ13" s="8" t="str">
        <f ca="1">IF(OR(CZ3="",CZ$11&lt;$A13),"",CZ3/OFFSET(ActivosEPAESP!$A$80,MATCH(CZ$12,ActivosEPAESP!$A$80:$A$500)+$A13-1,1)-1)</f>
        <v/>
      </c>
      <c r="DA13" s="8" t="str">
        <f ca="1">IF(OR(DA3="",DA$11&lt;$A13),"",DA3/OFFSET(ActivosEPAESP!$A$80,MATCH(DA$12,ActivosEPAESP!$A$80:$A$500)+$A13-1,1)-1)</f>
        <v/>
      </c>
      <c r="DB13" s="8" t="str">
        <f ca="1">IF(OR(DB3="",DB$11&lt;$A13),"",DB3/OFFSET(ActivosEPAESP!$A$80,MATCH(DB$12,ActivosEPAESP!$A$80:$A$500)+$A13-1,1)-1)</f>
        <v/>
      </c>
      <c r="DC13" s="8" t="str">
        <f ca="1">IF(OR(DC3="",DC$11&lt;$A13),"",DC3/OFFSET(ActivosEPAESP!$A$80,MATCH(DC$12,ActivosEPAESP!$A$80:$A$500)+$A13-1,1)-1)</f>
        <v/>
      </c>
      <c r="DD13" s="8" t="str">
        <f ca="1">IF(OR(DD3="",DD$11&lt;$A13),"",DD3/OFFSET(ActivosEPAESP!$A$80,MATCH(DD$12,ActivosEPAESP!$A$80:$A$500)+$A13-1,1)-1)</f>
        <v/>
      </c>
      <c r="DE13" s="8" t="str">
        <f ca="1">IF(OR(DE3="",DE$11&lt;$A13),"",DE3/OFFSET(ActivosEPAESP!$A$80,MATCH(DE$12,ActivosEPAESP!$A$80:$A$500)+$A13-1,1)-1)</f>
        <v/>
      </c>
      <c r="DF13" s="8" t="str">
        <f ca="1">IF(OR(DF3="",DF$11&lt;$A13),"",DF3/OFFSET(ActivosEPAESP!$A$80,MATCH(DF$12,ActivosEPAESP!$A$80:$A$500)+$A13-1,1)-1)</f>
        <v/>
      </c>
      <c r="DG13" s="8" t="str">
        <f ca="1">IF(OR(DG3="",DG$11&lt;$A13),"",DG3/OFFSET(ActivosEPAESP!$A$80,MATCH(DG$12,ActivosEPAESP!$A$80:$A$500)+$A13-1,1)-1)</f>
        <v/>
      </c>
      <c r="DH13" s="8" t="str">
        <f ca="1">IF(OR(DH3="",DH$11&lt;$A13),"",DH3/OFFSET(ActivosEPAESP!$A$80,MATCH(DH$12,ActivosEPAESP!$A$80:$A$500)+$A13-1,1)-1)</f>
        <v/>
      </c>
      <c r="DI13" s="8" t="str">
        <f ca="1">IF(OR(DI3="",DI$11&lt;$A13),"",DI3/OFFSET(ActivosEPAESP!$A$80,MATCH(DI$12,ActivosEPAESP!$A$80:$A$500)+$A13-1,1)-1)</f>
        <v/>
      </c>
      <c r="DJ13" s="8" t="str">
        <f ca="1">IF(OR(DJ3="",DJ$11&lt;$A13),"",DJ3/OFFSET(ActivosEPAESP!$A$80,MATCH(DJ$12,ActivosEPAESP!$A$80:$A$500)+$A13-1,1)-1)</f>
        <v/>
      </c>
      <c r="DK13" s="8" t="str">
        <f ca="1">IF(OR(DK3="",DK$11&lt;$A13),"",DK3/OFFSET(ActivosEPAESP!$A$80,MATCH(DK$12,ActivosEPAESP!$A$80:$A$500)+$A13-1,1)-1)</f>
        <v/>
      </c>
      <c r="DL13" s="8" t="str">
        <f ca="1">IF(OR(DL3="",DL$11&lt;$A13),"",DL3/OFFSET(ActivosEPAESP!$A$80,MATCH(DL$12,ActivosEPAESP!$A$80:$A$500)+$A13-1,1)-1)</f>
        <v/>
      </c>
      <c r="DM13" s="8" t="str">
        <f ca="1">IF(OR(DM3="",DM$11&lt;$A13),"",DM3/OFFSET(ActivosEPAESP!$A$80,MATCH(DM$12,ActivosEPAESP!$A$80:$A$500)+$A13-1,1)-1)</f>
        <v/>
      </c>
      <c r="DN13" s="8" t="str">
        <f ca="1">IF(OR(DN3="",DN$11&lt;$A13),"",DN3/OFFSET(ActivosEPAESP!$A$80,MATCH(DN$12,ActivosEPAESP!$A$80:$A$500)+$A13-1,1)-1)</f>
        <v/>
      </c>
      <c r="DO13" s="8" t="str">
        <f ca="1">IF(OR(DO3="",DO$11&lt;$A13),"",DO3/OFFSET(ActivosEPAESP!$A$80,MATCH(DO$12,ActivosEPAESP!$A$80:$A$500)+$A13-1,1)-1)</f>
        <v/>
      </c>
      <c r="DP13" s="8" t="str">
        <f ca="1">IF(OR(DP3="",DP$11&lt;$A13),"",DP3/OFFSET(ActivosEPAESP!$A$80,MATCH(DP$12,ActivosEPAESP!$A$80:$A$500)+$A13-1,1)-1)</f>
        <v/>
      </c>
      <c r="DQ13" s="8" t="str">
        <f ca="1">IF(OR(DQ3="",DQ$11&lt;$A13),"",DQ3/OFFSET(ActivosEPAESP!$A$80,MATCH(DQ$12,ActivosEPAESP!$A$80:$A$500)+$A13-1,1)-1)</f>
        <v/>
      </c>
      <c r="DR13" s="8" t="str">
        <f ca="1">IF(OR(DR3="",DR$11&lt;$A13),"",DR3/OFFSET(ActivosEPAESP!$A$80,MATCH(DR$12,ActivosEPAESP!$A$80:$A$500)+$A13-1,1)-1)</f>
        <v/>
      </c>
      <c r="DS13" s="12">
        <f t="shared" ref="DS13:DS16" ca="1" si="51">AVERAGE(OFFSET($B13,0,Inicio-1,1,Amplitud))</f>
        <v>-7.5695904538459905E-4</v>
      </c>
      <c r="DT13" s="12">
        <f t="shared" ref="DT13:DT16" ca="1" si="52">MEDIAN(OFFSET($B13,0,Inicio-1,1,Amplitud))</f>
        <v>-6.524462781168916E-4</v>
      </c>
      <c r="DU13" s="13">
        <f t="shared" ref="DU13:DU16" ca="1" si="53">VARP(OFFSET($B13,0,Inicio-1,1,Amplitud))</f>
        <v>1.7473355903468345E-4</v>
      </c>
      <c r="DV13" s="15">
        <f ca="1">SQRT(DU13)</f>
        <v>1.3218682197355508E-2</v>
      </c>
      <c r="DW13" s="14" t="str">
        <f t="shared" ref="DW13:DW16" ca="1" si="54">CONCATENATE("[ ",TEXT(DS13-2*DV13,"0,00%")," ; ",TEXT(DS13+2*DV13,"0,00%")," ]")</f>
        <v>[ -2,72% ; 2,57% ]</v>
      </c>
      <c r="DX13" s="15">
        <f t="shared" ref="DX13:DX16" ca="1" si="55">DV13*DX$12</f>
        <v>1.6919913212615049E-2</v>
      </c>
      <c r="GI13" s="1"/>
    </row>
    <row r="14" spans="1:191" x14ac:dyDescent="0.25">
      <c r="A14" s="4">
        <v>2</v>
      </c>
      <c r="B14" s="8">
        <f ca="1">IF(OR(B4="",B$11&lt;$A14),"",B4/OFFSET(ActivosEPAESP!$A$80,MATCH(B$12,ActivosEPAESP!$A$80:$A$500)+$A14-1,1)-1)</f>
        <v>4.2145357956697715E-3</v>
      </c>
      <c r="C14" s="8">
        <f ca="1">IF(OR(C4="",C$11&lt;$A14),"",C4/OFFSET(ActivosEPAESP!$A$80,MATCH(C$12,ActivosEPAESP!$A$80:$A$500)+$A14-1,1)-1)</f>
        <v>-1.7193367692529549E-3</v>
      </c>
      <c r="D14" s="8">
        <f ca="1">IF(OR(D4="",D$11&lt;$A14),"",D4/OFFSET(ActivosEPAESP!$A$80,MATCH(D$12,ActivosEPAESP!$A$80:$A$500)+$A14-1,1)-1)</f>
        <v>-1.2587925569631508E-3</v>
      </c>
      <c r="E14" s="8">
        <f ca="1">IF(OR(E4="",E$11&lt;$A14),"",E4/OFFSET(ActivosEPAESP!$A$80,MATCH(E$12,ActivosEPAESP!$A$80:$A$500)+$A14-1,1)-1)</f>
        <v>-6.0617138410244964E-3</v>
      </c>
      <c r="F14" s="8">
        <f ca="1">IF(OR(F4="",F$11&lt;$A14),"",F4/OFFSET(ActivosEPAESP!$A$80,MATCH(F$12,ActivosEPAESP!$A$80:$A$500)+$A14-1,1)-1)</f>
        <v>-7.8902194169659934E-3</v>
      </c>
      <c r="G14" s="8">
        <f ca="1">IF(OR(G4="",G$11&lt;$A14),"",G4/OFFSET(ActivosEPAESP!$A$80,MATCH(G$12,ActivosEPAESP!$A$80:$A$500)+$A14-1,1)-1)</f>
        <v>4.9674690645402642E-3</v>
      </c>
      <c r="H14" s="8">
        <f ca="1">IF(OR(H4="",H$11&lt;$A14),"",H4/OFFSET(ActivosEPAESP!$A$80,MATCH(H$12,ActivosEPAESP!$A$80:$A$500)+$A14-1,1)-1)</f>
        <v>9.7922412546422866E-3</v>
      </c>
      <c r="I14" s="8">
        <f ca="1">IF(OR(I4="",I$11&lt;$A14),"",I4/OFFSET(ActivosEPAESP!$A$80,MATCH(I$12,ActivosEPAESP!$A$80:$A$500)+$A14-1,1)-1)</f>
        <v>-9.2546299660556386E-4</v>
      </c>
      <c r="J14" s="8">
        <f ca="1">IF(OR(J4="",J$11&lt;$A14),"",J4/OFFSET(ActivosEPAESP!$A$80,MATCH(J$12,ActivosEPAESP!$A$80:$A$500)+$A14-1,1)-1)</f>
        <v>-1.336632131572868E-3</v>
      </c>
      <c r="K14" s="8">
        <f ca="1">IF(OR(K4="",K$11&lt;$A14),"",K4/OFFSET(ActivosEPAESP!$A$80,MATCH(K$12,ActivosEPAESP!$A$80:$A$500)+$A14-1,1)-1)</f>
        <v>3.4065574946016142E-3</v>
      </c>
      <c r="L14" s="8">
        <f ca="1">IF(OR(L4="",L$11&lt;$A14),"",L4/OFFSET(ActivosEPAESP!$A$80,MATCH(L$12,ActivosEPAESP!$A$80:$A$500)+$A14-1,1)-1)</f>
        <v>3.7092145470425386E-3</v>
      </c>
      <c r="M14" s="8">
        <f ca="1">IF(OR(M4="",M$11&lt;$A14),"",M4/OFFSET(ActivosEPAESP!$A$80,MATCH(M$12,ActivosEPAESP!$A$80:$A$500)+$A14-1,1)-1)</f>
        <v>-1.5316655953956371E-4</v>
      </c>
      <c r="N14" s="8">
        <f ca="1">IF(OR(N4="",N$11&lt;$A14),"",N4/OFFSET(ActivosEPAESP!$A$80,MATCH(N$12,ActivosEPAESP!$A$80:$A$500)+$A14-1,1)-1)</f>
        <v>-4.2928302578248978E-4</v>
      </c>
      <c r="O14" s="8">
        <f ca="1">IF(OR(O4="",O$11&lt;$A14),"",O4/OFFSET(ActivosEPAESP!$A$80,MATCH(O$12,ActivosEPAESP!$A$80:$A$500)+$A14-1,1)-1)</f>
        <v>-1.8575744753268619E-3</v>
      </c>
      <c r="P14" s="8">
        <f ca="1">IF(OR(P4="",P$11&lt;$A14),"",P4/OFFSET(ActivosEPAESP!$A$80,MATCH(P$12,ActivosEPAESP!$A$80:$A$500)+$A14-1,1)-1)</f>
        <v>1.9493553625151705E-3</v>
      </c>
      <c r="Q14" s="8">
        <f ca="1">IF(OR(Q4="",Q$11&lt;$A14),"",Q4/OFFSET(ActivosEPAESP!$A$80,MATCH(Q$12,ActivosEPAESP!$A$80:$A$500)+$A14-1,1)-1)</f>
        <v>2.3489641309486498E-3</v>
      </c>
      <c r="R14" s="8">
        <f ca="1">IF(OR(R4="",R$11&lt;$A14),"",R4/OFFSET(ActivosEPAESP!$A$80,MATCH(R$12,ActivosEPAESP!$A$80:$A$500)+$A14-1,1)-1)</f>
        <v>-1.9754142007084585E-3</v>
      </c>
      <c r="S14" s="8">
        <f ca="1">IF(OR(S4="",S$11&lt;$A14),"",S4/OFFSET(ActivosEPAESP!$A$80,MATCH(S$12,ActivosEPAESP!$A$80:$A$500)+$A14-1,1)-1)</f>
        <v>2.3548204922294591E-3</v>
      </c>
      <c r="T14" s="8">
        <f ca="1">IF(OR(T4="",T$11&lt;$A14),"",T4/OFFSET(ActivosEPAESP!$A$80,MATCH(T$12,ActivosEPAESP!$A$80:$A$500)+$A14-1,1)-1)</f>
        <v>4.9790120189718845E-3</v>
      </c>
      <c r="U14" s="8">
        <f ca="1">IF(OR(U4="",U$11&lt;$A14),"",U4/OFFSET(ActivosEPAESP!$A$80,MATCH(U$12,ActivosEPAESP!$A$80:$A$500)+$A14-1,1)-1)</f>
        <v>5.2195740925884415E-3</v>
      </c>
      <c r="V14" s="8">
        <f ca="1">IF(OR(V4="",V$11&lt;$A14),"",V4/OFFSET(ActivosEPAESP!$A$80,MATCH(V$12,ActivosEPAESP!$A$80:$A$500)+$A14-1,1)-1)</f>
        <v>1.2551006641236651E-2</v>
      </c>
      <c r="W14" s="8">
        <f ca="1">IF(OR(W4="",W$11&lt;$A14),"",W4/OFFSET(ActivosEPAESP!$A$80,MATCH(W$12,ActivosEPAESP!$A$80:$A$500)+$A14-1,1)-1)</f>
        <v>1.8134008519249178E-2</v>
      </c>
      <c r="X14" s="8">
        <f ca="1">IF(OR(X4="",X$11&lt;$A14),"",X4/OFFSET(ActivosEPAESP!$A$80,MATCH(X$12,ActivosEPAESP!$A$80:$A$500)+$A14-1,1)-1)</f>
        <v>1.3277902378504125E-2</v>
      </c>
      <c r="Y14" s="8">
        <f ca="1">IF(OR(Y4="",Y$11&lt;$A14),"",Y4/OFFSET(ActivosEPAESP!$A$80,MATCH(Y$12,ActivosEPAESP!$A$80:$A$500)+$A14-1,1)-1)</f>
        <v>-4.523753984675416E-5</v>
      </c>
      <c r="Z14" s="8">
        <f ca="1">IF(OR(Z4="",Z$11&lt;$A14),"",Z4/OFFSET(ActivosEPAESP!$A$80,MATCH(Z$12,ActivosEPAESP!$A$80:$A$500)+$A14-1,1)-1)</f>
        <v>-4.8254731912418247E-3</v>
      </c>
      <c r="AA14" s="8">
        <f ca="1">IF(OR(AA4="",AA$11&lt;$A14),"",AA4/OFFSET(ActivosEPAESP!$A$80,MATCH(AA$12,ActivosEPAESP!$A$80:$A$500)+$A14-1,1)-1)</f>
        <v>-3.8529294383005119E-4</v>
      </c>
      <c r="AB14" s="8">
        <f ca="1">IF(OR(AB4="",AB$11&lt;$A14),"",AB4/OFFSET(ActivosEPAESP!$A$80,MATCH(AB$12,ActivosEPAESP!$A$80:$A$500)+$A14-1,1)-1)</f>
        <v>7.9373143275993652E-3</v>
      </c>
      <c r="AC14" s="8">
        <f ca="1">IF(OR(AC4="",AC$11&lt;$A14),"",AC4/OFFSET(ActivosEPAESP!$A$80,MATCH(AC$12,ActivosEPAESP!$A$80:$A$500)+$A14-1,1)-1)</f>
        <v>6.3651004085187868E-3</v>
      </c>
      <c r="AD14" s="8">
        <f ca="1">IF(OR(AD4="",AD$11&lt;$A14),"",AD4/OFFSET(ActivosEPAESP!$A$80,MATCH(AD$12,ActivosEPAESP!$A$80:$A$500)+$A14-1,1)-1)</f>
        <v>3.5709769725000839E-5</v>
      </c>
      <c r="AE14" s="8">
        <f ca="1">IF(OR(AE4="",AE$11&lt;$A14),"",AE4/OFFSET(ActivosEPAESP!$A$80,MATCH(AE$12,ActivosEPAESP!$A$80:$A$500)+$A14-1,1)-1)</f>
        <v>-3.1169769999158659E-3</v>
      </c>
      <c r="AF14" s="8">
        <f ca="1">IF(OR(AF4="",AF$11&lt;$A14),"",AF4/OFFSET(ActivosEPAESP!$A$80,MATCH(AF$12,ActivosEPAESP!$A$80:$A$500)+$A14-1,1)-1)</f>
        <v>3.9506037094183544E-3</v>
      </c>
      <c r="AG14" s="8">
        <f ca="1">IF(OR(AG4="",AG$11&lt;$A14),"",AG4/OFFSET(ActivosEPAESP!$A$80,MATCH(AG$12,ActivosEPAESP!$A$80:$A$500)+$A14-1,1)-1)</f>
        <v>3.5367583237526645E-3</v>
      </c>
      <c r="AH14" s="8">
        <f ca="1">IF(OR(AH4="",AH$11&lt;$A14),"",AH4/OFFSET(ActivosEPAESP!$A$80,MATCH(AH$12,ActivosEPAESP!$A$80:$A$500)+$A14-1,1)-1)</f>
        <v>3.5835998268174407E-4</v>
      </c>
      <c r="AI14" s="8">
        <f ca="1">IF(OR(AI4="",AI$11&lt;$A14),"",AI4/OFFSET(ActivosEPAESP!$A$80,MATCH(AI$12,ActivosEPAESP!$A$80:$A$500)+$A14-1,1)-1)</f>
        <v>8.8095624680262219E-4</v>
      </c>
      <c r="AJ14" s="8">
        <f ca="1">IF(OR(AJ4="",AJ$11&lt;$A14),"",AJ4/OFFSET(ActivosEPAESP!$A$80,MATCH(AJ$12,ActivosEPAESP!$A$80:$A$500)+$A14-1,1)-1)</f>
        <v>4.5424387514447773E-3</v>
      </c>
      <c r="AK14" s="8">
        <f ca="1">IF(OR(AK4="",AK$11&lt;$A14),"",AK4/OFFSET(ActivosEPAESP!$A$80,MATCH(AK$12,ActivosEPAESP!$A$80:$A$500)+$A14-1,1)-1)</f>
        <v>6.6862171626993483E-3</v>
      </c>
      <c r="AL14" s="8">
        <f ca="1">IF(OR(AL4="",AL$11&lt;$A14),"",AL4/OFFSET(ActivosEPAESP!$A$80,MATCH(AL$12,ActivosEPAESP!$A$80:$A$500)+$A14-1,1)-1)</f>
        <v>6.3836354464081868E-3</v>
      </c>
      <c r="AM14" s="8">
        <f ca="1">IF(OR(AM4="",AM$11&lt;$A14),"",AM4/OFFSET(ActivosEPAESP!$A$80,MATCH(AM$12,ActivosEPAESP!$A$80:$A$500)+$A14-1,1)-1)</f>
        <v>5.8857124994704524E-3</v>
      </c>
      <c r="AN14" s="8">
        <f ca="1">IF(OR(AN4="",AN$11&lt;$A14),"",AN4/OFFSET(ActivosEPAESP!$A$80,MATCH(AN$12,ActivosEPAESP!$A$80:$A$500)+$A14-1,1)-1)</f>
        <v>-1.6504663027340216E-3</v>
      </c>
      <c r="AO14" s="8">
        <f ca="1">IF(OR(AO4="",AO$11&lt;$A14),"",AO4/OFFSET(ActivosEPAESP!$A$80,MATCH(AO$12,ActivosEPAESP!$A$80:$A$500)+$A14-1,1)-1)</f>
        <v>5.87072527792043E-3</v>
      </c>
      <c r="AP14" s="8">
        <f ca="1">IF(OR(AP4="",AP$11&lt;$A14),"",AP4/OFFSET(ActivosEPAESP!$A$80,MATCH(AP$12,ActivosEPAESP!$A$80:$A$500)+$A14-1,1)-1)</f>
        <v>-3.8329303631645661E-4</v>
      </c>
      <c r="AQ14" s="8">
        <f ca="1">IF(OR(AQ4="",AQ$11&lt;$A14),"",AQ4/OFFSET(ActivosEPAESP!$A$80,MATCH(AQ$12,ActivosEPAESP!$A$80:$A$500)+$A14-1,1)-1)</f>
        <v>-8.4041894498680936E-3</v>
      </c>
      <c r="AR14" s="8">
        <f ca="1">IF(OR(AR4="",AR$11&lt;$A14),"",AR4/OFFSET(ActivosEPAESP!$A$80,MATCH(AR$12,ActivosEPAESP!$A$80:$A$500)+$A14-1,1)-1)</f>
        <v>-8.2932415064888021E-3</v>
      </c>
      <c r="AS14" s="8">
        <f ca="1">IF(OR(AS4="",AS$11&lt;$A14),"",AS4/OFFSET(ActivosEPAESP!$A$80,MATCH(AS$12,ActivosEPAESP!$A$80:$A$500)+$A14-1,1)-1)</f>
        <v>-6.7755377628736513E-3</v>
      </c>
      <c r="AT14" s="8">
        <f ca="1">IF(OR(AT4="",AT$11&lt;$A14),"",AT4/OFFSET(ActivosEPAESP!$A$80,MATCH(AT$12,ActivosEPAESP!$A$80:$A$500)+$A14-1,1)-1)</f>
        <v>1.6685248739212177E-4</v>
      </c>
      <c r="AU14" s="8">
        <f ca="1">IF(OR(AU4="",AU$11&lt;$A14),"",AU4/OFFSET(ActivosEPAESP!$A$80,MATCH(AU$12,ActivosEPAESP!$A$80:$A$500)+$A14-1,1)-1)</f>
        <v>-2.0122988211909165E-3</v>
      </c>
      <c r="AV14" s="8">
        <f ca="1">IF(OR(AV4="",AV$11&lt;$A14),"",AV4/OFFSET(ActivosEPAESP!$A$80,MATCH(AV$12,ActivosEPAESP!$A$80:$A$500)+$A14-1,1)-1)</f>
        <v>4.6815493781613426E-3</v>
      </c>
      <c r="AW14" s="8">
        <f ca="1">IF(OR(AW4="",AW$11&lt;$A14),"",AW4/OFFSET(ActivosEPAESP!$A$80,MATCH(AW$12,ActivosEPAESP!$A$80:$A$500)+$A14-1,1)-1)</f>
        <v>-2.5440874445029626E-3</v>
      </c>
      <c r="AX14" s="8">
        <f ca="1">IF(OR(AX4="",AX$11&lt;$A14),"",AX4/OFFSET(ActivosEPAESP!$A$80,MATCH(AX$12,ActivosEPAESP!$A$80:$A$500)+$A14-1,1)-1)</f>
        <v>-2.3299174234592268E-3</v>
      </c>
      <c r="AY14" s="8">
        <f ca="1">IF(OR(AY4="",AY$11&lt;$A14),"",AY4/OFFSET(ActivosEPAESP!$A$80,MATCH(AY$12,ActivosEPAESP!$A$80:$A$500)+$A14-1,1)-1)</f>
        <v>-1.3846442214995314E-3</v>
      </c>
      <c r="AZ14" s="8">
        <f ca="1">IF(OR(AZ4="",AZ$11&lt;$A14),"",AZ4/OFFSET(ActivosEPAESP!$A$80,MATCH(AZ$12,ActivosEPAESP!$A$80:$A$500)+$A14-1,1)-1)</f>
        <v>2.493806521319808E-3</v>
      </c>
      <c r="BA14" s="8">
        <f ca="1">IF(OR(BA4="",BA$11&lt;$A14),"",BA4/OFFSET(ActivosEPAESP!$A$80,MATCH(BA$12,ActivosEPAESP!$A$80:$A$500)+$A14-1,1)-1)</f>
        <v>2.9015068087281382E-3</v>
      </c>
      <c r="BB14" s="8">
        <f ca="1">IF(OR(BB4="",BB$11&lt;$A14),"",BB4/OFFSET(ActivosEPAESP!$A$80,MATCH(BB$12,ActivosEPAESP!$A$80:$A$500)+$A14-1,1)-1)</f>
        <v>-1.564638445057831E-3</v>
      </c>
      <c r="BC14" s="8">
        <f ca="1">IF(OR(BC4="",BC$11&lt;$A14),"",BC4/OFFSET(ActivosEPAESP!$A$80,MATCH(BC$12,ActivosEPAESP!$A$80:$A$500)+$A14-1,1)-1)</f>
        <v>-4.3521296095798689E-3</v>
      </c>
      <c r="BD14" s="8">
        <f ca="1">IF(OR(BD4="",BD$11&lt;$A14),"",BD4/OFFSET(ActivosEPAESP!$A$80,MATCH(BD$12,ActivosEPAESP!$A$80:$A$500)+$A14-1,1)-1)</f>
        <v>-6.0395599311360293E-3</v>
      </c>
      <c r="BE14" s="8">
        <f ca="1">IF(OR(BE4="",BE$11&lt;$A14),"",BE4/OFFSET(ActivosEPAESP!$A$80,MATCH(BE$12,ActivosEPAESP!$A$80:$A$500)+$A14-1,1)-1)</f>
        <v>1.5530197815556424E-3</v>
      </c>
      <c r="BF14" s="8">
        <f ca="1">IF(OR(BF4="",BF$11&lt;$A14),"",BF4/OFFSET(ActivosEPAESP!$A$80,MATCH(BF$12,ActivosEPAESP!$A$80:$A$500)+$A14-1,1)-1)</f>
        <v>-3.0361959435460939E-3</v>
      </c>
      <c r="BG14" s="8">
        <f ca="1">IF(OR(BG4="",BG$11&lt;$A14),"",BG4/OFFSET(ActivosEPAESP!$A$80,MATCH(BG$12,ActivosEPAESP!$A$80:$A$500)+$A14-1,1)-1)</f>
        <v>-6.982578141809026E-3</v>
      </c>
      <c r="BH14" s="8">
        <f ca="1">IF(OR(BH4="",BH$11&lt;$A14),"",BH4/OFFSET(ActivosEPAESP!$A$80,MATCH(BH$12,ActivosEPAESP!$A$80:$A$500)+$A14-1,1)-1)</f>
        <v>-1.4851534591013849E-3</v>
      </c>
      <c r="BI14" s="8">
        <f ca="1">IF(OR(BI4="",BI$11&lt;$A14),"",BI4/OFFSET(ActivosEPAESP!$A$80,MATCH(BI$12,ActivosEPAESP!$A$80:$A$500)+$A14-1,1)-1)</f>
        <v>-1.008886482096738E-3</v>
      </c>
      <c r="BJ14" s="8">
        <f ca="1">IF(OR(BJ4="",BJ$11&lt;$A14),"",BJ4/OFFSET(ActivosEPAESP!$A$80,MATCH(BJ$12,ActivosEPAESP!$A$80:$A$500)+$A14-1,1)-1)</f>
        <v>-5.1916026963755302E-3</v>
      </c>
      <c r="BK14" s="8">
        <f ca="1">IF(OR(BK4="",BK$11&lt;$A14),"",BK4/OFFSET(ActivosEPAESP!$A$80,MATCH(BK$12,ActivosEPAESP!$A$80:$A$500)+$A14-1,1)-1)</f>
        <v>-6.9930396583819388E-3</v>
      </c>
      <c r="BL14" s="8">
        <f ca="1">IF(OR(BL4="",BL$11&lt;$A14),"",BL4/OFFSET(ActivosEPAESP!$A$80,MATCH(BL$12,ActivosEPAESP!$A$80:$A$500)+$A14-1,1)-1)</f>
        <v>-2.5584002961120955E-3</v>
      </c>
      <c r="BM14" s="8">
        <f ca="1">IF(OR(BM4="",BM$11&lt;$A14),"",BM4/OFFSET(ActivosEPAESP!$A$80,MATCH(BM$12,ActivosEPAESP!$A$80:$A$500)+$A14-1,1)-1)</f>
        <v>4.4928680822082789E-3</v>
      </c>
      <c r="BN14" s="8">
        <f ca="1">IF(OR(BN4="",BN$11&lt;$A14),"",BN4/OFFSET(ActivosEPAESP!$A$80,MATCH(BN$12,ActivosEPAESP!$A$80:$A$500)+$A14-1,1)-1)</f>
        <v>6.0347449226082484E-2</v>
      </c>
      <c r="BO14" s="8">
        <f ca="1">IF(OR(BO4="",BO$11&lt;$A14),"",BO4/OFFSET(ActivosEPAESP!$A$80,MATCH(BO$12,ActivosEPAESP!$A$80:$A$500)+$A14-1,1)-1)</f>
        <v>9.5579849876556988E-3</v>
      </c>
      <c r="BP14" s="8">
        <f ca="1">IF(OR(BP4="",BP$11&lt;$A14),"",BP4/OFFSET(ActivosEPAESP!$A$80,MATCH(BP$12,ActivosEPAESP!$A$80:$A$500)+$A14-1,1)-1)</f>
        <v>-6.1531561893713116E-2</v>
      </c>
      <c r="BQ14" s="8" t="str">
        <f ca="1">IF(OR(BQ4="",BQ$11&lt;$A14),"",BQ4/OFFSET(ActivosEPAESP!$A$80,MATCH(BQ$12,ActivosEPAESP!$A$80:$A$500)+$A14-1,1)-1)</f>
        <v/>
      </c>
      <c r="BR14" s="8" t="str">
        <f ca="1">IF(OR(BR4="",BR$11&lt;$A14),"",BR4/OFFSET(ActivosEPAESP!$A$80,MATCH(BR$12,ActivosEPAESP!$A$80:$A$500)+$A14-1,1)-1)</f>
        <v/>
      </c>
      <c r="BS14" s="8" t="str">
        <f ca="1">IF(OR(BS4="",BS$11&lt;$A14),"",BS4/OFFSET(ActivosEPAESP!$A$80,MATCH(BS$12,ActivosEPAESP!$A$80:$A$500)+$A14-1,1)-1)</f>
        <v/>
      </c>
      <c r="BT14" s="8" t="str">
        <f ca="1">IF(OR(BT4="",BT$11&lt;$A14),"",BT4/OFFSET(ActivosEPAESP!$A$80,MATCH(BT$12,ActivosEPAESP!$A$80:$A$500)+$A14-1,1)-1)</f>
        <v/>
      </c>
      <c r="BU14" s="8" t="str">
        <f ca="1">IF(OR(BU4="",BU$11&lt;$A14),"",BU4/OFFSET(ActivosEPAESP!$A$80,MATCH(BU$12,ActivosEPAESP!$A$80:$A$500)+$A14-1,1)-1)</f>
        <v/>
      </c>
      <c r="BV14" s="8" t="str">
        <f ca="1">IF(OR(BV4="",BV$11&lt;$A14),"",BV4/OFFSET(ActivosEPAESP!$A$80,MATCH(BV$12,ActivosEPAESP!$A$80:$A$500)+$A14-1,1)-1)</f>
        <v/>
      </c>
      <c r="BW14" s="8" t="str">
        <f ca="1">IF(OR(BW4="",BW$11&lt;$A14),"",BW4/OFFSET(ActivosEPAESP!$A$80,MATCH(BW$12,ActivosEPAESP!$A$80:$A$500)+$A14-1,1)-1)</f>
        <v/>
      </c>
      <c r="BX14" s="8" t="str">
        <f ca="1">IF(OR(BX4="",BX$11&lt;$A14),"",BX4/OFFSET(ActivosEPAESP!$A$80,MATCH(BX$12,ActivosEPAESP!$A$80:$A$500)+$A14-1,1)-1)</f>
        <v/>
      </c>
      <c r="BY14" s="8" t="str">
        <f ca="1">IF(OR(BY4="",BY$11&lt;$A14),"",BY4/OFFSET(ActivosEPAESP!$A$80,MATCH(BY$12,ActivosEPAESP!$A$80:$A$500)+$A14-1,1)-1)</f>
        <v/>
      </c>
      <c r="BZ14" s="8" t="str">
        <f ca="1">IF(OR(BZ4="",BZ$11&lt;$A14),"",BZ4/OFFSET(ActivosEPAESP!$A$80,MATCH(BZ$12,ActivosEPAESP!$A$80:$A$500)+$A14-1,1)-1)</f>
        <v/>
      </c>
      <c r="CA14" s="8" t="str">
        <f ca="1">IF(OR(CA4="",CA$11&lt;$A14),"",CA4/OFFSET(ActivosEPAESP!$A$80,MATCH(CA$12,ActivosEPAESP!$A$80:$A$500)+$A14-1,1)-1)</f>
        <v/>
      </c>
      <c r="CB14" s="8" t="str">
        <f ca="1">IF(OR(CB4="",CB$11&lt;$A14),"",CB4/OFFSET(ActivosEPAESP!$A$80,MATCH(CB$12,ActivosEPAESP!$A$80:$A$500)+$A14-1,1)-1)</f>
        <v/>
      </c>
      <c r="CC14" s="8" t="str">
        <f ca="1">IF(OR(CC4="",CC$11&lt;$A14),"",CC4/OFFSET(ActivosEPAESP!$A$80,MATCH(CC$12,ActivosEPAESP!$A$80:$A$500)+$A14-1,1)-1)</f>
        <v/>
      </c>
      <c r="CD14" s="8" t="str">
        <f ca="1">IF(OR(CD4="",CD$11&lt;$A14),"",CD4/OFFSET(ActivosEPAESP!$A$80,MATCH(CD$12,ActivosEPAESP!$A$80:$A$500)+$A14-1,1)-1)</f>
        <v/>
      </c>
      <c r="CE14" s="8" t="str">
        <f ca="1">IF(OR(CE4="",CE$11&lt;$A14),"",CE4/OFFSET(ActivosEPAESP!$A$80,MATCH(CE$12,ActivosEPAESP!$A$80:$A$500)+$A14-1,1)-1)</f>
        <v/>
      </c>
      <c r="CF14" s="8" t="str">
        <f ca="1">IF(OR(CF4="",CF$11&lt;$A14),"",CF4/OFFSET(ActivosEPAESP!$A$80,MATCH(CF$12,ActivosEPAESP!$A$80:$A$500)+$A14-1,1)-1)</f>
        <v/>
      </c>
      <c r="CG14" s="8" t="str">
        <f ca="1">IF(OR(CG4="",CG$11&lt;$A14),"",CG4/OFFSET(ActivosEPAESP!$A$80,MATCH(CG$12,ActivosEPAESP!$A$80:$A$500)+$A14-1,1)-1)</f>
        <v/>
      </c>
      <c r="CH14" s="8" t="str">
        <f ca="1">IF(OR(CH4="",CH$11&lt;$A14),"",CH4/OFFSET(ActivosEPAESP!$A$80,MATCH(CH$12,ActivosEPAESP!$A$80:$A$500)+$A14-1,1)-1)</f>
        <v/>
      </c>
      <c r="CI14" s="8" t="str">
        <f ca="1">IF(OR(CI4="",CI$11&lt;$A14),"",CI4/OFFSET(ActivosEPAESP!$A$80,MATCH(CI$12,ActivosEPAESP!$A$80:$A$500)+$A14-1,1)-1)</f>
        <v/>
      </c>
      <c r="CJ14" s="8" t="str">
        <f ca="1">IF(OR(CJ4="",CJ$11&lt;$A14),"",CJ4/OFFSET(ActivosEPAESP!$A$80,MATCH(CJ$12,ActivosEPAESP!$A$80:$A$500)+$A14-1,1)-1)</f>
        <v/>
      </c>
      <c r="CK14" s="8" t="str">
        <f ca="1">IF(OR(CK4="",CK$11&lt;$A14),"",CK4/OFFSET(ActivosEPAESP!$A$80,MATCH(CK$12,ActivosEPAESP!$A$80:$A$500)+$A14-1,1)-1)</f>
        <v/>
      </c>
      <c r="CL14" s="8" t="str">
        <f ca="1">IF(OR(CL4="",CL$11&lt;$A14),"",CL4/OFFSET(ActivosEPAESP!$A$80,MATCH(CL$12,ActivosEPAESP!$A$80:$A$500)+$A14-1,1)-1)</f>
        <v/>
      </c>
      <c r="CM14" s="8" t="str">
        <f ca="1">IF(OR(CM4="",CM$11&lt;$A14),"",CM4/OFFSET(ActivosEPAESP!$A$80,MATCH(CM$12,ActivosEPAESP!$A$80:$A$500)+$A14-1,1)-1)</f>
        <v/>
      </c>
      <c r="CN14" s="8" t="str">
        <f ca="1">IF(OR(CN4="",CN$11&lt;$A14),"",CN4/OFFSET(ActivosEPAESP!$A$80,MATCH(CN$12,ActivosEPAESP!$A$80:$A$500)+$A14-1,1)-1)</f>
        <v/>
      </c>
      <c r="CO14" s="8" t="str">
        <f ca="1">IF(OR(CO4="",CO$11&lt;$A14),"",CO4/OFFSET(ActivosEPAESP!$A$80,MATCH(CO$12,ActivosEPAESP!$A$80:$A$500)+$A14-1,1)-1)</f>
        <v/>
      </c>
      <c r="CP14" s="8" t="str">
        <f ca="1">IF(OR(CP4="",CP$11&lt;$A14),"",CP4/OFFSET(ActivosEPAESP!$A$80,MATCH(CP$12,ActivosEPAESP!$A$80:$A$500)+$A14-1,1)-1)</f>
        <v/>
      </c>
      <c r="CQ14" s="8" t="str">
        <f ca="1">IF(OR(CQ4="",CQ$11&lt;$A14),"",CQ4/OFFSET(ActivosEPAESP!$A$80,MATCH(CQ$12,ActivosEPAESP!$A$80:$A$500)+$A14-1,1)-1)</f>
        <v/>
      </c>
      <c r="CR14" s="8" t="str">
        <f ca="1">IF(OR(CR4="",CR$11&lt;$A14),"",CR4/OFFSET(ActivosEPAESP!$A$80,MATCH(CR$12,ActivosEPAESP!$A$80:$A$500)+$A14-1,1)-1)</f>
        <v/>
      </c>
      <c r="CS14" s="8" t="str">
        <f ca="1">IF(OR(CS4="",CS$11&lt;$A14),"",CS4/OFFSET(ActivosEPAESP!$A$80,MATCH(CS$12,ActivosEPAESP!$A$80:$A$500)+$A14-1,1)-1)</f>
        <v/>
      </c>
      <c r="CT14" s="8" t="str">
        <f ca="1">IF(OR(CT4="",CT$11&lt;$A14),"",CT4/OFFSET(ActivosEPAESP!$A$80,MATCH(CT$12,ActivosEPAESP!$A$80:$A$500)+$A14-1,1)-1)</f>
        <v/>
      </c>
      <c r="CU14" s="8" t="str">
        <f ca="1">IF(OR(CU4="",CU$11&lt;$A14),"",CU4/OFFSET(ActivosEPAESP!$A$80,MATCH(CU$12,ActivosEPAESP!$A$80:$A$500)+$A14-1,1)-1)</f>
        <v/>
      </c>
      <c r="CV14" s="8" t="str">
        <f ca="1">IF(OR(CV4="",CV$11&lt;$A14),"",CV4/OFFSET(ActivosEPAESP!$A$80,MATCH(CV$12,ActivosEPAESP!$A$80:$A$500)+$A14-1,1)-1)</f>
        <v/>
      </c>
      <c r="CW14" s="8" t="str">
        <f ca="1">IF(OR(CW4="",CW$11&lt;$A14),"",CW4/OFFSET(ActivosEPAESP!$A$80,MATCH(CW$12,ActivosEPAESP!$A$80:$A$500)+$A14-1,1)-1)</f>
        <v/>
      </c>
      <c r="CX14" s="8" t="str">
        <f ca="1">IF(OR(CX4="",CX$11&lt;$A14),"",CX4/OFFSET(ActivosEPAESP!$A$80,MATCH(CX$12,ActivosEPAESP!$A$80:$A$500)+$A14-1,1)-1)</f>
        <v/>
      </c>
      <c r="CY14" s="8" t="str">
        <f ca="1">IF(OR(CY4="",CY$11&lt;$A14),"",CY4/OFFSET(ActivosEPAESP!$A$80,MATCH(CY$12,ActivosEPAESP!$A$80:$A$500)+$A14-1,1)-1)</f>
        <v/>
      </c>
      <c r="CZ14" s="8" t="str">
        <f ca="1">IF(OR(CZ4="",CZ$11&lt;$A14),"",CZ4/OFFSET(ActivosEPAESP!$A$80,MATCH(CZ$12,ActivosEPAESP!$A$80:$A$500)+$A14-1,1)-1)</f>
        <v/>
      </c>
      <c r="DA14" s="8" t="str">
        <f ca="1">IF(OR(DA4="",DA$11&lt;$A14),"",DA4/OFFSET(ActivosEPAESP!$A$80,MATCH(DA$12,ActivosEPAESP!$A$80:$A$500)+$A14-1,1)-1)</f>
        <v/>
      </c>
      <c r="DB14" s="8" t="str">
        <f ca="1">IF(OR(DB4="",DB$11&lt;$A14),"",DB4/OFFSET(ActivosEPAESP!$A$80,MATCH(DB$12,ActivosEPAESP!$A$80:$A$500)+$A14-1,1)-1)</f>
        <v/>
      </c>
      <c r="DC14" s="8" t="str">
        <f ca="1">IF(OR(DC4="",DC$11&lt;$A14),"",DC4/OFFSET(ActivosEPAESP!$A$80,MATCH(DC$12,ActivosEPAESP!$A$80:$A$500)+$A14-1,1)-1)</f>
        <v/>
      </c>
      <c r="DD14" s="8" t="str">
        <f ca="1">IF(OR(DD4="",DD$11&lt;$A14),"",DD4/OFFSET(ActivosEPAESP!$A$80,MATCH(DD$12,ActivosEPAESP!$A$80:$A$500)+$A14-1,1)-1)</f>
        <v/>
      </c>
      <c r="DE14" s="8" t="str">
        <f ca="1">IF(OR(DE4="",DE$11&lt;$A14),"",DE4/OFFSET(ActivosEPAESP!$A$80,MATCH(DE$12,ActivosEPAESP!$A$80:$A$500)+$A14-1,1)-1)</f>
        <v/>
      </c>
      <c r="DF14" s="8" t="str">
        <f ca="1">IF(OR(DF4="",DF$11&lt;$A14),"",DF4/OFFSET(ActivosEPAESP!$A$80,MATCH(DF$12,ActivosEPAESP!$A$80:$A$500)+$A14-1,1)-1)</f>
        <v/>
      </c>
      <c r="DG14" s="8" t="str">
        <f ca="1">IF(OR(DG4="",DG$11&lt;$A14),"",DG4/OFFSET(ActivosEPAESP!$A$80,MATCH(DG$12,ActivosEPAESP!$A$80:$A$500)+$A14-1,1)-1)</f>
        <v/>
      </c>
      <c r="DH14" s="8" t="str">
        <f ca="1">IF(OR(DH4="",DH$11&lt;$A14),"",DH4/OFFSET(ActivosEPAESP!$A$80,MATCH(DH$12,ActivosEPAESP!$A$80:$A$500)+$A14-1,1)-1)</f>
        <v/>
      </c>
      <c r="DI14" s="8" t="str">
        <f ca="1">IF(OR(DI4="",DI$11&lt;$A14),"",DI4/OFFSET(ActivosEPAESP!$A$80,MATCH(DI$12,ActivosEPAESP!$A$80:$A$500)+$A14-1,1)-1)</f>
        <v/>
      </c>
      <c r="DJ14" s="8" t="str">
        <f ca="1">IF(OR(DJ4="",DJ$11&lt;$A14),"",DJ4/OFFSET(ActivosEPAESP!$A$80,MATCH(DJ$12,ActivosEPAESP!$A$80:$A$500)+$A14-1,1)-1)</f>
        <v/>
      </c>
      <c r="DK14" s="8" t="str">
        <f ca="1">IF(OR(DK4="",DK$11&lt;$A14),"",DK4/OFFSET(ActivosEPAESP!$A$80,MATCH(DK$12,ActivosEPAESP!$A$80:$A$500)+$A14-1,1)-1)</f>
        <v/>
      </c>
      <c r="DL14" s="8" t="str">
        <f ca="1">IF(OR(DL4="",DL$11&lt;$A14),"",DL4/OFFSET(ActivosEPAESP!$A$80,MATCH(DL$12,ActivosEPAESP!$A$80:$A$500)+$A14-1,1)-1)</f>
        <v/>
      </c>
      <c r="DM14" s="8" t="str">
        <f ca="1">IF(OR(DM4="",DM$11&lt;$A14),"",DM4/OFFSET(ActivosEPAESP!$A$80,MATCH(DM$12,ActivosEPAESP!$A$80:$A$500)+$A14-1,1)-1)</f>
        <v/>
      </c>
      <c r="DN14" s="8" t="str">
        <f ca="1">IF(OR(DN4="",DN$11&lt;$A14),"",DN4/OFFSET(ActivosEPAESP!$A$80,MATCH(DN$12,ActivosEPAESP!$A$80:$A$500)+$A14-1,1)-1)</f>
        <v/>
      </c>
      <c r="DO14" s="8" t="str">
        <f ca="1">IF(OR(DO4="",DO$11&lt;$A14),"",DO4/OFFSET(ActivosEPAESP!$A$80,MATCH(DO$12,ActivosEPAESP!$A$80:$A$500)+$A14-1,1)-1)</f>
        <v/>
      </c>
      <c r="DP14" s="8" t="str">
        <f ca="1">IF(OR(DP4="",DP$11&lt;$A14),"",DP4/OFFSET(ActivosEPAESP!$A$80,MATCH(DP$12,ActivosEPAESP!$A$80:$A$500)+$A14-1,1)-1)</f>
        <v/>
      </c>
      <c r="DQ14" s="8" t="str">
        <f ca="1">IF(OR(DQ4="",DQ$11&lt;$A14),"",DQ4/OFFSET(ActivosEPAESP!$A$80,MATCH(DQ$12,ActivosEPAESP!$A$80:$A$500)+$A14-1,1)-1)</f>
        <v/>
      </c>
      <c r="DR14" s="8" t="str">
        <f ca="1">IF(OR(DR4="",DR$11&lt;$A14),"",DR4/OFFSET(ActivosEPAESP!$A$80,MATCH(DR$12,ActivosEPAESP!$A$80:$A$500)+$A14-1,1)-1)</f>
        <v/>
      </c>
      <c r="DS14" s="12">
        <f t="shared" ca="1" si="51"/>
        <v>-1.2189982491782974E-3</v>
      </c>
      <c r="DT14" s="12">
        <f t="shared" ca="1" si="52"/>
        <v>-1.6075523738959263E-3</v>
      </c>
      <c r="DU14" s="13">
        <f t="shared" ca="1" si="53"/>
        <v>2.6701768707364232E-4</v>
      </c>
      <c r="DV14" s="15">
        <f t="shared" ref="DV14:DV16" ca="1" si="56">SQRT(DU14)</f>
        <v>1.6340675845069638E-2</v>
      </c>
      <c r="DW14" s="14" t="str">
        <f t="shared" ca="1" si="54"/>
        <v>[ -3,39% ; 3,15% ]</v>
      </c>
      <c r="DX14" s="15">
        <f t="shared" ca="1" si="55"/>
        <v>2.0916065081689136E-2</v>
      </c>
      <c r="GI14" s="1"/>
    </row>
    <row r="15" spans="1:191" x14ac:dyDescent="0.25">
      <c r="A15" s="4">
        <v>3</v>
      </c>
      <c r="B15" s="8">
        <f ca="1">IF(OR(B5="",B$11&lt;$A15),"",B5/OFFSET(ActivosEPAESP!$A$80,MATCH(B$12,ActivosEPAESP!$A$80:$A$500)+$A15-1,1)-1)</f>
        <v>3.3961815049734501E-3</v>
      </c>
      <c r="C15" s="8">
        <f ca="1">IF(OR(C5="",C$11&lt;$A15),"",C5/OFFSET(ActivosEPAESP!$A$80,MATCH(C$12,ActivosEPAESP!$A$80:$A$500)+$A15-1,1)-1)</f>
        <v>-4.4087116638955592E-3</v>
      </c>
      <c r="D15" s="8">
        <f ca="1">IF(OR(D5="",D$11&lt;$A15),"",D5/OFFSET(ActivosEPAESP!$A$80,MATCH(D$12,ActivosEPAESP!$A$80:$A$500)+$A15-1,1)-1)</f>
        <v>-5.4883276096577838E-3</v>
      </c>
      <c r="E15" s="8">
        <f ca="1">IF(OR(E5="",E$11&lt;$A15),"",E5/OFFSET(ActivosEPAESP!$A$80,MATCH(E$12,ActivosEPAESP!$A$80:$A$500)+$A15-1,1)-1)</f>
        <v>-1.1183908752195992E-2</v>
      </c>
      <c r="F15" s="8">
        <f ca="1">IF(OR(F5="",F$11&lt;$A15),"",F5/OFFSET(ActivosEPAESP!$A$80,MATCH(F$12,ActivosEPAESP!$A$80:$A$500)+$A15-1,1)-1)</f>
        <v>-1.3311900979565694E-3</v>
      </c>
      <c r="G15" s="8">
        <f ca="1">IF(OR(G5="",G$11&lt;$A15),"",G5/OFFSET(ActivosEPAESP!$A$80,MATCH(G$12,ActivosEPAESP!$A$80:$A$500)+$A15-1,1)-1)</f>
        <v>5.1916313171416206E-3</v>
      </c>
      <c r="H15" s="8">
        <f ca="1">IF(OR(H5="",H$11&lt;$A15),"",H5/OFFSET(ActivosEPAESP!$A$80,MATCH(H$12,ActivosEPAESP!$A$80:$A$500)+$A15-1,1)-1)</f>
        <v>9.0201744526601235E-3</v>
      </c>
      <c r="I15" s="8">
        <f ca="1">IF(OR(I5="",I$11&lt;$A15),"",I5/OFFSET(ActivosEPAESP!$A$80,MATCH(I$12,ActivosEPAESP!$A$80:$A$500)+$A15-1,1)-1)</f>
        <v>-2.5746864100789635E-3</v>
      </c>
      <c r="J15" s="8">
        <f ca="1">IF(OR(J5="",J$11&lt;$A15),"",J5/OFFSET(ActivosEPAESP!$A$80,MATCH(J$12,ActivosEPAESP!$A$80:$A$500)+$A15-1,1)-1)</f>
        <v>7.0839703914904462E-4</v>
      </c>
      <c r="K15" s="8">
        <f ca="1">IF(OR(K5="",K$11&lt;$A15),"",K5/OFFSET(ActivosEPAESP!$A$80,MATCH(K$12,ActivosEPAESP!$A$80:$A$500)+$A15-1,1)-1)</f>
        <v>3.7813099504444558E-3</v>
      </c>
      <c r="L15" s="8">
        <f ca="1">IF(OR(L5="",L$11&lt;$A15),"",L5/OFFSET(ActivosEPAESP!$A$80,MATCH(L$12,ActivosEPAESP!$A$80:$A$500)+$A15-1,1)-1)</f>
        <v>5.3936740585538434E-3</v>
      </c>
      <c r="M15" s="8">
        <f ca="1">IF(OR(M5="",M$11&lt;$A15),"",M5/OFFSET(ActivosEPAESP!$A$80,MATCH(M$12,ActivosEPAESP!$A$80:$A$500)+$A15-1,1)-1)</f>
        <v>-8.6573656792965359E-4</v>
      </c>
      <c r="N15" s="8">
        <f ca="1">IF(OR(N5="",N$11&lt;$A15),"",N5/OFFSET(ActivosEPAESP!$A$80,MATCH(N$12,ActivosEPAESP!$A$80:$A$500)+$A15-1,1)-1)</f>
        <v>-1.4996682685198826E-3</v>
      </c>
      <c r="O15" s="8">
        <f ca="1">IF(OR(O5="",O$11&lt;$A15),"",O5/OFFSET(ActivosEPAESP!$A$80,MATCH(O$12,ActivosEPAESP!$A$80:$A$500)+$A15-1,1)-1)</f>
        <v>9.4219080233393093E-4</v>
      </c>
      <c r="P15" s="8">
        <f ca="1">IF(OR(P5="",P$11&lt;$A15),"",P5/OFFSET(ActivosEPAESP!$A$80,MATCH(P$12,ActivosEPAESP!$A$80:$A$500)+$A15-1,1)-1)</f>
        <v>1.6894901438533338E-3</v>
      </c>
      <c r="Q15" s="8">
        <f ca="1">IF(OR(Q5="",Q$11&lt;$A15),"",Q5/OFFSET(ActivosEPAESP!$A$80,MATCH(Q$12,ActivosEPAESP!$A$80:$A$500)+$A15-1,1)-1)</f>
        <v>1.6382609074778731E-3</v>
      </c>
      <c r="R15" s="8">
        <f ca="1">IF(OR(R5="",R$11&lt;$A15),"",R5/OFFSET(ActivosEPAESP!$A$80,MATCH(R$12,ActivosEPAESP!$A$80:$A$500)+$A15-1,1)-1)</f>
        <v>6.7259405075081879E-4</v>
      </c>
      <c r="S15" s="8">
        <f ca="1">IF(OR(S5="",S$11&lt;$A15),"",S5/OFFSET(ActivosEPAESP!$A$80,MATCH(S$12,ActivosEPAESP!$A$80:$A$500)+$A15-1,1)-1)</f>
        <v>4.3399475123571118E-3</v>
      </c>
      <c r="T15" s="8">
        <f ca="1">IF(OR(T5="",T$11&lt;$A15),"",T5/OFFSET(ActivosEPAESP!$A$80,MATCH(T$12,ActivosEPAESP!$A$80:$A$500)+$A15-1,1)-1)</f>
        <v>1.0118517004101157E-2</v>
      </c>
      <c r="U15" s="8">
        <f ca="1">IF(OR(U5="",U$11&lt;$A15),"",U5/OFFSET(ActivosEPAESP!$A$80,MATCH(U$12,ActivosEPAESP!$A$80:$A$500)+$A15-1,1)-1)</f>
        <v>1.4712803160726873E-2</v>
      </c>
      <c r="V15" s="8">
        <f ca="1">IF(OR(V5="",V$11&lt;$A15),"",V5/OFFSET(ActivosEPAESP!$A$80,MATCH(V$12,ActivosEPAESP!$A$80:$A$500)+$A15-1,1)-1)</f>
        <v>2.2903639997781111E-2</v>
      </c>
      <c r="W15" s="8">
        <f ca="1">IF(OR(W5="",W$11&lt;$A15),"",W5/OFFSET(ActivosEPAESP!$A$80,MATCH(W$12,ActivosEPAESP!$A$80:$A$500)+$A15-1,1)-1)</f>
        <v>2.3481979478412462E-2</v>
      </c>
      <c r="X15" s="8">
        <f ca="1">IF(OR(X5="",X$11&lt;$A15),"",X5/OFFSET(ActivosEPAESP!$A$80,MATCH(X$12,ActivosEPAESP!$A$80:$A$500)+$A15-1,1)-1)</f>
        <v>1.6270967437703732E-2</v>
      </c>
      <c r="Y15" s="8">
        <f ca="1">IF(OR(Y5="",Y$11&lt;$A15),"",Y5/OFFSET(ActivosEPAESP!$A$80,MATCH(Y$12,ActivosEPAESP!$A$80:$A$500)+$A15-1,1)-1)</f>
        <v>-2.5648481102277243E-3</v>
      </c>
      <c r="Z15" s="8">
        <f ca="1">IF(OR(Z5="",Z$11&lt;$A15),"",Z5/OFFSET(ActivosEPAESP!$A$80,MATCH(Z$12,ActivosEPAESP!$A$80:$A$500)+$A15-1,1)-1)</f>
        <v>-2.8096364621250647E-3</v>
      </c>
      <c r="AA15" s="8">
        <f ca="1">IF(OR(AA5="",AA$11&lt;$A15),"",AA5/OFFSET(ActivosEPAESP!$A$80,MATCH(AA$12,ActivosEPAESP!$A$80:$A$500)+$A15-1,1)-1)</f>
        <v>3.0027853962462103E-3</v>
      </c>
      <c r="AB15" s="8">
        <f ca="1">IF(OR(AB5="",AB$11&lt;$A15),"",AB5/OFFSET(ActivosEPAESP!$A$80,MATCH(AB$12,ActivosEPAESP!$A$80:$A$500)+$A15-1,1)-1)</f>
        <v>1.2651579910546218E-2</v>
      </c>
      <c r="AC15" s="8">
        <f ca="1">IF(OR(AC5="",AC$11&lt;$A15),"",AC5/OFFSET(ActivosEPAESP!$A$80,MATCH(AC$12,ActivosEPAESP!$A$80:$A$500)+$A15-1,1)-1)</f>
        <v>4.7281430418666393E-3</v>
      </c>
      <c r="AD15" s="8">
        <f ca="1">IF(OR(AD5="",AD$11&lt;$A15),"",AD5/OFFSET(ActivosEPAESP!$A$80,MATCH(AD$12,ActivosEPAESP!$A$80:$A$500)+$A15-1,1)-1)</f>
        <v>4.9898964644445876E-4</v>
      </c>
      <c r="AE15" s="8">
        <f ca="1">IF(OR(AE5="",AE$11&lt;$A15),"",AE5/OFFSET(ActivosEPAESP!$A$80,MATCH(AE$12,ActivosEPAESP!$A$80:$A$500)+$A15-1,1)-1)</f>
        <v>-1.365882806943608E-3</v>
      </c>
      <c r="AF15" s="8">
        <f ca="1">IF(OR(AF5="",AF$11&lt;$A15),"",AF5/OFFSET(ActivosEPAESP!$A$80,MATCH(AF$12,ActivosEPAESP!$A$80:$A$500)+$A15-1,1)-1)</f>
        <v>5.5907254735576561E-3</v>
      </c>
      <c r="AG15" s="8">
        <f ca="1">IF(OR(AG5="",AG$11&lt;$A15),"",AG5/OFFSET(ActivosEPAESP!$A$80,MATCH(AG$12,ActivosEPAESP!$A$80:$A$500)+$A15-1,1)-1)</f>
        <v>4.2582363404446433E-3</v>
      </c>
      <c r="AH15" s="8">
        <f ca="1">IF(OR(AH5="",AH$11&lt;$A15),"",AH5/OFFSET(ActivosEPAESP!$A$80,MATCH(AH$12,ActivosEPAESP!$A$80:$A$500)+$A15-1,1)-1)</f>
        <v>8.2049466837652574E-4</v>
      </c>
      <c r="AI15" s="8">
        <f ca="1">IF(OR(AI5="",AI$11&lt;$A15),"",AI5/OFFSET(ActivosEPAESP!$A$80,MATCH(AI$12,ActivosEPAESP!$A$80:$A$500)+$A15-1,1)-1)</f>
        <v>5.9762730215044968E-3</v>
      </c>
      <c r="AJ15" s="8">
        <f ca="1">IF(OR(AJ5="",AJ$11&lt;$A15),"",AJ5/OFFSET(ActivosEPAESP!$A$80,MATCH(AJ$12,ActivosEPAESP!$A$80:$A$500)+$A15-1,1)-1)</f>
        <v>6.5900093951132277E-3</v>
      </c>
      <c r="AK15" s="8">
        <f ca="1">IF(OR(AK5="",AK$11&lt;$A15),"",AK5/OFFSET(ActivosEPAESP!$A$80,MATCH(AK$12,ActivosEPAESP!$A$80:$A$500)+$A15-1,1)-1)</f>
        <v>1.3884504978936896E-2</v>
      </c>
      <c r="AL15" s="8">
        <f ca="1">IF(OR(AL5="",AL$11&lt;$A15),"",AL5/OFFSET(ActivosEPAESP!$A$80,MATCH(AL$12,ActivosEPAESP!$A$80:$A$500)+$A15-1,1)-1)</f>
        <v>6.8167350014740613E-3</v>
      </c>
      <c r="AM15" s="8">
        <f ca="1">IF(OR(AM5="",AM$11&lt;$A15),"",AM5/OFFSET(ActivosEPAESP!$A$80,MATCH(AM$12,ActivosEPAESP!$A$80:$A$500)+$A15-1,1)-1)</f>
        <v>7.5181517741231829E-3</v>
      </c>
      <c r="AN15" s="8">
        <f ca="1">IF(OR(AN5="",AN$11&lt;$A15),"",AN5/OFFSET(ActivosEPAESP!$A$80,MATCH(AN$12,ActivosEPAESP!$A$80:$A$500)+$A15-1,1)-1)</f>
        <v>3.3638860443767626E-3</v>
      </c>
      <c r="AO15" s="8">
        <f ca="1">IF(OR(AO5="",AO$11&lt;$A15),"",AO5/OFFSET(ActivosEPAESP!$A$80,MATCH(AO$12,ActivosEPAESP!$A$80:$A$500)+$A15-1,1)-1)</f>
        <v>1.2104284934657539E-3</v>
      </c>
      <c r="AP15" s="8">
        <f ca="1">IF(OR(AP5="",AP$11&lt;$A15),"",AP5/OFFSET(ActivosEPAESP!$A$80,MATCH(AP$12,ActivosEPAESP!$A$80:$A$500)+$A15-1,1)-1)</f>
        <v>-7.4652348752413111E-4</v>
      </c>
      <c r="AQ15" s="8">
        <f ca="1">IF(OR(AQ5="",AQ$11&lt;$A15),"",AQ5/OFFSET(ActivosEPAESP!$A$80,MATCH(AQ$12,ActivosEPAESP!$A$80:$A$500)+$A15-1,1)-1)</f>
        <v>-1.7986450588858394E-2</v>
      </c>
      <c r="AR15" s="8">
        <f ca="1">IF(OR(AR5="",AR$11&lt;$A15),"",AR5/OFFSET(ActivosEPAESP!$A$80,MATCH(AR$12,ActivosEPAESP!$A$80:$A$500)+$A15-1,1)-1)</f>
        <v>-6.6263347333097578E-3</v>
      </c>
      <c r="AS15" s="8">
        <f ca="1">IF(OR(AS5="",AS$11&lt;$A15),"",AS5/OFFSET(ActivosEPAESP!$A$80,MATCH(AS$12,ActivosEPAESP!$A$80:$A$500)+$A15-1,1)-1)</f>
        <v>-1.2270371551915238E-2</v>
      </c>
      <c r="AT15" s="8">
        <f ca="1">IF(OR(AT5="",AT$11&lt;$A15),"",AT5/OFFSET(ActivosEPAESP!$A$80,MATCH(AT$12,ActivosEPAESP!$A$80:$A$500)+$A15-1,1)-1)</f>
        <v>4.4921317400261618E-3</v>
      </c>
      <c r="AU15" s="8">
        <f ca="1">IF(OR(AU5="",AU$11&lt;$A15),"",AU5/OFFSET(ActivosEPAESP!$A$80,MATCH(AU$12,ActivosEPAESP!$A$80:$A$500)+$A15-1,1)-1)</f>
        <v>-2.8245421836571305E-3</v>
      </c>
      <c r="AV15" s="8">
        <f ca="1">IF(OR(AV5="",AV$11&lt;$A15),"",AV5/OFFSET(ActivosEPAESP!$A$80,MATCH(AV$12,ActivosEPAESP!$A$80:$A$500)+$A15-1,1)-1)</f>
        <v>4.2223224112623026E-3</v>
      </c>
      <c r="AW15" s="8">
        <f ca="1">IF(OR(AW5="",AW$11&lt;$A15),"",AW5/OFFSET(ActivosEPAESP!$A$80,MATCH(AW$12,ActivosEPAESP!$A$80:$A$500)+$A15-1,1)-1)</f>
        <v>-3.5275819085089921E-3</v>
      </c>
      <c r="AX15" s="8">
        <f ca="1">IF(OR(AX5="",AX$11&lt;$A15),"",AX5/OFFSET(ActivosEPAESP!$A$80,MATCH(AX$12,ActivosEPAESP!$A$80:$A$500)+$A15-1,1)-1)</f>
        <v>-3.128941036345867E-3</v>
      </c>
      <c r="AY15" s="8">
        <f ca="1">IF(OR(AY5="",AY$11&lt;$A15),"",AY5/OFFSET(ActivosEPAESP!$A$80,MATCH(AY$12,ActivosEPAESP!$A$80:$A$500)+$A15-1,1)-1)</f>
        <v>1.7133539963993805E-3</v>
      </c>
      <c r="AZ15" s="8">
        <f ca="1">IF(OR(AZ5="",AZ$11&lt;$A15),"",AZ5/OFFSET(ActivosEPAESP!$A$80,MATCH(AZ$12,ActivosEPAESP!$A$80:$A$500)+$A15-1,1)-1)</f>
        <v>1.8188324835222147E-3</v>
      </c>
      <c r="BA15" s="8">
        <f ca="1">IF(OR(BA5="",BA$11&lt;$A15),"",BA5/OFFSET(ActivosEPAESP!$A$80,MATCH(BA$12,ActivosEPAESP!$A$80:$A$500)+$A15-1,1)-1)</f>
        <v>2.8001132946415819E-3</v>
      </c>
      <c r="BB15" s="8">
        <f ca="1">IF(OR(BB5="",BB$11&lt;$A15),"",BB5/OFFSET(ActivosEPAESP!$A$80,MATCH(BB$12,ActivosEPAESP!$A$80:$A$500)+$A15-1,1)-1)</f>
        <v>-6.1506145346440499E-3</v>
      </c>
      <c r="BC15" s="8">
        <f ca="1">IF(OR(BC5="",BC$11&lt;$A15),"",BC5/OFFSET(ActivosEPAESP!$A$80,MATCH(BC$12,ActivosEPAESP!$A$80:$A$500)+$A15-1,1)-1)</f>
        <v>-5.540893669178093E-3</v>
      </c>
      <c r="BD15" s="8">
        <f ca="1">IF(OR(BD5="",BD$11&lt;$A15),"",BD5/OFFSET(ActivosEPAESP!$A$80,MATCH(BD$12,ActivosEPAESP!$A$80:$A$500)+$A15-1,1)-1)</f>
        <v>-5.1034270376392188E-3</v>
      </c>
      <c r="BE15" s="8">
        <f ca="1">IF(OR(BE5="",BE$11&lt;$A15),"",BE5/OFFSET(ActivosEPAESP!$A$80,MATCH(BE$12,ActivosEPAESP!$A$80:$A$500)+$A15-1,1)-1)</f>
        <v>-3.7530529675825486E-3</v>
      </c>
      <c r="BF15" s="8">
        <f ca="1">IF(OR(BF5="",BF$11&lt;$A15),"",BF5/OFFSET(ActivosEPAESP!$A$80,MATCH(BF$12,ActivosEPAESP!$A$80:$A$500)+$A15-1,1)-1)</f>
        <v>-4.3001428549277465E-3</v>
      </c>
      <c r="BG15" s="8">
        <f ca="1">IF(OR(BG5="",BG$11&lt;$A15),"",BG5/OFFSET(ActivosEPAESP!$A$80,MATCH(BG$12,ActivosEPAESP!$A$80:$A$500)+$A15-1,1)-1)</f>
        <v>-8.9952871268973444E-3</v>
      </c>
      <c r="BH15" s="8">
        <f ca="1">IF(OR(BH5="",BH$11&lt;$A15),"",BH5/OFFSET(ActivosEPAESP!$A$80,MATCH(BH$12,ActivosEPAESP!$A$80:$A$500)+$A15-1,1)-1)</f>
        <v>-1.6579470869477753E-3</v>
      </c>
      <c r="BI15" s="8">
        <f ca="1">IF(OR(BI5="",BI$11&lt;$A15),"",BI5/OFFSET(ActivosEPAESP!$A$80,MATCH(BI$12,ActivosEPAESP!$A$80:$A$500)+$A15-1,1)-1)</f>
        <v>-5.9295675909399881E-3</v>
      </c>
      <c r="BJ15" s="8">
        <f ca="1">IF(OR(BJ5="",BJ$11&lt;$A15),"",BJ5/OFFSET(ActivosEPAESP!$A$80,MATCH(BJ$12,ActivosEPAESP!$A$80:$A$500)+$A15-1,1)-1)</f>
        <v>-6.9266697711046765E-3</v>
      </c>
      <c r="BK15" s="8">
        <f ca="1">IF(OR(BK5="",BK$11&lt;$A15),"",BK5/OFFSET(ActivosEPAESP!$A$80,MATCH(BK$12,ActivosEPAESP!$A$80:$A$500)+$A15-1,1)-1)</f>
        <v>-1.0195377281406293E-2</v>
      </c>
      <c r="BL15" s="8">
        <f ca="1">IF(OR(BL5="",BL$11&lt;$A15),"",BL5/OFFSET(ActivosEPAESP!$A$80,MATCH(BL$12,ActivosEPAESP!$A$80:$A$500)+$A15-1,1)-1)</f>
        <v>4.0160888845959253E-3</v>
      </c>
      <c r="BM15" s="8">
        <f ca="1">IF(OR(BM5="",BM$11&lt;$A15),"",BM5/OFFSET(ActivosEPAESP!$A$80,MATCH(BM$12,ActivosEPAESP!$A$80:$A$500)+$A15-1,1)-1)</f>
        <v>5.7545066968535341E-2</v>
      </c>
      <c r="BN15" s="8">
        <f ca="1">IF(OR(BN5="",BN$11&lt;$A15),"",BN5/OFFSET(ActivosEPAESP!$A$80,MATCH(BN$12,ActivosEPAESP!$A$80:$A$500)+$A15-1,1)-1)</f>
        <v>1.9677985017579003E-2</v>
      </c>
      <c r="BO15" s="8">
        <f ca="1">IF(OR(BO5="",BO$11&lt;$A15),"",BO5/OFFSET(ActivosEPAESP!$A$80,MATCH(BO$12,ActivosEPAESP!$A$80:$A$500)+$A15-1,1)-1)</f>
        <v>2.9385836195188197E-3</v>
      </c>
      <c r="BP15" s="8" t="str">
        <f ca="1">IF(OR(BP5="",BP$11&lt;$A15),"",BP5/OFFSET(ActivosEPAESP!$A$80,MATCH(BP$12,ActivosEPAESP!$A$80:$A$500)+$A15-1,1)-1)</f>
        <v/>
      </c>
      <c r="BQ15" s="8" t="str">
        <f ca="1">IF(OR(BQ5="",BQ$11&lt;$A15),"",BQ5/OFFSET(ActivosEPAESP!$A$80,MATCH(BQ$12,ActivosEPAESP!$A$80:$A$500)+$A15-1,1)-1)</f>
        <v/>
      </c>
      <c r="BR15" s="8" t="str">
        <f ca="1">IF(OR(BR5="",BR$11&lt;$A15),"",BR5/OFFSET(ActivosEPAESP!$A$80,MATCH(BR$12,ActivosEPAESP!$A$80:$A$500)+$A15-1,1)-1)</f>
        <v/>
      </c>
      <c r="BS15" s="8" t="str">
        <f ca="1">IF(OR(BS5="",BS$11&lt;$A15),"",BS5/OFFSET(ActivosEPAESP!$A$80,MATCH(BS$12,ActivosEPAESP!$A$80:$A$500)+$A15-1,1)-1)</f>
        <v/>
      </c>
      <c r="BT15" s="8" t="str">
        <f ca="1">IF(OR(BT5="",BT$11&lt;$A15),"",BT5/OFFSET(ActivosEPAESP!$A$80,MATCH(BT$12,ActivosEPAESP!$A$80:$A$500)+$A15-1,1)-1)</f>
        <v/>
      </c>
      <c r="BU15" s="8" t="str">
        <f ca="1">IF(OR(BU5="",BU$11&lt;$A15),"",BU5/OFFSET(ActivosEPAESP!$A$80,MATCH(BU$12,ActivosEPAESP!$A$80:$A$500)+$A15-1,1)-1)</f>
        <v/>
      </c>
      <c r="BV15" s="8" t="str">
        <f ca="1">IF(OR(BV5="",BV$11&lt;$A15),"",BV5/OFFSET(ActivosEPAESP!$A$80,MATCH(BV$12,ActivosEPAESP!$A$80:$A$500)+$A15-1,1)-1)</f>
        <v/>
      </c>
      <c r="BW15" s="8" t="str">
        <f ca="1">IF(OR(BW5="",BW$11&lt;$A15),"",BW5/OFFSET(ActivosEPAESP!$A$80,MATCH(BW$12,ActivosEPAESP!$A$80:$A$500)+$A15-1,1)-1)</f>
        <v/>
      </c>
      <c r="BX15" s="8" t="str">
        <f ca="1">IF(OR(BX5="",BX$11&lt;$A15),"",BX5/OFFSET(ActivosEPAESP!$A$80,MATCH(BX$12,ActivosEPAESP!$A$80:$A$500)+$A15-1,1)-1)</f>
        <v/>
      </c>
      <c r="BY15" s="8" t="str">
        <f ca="1">IF(OR(BY5="",BY$11&lt;$A15),"",BY5/OFFSET(ActivosEPAESP!$A$80,MATCH(BY$12,ActivosEPAESP!$A$80:$A$500)+$A15-1,1)-1)</f>
        <v/>
      </c>
      <c r="BZ15" s="8" t="str">
        <f ca="1">IF(OR(BZ5="",BZ$11&lt;$A15),"",BZ5/OFFSET(ActivosEPAESP!$A$80,MATCH(BZ$12,ActivosEPAESP!$A$80:$A$500)+$A15-1,1)-1)</f>
        <v/>
      </c>
      <c r="CA15" s="8" t="str">
        <f ca="1">IF(OR(CA5="",CA$11&lt;$A15),"",CA5/OFFSET(ActivosEPAESP!$A$80,MATCH(CA$12,ActivosEPAESP!$A$80:$A$500)+$A15-1,1)-1)</f>
        <v/>
      </c>
      <c r="CB15" s="8" t="str">
        <f ca="1">IF(OR(CB5="",CB$11&lt;$A15),"",CB5/OFFSET(ActivosEPAESP!$A$80,MATCH(CB$12,ActivosEPAESP!$A$80:$A$500)+$A15-1,1)-1)</f>
        <v/>
      </c>
      <c r="CC15" s="8" t="str">
        <f ca="1">IF(OR(CC5="",CC$11&lt;$A15),"",CC5/OFFSET(ActivosEPAESP!$A$80,MATCH(CC$12,ActivosEPAESP!$A$80:$A$500)+$A15-1,1)-1)</f>
        <v/>
      </c>
      <c r="CD15" s="8" t="str">
        <f ca="1">IF(OR(CD5="",CD$11&lt;$A15),"",CD5/OFFSET(ActivosEPAESP!$A$80,MATCH(CD$12,ActivosEPAESP!$A$80:$A$500)+$A15-1,1)-1)</f>
        <v/>
      </c>
      <c r="CE15" s="8" t="str">
        <f ca="1">IF(OR(CE5="",CE$11&lt;$A15),"",CE5/OFFSET(ActivosEPAESP!$A$80,MATCH(CE$12,ActivosEPAESP!$A$80:$A$500)+$A15-1,1)-1)</f>
        <v/>
      </c>
      <c r="CF15" s="8" t="str">
        <f ca="1">IF(OR(CF5="",CF$11&lt;$A15),"",CF5/OFFSET(ActivosEPAESP!$A$80,MATCH(CF$12,ActivosEPAESP!$A$80:$A$500)+$A15-1,1)-1)</f>
        <v/>
      </c>
      <c r="CG15" s="8" t="str">
        <f ca="1">IF(OR(CG5="",CG$11&lt;$A15),"",CG5/OFFSET(ActivosEPAESP!$A$80,MATCH(CG$12,ActivosEPAESP!$A$80:$A$500)+$A15-1,1)-1)</f>
        <v/>
      </c>
      <c r="CH15" s="8" t="str">
        <f ca="1">IF(OR(CH5="",CH$11&lt;$A15),"",CH5/OFFSET(ActivosEPAESP!$A$80,MATCH(CH$12,ActivosEPAESP!$A$80:$A$500)+$A15-1,1)-1)</f>
        <v/>
      </c>
      <c r="CI15" s="8" t="str">
        <f ca="1">IF(OR(CI5="",CI$11&lt;$A15),"",CI5/OFFSET(ActivosEPAESP!$A$80,MATCH(CI$12,ActivosEPAESP!$A$80:$A$500)+$A15-1,1)-1)</f>
        <v/>
      </c>
      <c r="CJ15" s="8" t="str">
        <f ca="1">IF(OR(CJ5="",CJ$11&lt;$A15),"",CJ5/OFFSET(ActivosEPAESP!$A$80,MATCH(CJ$12,ActivosEPAESP!$A$80:$A$500)+$A15-1,1)-1)</f>
        <v/>
      </c>
      <c r="CK15" s="8" t="str">
        <f ca="1">IF(OR(CK5="",CK$11&lt;$A15),"",CK5/OFFSET(ActivosEPAESP!$A$80,MATCH(CK$12,ActivosEPAESP!$A$80:$A$500)+$A15-1,1)-1)</f>
        <v/>
      </c>
      <c r="CL15" s="8" t="str">
        <f ca="1">IF(OR(CL5="",CL$11&lt;$A15),"",CL5/OFFSET(ActivosEPAESP!$A$80,MATCH(CL$12,ActivosEPAESP!$A$80:$A$500)+$A15-1,1)-1)</f>
        <v/>
      </c>
      <c r="CM15" s="8" t="str">
        <f ca="1">IF(OR(CM5="",CM$11&lt;$A15),"",CM5/OFFSET(ActivosEPAESP!$A$80,MATCH(CM$12,ActivosEPAESP!$A$80:$A$500)+$A15-1,1)-1)</f>
        <v/>
      </c>
      <c r="CN15" s="8" t="str">
        <f ca="1">IF(OR(CN5="",CN$11&lt;$A15),"",CN5/OFFSET(ActivosEPAESP!$A$80,MATCH(CN$12,ActivosEPAESP!$A$80:$A$500)+$A15-1,1)-1)</f>
        <v/>
      </c>
      <c r="CO15" s="8" t="str">
        <f ca="1">IF(OR(CO5="",CO$11&lt;$A15),"",CO5/OFFSET(ActivosEPAESP!$A$80,MATCH(CO$12,ActivosEPAESP!$A$80:$A$500)+$A15-1,1)-1)</f>
        <v/>
      </c>
      <c r="CP15" s="8" t="str">
        <f ca="1">IF(OR(CP5="",CP$11&lt;$A15),"",CP5/OFFSET(ActivosEPAESP!$A$80,MATCH(CP$12,ActivosEPAESP!$A$80:$A$500)+$A15-1,1)-1)</f>
        <v/>
      </c>
      <c r="CQ15" s="8" t="str">
        <f ca="1">IF(OR(CQ5="",CQ$11&lt;$A15),"",CQ5/OFFSET(ActivosEPAESP!$A$80,MATCH(CQ$12,ActivosEPAESP!$A$80:$A$500)+$A15-1,1)-1)</f>
        <v/>
      </c>
      <c r="CR15" s="8" t="str">
        <f ca="1">IF(OR(CR5="",CR$11&lt;$A15),"",CR5/OFFSET(ActivosEPAESP!$A$80,MATCH(CR$12,ActivosEPAESP!$A$80:$A$500)+$A15-1,1)-1)</f>
        <v/>
      </c>
      <c r="CS15" s="8" t="str">
        <f ca="1">IF(OR(CS5="",CS$11&lt;$A15),"",CS5/OFFSET(ActivosEPAESP!$A$80,MATCH(CS$12,ActivosEPAESP!$A$80:$A$500)+$A15-1,1)-1)</f>
        <v/>
      </c>
      <c r="CT15" s="8" t="str">
        <f ca="1">IF(OR(CT5="",CT$11&lt;$A15),"",CT5/OFFSET(ActivosEPAESP!$A$80,MATCH(CT$12,ActivosEPAESP!$A$80:$A$500)+$A15-1,1)-1)</f>
        <v/>
      </c>
      <c r="CU15" s="8" t="str">
        <f ca="1">IF(OR(CU5="",CU$11&lt;$A15),"",CU5/OFFSET(ActivosEPAESP!$A$80,MATCH(CU$12,ActivosEPAESP!$A$80:$A$500)+$A15-1,1)-1)</f>
        <v/>
      </c>
      <c r="CV15" s="8" t="str">
        <f ca="1">IF(OR(CV5="",CV$11&lt;$A15),"",CV5/OFFSET(ActivosEPAESP!$A$80,MATCH(CV$12,ActivosEPAESP!$A$80:$A$500)+$A15-1,1)-1)</f>
        <v/>
      </c>
      <c r="CW15" s="8" t="str">
        <f ca="1">IF(OR(CW5="",CW$11&lt;$A15),"",CW5/OFFSET(ActivosEPAESP!$A$80,MATCH(CW$12,ActivosEPAESP!$A$80:$A$500)+$A15-1,1)-1)</f>
        <v/>
      </c>
      <c r="CX15" s="8" t="str">
        <f ca="1">IF(OR(CX5="",CX$11&lt;$A15),"",CX5/OFFSET(ActivosEPAESP!$A$80,MATCH(CX$12,ActivosEPAESP!$A$80:$A$500)+$A15-1,1)-1)</f>
        <v/>
      </c>
      <c r="CY15" s="8" t="str">
        <f ca="1">IF(OR(CY5="",CY$11&lt;$A15),"",CY5/OFFSET(ActivosEPAESP!$A$80,MATCH(CY$12,ActivosEPAESP!$A$80:$A$500)+$A15-1,1)-1)</f>
        <v/>
      </c>
      <c r="CZ15" s="8" t="str">
        <f ca="1">IF(OR(CZ5="",CZ$11&lt;$A15),"",CZ5/OFFSET(ActivosEPAESP!$A$80,MATCH(CZ$12,ActivosEPAESP!$A$80:$A$500)+$A15-1,1)-1)</f>
        <v/>
      </c>
      <c r="DA15" s="8" t="str">
        <f ca="1">IF(OR(DA5="",DA$11&lt;$A15),"",DA5/OFFSET(ActivosEPAESP!$A$80,MATCH(DA$12,ActivosEPAESP!$A$80:$A$500)+$A15-1,1)-1)</f>
        <v/>
      </c>
      <c r="DB15" s="8" t="str">
        <f ca="1">IF(OR(DB5="",DB$11&lt;$A15),"",DB5/OFFSET(ActivosEPAESP!$A$80,MATCH(DB$12,ActivosEPAESP!$A$80:$A$500)+$A15-1,1)-1)</f>
        <v/>
      </c>
      <c r="DC15" s="8" t="str">
        <f ca="1">IF(OR(DC5="",DC$11&lt;$A15),"",DC5/OFFSET(ActivosEPAESP!$A$80,MATCH(DC$12,ActivosEPAESP!$A$80:$A$500)+$A15-1,1)-1)</f>
        <v/>
      </c>
      <c r="DD15" s="8" t="str">
        <f ca="1">IF(OR(DD5="",DD$11&lt;$A15),"",DD5/OFFSET(ActivosEPAESP!$A$80,MATCH(DD$12,ActivosEPAESP!$A$80:$A$500)+$A15-1,1)-1)</f>
        <v/>
      </c>
      <c r="DE15" s="8" t="str">
        <f ca="1">IF(OR(DE5="",DE$11&lt;$A15),"",DE5/OFFSET(ActivosEPAESP!$A$80,MATCH(DE$12,ActivosEPAESP!$A$80:$A$500)+$A15-1,1)-1)</f>
        <v/>
      </c>
      <c r="DF15" s="8" t="str">
        <f ca="1">IF(OR(DF5="",DF$11&lt;$A15),"",DF5/OFFSET(ActivosEPAESP!$A$80,MATCH(DF$12,ActivosEPAESP!$A$80:$A$500)+$A15-1,1)-1)</f>
        <v/>
      </c>
      <c r="DG15" s="8" t="str">
        <f ca="1">IF(OR(DG5="",DG$11&lt;$A15),"",DG5/OFFSET(ActivosEPAESP!$A$80,MATCH(DG$12,ActivosEPAESP!$A$80:$A$500)+$A15-1,1)-1)</f>
        <v/>
      </c>
      <c r="DH15" s="8" t="str">
        <f ca="1">IF(OR(DH5="",DH$11&lt;$A15),"",DH5/OFFSET(ActivosEPAESP!$A$80,MATCH(DH$12,ActivosEPAESP!$A$80:$A$500)+$A15-1,1)-1)</f>
        <v/>
      </c>
      <c r="DI15" s="8" t="str">
        <f ca="1">IF(OR(DI5="",DI$11&lt;$A15),"",DI5/OFFSET(ActivosEPAESP!$A$80,MATCH(DI$12,ActivosEPAESP!$A$80:$A$500)+$A15-1,1)-1)</f>
        <v/>
      </c>
      <c r="DJ15" s="8" t="str">
        <f ca="1">IF(OR(DJ5="",DJ$11&lt;$A15),"",DJ5/OFFSET(ActivosEPAESP!$A$80,MATCH(DJ$12,ActivosEPAESP!$A$80:$A$500)+$A15-1,1)-1)</f>
        <v/>
      </c>
      <c r="DK15" s="8" t="str">
        <f ca="1">IF(OR(DK5="",DK$11&lt;$A15),"",DK5/OFFSET(ActivosEPAESP!$A$80,MATCH(DK$12,ActivosEPAESP!$A$80:$A$500)+$A15-1,1)-1)</f>
        <v/>
      </c>
      <c r="DL15" s="8" t="str">
        <f ca="1">IF(OR(DL5="",DL$11&lt;$A15),"",DL5/OFFSET(ActivosEPAESP!$A$80,MATCH(DL$12,ActivosEPAESP!$A$80:$A$500)+$A15-1,1)-1)</f>
        <v/>
      </c>
      <c r="DM15" s="8" t="str">
        <f ca="1">IF(OR(DM5="",DM$11&lt;$A15),"",DM5/OFFSET(ActivosEPAESP!$A$80,MATCH(DM$12,ActivosEPAESP!$A$80:$A$500)+$A15-1,1)-1)</f>
        <v/>
      </c>
      <c r="DN15" s="8" t="str">
        <f ca="1">IF(OR(DN5="",DN$11&lt;$A15),"",DN5/OFFSET(ActivosEPAESP!$A$80,MATCH(DN$12,ActivosEPAESP!$A$80:$A$500)+$A15-1,1)-1)</f>
        <v/>
      </c>
      <c r="DO15" s="8" t="str">
        <f ca="1">IF(OR(DO5="",DO$11&lt;$A15),"",DO5/OFFSET(ActivosEPAESP!$A$80,MATCH(DO$12,ActivosEPAESP!$A$80:$A$500)+$A15-1,1)-1)</f>
        <v/>
      </c>
      <c r="DP15" s="8" t="str">
        <f ca="1">IF(OR(DP5="",DP$11&lt;$A15),"",DP5/OFFSET(ActivosEPAESP!$A$80,MATCH(DP$12,ActivosEPAESP!$A$80:$A$500)+$A15-1,1)-1)</f>
        <v/>
      </c>
      <c r="DQ15" s="8" t="str">
        <f ca="1">IF(OR(DQ5="",DQ$11&lt;$A15),"",DQ5/OFFSET(ActivosEPAESP!$A$80,MATCH(DQ$12,ActivosEPAESP!$A$80:$A$500)+$A15-1,1)-1)</f>
        <v/>
      </c>
      <c r="DR15" s="8" t="str">
        <f ca="1">IF(OR(DR5="",DR$11&lt;$A15),"",DR5/OFFSET(ActivosEPAESP!$A$80,MATCH(DR$12,ActivosEPAESP!$A$80:$A$500)+$A15-1,1)-1)</f>
        <v/>
      </c>
      <c r="DS15" s="12">
        <f t="shared" ca="1" si="51"/>
        <v>1.9493859712617882E-4</v>
      </c>
      <c r="DT15" s="12">
        <f t="shared" ca="1" si="52"/>
        <v>-2.8245421836571305E-3</v>
      </c>
      <c r="DU15" s="13">
        <f t="shared" ca="1" si="53"/>
        <v>1.6518512753661255E-4</v>
      </c>
      <c r="DV15" s="15">
        <f t="shared" ca="1" si="56"/>
        <v>1.2852436638109232E-2</v>
      </c>
      <c r="DW15" s="14" t="str">
        <f t="shared" ca="1" si="54"/>
        <v>[ -2,55% ; 2,59% ]</v>
      </c>
      <c r="DX15" s="15">
        <f t="shared" ca="1" si="55"/>
        <v>1.6451118896779818E-2</v>
      </c>
      <c r="GI15" s="1"/>
    </row>
    <row r="16" spans="1:191" x14ac:dyDescent="0.25">
      <c r="A16" s="4">
        <v>4</v>
      </c>
      <c r="B16" s="8">
        <f ca="1">IF(OR(B6="",B$11&lt;$A16),"",B6/OFFSET(ActivosEPAESP!$A$80,MATCH(B$12,ActivosEPAESP!$A$80:$A$500)+$A16-1,1)-1)</f>
        <v>1.348936208194873E-3</v>
      </c>
      <c r="C16" s="8">
        <f ca="1">IF(OR(C6="",C$11&lt;$A16),"",C6/OFFSET(ActivosEPAESP!$A$80,MATCH(C$12,ActivosEPAESP!$A$80:$A$500)+$A16-1,1)-1)</f>
        <v>-8.7712182268306904E-3</v>
      </c>
      <c r="D16" s="8">
        <f ca="1">IF(OR(D6="",D$11&lt;$A16),"",D6/OFFSET(ActivosEPAESP!$A$80,MATCH(D$12,ActivosEPAESP!$A$80:$A$500)+$A16-1,1)-1)</f>
        <v>-1.0249471806431654E-2</v>
      </c>
      <c r="E16" s="8">
        <f ca="1">IF(OR(E6="",E$11&lt;$A16),"",E6/OFFSET(ActivosEPAESP!$A$80,MATCH(E$12,ActivosEPAESP!$A$80:$A$500)+$A16-1,1)-1)</f>
        <v>-4.3463217579519098E-3</v>
      </c>
      <c r="F16" s="8">
        <f ca="1">IF(OR(F6="",F$11&lt;$A16),"",F6/OFFSET(ActivosEPAESP!$A$80,MATCH(F$12,ActivosEPAESP!$A$80:$A$500)+$A16-1,1)-1)</f>
        <v>-1.9342660492821517E-3</v>
      </c>
      <c r="G16" s="8">
        <f ca="1">IF(OR(G6="",G$11&lt;$A16),"",G6/OFFSET(ActivosEPAESP!$A$80,MATCH(G$12,ActivosEPAESP!$A$80:$A$500)+$A16-1,1)-1)</f>
        <v>3.5150947887190309E-3</v>
      </c>
      <c r="H16" s="8">
        <f ca="1">IF(OR(H6="",H$11&lt;$A16),"",H6/OFFSET(ActivosEPAESP!$A$80,MATCH(H$12,ActivosEPAESP!$A$80:$A$500)+$A16-1,1)-1)</f>
        <v>8.8630684255455172E-3</v>
      </c>
      <c r="I16" s="8">
        <f ca="1">IF(OR(I6="",I$11&lt;$A16),"",I6/OFFSET(ActivosEPAESP!$A$80,MATCH(I$12,ActivosEPAESP!$A$80:$A$500)+$A16-1,1)-1)</f>
        <v>-9.7696420762960479E-5</v>
      </c>
      <c r="J16" s="8">
        <f ca="1">IF(OR(J6="",J$11&lt;$A16),"",J6/OFFSET(ActivosEPAESP!$A$80,MATCH(J$12,ActivosEPAESP!$A$80:$A$500)+$A16-1,1)-1)</f>
        <v>3.7001084534660222E-4</v>
      </c>
      <c r="K16" s="8">
        <f ca="1">IF(OR(K6="",K$11&lt;$A16),"",K6/OFFSET(ActivosEPAESP!$A$80,MATCH(K$12,ActivosEPAESP!$A$80:$A$500)+$A16-1,1)-1)</f>
        <v>3.5147993647521858E-3</v>
      </c>
      <c r="L16" s="8">
        <f ca="1">IF(OR(L6="",L$11&lt;$A16),"",L6/OFFSET(ActivosEPAESP!$A$80,MATCH(L$12,ActivosEPAESP!$A$80:$A$500)+$A16-1,1)-1)</f>
        <v>3.2383027468447789E-3</v>
      </c>
      <c r="M16" s="8">
        <f ca="1">IF(OR(M6="",M$11&lt;$A16),"",M6/OFFSET(ActivosEPAESP!$A$80,MATCH(M$12,ActivosEPAESP!$A$80:$A$500)+$A16-1,1)-1)</f>
        <v>-2.2331544242902845E-3</v>
      </c>
      <c r="N16" s="8">
        <f ca="1">IF(OR(N6="",N$11&lt;$A16),"",N6/OFFSET(ActivosEPAESP!$A$80,MATCH(N$12,ActivosEPAESP!$A$80:$A$500)+$A16-1,1)-1)</f>
        <v>1.107016121206561E-3</v>
      </c>
      <c r="O16" s="8">
        <f ca="1">IF(OR(O6="",O$11&lt;$A16),"",O6/OFFSET(ActivosEPAESP!$A$80,MATCH(O$12,ActivosEPAESP!$A$80:$A$500)+$A16-1,1)-1)</f>
        <v>-3.5950523980277094E-4</v>
      </c>
      <c r="P16" s="8">
        <f ca="1">IF(OR(P6="",P$11&lt;$A16),"",P6/OFFSET(ActivosEPAESP!$A$80,MATCH(P$12,ActivosEPAESP!$A$80:$A$500)+$A16-1,1)-1)</f>
        <v>6.421743348035136E-4</v>
      </c>
      <c r="Q16" s="8">
        <f ca="1">IF(OR(Q6="",Q$11&lt;$A16),"",Q6/OFFSET(ActivosEPAESP!$A$80,MATCH(Q$12,ActivosEPAESP!$A$80:$A$500)+$A16-1,1)-1)</f>
        <v>4.2807526749508718E-3</v>
      </c>
      <c r="R16" s="8">
        <f ca="1">IF(OR(R6="",R$11&lt;$A16),"",R6/OFFSET(ActivosEPAESP!$A$80,MATCH(R$12,ActivosEPAESP!$A$80:$A$500)+$A16-1,1)-1)</f>
        <v>2.4754141417442366E-3</v>
      </c>
      <c r="S16" s="8">
        <f ca="1">IF(OR(S6="",S$11&lt;$A16),"",S6/OFFSET(ActivosEPAESP!$A$80,MATCH(S$12,ActivosEPAESP!$A$80:$A$500)+$A16-1,1)-1)</f>
        <v>8.1884847513482573E-3</v>
      </c>
      <c r="T16" s="8">
        <f ca="1">IF(OR(T6="",T$11&lt;$A16),"",T6/OFFSET(ActivosEPAESP!$A$80,MATCH(T$12,ActivosEPAESP!$A$80:$A$500)+$A16-1,1)-1)</f>
        <v>1.8986560568724054E-2</v>
      </c>
      <c r="U16" s="8">
        <f ca="1">IF(OR(U6="",U$11&lt;$A16),"",U6/OFFSET(ActivosEPAESP!$A$80,MATCH(U$12,ActivosEPAESP!$A$80:$A$500)+$A16-1,1)-1)</f>
        <v>2.522853424569993E-2</v>
      </c>
      <c r="V16" s="8">
        <f ca="1">IF(OR(V6="",V$11&lt;$A16),"",V6/OFFSET(ActivosEPAESP!$A$80,MATCH(V$12,ActivosEPAESP!$A$80:$A$500)+$A16-1,1)-1)</f>
        <v>2.8606261403590683E-2</v>
      </c>
      <c r="W16" s="8">
        <f ca="1">IF(OR(W6="",W$11&lt;$A16),"",W6/OFFSET(ActivosEPAESP!$A$80,MATCH(W$12,ActivosEPAESP!$A$80:$A$500)+$A16-1,1)-1)</f>
        <v>2.5915133079014607E-2</v>
      </c>
      <c r="X16" s="8">
        <f ca="1">IF(OR(X6="",X$11&lt;$A16),"",X6/OFFSET(ActivosEPAESP!$A$80,MATCH(X$12,ActivosEPAESP!$A$80:$A$500)+$A16-1,1)-1)</f>
        <v>1.6086158450659749E-2</v>
      </c>
      <c r="Y16" s="8">
        <f ca="1">IF(OR(Y6="",Y$11&lt;$A16),"",Y6/OFFSET(ActivosEPAESP!$A$80,MATCH(Y$12,ActivosEPAESP!$A$80:$A$500)+$A16-1,1)-1)</f>
        <v>1.1709543088580521E-3</v>
      </c>
      <c r="Z16" s="8">
        <f ca="1">IF(OR(Z6="",Z$11&lt;$A16),"",Z6/OFFSET(ActivosEPAESP!$A$80,MATCH(Z$12,ActivosEPAESP!$A$80:$A$500)+$A16-1,1)-1)</f>
        <v>1.4989682875388155E-4</v>
      </c>
      <c r="AA16" s="8">
        <f ca="1">IF(OR(AA6="",AA$11&lt;$A16),"",AA6/OFFSET(ActivosEPAESP!$A$80,MATCH(AA$12,ActivosEPAESP!$A$80:$A$500)+$A16-1,1)-1)</f>
        <v>5.25286794487001E-3</v>
      </c>
      <c r="AB16" s="8">
        <f ca="1">IF(OR(AB6="",AB$11&lt;$A16),"",AB6/OFFSET(ActivosEPAESP!$A$80,MATCH(AB$12,ActivosEPAESP!$A$80:$A$500)+$A16-1,1)-1)</f>
        <v>1.1247566389982255E-2</v>
      </c>
      <c r="AC16" s="8">
        <f ca="1">IF(OR(AC6="",AC$11&lt;$A16),"",AC6/OFFSET(ActivosEPAESP!$A$80,MATCH(AC$12,ActivosEPAESP!$A$80:$A$500)+$A16-1,1)-1)</f>
        <v>5.7517492170340301E-3</v>
      </c>
      <c r="AD16" s="8">
        <f ca="1">IF(OR(AD6="",AD$11&lt;$A16),"",AD6/OFFSET(ActivosEPAESP!$A$80,MATCH(AD$12,ActivosEPAESP!$A$80:$A$500)+$A16-1,1)-1)</f>
        <v>3.0807673273254288E-3</v>
      </c>
      <c r="AE16" s="8">
        <f ca="1">IF(OR(AE6="",AE$11&lt;$A16),"",AE6/OFFSET(ActivosEPAESP!$A$80,MATCH(AE$12,ActivosEPAESP!$A$80:$A$500)+$A16-1,1)-1)</f>
        <v>-8.6305496241079194E-4</v>
      </c>
      <c r="AF16" s="8">
        <f ca="1">IF(OR(AF6="",AF$11&lt;$A16),"",AF6/OFFSET(ActivosEPAESP!$A$80,MATCH(AF$12,ActivosEPAESP!$A$80:$A$500)+$A16-1,1)-1)</f>
        <v>5.9911802665495451E-3</v>
      </c>
      <c r="AG16" s="8">
        <f ca="1">IF(OR(AG6="",AG$11&lt;$A16),"",AG6/OFFSET(ActivosEPAESP!$A$80,MATCH(AG$12,ActivosEPAESP!$A$80:$A$500)+$A16-1,1)-1)</f>
        <v>5.5505670862419088E-3</v>
      </c>
      <c r="AH16" s="8">
        <f ca="1">IF(OR(AH6="",AH$11&lt;$A16),"",AH6/OFFSET(ActivosEPAESP!$A$80,MATCH(AH$12,ActivosEPAESP!$A$80:$A$500)+$A16-1,1)-1)</f>
        <v>6.4599231012212321E-3</v>
      </c>
      <c r="AI16" s="8">
        <f ca="1">IF(OR(AI6="",AI$11&lt;$A16),"",AI6/OFFSET(ActivosEPAESP!$A$80,MATCH(AI$12,ActivosEPAESP!$A$80:$A$500)+$A16-1,1)-1)</f>
        <v>8.0452941255588772E-3</v>
      </c>
      <c r="AJ16" s="8">
        <f ca="1">IF(OR(AJ6="",AJ$11&lt;$A16),"",AJ6/OFFSET(ActivosEPAESP!$A$80,MATCH(AJ$12,ActivosEPAESP!$A$80:$A$500)+$A16-1,1)-1)</f>
        <v>1.353348605371596E-2</v>
      </c>
      <c r="AK16" s="8">
        <f ca="1">IF(OR(AK6="",AK$11&lt;$A16),"",AK6/OFFSET(ActivosEPAESP!$A$80,MATCH(AK$12,ActivosEPAESP!$A$80:$A$500)+$A16-1,1)-1)</f>
        <v>1.5519339592644954E-2</v>
      </c>
      <c r="AL16" s="8">
        <f ca="1">IF(OR(AL6="",AL$11&lt;$A16),"",AL6/OFFSET(ActivosEPAESP!$A$80,MATCH(AL$12,ActivosEPAESP!$A$80:$A$500)+$A16-1,1)-1)</f>
        <v>8.4036326305039211E-3</v>
      </c>
      <c r="AM16" s="8">
        <f ca="1">IF(OR(AM6="",AM$11&lt;$A16),"",AM6/OFFSET(ActivosEPAESP!$A$80,MATCH(AM$12,ActivosEPAESP!$A$80:$A$500)+$A16-1,1)-1)</f>
        <v>1.3778060418255134E-2</v>
      </c>
      <c r="AN16" s="8">
        <f ca="1">IF(OR(AN6="",AN$11&lt;$A16),"",AN6/OFFSET(ActivosEPAESP!$A$80,MATCH(AN$12,ActivosEPAESP!$A$80:$A$500)+$A16-1,1)-1)</f>
        <v>-1.8497760416659181E-3</v>
      </c>
      <c r="AO16" s="8">
        <f ca="1">IF(OR(AO6="",AO$11&lt;$A16),"",AO6/OFFSET(ActivosEPAESP!$A$80,MATCH(AO$12,ActivosEPAESP!$A$80:$A$500)+$A16-1,1)-1)</f>
        <v>5.9745934389487942E-4</v>
      </c>
      <c r="AP16" s="8">
        <f ca="1">IF(OR(AP6="",AP$11&lt;$A16),"",AP6/OFFSET(ActivosEPAESP!$A$80,MATCH(AP$12,ActivosEPAESP!$A$80:$A$500)+$A16-1,1)-1)</f>
        <v>-8.9433713718759522E-3</v>
      </c>
      <c r="AQ16" s="8">
        <f ca="1">IF(OR(AQ6="",AQ$11&lt;$A16),"",AQ6/OFFSET(ActivosEPAESP!$A$80,MATCH(AQ$12,ActivosEPAESP!$A$80:$A$500)+$A16-1,1)-1)</f>
        <v>-1.7853598322709496E-2</v>
      </c>
      <c r="AR16" s="8">
        <f ca="1">IF(OR(AR6="",AR$11&lt;$A16),"",AR6/OFFSET(ActivosEPAESP!$A$80,MATCH(AR$12,ActivosEPAESP!$A$80:$A$500)+$A16-1,1)-1)</f>
        <v>-1.1826774809531315E-2</v>
      </c>
      <c r="AS16" s="8">
        <f ca="1">IF(OR(AS6="",AS$11&lt;$A16),"",AS6/OFFSET(ActivosEPAESP!$A$80,MATCH(AS$12,ActivosEPAESP!$A$80:$A$500)+$A16-1,1)-1)</f>
        <v>-9.8263978237351779E-3</v>
      </c>
      <c r="AT16" s="8">
        <f ca="1">IF(OR(AT6="",AT$11&lt;$A16),"",AT6/OFFSET(ActivosEPAESP!$A$80,MATCH(AT$12,ActivosEPAESP!$A$80:$A$500)+$A16-1,1)-1)</f>
        <v>4.7220781743935181E-3</v>
      </c>
      <c r="AU16" s="8">
        <f ca="1">IF(OR(AU6="",AU$11&lt;$A16),"",AU6/OFFSET(ActivosEPAESP!$A$80,MATCH(AU$12,ActivosEPAESP!$A$80:$A$500)+$A16-1,1)-1)</f>
        <v>-3.656747052581788E-3</v>
      </c>
      <c r="AV16" s="8">
        <f ca="1">IF(OR(AV6="",AV$11&lt;$A16),"",AV6/OFFSET(ActivosEPAESP!$A$80,MATCH(AV$12,ActivosEPAESP!$A$80:$A$500)+$A16-1,1)-1)</f>
        <v>4.5902157424726475E-3</v>
      </c>
      <c r="AW16" s="8">
        <f ca="1">IF(OR(AW6="",AW$11&lt;$A16),"",AW6/OFFSET(ActivosEPAESP!$A$80,MATCH(AW$12,ActivosEPAESP!$A$80:$A$500)+$A16-1,1)-1)</f>
        <v>-4.798732833965591E-3</v>
      </c>
      <c r="AX16" s="8">
        <f ca="1">IF(OR(AX6="",AX$11&lt;$A16),"",AX6/OFFSET(ActivosEPAESP!$A$80,MATCH(AX$12,ActivosEPAESP!$A$80:$A$500)+$A16-1,1)-1)</f>
        <v>1.8956206024345335E-4</v>
      </c>
      <c r="AY16" s="8">
        <f ca="1">IF(OR(AY6="",AY$11&lt;$A16),"",AY6/OFFSET(ActivosEPAESP!$A$80,MATCH(AY$12,ActivosEPAESP!$A$80:$A$500)+$A16-1,1)-1)</f>
        <v>5.8713068593441164E-4</v>
      </c>
      <c r="AZ16" s="8">
        <f ca="1">IF(OR(AZ6="",AZ$11&lt;$A16),"",AZ6/OFFSET(ActivosEPAESP!$A$80,MATCH(AZ$12,ActivosEPAESP!$A$80:$A$500)+$A16-1,1)-1)</f>
        <v>2.7820947875059066E-3</v>
      </c>
      <c r="BA16" s="8">
        <f ca="1">IF(OR(BA6="",BA$11&lt;$A16),"",BA6/OFFSET(ActivosEPAESP!$A$80,MATCH(BA$12,ActivosEPAESP!$A$80:$A$500)+$A16-1,1)-1)</f>
        <v>-4.1843043099409893E-4</v>
      </c>
      <c r="BB16" s="8">
        <f ca="1">IF(OR(BB6="",BB$11&lt;$A16),"",BB6/OFFSET(ActivosEPAESP!$A$80,MATCH(BB$12,ActivosEPAESP!$A$80:$A$500)+$A16-1,1)-1)</f>
        <v>-7.58513753210599E-3</v>
      </c>
      <c r="BC16" s="8">
        <f ca="1">IF(OR(BC6="",BC$11&lt;$A16),"",BC6/OFFSET(ActivosEPAESP!$A$80,MATCH(BC$12,ActivosEPAESP!$A$80:$A$500)+$A16-1,1)-1)</f>
        <v>-4.2233998300440501E-3</v>
      </c>
      <c r="BD16" s="8">
        <f ca="1">IF(OR(BD6="",BD$11&lt;$A16),"",BD6/OFFSET(ActivosEPAESP!$A$80,MATCH(BD$12,ActivosEPAESP!$A$80:$A$500)+$A16-1,1)-1)</f>
        <v>-1.0191963526781977E-2</v>
      </c>
      <c r="BE16" s="8">
        <f ca="1">IF(OR(BE6="",BE$11&lt;$A16),"",BE6/OFFSET(ActivosEPAESP!$A$80,MATCH(BE$12,ActivosEPAESP!$A$80:$A$500)+$A16-1,1)-1)</f>
        <v>-4.9798248764487685E-3</v>
      </c>
      <c r="BF16" s="8">
        <f ca="1">IF(OR(BF6="",BF$11&lt;$A16),"",BF6/OFFSET(ActivosEPAESP!$A$80,MATCH(BF$12,ActivosEPAESP!$A$80:$A$500)+$A16-1,1)-1)</f>
        <v>-5.8616908097557374E-3</v>
      </c>
      <c r="BG16" s="8">
        <f ca="1">IF(OR(BG6="",BG$11&lt;$A16),"",BG6/OFFSET(ActivosEPAESP!$A$80,MATCH(BG$12,ActivosEPAESP!$A$80:$A$500)+$A16-1,1)-1)</f>
        <v>-1.0125409881670988E-2</v>
      </c>
      <c r="BH16" s="8">
        <f ca="1">IF(OR(BH6="",BH$11&lt;$A16),"",BH6/OFFSET(ActivosEPAESP!$A$80,MATCH(BH$12,ActivosEPAESP!$A$80:$A$500)+$A16-1,1)-1)</f>
        <v>-7.1422525708185747E-3</v>
      </c>
      <c r="BI16" s="8">
        <f ca="1">IF(OR(BI6="",BI$11&lt;$A16),"",BI6/OFFSET(ActivosEPAESP!$A$80,MATCH(BI$12,ActivosEPAESP!$A$80:$A$500)+$A16-1,1)-1)</f>
        <v>-7.9113732047065843E-3</v>
      </c>
      <c r="BJ16" s="8">
        <f ca="1">IF(OR(BJ6="",BJ$11&lt;$A16),"",BJ6/OFFSET(ActivosEPAESP!$A$80,MATCH(BJ$12,ActivosEPAESP!$A$80:$A$500)+$A16-1,1)-1)</f>
        <v>-9.7425885580966209E-3</v>
      </c>
      <c r="BK16" s="8">
        <f ca="1">IF(OR(BK6="",BK$11&lt;$A16),"",BK6/OFFSET(ActivosEPAESP!$A$80,MATCH(BK$12,ActivosEPAESP!$A$80:$A$500)+$A16-1,1)-1)</f>
        <v>-4.7611012730267577E-3</v>
      </c>
      <c r="BL16" s="8">
        <f ca="1">IF(OR(BL6="",BL$11&lt;$A16),"",BL6/OFFSET(ActivosEPAESP!$A$80,MATCH(BL$12,ActivosEPAESP!$A$80:$A$500)+$A16-1,1)-1)</f>
        <v>5.6294826300050671E-2</v>
      </c>
      <c r="BM16" s="8">
        <f ca="1">IF(OR(BM6="",BM$11&lt;$A16),"",BM6/OFFSET(ActivosEPAESP!$A$80,MATCH(BM$12,ActivosEPAESP!$A$80:$A$500)+$A16-1,1)-1)</f>
        <v>1.6340970225955376E-2</v>
      </c>
      <c r="BN16" s="8">
        <f ca="1">IF(OR(BN6="",BN$11&lt;$A16),"",BN6/OFFSET(ActivosEPAESP!$A$80,MATCH(BN$12,ActivosEPAESP!$A$80:$A$500)+$A16-1,1)-1)</f>
        <v>1.4131396860582512E-2</v>
      </c>
      <c r="BO16" s="8" t="str">
        <f ca="1">IF(OR(BO6="",BO$11&lt;$A16),"",BO6/OFFSET(ActivosEPAESP!$A$80,MATCH(BO$12,ActivosEPAESP!$A$80:$A$500)+$A16-1,1)-1)</f>
        <v/>
      </c>
      <c r="BP16" s="8" t="str">
        <f ca="1">IF(OR(BP6="",BP$11&lt;$A16),"",BP6/OFFSET(ActivosEPAESP!$A$80,MATCH(BP$12,ActivosEPAESP!$A$80:$A$500)+$A16-1,1)-1)</f>
        <v/>
      </c>
      <c r="BQ16" s="8" t="str">
        <f ca="1">IF(OR(BQ6="",BQ$11&lt;$A16),"",BQ6/OFFSET(ActivosEPAESP!$A$80,MATCH(BQ$12,ActivosEPAESP!$A$80:$A$500)+$A16-1,1)-1)</f>
        <v/>
      </c>
      <c r="BR16" s="8" t="str">
        <f ca="1">IF(OR(BR6="",BR$11&lt;$A16),"",BR6/OFFSET(ActivosEPAESP!$A$80,MATCH(BR$12,ActivosEPAESP!$A$80:$A$500)+$A16-1,1)-1)</f>
        <v/>
      </c>
      <c r="BS16" s="8" t="str">
        <f ca="1">IF(OR(BS6="",BS$11&lt;$A16),"",BS6/OFFSET(ActivosEPAESP!$A$80,MATCH(BS$12,ActivosEPAESP!$A$80:$A$500)+$A16-1,1)-1)</f>
        <v/>
      </c>
      <c r="BT16" s="8" t="str">
        <f ca="1">IF(OR(BT6="",BT$11&lt;$A16),"",BT6/OFFSET(ActivosEPAESP!$A$80,MATCH(BT$12,ActivosEPAESP!$A$80:$A$500)+$A16-1,1)-1)</f>
        <v/>
      </c>
      <c r="BU16" s="8" t="str">
        <f ca="1">IF(OR(BU6="",BU$11&lt;$A16),"",BU6/OFFSET(ActivosEPAESP!$A$80,MATCH(BU$12,ActivosEPAESP!$A$80:$A$500)+$A16-1,1)-1)</f>
        <v/>
      </c>
      <c r="BV16" s="8" t="str">
        <f ca="1">IF(OR(BV6="",BV$11&lt;$A16),"",BV6/OFFSET(ActivosEPAESP!$A$80,MATCH(BV$12,ActivosEPAESP!$A$80:$A$500)+$A16-1,1)-1)</f>
        <v/>
      </c>
      <c r="BW16" s="8" t="str">
        <f ca="1">IF(OR(BW6="",BW$11&lt;$A16),"",BW6/OFFSET(ActivosEPAESP!$A$80,MATCH(BW$12,ActivosEPAESP!$A$80:$A$500)+$A16-1,1)-1)</f>
        <v/>
      </c>
      <c r="BX16" s="8" t="str">
        <f ca="1">IF(OR(BX6="",BX$11&lt;$A16),"",BX6/OFFSET(ActivosEPAESP!$A$80,MATCH(BX$12,ActivosEPAESP!$A$80:$A$500)+$A16-1,1)-1)</f>
        <v/>
      </c>
      <c r="BY16" s="8" t="str">
        <f ca="1">IF(OR(BY6="",BY$11&lt;$A16),"",BY6/OFFSET(ActivosEPAESP!$A$80,MATCH(BY$12,ActivosEPAESP!$A$80:$A$500)+$A16-1,1)-1)</f>
        <v/>
      </c>
      <c r="BZ16" s="8" t="str">
        <f ca="1">IF(OR(BZ6="",BZ$11&lt;$A16),"",BZ6/OFFSET(ActivosEPAESP!$A$80,MATCH(BZ$12,ActivosEPAESP!$A$80:$A$500)+$A16-1,1)-1)</f>
        <v/>
      </c>
      <c r="CA16" s="8" t="str">
        <f ca="1">IF(OR(CA6="",CA$11&lt;$A16),"",CA6/OFFSET(ActivosEPAESP!$A$80,MATCH(CA$12,ActivosEPAESP!$A$80:$A$500)+$A16-1,1)-1)</f>
        <v/>
      </c>
      <c r="CB16" s="8" t="str">
        <f ca="1">IF(OR(CB6="",CB$11&lt;$A16),"",CB6/OFFSET(ActivosEPAESP!$A$80,MATCH(CB$12,ActivosEPAESP!$A$80:$A$500)+$A16-1,1)-1)</f>
        <v/>
      </c>
      <c r="CC16" s="8" t="str">
        <f ca="1">IF(OR(CC6="",CC$11&lt;$A16),"",CC6/OFFSET(ActivosEPAESP!$A$80,MATCH(CC$12,ActivosEPAESP!$A$80:$A$500)+$A16-1,1)-1)</f>
        <v/>
      </c>
      <c r="CD16" s="8" t="str">
        <f ca="1">IF(OR(CD6="",CD$11&lt;$A16),"",CD6/OFFSET(ActivosEPAESP!$A$80,MATCH(CD$12,ActivosEPAESP!$A$80:$A$500)+$A16-1,1)-1)</f>
        <v/>
      </c>
      <c r="CE16" s="8" t="str">
        <f ca="1">IF(OR(CE6="",CE$11&lt;$A16),"",CE6/OFFSET(ActivosEPAESP!$A$80,MATCH(CE$12,ActivosEPAESP!$A$80:$A$500)+$A16-1,1)-1)</f>
        <v/>
      </c>
      <c r="CF16" s="8" t="str">
        <f ca="1">IF(OR(CF6="",CF$11&lt;$A16),"",CF6/OFFSET(ActivosEPAESP!$A$80,MATCH(CF$12,ActivosEPAESP!$A$80:$A$500)+$A16-1,1)-1)</f>
        <v/>
      </c>
      <c r="CG16" s="8" t="str">
        <f ca="1">IF(OR(CG6="",CG$11&lt;$A16),"",CG6/OFFSET(ActivosEPAESP!$A$80,MATCH(CG$12,ActivosEPAESP!$A$80:$A$500)+$A16-1,1)-1)</f>
        <v/>
      </c>
      <c r="CH16" s="8" t="str">
        <f ca="1">IF(OR(CH6="",CH$11&lt;$A16),"",CH6/OFFSET(ActivosEPAESP!$A$80,MATCH(CH$12,ActivosEPAESP!$A$80:$A$500)+$A16-1,1)-1)</f>
        <v/>
      </c>
      <c r="CI16" s="8" t="str">
        <f ca="1">IF(OR(CI6="",CI$11&lt;$A16),"",CI6/OFFSET(ActivosEPAESP!$A$80,MATCH(CI$12,ActivosEPAESP!$A$80:$A$500)+$A16-1,1)-1)</f>
        <v/>
      </c>
      <c r="CJ16" s="8" t="str">
        <f ca="1">IF(OR(CJ6="",CJ$11&lt;$A16),"",CJ6/OFFSET(ActivosEPAESP!$A$80,MATCH(CJ$12,ActivosEPAESP!$A$80:$A$500)+$A16-1,1)-1)</f>
        <v/>
      </c>
      <c r="CK16" s="8" t="str">
        <f ca="1">IF(OR(CK6="",CK$11&lt;$A16),"",CK6/OFFSET(ActivosEPAESP!$A$80,MATCH(CK$12,ActivosEPAESP!$A$80:$A$500)+$A16-1,1)-1)</f>
        <v/>
      </c>
      <c r="CL16" s="8" t="str">
        <f ca="1">IF(OR(CL6="",CL$11&lt;$A16),"",CL6/OFFSET(ActivosEPAESP!$A$80,MATCH(CL$12,ActivosEPAESP!$A$80:$A$500)+$A16-1,1)-1)</f>
        <v/>
      </c>
      <c r="CM16" s="8" t="str">
        <f ca="1">IF(OR(CM6="",CM$11&lt;$A16),"",CM6/OFFSET(ActivosEPAESP!$A$80,MATCH(CM$12,ActivosEPAESP!$A$80:$A$500)+$A16-1,1)-1)</f>
        <v/>
      </c>
      <c r="CN16" s="8" t="str">
        <f ca="1">IF(OR(CN6="",CN$11&lt;$A16),"",CN6/OFFSET(ActivosEPAESP!$A$80,MATCH(CN$12,ActivosEPAESP!$A$80:$A$500)+$A16-1,1)-1)</f>
        <v/>
      </c>
      <c r="CO16" s="8" t="str">
        <f ca="1">IF(OR(CO6="",CO$11&lt;$A16),"",CO6/OFFSET(ActivosEPAESP!$A$80,MATCH(CO$12,ActivosEPAESP!$A$80:$A$500)+$A16-1,1)-1)</f>
        <v/>
      </c>
      <c r="CP16" s="8" t="str">
        <f ca="1">IF(OR(CP6="",CP$11&lt;$A16),"",CP6/OFFSET(ActivosEPAESP!$A$80,MATCH(CP$12,ActivosEPAESP!$A$80:$A$500)+$A16-1,1)-1)</f>
        <v/>
      </c>
      <c r="CQ16" s="8" t="str">
        <f ca="1">IF(OR(CQ6="",CQ$11&lt;$A16),"",CQ6/OFFSET(ActivosEPAESP!$A$80,MATCH(CQ$12,ActivosEPAESP!$A$80:$A$500)+$A16-1,1)-1)</f>
        <v/>
      </c>
      <c r="CR16" s="8" t="str">
        <f ca="1">IF(OR(CR6="",CR$11&lt;$A16),"",CR6/OFFSET(ActivosEPAESP!$A$80,MATCH(CR$12,ActivosEPAESP!$A$80:$A$500)+$A16-1,1)-1)</f>
        <v/>
      </c>
      <c r="CS16" s="8" t="str">
        <f ca="1">IF(OR(CS6="",CS$11&lt;$A16),"",CS6/OFFSET(ActivosEPAESP!$A$80,MATCH(CS$12,ActivosEPAESP!$A$80:$A$500)+$A16-1,1)-1)</f>
        <v/>
      </c>
      <c r="CT16" s="8" t="str">
        <f ca="1">IF(OR(CT6="",CT$11&lt;$A16),"",CT6/OFFSET(ActivosEPAESP!$A$80,MATCH(CT$12,ActivosEPAESP!$A$80:$A$500)+$A16-1,1)-1)</f>
        <v/>
      </c>
      <c r="CU16" s="8" t="str">
        <f ca="1">IF(OR(CU6="",CU$11&lt;$A16),"",CU6/OFFSET(ActivosEPAESP!$A$80,MATCH(CU$12,ActivosEPAESP!$A$80:$A$500)+$A16-1,1)-1)</f>
        <v/>
      </c>
      <c r="CV16" s="8" t="str">
        <f ca="1">IF(OR(CV6="",CV$11&lt;$A16),"",CV6/OFFSET(ActivosEPAESP!$A$80,MATCH(CV$12,ActivosEPAESP!$A$80:$A$500)+$A16-1,1)-1)</f>
        <v/>
      </c>
      <c r="CW16" s="8" t="str">
        <f ca="1">IF(OR(CW6="",CW$11&lt;$A16),"",CW6/OFFSET(ActivosEPAESP!$A$80,MATCH(CW$12,ActivosEPAESP!$A$80:$A$500)+$A16-1,1)-1)</f>
        <v/>
      </c>
      <c r="CX16" s="8" t="str">
        <f ca="1">IF(OR(CX6="",CX$11&lt;$A16),"",CX6/OFFSET(ActivosEPAESP!$A$80,MATCH(CX$12,ActivosEPAESP!$A$80:$A$500)+$A16-1,1)-1)</f>
        <v/>
      </c>
      <c r="CY16" s="8" t="str">
        <f ca="1">IF(OR(CY6="",CY$11&lt;$A16),"",CY6/OFFSET(ActivosEPAESP!$A$80,MATCH(CY$12,ActivosEPAESP!$A$80:$A$500)+$A16-1,1)-1)</f>
        <v/>
      </c>
      <c r="CZ16" s="8" t="str">
        <f ca="1">IF(OR(CZ6="",CZ$11&lt;$A16),"",CZ6/OFFSET(ActivosEPAESP!$A$80,MATCH(CZ$12,ActivosEPAESP!$A$80:$A$500)+$A16-1,1)-1)</f>
        <v/>
      </c>
      <c r="DA16" s="8" t="str">
        <f ca="1">IF(OR(DA6="",DA$11&lt;$A16),"",DA6/OFFSET(ActivosEPAESP!$A$80,MATCH(DA$12,ActivosEPAESP!$A$80:$A$500)+$A16-1,1)-1)</f>
        <v/>
      </c>
      <c r="DB16" s="8" t="str">
        <f ca="1">IF(OR(DB6="",DB$11&lt;$A16),"",DB6/OFFSET(ActivosEPAESP!$A$80,MATCH(DB$12,ActivosEPAESP!$A$80:$A$500)+$A16-1,1)-1)</f>
        <v/>
      </c>
      <c r="DC16" s="8" t="str">
        <f ca="1">IF(OR(DC6="",DC$11&lt;$A16),"",DC6/OFFSET(ActivosEPAESP!$A$80,MATCH(DC$12,ActivosEPAESP!$A$80:$A$500)+$A16-1,1)-1)</f>
        <v/>
      </c>
      <c r="DD16" s="8" t="str">
        <f ca="1">IF(OR(DD6="",DD$11&lt;$A16),"",DD6/OFFSET(ActivosEPAESP!$A$80,MATCH(DD$12,ActivosEPAESP!$A$80:$A$500)+$A16-1,1)-1)</f>
        <v/>
      </c>
      <c r="DE16" s="8" t="str">
        <f ca="1">IF(OR(DE6="",DE$11&lt;$A16),"",DE6/OFFSET(ActivosEPAESP!$A$80,MATCH(DE$12,ActivosEPAESP!$A$80:$A$500)+$A16-1,1)-1)</f>
        <v/>
      </c>
      <c r="DF16" s="8" t="str">
        <f ca="1">IF(OR(DF6="",DF$11&lt;$A16),"",DF6/OFFSET(ActivosEPAESP!$A$80,MATCH(DF$12,ActivosEPAESP!$A$80:$A$500)+$A16-1,1)-1)</f>
        <v/>
      </c>
      <c r="DG16" s="8" t="str">
        <f ca="1">IF(OR(DG6="",DG$11&lt;$A16),"",DG6/OFFSET(ActivosEPAESP!$A$80,MATCH(DG$12,ActivosEPAESP!$A$80:$A$500)+$A16-1,1)-1)</f>
        <v/>
      </c>
      <c r="DH16" s="8" t="str">
        <f ca="1">IF(OR(DH6="",DH$11&lt;$A16),"",DH6/OFFSET(ActivosEPAESP!$A$80,MATCH(DH$12,ActivosEPAESP!$A$80:$A$500)+$A16-1,1)-1)</f>
        <v/>
      </c>
      <c r="DI16" s="8" t="str">
        <f ca="1">IF(OR(DI6="",DI$11&lt;$A16),"",DI6/OFFSET(ActivosEPAESP!$A$80,MATCH(DI$12,ActivosEPAESP!$A$80:$A$500)+$A16-1,1)-1)</f>
        <v/>
      </c>
      <c r="DJ16" s="8" t="str">
        <f ca="1">IF(OR(DJ6="",DJ$11&lt;$A16),"",DJ6/OFFSET(ActivosEPAESP!$A$80,MATCH(DJ$12,ActivosEPAESP!$A$80:$A$500)+$A16-1,1)-1)</f>
        <v/>
      </c>
      <c r="DK16" s="8" t="str">
        <f ca="1">IF(OR(DK6="",DK$11&lt;$A16),"",DK6/OFFSET(ActivosEPAESP!$A$80,MATCH(DK$12,ActivosEPAESP!$A$80:$A$500)+$A16-1,1)-1)</f>
        <v/>
      </c>
      <c r="DL16" s="8" t="str">
        <f ca="1">IF(OR(DL6="",DL$11&lt;$A16),"",DL6/OFFSET(ActivosEPAESP!$A$80,MATCH(DL$12,ActivosEPAESP!$A$80:$A$500)+$A16-1,1)-1)</f>
        <v/>
      </c>
      <c r="DM16" s="8" t="str">
        <f ca="1">IF(OR(DM6="",DM$11&lt;$A16),"",DM6/OFFSET(ActivosEPAESP!$A$80,MATCH(DM$12,ActivosEPAESP!$A$80:$A$500)+$A16-1,1)-1)</f>
        <v/>
      </c>
      <c r="DN16" s="8" t="str">
        <f ca="1">IF(OR(DN6="",DN$11&lt;$A16),"",DN6/OFFSET(ActivosEPAESP!$A$80,MATCH(DN$12,ActivosEPAESP!$A$80:$A$500)+$A16-1,1)-1)</f>
        <v/>
      </c>
      <c r="DO16" s="8" t="str">
        <f ca="1">IF(OR(DO6="",DO$11&lt;$A16),"",DO6/OFFSET(ActivosEPAESP!$A$80,MATCH(DO$12,ActivosEPAESP!$A$80:$A$500)+$A16-1,1)-1)</f>
        <v/>
      </c>
      <c r="DP16" s="8" t="str">
        <f ca="1">IF(OR(DP6="",DP$11&lt;$A16),"",DP6/OFFSET(ActivosEPAESP!$A$80,MATCH(DP$12,ActivosEPAESP!$A$80:$A$500)+$A16-1,1)-1)</f>
        <v/>
      </c>
      <c r="DQ16" s="8" t="str">
        <f ca="1">IF(OR(DQ6="",DQ$11&lt;$A16),"",DQ6/OFFSET(ActivosEPAESP!$A$80,MATCH(DQ$12,ActivosEPAESP!$A$80:$A$500)+$A16-1,1)-1)</f>
        <v/>
      </c>
      <c r="DR16" s="8" t="str">
        <f ca="1">IF(OR(DR6="",DR$11&lt;$A16),"",DR6/OFFSET(ActivosEPAESP!$A$80,MATCH(DR$12,ActivosEPAESP!$A$80:$A$500)+$A16-1,1)-1)</f>
        <v/>
      </c>
      <c r="DS16" s="12">
        <f t="shared" ca="1" si="51"/>
        <v>-6.3159914825810278E-4</v>
      </c>
      <c r="DT16" s="12">
        <f t="shared" ca="1" si="52"/>
        <v>-4.4922505515354039E-3</v>
      </c>
      <c r="DU16" s="13">
        <f t="shared" ca="1" si="53"/>
        <v>1.8262933522688953E-4</v>
      </c>
      <c r="DV16" s="15">
        <f t="shared" ca="1" si="56"/>
        <v>1.3514042149811785E-2</v>
      </c>
      <c r="DW16" s="14" t="str">
        <f t="shared" ca="1" si="54"/>
        <v>[ -2,77% ; 2,64% ]</v>
      </c>
      <c r="DX16" s="15">
        <f t="shared" ca="1" si="55"/>
        <v>1.7297973951759086E-2</v>
      </c>
      <c r="GI16" s="1"/>
    </row>
    <row r="17" spans="1:191" hidden="1" x14ac:dyDescent="0.25">
      <c r="A17" s="4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12"/>
      <c r="DT17" s="12"/>
      <c r="DU17" s="13"/>
      <c r="DV17" s="15"/>
      <c r="DW17" s="14"/>
      <c r="DX17" s="15"/>
      <c r="GI17" s="1"/>
    </row>
    <row r="18" spans="1:191" hidden="1" x14ac:dyDescent="0.25">
      <c r="A18" s="4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12"/>
      <c r="DT18" s="12"/>
      <c r="DU18" s="13"/>
      <c r="DV18" s="15"/>
      <c r="DW18" s="14"/>
      <c r="DX18" s="15"/>
      <c r="GI18" s="1"/>
    </row>
    <row r="19" spans="1:191" hidden="1" x14ac:dyDescent="0.25">
      <c r="A19" s="4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12"/>
      <c r="DT19" s="12"/>
      <c r="DU19" s="13"/>
      <c r="DV19" s="15"/>
      <c r="DW19" s="14"/>
      <c r="DX19" s="15"/>
      <c r="GI19" s="1"/>
    </row>
    <row r="20" spans="1:191" hidden="1" x14ac:dyDescent="0.25">
      <c r="A20" s="4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12"/>
      <c r="DT20" s="12"/>
      <c r="DU20" s="13"/>
      <c r="DV20" s="15"/>
      <c r="DW20" s="14"/>
      <c r="DX20" s="15"/>
      <c r="GI20" s="1"/>
    </row>
    <row r="21" spans="1:191" ht="15.75" x14ac:dyDescent="0.25">
      <c r="A21" s="3" t="s">
        <v>1</v>
      </c>
      <c r="B21" s="7">
        <v>37986</v>
      </c>
      <c r="C21" s="7">
        <v>38077</v>
      </c>
      <c r="D21" s="7">
        <v>38168</v>
      </c>
      <c r="E21" s="7">
        <v>38260</v>
      </c>
      <c r="F21" s="7">
        <v>38352</v>
      </c>
      <c r="G21" s="7">
        <v>38442</v>
      </c>
      <c r="H21" s="7">
        <v>38533</v>
      </c>
      <c r="I21" s="7">
        <v>38625</v>
      </c>
      <c r="J21" s="7">
        <v>38717</v>
      </c>
      <c r="K21" s="7">
        <v>38807</v>
      </c>
      <c r="L21" s="7">
        <v>38898</v>
      </c>
      <c r="M21" s="7">
        <v>38990</v>
      </c>
      <c r="N21" s="7">
        <v>39082</v>
      </c>
      <c r="O21" s="7">
        <v>39172</v>
      </c>
      <c r="P21" s="7">
        <v>39263</v>
      </c>
      <c r="Q21" s="7">
        <v>39355</v>
      </c>
      <c r="R21" s="7">
        <v>39447</v>
      </c>
      <c r="S21" s="7">
        <v>39538</v>
      </c>
      <c r="T21" s="7">
        <v>39629</v>
      </c>
      <c r="U21" s="7">
        <v>39721</v>
      </c>
      <c r="V21" s="7">
        <v>39813</v>
      </c>
      <c r="W21" s="7">
        <v>39903</v>
      </c>
      <c r="X21" s="7">
        <v>39994</v>
      </c>
      <c r="Y21" s="7">
        <v>40086</v>
      </c>
      <c r="Z21" s="7">
        <v>40178</v>
      </c>
      <c r="AA21" s="7">
        <v>40268</v>
      </c>
      <c r="AB21" s="7">
        <v>40359</v>
      </c>
      <c r="AC21" s="7">
        <v>40451</v>
      </c>
      <c r="AD21" s="7">
        <v>40543</v>
      </c>
      <c r="AE21" s="7">
        <v>40633</v>
      </c>
      <c r="AF21" s="7">
        <v>40724</v>
      </c>
      <c r="AG21" s="7">
        <v>40816</v>
      </c>
      <c r="AH21" s="7">
        <v>40908</v>
      </c>
      <c r="AI21" s="7">
        <v>40999</v>
      </c>
      <c r="AJ21" s="7">
        <v>41090</v>
      </c>
      <c r="AK21" s="7">
        <v>41182</v>
      </c>
      <c r="AL21" s="7">
        <v>41274</v>
      </c>
      <c r="AM21" s="7">
        <v>41364</v>
      </c>
      <c r="AN21" s="7">
        <v>41455</v>
      </c>
      <c r="AO21" s="7">
        <v>41547</v>
      </c>
      <c r="AP21" s="7">
        <v>41639</v>
      </c>
      <c r="AQ21" s="7">
        <v>41729</v>
      </c>
      <c r="AR21" s="7">
        <v>41820</v>
      </c>
      <c r="AS21" s="7">
        <v>41912</v>
      </c>
      <c r="AT21" s="7">
        <v>42004</v>
      </c>
      <c r="AU21" s="7">
        <v>42094</v>
      </c>
      <c r="AV21" s="7">
        <v>42185</v>
      </c>
      <c r="AW21" s="7">
        <v>42277</v>
      </c>
      <c r="AX21" s="7">
        <v>42369</v>
      </c>
      <c r="AY21" s="7">
        <v>42460</v>
      </c>
      <c r="AZ21" s="7">
        <v>42551</v>
      </c>
      <c r="BA21" s="7">
        <v>42643</v>
      </c>
      <c r="BB21" s="7">
        <v>42735</v>
      </c>
      <c r="BC21" s="7">
        <v>42825</v>
      </c>
      <c r="BD21" s="7">
        <v>42916</v>
      </c>
      <c r="BE21" s="7">
        <v>43008</v>
      </c>
      <c r="BF21" s="7">
        <v>43100</v>
      </c>
      <c r="BG21" s="7">
        <v>43190</v>
      </c>
      <c r="BH21" s="7">
        <v>43281</v>
      </c>
      <c r="BI21" s="7">
        <v>43373</v>
      </c>
      <c r="BJ21" s="7">
        <v>43465</v>
      </c>
      <c r="BK21" s="7">
        <v>43555</v>
      </c>
      <c r="BL21" s="7">
        <v>43646</v>
      </c>
      <c r="BM21" s="7">
        <v>43738</v>
      </c>
      <c r="BN21" s="7">
        <v>43830</v>
      </c>
      <c r="BO21" s="7">
        <v>43921</v>
      </c>
      <c r="BP21" s="7">
        <v>44012</v>
      </c>
      <c r="BQ21" s="7">
        <v>44104</v>
      </c>
      <c r="BR21" s="7">
        <v>44196</v>
      </c>
      <c r="BS21" s="7">
        <v>44286</v>
      </c>
      <c r="BT21" s="7">
        <v>44377</v>
      </c>
      <c r="BU21" s="7">
        <v>44469</v>
      </c>
      <c r="BV21" s="7">
        <v>44561</v>
      </c>
      <c r="BW21" s="7">
        <v>44651</v>
      </c>
      <c r="BX21" s="7">
        <v>44742</v>
      </c>
      <c r="BY21" s="7">
        <v>44834</v>
      </c>
      <c r="BZ21" s="7">
        <v>44926</v>
      </c>
      <c r="CA21" s="7">
        <v>45016</v>
      </c>
      <c r="CB21" s="7">
        <v>45107</v>
      </c>
      <c r="CC21" s="7">
        <v>45199</v>
      </c>
      <c r="CD21" s="7">
        <v>45291</v>
      </c>
      <c r="CE21" s="7">
        <v>45382</v>
      </c>
      <c r="CF21" s="7">
        <v>45473</v>
      </c>
      <c r="CG21" s="7">
        <v>45565</v>
      </c>
      <c r="CH21" s="7">
        <v>45657</v>
      </c>
      <c r="CI21" s="7">
        <v>45747</v>
      </c>
      <c r="CJ21" s="7">
        <v>45838</v>
      </c>
      <c r="CK21" s="7">
        <v>45930</v>
      </c>
      <c r="CL21" s="7">
        <v>46022</v>
      </c>
      <c r="CM21" s="7">
        <v>46112</v>
      </c>
      <c r="CN21" s="7">
        <v>46203</v>
      </c>
      <c r="CO21" s="7">
        <v>46295</v>
      </c>
      <c r="CP21" s="7">
        <v>46387</v>
      </c>
      <c r="CQ21" s="7">
        <v>46477</v>
      </c>
      <c r="CR21" s="7">
        <v>46568</v>
      </c>
      <c r="CS21" s="7">
        <v>46660</v>
      </c>
      <c r="CT21" s="7">
        <v>46752</v>
      </c>
      <c r="CU21" s="7">
        <v>46843</v>
      </c>
      <c r="CV21" s="7">
        <v>46934</v>
      </c>
      <c r="CW21" s="7">
        <v>47026</v>
      </c>
      <c r="CX21" s="7">
        <v>47118</v>
      </c>
      <c r="CY21" s="7">
        <v>47208</v>
      </c>
      <c r="CZ21" s="7">
        <v>47299</v>
      </c>
      <c r="DA21" s="7">
        <v>47391</v>
      </c>
      <c r="DB21" s="7">
        <v>47483</v>
      </c>
      <c r="DC21" s="7">
        <v>47573</v>
      </c>
      <c r="DD21" s="7">
        <v>47664</v>
      </c>
      <c r="DE21" s="7">
        <v>47756</v>
      </c>
      <c r="DF21" s="7">
        <v>47848</v>
      </c>
      <c r="DG21" s="7">
        <v>47938</v>
      </c>
      <c r="DH21" s="7">
        <v>48029</v>
      </c>
      <c r="DI21" s="7">
        <v>48121</v>
      </c>
      <c r="DJ21" s="7">
        <v>48213</v>
      </c>
      <c r="DK21" s="7">
        <v>48304</v>
      </c>
      <c r="DL21" s="7">
        <v>48395</v>
      </c>
      <c r="DM21" s="7">
        <v>48487</v>
      </c>
      <c r="DN21" s="7">
        <v>48579</v>
      </c>
      <c r="DO21" s="7">
        <v>48669</v>
      </c>
      <c r="DP21" s="7">
        <v>48760</v>
      </c>
      <c r="DQ21" s="7">
        <v>48852</v>
      </c>
      <c r="DR21" s="7">
        <v>48944</v>
      </c>
      <c r="DS21" s="9" t="s">
        <v>2</v>
      </c>
      <c r="DT21" s="10" t="s">
        <v>3</v>
      </c>
      <c r="DU21" s="9" t="s">
        <v>4</v>
      </c>
      <c r="DV21" s="11" t="s">
        <v>5</v>
      </c>
      <c r="DW21" s="9" t="s">
        <v>6</v>
      </c>
      <c r="DX21" s="16"/>
      <c r="GI21" s="1"/>
    </row>
    <row r="22" spans="1:191" x14ac:dyDescent="0.25">
      <c r="A22" s="4">
        <v>1</v>
      </c>
      <c r="B22" s="8">
        <f t="shared" ref="B22:BM25" ca="1" si="57">IF(B13="","",ABS(B13))</f>
        <v>4.7134863070903421E-3</v>
      </c>
      <c r="C22" s="8">
        <f t="shared" ca="1" si="57"/>
        <v>1.6786587475051684E-3</v>
      </c>
      <c r="D22" s="8">
        <f t="shared" ca="1" si="57"/>
        <v>7.083167782195865E-4</v>
      </c>
      <c r="E22" s="8">
        <f t="shared" ca="1" si="57"/>
        <v>2.5267253381944244E-3</v>
      </c>
      <c r="F22" s="8">
        <f t="shared" ca="1" si="57"/>
        <v>2.8824649641558953E-3</v>
      </c>
      <c r="G22" s="8">
        <f t="shared" ca="1" si="57"/>
        <v>4.4839311414003324E-3</v>
      </c>
      <c r="H22" s="8">
        <f t="shared" ca="1" si="57"/>
        <v>9.002683769932629E-3</v>
      </c>
      <c r="I22" s="8">
        <f t="shared" ca="1" si="57"/>
        <v>2.5740922670991484E-4</v>
      </c>
      <c r="J22" s="8">
        <f t="shared" ca="1" si="57"/>
        <v>2.2433875260263747E-4</v>
      </c>
      <c r="K22" s="8">
        <f t="shared" ca="1" si="57"/>
        <v>1.1584095837825492E-3</v>
      </c>
      <c r="L22" s="8">
        <f t="shared" ca="1" si="57"/>
        <v>3.3444762416057205E-3</v>
      </c>
      <c r="M22" s="8">
        <f t="shared" ca="1" si="57"/>
        <v>8.5155605237807741E-4</v>
      </c>
      <c r="N22" s="8">
        <f t="shared" ca="1" si="57"/>
        <v>1.2834981453200278E-3</v>
      </c>
      <c r="O22" s="8">
        <f t="shared" ca="1" si="57"/>
        <v>1.8442904444633257E-3</v>
      </c>
      <c r="P22" s="8">
        <f t="shared" ca="1" si="57"/>
        <v>6.58662127250631E-4</v>
      </c>
      <c r="Q22" s="8">
        <f t="shared" ca="1" si="57"/>
        <v>2.7632578594196655E-3</v>
      </c>
      <c r="R22" s="8">
        <f t="shared" ca="1" si="57"/>
        <v>9.1049963421274693E-4</v>
      </c>
      <c r="S22" s="8">
        <f t="shared" ca="1" si="57"/>
        <v>1.3854996867178615E-3</v>
      </c>
      <c r="T22" s="8">
        <f t="shared" ca="1" si="57"/>
        <v>3.0154458894366964E-3</v>
      </c>
      <c r="U22" s="8">
        <f t="shared" ca="1" si="57"/>
        <v>1.1510362550350983E-3</v>
      </c>
      <c r="V22" s="8">
        <f t="shared" ca="1" si="57"/>
        <v>3.8613950272723407E-3</v>
      </c>
      <c r="W22" s="8">
        <f t="shared" ca="1" si="57"/>
        <v>7.5229416881552602E-3</v>
      </c>
      <c r="X22" s="8">
        <f t="shared" ca="1" si="57"/>
        <v>8.3188798826621113E-3</v>
      </c>
      <c r="Y22" s="8">
        <f t="shared" ca="1" si="57"/>
        <v>8.6203034230769582E-4</v>
      </c>
      <c r="Z22" s="8">
        <f t="shared" ca="1" si="57"/>
        <v>1.2455781763297535E-3</v>
      </c>
      <c r="AA22" s="8">
        <f t="shared" ca="1" si="57"/>
        <v>3.1450918985499454E-3</v>
      </c>
      <c r="AB22" s="8">
        <f t="shared" ca="1" si="57"/>
        <v>3.3388582630211605E-3</v>
      </c>
      <c r="AC22" s="8">
        <f t="shared" ca="1" si="57"/>
        <v>3.1317027762385319E-3</v>
      </c>
      <c r="AD22" s="8">
        <f t="shared" ca="1" si="57"/>
        <v>2.2087632047758099E-3</v>
      </c>
      <c r="AE22" s="8">
        <f t="shared" ca="1" si="57"/>
        <v>2.7136332440086397E-3</v>
      </c>
      <c r="AF22" s="8">
        <f t="shared" ca="1" si="57"/>
        <v>8.0484675567427111E-4</v>
      </c>
      <c r="AG22" s="8">
        <f t="shared" ca="1" si="57"/>
        <v>2.6821194791679659E-3</v>
      </c>
      <c r="AH22" s="8">
        <f t="shared" ca="1" si="57"/>
        <v>7.6169461141306627E-5</v>
      </c>
      <c r="AI22" s="8">
        <f t="shared" ca="1" si="57"/>
        <v>2.1911172242972121E-4</v>
      </c>
      <c r="AJ22" s="8">
        <f t="shared" ca="1" si="57"/>
        <v>2.4118019534213886E-4</v>
      </c>
      <c r="AK22" s="8">
        <f t="shared" ca="1" si="57"/>
        <v>4.8106506064875543E-3</v>
      </c>
      <c r="AL22" s="8">
        <f t="shared" ca="1" si="57"/>
        <v>3.221305840002131E-4</v>
      </c>
      <c r="AM22" s="8">
        <f t="shared" ca="1" si="57"/>
        <v>5.4360464784843909E-3</v>
      </c>
      <c r="AN22" s="8">
        <f t="shared" ca="1" si="57"/>
        <v>1.724949465691572E-3</v>
      </c>
      <c r="AO22" s="8">
        <f t="shared" ca="1" si="57"/>
        <v>5.0517535470095964E-4</v>
      </c>
      <c r="AP22" s="8">
        <f t="shared" ca="1" si="57"/>
        <v>4.9453090286304402E-3</v>
      </c>
      <c r="AQ22" s="8">
        <f t="shared" ca="1" si="57"/>
        <v>7.1323785413247576E-3</v>
      </c>
      <c r="AR22" s="8">
        <f t="shared" ca="1" si="57"/>
        <v>4.2226814748413943E-5</v>
      </c>
      <c r="AS22" s="8">
        <f t="shared" ca="1" si="57"/>
        <v>8.3079984659408801E-3</v>
      </c>
      <c r="AT22" s="8">
        <f t="shared" ca="1" si="57"/>
        <v>4.2683765548834351E-3</v>
      </c>
      <c r="AU22" s="8">
        <f t="shared" ca="1" si="57"/>
        <v>5.6079735075278414E-3</v>
      </c>
      <c r="AV22" s="8">
        <f t="shared" ca="1" si="57"/>
        <v>4.4451131096603369E-3</v>
      </c>
      <c r="AW22" s="8">
        <f t="shared" ca="1" si="57"/>
        <v>8.7974486793596096E-4</v>
      </c>
      <c r="AX22" s="8">
        <f t="shared" ca="1" si="57"/>
        <v>1.4602331093496179E-3</v>
      </c>
      <c r="AY22" s="8">
        <f t="shared" ca="1" si="57"/>
        <v>7.4995153606316478E-4</v>
      </c>
      <c r="AZ22" s="8">
        <f t="shared" ca="1" si="57"/>
        <v>6.4619382480424203E-4</v>
      </c>
      <c r="BA22" s="8">
        <f t="shared" ca="1" si="57"/>
        <v>3.233831791547459E-3</v>
      </c>
      <c r="BB22" s="8">
        <f t="shared" ca="1" si="57"/>
        <v>1.343944299616151E-3</v>
      </c>
      <c r="BC22" s="8">
        <f t="shared" ca="1" si="57"/>
        <v>2.0158009816695355E-5</v>
      </c>
      <c r="BD22" s="8">
        <f t="shared" ca="1" si="57"/>
        <v>4.2933184734551544E-3</v>
      </c>
      <c r="BE22" s="8">
        <f t="shared" ca="1" si="57"/>
        <v>6.524462781168916E-4</v>
      </c>
      <c r="BF22" s="8">
        <f t="shared" ca="1" si="57"/>
        <v>2.1357872147929058E-3</v>
      </c>
      <c r="BG22" s="8">
        <f t="shared" ca="1" si="57"/>
        <v>5.3992290314475166E-3</v>
      </c>
      <c r="BH22" s="8">
        <f t="shared" ca="1" si="57"/>
        <v>3.6481143518940495E-4</v>
      </c>
      <c r="BI22" s="8">
        <f t="shared" ca="1" si="57"/>
        <v>9.7123648874086754E-4</v>
      </c>
      <c r="BJ22" s="8">
        <f t="shared" ca="1" si="57"/>
        <v>2.4678664278909856E-4</v>
      </c>
      <c r="BK22" s="8">
        <f t="shared" ca="1" si="57"/>
        <v>5.1311889593095295E-3</v>
      </c>
      <c r="BL22" s="8">
        <f t="shared" ca="1" si="57"/>
        <v>3.7694951128652843E-4</v>
      </c>
      <c r="BM22" s="8">
        <f t="shared" ca="1" si="57"/>
        <v>1.9601973280923835E-3</v>
      </c>
      <c r="BN22" s="8">
        <f t="shared" ref="BN22:BU24" ca="1" si="58">IF(BN13="","",ABS(BN13))</f>
        <v>7.2011155304245733E-3</v>
      </c>
      <c r="BO22" s="8">
        <f t="shared" ca="1" si="58"/>
        <v>5.1364920134440606E-2</v>
      </c>
      <c r="BP22" s="8">
        <f t="shared" ca="1" si="58"/>
        <v>4.7169224594562076E-2</v>
      </c>
      <c r="BQ22" s="8">
        <f t="shared" ca="1" si="58"/>
        <v>1.3138607353387344E-2</v>
      </c>
      <c r="BR22" s="8" t="str">
        <f t="shared" ca="1" si="58"/>
        <v/>
      </c>
      <c r="BS22" s="8" t="str">
        <f t="shared" ca="1" si="58"/>
        <v/>
      </c>
      <c r="BT22" s="8" t="str">
        <f t="shared" ca="1" si="58"/>
        <v/>
      </c>
      <c r="BU22" s="8" t="str">
        <f t="shared" ca="1" si="58"/>
        <v/>
      </c>
      <c r="BV22" s="8" t="str">
        <f t="shared" ref="BV22:DR22" ca="1" si="59">IF(BV13="","",ABS(BV13))</f>
        <v/>
      </c>
      <c r="BW22" s="8" t="str">
        <f t="shared" ca="1" si="59"/>
        <v/>
      </c>
      <c r="BX22" s="8" t="str">
        <f t="shared" ca="1" si="59"/>
        <v/>
      </c>
      <c r="BY22" s="8" t="str">
        <f t="shared" ca="1" si="59"/>
        <v/>
      </c>
      <c r="BZ22" s="8" t="str">
        <f t="shared" ca="1" si="59"/>
        <v/>
      </c>
      <c r="CA22" s="8" t="str">
        <f t="shared" ca="1" si="59"/>
        <v/>
      </c>
      <c r="CB22" s="8" t="str">
        <f t="shared" ca="1" si="59"/>
        <v/>
      </c>
      <c r="CC22" s="8" t="str">
        <f t="shared" ca="1" si="59"/>
        <v/>
      </c>
      <c r="CD22" s="8" t="str">
        <f t="shared" ca="1" si="59"/>
        <v/>
      </c>
      <c r="CE22" s="8" t="str">
        <f t="shared" ca="1" si="59"/>
        <v/>
      </c>
      <c r="CF22" s="8" t="str">
        <f t="shared" ca="1" si="59"/>
        <v/>
      </c>
      <c r="CG22" s="8" t="str">
        <f t="shared" ca="1" si="59"/>
        <v/>
      </c>
      <c r="CH22" s="8" t="str">
        <f t="shared" ca="1" si="59"/>
        <v/>
      </c>
      <c r="CI22" s="8" t="str">
        <f t="shared" ca="1" si="59"/>
        <v/>
      </c>
      <c r="CJ22" s="8" t="str">
        <f t="shared" ca="1" si="59"/>
        <v/>
      </c>
      <c r="CK22" s="8" t="str">
        <f t="shared" ca="1" si="59"/>
        <v/>
      </c>
      <c r="CL22" s="8" t="str">
        <f t="shared" ca="1" si="59"/>
        <v/>
      </c>
      <c r="CM22" s="8" t="str">
        <f t="shared" ca="1" si="59"/>
        <v/>
      </c>
      <c r="CN22" s="8" t="str">
        <f t="shared" ca="1" si="59"/>
        <v/>
      </c>
      <c r="CO22" s="8" t="str">
        <f t="shared" ca="1" si="59"/>
        <v/>
      </c>
      <c r="CP22" s="8" t="str">
        <f t="shared" ca="1" si="59"/>
        <v/>
      </c>
      <c r="CQ22" s="8" t="str">
        <f t="shared" ca="1" si="59"/>
        <v/>
      </c>
      <c r="CR22" s="8" t="str">
        <f t="shared" ca="1" si="59"/>
        <v/>
      </c>
      <c r="CS22" s="8" t="str">
        <f t="shared" ca="1" si="59"/>
        <v/>
      </c>
      <c r="CT22" s="8" t="str">
        <f t="shared" ca="1" si="59"/>
        <v/>
      </c>
      <c r="CU22" s="8" t="str">
        <f t="shared" ca="1" si="59"/>
        <v/>
      </c>
      <c r="CV22" s="8" t="str">
        <f t="shared" ca="1" si="59"/>
        <v/>
      </c>
      <c r="CW22" s="8" t="str">
        <f t="shared" ca="1" si="59"/>
        <v/>
      </c>
      <c r="CX22" s="8" t="str">
        <f t="shared" ca="1" si="59"/>
        <v/>
      </c>
      <c r="CY22" s="8" t="str">
        <f t="shared" ca="1" si="59"/>
        <v/>
      </c>
      <c r="CZ22" s="8" t="str">
        <f t="shared" ca="1" si="59"/>
        <v/>
      </c>
      <c r="DA22" s="8" t="str">
        <f t="shared" ca="1" si="59"/>
        <v/>
      </c>
      <c r="DB22" s="8" t="str">
        <f t="shared" ca="1" si="59"/>
        <v/>
      </c>
      <c r="DC22" s="8" t="str">
        <f t="shared" ca="1" si="59"/>
        <v/>
      </c>
      <c r="DD22" s="8" t="str">
        <f t="shared" ca="1" si="59"/>
        <v/>
      </c>
      <c r="DE22" s="8" t="str">
        <f t="shared" ca="1" si="59"/>
        <v/>
      </c>
      <c r="DF22" s="8" t="str">
        <f t="shared" ca="1" si="59"/>
        <v/>
      </c>
      <c r="DG22" s="8" t="str">
        <f t="shared" ca="1" si="59"/>
        <v/>
      </c>
      <c r="DH22" s="8" t="str">
        <f t="shared" ca="1" si="59"/>
        <v/>
      </c>
      <c r="DI22" s="8" t="str">
        <f t="shared" ca="1" si="59"/>
        <v/>
      </c>
      <c r="DJ22" s="8" t="str">
        <f t="shared" ca="1" si="59"/>
        <v/>
      </c>
      <c r="DK22" s="8" t="str">
        <f t="shared" ca="1" si="59"/>
        <v/>
      </c>
      <c r="DL22" s="8" t="str">
        <f t="shared" ca="1" si="59"/>
        <v/>
      </c>
      <c r="DM22" s="8" t="str">
        <f t="shared" ca="1" si="59"/>
        <v/>
      </c>
      <c r="DN22" s="8" t="str">
        <f t="shared" ca="1" si="59"/>
        <v/>
      </c>
      <c r="DO22" s="8" t="str">
        <f t="shared" ca="1" si="59"/>
        <v/>
      </c>
      <c r="DP22" s="8" t="str">
        <f t="shared" ca="1" si="59"/>
        <v/>
      </c>
      <c r="DQ22" s="8" t="str">
        <f t="shared" ca="1" si="59"/>
        <v/>
      </c>
      <c r="DR22" s="8" t="str">
        <f t="shared" ca="1" si="59"/>
        <v/>
      </c>
      <c r="DS22" s="12">
        <f t="shared" ref="DS22:DS25" ca="1" si="60">AVERAGE(OFFSET($B22,0,Inicio-1,1,Amplitud))</f>
        <v>6.1663039915084254E-3</v>
      </c>
      <c r="DT22" s="12">
        <f t="shared" ref="DT22:DT25" ca="1" si="61">MEDIAN(OFFSET($B22,0,Inicio-1,1,Amplitud))</f>
        <v>2.1357872147929058E-3</v>
      </c>
      <c r="DU22" s="13">
        <f t="shared" ref="DU22:DU25" ca="1" si="62">VARP(OFFSET($B22,0,Inicio-1,1,Amplitud))</f>
        <v>1.3728324111538027E-4</v>
      </c>
      <c r="DV22" s="15">
        <f ca="1">SQRT(DU22)</f>
        <v>1.1716793124203409E-2</v>
      </c>
      <c r="DW22" s="14" t="str">
        <f t="shared" ref="DW22:DW25" ca="1" si="63">CONCATENATE("[ ",TEXT(DS22-2*DV22,"0,00%")," ; ",TEXT(DS22+2*DV22,"0,00%")," ]")</f>
        <v>[ -1,73% ; 2,96% ]</v>
      </c>
      <c r="DX22" s="15">
        <f t="shared" ref="DX22:DX25" ca="1" si="64">DV22*DX$12</f>
        <v>1.4997495198980365E-2</v>
      </c>
      <c r="GI22" s="1"/>
    </row>
    <row r="23" spans="1:191" x14ac:dyDescent="0.25">
      <c r="A23" s="4">
        <v>2</v>
      </c>
      <c r="B23" s="8">
        <f t="shared" ca="1" si="57"/>
        <v>4.2145357956697715E-3</v>
      </c>
      <c r="C23" s="8">
        <f t="shared" ca="1" si="57"/>
        <v>1.7193367692529549E-3</v>
      </c>
      <c r="D23" s="8">
        <f t="shared" ca="1" si="57"/>
        <v>1.2587925569631508E-3</v>
      </c>
      <c r="E23" s="8">
        <f t="shared" ca="1" si="57"/>
        <v>6.0617138410244964E-3</v>
      </c>
      <c r="F23" s="8">
        <f t="shared" ca="1" si="57"/>
        <v>7.8902194169659934E-3</v>
      </c>
      <c r="G23" s="8">
        <f t="shared" ca="1" si="57"/>
        <v>4.9674690645402642E-3</v>
      </c>
      <c r="H23" s="8">
        <f t="shared" ca="1" si="57"/>
        <v>9.7922412546422866E-3</v>
      </c>
      <c r="I23" s="8">
        <f t="shared" ca="1" si="57"/>
        <v>9.2546299660556386E-4</v>
      </c>
      <c r="J23" s="8">
        <f t="shared" ca="1" si="57"/>
        <v>1.336632131572868E-3</v>
      </c>
      <c r="K23" s="8">
        <f t="shared" ca="1" si="57"/>
        <v>3.4065574946016142E-3</v>
      </c>
      <c r="L23" s="8">
        <f t="shared" ca="1" si="57"/>
        <v>3.7092145470425386E-3</v>
      </c>
      <c r="M23" s="8">
        <f t="shared" ca="1" si="57"/>
        <v>1.5316655953956371E-4</v>
      </c>
      <c r="N23" s="8">
        <f t="shared" ca="1" si="57"/>
        <v>4.2928302578248978E-4</v>
      </c>
      <c r="O23" s="8">
        <f t="shared" ca="1" si="57"/>
        <v>1.8575744753268619E-3</v>
      </c>
      <c r="P23" s="8">
        <f t="shared" ca="1" si="57"/>
        <v>1.9493553625151705E-3</v>
      </c>
      <c r="Q23" s="8">
        <f t="shared" ca="1" si="57"/>
        <v>2.3489641309486498E-3</v>
      </c>
      <c r="R23" s="8">
        <f t="shared" ca="1" si="57"/>
        <v>1.9754142007084585E-3</v>
      </c>
      <c r="S23" s="8">
        <f t="shared" ca="1" si="57"/>
        <v>2.3548204922294591E-3</v>
      </c>
      <c r="T23" s="8">
        <f t="shared" ca="1" si="57"/>
        <v>4.9790120189718845E-3</v>
      </c>
      <c r="U23" s="8">
        <f t="shared" ca="1" si="57"/>
        <v>5.2195740925884415E-3</v>
      </c>
      <c r="V23" s="8">
        <f t="shared" ca="1" si="57"/>
        <v>1.2551006641236651E-2</v>
      </c>
      <c r="W23" s="8">
        <f t="shared" ca="1" si="57"/>
        <v>1.8134008519249178E-2</v>
      </c>
      <c r="X23" s="8">
        <f t="shared" ca="1" si="57"/>
        <v>1.3277902378504125E-2</v>
      </c>
      <c r="Y23" s="8">
        <f t="shared" ca="1" si="57"/>
        <v>4.523753984675416E-5</v>
      </c>
      <c r="Z23" s="8">
        <f t="shared" ca="1" si="57"/>
        <v>4.8254731912418247E-3</v>
      </c>
      <c r="AA23" s="8">
        <f t="shared" ca="1" si="57"/>
        <v>3.8529294383005119E-4</v>
      </c>
      <c r="AB23" s="8">
        <f t="shared" ca="1" si="57"/>
        <v>7.9373143275993652E-3</v>
      </c>
      <c r="AC23" s="8">
        <f t="shared" ca="1" si="57"/>
        <v>6.3651004085187868E-3</v>
      </c>
      <c r="AD23" s="8">
        <f t="shared" ca="1" si="57"/>
        <v>3.5709769725000839E-5</v>
      </c>
      <c r="AE23" s="8">
        <f t="shared" ca="1" si="57"/>
        <v>3.1169769999158659E-3</v>
      </c>
      <c r="AF23" s="8">
        <f t="shared" ca="1" si="57"/>
        <v>3.9506037094183544E-3</v>
      </c>
      <c r="AG23" s="8">
        <f t="shared" ca="1" si="57"/>
        <v>3.5367583237526645E-3</v>
      </c>
      <c r="AH23" s="8">
        <f t="shared" ca="1" si="57"/>
        <v>3.5835998268174407E-4</v>
      </c>
      <c r="AI23" s="8">
        <f t="shared" ca="1" si="57"/>
        <v>8.8095624680262219E-4</v>
      </c>
      <c r="AJ23" s="8">
        <f t="shared" ca="1" si="57"/>
        <v>4.5424387514447773E-3</v>
      </c>
      <c r="AK23" s="8">
        <f t="shared" ca="1" si="57"/>
        <v>6.6862171626993483E-3</v>
      </c>
      <c r="AL23" s="8">
        <f t="shared" ca="1" si="57"/>
        <v>6.3836354464081868E-3</v>
      </c>
      <c r="AM23" s="8">
        <f t="shared" ca="1" si="57"/>
        <v>5.8857124994704524E-3</v>
      </c>
      <c r="AN23" s="8">
        <f t="shared" ca="1" si="57"/>
        <v>1.6504663027340216E-3</v>
      </c>
      <c r="AO23" s="8">
        <f t="shared" ca="1" si="57"/>
        <v>5.87072527792043E-3</v>
      </c>
      <c r="AP23" s="8">
        <f t="shared" ca="1" si="57"/>
        <v>3.8329303631645661E-4</v>
      </c>
      <c r="AQ23" s="8">
        <f t="shared" ca="1" si="57"/>
        <v>8.4041894498680936E-3</v>
      </c>
      <c r="AR23" s="8">
        <f t="shared" ca="1" si="57"/>
        <v>8.2932415064888021E-3</v>
      </c>
      <c r="AS23" s="8">
        <f t="shared" ca="1" si="57"/>
        <v>6.7755377628736513E-3</v>
      </c>
      <c r="AT23" s="8">
        <f t="shared" ca="1" si="57"/>
        <v>1.6685248739212177E-4</v>
      </c>
      <c r="AU23" s="8">
        <f t="shared" ca="1" si="57"/>
        <v>2.0122988211909165E-3</v>
      </c>
      <c r="AV23" s="8">
        <f t="shared" ca="1" si="57"/>
        <v>4.6815493781613426E-3</v>
      </c>
      <c r="AW23" s="8">
        <f t="shared" ca="1" si="57"/>
        <v>2.5440874445029626E-3</v>
      </c>
      <c r="AX23" s="8">
        <f t="shared" ca="1" si="57"/>
        <v>2.3299174234592268E-3</v>
      </c>
      <c r="AY23" s="8">
        <f t="shared" ca="1" si="57"/>
        <v>1.3846442214995314E-3</v>
      </c>
      <c r="AZ23" s="8">
        <f t="shared" ca="1" si="57"/>
        <v>2.493806521319808E-3</v>
      </c>
      <c r="BA23" s="8">
        <f t="shared" ca="1" si="57"/>
        <v>2.9015068087281382E-3</v>
      </c>
      <c r="BB23" s="8">
        <f t="shared" ca="1" si="57"/>
        <v>1.564638445057831E-3</v>
      </c>
      <c r="BC23" s="8">
        <f t="shared" ca="1" si="57"/>
        <v>4.3521296095798689E-3</v>
      </c>
      <c r="BD23" s="8">
        <f t="shared" ca="1" si="57"/>
        <v>6.0395599311360293E-3</v>
      </c>
      <c r="BE23" s="8">
        <f t="shared" ca="1" si="57"/>
        <v>1.5530197815556424E-3</v>
      </c>
      <c r="BF23" s="8">
        <f t="shared" ca="1" si="57"/>
        <v>3.0361959435460939E-3</v>
      </c>
      <c r="BG23" s="8">
        <f t="shared" ca="1" si="57"/>
        <v>6.982578141809026E-3</v>
      </c>
      <c r="BH23" s="8">
        <f t="shared" ca="1" si="57"/>
        <v>1.4851534591013849E-3</v>
      </c>
      <c r="BI23" s="8">
        <f t="shared" ca="1" si="57"/>
        <v>1.008886482096738E-3</v>
      </c>
      <c r="BJ23" s="8">
        <f t="shared" ca="1" si="57"/>
        <v>5.1916026963755302E-3</v>
      </c>
      <c r="BK23" s="8">
        <f t="shared" ca="1" si="57"/>
        <v>6.9930396583819388E-3</v>
      </c>
      <c r="BL23" s="8">
        <f t="shared" ca="1" si="57"/>
        <v>2.5584002961120955E-3</v>
      </c>
      <c r="BM23" s="8">
        <f t="shared" ca="1" si="57"/>
        <v>4.4928680822082789E-3</v>
      </c>
      <c r="BN23" s="8">
        <f t="shared" ca="1" si="58"/>
        <v>6.0347449226082484E-2</v>
      </c>
      <c r="BO23" s="8">
        <f t="shared" ca="1" si="58"/>
        <v>9.5579849876556988E-3</v>
      </c>
      <c r="BP23" s="8">
        <f t="shared" ca="1" si="58"/>
        <v>6.1531561893713116E-2</v>
      </c>
      <c r="BQ23" s="8" t="str">
        <f t="shared" ca="1" si="58"/>
        <v/>
      </c>
      <c r="BR23" s="8" t="str">
        <f t="shared" ca="1" si="58"/>
        <v/>
      </c>
      <c r="BS23" s="8" t="str">
        <f t="shared" ca="1" si="58"/>
        <v/>
      </c>
      <c r="BT23" s="8" t="str">
        <f t="shared" ca="1" si="58"/>
        <v/>
      </c>
      <c r="BU23" s="8" t="str">
        <f t="shared" ca="1" si="58"/>
        <v/>
      </c>
      <c r="BV23" s="8" t="str">
        <f t="shared" ref="BV23:DR23" ca="1" si="65">IF(BV14="","",ABS(BV14))</f>
        <v/>
      </c>
      <c r="BW23" s="8" t="str">
        <f t="shared" ca="1" si="65"/>
        <v/>
      </c>
      <c r="BX23" s="8" t="str">
        <f t="shared" ca="1" si="65"/>
        <v/>
      </c>
      <c r="BY23" s="8" t="str">
        <f t="shared" ca="1" si="65"/>
        <v/>
      </c>
      <c r="BZ23" s="8" t="str">
        <f t="shared" ca="1" si="65"/>
        <v/>
      </c>
      <c r="CA23" s="8" t="str">
        <f t="shared" ca="1" si="65"/>
        <v/>
      </c>
      <c r="CB23" s="8" t="str">
        <f t="shared" ca="1" si="65"/>
        <v/>
      </c>
      <c r="CC23" s="8" t="str">
        <f t="shared" ca="1" si="65"/>
        <v/>
      </c>
      <c r="CD23" s="8" t="str">
        <f t="shared" ca="1" si="65"/>
        <v/>
      </c>
      <c r="CE23" s="8" t="str">
        <f t="shared" ca="1" si="65"/>
        <v/>
      </c>
      <c r="CF23" s="8" t="str">
        <f t="shared" ca="1" si="65"/>
        <v/>
      </c>
      <c r="CG23" s="8" t="str">
        <f t="shared" ca="1" si="65"/>
        <v/>
      </c>
      <c r="CH23" s="8" t="str">
        <f t="shared" ca="1" si="65"/>
        <v/>
      </c>
      <c r="CI23" s="8" t="str">
        <f t="shared" ca="1" si="65"/>
        <v/>
      </c>
      <c r="CJ23" s="8" t="str">
        <f t="shared" ca="1" si="65"/>
        <v/>
      </c>
      <c r="CK23" s="8" t="str">
        <f t="shared" ca="1" si="65"/>
        <v/>
      </c>
      <c r="CL23" s="8" t="str">
        <f t="shared" ca="1" si="65"/>
        <v/>
      </c>
      <c r="CM23" s="8" t="str">
        <f t="shared" ca="1" si="65"/>
        <v/>
      </c>
      <c r="CN23" s="8" t="str">
        <f t="shared" ca="1" si="65"/>
        <v/>
      </c>
      <c r="CO23" s="8" t="str">
        <f t="shared" ca="1" si="65"/>
        <v/>
      </c>
      <c r="CP23" s="8" t="str">
        <f t="shared" ca="1" si="65"/>
        <v/>
      </c>
      <c r="CQ23" s="8" t="str">
        <f t="shared" ca="1" si="65"/>
        <v/>
      </c>
      <c r="CR23" s="8" t="str">
        <f t="shared" ca="1" si="65"/>
        <v/>
      </c>
      <c r="CS23" s="8" t="str">
        <f t="shared" ca="1" si="65"/>
        <v/>
      </c>
      <c r="CT23" s="8" t="str">
        <f t="shared" ca="1" si="65"/>
        <v/>
      </c>
      <c r="CU23" s="8" t="str">
        <f t="shared" ca="1" si="65"/>
        <v/>
      </c>
      <c r="CV23" s="8" t="str">
        <f t="shared" ca="1" si="65"/>
        <v/>
      </c>
      <c r="CW23" s="8" t="str">
        <f t="shared" ca="1" si="65"/>
        <v/>
      </c>
      <c r="CX23" s="8" t="str">
        <f t="shared" ca="1" si="65"/>
        <v/>
      </c>
      <c r="CY23" s="8" t="str">
        <f t="shared" ca="1" si="65"/>
        <v/>
      </c>
      <c r="CZ23" s="8" t="str">
        <f t="shared" ca="1" si="65"/>
        <v/>
      </c>
      <c r="DA23" s="8" t="str">
        <f t="shared" ca="1" si="65"/>
        <v/>
      </c>
      <c r="DB23" s="8" t="str">
        <f t="shared" ca="1" si="65"/>
        <v/>
      </c>
      <c r="DC23" s="8" t="str">
        <f t="shared" ca="1" si="65"/>
        <v/>
      </c>
      <c r="DD23" s="8" t="str">
        <f t="shared" ca="1" si="65"/>
        <v/>
      </c>
      <c r="DE23" s="8" t="str">
        <f t="shared" ca="1" si="65"/>
        <v/>
      </c>
      <c r="DF23" s="8" t="str">
        <f t="shared" ca="1" si="65"/>
        <v/>
      </c>
      <c r="DG23" s="8" t="str">
        <f t="shared" ca="1" si="65"/>
        <v/>
      </c>
      <c r="DH23" s="8" t="str">
        <f t="shared" ca="1" si="65"/>
        <v/>
      </c>
      <c r="DI23" s="8" t="str">
        <f t="shared" ca="1" si="65"/>
        <v/>
      </c>
      <c r="DJ23" s="8" t="str">
        <f t="shared" ca="1" si="65"/>
        <v/>
      </c>
      <c r="DK23" s="8" t="str">
        <f t="shared" ca="1" si="65"/>
        <v/>
      </c>
      <c r="DL23" s="8" t="str">
        <f t="shared" ca="1" si="65"/>
        <v/>
      </c>
      <c r="DM23" s="8" t="str">
        <f t="shared" ca="1" si="65"/>
        <v/>
      </c>
      <c r="DN23" s="8" t="str">
        <f t="shared" ca="1" si="65"/>
        <v/>
      </c>
      <c r="DO23" s="8" t="str">
        <f t="shared" ca="1" si="65"/>
        <v/>
      </c>
      <c r="DP23" s="8" t="str">
        <f t="shared" ca="1" si="65"/>
        <v/>
      </c>
      <c r="DQ23" s="8" t="str">
        <f t="shared" ca="1" si="65"/>
        <v/>
      </c>
      <c r="DR23" s="8" t="str">
        <f t="shared" ca="1" si="65"/>
        <v/>
      </c>
      <c r="DS23" s="12">
        <f t="shared" ca="1" si="60"/>
        <v>7.7490965858779239E-3</v>
      </c>
      <c r="DT23" s="12">
        <f t="shared" ca="1" si="61"/>
        <v>3.6941627765629814E-3</v>
      </c>
      <c r="DU23" s="13">
        <f t="shared" ca="1" si="62"/>
        <v>2.0845514590787722E-4</v>
      </c>
      <c r="DV23" s="15">
        <f t="shared" ref="DV23:DV25" ca="1" si="66">SQRT(DU23)</f>
        <v>1.4437975824466435E-2</v>
      </c>
      <c r="DW23" s="14" t="str">
        <f t="shared" ca="1" si="63"/>
        <v>[ -2,11% ; 3,66% ]</v>
      </c>
      <c r="DX23" s="15">
        <f t="shared" ca="1" si="64"/>
        <v>1.8480609055317038E-2</v>
      </c>
      <c r="GI23" s="1"/>
    </row>
    <row r="24" spans="1:191" x14ac:dyDescent="0.25">
      <c r="A24" s="4">
        <v>3</v>
      </c>
      <c r="B24" s="8">
        <f t="shared" ca="1" si="57"/>
        <v>3.3961815049734501E-3</v>
      </c>
      <c r="C24" s="8">
        <f t="shared" ca="1" si="57"/>
        <v>4.4087116638955592E-3</v>
      </c>
      <c r="D24" s="8">
        <f t="shared" ca="1" si="57"/>
        <v>5.4883276096577838E-3</v>
      </c>
      <c r="E24" s="8">
        <f t="shared" ca="1" si="57"/>
        <v>1.1183908752195992E-2</v>
      </c>
      <c r="F24" s="8">
        <f t="shared" ca="1" si="57"/>
        <v>1.3311900979565694E-3</v>
      </c>
      <c r="G24" s="8">
        <f t="shared" ca="1" si="57"/>
        <v>5.1916313171416206E-3</v>
      </c>
      <c r="H24" s="8">
        <f t="shared" ca="1" si="57"/>
        <v>9.0201744526601235E-3</v>
      </c>
      <c r="I24" s="8">
        <f t="shared" ca="1" si="57"/>
        <v>2.5746864100789635E-3</v>
      </c>
      <c r="J24" s="8">
        <f t="shared" ca="1" si="57"/>
        <v>7.0839703914904462E-4</v>
      </c>
      <c r="K24" s="8">
        <f t="shared" ca="1" si="57"/>
        <v>3.7813099504444558E-3</v>
      </c>
      <c r="L24" s="8">
        <f t="shared" ca="1" si="57"/>
        <v>5.3936740585538434E-3</v>
      </c>
      <c r="M24" s="8">
        <f t="shared" ca="1" si="57"/>
        <v>8.6573656792965359E-4</v>
      </c>
      <c r="N24" s="8">
        <f t="shared" ca="1" si="57"/>
        <v>1.4996682685198826E-3</v>
      </c>
      <c r="O24" s="8">
        <f t="shared" ca="1" si="57"/>
        <v>9.4219080233393093E-4</v>
      </c>
      <c r="P24" s="8">
        <f t="shared" ca="1" si="57"/>
        <v>1.6894901438533338E-3</v>
      </c>
      <c r="Q24" s="8">
        <f t="shared" ca="1" si="57"/>
        <v>1.6382609074778731E-3</v>
      </c>
      <c r="R24" s="8">
        <f t="shared" ca="1" si="57"/>
        <v>6.7259405075081879E-4</v>
      </c>
      <c r="S24" s="8">
        <f t="shared" ca="1" si="57"/>
        <v>4.3399475123571118E-3</v>
      </c>
      <c r="T24" s="8">
        <f t="shared" ca="1" si="57"/>
        <v>1.0118517004101157E-2</v>
      </c>
      <c r="U24" s="8">
        <f t="shared" ca="1" si="57"/>
        <v>1.4712803160726873E-2</v>
      </c>
      <c r="V24" s="8">
        <f t="shared" ca="1" si="57"/>
        <v>2.2903639997781111E-2</v>
      </c>
      <c r="W24" s="8">
        <f t="shared" ca="1" si="57"/>
        <v>2.3481979478412462E-2</v>
      </c>
      <c r="X24" s="8">
        <f t="shared" ca="1" si="57"/>
        <v>1.6270967437703732E-2</v>
      </c>
      <c r="Y24" s="8">
        <f t="shared" ca="1" si="57"/>
        <v>2.5648481102277243E-3</v>
      </c>
      <c r="Z24" s="8">
        <f t="shared" ca="1" si="57"/>
        <v>2.8096364621250647E-3</v>
      </c>
      <c r="AA24" s="8">
        <f t="shared" ca="1" si="57"/>
        <v>3.0027853962462103E-3</v>
      </c>
      <c r="AB24" s="8">
        <f t="shared" ca="1" si="57"/>
        <v>1.2651579910546218E-2</v>
      </c>
      <c r="AC24" s="8">
        <f t="shared" ca="1" si="57"/>
        <v>4.7281430418666393E-3</v>
      </c>
      <c r="AD24" s="8">
        <f t="shared" ca="1" si="57"/>
        <v>4.9898964644445876E-4</v>
      </c>
      <c r="AE24" s="8">
        <f t="shared" ca="1" si="57"/>
        <v>1.365882806943608E-3</v>
      </c>
      <c r="AF24" s="8">
        <f t="shared" ca="1" si="57"/>
        <v>5.5907254735576561E-3</v>
      </c>
      <c r="AG24" s="8">
        <f t="shared" ca="1" si="57"/>
        <v>4.2582363404446433E-3</v>
      </c>
      <c r="AH24" s="8">
        <f t="shared" ca="1" si="57"/>
        <v>8.2049466837652574E-4</v>
      </c>
      <c r="AI24" s="8">
        <f t="shared" ca="1" si="57"/>
        <v>5.9762730215044968E-3</v>
      </c>
      <c r="AJ24" s="8">
        <f t="shared" ca="1" si="57"/>
        <v>6.5900093951132277E-3</v>
      </c>
      <c r="AK24" s="8">
        <f t="shared" ca="1" si="57"/>
        <v>1.3884504978936896E-2</v>
      </c>
      <c r="AL24" s="8">
        <f t="shared" ca="1" si="57"/>
        <v>6.8167350014740613E-3</v>
      </c>
      <c r="AM24" s="8">
        <f t="shared" ca="1" si="57"/>
        <v>7.5181517741231829E-3</v>
      </c>
      <c r="AN24" s="8">
        <f t="shared" ca="1" si="57"/>
        <v>3.3638860443767626E-3</v>
      </c>
      <c r="AO24" s="8">
        <f t="shared" ca="1" si="57"/>
        <v>1.2104284934657539E-3</v>
      </c>
      <c r="AP24" s="8">
        <f t="shared" ca="1" si="57"/>
        <v>7.4652348752413111E-4</v>
      </c>
      <c r="AQ24" s="8">
        <f t="shared" ca="1" si="57"/>
        <v>1.7986450588858394E-2</v>
      </c>
      <c r="AR24" s="8">
        <f t="shared" ca="1" si="57"/>
        <v>6.6263347333097578E-3</v>
      </c>
      <c r="AS24" s="8">
        <f t="shared" ca="1" si="57"/>
        <v>1.2270371551915238E-2</v>
      </c>
      <c r="AT24" s="8">
        <f t="shared" ca="1" si="57"/>
        <v>4.4921317400261618E-3</v>
      </c>
      <c r="AU24" s="8">
        <f t="shared" ca="1" si="57"/>
        <v>2.8245421836571305E-3</v>
      </c>
      <c r="AV24" s="8">
        <f t="shared" ca="1" si="57"/>
        <v>4.2223224112623026E-3</v>
      </c>
      <c r="AW24" s="8">
        <f t="shared" ca="1" si="57"/>
        <v>3.5275819085089921E-3</v>
      </c>
      <c r="AX24" s="8">
        <f t="shared" ca="1" si="57"/>
        <v>3.128941036345867E-3</v>
      </c>
      <c r="AY24" s="8">
        <f t="shared" ca="1" si="57"/>
        <v>1.7133539963993805E-3</v>
      </c>
      <c r="AZ24" s="8">
        <f t="shared" ca="1" si="57"/>
        <v>1.8188324835222147E-3</v>
      </c>
      <c r="BA24" s="8">
        <f t="shared" ca="1" si="57"/>
        <v>2.8001132946415819E-3</v>
      </c>
      <c r="BB24" s="8">
        <f t="shared" ca="1" si="57"/>
        <v>6.1506145346440499E-3</v>
      </c>
      <c r="BC24" s="8">
        <f t="shared" ca="1" si="57"/>
        <v>5.540893669178093E-3</v>
      </c>
      <c r="BD24" s="8">
        <f t="shared" ca="1" si="57"/>
        <v>5.1034270376392188E-3</v>
      </c>
      <c r="BE24" s="8">
        <f t="shared" ca="1" si="57"/>
        <v>3.7530529675825486E-3</v>
      </c>
      <c r="BF24" s="8">
        <f t="shared" ca="1" si="57"/>
        <v>4.3001428549277465E-3</v>
      </c>
      <c r="BG24" s="8">
        <f t="shared" ca="1" si="57"/>
        <v>8.9952871268973444E-3</v>
      </c>
      <c r="BH24" s="8">
        <f t="shared" ca="1" si="57"/>
        <v>1.6579470869477753E-3</v>
      </c>
      <c r="BI24" s="8">
        <f t="shared" ca="1" si="57"/>
        <v>5.9295675909399881E-3</v>
      </c>
      <c r="BJ24" s="8">
        <f t="shared" ca="1" si="57"/>
        <v>6.9266697711046765E-3</v>
      </c>
      <c r="BK24" s="8">
        <f t="shared" ca="1" si="57"/>
        <v>1.0195377281406293E-2</v>
      </c>
      <c r="BL24" s="8">
        <f t="shared" ca="1" si="57"/>
        <v>4.0160888845959253E-3</v>
      </c>
      <c r="BM24" s="8">
        <f t="shared" ca="1" si="57"/>
        <v>5.7545066968535341E-2</v>
      </c>
      <c r="BN24" s="8">
        <f t="shared" ca="1" si="58"/>
        <v>1.9677985017579003E-2</v>
      </c>
      <c r="BO24" s="8">
        <f t="shared" ca="1" si="58"/>
        <v>2.9385836195188197E-3</v>
      </c>
      <c r="BP24" s="8" t="str">
        <f t="shared" ca="1" si="58"/>
        <v/>
      </c>
      <c r="BQ24" s="8" t="str">
        <f t="shared" ca="1" si="58"/>
        <v/>
      </c>
      <c r="BR24" s="8" t="str">
        <f t="shared" ca="1" si="58"/>
        <v/>
      </c>
      <c r="BS24" s="8" t="str">
        <f t="shared" ca="1" si="58"/>
        <v/>
      </c>
      <c r="BT24" s="8" t="str">
        <f t="shared" ca="1" si="58"/>
        <v/>
      </c>
      <c r="BU24" s="8" t="str">
        <f t="shared" ca="1" si="58"/>
        <v/>
      </c>
      <c r="BV24" s="8" t="str">
        <f t="shared" ref="BV24:DR24" ca="1" si="67">IF(BV15="","",ABS(BV15))</f>
        <v/>
      </c>
      <c r="BW24" s="8" t="str">
        <f t="shared" ca="1" si="67"/>
        <v/>
      </c>
      <c r="BX24" s="8" t="str">
        <f t="shared" ca="1" si="67"/>
        <v/>
      </c>
      <c r="BY24" s="8" t="str">
        <f t="shared" ca="1" si="67"/>
        <v/>
      </c>
      <c r="BZ24" s="8" t="str">
        <f t="shared" ca="1" si="67"/>
        <v/>
      </c>
      <c r="CA24" s="8" t="str">
        <f t="shared" ca="1" si="67"/>
        <v/>
      </c>
      <c r="CB24" s="8" t="str">
        <f t="shared" ca="1" si="67"/>
        <v/>
      </c>
      <c r="CC24" s="8" t="str">
        <f t="shared" ca="1" si="67"/>
        <v/>
      </c>
      <c r="CD24" s="8" t="str">
        <f t="shared" ca="1" si="67"/>
        <v/>
      </c>
      <c r="CE24" s="8" t="str">
        <f t="shared" ca="1" si="67"/>
        <v/>
      </c>
      <c r="CF24" s="8" t="str">
        <f t="shared" ca="1" si="67"/>
        <v/>
      </c>
      <c r="CG24" s="8" t="str">
        <f t="shared" ca="1" si="67"/>
        <v/>
      </c>
      <c r="CH24" s="8" t="str">
        <f t="shared" ca="1" si="67"/>
        <v/>
      </c>
      <c r="CI24" s="8" t="str">
        <f t="shared" ca="1" si="67"/>
        <v/>
      </c>
      <c r="CJ24" s="8" t="str">
        <f t="shared" ca="1" si="67"/>
        <v/>
      </c>
      <c r="CK24" s="8" t="str">
        <f t="shared" ca="1" si="67"/>
        <v/>
      </c>
      <c r="CL24" s="8" t="str">
        <f t="shared" ca="1" si="67"/>
        <v/>
      </c>
      <c r="CM24" s="8" t="str">
        <f t="shared" ca="1" si="67"/>
        <v/>
      </c>
      <c r="CN24" s="8" t="str">
        <f t="shared" ca="1" si="67"/>
        <v/>
      </c>
      <c r="CO24" s="8" t="str">
        <f t="shared" ca="1" si="67"/>
        <v/>
      </c>
      <c r="CP24" s="8" t="str">
        <f t="shared" ca="1" si="67"/>
        <v/>
      </c>
      <c r="CQ24" s="8" t="str">
        <f t="shared" ca="1" si="67"/>
        <v/>
      </c>
      <c r="CR24" s="8" t="str">
        <f t="shared" ca="1" si="67"/>
        <v/>
      </c>
      <c r="CS24" s="8" t="str">
        <f t="shared" ca="1" si="67"/>
        <v/>
      </c>
      <c r="CT24" s="8" t="str">
        <f t="shared" ca="1" si="67"/>
        <v/>
      </c>
      <c r="CU24" s="8" t="str">
        <f t="shared" ca="1" si="67"/>
        <v/>
      </c>
      <c r="CV24" s="8" t="str">
        <f t="shared" ca="1" si="67"/>
        <v/>
      </c>
      <c r="CW24" s="8" t="str">
        <f t="shared" ca="1" si="67"/>
        <v/>
      </c>
      <c r="CX24" s="8" t="str">
        <f t="shared" ca="1" si="67"/>
        <v/>
      </c>
      <c r="CY24" s="8" t="str">
        <f t="shared" ca="1" si="67"/>
        <v/>
      </c>
      <c r="CZ24" s="8" t="str">
        <f t="shared" ca="1" si="67"/>
        <v/>
      </c>
      <c r="DA24" s="8" t="str">
        <f t="shared" ca="1" si="67"/>
        <v/>
      </c>
      <c r="DB24" s="8" t="str">
        <f t="shared" ca="1" si="67"/>
        <v/>
      </c>
      <c r="DC24" s="8" t="str">
        <f t="shared" ca="1" si="67"/>
        <v/>
      </c>
      <c r="DD24" s="8" t="str">
        <f t="shared" ca="1" si="67"/>
        <v/>
      </c>
      <c r="DE24" s="8" t="str">
        <f t="shared" ca="1" si="67"/>
        <v/>
      </c>
      <c r="DF24" s="8" t="str">
        <f t="shared" ca="1" si="67"/>
        <v/>
      </c>
      <c r="DG24" s="8" t="str">
        <f t="shared" ca="1" si="67"/>
        <v/>
      </c>
      <c r="DH24" s="8" t="str">
        <f t="shared" ca="1" si="67"/>
        <v/>
      </c>
      <c r="DI24" s="8" t="str">
        <f t="shared" ca="1" si="67"/>
        <v/>
      </c>
      <c r="DJ24" s="8" t="str">
        <f t="shared" ca="1" si="67"/>
        <v/>
      </c>
      <c r="DK24" s="8" t="str">
        <f t="shared" ca="1" si="67"/>
        <v/>
      </c>
      <c r="DL24" s="8" t="str">
        <f t="shared" ca="1" si="67"/>
        <v/>
      </c>
      <c r="DM24" s="8" t="str">
        <f t="shared" ca="1" si="67"/>
        <v/>
      </c>
      <c r="DN24" s="8" t="str">
        <f t="shared" ca="1" si="67"/>
        <v/>
      </c>
      <c r="DO24" s="8" t="str">
        <f t="shared" ca="1" si="67"/>
        <v/>
      </c>
      <c r="DP24" s="8" t="str">
        <f t="shared" ca="1" si="67"/>
        <v/>
      </c>
      <c r="DQ24" s="8" t="str">
        <f t="shared" ca="1" si="67"/>
        <v/>
      </c>
      <c r="DR24" s="8" t="str">
        <f t="shared" ca="1" si="67"/>
        <v/>
      </c>
      <c r="DS24" s="12">
        <f t="shared" ca="1" si="60"/>
        <v>7.482092073773575E-3</v>
      </c>
      <c r="DT24" s="12">
        <f t="shared" ca="1" si="61"/>
        <v>4.3001428549277465E-3</v>
      </c>
      <c r="DU24" s="13">
        <f t="shared" ca="1" si="62"/>
        <v>1.0924142679283671E-4</v>
      </c>
      <c r="DV24" s="15">
        <f t="shared" ca="1" si="66"/>
        <v>1.0451862360021621E-2</v>
      </c>
      <c r="DW24" s="14" t="str">
        <f t="shared" ca="1" si="63"/>
        <v>[ -1,34% ; 2,84% ]</v>
      </c>
      <c r="DX24" s="15">
        <f t="shared" ca="1" si="64"/>
        <v>1.3378383820827676E-2</v>
      </c>
      <c r="GI24" s="1"/>
    </row>
    <row r="25" spans="1:191" x14ac:dyDescent="0.25">
      <c r="A25" s="4">
        <v>4</v>
      </c>
      <c r="B25" s="8">
        <f t="shared" ca="1" si="57"/>
        <v>1.348936208194873E-3</v>
      </c>
      <c r="C25" s="8">
        <f t="shared" ca="1" si="57"/>
        <v>8.7712182268306904E-3</v>
      </c>
      <c r="D25" s="8">
        <f t="shared" ca="1" si="57"/>
        <v>1.0249471806431654E-2</v>
      </c>
      <c r="E25" s="8">
        <f t="shared" ca="1" si="57"/>
        <v>4.3463217579519098E-3</v>
      </c>
      <c r="F25" s="8">
        <f t="shared" ca="1" si="57"/>
        <v>1.9342660492821517E-3</v>
      </c>
      <c r="G25" s="8">
        <f t="shared" ca="1" si="57"/>
        <v>3.5150947887190309E-3</v>
      </c>
      <c r="H25" s="8">
        <f t="shared" ca="1" si="57"/>
        <v>8.8630684255455172E-3</v>
      </c>
      <c r="I25" s="8">
        <f t="shared" ca="1" si="57"/>
        <v>9.7696420762960479E-5</v>
      </c>
      <c r="J25" s="8">
        <f t="shared" ca="1" si="57"/>
        <v>3.7001084534660222E-4</v>
      </c>
      <c r="K25" s="8">
        <f t="shared" ca="1" si="57"/>
        <v>3.5147993647521858E-3</v>
      </c>
      <c r="L25" s="8">
        <f t="shared" ca="1" si="57"/>
        <v>3.2383027468447789E-3</v>
      </c>
      <c r="M25" s="8">
        <f t="shared" ca="1" si="57"/>
        <v>2.2331544242902845E-3</v>
      </c>
      <c r="N25" s="8">
        <f t="shared" ca="1" si="57"/>
        <v>1.107016121206561E-3</v>
      </c>
      <c r="O25" s="8">
        <f t="shared" ca="1" si="57"/>
        <v>3.5950523980277094E-4</v>
      </c>
      <c r="P25" s="8">
        <f t="shared" ca="1" si="57"/>
        <v>6.421743348035136E-4</v>
      </c>
      <c r="Q25" s="8">
        <f t="shared" ca="1" si="57"/>
        <v>4.2807526749508718E-3</v>
      </c>
      <c r="R25" s="8">
        <f t="shared" ca="1" si="57"/>
        <v>2.4754141417442366E-3</v>
      </c>
      <c r="S25" s="8">
        <f t="shared" ca="1" si="57"/>
        <v>8.1884847513482573E-3</v>
      </c>
      <c r="T25" s="8">
        <f t="shared" ca="1" si="57"/>
        <v>1.8986560568724054E-2</v>
      </c>
      <c r="U25" s="8">
        <f t="shared" ca="1" si="57"/>
        <v>2.522853424569993E-2</v>
      </c>
      <c r="V25" s="8">
        <f t="shared" ca="1" si="57"/>
        <v>2.8606261403590683E-2</v>
      </c>
      <c r="W25" s="8">
        <f t="shared" ca="1" si="57"/>
        <v>2.5915133079014607E-2</v>
      </c>
      <c r="X25" s="8">
        <f t="shared" ca="1" si="57"/>
        <v>1.6086158450659749E-2</v>
      </c>
      <c r="Y25" s="8">
        <f t="shared" ca="1" si="57"/>
        <v>1.1709543088580521E-3</v>
      </c>
      <c r="Z25" s="8">
        <f t="shared" ca="1" si="57"/>
        <v>1.4989682875388155E-4</v>
      </c>
      <c r="AA25" s="8">
        <f t="shared" ca="1" si="57"/>
        <v>5.25286794487001E-3</v>
      </c>
      <c r="AB25" s="8">
        <f t="shared" ca="1" si="57"/>
        <v>1.1247566389982255E-2</v>
      </c>
      <c r="AC25" s="8">
        <f t="shared" ca="1" si="57"/>
        <v>5.7517492170340301E-3</v>
      </c>
      <c r="AD25" s="8">
        <f t="shared" ca="1" si="57"/>
        <v>3.0807673273254288E-3</v>
      </c>
      <c r="AE25" s="8">
        <f t="shared" ca="1" si="57"/>
        <v>8.6305496241079194E-4</v>
      </c>
      <c r="AF25" s="8">
        <f t="shared" ca="1" si="57"/>
        <v>5.9911802665495451E-3</v>
      </c>
      <c r="AG25" s="8">
        <f t="shared" ca="1" si="57"/>
        <v>5.5505670862419088E-3</v>
      </c>
      <c r="AH25" s="8">
        <f t="shared" ca="1" si="57"/>
        <v>6.4599231012212321E-3</v>
      </c>
      <c r="AI25" s="8">
        <f t="shared" ca="1" si="57"/>
        <v>8.0452941255588772E-3</v>
      </c>
      <c r="AJ25" s="8">
        <f t="shared" ca="1" si="57"/>
        <v>1.353348605371596E-2</v>
      </c>
      <c r="AK25" s="8">
        <f t="shared" ca="1" si="57"/>
        <v>1.5519339592644954E-2</v>
      </c>
      <c r="AL25" s="8">
        <f t="shared" ca="1" si="57"/>
        <v>8.4036326305039211E-3</v>
      </c>
      <c r="AM25" s="8">
        <f t="shared" ca="1" si="57"/>
        <v>1.3778060418255134E-2</v>
      </c>
      <c r="AN25" s="8">
        <f t="shared" ca="1" si="57"/>
        <v>1.8497760416659181E-3</v>
      </c>
      <c r="AO25" s="8">
        <f t="shared" ca="1" si="57"/>
        <v>5.9745934389487942E-4</v>
      </c>
      <c r="AP25" s="8">
        <f t="shared" ca="1" si="57"/>
        <v>8.9433713718759522E-3</v>
      </c>
      <c r="AQ25" s="8">
        <f t="shared" ca="1" si="57"/>
        <v>1.7853598322709496E-2</v>
      </c>
      <c r="AR25" s="8">
        <f t="shared" ca="1" si="57"/>
        <v>1.1826774809531315E-2</v>
      </c>
      <c r="AS25" s="8">
        <f t="shared" ca="1" si="57"/>
        <v>9.8263978237351779E-3</v>
      </c>
      <c r="AT25" s="8">
        <f t="shared" ca="1" si="57"/>
        <v>4.7220781743935181E-3</v>
      </c>
      <c r="AU25" s="8">
        <f t="shared" ca="1" si="57"/>
        <v>3.656747052581788E-3</v>
      </c>
      <c r="AV25" s="8">
        <f t="shared" ca="1" si="57"/>
        <v>4.5902157424726475E-3</v>
      </c>
      <c r="AW25" s="8">
        <f t="shared" ca="1" si="57"/>
        <v>4.798732833965591E-3</v>
      </c>
      <c r="AX25" s="8">
        <f t="shared" ca="1" si="57"/>
        <v>1.8956206024345335E-4</v>
      </c>
      <c r="AY25" s="8">
        <f t="shared" ca="1" si="57"/>
        <v>5.8713068593441164E-4</v>
      </c>
      <c r="AZ25" s="8">
        <f t="shared" ca="1" si="57"/>
        <v>2.7820947875059066E-3</v>
      </c>
      <c r="BA25" s="8">
        <f t="shared" ca="1" si="57"/>
        <v>4.1843043099409893E-4</v>
      </c>
      <c r="BB25" s="8">
        <f t="shared" ca="1" si="57"/>
        <v>7.58513753210599E-3</v>
      </c>
      <c r="BC25" s="8">
        <f t="shared" ca="1" si="57"/>
        <v>4.2233998300440501E-3</v>
      </c>
      <c r="BD25" s="8">
        <f t="shared" ca="1" si="57"/>
        <v>1.0191963526781977E-2</v>
      </c>
      <c r="BE25" s="8">
        <f t="shared" ca="1" si="57"/>
        <v>4.9798248764487685E-3</v>
      </c>
      <c r="BF25" s="8">
        <f t="shared" ca="1" si="57"/>
        <v>5.8616908097557374E-3</v>
      </c>
      <c r="BG25" s="8">
        <f t="shared" ca="1" si="57"/>
        <v>1.0125409881670988E-2</v>
      </c>
      <c r="BH25" s="8">
        <f t="shared" ca="1" si="57"/>
        <v>7.1422525708185747E-3</v>
      </c>
      <c r="BI25" s="8">
        <f t="shared" ca="1" si="57"/>
        <v>7.9113732047065843E-3</v>
      </c>
      <c r="BJ25" s="8">
        <f t="shared" ca="1" si="57"/>
        <v>9.7425885580966209E-3</v>
      </c>
      <c r="BK25" s="8">
        <f t="shared" ca="1" si="57"/>
        <v>4.7611012730267577E-3</v>
      </c>
      <c r="BL25" s="8">
        <f t="shared" ca="1" si="57"/>
        <v>5.6294826300050671E-2</v>
      </c>
      <c r="BM25" s="8">
        <f t="shared" ref="BM25:BU25" ca="1" si="68">IF(BM16="","",ABS(BM16))</f>
        <v>1.6340970225955376E-2</v>
      </c>
      <c r="BN25" s="8">
        <f t="shared" ca="1" si="68"/>
        <v>1.4131396860582512E-2</v>
      </c>
      <c r="BO25" s="8" t="str">
        <f t="shared" ca="1" si="68"/>
        <v/>
      </c>
      <c r="BP25" s="8" t="str">
        <f t="shared" ca="1" si="68"/>
        <v/>
      </c>
      <c r="BQ25" s="8" t="str">
        <f t="shared" ca="1" si="68"/>
        <v/>
      </c>
      <c r="BR25" s="8" t="str">
        <f t="shared" ca="1" si="68"/>
        <v/>
      </c>
      <c r="BS25" s="8" t="str">
        <f t="shared" ca="1" si="68"/>
        <v/>
      </c>
      <c r="BT25" s="8" t="str">
        <f t="shared" ca="1" si="68"/>
        <v/>
      </c>
      <c r="BU25" s="8" t="str">
        <f t="shared" ca="1" si="68"/>
        <v/>
      </c>
      <c r="BV25" s="8" t="str">
        <f t="shared" ref="BV25:DR25" ca="1" si="69">IF(BV16="","",ABS(BV16))</f>
        <v/>
      </c>
      <c r="BW25" s="8" t="str">
        <f t="shared" ca="1" si="69"/>
        <v/>
      </c>
      <c r="BX25" s="8" t="str">
        <f t="shared" ca="1" si="69"/>
        <v/>
      </c>
      <c r="BY25" s="8" t="str">
        <f t="shared" ca="1" si="69"/>
        <v/>
      </c>
      <c r="BZ25" s="8" t="str">
        <f t="shared" ca="1" si="69"/>
        <v/>
      </c>
      <c r="CA25" s="8" t="str">
        <f t="shared" ca="1" si="69"/>
        <v/>
      </c>
      <c r="CB25" s="8" t="str">
        <f t="shared" ca="1" si="69"/>
        <v/>
      </c>
      <c r="CC25" s="8" t="str">
        <f t="shared" ca="1" si="69"/>
        <v/>
      </c>
      <c r="CD25" s="8" t="str">
        <f t="shared" ca="1" si="69"/>
        <v/>
      </c>
      <c r="CE25" s="8" t="str">
        <f t="shared" ca="1" si="69"/>
        <v/>
      </c>
      <c r="CF25" s="8" t="str">
        <f t="shared" ca="1" si="69"/>
        <v/>
      </c>
      <c r="CG25" s="8" t="str">
        <f t="shared" ca="1" si="69"/>
        <v/>
      </c>
      <c r="CH25" s="8" t="str">
        <f t="shared" ca="1" si="69"/>
        <v/>
      </c>
      <c r="CI25" s="8" t="str">
        <f t="shared" ca="1" si="69"/>
        <v/>
      </c>
      <c r="CJ25" s="8" t="str">
        <f t="shared" ca="1" si="69"/>
        <v/>
      </c>
      <c r="CK25" s="8" t="str">
        <f t="shared" ca="1" si="69"/>
        <v/>
      </c>
      <c r="CL25" s="8" t="str">
        <f t="shared" ca="1" si="69"/>
        <v/>
      </c>
      <c r="CM25" s="8" t="str">
        <f t="shared" ca="1" si="69"/>
        <v/>
      </c>
      <c r="CN25" s="8" t="str">
        <f t="shared" ca="1" si="69"/>
        <v/>
      </c>
      <c r="CO25" s="8" t="str">
        <f t="shared" ca="1" si="69"/>
        <v/>
      </c>
      <c r="CP25" s="8" t="str">
        <f t="shared" ca="1" si="69"/>
        <v/>
      </c>
      <c r="CQ25" s="8" t="str">
        <f t="shared" ca="1" si="69"/>
        <v/>
      </c>
      <c r="CR25" s="8" t="str">
        <f t="shared" ca="1" si="69"/>
        <v/>
      </c>
      <c r="CS25" s="8" t="str">
        <f t="shared" ca="1" si="69"/>
        <v/>
      </c>
      <c r="CT25" s="8" t="str">
        <f t="shared" ca="1" si="69"/>
        <v/>
      </c>
      <c r="CU25" s="8" t="str">
        <f t="shared" ca="1" si="69"/>
        <v/>
      </c>
      <c r="CV25" s="8" t="str">
        <f t="shared" ca="1" si="69"/>
        <v/>
      </c>
      <c r="CW25" s="8" t="str">
        <f t="shared" ca="1" si="69"/>
        <v/>
      </c>
      <c r="CX25" s="8" t="str">
        <f t="shared" ca="1" si="69"/>
        <v/>
      </c>
      <c r="CY25" s="8" t="str">
        <f t="shared" ca="1" si="69"/>
        <v/>
      </c>
      <c r="CZ25" s="8" t="str">
        <f t="shared" ca="1" si="69"/>
        <v/>
      </c>
      <c r="DA25" s="8" t="str">
        <f t="shared" ca="1" si="69"/>
        <v/>
      </c>
      <c r="DB25" s="8" t="str">
        <f t="shared" ca="1" si="69"/>
        <v/>
      </c>
      <c r="DC25" s="8" t="str">
        <f t="shared" ca="1" si="69"/>
        <v/>
      </c>
      <c r="DD25" s="8" t="str">
        <f t="shared" ca="1" si="69"/>
        <v/>
      </c>
      <c r="DE25" s="8" t="str">
        <f t="shared" ca="1" si="69"/>
        <v/>
      </c>
      <c r="DF25" s="8" t="str">
        <f t="shared" ca="1" si="69"/>
        <v/>
      </c>
      <c r="DG25" s="8" t="str">
        <f t="shared" ca="1" si="69"/>
        <v/>
      </c>
      <c r="DH25" s="8" t="str">
        <f t="shared" ca="1" si="69"/>
        <v/>
      </c>
      <c r="DI25" s="8" t="str">
        <f t="shared" ca="1" si="69"/>
        <v/>
      </c>
      <c r="DJ25" s="8" t="str">
        <f t="shared" ca="1" si="69"/>
        <v/>
      </c>
      <c r="DK25" s="8" t="str">
        <f t="shared" ca="1" si="69"/>
        <v/>
      </c>
      <c r="DL25" s="8" t="str">
        <f t="shared" ca="1" si="69"/>
        <v/>
      </c>
      <c r="DM25" s="8" t="str">
        <f t="shared" ca="1" si="69"/>
        <v/>
      </c>
      <c r="DN25" s="8" t="str">
        <f t="shared" ca="1" si="69"/>
        <v/>
      </c>
      <c r="DO25" s="8" t="str">
        <f t="shared" ca="1" si="69"/>
        <v/>
      </c>
      <c r="DP25" s="8" t="str">
        <f t="shared" ca="1" si="69"/>
        <v/>
      </c>
      <c r="DQ25" s="8" t="str">
        <f t="shared" ca="1" si="69"/>
        <v/>
      </c>
      <c r="DR25" s="8" t="str">
        <f t="shared" ca="1" si="69"/>
        <v/>
      </c>
      <c r="DS25" s="12">
        <f t="shared" ca="1" si="60"/>
        <v>8.7754416196358532E-3</v>
      </c>
      <c r="DT25" s="12">
        <f t="shared" ca="1" si="61"/>
        <v>6.501971690287156E-3</v>
      </c>
      <c r="DU25" s="13">
        <f t="shared" ca="1" si="62"/>
        <v>1.0601987709133278E-4</v>
      </c>
      <c r="DV25" s="15">
        <f t="shared" ca="1" si="66"/>
        <v>1.0296595412627068E-2</v>
      </c>
      <c r="DW25" s="14" t="str">
        <f t="shared" ca="1" si="63"/>
        <v>[ -1,18% ; 2,94% ]</v>
      </c>
      <c r="DX25" s="15">
        <f t="shared" ca="1" si="64"/>
        <v>1.3179642128162647E-2</v>
      </c>
      <c r="GI25" s="1"/>
    </row>
    <row r="26" spans="1:191" hidden="1" x14ac:dyDescent="0.25">
      <c r="A26" s="4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12"/>
      <c r="DT26" s="12"/>
      <c r="DU26" s="13"/>
      <c r="DV26" s="15"/>
      <c r="DW26" s="14"/>
      <c r="DX26" s="15"/>
      <c r="GI26" s="1"/>
    </row>
    <row r="27" spans="1:191" hidden="1" x14ac:dyDescent="0.25">
      <c r="A27" s="4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12"/>
      <c r="DT27" s="12"/>
      <c r="DU27" s="13"/>
      <c r="DV27" s="15"/>
      <c r="DW27" s="14"/>
      <c r="DX27" s="15"/>
      <c r="GI27" s="1"/>
    </row>
    <row r="28" spans="1:191" hidden="1" x14ac:dyDescent="0.25">
      <c r="A28" s="4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12"/>
      <c r="DT28" s="12"/>
      <c r="DU28" s="13"/>
      <c r="DV28" s="15"/>
      <c r="DW28" s="14"/>
      <c r="DX28" s="15"/>
      <c r="GI28" s="1"/>
    </row>
    <row r="29" spans="1:191" hidden="1" x14ac:dyDescent="0.25">
      <c r="A29" s="4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12"/>
      <c r="DT29" s="12"/>
      <c r="DU29" s="13"/>
      <c r="DV29" s="15"/>
      <c r="DW29" s="14"/>
      <c r="DX29" s="15"/>
      <c r="GI29" s="1"/>
    </row>
    <row r="30" spans="1:191" x14ac:dyDescent="0.25">
      <c r="A30" s="3" t="s">
        <v>1</v>
      </c>
      <c r="B30" s="7">
        <v>37986</v>
      </c>
      <c r="C30" s="7">
        <v>38077</v>
      </c>
      <c r="D30" s="7">
        <v>38168</v>
      </c>
      <c r="E30" s="7">
        <v>38260</v>
      </c>
      <c r="F30" s="7">
        <v>38352</v>
      </c>
      <c r="G30" s="7">
        <v>38442</v>
      </c>
      <c r="H30" s="7">
        <v>38533</v>
      </c>
      <c r="I30" s="7">
        <v>38625</v>
      </c>
      <c r="J30" s="7">
        <v>38717</v>
      </c>
      <c r="K30" s="7">
        <v>38807</v>
      </c>
      <c r="L30" s="7">
        <v>38898</v>
      </c>
      <c r="M30" s="7">
        <v>38990</v>
      </c>
      <c r="N30" s="7">
        <v>39082</v>
      </c>
      <c r="O30" s="7">
        <v>39172</v>
      </c>
      <c r="P30" s="7">
        <v>39263</v>
      </c>
      <c r="Q30" s="7">
        <v>39355</v>
      </c>
      <c r="R30" s="7">
        <v>39447</v>
      </c>
      <c r="S30" s="7">
        <v>39538</v>
      </c>
      <c r="T30" s="7">
        <v>39629</v>
      </c>
      <c r="U30" s="7">
        <v>39721</v>
      </c>
      <c r="V30" s="7">
        <v>39813</v>
      </c>
      <c r="W30" s="7">
        <v>39903</v>
      </c>
      <c r="X30" s="7">
        <v>39994</v>
      </c>
      <c r="Y30" s="7">
        <v>40086</v>
      </c>
      <c r="Z30" s="7">
        <v>40178</v>
      </c>
      <c r="AA30" s="7">
        <v>40268</v>
      </c>
      <c r="AB30" s="7">
        <v>40359</v>
      </c>
      <c r="AC30" s="7">
        <v>40451</v>
      </c>
      <c r="AD30" s="7">
        <v>40543</v>
      </c>
      <c r="AE30" s="7">
        <v>40633</v>
      </c>
      <c r="AF30" s="7">
        <v>40724</v>
      </c>
      <c r="AG30" s="7">
        <v>40816</v>
      </c>
      <c r="AH30" s="7">
        <v>40908</v>
      </c>
      <c r="AI30" s="7">
        <v>40999</v>
      </c>
      <c r="AJ30" s="7">
        <v>41090</v>
      </c>
      <c r="AK30" s="7">
        <v>41182</v>
      </c>
      <c r="AL30" s="7">
        <v>41274</v>
      </c>
      <c r="AM30" s="7">
        <v>41364</v>
      </c>
      <c r="AN30" s="7">
        <v>41455</v>
      </c>
      <c r="AO30" s="7">
        <v>41547</v>
      </c>
      <c r="AP30" s="7">
        <v>41639</v>
      </c>
      <c r="AQ30" s="7">
        <v>41729</v>
      </c>
      <c r="AR30" s="7">
        <v>41820</v>
      </c>
      <c r="AS30" s="7">
        <v>41912</v>
      </c>
      <c r="AT30" s="7">
        <v>42004</v>
      </c>
      <c r="AU30" s="7">
        <v>42094</v>
      </c>
      <c r="AV30" s="7">
        <v>42185</v>
      </c>
      <c r="AW30" s="7">
        <v>42277</v>
      </c>
      <c r="AX30" s="7">
        <v>42369</v>
      </c>
      <c r="AY30" s="7">
        <v>42460</v>
      </c>
      <c r="AZ30" s="7">
        <v>42551</v>
      </c>
      <c r="BA30" s="7">
        <v>42643</v>
      </c>
      <c r="BB30" s="7">
        <v>42735</v>
      </c>
      <c r="BC30" s="7">
        <v>42825</v>
      </c>
      <c r="BD30" s="7">
        <v>42916</v>
      </c>
      <c r="BE30" s="7">
        <v>43008</v>
      </c>
      <c r="BF30" s="7">
        <v>43100</v>
      </c>
      <c r="BG30" s="7">
        <v>43190</v>
      </c>
      <c r="BH30" s="7">
        <v>43281</v>
      </c>
      <c r="BI30" s="7">
        <v>43373</v>
      </c>
      <c r="BJ30" s="7">
        <v>43465</v>
      </c>
      <c r="BK30" s="7">
        <v>43555</v>
      </c>
      <c r="BL30" s="7">
        <v>43646</v>
      </c>
      <c r="BM30" s="7">
        <v>43738</v>
      </c>
      <c r="BN30" s="7">
        <v>43830</v>
      </c>
      <c r="BO30" s="7">
        <v>43921</v>
      </c>
      <c r="BP30" s="7">
        <v>44012</v>
      </c>
      <c r="BQ30" s="7">
        <v>44104</v>
      </c>
      <c r="BR30" s="7">
        <v>44196</v>
      </c>
      <c r="BS30" s="7">
        <v>44286</v>
      </c>
      <c r="BT30" s="7">
        <v>44377</v>
      </c>
      <c r="BU30" s="7">
        <v>44469</v>
      </c>
      <c r="BV30" s="7">
        <v>44561</v>
      </c>
      <c r="BW30" s="7">
        <v>44651</v>
      </c>
      <c r="BX30" s="7">
        <v>44742</v>
      </c>
      <c r="BY30" s="7">
        <v>44834</v>
      </c>
      <c r="BZ30" s="7">
        <v>44926</v>
      </c>
      <c r="CA30" s="7">
        <v>45016</v>
      </c>
      <c r="CB30" s="7">
        <v>45107</v>
      </c>
      <c r="CC30" s="7">
        <v>45199</v>
      </c>
      <c r="CD30" s="7">
        <v>45291</v>
      </c>
      <c r="CE30" s="7">
        <v>45382</v>
      </c>
      <c r="CF30" s="7">
        <v>45473</v>
      </c>
      <c r="CG30" s="7">
        <v>45565</v>
      </c>
      <c r="CH30" s="7">
        <v>45657</v>
      </c>
      <c r="CI30" s="7">
        <v>45747</v>
      </c>
      <c r="CJ30" s="7">
        <v>45838</v>
      </c>
      <c r="CK30" s="7">
        <v>45930</v>
      </c>
      <c r="CL30" s="7">
        <v>46022</v>
      </c>
      <c r="CM30" s="7">
        <v>46112</v>
      </c>
      <c r="CN30" s="7">
        <v>46203</v>
      </c>
      <c r="CO30" s="7">
        <v>46295</v>
      </c>
      <c r="CP30" s="7">
        <v>46387</v>
      </c>
      <c r="CQ30" s="7">
        <v>46477</v>
      </c>
      <c r="CR30" s="7">
        <v>46568</v>
      </c>
      <c r="CS30" s="7">
        <v>46660</v>
      </c>
      <c r="CT30" s="7">
        <v>46752</v>
      </c>
      <c r="CU30" s="7">
        <v>46843</v>
      </c>
      <c r="CV30" s="7">
        <v>46934</v>
      </c>
      <c r="CW30" s="7">
        <v>47026</v>
      </c>
      <c r="CX30" s="7">
        <v>47118</v>
      </c>
      <c r="CY30" s="7">
        <v>47208</v>
      </c>
      <c r="CZ30" s="7">
        <v>47299</v>
      </c>
      <c r="DA30" s="7">
        <v>47391</v>
      </c>
      <c r="DB30" s="7">
        <v>47483</v>
      </c>
      <c r="DC30" s="7">
        <v>47573</v>
      </c>
      <c r="DD30" s="7">
        <v>47664</v>
      </c>
      <c r="DE30" s="7">
        <v>47756</v>
      </c>
      <c r="DF30" s="7">
        <v>47848</v>
      </c>
      <c r="DG30" s="7">
        <v>47938</v>
      </c>
      <c r="DH30" s="7">
        <v>48029</v>
      </c>
      <c r="DI30" s="7">
        <v>48121</v>
      </c>
      <c r="DJ30" s="7">
        <v>48213</v>
      </c>
      <c r="DK30" s="7">
        <v>48304</v>
      </c>
      <c r="DL30" s="7">
        <v>48395</v>
      </c>
      <c r="DM30" s="7">
        <v>48487</v>
      </c>
      <c r="DN30" s="7">
        <v>48579</v>
      </c>
      <c r="DO30" s="7">
        <v>48669</v>
      </c>
      <c r="DP30" s="7">
        <v>48760</v>
      </c>
      <c r="DQ30" s="7">
        <v>48852</v>
      </c>
      <c r="DR30" s="7">
        <v>48944</v>
      </c>
      <c r="GI30" s="1"/>
    </row>
    <row r="31" spans="1:191" x14ac:dyDescent="0.25">
      <c r="A31" s="4">
        <v>1</v>
      </c>
      <c r="O31" s="18">
        <f t="shared" ref="O31:AJ31" ca="1" si="70">IF(O3="","",AVERAGE(N22)+CONFIDENCE(0.05,STDEV(B22:N22),COUNT(B22:N22)))</f>
        <v>2.6154108706878446E-3</v>
      </c>
      <c r="P31" s="18">
        <f t="shared" ca="1" si="70"/>
        <v>3.1307705996858615E-3</v>
      </c>
      <c r="Q31" s="18">
        <f t="shared" ca="1" si="70"/>
        <v>1.9668029646146704E-3</v>
      </c>
      <c r="R31" s="18">
        <f t="shared" ca="1" si="70"/>
        <v>4.0483157340723023E-3</v>
      </c>
      <c r="S31" s="18">
        <f t="shared" ca="1" si="70"/>
        <v>2.2147861215833821E-3</v>
      </c>
      <c r="T31" s="18">
        <f t="shared" ca="1" si="70"/>
        <v>2.6923386594681891E-3</v>
      </c>
      <c r="U31" s="18">
        <f t="shared" ca="1" si="70"/>
        <v>4.2761068671890766E-3</v>
      </c>
      <c r="V31" s="18">
        <f t="shared" ca="1" si="70"/>
        <v>1.7019665855555087E-3</v>
      </c>
      <c r="W31" s="18">
        <f t="shared" ca="1" si="70"/>
        <v>4.4835754314598965E-3</v>
      </c>
      <c r="X31" s="18">
        <f t="shared" ca="1" si="70"/>
        <v>8.5514268382363371E-3</v>
      </c>
      <c r="Y31" s="18">
        <f t="shared" ca="1" si="70"/>
        <v>9.6696909071389073E-3</v>
      </c>
      <c r="Z31" s="18">
        <f t="shared" ca="1" si="70"/>
        <v>2.2415269149192521E-3</v>
      </c>
      <c r="AA31" s="18">
        <f t="shared" ca="1" si="70"/>
        <v>2.6136686895968913E-3</v>
      </c>
      <c r="AB31" s="18">
        <f t="shared" ca="1" si="70"/>
        <v>4.495103006411651E-3</v>
      </c>
      <c r="AC31" s="18">
        <f t="shared" ca="1" si="70"/>
        <v>4.6810005213224143E-3</v>
      </c>
      <c r="AD31" s="18">
        <f t="shared" ca="1" si="70"/>
        <v>4.4212332763329948E-3</v>
      </c>
      <c r="AE31" s="18">
        <f t="shared" ca="1" si="70"/>
        <v>3.5048394258948854E-3</v>
      </c>
      <c r="AF31" s="18">
        <f t="shared" ca="1" si="70"/>
        <v>3.9628985691267313E-3</v>
      </c>
      <c r="AG31" s="18">
        <f t="shared" ca="1" si="70"/>
        <v>2.0779839957283308E-3</v>
      </c>
      <c r="AH31" s="18">
        <f t="shared" ca="1" si="70"/>
        <v>3.9572980106732797E-3</v>
      </c>
      <c r="AI31" s="18">
        <f t="shared" ca="1" si="70"/>
        <v>1.40218239270155E-3</v>
      </c>
      <c r="AJ31" s="18">
        <f t="shared" ca="1" si="70"/>
        <v>1.6040035955985094E-3</v>
      </c>
      <c r="AK31" s="18">
        <f ca="1">IF(AK3="","",AVERAGE(AJ22)+CONFIDENCE(0.05,STDEV(X22:AJ22),COUNT(X22:AJ22)))</f>
        <v>1.4352661148884218E-3</v>
      </c>
      <c r="AL31" s="18">
        <f t="shared" ref="AL31:BU31" ca="1" si="71">IF(AL3="","",AK22+CONFIDENCE(0.05,STDEV(Y22:AK22),COUNT(Y22:AK22)))</f>
        <v>5.6190730482211029E-3</v>
      </c>
      <c r="AM31" s="18">
        <f t="shared" ca="1" si="71"/>
        <v>1.1524117621250808E-3</v>
      </c>
      <c r="AN31" s="18">
        <f t="shared" ca="1" si="71"/>
        <v>6.4105460738186244E-3</v>
      </c>
      <c r="AO31" s="18">
        <f t="shared" ca="1" si="71"/>
        <v>2.6904776403010628E-3</v>
      </c>
      <c r="AP31" s="18">
        <f t="shared" ca="1" si="71"/>
        <v>1.4779428700037853E-3</v>
      </c>
      <c r="AQ31" s="18">
        <f t="shared" ca="1" si="71"/>
        <v>6.0082498813189521E-3</v>
      </c>
      <c r="AR31" s="18">
        <f t="shared" ca="1" si="71"/>
        <v>8.4433424792784983E-3</v>
      </c>
      <c r="AS31" s="18">
        <f t="shared" ca="1" si="71"/>
        <v>1.4000796798723967E-3</v>
      </c>
      <c r="AT31" s="18">
        <f t="shared" ca="1" si="71"/>
        <v>9.9198780450177916E-3</v>
      </c>
      <c r="AU31" s="18">
        <f t="shared" ca="1" si="71"/>
        <v>5.8949891032513829E-3</v>
      </c>
      <c r="AV31" s="18">
        <f t="shared" ca="1" si="71"/>
        <v>7.2095884822204314E-3</v>
      </c>
      <c r="AW31" s="18">
        <f t="shared" ca="1" si="71"/>
        <v>5.9680294420617497E-3</v>
      </c>
      <c r="AX31" s="18">
        <f t="shared" ca="1" si="71"/>
        <v>2.3698850155550472E-3</v>
      </c>
      <c r="AY31" s="18">
        <f t="shared" ca="1" si="71"/>
        <v>2.97567838945609E-3</v>
      </c>
      <c r="AZ31" s="18">
        <f t="shared" ca="1" si="71"/>
        <v>2.2447631411150796E-3</v>
      </c>
      <c r="BA31" s="18">
        <f t="shared" ca="1" si="71"/>
        <v>2.162555108942866E-3</v>
      </c>
      <c r="BB31" s="18">
        <f t="shared" ca="1" si="71"/>
        <v>4.7326795523180924E-3</v>
      </c>
      <c r="BC31" s="18">
        <f t="shared" ca="1" si="71"/>
        <v>2.8099700627285526E-3</v>
      </c>
      <c r="BD31" s="18">
        <f t="shared" ca="1" si="71"/>
        <v>1.5382380440797797E-3</v>
      </c>
      <c r="BE31" s="18">
        <f t="shared" ca="1" si="71"/>
        <v>5.6719818608217953E-3</v>
      </c>
      <c r="BF31" s="18">
        <f t="shared" ca="1" si="71"/>
        <v>2.0047933634564168E-3</v>
      </c>
      <c r="BG31" s="18">
        <f t="shared" ca="1" si="71"/>
        <v>3.1402789050887707E-3</v>
      </c>
      <c r="BH31" s="18">
        <f t="shared" ca="1" si="71"/>
        <v>6.4708616737685796E-3</v>
      </c>
      <c r="BI31" s="18">
        <f t="shared" ca="1" si="71"/>
        <v>1.3334739918450886E-3</v>
      </c>
      <c r="BJ31" s="18">
        <f t="shared" ca="1" si="71"/>
        <v>1.8596905615411597E-3</v>
      </c>
      <c r="BK31" s="18">
        <f t="shared" ca="1" si="71"/>
        <v>1.1546131829684421E-3</v>
      </c>
      <c r="BL31" s="18">
        <f t="shared" ca="1" si="71"/>
        <v>6.1777120396910128E-3</v>
      </c>
      <c r="BM31" s="18">
        <f t="shared" ca="1" si="71"/>
        <v>1.4353400204221885E-3</v>
      </c>
      <c r="BN31" s="18">
        <f t="shared" ca="1" si="71"/>
        <v>2.9983309741802612E-3</v>
      </c>
      <c r="BO31" s="18">
        <f t="shared" ca="1" si="71"/>
        <v>8.4951816160164575E-3</v>
      </c>
      <c r="BP31" s="18">
        <f t="shared" ca="1" si="71"/>
        <v>5.8858650639555893E-2</v>
      </c>
      <c r="BQ31" s="18">
        <f t="shared" ca="1" si="71"/>
        <v>5.6782902518783901E-2</v>
      </c>
      <c r="BR31" s="18">
        <f t="shared" ca="1" si="71"/>
        <v>2.2720194748292736E-2</v>
      </c>
      <c r="BS31" s="18" t="str">
        <f t="shared" si="71"/>
        <v/>
      </c>
      <c r="BT31" s="18" t="str">
        <f t="shared" si="71"/>
        <v/>
      </c>
      <c r="BU31" s="18" t="str">
        <f t="shared" si="71"/>
        <v/>
      </c>
      <c r="BV31" s="18" t="str">
        <f t="shared" ref="BV31" si="72">IF(BV3="","",BU22+CONFIDENCE(0.05,STDEV(BI22:BU22),COUNT(BI22:BU22)))</f>
        <v/>
      </c>
      <c r="BW31" s="18" t="str">
        <f t="shared" ref="BW31" si="73">IF(BW3="","",BV22+CONFIDENCE(0.05,STDEV(BJ22:BV22),COUNT(BJ22:BV22)))</f>
        <v/>
      </c>
      <c r="BX31" s="18" t="str">
        <f t="shared" ref="BX31" si="74">IF(BX3="","",BW22+CONFIDENCE(0.05,STDEV(BK22:BW22),COUNT(BK22:BW22)))</f>
        <v/>
      </c>
      <c r="BY31" s="18" t="str">
        <f t="shared" ref="BY31" si="75">IF(BY3="","",BX22+CONFIDENCE(0.05,STDEV(BL22:BX22),COUNT(BL22:BX22)))</f>
        <v/>
      </c>
      <c r="BZ31" s="18" t="str">
        <f t="shared" ref="BZ31" si="76">IF(BZ3="","",BY22+CONFIDENCE(0.05,STDEV(BM22:BY22),COUNT(BM22:BY22)))</f>
        <v/>
      </c>
      <c r="CA31" s="18" t="str">
        <f t="shared" ref="CA31" si="77">IF(CA3="","",BZ22+CONFIDENCE(0.05,STDEV(BN22:BZ22),COUNT(BN22:BZ22)))</f>
        <v/>
      </c>
      <c r="CB31" s="18" t="str">
        <f t="shared" ref="CB31" si="78">IF(CB3="","",CA22+CONFIDENCE(0.05,STDEV(BO22:CA22),COUNT(BO22:CA22)))</f>
        <v/>
      </c>
      <c r="CC31" s="18" t="str">
        <f t="shared" ref="CC31" si="79">IF(CC3="","",CB22+CONFIDENCE(0.05,STDEV(BP22:CB22),COUNT(BP22:CB22)))</f>
        <v/>
      </c>
      <c r="CD31" s="18" t="str">
        <f t="shared" ref="CD31" si="80">IF(CD3="","",CC22+CONFIDENCE(0.05,STDEV(BQ22:CC22),COUNT(BQ22:CC22)))</f>
        <v/>
      </c>
      <c r="CE31" s="18" t="str">
        <f t="shared" ref="CE31" si="81">IF(CE3="","",CD22+CONFIDENCE(0.05,STDEV(BR22:CD22),COUNT(BR22:CD22)))</f>
        <v/>
      </c>
      <c r="CF31" s="18" t="str">
        <f t="shared" ref="CF31" si="82">IF(CF3="","",CE22+CONFIDENCE(0.05,STDEV(BS22:CE22),COUNT(BS22:CE22)))</f>
        <v/>
      </c>
      <c r="CG31" s="18" t="str">
        <f t="shared" ref="CG31" si="83">IF(CG3="","",CF22+CONFIDENCE(0.05,STDEV(BT22:CF22),COUNT(BT22:CF22)))</f>
        <v/>
      </c>
      <c r="CH31" s="18" t="str">
        <f t="shared" ref="CH31" si="84">IF(CH3="","",CG22+CONFIDENCE(0.05,STDEV(BU22:CG22),COUNT(BU22:CG22)))</f>
        <v/>
      </c>
      <c r="CI31" s="18" t="str">
        <f t="shared" ref="CI31" si="85">IF(CI3="","",CH22+CONFIDENCE(0.05,STDEV(BV22:CH22),COUNT(BV22:CH22)))</f>
        <v/>
      </c>
      <c r="CJ31" s="18" t="str">
        <f t="shared" ref="CJ31" si="86">IF(CJ3="","",CI22+CONFIDENCE(0.05,STDEV(BW22:CI22),COUNT(BW22:CI22)))</f>
        <v/>
      </c>
      <c r="CK31" s="18" t="str">
        <f t="shared" ref="CK31" si="87">IF(CK3="","",CJ22+CONFIDENCE(0.05,STDEV(BX22:CJ22),COUNT(BX22:CJ22)))</f>
        <v/>
      </c>
      <c r="CL31" s="18" t="str">
        <f t="shared" ref="CL31" si="88">IF(CL3="","",CK22+CONFIDENCE(0.05,STDEV(BY22:CK22),COUNT(BY22:CK22)))</f>
        <v/>
      </c>
      <c r="CM31" s="18" t="str">
        <f t="shared" ref="CM31" si="89">IF(CM3="","",CL22+CONFIDENCE(0.05,STDEV(BZ22:CL22),COUNT(BZ22:CL22)))</f>
        <v/>
      </c>
      <c r="CN31" s="18" t="str">
        <f t="shared" ref="CN31" si="90">IF(CN3="","",CM22+CONFIDENCE(0.05,STDEV(CA22:CM22),COUNT(CA22:CM22)))</f>
        <v/>
      </c>
      <c r="CO31" s="18" t="str">
        <f t="shared" ref="CO31" si="91">IF(CO3="","",CN22+CONFIDENCE(0.05,STDEV(CB22:CN22),COUNT(CB22:CN22)))</f>
        <v/>
      </c>
      <c r="CP31" s="18" t="str">
        <f t="shared" ref="CP31" si="92">IF(CP3="","",CO22+CONFIDENCE(0.05,STDEV(CC22:CO22),COUNT(CC22:CO22)))</f>
        <v/>
      </c>
      <c r="CQ31" s="18" t="str">
        <f t="shared" ref="CQ31" si="93">IF(CQ3="","",CP22+CONFIDENCE(0.05,STDEV(CD22:CP22),COUNT(CD22:CP22)))</f>
        <v/>
      </c>
      <c r="CR31" s="18" t="str">
        <f t="shared" ref="CR31" si="94">IF(CR3="","",CQ22+CONFIDENCE(0.05,STDEV(CE22:CQ22),COUNT(CE22:CQ22)))</f>
        <v/>
      </c>
      <c r="CS31" s="18" t="str">
        <f t="shared" ref="CS31" si="95">IF(CS3="","",CR22+CONFIDENCE(0.05,STDEV(CF22:CR22),COUNT(CF22:CR22)))</f>
        <v/>
      </c>
      <c r="CT31" s="18" t="str">
        <f t="shared" ref="CT31" si="96">IF(CT3="","",CS22+CONFIDENCE(0.05,STDEV(CG22:CS22),COUNT(CG22:CS22)))</f>
        <v/>
      </c>
      <c r="CU31" s="18" t="str">
        <f t="shared" ref="CU31" si="97">IF(CU3="","",CT22+CONFIDENCE(0.05,STDEV(CH22:CT22),COUNT(CH22:CT22)))</f>
        <v/>
      </c>
      <c r="CV31" s="18" t="str">
        <f t="shared" ref="CV31" si="98">IF(CV3="","",CU22+CONFIDENCE(0.05,STDEV(CI22:CU22),COUNT(CI22:CU22)))</f>
        <v/>
      </c>
      <c r="CW31" s="18" t="str">
        <f t="shared" ref="CW31" si="99">IF(CW3="","",CV22+CONFIDENCE(0.05,STDEV(CJ22:CV22),COUNT(CJ22:CV22)))</f>
        <v/>
      </c>
      <c r="CX31" s="18" t="str">
        <f t="shared" ref="CX31" si="100">IF(CX3="","",CW22+CONFIDENCE(0.05,STDEV(CK22:CW22),COUNT(CK22:CW22)))</f>
        <v/>
      </c>
      <c r="CY31" s="18" t="str">
        <f t="shared" ref="CY31" si="101">IF(CY3="","",CX22+CONFIDENCE(0.05,STDEV(CL22:CX22),COUNT(CL22:CX22)))</f>
        <v/>
      </c>
      <c r="CZ31" s="18" t="str">
        <f t="shared" ref="CZ31" si="102">IF(CZ3="","",CY22+CONFIDENCE(0.05,STDEV(CM22:CY22),COUNT(CM22:CY22)))</f>
        <v/>
      </c>
      <c r="DA31" s="18" t="str">
        <f t="shared" ref="DA31" si="103">IF(DA3="","",CZ22+CONFIDENCE(0.05,STDEV(CN22:CZ22),COUNT(CN22:CZ22)))</f>
        <v/>
      </c>
      <c r="DB31" s="18" t="str">
        <f t="shared" ref="DB31" si="104">IF(DB3="","",DA22+CONFIDENCE(0.05,STDEV(CO22:DA22),COUNT(CO22:DA22)))</f>
        <v/>
      </c>
      <c r="DC31" s="18" t="str">
        <f t="shared" ref="DC31" si="105">IF(DC3="","",DB22+CONFIDENCE(0.05,STDEV(CP22:DB22),COUNT(CP22:DB22)))</f>
        <v/>
      </c>
      <c r="DD31" s="18" t="str">
        <f t="shared" ref="DD31" si="106">IF(DD3="","",DC22+CONFIDENCE(0.05,STDEV(CQ22:DC22),COUNT(CQ22:DC22)))</f>
        <v/>
      </c>
      <c r="DE31" s="18" t="str">
        <f t="shared" ref="DE31" si="107">IF(DE3="","",DD22+CONFIDENCE(0.05,STDEV(CR22:DD22),COUNT(CR22:DD22)))</f>
        <v/>
      </c>
      <c r="DF31" s="18" t="str">
        <f t="shared" ref="DF31" si="108">IF(DF3="","",DE22+CONFIDENCE(0.05,STDEV(CS22:DE22),COUNT(CS22:DE22)))</f>
        <v/>
      </c>
      <c r="DG31" s="18" t="str">
        <f t="shared" ref="DG31" si="109">IF(DG3="","",DF22+CONFIDENCE(0.05,STDEV(CT22:DF22),COUNT(CT22:DF22)))</f>
        <v/>
      </c>
      <c r="DH31" s="18" t="str">
        <f t="shared" ref="DH31" si="110">IF(DH3="","",DG22+CONFIDENCE(0.05,STDEV(CU22:DG22),COUNT(CU22:DG22)))</f>
        <v/>
      </c>
      <c r="DI31" s="18" t="str">
        <f t="shared" ref="DI31" si="111">IF(DI3="","",DH22+CONFIDENCE(0.05,STDEV(CV22:DH22),COUNT(CV22:DH22)))</f>
        <v/>
      </c>
      <c r="DJ31" s="18" t="str">
        <f t="shared" ref="DJ31" si="112">IF(DJ3="","",DI22+CONFIDENCE(0.05,STDEV(CW22:DI22),COUNT(CW22:DI22)))</f>
        <v/>
      </c>
      <c r="DK31" s="18" t="str">
        <f t="shared" ref="DK31" si="113">IF(DK3="","",DJ22+CONFIDENCE(0.05,STDEV(CX22:DJ22),COUNT(CX22:DJ22)))</f>
        <v/>
      </c>
      <c r="DL31" s="18" t="str">
        <f t="shared" ref="DL31" si="114">IF(DL3="","",DK22+CONFIDENCE(0.05,STDEV(CY22:DK22),COUNT(CY22:DK22)))</f>
        <v/>
      </c>
      <c r="DM31" s="18" t="str">
        <f t="shared" ref="DM31" si="115">IF(DM3="","",DL22+CONFIDENCE(0.05,STDEV(CZ22:DL22),COUNT(CZ22:DL22)))</f>
        <v/>
      </c>
      <c r="DN31" s="18" t="str">
        <f t="shared" ref="DN31" si="116">IF(DN3="","",DM22+CONFIDENCE(0.05,STDEV(DA22:DM22),COUNT(DA22:DM22)))</f>
        <v/>
      </c>
      <c r="DO31" s="18" t="str">
        <f t="shared" ref="DO31" si="117">IF(DO3="","",DN22+CONFIDENCE(0.05,STDEV(DB22:DN22),COUNT(DB22:DN22)))</f>
        <v/>
      </c>
      <c r="DP31" s="18" t="str">
        <f t="shared" ref="DP31" si="118">IF(DP3="","",DO22+CONFIDENCE(0.05,STDEV(DC22:DO22),COUNT(DC22:DO22)))</f>
        <v/>
      </c>
      <c r="DQ31" s="18" t="str">
        <f t="shared" ref="DQ31" si="119">IF(DQ3="","",DP22+CONFIDENCE(0.05,STDEV(DD22:DP22),COUNT(DD22:DP22)))</f>
        <v/>
      </c>
      <c r="DR31" s="18" t="str">
        <f t="shared" ref="DR31" si="120">IF(DR3="","",DQ22+CONFIDENCE(0.05,STDEV(DE22:DQ22),COUNT(DE22:DQ22)))</f>
        <v/>
      </c>
    </row>
    <row r="32" spans="1:191" x14ac:dyDescent="0.25">
      <c r="A32" s="4">
        <v>2</v>
      </c>
      <c r="O32" s="18">
        <f t="shared" ref="O32:AJ32" ca="1" si="121">IF(O4="","",AVERAGE(M23:N23)+CONFIDENCE(0.05,STDEV(B23:N23),COUNT(B23:N23)))</f>
        <v>1.9240338523384176E-3</v>
      </c>
      <c r="P32" s="18">
        <f t="shared" ca="1" si="121"/>
        <v>2.7904420119951321E-3</v>
      </c>
      <c r="Q32" s="18">
        <f t="shared" ca="1" si="121"/>
        <v>3.5452382228246676E-3</v>
      </c>
      <c r="R32" s="18">
        <f t="shared" ca="1" si="121"/>
        <v>3.7645177180944374E-3</v>
      </c>
      <c r="S32" s="18">
        <f t="shared" ca="1" si="121"/>
        <v>3.7315797753547852E-3</v>
      </c>
      <c r="T32" s="18">
        <f t="shared" ca="1" si="121"/>
        <v>3.5299749990054296E-3</v>
      </c>
      <c r="U32" s="18">
        <f t="shared" ca="1" si="121"/>
        <v>5.0322454536223943E-3</v>
      </c>
      <c r="V32" s="18">
        <f t="shared" ca="1" si="121"/>
        <v>5.9619974101387928E-3</v>
      </c>
      <c r="W32" s="18">
        <f t="shared" ca="1" si="121"/>
        <v>1.0616346916638932E-2</v>
      </c>
      <c r="X32" s="18">
        <f t="shared" ca="1" si="121"/>
        <v>1.8139979834127972E-2</v>
      </c>
      <c r="Y32" s="18">
        <f t="shared" ca="1" si="121"/>
        <v>1.8786209637685094E-2</v>
      </c>
      <c r="Z32" s="18">
        <f t="shared" ca="1" si="121"/>
        <v>9.8365846015359953E-3</v>
      </c>
      <c r="AA32" s="18">
        <f t="shared" ca="1" si="121"/>
        <v>5.510540563330924E-3</v>
      </c>
      <c r="AB32" s="18">
        <f t="shared" ca="1" si="121"/>
        <v>5.6823190318541078E-3</v>
      </c>
      <c r="AC32" s="18">
        <f t="shared" ca="1" si="121"/>
        <v>7.2033206672546249E-3</v>
      </c>
      <c r="AD32" s="18">
        <f t="shared" ca="1" si="121"/>
        <v>1.0126088020552515E-2</v>
      </c>
      <c r="AE32" s="18">
        <f t="shared" ca="1" si="121"/>
        <v>6.2677368424378776E-3</v>
      </c>
      <c r="AF32" s="18">
        <f t="shared" ca="1" si="121"/>
        <v>4.6113897877274263E-3</v>
      </c>
      <c r="AG32" s="18">
        <f t="shared" ca="1" si="121"/>
        <v>6.5297025730619287E-3</v>
      </c>
      <c r="AH32" s="18">
        <f t="shared" ca="1" si="121"/>
        <v>6.7620776693052024E-3</v>
      </c>
      <c r="AI32" s="18">
        <f t="shared" ca="1" si="121"/>
        <v>5.0876464525709151E-3</v>
      </c>
      <c r="AJ32" s="18">
        <f t="shared" ca="1" si="121"/>
        <v>3.6257858372617394E-3</v>
      </c>
      <c r="AK32" s="18">
        <f ca="1">IF(AK4="","",AVERAGE(AI23:AJ23)+CONFIDENCE(0.05,STDEV(X23:AJ23),COUNT(X23:AJ23)))</f>
        <v>4.7934033566033535E-3</v>
      </c>
      <c r="AL32" s="18">
        <f ca="1">IF(AL4="","",OFFSET(AK23,0,-COUNTBLANK(AE23:AK23),1,1)+CONFIDENCE(0.05,STDEV(Y23:AK23),COUNT(Y23:AK23)))</f>
        <v>8.18312292840199E-3</v>
      </c>
      <c r="AM32" s="18">
        <f t="shared" ref="AM32:BU34" ca="1" si="122">IF(AM4="","",OFFSET(AL23,0,-COUNTBLANK(AF23:AL23),1,1)+CONFIDENCE(0.05,STDEV(Z23:AL23),COUNT(Z23:AL23)))</f>
        <v>7.847713675263681E-3</v>
      </c>
      <c r="AN32" s="18">
        <f t="shared" ca="1" si="122"/>
        <v>7.377091115280638E-3</v>
      </c>
      <c r="AO32" s="18">
        <f t="shared" ca="1" si="122"/>
        <v>3.0803750380635295E-3</v>
      </c>
      <c r="AP32" s="18">
        <f t="shared" ca="1" si="122"/>
        <v>7.1881998025602944E-3</v>
      </c>
      <c r="AQ32" s="18">
        <f t="shared" ca="1" si="122"/>
        <v>1.7213187438234853E-3</v>
      </c>
      <c r="AR32" s="18">
        <f t="shared" ca="1" si="122"/>
        <v>9.8271101928604949E-3</v>
      </c>
      <c r="AS32" s="18">
        <f t="shared" ca="1" si="122"/>
        <v>9.8474255433903327E-3</v>
      </c>
      <c r="AT32" s="18">
        <f t="shared" ca="1" si="122"/>
        <v>8.3687598378487556E-3</v>
      </c>
      <c r="AU32" s="18">
        <f t="shared" ca="1" si="122"/>
        <v>1.8905279436805381E-3</v>
      </c>
      <c r="AV32" s="18">
        <f t="shared" ca="1" si="122"/>
        <v>3.6584388013056208E-3</v>
      </c>
      <c r="AW32" s="18">
        <f t="shared" ca="1" si="122"/>
        <v>6.2206505699142723E-3</v>
      </c>
      <c r="AX32" s="18">
        <f t="shared" ca="1" si="122"/>
        <v>4.1188660502791564E-3</v>
      </c>
      <c r="AY32" s="18">
        <f t="shared" ca="1" si="122"/>
        <v>3.8992095897778223E-3</v>
      </c>
      <c r="AZ32" s="18">
        <f t="shared" ca="1" si="122"/>
        <v>2.9682812333653155E-3</v>
      </c>
      <c r="BA32" s="18">
        <f t="shared" ca="1" si="122"/>
        <v>4.0538159367300118E-3</v>
      </c>
      <c r="BB32" s="18">
        <f t="shared" ca="1" si="122"/>
        <v>4.4338856138898958E-3</v>
      </c>
      <c r="BC32" s="18">
        <f t="shared" ca="1" si="122"/>
        <v>3.0850405515220865E-3</v>
      </c>
      <c r="BD32" s="18">
        <f t="shared" ca="1" si="122"/>
        <v>5.7957317772800677E-3</v>
      </c>
      <c r="BE32" s="18">
        <f t="shared" ca="1" si="122"/>
        <v>7.3285508021699169E-3</v>
      </c>
      <c r="BF32" s="18">
        <f t="shared" ca="1" si="122"/>
        <v>2.6037558658329541E-3</v>
      </c>
      <c r="BG32" s="18">
        <f t="shared" ca="1" si="122"/>
        <v>3.8869220733075689E-3</v>
      </c>
      <c r="BH32" s="18">
        <f t="shared" ca="1" si="122"/>
        <v>7.9471428293753227E-3</v>
      </c>
      <c r="BI32" s="18">
        <f t="shared" ca="1" si="122"/>
        <v>2.4690676605001348E-3</v>
      </c>
      <c r="BJ32" s="18">
        <f t="shared" ca="1" si="122"/>
        <v>2.0104920564458801E-3</v>
      </c>
      <c r="BK32" s="18">
        <f t="shared" ca="1" si="122"/>
        <v>6.2481878216317007E-3</v>
      </c>
      <c r="BL32" s="18">
        <f t="shared" ca="1" si="122"/>
        <v>8.1902734939345821E-3</v>
      </c>
      <c r="BM32" s="18">
        <f t="shared" ca="1" si="122"/>
        <v>3.7180057872125555E-3</v>
      </c>
      <c r="BN32" s="18">
        <f t="shared" ca="1" si="122"/>
        <v>5.6467558196491427E-3</v>
      </c>
      <c r="BO32" s="18">
        <f t="shared" ca="1" si="122"/>
        <v>6.8953898398321001E-2</v>
      </c>
      <c r="BP32" s="18">
        <f t="shared" ca="1" si="122"/>
        <v>1.8098552123654344E-2</v>
      </c>
      <c r="BQ32" s="18">
        <f t="shared" ca="1" si="122"/>
        <v>7.3146489389692093E-2</v>
      </c>
      <c r="BR32" s="18">
        <f t="shared" ca="1" si="122"/>
        <v>7.4095277869594425E-2</v>
      </c>
      <c r="BS32" s="18" t="str">
        <f t="shared" ca="1" si="122"/>
        <v/>
      </c>
      <c r="BT32" s="18" t="str">
        <f t="shared" ca="1" si="122"/>
        <v/>
      </c>
      <c r="BU32" s="18" t="str">
        <f t="shared" ca="1" si="122"/>
        <v/>
      </c>
      <c r="BV32" s="18" t="str">
        <f t="shared" ref="BV32:BV34" ca="1" si="123">IF(BV4="","",OFFSET(BU23,0,-COUNTBLANK(BO23:BU23),1,1)+CONFIDENCE(0.05,STDEV(BI23:BU23),COUNT(BI23:BU23)))</f>
        <v/>
      </c>
      <c r="BW32" s="18" t="str">
        <f t="shared" ref="BW32:BW34" ca="1" si="124">IF(BW4="","",OFFSET(BV23,0,-COUNTBLANK(BP23:BV23),1,1)+CONFIDENCE(0.05,STDEV(BJ23:BV23),COUNT(BJ23:BV23)))</f>
        <v/>
      </c>
      <c r="BX32" s="18" t="str">
        <f t="shared" ref="BX32:BX34" ca="1" si="125">IF(BX4="","",OFFSET(BW23,0,-COUNTBLANK(BQ23:BW23),1,1)+CONFIDENCE(0.05,STDEV(BK23:BW23),COUNT(BK23:BW23)))</f>
        <v/>
      </c>
      <c r="BY32" s="18" t="str">
        <f t="shared" ref="BY32:BY34" ca="1" si="126">IF(BY4="","",OFFSET(BX23,0,-COUNTBLANK(BR23:BX23),1,1)+CONFIDENCE(0.05,STDEV(BL23:BX23),COUNT(BL23:BX23)))</f>
        <v/>
      </c>
      <c r="BZ32" s="18" t="str">
        <f t="shared" ref="BZ32:BZ34" ca="1" si="127">IF(BZ4="","",OFFSET(BY23,0,-COUNTBLANK(BS23:BY23),1,1)+CONFIDENCE(0.05,STDEV(BM23:BY23),COUNT(BM23:BY23)))</f>
        <v/>
      </c>
      <c r="CA32" s="18" t="str">
        <f t="shared" ref="CA32:CA34" ca="1" si="128">IF(CA4="","",OFFSET(BZ23,0,-COUNTBLANK(BT23:BZ23),1,1)+CONFIDENCE(0.05,STDEV(BN23:BZ23),COUNT(BN23:BZ23)))</f>
        <v/>
      </c>
      <c r="CB32" s="18" t="str">
        <f t="shared" ref="CB32:CB34" ca="1" si="129">IF(CB4="","",OFFSET(CA23,0,-COUNTBLANK(BU23:CA23),1,1)+CONFIDENCE(0.05,STDEV(BO23:CA23),COUNT(BO23:CA23)))</f>
        <v/>
      </c>
      <c r="CC32" s="18" t="str">
        <f t="shared" ref="CC32:CC34" ca="1" si="130">IF(CC4="","",OFFSET(CB23,0,-COUNTBLANK(BV23:CB23),1,1)+CONFIDENCE(0.05,STDEV(BP23:CB23),COUNT(BP23:CB23)))</f>
        <v/>
      </c>
      <c r="CD32" s="18" t="str">
        <f t="shared" ref="CD32:CD34" ca="1" si="131">IF(CD4="","",OFFSET(CC23,0,-COUNTBLANK(BW23:CC23),1,1)+CONFIDENCE(0.05,STDEV(BQ23:CC23),COUNT(BQ23:CC23)))</f>
        <v/>
      </c>
      <c r="CE32" s="18" t="str">
        <f t="shared" ref="CE32:CE34" ca="1" si="132">IF(CE4="","",OFFSET(CD23,0,-COUNTBLANK(BX23:CD23),1,1)+CONFIDENCE(0.05,STDEV(BR23:CD23),COUNT(BR23:CD23)))</f>
        <v/>
      </c>
      <c r="CF32" s="18" t="str">
        <f t="shared" ref="CF32:CF34" ca="1" si="133">IF(CF4="","",OFFSET(CE23,0,-COUNTBLANK(BY23:CE23),1,1)+CONFIDENCE(0.05,STDEV(BS23:CE23),COUNT(BS23:CE23)))</f>
        <v/>
      </c>
      <c r="CG32" s="18" t="str">
        <f t="shared" ref="CG32:CG34" ca="1" si="134">IF(CG4="","",OFFSET(CF23,0,-COUNTBLANK(BZ23:CF23),1,1)+CONFIDENCE(0.05,STDEV(BT23:CF23),COUNT(BT23:CF23)))</f>
        <v/>
      </c>
      <c r="CH32" s="18" t="str">
        <f t="shared" ref="CH32:CH34" ca="1" si="135">IF(CH4="","",OFFSET(CG23,0,-COUNTBLANK(CA23:CG23),1,1)+CONFIDENCE(0.05,STDEV(BU23:CG23),COUNT(BU23:CG23)))</f>
        <v/>
      </c>
      <c r="CI32" s="18" t="str">
        <f t="shared" ref="CI32:CI34" ca="1" si="136">IF(CI4="","",OFFSET(CH23,0,-COUNTBLANK(CB23:CH23),1,1)+CONFIDENCE(0.05,STDEV(BV23:CH23),COUNT(BV23:CH23)))</f>
        <v/>
      </c>
      <c r="CJ32" s="18" t="str">
        <f t="shared" ref="CJ32:CJ34" ca="1" si="137">IF(CJ4="","",OFFSET(CI23,0,-COUNTBLANK(CC23:CI23),1,1)+CONFIDENCE(0.05,STDEV(BW23:CI23),COUNT(BW23:CI23)))</f>
        <v/>
      </c>
      <c r="CK32" s="18" t="str">
        <f t="shared" ref="CK32:CK34" ca="1" si="138">IF(CK4="","",OFFSET(CJ23,0,-COUNTBLANK(CD23:CJ23),1,1)+CONFIDENCE(0.05,STDEV(BX23:CJ23),COUNT(BX23:CJ23)))</f>
        <v/>
      </c>
      <c r="CL32" s="18" t="str">
        <f t="shared" ref="CL32:CL34" ca="1" si="139">IF(CL4="","",OFFSET(CK23,0,-COUNTBLANK(CE23:CK23),1,1)+CONFIDENCE(0.05,STDEV(BY23:CK23),COUNT(BY23:CK23)))</f>
        <v/>
      </c>
      <c r="CM32" s="18" t="str">
        <f t="shared" ref="CM32:CM34" ca="1" si="140">IF(CM4="","",OFFSET(CL23,0,-COUNTBLANK(CF23:CL23),1,1)+CONFIDENCE(0.05,STDEV(BZ23:CL23),COUNT(BZ23:CL23)))</f>
        <v/>
      </c>
      <c r="CN32" s="18" t="str">
        <f t="shared" ref="CN32:CN34" ca="1" si="141">IF(CN4="","",OFFSET(CM23,0,-COUNTBLANK(CG23:CM23),1,1)+CONFIDENCE(0.05,STDEV(CA23:CM23),COUNT(CA23:CM23)))</f>
        <v/>
      </c>
      <c r="CO32" s="18" t="str">
        <f t="shared" ref="CO32:CO34" ca="1" si="142">IF(CO4="","",OFFSET(CN23,0,-COUNTBLANK(CH23:CN23),1,1)+CONFIDENCE(0.05,STDEV(CB23:CN23),COUNT(CB23:CN23)))</f>
        <v/>
      </c>
      <c r="CP32" s="18" t="str">
        <f t="shared" ref="CP32:CP34" ca="1" si="143">IF(CP4="","",OFFSET(CO23,0,-COUNTBLANK(CI23:CO23),1,1)+CONFIDENCE(0.05,STDEV(CC23:CO23),COUNT(CC23:CO23)))</f>
        <v/>
      </c>
      <c r="CQ32" s="18" t="str">
        <f t="shared" ref="CQ32:CQ34" ca="1" si="144">IF(CQ4="","",OFFSET(CP23,0,-COUNTBLANK(CJ23:CP23),1,1)+CONFIDENCE(0.05,STDEV(CD23:CP23),COUNT(CD23:CP23)))</f>
        <v/>
      </c>
      <c r="CR32" s="18" t="str">
        <f t="shared" ref="CR32:CR34" ca="1" si="145">IF(CR4="","",OFFSET(CQ23,0,-COUNTBLANK(CK23:CQ23),1,1)+CONFIDENCE(0.05,STDEV(CE23:CQ23),COUNT(CE23:CQ23)))</f>
        <v/>
      </c>
      <c r="CS32" s="18" t="str">
        <f t="shared" ref="CS32:CS34" ca="1" si="146">IF(CS4="","",OFFSET(CR23,0,-COUNTBLANK(CL23:CR23),1,1)+CONFIDENCE(0.05,STDEV(CF23:CR23),COUNT(CF23:CR23)))</f>
        <v/>
      </c>
      <c r="CT32" s="18" t="str">
        <f t="shared" ref="CT32:CT34" ca="1" si="147">IF(CT4="","",OFFSET(CS23,0,-COUNTBLANK(CM23:CS23),1,1)+CONFIDENCE(0.05,STDEV(CG23:CS23),COUNT(CG23:CS23)))</f>
        <v/>
      </c>
      <c r="CU32" s="18" t="str">
        <f t="shared" ref="CU32:CU34" ca="1" si="148">IF(CU4="","",OFFSET(CT23,0,-COUNTBLANK(CN23:CT23),1,1)+CONFIDENCE(0.05,STDEV(CH23:CT23),COUNT(CH23:CT23)))</f>
        <v/>
      </c>
      <c r="CV32" s="18" t="str">
        <f t="shared" ref="CV32:CV34" ca="1" si="149">IF(CV4="","",OFFSET(CU23,0,-COUNTBLANK(CO23:CU23),1,1)+CONFIDENCE(0.05,STDEV(CI23:CU23),COUNT(CI23:CU23)))</f>
        <v/>
      </c>
      <c r="CW32" s="18" t="str">
        <f t="shared" ref="CW32:CW34" ca="1" si="150">IF(CW4="","",OFFSET(CV23,0,-COUNTBLANK(CP23:CV23),1,1)+CONFIDENCE(0.05,STDEV(CJ23:CV23),COUNT(CJ23:CV23)))</f>
        <v/>
      </c>
      <c r="CX32" s="18" t="str">
        <f t="shared" ref="CX32:CX34" ca="1" si="151">IF(CX4="","",OFFSET(CW23,0,-COUNTBLANK(CQ23:CW23),1,1)+CONFIDENCE(0.05,STDEV(CK23:CW23),COUNT(CK23:CW23)))</f>
        <v/>
      </c>
      <c r="CY32" s="18" t="str">
        <f t="shared" ref="CY32:CY34" ca="1" si="152">IF(CY4="","",OFFSET(CX23,0,-COUNTBLANK(CR23:CX23),1,1)+CONFIDENCE(0.05,STDEV(CL23:CX23),COUNT(CL23:CX23)))</f>
        <v/>
      </c>
      <c r="CZ32" s="18" t="str">
        <f t="shared" ref="CZ32:CZ34" ca="1" si="153">IF(CZ4="","",OFFSET(CY23,0,-COUNTBLANK(CS23:CY23),1,1)+CONFIDENCE(0.05,STDEV(CM23:CY23),COUNT(CM23:CY23)))</f>
        <v/>
      </c>
      <c r="DA32" s="18" t="str">
        <f t="shared" ref="DA32:DA34" ca="1" si="154">IF(DA4="","",OFFSET(CZ23,0,-COUNTBLANK(CT23:CZ23),1,1)+CONFIDENCE(0.05,STDEV(CN23:CZ23),COUNT(CN23:CZ23)))</f>
        <v/>
      </c>
      <c r="DB32" s="18" t="str">
        <f t="shared" ref="DB32:DB34" ca="1" si="155">IF(DB4="","",OFFSET(DA23,0,-COUNTBLANK(CU23:DA23),1,1)+CONFIDENCE(0.05,STDEV(CO23:DA23),COUNT(CO23:DA23)))</f>
        <v/>
      </c>
      <c r="DC32" s="18" t="str">
        <f t="shared" ref="DC32:DC34" ca="1" si="156">IF(DC4="","",OFFSET(DB23,0,-COUNTBLANK(CV23:DB23),1,1)+CONFIDENCE(0.05,STDEV(CP23:DB23),COUNT(CP23:DB23)))</f>
        <v/>
      </c>
      <c r="DD32" s="18" t="str">
        <f t="shared" ref="DD32:DD34" ca="1" si="157">IF(DD4="","",OFFSET(DC23,0,-COUNTBLANK(CW23:DC23),1,1)+CONFIDENCE(0.05,STDEV(CQ23:DC23),COUNT(CQ23:DC23)))</f>
        <v/>
      </c>
      <c r="DE32" s="18" t="str">
        <f t="shared" ref="DE32:DE34" ca="1" si="158">IF(DE4="","",OFFSET(DD23,0,-COUNTBLANK(CX23:DD23),1,1)+CONFIDENCE(0.05,STDEV(CR23:DD23),COUNT(CR23:DD23)))</f>
        <v/>
      </c>
      <c r="DF32" s="18" t="str">
        <f t="shared" ref="DF32:DF34" ca="1" si="159">IF(DF4="","",OFFSET(DE23,0,-COUNTBLANK(CY23:DE23),1,1)+CONFIDENCE(0.05,STDEV(CS23:DE23),COUNT(CS23:DE23)))</f>
        <v/>
      </c>
      <c r="DG32" s="18" t="str">
        <f t="shared" ref="DG32:DG34" ca="1" si="160">IF(DG4="","",OFFSET(DF23,0,-COUNTBLANK(CZ23:DF23),1,1)+CONFIDENCE(0.05,STDEV(CT23:DF23),COUNT(CT23:DF23)))</f>
        <v/>
      </c>
      <c r="DH32" s="18" t="str">
        <f t="shared" ref="DH32:DH34" ca="1" si="161">IF(DH4="","",OFFSET(DG23,0,-COUNTBLANK(DA23:DG23),1,1)+CONFIDENCE(0.05,STDEV(CU23:DG23),COUNT(CU23:DG23)))</f>
        <v/>
      </c>
      <c r="DI32" s="18" t="str">
        <f t="shared" ref="DI32:DI34" ca="1" si="162">IF(DI4="","",OFFSET(DH23,0,-COUNTBLANK(DB23:DH23),1,1)+CONFIDENCE(0.05,STDEV(CV23:DH23),COUNT(CV23:DH23)))</f>
        <v/>
      </c>
      <c r="DJ32" s="18" t="str">
        <f t="shared" ref="DJ32:DJ34" ca="1" si="163">IF(DJ4="","",OFFSET(DI23,0,-COUNTBLANK(DC23:DI23),1,1)+CONFIDENCE(0.05,STDEV(CW23:DI23),COUNT(CW23:DI23)))</f>
        <v/>
      </c>
      <c r="DK32" s="18" t="str">
        <f t="shared" ref="DK32:DK34" ca="1" si="164">IF(DK4="","",OFFSET(DJ23,0,-COUNTBLANK(DD23:DJ23),1,1)+CONFIDENCE(0.05,STDEV(CX23:DJ23),COUNT(CX23:DJ23)))</f>
        <v/>
      </c>
      <c r="DL32" s="18" t="str">
        <f t="shared" ref="DL32:DL34" ca="1" si="165">IF(DL4="","",OFFSET(DK23,0,-COUNTBLANK(DE23:DK23),1,1)+CONFIDENCE(0.05,STDEV(CY23:DK23),COUNT(CY23:DK23)))</f>
        <v/>
      </c>
      <c r="DM32" s="18" t="str">
        <f t="shared" ref="DM32:DM34" ca="1" si="166">IF(DM4="","",OFFSET(DL23,0,-COUNTBLANK(DF23:DL23),1,1)+CONFIDENCE(0.05,STDEV(CZ23:DL23),COUNT(CZ23:DL23)))</f>
        <v/>
      </c>
      <c r="DN32" s="18" t="str">
        <f t="shared" ref="DN32:DN34" ca="1" si="167">IF(DN4="","",OFFSET(DM23,0,-COUNTBLANK(DG23:DM23),1,1)+CONFIDENCE(0.05,STDEV(DA23:DM23),COUNT(DA23:DM23)))</f>
        <v/>
      </c>
      <c r="DO32" s="18" t="str">
        <f t="shared" ref="DO32:DO34" ca="1" si="168">IF(DO4="","",OFFSET(DN23,0,-COUNTBLANK(DH23:DN23),1,1)+CONFIDENCE(0.05,STDEV(DB23:DN23),COUNT(DB23:DN23)))</f>
        <v/>
      </c>
      <c r="DP32" s="18" t="str">
        <f t="shared" ref="DP32:DP34" ca="1" si="169">IF(DP4="","",OFFSET(DO23,0,-COUNTBLANK(DI23:DO23),1,1)+CONFIDENCE(0.05,STDEV(DC23:DO23),COUNT(DC23:DO23)))</f>
        <v/>
      </c>
      <c r="DQ32" s="18" t="str">
        <f t="shared" ref="DQ32:DQ34" ca="1" si="170">IF(DQ4="","",OFFSET(DP23,0,-COUNTBLANK(DJ23:DP23),1,1)+CONFIDENCE(0.05,STDEV(DD23:DP23),COUNT(DD23:DP23)))</f>
        <v/>
      </c>
      <c r="DR32" s="18" t="str">
        <f t="shared" ref="DR32:DR34" ca="1" si="171">IF(DR4="","",OFFSET(DQ23,0,-COUNTBLANK(DK23:DQ23),1,1)+CONFIDENCE(0.05,STDEV(DE23:DQ23),COUNT(DE23:DQ23)))</f>
        <v/>
      </c>
    </row>
    <row r="33" spans="1:122" x14ac:dyDescent="0.25">
      <c r="A33" s="4">
        <v>3</v>
      </c>
      <c r="O33" s="18">
        <f t="shared" ref="O33:AJ33" ca="1" si="172">IF(O5="","",AVERAGE(L24:N24)+CONFIDENCE(0.05,STDEV(B24:N24),COUNT(B24:N24)))</f>
        <v>4.2939323178891597E-3</v>
      </c>
      <c r="P33" s="18">
        <f t="shared" ca="1" si="172"/>
        <v>2.8779477919753139E-3</v>
      </c>
      <c r="Q33" s="18">
        <f t="shared" ca="1" si="172"/>
        <v>3.1852794877792563E-3</v>
      </c>
      <c r="R33" s="18">
        <f t="shared" ca="1" si="172"/>
        <v>3.2372054156664465E-3</v>
      </c>
      <c r="S33" s="18">
        <f t="shared" ca="1" si="172"/>
        <v>2.6886684789903959E-3</v>
      </c>
      <c r="T33" s="18">
        <f t="shared" ca="1" si="172"/>
        <v>3.5723603657666085E-3</v>
      </c>
      <c r="U33" s="18">
        <f t="shared" ca="1" si="172"/>
        <v>6.7564241613308788E-3</v>
      </c>
      <c r="V33" s="18">
        <f t="shared" ca="1" si="172"/>
        <v>1.2018608116410498E-2</v>
      </c>
      <c r="W33" s="18">
        <f t="shared" ca="1" si="172"/>
        <v>1.9581663290288917E-2</v>
      </c>
      <c r="X33" s="18">
        <f t="shared" ca="1" si="172"/>
        <v>2.4846806485038626E-2</v>
      </c>
      <c r="Y33" s="18">
        <f t="shared" ca="1" si="172"/>
        <v>2.5532365410696575E-2</v>
      </c>
      <c r="Z33" s="18">
        <f t="shared" ca="1" si="172"/>
        <v>1.8811648113130568E-2</v>
      </c>
      <c r="AA33" s="18">
        <f t="shared" ca="1" si="172"/>
        <v>1.1858811630404588E-2</v>
      </c>
      <c r="AB33" s="18">
        <f t="shared" ca="1" si="172"/>
        <v>7.3897881047060065E-3</v>
      </c>
      <c r="AC33" s="18">
        <f t="shared" ca="1" si="172"/>
        <v>1.0641461676677139E-2</v>
      </c>
      <c r="AD33" s="18">
        <f t="shared" ca="1" si="172"/>
        <v>1.1181516856975313E-2</v>
      </c>
      <c r="AE33" s="18">
        <f t="shared" ca="1" si="172"/>
        <v>1.0398475491530503E-2</v>
      </c>
      <c r="AF33" s="18">
        <f t="shared" ca="1" si="172"/>
        <v>6.6051489610138439E-3</v>
      </c>
      <c r="AG33" s="18">
        <f t="shared" ca="1" si="172"/>
        <v>6.8627268564245159E-3</v>
      </c>
      <c r="AH33" s="18">
        <f t="shared" ca="1" si="172"/>
        <v>8.1770553897411984E-3</v>
      </c>
      <c r="AI33" s="18">
        <f t="shared" ca="1" si="172"/>
        <v>8.0361410270903162E-3</v>
      </c>
      <c r="AJ33" s="18">
        <f t="shared" ca="1" si="172"/>
        <v>7.4213191855767007E-3</v>
      </c>
      <c r="AK33" s="18">
        <f ca="1">IF(AK5="","",AVERAGE(AH24:AJ24)+CONFIDENCE(0.05,STDEV(X24:AJ24),COUNT(X24:AJ24)))</f>
        <v>6.9697732297282263E-3</v>
      </c>
      <c r="AL33" s="18">
        <f t="shared" ref="AL33:AL34" ca="1" si="173">IF(AL5="","",OFFSET(AK24,0,-COUNTBLANK(AE24:AK24),1,1)+CONFIDENCE(0.05,STDEV(Y24:AK24),COUNT(Y24:AK24)))</f>
        <v>1.6145395767446051E-2</v>
      </c>
      <c r="AM33" s="18">
        <f t="shared" ca="1" si="122"/>
        <v>9.0565536211266954E-3</v>
      </c>
      <c r="AN33" s="18">
        <f t="shared" ca="1" si="122"/>
        <v>9.7411124223975038E-3</v>
      </c>
      <c r="AO33" s="18">
        <f t="shared" ca="1" si="122"/>
        <v>5.5768240048739591E-3</v>
      </c>
      <c r="AP33" s="18">
        <f t="shared" ca="1" si="122"/>
        <v>3.1988777429969111E-3</v>
      </c>
      <c r="AQ33" s="18">
        <f t="shared" ca="1" si="122"/>
        <v>2.8278044294537895E-3</v>
      </c>
      <c r="AR33" s="18">
        <f t="shared" ca="1" si="122"/>
        <v>2.0784269018026047E-2</v>
      </c>
      <c r="AS33" s="18">
        <f t="shared" ca="1" si="122"/>
        <v>9.3269854559414871E-3</v>
      </c>
      <c r="AT33" s="18">
        <f t="shared" ca="1" si="122"/>
        <v>1.5114190345463512E-2</v>
      </c>
      <c r="AU33" s="18">
        <f t="shared" ca="1" si="122"/>
        <v>7.3310687826773496E-3</v>
      </c>
      <c r="AV33" s="18">
        <f t="shared" ca="1" si="122"/>
        <v>5.5743474315156395E-3</v>
      </c>
      <c r="AW33" s="18">
        <f t="shared" ca="1" si="122"/>
        <v>6.9999432184753244E-3</v>
      </c>
      <c r="AX33" s="18">
        <f t="shared" ca="1" si="122"/>
        <v>6.3492470448661591E-3</v>
      </c>
      <c r="AY33" s="18">
        <f t="shared" ca="1" si="122"/>
        <v>5.721243601798395E-3</v>
      </c>
      <c r="AZ33" s="18">
        <f t="shared" ca="1" si="122"/>
        <v>4.3673367029011898E-3</v>
      </c>
      <c r="BA33" s="18">
        <f t="shared" ca="1" si="122"/>
        <v>4.497477055249265E-3</v>
      </c>
      <c r="BB33" s="18">
        <f t="shared" ca="1" si="122"/>
        <v>5.4881436630418966E-3</v>
      </c>
      <c r="BC33" s="18">
        <f t="shared" ca="1" si="122"/>
        <v>8.7752653896306706E-3</v>
      </c>
      <c r="BD33" s="18">
        <f t="shared" ca="1" si="122"/>
        <v>8.0601908598654966E-3</v>
      </c>
      <c r="BE33" s="18">
        <f t="shared" ca="1" si="122"/>
        <v>6.6118294040355668E-3</v>
      </c>
      <c r="BF33" s="18">
        <f t="shared" ca="1" si="122"/>
        <v>5.2297923893187704E-3</v>
      </c>
      <c r="BG33" s="18">
        <f t="shared" ca="1" si="122"/>
        <v>5.0348305340761632E-3</v>
      </c>
      <c r="BH33" s="18">
        <f t="shared" ca="1" si="122"/>
        <v>1.0069817147555542E-2</v>
      </c>
      <c r="BI33" s="18">
        <f t="shared" ca="1" si="122"/>
        <v>2.7810630769934132E-3</v>
      </c>
      <c r="BJ33" s="18">
        <f t="shared" ca="1" si="122"/>
        <v>7.0878968183560338E-3</v>
      </c>
      <c r="BK33" s="18">
        <f t="shared" ca="1" si="122"/>
        <v>8.1490062835854471E-3</v>
      </c>
      <c r="BL33" s="18">
        <f t="shared" ca="1" si="122"/>
        <v>1.166854594341935E-2</v>
      </c>
      <c r="BM33" s="18">
        <f t="shared" ca="1" si="122"/>
        <v>5.40137722549245E-3</v>
      </c>
      <c r="BN33" s="18">
        <f t="shared" ca="1" si="122"/>
        <v>6.5502082853754626E-2</v>
      </c>
      <c r="BO33" s="18">
        <f t="shared" ca="1" si="122"/>
        <v>2.7694063155359862E-2</v>
      </c>
      <c r="BP33" s="18">
        <f t="shared" ca="1" si="122"/>
        <v>1.101448084039431E-2</v>
      </c>
      <c r="BQ33" s="18">
        <f t="shared" ca="1" si="122"/>
        <v>1.1673631013038175E-2</v>
      </c>
      <c r="BR33" s="18">
        <f t="shared" ca="1" si="122"/>
        <v>1.2439761014679227E-2</v>
      </c>
      <c r="BS33" s="18" t="str">
        <f t="shared" ca="1" si="122"/>
        <v/>
      </c>
      <c r="BT33" s="18" t="str">
        <f t="shared" ca="1" si="122"/>
        <v/>
      </c>
      <c r="BU33" s="18" t="str">
        <f t="shared" ca="1" si="122"/>
        <v/>
      </c>
      <c r="BV33" s="18" t="str">
        <f t="shared" ca="1" si="123"/>
        <v/>
      </c>
      <c r="BW33" s="18" t="str">
        <f t="shared" ca="1" si="124"/>
        <v/>
      </c>
      <c r="BX33" s="18" t="str">
        <f t="shared" ca="1" si="125"/>
        <v/>
      </c>
      <c r="BY33" s="18" t="str">
        <f t="shared" ca="1" si="126"/>
        <v/>
      </c>
      <c r="BZ33" s="18" t="str">
        <f t="shared" ca="1" si="127"/>
        <v/>
      </c>
      <c r="CA33" s="18" t="str">
        <f t="shared" ca="1" si="128"/>
        <v/>
      </c>
      <c r="CB33" s="18" t="str">
        <f t="shared" ca="1" si="129"/>
        <v/>
      </c>
      <c r="CC33" s="18" t="str">
        <f t="shared" ca="1" si="130"/>
        <v/>
      </c>
      <c r="CD33" s="18" t="str">
        <f t="shared" ca="1" si="131"/>
        <v/>
      </c>
      <c r="CE33" s="18" t="str">
        <f t="shared" ca="1" si="132"/>
        <v/>
      </c>
      <c r="CF33" s="18" t="str">
        <f t="shared" ca="1" si="133"/>
        <v/>
      </c>
      <c r="CG33" s="18" t="str">
        <f t="shared" ca="1" si="134"/>
        <v/>
      </c>
      <c r="CH33" s="18" t="str">
        <f t="shared" ca="1" si="135"/>
        <v/>
      </c>
      <c r="CI33" s="18" t="str">
        <f t="shared" ca="1" si="136"/>
        <v/>
      </c>
      <c r="CJ33" s="18" t="str">
        <f t="shared" ca="1" si="137"/>
        <v/>
      </c>
      <c r="CK33" s="18" t="str">
        <f t="shared" ca="1" si="138"/>
        <v/>
      </c>
      <c r="CL33" s="18" t="str">
        <f t="shared" ca="1" si="139"/>
        <v/>
      </c>
      <c r="CM33" s="18" t="str">
        <f t="shared" ca="1" si="140"/>
        <v/>
      </c>
      <c r="CN33" s="18" t="str">
        <f t="shared" ca="1" si="141"/>
        <v/>
      </c>
      <c r="CO33" s="18" t="str">
        <f t="shared" ca="1" si="142"/>
        <v/>
      </c>
      <c r="CP33" s="18" t="str">
        <f t="shared" ca="1" si="143"/>
        <v/>
      </c>
      <c r="CQ33" s="18" t="str">
        <f t="shared" ca="1" si="144"/>
        <v/>
      </c>
      <c r="CR33" s="18" t="str">
        <f t="shared" ca="1" si="145"/>
        <v/>
      </c>
      <c r="CS33" s="18" t="str">
        <f t="shared" ca="1" si="146"/>
        <v/>
      </c>
      <c r="CT33" s="18" t="str">
        <f t="shared" ca="1" si="147"/>
        <v/>
      </c>
      <c r="CU33" s="18" t="str">
        <f t="shared" ca="1" si="148"/>
        <v/>
      </c>
      <c r="CV33" s="18" t="str">
        <f t="shared" ca="1" si="149"/>
        <v/>
      </c>
      <c r="CW33" s="18" t="str">
        <f t="shared" ca="1" si="150"/>
        <v/>
      </c>
      <c r="CX33" s="18" t="str">
        <f t="shared" ca="1" si="151"/>
        <v/>
      </c>
      <c r="CY33" s="18" t="str">
        <f t="shared" ca="1" si="152"/>
        <v/>
      </c>
      <c r="CZ33" s="18" t="str">
        <f t="shared" ca="1" si="153"/>
        <v/>
      </c>
      <c r="DA33" s="18" t="str">
        <f t="shared" ca="1" si="154"/>
        <v/>
      </c>
      <c r="DB33" s="18" t="str">
        <f t="shared" ca="1" si="155"/>
        <v/>
      </c>
      <c r="DC33" s="18" t="str">
        <f t="shared" ca="1" si="156"/>
        <v/>
      </c>
      <c r="DD33" s="18" t="str">
        <f t="shared" ca="1" si="157"/>
        <v/>
      </c>
      <c r="DE33" s="18" t="str">
        <f t="shared" ca="1" si="158"/>
        <v/>
      </c>
      <c r="DF33" s="18" t="str">
        <f t="shared" ca="1" si="159"/>
        <v/>
      </c>
      <c r="DG33" s="18" t="str">
        <f t="shared" ca="1" si="160"/>
        <v/>
      </c>
      <c r="DH33" s="18" t="str">
        <f t="shared" ca="1" si="161"/>
        <v/>
      </c>
      <c r="DI33" s="18" t="str">
        <f t="shared" ca="1" si="162"/>
        <v/>
      </c>
      <c r="DJ33" s="18" t="str">
        <f t="shared" ca="1" si="163"/>
        <v/>
      </c>
      <c r="DK33" s="18" t="str">
        <f t="shared" ca="1" si="164"/>
        <v/>
      </c>
      <c r="DL33" s="18" t="str">
        <f t="shared" ca="1" si="165"/>
        <v/>
      </c>
      <c r="DM33" s="18" t="str">
        <f t="shared" ca="1" si="166"/>
        <v/>
      </c>
      <c r="DN33" s="18" t="str">
        <f t="shared" ca="1" si="167"/>
        <v/>
      </c>
      <c r="DO33" s="18" t="str">
        <f t="shared" ca="1" si="168"/>
        <v/>
      </c>
      <c r="DP33" s="18" t="str">
        <f t="shared" ca="1" si="169"/>
        <v/>
      </c>
      <c r="DQ33" s="18" t="str">
        <f t="shared" ca="1" si="170"/>
        <v/>
      </c>
      <c r="DR33" s="18" t="str">
        <f t="shared" ca="1" si="171"/>
        <v/>
      </c>
    </row>
    <row r="34" spans="1:122" x14ac:dyDescent="0.25">
      <c r="A34" s="4">
        <v>4</v>
      </c>
      <c r="O34" s="18">
        <f t="shared" ref="O34:AJ34" ca="1" si="174">IF(O6="","",AVERAGE(K25:N25)+CONFIDENCE(0.05,STDEV(B25:N25),COUNT(B25:N25)))</f>
        <v>4.3626290504249392E-3</v>
      </c>
      <c r="P34" s="18">
        <f t="shared" ca="1" si="174"/>
        <v>3.612116713241356E-3</v>
      </c>
      <c r="Q34" s="18">
        <f t="shared" ca="1" si="174"/>
        <v>2.8211631225683754E-3</v>
      </c>
      <c r="R34" s="18">
        <f t="shared" ca="1" si="174"/>
        <v>2.9106317907526087E-3</v>
      </c>
      <c r="S34" s="18">
        <f t="shared" ca="1" si="174"/>
        <v>3.2233266335783294E-3</v>
      </c>
      <c r="T34" s="18">
        <f t="shared" ca="1" si="174"/>
        <v>5.4329532267853248E-3</v>
      </c>
      <c r="U34" s="18">
        <f t="shared" ca="1" si="174"/>
        <v>1.1346396905802438E-2</v>
      </c>
      <c r="V34" s="18">
        <f t="shared" ca="1" si="174"/>
        <v>1.7969632003275438E-2</v>
      </c>
      <c r="W34" s="18">
        <f t="shared" ca="1" si="174"/>
        <v>2.5640823146769656E-2</v>
      </c>
      <c r="X34" s="18">
        <f t="shared" ca="1" si="174"/>
        <v>3.0577312798605774E-2</v>
      </c>
      <c r="Y34" s="18">
        <f t="shared" ca="1" si="174"/>
        <v>2.9837422627955603E-2</v>
      </c>
      <c r="Z34" s="18">
        <f t="shared" ca="1" si="174"/>
        <v>2.3894310660031184E-2</v>
      </c>
      <c r="AA34" s="18">
        <f t="shared" ca="1" si="174"/>
        <v>1.6858465051746957E-2</v>
      </c>
      <c r="AB34" s="18">
        <f t="shared" ca="1" si="174"/>
        <v>1.156925918476551E-2</v>
      </c>
      <c r="AC34" s="18">
        <f t="shared" ca="1" si="174"/>
        <v>1.0119500800713215E-2</v>
      </c>
      <c r="AD34" s="18">
        <f t="shared" ca="1" si="174"/>
        <v>1.1074881738600665E-2</v>
      </c>
      <c r="AE34" s="18">
        <f t="shared" ca="1" si="174"/>
        <v>1.1850979345078044E-2</v>
      </c>
      <c r="AF34" s="18">
        <f t="shared" ca="1" si="174"/>
        <v>1.082481982235815E-2</v>
      </c>
      <c r="AG34" s="18">
        <f t="shared" ca="1" si="174"/>
        <v>9.5532045212848356E-3</v>
      </c>
      <c r="AH34" s="18">
        <f t="shared" ca="1" si="174"/>
        <v>9.4215216596301513E-3</v>
      </c>
      <c r="AI34" s="18">
        <f t="shared" ca="1" si="174"/>
        <v>9.7244374417285451E-3</v>
      </c>
      <c r="AJ34" s="18">
        <f t="shared" ca="1" si="174"/>
        <v>1.035496028294957E-2</v>
      </c>
      <c r="AK34" s="18">
        <f ca="1">IF(AK6="","",AVERAGE(AG25:AJ25)+CONFIDENCE(0.05,STDEV(X25:AJ25),COUNT(X25:AJ25)))</f>
        <v>1.1030742157805095E-2</v>
      </c>
      <c r="AL34" s="18">
        <f t="shared" ca="1" si="173"/>
        <v>1.8102322005425827E-2</v>
      </c>
      <c r="AM34" s="18">
        <f t="shared" ca="1" si="122"/>
        <v>1.0856026957479822E-2</v>
      </c>
      <c r="AN34" s="18">
        <f t="shared" ca="1" si="122"/>
        <v>1.6165038384027781E-2</v>
      </c>
      <c r="AO34" s="18">
        <f t="shared" ca="1" si="122"/>
        <v>4.3824803413274075E-3</v>
      </c>
      <c r="AP34" s="18">
        <f t="shared" ca="1" si="122"/>
        <v>3.2678565546118963E-3</v>
      </c>
      <c r="AQ34" s="18">
        <f t="shared" ca="1" si="122"/>
        <v>1.1623932828919039E-2</v>
      </c>
      <c r="AR34" s="18">
        <f t="shared" ca="1" si="122"/>
        <v>2.0887432745124841E-2</v>
      </c>
      <c r="AS34" s="18">
        <f t="shared" ca="1" si="122"/>
        <v>1.4644936208570061E-2</v>
      </c>
      <c r="AT34" s="18">
        <f t="shared" ca="1" si="122"/>
        <v>1.2599196200783667E-2</v>
      </c>
      <c r="AU34" s="18">
        <f t="shared" ca="1" si="122"/>
        <v>7.5258330314503519E-3</v>
      </c>
      <c r="AV34" s="18">
        <f t="shared" ca="1" si="122"/>
        <v>6.5613324302166137E-3</v>
      </c>
      <c r="AW34" s="18">
        <f t="shared" ca="1" si="122"/>
        <v>7.5719575195706598E-3</v>
      </c>
      <c r="AX34" s="18">
        <f t="shared" ca="1" si="122"/>
        <v>7.7333477122558114E-3</v>
      </c>
      <c r="AY34" s="18">
        <f t="shared" ca="1" si="122"/>
        <v>3.0902733500379554E-3</v>
      </c>
      <c r="AZ34" s="18">
        <f t="shared" ca="1" si="122"/>
        <v>3.63075459749312E-3</v>
      </c>
      <c r="BA34" s="18">
        <f t="shared" ca="1" si="122"/>
        <v>5.6135779231757926E-3</v>
      </c>
      <c r="BB34" s="18">
        <f t="shared" ca="1" si="122"/>
        <v>3.3037565478415661E-3</v>
      </c>
      <c r="BC34" s="18">
        <f t="shared" ca="1" si="122"/>
        <v>1.037199128128331E-2</v>
      </c>
      <c r="BD34" s="18">
        <f t="shared" ca="1" si="122"/>
        <v>6.9774538942950059E-3</v>
      </c>
      <c r="BE34" s="18">
        <f t="shared" ca="1" si="122"/>
        <v>1.2266330285407023E-2</v>
      </c>
      <c r="BF34" s="18">
        <f t="shared" ca="1" si="122"/>
        <v>6.7339384163722336E-3</v>
      </c>
      <c r="BG34" s="18">
        <f t="shared" ca="1" si="122"/>
        <v>7.4092563124159502E-3</v>
      </c>
      <c r="BH34" s="18">
        <f t="shared" ca="1" si="122"/>
        <v>1.1913648140473255E-2</v>
      </c>
      <c r="BI34" s="18">
        <f t="shared" ca="1" si="122"/>
        <v>8.9614589938572659E-3</v>
      </c>
      <c r="BJ34" s="18">
        <f t="shared" ca="1" si="122"/>
        <v>9.7855082157890533E-3</v>
      </c>
      <c r="BK34" s="18">
        <f t="shared" ca="1" si="122"/>
        <v>1.1738908460081668E-2</v>
      </c>
      <c r="BL34" s="18">
        <f t="shared" ca="1" si="122"/>
        <v>6.5667986556297705E-3</v>
      </c>
      <c r="BM34" s="18">
        <f t="shared" ca="1" si="122"/>
        <v>6.3995917599120503E-2</v>
      </c>
      <c r="BN34" s="18">
        <f t="shared" ca="1" si="122"/>
        <v>2.3993552126688616E-2</v>
      </c>
      <c r="BO34" s="18">
        <f t="shared" ca="1" si="122"/>
        <v>2.1584991472581513E-2</v>
      </c>
      <c r="BP34" s="18">
        <f t="shared" ca="1" si="122"/>
        <v>2.2191804274414965E-2</v>
      </c>
      <c r="BQ34" s="18">
        <f t="shared" ca="1" si="122"/>
        <v>2.2806879644474823E-2</v>
      </c>
      <c r="BR34" s="18">
        <f t="shared" ca="1" si="122"/>
        <v>2.369716137754907E-2</v>
      </c>
      <c r="BS34" s="18" t="str">
        <f t="shared" ca="1" si="122"/>
        <v/>
      </c>
      <c r="BT34" s="18" t="str">
        <f t="shared" ca="1" si="122"/>
        <v/>
      </c>
      <c r="BU34" s="18" t="str">
        <f t="shared" ca="1" si="122"/>
        <v/>
      </c>
      <c r="BV34" s="18" t="str">
        <f t="shared" ca="1" si="123"/>
        <v/>
      </c>
      <c r="BW34" s="18" t="str">
        <f t="shared" ca="1" si="124"/>
        <v/>
      </c>
      <c r="BX34" s="18" t="str">
        <f t="shared" ca="1" si="125"/>
        <v/>
      </c>
      <c r="BY34" s="18" t="str">
        <f t="shared" ca="1" si="126"/>
        <v/>
      </c>
      <c r="BZ34" s="18" t="str">
        <f t="shared" ca="1" si="127"/>
        <v/>
      </c>
      <c r="CA34" s="18" t="str">
        <f t="shared" ca="1" si="128"/>
        <v/>
      </c>
      <c r="CB34" s="18" t="str">
        <f t="shared" ca="1" si="129"/>
        <v/>
      </c>
      <c r="CC34" s="18" t="str">
        <f t="shared" ca="1" si="130"/>
        <v/>
      </c>
      <c r="CD34" s="18" t="str">
        <f t="shared" ca="1" si="131"/>
        <v/>
      </c>
      <c r="CE34" s="18" t="str">
        <f t="shared" ca="1" si="132"/>
        <v/>
      </c>
      <c r="CF34" s="18" t="str">
        <f t="shared" ca="1" si="133"/>
        <v/>
      </c>
      <c r="CG34" s="18" t="str">
        <f t="shared" ca="1" si="134"/>
        <v/>
      </c>
      <c r="CH34" s="18" t="str">
        <f t="shared" ca="1" si="135"/>
        <v/>
      </c>
      <c r="CI34" s="18" t="str">
        <f t="shared" ca="1" si="136"/>
        <v/>
      </c>
      <c r="CJ34" s="18" t="str">
        <f t="shared" ca="1" si="137"/>
        <v/>
      </c>
      <c r="CK34" s="18" t="str">
        <f t="shared" ca="1" si="138"/>
        <v/>
      </c>
      <c r="CL34" s="18" t="str">
        <f t="shared" ca="1" si="139"/>
        <v/>
      </c>
      <c r="CM34" s="18" t="str">
        <f t="shared" ca="1" si="140"/>
        <v/>
      </c>
      <c r="CN34" s="18" t="str">
        <f t="shared" ca="1" si="141"/>
        <v/>
      </c>
      <c r="CO34" s="18" t="str">
        <f t="shared" ca="1" si="142"/>
        <v/>
      </c>
      <c r="CP34" s="18" t="str">
        <f t="shared" ca="1" si="143"/>
        <v/>
      </c>
      <c r="CQ34" s="18" t="str">
        <f t="shared" ca="1" si="144"/>
        <v/>
      </c>
      <c r="CR34" s="18" t="str">
        <f t="shared" ca="1" si="145"/>
        <v/>
      </c>
      <c r="CS34" s="18" t="str">
        <f t="shared" ca="1" si="146"/>
        <v/>
      </c>
      <c r="CT34" s="18" t="str">
        <f t="shared" ca="1" si="147"/>
        <v/>
      </c>
      <c r="CU34" s="18" t="str">
        <f t="shared" ca="1" si="148"/>
        <v/>
      </c>
      <c r="CV34" s="18" t="str">
        <f t="shared" ca="1" si="149"/>
        <v/>
      </c>
      <c r="CW34" s="18" t="str">
        <f t="shared" ca="1" si="150"/>
        <v/>
      </c>
      <c r="CX34" s="18" t="str">
        <f t="shared" ca="1" si="151"/>
        <v/>
      </c>
      <c r="CY34" s="18" t="str">
        <f t="shared" ca="1" si="152"/>
        <v/>
      </c>
      <c r="CZ34" s="18" t="str">
        <f t="shared" ca="1" si="153"/>
        <v/>
      </c>
      <c r="DA34" s="18" t="str">
        <f t="shared" ca="1" si="154"/>
        <v/>
      </c>
      <c r="DB34" s="18" t="str">
        <f t="shared" ca="1" si="155"/>
        <v/>
      </c>
      <c r="DC34" s="18" t="str">
        <f t="shared" ca="1" si="156"/>
        <v/>
      </c>
      <c r="DD34" s="18" t="str">
        <f t="shared" ca="1" si="157"/>
        <v/>
      </c>
      <c r="DE34" s="18" t="str">
        <f t="shared" ca="1" si="158"/>
        <v/>
      </c>
      <c r="DF34" s="18" t="str">
        <f t="shared" ca="1" si="159"/>
        <v/>
      </c>
      <c r="DG34" s="18" t="str">
        <f t="shared" ca="1" si="160"/>
        <v/>
      </c>
      <c r="DH34" s="18" t="str">
        <f t="shared" ca="1" si="161"/>
        <v/>
      </c>
      <c r="DI34" s="18" t="str">
        <f t="shared" ca="1" si="162"/>
        <v/>
      </c>
      <c r="DJ34" s="18" t="str">
        <f t="shared" ca="1" si="163"/>
        <v/>
      </c>
      <c r="DK34" s="18" t="str">
        <f t="shared" ca="1" si="164"/>
        <v/>
      </c>
      <c r="DL34" s="18" t="str">
        <f t="shared" ca="1" si="165"/>
        <v/>
      </c>
      <c r="DM34" s="18" t="str">
        <f t="shared" ca="1" si="166"/>
        <v/>
      </c>
      <c r="DN34" s="18" t="str">
        <f t="shared" ca="1" si="167"/>
        <v/>
      </c>
      <c r="DO34" s="18" t="str">
        <f t="shared" ca="1" si="168"/>
        <v/>
      </c>
      <c r="DP34" s="18" t="str">
        <f t="shared" ca="1" si="169"/>
        <v/>
      </c>
      <c r="DQ34" s="18" t="str">
        <f t="shared" ca="1" si="170"/>
        <v/>
      </c>
      <c r="DR34" s="18" t="str">
        <f t="shared" ca="1" si="171"/>
        <v/>
      </c>
    </row>
    <row r="35" spans="1:122" x14ac:dyDescent="0.25">
      <c r="A35" s="4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</row>
    <row r="36" spans="1:122" x14ac:dyDescent="0.25">
      <c r="A36" s="4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</row>
    <row r="37" spans="1:122" x14ac:dyDescent="0.25">
      <c r="A37" s="4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</row>
    <row r="38" spans="1:122" x14ac:dyDescent="0.25">
      <c r="A38" s="4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</row>
  </sheetData>
  <conditionalFormatting sqref="B13:DR20">
    <cfRule type="expression" dxfId="3" priority="3">
      <formula>B13&gt;$DX13</formula>
    </cfRule>
    <cfRule type="expression" dxfId="2" priority="4">
      <formula>B13&lt;-$DX13</formula>
    </cfRule>
  </conditionalFormatting>
  <conditionalFormatting sqref="B22:DR29">
    <cfRule type="expression" dxfId="1" priority="2">
      <formula>B22&gt;$DX22</formula>
    </cfRule>
  </conditionalFormatting>
  <conditionalFormatting sqref="B13:DR20 B22:DR29">
    <cfRule type="cellIs" dxfId="0" priority="1" operator="equal">
      <formula>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73"/>
  <sheetViews>
    <sheetView workbookViewId="0">
      <selection activeCell="B2" sqref="B2:B227"/>
    </sheetView>
  </sheetViews>
  <sheetFormatPr baseColWidth="10" defaultRowHeight="15" x14ac:dyDescent="0.25"/>
  <cols>
    <col min="1" max="1" width="10.7109375" bestFit="1" customWidth="1"/>
    <col min="2" max="2" width="14" style="17" bestFit="1" customWidth="1"/>
  </cols>
  <sheetData>
    <row r="1" spans="1:5" x14ac:dyDescent="0.25">
      <c r="A1" t="s">
        <v>0</v>
      </c>
      <c r="B1" s="17" t="s">
        <v>7</v>
      </c>
      <c r="D1" t="s">
        <v>8</v>
      </c>
      <c r="E1" t="s">
        <v>9</v>
      </c>
    </row>
    <row r="2" spans="1:5" x14ac:dyDescent="0.25">
      <c r="A2" s="2">
        <v>28033</v>
      </c>
      <c r="B2" s="17">
        <f>IF([1]Rseries!L7="","",[1]Rseries!L7)</f>
        <v>13529.5</v>
      </c>
      <c r="D2">
        <f>COUNT(Mediana!3:3)-Amplitud</f>
        <v>38</v>
      </c>
      <c r="E2">
        <v>32</v>
      </c>
    </row>
    <row r="3" spans="1:5" x14ac:dyDescent="0.25">
      <c r="A3" s="2">
        <v>28125</v>
      </c>
      <c r="B3" s="17">
        <f>IF([1]Rseries!L8="","",[1]Rseries!L8)</f>
        <v>13460</v>
      </c>
    </row>
    <row r="4" spans="1:5" x14ac:dyDescent="0.25">
      <c r="A4" s="2">
        <v>28215</v>
      </c>
      <c r="B4" s="17">
        <f>IF([1]Rseries!L9="","",[1]Rseries!L9)</f>
        <v>13432.9</v>
      </c>
    </row>
    <row r="5" spans="1:5" x14ac:dyDescent="0.25">
      <c r="A5" s="2">
        <v>28306</v>
      </c>
      <c r="B5" s="17">
        <f>IF([1]Rseries!L10="","",[1]Rseries!L10)</f>
        <v>13374.9</v>
      </c>
    </row>
    <row r="6" spans="1:5" x14ac:dyDescent="0.25">
      <c r="A6" s="2">
        <v>28398</v>
      </c>
      <c r="B6" s="17">
        <f>IF([1]Rseries!L11="","",[1]Rseries!L11)</f>
        <v>13464.2</v>
      </c>
    </row>
    <row r="7" spans="1:5" x14ac:dyDescent="0.25">
      <c r="A7" s="2">
        <v>28490</v>
      </c>
      <c r="B7" s="17">
        <f>IF([1]Rseries!L12="","",[1]Rseries!L12)</f>
        <v>13514.9</v>
      </c>
    </row>
    <row r="8" spans="1:5" x14ac:dyDescent="0.25">
      <c r="A8" s="2">
        <v>28580</v>
      </c>
      <c r="B8" s="17">
        <f>IF([1]Rseries!L13="","",[1]Rseries!L13)</f>
        <v>13496.3</v>
      </c>
    </row>
    <row r="9" spans="1:5" x14ac:dyDescent="0.25">
      <c r="A9" s="2">
        <v>28671</v>
      </c>
      <c r="B9" s="17">
        <f>IF([1]Rseries!L14="","",[1]Rseries!L14)</f>
        <v>13442.4</v>
      </c>
    </row>
    <row r="10" spans="1:5" x14ac:dyDescent="0.25">
      <c r="A10" s="2">
        <v>28763</v>
      </c>
      <c r="B10" s="17">
        <f>IF([1]Rseries!L15="","",[1]Rseries!L15)</f>
        <v>13500.3</v>
      </c>
    </row>
    <row r="11" spans="1:5" x14ac:dyDescent="0.25">
      <c r="A11" s="2">
        <v>28855</v>
      </c>
      <c r="B11" s="17">
        <f>IF([1]Rseries!L16="","",[1]Rseries!L16)</f>
        <v>13505</v>
      </c>
    </row>
    <row r="12" spans="1:5" x14ac:dyDescent="0.25">
      <c r="A12" s="2">
        <v>28945</v>
      </c>
      <c r="B12" s="17">
        <f>IF([1]Rseries!L17="","",[1]Rseries!L17)</f>
        <v>13538.3</v>
      </c>
    </row>
    <row r="13" spans="1:5" x14ac:dyDescent="0.25">
      <c r="A13" s="2">
        <v>29036</v>
      </c>
      <c r="B13" s="17">
        <f>IF([1]Rseries!L18="","",[1]Rseries!L18)</f>
        <v>13462.4</v>
      </c>
    </row>
    <row r="14" spans="1:5" x14ac:dyDescent="0.25">
      <c r="A14" s="2">
        <v>29128</v>
      </c>
      <c r="B14" s="17">
        <f>IF([1]Rseries!L19="","",[1]Rseries!L19)</f>
        <v>13580.2</v>
      </c>
    </row>
    <row r="15" spans="1:5" x14ac:dyDescent="0.25">
      <c r="A15" s="2">
        <v>29220</v>
      </c>
      <c r="B15" s="17">
        <f>IF([1]Rseries!L20="","",[1]Rseries!L20)</f>
        <v>13605.1</v>
      </c>
    </row>
    <row r="16" spans="1:5" x14ac:dyDescent="0.25">
      <c r="A16" s="2">
        <v>29311</v>
      </c>
      <c r="B16" s="17">
        <f>IF([1]Rseries!L21="","",[1]Rseries!L21)</f>
        <v>13604.7</v>
      </c>
    </row>
    <row r="17" spans="1:2" x14ac:dyDescent="0.25">
      <c r="A17" s="2">
        <v>29402</v>
      </c>
      <c r="B17" s="17">
        <f>IF([1]Rseries!L22="","",[1]Rseries!L22)</f>
        <v>13543.4</v>
      </c>
    </row>
    <row r="18" spans="1:2" x14ac:dyDescent="0.25">
      <c r="A18" s="2">
        <v>29494</v>
      </c>
      <c r="B18" s="17">
        <f>IF([1]Rseries!L23="","",[1]Rseries!L23)</f>
        <v>13587.9</v>
      </c>
    </row>
    <row r="19" spans="1:2" x14ac:dyDescent="0.25">
      <c r="A19" s="2">
        <v>29586</v>
      </c>
      <c r="B19" s="17">
        <f>IF([1]Rseries!L24="","",[1]Rseries!L24)</f>
        <v>13627.7</v>
      </c>
    </row>
    <row r="20" spans="1:2" x14ac:dyDescent="0.25">
      <c r="A20" s="2">
        <v>29676</v>
      </c>
      <c r="B20" s="17">
        <f>IF([1]Rseries!L25="","",[1]Rseries!L25)</f>
        <v>13619.2</v>
      </c>
    </row>
    <row r="21" spans="1:2" x14ac:dyDescent="0.25">
      <c r="A21" s="2">
        <v>29767</v>
      </c>
      <c r="B21" s="17">
        <f>IF([1]Rseries!L26="","",[1]Rseries!L26)</f>
        <v>13571.6</v>
      </c>
    </row>
    <row r="22" spans="1:2" x14ac:dyDescent="0.25">
      <c r="A22" s="2">
        <v>29859</v>
      </c>
      <c r="B22" s="17">
        <f>IF([1]Rseries!L27="","",[1]Rseries!L27)</f>
        <v>13665.2</v>
      </c>
    </row>
    <row r="23" spans="1:2" x14ac:dyDescent="0.25">
      <c r="A23" s="2">
        <v>29951</v>
      </c>
      <c r="B23" s="17">
        <f>IF([1]Rseries!L28="","",[1]Rseries!L28)</f>
        <v>13716.4</v>
      </c>
    </row>
    <row r="24" spans="1:2" x14ac:dyDescent="0.25">
      <c r="A24" s="2">
        <v>30041</v>
      </c>
      <c r="B24" s="17">
        <f>IF([1]Rseries!L29="","",[1]Rseries!L29)</f>
        <v>13737.8</v>
      </c>
    </row>
    <row r="25" spans="1:2" x14ac:dyDescent="0.25">
      <c r="A25" s="2">
        <v>30132</v>
      </c>
      <c r="B25" s="17">
        <f>IF([1]Rseries!L30="","",[1]Rseries!L30)</f>
        <v>13718.2</v>
      </c>
    </row>
    <row r="26" spans="1:2" x14ac:dyDescent="0.25">
      <c r="A26" s="2">
        <v>30224</v>
      </c>
      <c r="B26" s="17">
        <f>IF([1]Rseries!L31="","",[1]Rseries!L31)</f>
        <v>13842.5</v>
      </c>
    </row>
    <row r="27" spans="1:2" x14ac:dyDescent="0.25">
      <c r="A27" s="2">
        <v>30316</v>
      </c>
      <c r="B27" s="17">
        <f>IF([1]Rseries!L32="","",[1]Rseries!L32)</f>
        <v>13926.9</v>
      </c>
    </row>
    <row r="28" spans="1:2" x14ac:dyDescent="0.25">
      <c r="A28" s="2">
        <v>30406</v>
      </c>
      <c r="B28" s="17">
        <f>IF([1]Rseries!L33="","",[1]Rseries!L33)</f>
        <v>13899.7</v>
      </c>
    </row>
    <row r="29" spans="1:2" x14ac:dyDescent="0.25">
      <c r="A29" s="2">
        <v>30497</v>
      </c>
      <c r="B29" s="17">
        <f>IF([1]Rseries!L34="","",[1]Rseries!L34)</f>
        <v>13897.4</v>
      </c>
    </row>
    <row r="30" spans="1:2" x14ac:dyDescent="0.25">
      <c r="A30" s="2">
        <v>30589</v>
      </c>
      <c r="B30" s="17">
        <f>IF([1]Rseries!L35="","",[1]Rseries!L35)</f>
        <v>14041.6</v>
      </c>
    </row>
    <row r="31" spans="1:2" x14ac:dyDescent="0.25">
      <c r="A31" s="2">
        <v>30681</v>
      </c>
      <c r="B31" s="17">
        <f>IF([1]Rseries!L36="","",[1]Rseries!L36)</f>
        <v>14078.3</v>
      </c>
    </row>
    <row r="32" spans="1:2" x14ac:dyDescent="0.25">
      <c r="A32" s="2">
        <v>30772</v>
      </c>
      <c r="B32" s="17">
        <f>IF([1]Rseries!L37="","",[1]Rseries!L37)</f>
        <v>14058.6</v>
      </c>
    </row>
    <row r="33" spans="1:2" x14ac:dyDescent="0.25">
      <c r="A33" s="2">
        <v>30863</v>
      </c>
      <c r="B33" s="17">
        <f>IF([1]Rseries!L38="","",[1]Rseries!L38)</f>
        <v>14005.2</v>
      </c>
    </row>
    <row r="34" spans="1:2" x14ac:dyDescent="0.25">
      <c r="A34" s="2">
        <v>30955</v>
      </c>
      <c r="B34" s="17">
        <f>IF([1]Rseries!L39="","",[1]Rseries!L39)</f>
        <v>14086.5</v>
      </c>
    </row>
    <row r="35" spans="1:2" x14ac:dyDescent="0.25">
      <c r="A35" s="2">
        <v>31047</v>
      </c>
      <c r="B35" s="17">
        <f>IF([1]Rseries!L40="","",[1]Rseries!L40)</f>
        <v>14151.9</v>
      </c>
    </row>
    <row r="36" spans="1:2" x14ac:dyDescent="0.25">
      <c r="A36" s="2">
        <v>31137</v>
      </c>
      <c r="B36" s="17">
        <f>IF([1]Rseries!L41="","",[1]Rseries!L41)</f>
        <v>14151.4</v>
      </c>
    </row>
    <row r="37" spans="1:2" x14ac:dyDescent="0.25">
      <c r="A37" s="2">
        <v>31228</v>
      </c>
      <c r="B37" s="17">
        <f>IF([1]Rseries!L42="","",[1]Rseries!L42)</f>
        <v>14116</v>
      </c>
    </row>
    <row r="38" spans="1:2" x14ac:dyDescent="0.25">
      <c r="A38" s="2">
        <v>31320</v>
      </c>
      <c r="B38" s="17">
        <f>IF([1]Rseries!L43="","",[1]Rseries!L43)</f>
        <v>14177.8</v>
      </c>
    </row>
    <row r="39" spans="1:2" x14ac:dyDescent="0.25">
      <c r="A39" s="2">
        <v>31412</v>
      </c>
      <c r="B39" s="17">
        <f>IF([1]Rseries!L44="","",[1]Rseries!L44)</f>
        <v>14243.9</v>
      </c>
    </row>
    <row r="40" spans="1:2" x14ac:dyDescent="0.25">
      <c r="A40" s="2">
        <v>31502</v>
      </c>
      <c r="B40" s="17">
        <f>IF([1]Rseries!L45="","",[1]Rseries!L45)</f>
        <v>14265.4</v>
      </c>
    </row>
    <row r="41" spans="1:2" x14ac:dyDescent="0.25">
      <c r="A41" s="2">
        <v>31593</v>
      </c>
      <c r="B41" s="17">
        <f>IF([1]Rseries!L46="","",[1]Rseries!L46)</f>
        <v>14282.7</v>
      </c>
    </row>
    <row r="42" spans="1:2" x14ac:dyDescent="0.25">
      <c r="A42" s="2">
        <v>31685</v>
      </c>
      <c r="B42" s="17">
        <f>IF([1]Rseries!L47="","",[1]Rseries!L47)</f>
        <v>14363.2</v>
      </c>
    </row>
    <row r="43" spans="1:2" x14ac:dyDescent="0.25">
      <c r="A43" s="2">
        <v>31777</v>
      </c>
      <c r="B43" s="17">
        <f>IF([1]Rseries!L48="","",[1]Rseries!L48)</f>
        <v>14477.2</v>
      </c>
    </row>
    <row r="44" spans="1:2" x14ac:dyDescent="0.25">
      <c r="A44" s="2">
        <v>31867</v>
      </c>
      <c r="B44" s="17">
        <f>IF([1]Rseries!L49="","",[1]Rseries!L49)</f>
        <v>14574</v>
      </c>
    </row>
    <row r="45" spans="1:2" x14ac:dyDescent="0.25">
      <c r="A45" s="2">
        <v>31958</v>
      </c>
      <c r="B45" s="17">
        <f>IF([1]Rseries!L50="","",[1]Rseries!L50)</f>
        <v>14813.2</v>
      </c>
    </row>
    <row r="46" spans="1:2" x14ac:dyDescent="0.25">
      <c r="A46" s="2">
        <v>32050</v>
      </c>
      <c r="B46" s="17">
        <f>IF([1]Rseries!L51="","",[1]Rseries!L51)</f>
        <v>15039.2</v>
      </c>
    </row>
    <row r="47" spans="1:2" x14ac:dyDescent="0.25">
      <c r="A47" s="2">
        <v>32142</v>
      </c>
      <c r="B47" s="17">
        <f>IF([1]Rseries!L52="","",[1]Rseries!L52)</f>
        <v>15129.5</v>
      </c>
    </row>
    <row r="48" spans="1:2" x14ac:dyDescent="0.25">
      <c r="A48" s="2">
        <v>32233</v>
      </c>
      <c r="B48" s="17">
        <f>IF([1]Rseries!L53="","",[1]Rseries!L53)</f>
        <v>15178.2</v>
      </c>
    </row>
    <row r="49" spans="1:2" x14ac:dyDescent="0.25">
      <c r="A49" s="2">
        <v>32324</v>
      </c>
      <c r="B49" s="17">
        <f>IF([1]Rseries!L54="","",[1]Rseries!L54)</f>
        <v>15228.2</v>
      </c>
    </row>
    <row r="50" spans="1:2" x14ac:dyDescent="0.25">
      <c r="A50" s="2">
        <v>32416</v>
      </c>
      <c r="B50" s="17">
        <f>IF([1]Rseries!L55="","",[1]Rseries!L55)</f>
        <v>15378.8</v>
      </c>
    </row>
    <row r="51" spans="1:2" x14ac:dyDescent="0.25">
      <c r="A51" s="2">
        <v>32508</v>
      </c>
      <c r="B51" s="17">
        <f>IF([1]Rseries!L56="","",[1]Rseries!L56)</f>
        <v>15308</v>
      </c>
    </row>
    <row r="52" spans="1:2" x14ac:dyDescent="0.25">
      <c r="A52" s="2">
        <v>32598</v>
      </c>
      <c r="B52" s="17">
        <f>IF([1]Rseries!L57="","",[1]Rseries!L57)</f>
        <v>15342.9</v>
      </c>
    </row>
    <row r="53" spans="1:2" x14ac:dyDescent="0.25">
      <c r="A53" s="2">
        <v>32689</v>
      </c>
      <c r="B53" s="17">
        <f>IF([1]Rseries!L58="","",[1]Rseries!L58)</f>
        <v>15357.2</v>
      </c>
    </row>
    <row r="54" spans="1:2" x14ac:dyDescent="0.25">
      <c r="A54" s="2">
        <v>32781</v>
      </c>
      <c r="B54" s="17">
        <f>IF([1]Rseries!L59="","",[1]Rseries!L59)</f>
        <v>15494</v>
      </c>
    </row>
    <row r="55" spans="1:2" x14ac:dyDescent="0.25">
      <c r="A55" s="2">
        <v>32873</v>
      </c>
      <c r="B55" s="17">
        <f>IF([1]Rseries!L60="","",[1]Rseries!L60)</f>
        <v>15541.4</v>
      </c>
    </row>
    <row r="56" spans="1:2" x14ac:dyDescent="0.25">
      <c r="A56" s="2">
        <v>32963</v>
      </c>
      <c r="B56" s="17">
        <f>IF([1]Rseries!L61="","",[1]Rseries!L61)</f>
        <v>15585.1</v>
      </c>
    </row>
    <row r="57" spans="1:2" x14ac:dyDescent="0.25">
      <c r="A57" s="2">
        <v>33054</v>
      </c>
      <c r="B57" s="17">
        <f>IF([1]Rseries!L62="","",[1]Rseries!L62)</f>
        <v>15573.6</v>
      </c>
    </row>
    <row r="58" spans="1:2" x14ac:dyDescent="0.25">
      <c r="A58" s="2">
        <v>33146</v>
      </c>
      <c r="B58" s="17">
        <f>IF([1]Rseries!L63="","",[1]Rseries!L63)</f>
        <v>15650.9</v>
      </c>
    </row>
    <row r="59" spans="1:2" x14ac:dyDescent="0.25">
      <c r="A59" s="2">
        <v>33238</v>
      </c>
      <c r="B59" s="17">
        <f>IF([1]Rseries!L64="","",[1]Rseries!L64)</f>
        <v>15704.8</v>
      </c>
    </row>
    <row r="60" spans="1:2" x14ac:dyDescent="0.25">
      <c r="A60" s="2">
        <v>33328</v>
      </c>
      <c r="B60" s="17">
        <f>IF([1]Rseries!L65="","",[1]Rseries!L65)</f>
        <v>15689.3</v>
      </c>
    </row>
    <row r="61" spans="1:2" x14ac:dyDescent="0.25">
      <c r="A61" s="2">
        <v>33419</v>
      </c>
      <c r="B61" s="17">
        <f>IF([1]Rseries!L66="","",[1]Rseries!L66)</f>
        <v>15697.6</v>
      </c>
    </row>
    <row r="62" spans="1:2" x14ac:dyDescent="0.25">
      <c r="A62" s="2">
        <v>33511</v>
      </c>
      <c r="B62" s="17">
        <f>IF([1]Rseries!L67="","",[1]Rseries!L67)</f>
        <v>15843.6</v>
      </c>
    </row>
    <row r="63" spans="1:2" x14ac:dyDescent="0.25">
      <c r="A63" s="2">
        <v>33603</v>
      </c>
      <c r="B63" s="17">
        <f>IF([1]Rseries!L68="","",[1]Rseries!L68)</f>
        <v>15831.3</v>
      </c>
    </row>
    <row r="64" spans="1:2" x14ac:dyDescent="0.25">
      <c r="A64" s="2">
        <v>33694</v>
      </c>
      <c r="B64" s="17">
        <f>IF([1]Rseries!L69="","",[1]Rseries!L69)</f>
        <v>15792.4</v>
      </c>
    </row>
    <row r="65" spans="1:2" x14ac:dyDescent="0.25">
      <c r="A65" s="2">
        <v>33785</v>
      </c>
      <c r="B65" s="17">
        <f>IF([1]Rseries!L70="","",[1]Rseries!L70)</f>
        <v>15832.2</v>
      </c>
    </row>
    <row r="66" spans="1:2" x14ac:dyDescent="0.25">
      <c r="A66" s="2">
        <v>33877</v>
      </c>
      <c r="B66" s="17">
        <f>IF([1]Rseries!L71="","",[1]Rseries!L71)</f>
        <v>15910.1</v>
      </c>
    </row>
    <row r="67" spans="1:2" x14ac:dyDescent="0.25">
      <c r="A67" s="2">
        <v>33969</v>
      </c>
      <c r="B67" s="17">
        <f>IF([1]Rseries!L72="","",[1]Rseries!L72)</f>
        <v>15941</v>
      </c>
    </row>
    <row r="68" spans="1:2" x14ac:dyDescent="0.25">
      <c r="A68" s="2">
        <v>34059</v>
      </c>
      <c r="B68" s="17">
        <f>IF([1]Rseries!L73="","",[1]Rseries!L73)</f>
        <v>15904.5</v>
      </c>
    </row>
    <row r="69" spans="1:2" x14ac:dyDescent="0.25">
      <c r="A69" s="2">
        <v>34150</v>
      </c>
      <c r="B69" s="17">
        <f>IF([1]Rseries!L74="","",[1]Rseries!L74)</f>
        <v>15997</v>
      </c>
    </row>
    <row r="70" spans="1:2" x14ac:dyDescent="0.25">
      <c r="A70" s="2">
        <v>34242</v>
      </c>
      <c r="B70" s="17">
        <f>IF([1]Rseries!L75="","",[1]Rseries!L75)</f>
        <v>16138.1</v>
      </c>
    </row>
    <row r="71" spans="1:2" x14ac:dyDescent="0.25">
      <c r="A71" s="2">
        <v>34334</v>
      </c>
      <c r="B71" s="17">
        <f>IF([1]Rseries!L76="","",[1]Rseries!L76)</f>
        <v>16183.5</v>
      </c>
    </row>
    <row r="72" spans="1:2" x14ac:dyDescent="0.25">
      <c r="A72" s="2">
        <v>34424</v>
      </c>
      <c r="B72" s="17">
        <f>IF([1]Rseries!L77="","",[1]Rseries!L77)</f>
        <v>16184.6</v>
      </c>
    </row>
    <row r="73" spans="1:2" x14ac:dyDescent="0.25">
      <c r="A73" s="2">
        <v>34515</v>
      </c>
      <c r="B73" s="17">
        <f>IF([1]Rseries!L78="","",[1]Rseries!L78)</f>
        <v>16244.8</v>
      </c>
    </row>
    <row r="74" spans="1:2" x14ac:dyDescent="0.25">
      <c r="A74" s="2">
        <v>34607</v>
      </c>
      <c r="B74" s="17">
        <f>IF([1]Rseries!L79="","",[1]Rseries!L79)</f>
        <v>16276.3</v>
      </c>
    </row>
    <row r="75" spans="1:2" x14ac:dyDescent="0.25">
      <c r="A75" s="2">
        <v>34699</v>
      </c>
      <c r="B75" s="17">
        <f>IF([1]Rseries!L80="","",[1]Rseries!L80)</f>
        <v>16297.9</v>
      </c>
    </row>
    <row r="76" spans="1:2" x14ac:dyDescent="0.25">
      <c r="A76" s="2">
        <v>34789</v>
      </c>
      <c r="B76" s="17">
        <f>IF([1]Rseries!L81="","",[1]Rseries!L81)</f>
        <v>16316.9</v>
      </c>
    </row>
    <row r="77" spans="1:2" x14ac:dyDescent="0.25">
      <c r="A77" s="2">
        <v>34880</v>
      </c>
      <c r="B77" s="17">
        <f>IF([1]Rseries!L82="","",[1]Rseries!L82)</f>
        <v>16326.1</v>
      </c>
    </row>
    <row r="78" spans="1:2" x14ac:dyDescent="0.25">
      <c r="A78" s="2">
        <v>34972</v>
      </c>
      <c r="B78" s="17">
        <f>IF([1]Rseries!L83="","",[1]Rseries!L83)</f>
        <v>16456.7</v>
      </c>
    </row>
    <row r="79" spans="1:2" x14ac:dyDescent="0.25">
      <c r="A79" s="2">
        <v>35064</v>
      </c>
      <c r="B79" s="17">
        <f>IF([1]Rseries!L84="","",[1]Rseries!L84)</f>
        <v>16463.599999999999</v>
      </c>
    </row>
    <row r="80" spans="1:2" x14ac:dyDescent="0.25">
      <c r="A80" s="2">
        <v>35155</v>
      </c>
      <c r="B80" s="17">
        <f>IF([1]Rseries!L85="","",[1]Rseries!L85)</f>
        <v>16525.2</v>
      </c>
    </row>
    <row r="81" spans="1:2" x14ac:dyDescent="0.25">
      <c r="A81" s="2">
        <v>35246</v>
      </c>
      <c r="B81" s="17">
        <f>IF([1]Rseries!L86="","",[1]Rseries!L86)</f>
        <v>16592.2</v>
      </c>
    </row>
    <row r="82" spans="1:2" x14ac:dyDescent="0.25">
      <c r="A82" s="2">
        <v>35338</v>
      </c>
      <c r="B82" s="17">
        <f>IF([1]Rseries!L87="","",[1]Rseries!L87)</f>
        <v>16780</v>
      </c>
    </row>
    <row r="83" spans="1:2" x14ac:dyDescent="0.25">
      <c r="A83" s="2">
        <v>35430</v>
      </c>
      <c r="B83" s="17">
        <f>IF([1]Rseries!L88="","",[1]Rseries!L88)</f>
        <v>16826.599999999999</v>
      </c>
    </row>
    <row r="84" spans="1:2" x14ac:dyDescent="0.25">
      <c r="A84" s="2">
        <v>35520</v>
      </c>
      <c r="B84" s="17">
        <f>IF([1]Rseries!L89="","",[1]Rseries!L89)</f>
        <v>16842</v>
      </c>
    </row>
    <row r="85" spans="1:2" x14ac:dyDescent="0.25">
      <c r="A85" s="2">
        <v>35611</v>
      </c>
      <c r="B85" s="17">
        <f>IF([1]Rseries!L90="","",[1]Rseries!L90)</f>
        <v>16908.599999999999</v>
      </c>
    </row>
    <row r="86" spans="1:2" x14ac:dyDescent="0.25">
      <c r="A86" s="2">
        <v>35703</v>
      </c>
      <c r="B86" s="17">
        <f>IF([1]Rseries!L91="","",[1]Rseries!L91)</f>
        <v>17036.3</v>
      </c>
    </row>
    <row r="87" spans="1:2" x14ac:dyDescent="0.25">
      <c r="A87" s="2">
        <v>35795</v>
      </c>
      <c r="B87" s="17">
        <f>IF([1]Rseries!L92="","",[1]Rseries!L92)</f>
        <v>17104.5</v>
      </c>
    </row>
    <row r="88" spans="1:2" x14ac:dyDescent="0.25">
      <c r="A88" s="2">
        <v>35885</v>
      </c>
      <c r="B88" s="17">
        <f>IF([1]Rseries!L93="","",[1]Rseries!L93)</f>
        <v>17078.5</v>
      </c>
    </row>
    <row r="89" spans="1:2" x14ac:dyDescent="0.25">
      <c r="A89" s="2">
        <v>35976</v>
      </c>
      <c r="B89" s="17">
        <f>IF([1]Rseries!L94="","",[1]Rseries!L94)</f>
        <v>17154.400000000001</v>
      </c>
    </row>
    <row r="90" spans="1:2" x14ac:dyDescent="0.25">
      <c r="A90" s="2">
        <v>36068</v>
      </c>
      <c r="B90" s="17">
        <f>IF([1]Rseries!L95="","",[1]Rseries!L95)</f>
        <v>17360.8</v>
      </c>
    </row>
    <row r="91" spans="1:2" x14ac:dyDescent="0.25">
      <c r="A91" s="2">
        <v>36160</v>
      </c>
      <c r="B91" s="17">
        <f>IF([1]Rseries!L96="","",[1]Rseries!L96)</f>
        <v>17383</v>
      </c>
    </row>
    <row r="92" spans="1:2" x14ac:dyDescent="0.25">
      <c r="A92" s="2">
        <v>36250</v>
      </c>
      <c r="B92" s="17">
        <f>IF([1]Rseries!L97="","",[1]Rseries!L97)</f>
        <v>17376.2</v>
      </c>
    </row>
    <row r="93" spans="1:2" x14ac:dyDescent="0.25">
      <c r="A93" s="2">
        <v>36341</v>
      </c>
      <c r="B93" s="17">
        <f>IF([1]Rseries!L98="","",[1]Rseries!L98)</f>
        <v>17451.5</v>
      </c>
    </row>
    <row r="94" spans="1:2" x14ac:dyDescent="0.25">
      <c r="A94" s="2">
        <v>36433</v>
      </c>
      <c r="B94" s="17">
        <f>IF([1]Rseries!L99="","",[1]Rseries!L99)</f>
        <v>17671</v>
      </c>
    </row>
    <row r="95" spans="1:2" x14ac:dyDescent="0.25">
      <c r="A95" s="2">
        <v>36525</v>
      </c>
      <c r="B95" s="17">
        <f>IF([1]Rseries!L100="","",[1]Rseries!L100)</f>
        <v>17802.3</v>
      </c>
    </row>
    <row r="96" spans="1:2" x14ac:dyDescent="0.25">
      <c r="A96" s="2">
        <v>36616</v>
      </c>
      <c r="B96" s="17">
        <f>IF([1]Rseries!L101="","",[1]Rseries!L101)</f>
        <v>17907.3</v>
      </c>
    </row>
    <row r="97" spans="1:2" x14ac:dyDescent="0.25">
      <c r="A97" s="2">
        <v>36707</v>
      </c>
      <c r="B97" s="17">
        <f>IF([1]Rseries!L102="","",[1]Rseries!L102)</f>
        <v>18063</v>
      </c>
    </row>
    <row r="98" spans="1:2" x14ac:dyDescent="0.25">
      <c r="A98" s="2">
        <v>36799</v>
      </c>
      <c r="B98" s="17">
        <f>IF([1]Rseries!L103="","",[1]Rseries!L103)</f>
        <v>18300.599999999999</v>
      </c>
    </row>
    <row r="99" spans="1:2" x14ac:dyDescent="0.25">
      <c r="A99" s="2">
        <v>36891</v>
      </c>
      <c r="B99" s="17">
        <f>IF([1]Rseries!L104="","",[1]Rseries!L104)</f>
        <v>18390.900000000001</v>
      </c>
    </row>
    <row r="100" spans="1:2" x14ac:dyDescent="0.25">
      <c r="A100" s="2">
        <v>36981</v>
      </c>
      <c r="B100" s="17">
        <f>IF([1]Rseries!L105="","",[1]Rseries!L105)</f>
        <v>17977.8</v>
      </c>
    </row>
    <row r="101" spans="1:2" x14ac:dyDescent="0.25">
      <c r="A101" s="2">
        <v>37072</v>
      </c>
      <c r="B101" s="17">
        <f>IF([1]Rseries!L106="","",[1]Rseries!L106)</f>
        <v>18095.3</v>
      </c>
    </row>
    <row r="102" spans="1:2" x14ac:dyDescent="0.25">
      <c r="A102" s="2">
        <v>37164</v>
      </c>
      <c r="B102" s="17">
        <f>IF([1]Rseries!L107="","",[1]Rseries!L107)</f>
        <v>18327.2</v>
      </c>
    </row>
    <row r="103" spans="1:2" x14ac:dyDescent="0.25">
      <c r="A103" s="2">
        <v>37256</v>
      </c>
      <c r="B103" s="17">
        <f>IF([1]Rseries!L108="","",[1]Rseries!L108)</f>
        <v>18455.2</v>
      </c>
    </row>
    <row r="104" spans="1:2" x14ac:dyDescent="0.25">
      <c r="A104" s="2">
        <v>37346</v>
      </c>
      <c r="B104" s="17">
        <f>IF([1]Rseries!L109="","",[1]Rseries!L109)</f>
        <v>18635.099999999999</v>
      </c>
    </row>
    <row r="105" spans="1:2" x14ac:dyDescent="0.25">
      <c r="A105" s="2">
        <v>37437</v>
      </c>
      <c r="B105" s="17">
        <f>IF([1]Rseries!L110="","",[1]Rseries!L110)</f>
        <v>18870.2</v>
      </c>
    </row>
    <row r="106" spans="1:2" x14ac:dyDescent="0.25">
      <c r="A106" s="2">
        <v>37529</v>
      </c>
      <c r="B106" s="17">
        <f>IF([1]Rseries!L111="","",[1]Rseries!L111)</f>
        <v>19115.3</v>
      </c>
    </row>
    <row r="107" spans="1:2" x14ac:dyDescent="0.25">
      <c r="A107" s="2">
        <v>37621</v>
      </c>
      <c r="B107" s="17">
        <f>IF([1]Rseries!L112="","",[1]Rseries!L112)</f>
        <v>19224.3</v>
      </c>
    </row>
    <row r="108" spans="1:2" x14ac:dyDescent="0.25">
      <c r="A108" s="2">
        <v>37711</v>
      </c>
      <c r="B108" s="17">
        <f>IF([1]Rseries!L113="","",[1]Rseries!L113)</f>
        <v>19421.2</v>
      </c>
    </row>
    <row r="109" spans="1:2" x14ac:dyDescent="0.25">
      <c r="A109" s="2">
        <v>37802</v>
      </c>
      <c r="B109" s="17">
        <f>IF([1]Rseries!L114="","",[1]Rseries!L114)</f>
        <v>19639.2</v>
      </c>
    </row>
    <row r="110" spans="1:2" x14ac:dyDescent="0.25">
      <c r="A110" s="2">
        <v>37894</v>
      </c>
      <c r="B110" s="17">
        <f>IF([1]Rseries!L115="","",[1]Rseries!L115)</f>
        <v>19893.5</v>
      </c>
    </row>
    <row r="111" spans="1:2" x14ac:dyDescent="0.25">
      <c r="A111" s="2">
        <v>37986</v>
      </c>
      <c r="B111" s="17">
        <f>IF([1]Rseries!L116="","",[1]Rseries!L116)</f>
        <v>20017.099999999999</v>
      </c>
    </row>
    <row r="112" spans="1:2" x14ac:dyDescent="0.25">
      <c r="A112" s="2">
        <v>38077</v>
      </c>
      <c r="B112" s="17">
        <f>IF([1]Rseries!L117="","",[1]Rseries!L117)</f>
        <v>20080</v>
      </c>
    </row>
    <row r="113" spans="1:2" x14ac:dyDescent="0.25">
      <c r="A113" s="2">
        <v>38168</v>
      </c>
      <c r="B113" s="17">
        <f>IF([1]Rseries!L118="","",[1]Rseries!L118)</f>
        <v>20266.5</v>
      </c>
    </row>
    <row r="114" spans="1:2" x14ac:dyDescent="0.25">
      <c r="A114" s="2">
        <v>38260</v>
      </c>
      <c r="B114" s="17">
        <f>IF([1]Rseries!L119="","",[1]Rseries!L119)</f>
        <v>20488.900000000001</v>
      </c>
    </row>
    <row r="115" spans="1:2" x14ac:dyDescent="0.25">
      <c r="A115" s="2">
        <v>38352</v>
      </c>
      <c r="B115" s="17">
        <f>IF([1]Rseries!L120="","",[1]Rseries!L120)</f>
        <v>20667.7</v>
      </c>
    </row>
    <row r="116" spans="1:2" x14ac:dyDescent="0.25">
      <c r="A116" s="2">
        <v>38442</v>
      </c>
      <c r="B116" s="17">
        <f>IF([1]Rseries!L121="","",[1]Rseries!L121)</f>
        <v>20857.400000000001</v>
      </c>
    </row>
    <row r="117" spans="1:2" x14ac:dyDescent="0.25">
      <c r="A117" s="2">
        <v>38533</v>
      </c>
      <c r="B117" s="17">
        <f>IF([1]Rseries!L122="","",[1]Rseries!L122)</f>
        <v>21129.7</v>
      </c>
    </row>
    <row r="118" spans="1:2" x14ac:dyDescent="0.25">
      <c r="A118" s="2">
        <v>38625</v>
      </c>
      <c r="B118" s="17">
        <f>IF([1]Rseries!L123="","",[1]Rseries!L123)</f>
        <v>21205.599999999999</v>
      </c>
    </row>
    <row r="119" spans="1:2" x14ac:dyDescent="0.25">
      <c r="A119" s="2">
        <v>38717</v>
      </c>
      <c r="B119" s="17">
        <f>IF([1]Rseries!L124="","",[1]Rseries!L124)</f>
        <v>21369.5</v>
      </c>
    </row>
    <row r="120" spans="1:2" x14ac:dyDescent="0.25">
      <c r="A120" s="2">
        <v>38807</v>
      </c>
      <c r="B120" s="17">
        <f>IF([1]Rseries!L125="","",[1]Rseries!L125)</f>
        <v>21521.3</v>
      </c>
    </row>
    <row r="121" spans="1:2" x14ac:dyDescent="0.25">
      <c r="A121" s="2">
        <v>38898</v>
      </c>
      <c r="B121" s="17">
        <f>IF([1]Rseries!L126="","",[1]Rseries!L126)</f>
        <v>21726</v>
      </c>
    </row>
    <row r="122" spans="1:2" x14ac:dyDescent="0.25">
      <c r="A122" s="2">
        <v>38990</v>
      </c>
      <c r="B122" s="17">
        <f>IF([1]Rseries!L127="","",[1]Rseries!L127)</f>
        <v>21857.8</v>
      </c>
    </row>
    <row r="123" spans="1:2" x14ac:dyDescent="0.25">
      <c r="A123" s="2">
        <v>39082</v>
      </c>
      <c r="B123" s="17">
        <f>IF([1]Rseries!L128="","",[1]Rseries!L128)</f>
        <v>22014.799999999999</v>
      </c>
    </row>
    <row r="124" spans="1:2" x14ac:dyDescent="0.25">
      <c r="A124" s="2">
        <v>39172</v>
      </c>
      <c r="B124" s="17">
        <f>IF([1]Rseries!L129="","",[1]Rseries!L129)</f>
        <v>22130.799999999999</v>
      </c>
    </row>
    <row r="125" spans="1:2" x14ac:dyDescent="0.25">
      <c r="A125" s="2">
        <v>39263</v>
      </c>
      <c r="B125" s="17">
        <f>IF([1]Rseries!L130="","",[1]Rseries!L130)</f>
        <v>22354.1</v>
      </c>
    </row>
    <row r="126" spans="1:2" x14ac:dyDescent="0.25">
      <c r="A126" s="2">
        <v>39355</v>
      </c>
      <c r="B126" s="17">
        <f>IF([1]Rseries!L131="","",[1]Rseries!L131)</f>
        <v>22559.599999999999</v>
      </c>
    </row>
    <row r="127" spans="1:2" x14ac:dyDescent="0.25">
      <c r="A127" s="2">
        <v>39447</v>
      </c>
      <c r="B127" s="17">
        <f>IF([1]Rseries!L132="","",[1]Rseries!L132)</f>
        <v>22659.9</v>
      </c>
    </row>
    <row r="128" spans="1:2" x14ac:dyDescent="0.25">
      <c r="A128" s="2">
        <v>39538</v>
      </c>
      <c r="B128" s="17">
        <f>IF([1]Rseries!L133="","",[1]Rseries!L133)</f>
        <v>22810.400000000001</v>
      </c>
    </row>
    <row r="129" spans="1:2" x14ac:dyDescent="0.25">
      <c r="A129" s="2">
        <v>39629</v>
      </c>
      <c r="B129" s="17">
        <f>IF([1]Rseries!L134="","",[1]Rseries!L134)</f>
        <v>23032.6</v>
      </c>
    </row>
    <row r="130" spans="1:2" x14ac:dyDescent="0.25">
      <c r="A130" s="2">
        <v>39721</v>
      </c>
      <c r="B130" s="17">
        <f>IF([1]Rseries!L135="","",[1]Rseries!L135)</f>
        <v>23157.1</v>
      </c>
    </row>
    <row r="131" spans="1:2" x14ac:dyDescent="0.25">
      <c r="A131" s="2">
        <v>39813</v>
      </c>
      <c r="B131" s="17">
        <f>IF([1]Rseries!L136="","",[1]Rseries!L136)</f>
        <v>23262.1</v>
      </c>
    </row>
    <row r="132" spans="1:2" x14ac:dyDescent="0.25">
      <c r="A132" s="2">
        <v>39903</v>
      </c>
      <c r="B132" s="17">
        <f>IF([1]Rseries!L137="","",[1]Rseries!L137)</f>
        <v>23302.6</v>
      </c>
    </row>
    <row r="133" spans="1:2" x14ac:dyDescent="0.25">
      <c r="A133" s="2">
        <v>39994</v>
      </c>
      <c r="B133" s="17">
        <f>IF([1]Rseries!L138="","",[1]Rseries!L138)</f>
        <v>23293.8</v>
      </c>
    </row>
    <row r="134" spans="1:2" x14ac:dyDescent="0.25">
      <c r="A134" s="2">
        <v>40086</v>
      </c>
      <c r="B134" s="17">
        <f>IF([1]Rseries!L139="","",[1]Rseries!L139)</f>
        <v>23219.8</v>
      </c>
    </row>
    <row r="135" spans="1:2" x14ac:dyDescent="0.25">
      <c r="A135" s="2">
        <v>40178</v>
      </c>
      <c r="B135" s="17">
        <f>IF([1]Rseries!L140="","",[1]Rseries!L140)</f>
        <v>23225.4</v>
      </c>
    </row>
    <row r="136" spans="1:2" x14ac:dyDescent="0.25">
      <c r="A136" s="2">
        <v>40268</v>
      </c>
      <c r="B136" s="17">
        <f>IF([1]Rseries!L141="","",[1]Rseries!L141)</f>
        <v>23270.5</v>
      </c>
    </row>
    <row r="137" spans="1:2" x14ac:dyDescent="0.25">
      <c r="A137" s="2">
        <v>40359</v>
      </c>
      <c r="B137" s="17">
        <f>IF([1]Rseries!L142="","",[1]Rseries!L142)</f>
        <v>23406.400000000001</v>
      </c>
    </row>
    <row r="138" spans="1:2" x14ac:dyDescent="0.25">
      <c r="A138" s="2">
        <v>40451</v>
      </c>
      <c r="B138" s="17">
        <f>IF([1]Rseries!L143="","",[1]Rseries!L143)</f>
        <v>23404.400000000001</v>
      </c>
    </row>
    <row r="139" spans="1:2" x14ac:dyDescent="0.25">
      <c r="A139" s="2">
        <v>40543</v>
      </c>
      <c r="B139" s="17">
        <f>IF([1]Rseries!L144="","",[1]Rseries!L144)</f>
        <v>23377.1</v>
      </c>
    </row>
    <row r="140" spans="1:2" x14ac:dyDescent="0.25">
      <c r="A140" s="2">
        <v>40633</v>
      </c>
      <c r="B140" s="17">
        <f>IF([1]Rseries!L145="","",[1]Rseries!L145)</f>
        <v>23347.3</v>
      </c>
    </row>
    <row r="141" spans="1:2" x14ac:dyDescent="0.25">
      <c r="A141" s="2">
        <v>40724</v>
      </c>
      <c r="B141" s="17">
        <f>IF([1]Rseries!L146="","",[1]Rseries!L146)</f>
        <v>23466.2</v>
      </c>
    </row>
    <row r="142" spans="1:2" x14ac:dyDescent="0.25">
      <c r="A142" s="2">
        <v>40816</v>
      </c>
      <c r="B142" s="17">
        <f>IF([1]Rseries!L147="","",[1]Rseries!L147)</f>
        <v>23482.5</v>
      </c>
    </row>
    <row r="143" spans="1:2" x14ac:dyDescent="0.25">
      <c r="A143" s="2">
        <v>40908</v>
      </c>
      <c r="B143" s="17">
        <f>IF([1]Rseries!L148="","",[1]Rseries!L148)</f>
        <v>23440.3</v>
      </c>
    </row>
    <row r="144" spans="1:2" x14ac:dyDescent="0.25">
      <c r="A144" s="2">
        <v>40999</v>
      </c>
      <c r="B144" s="17">
        <f>IF([1]Rseries!L149="","",[1]Rseries!L149)</f>
        <v>23433</v>
      </c>
    </row>
    <row r="145" spans="1:2" x14ac:dyDescent="0.25">
      <c r="A145" s="2">
        <v>41090</v>
      </c>
      <c r="B145" s="17">
        <f>IF([1]Rseries!L150="","",[1]Rseries!L150)</f>
        <v>23489.5</v>
      </c>
    </row>
    <row r="146" spans="1:2" x14ac:dyDescent="0.25">
      <c r="A146" s="2">
        <v>41182</v>
      </c>
      <c r="B146" s="17">
        <f>IF([1]Rseries!L151="","",[1]Rseries!L151)</f>
        <v>23491.9</v>
      </c>
    </row>
    <row r="147" spans="1:2" x14ac:dyDescent="0.25">
      <c r="A147" s="2">
        <v>41274</v>
      </c>
      <c r="B147" s="17">
        <f>IF([1]Rseries!L152="","",[1]Rseries!L152)</f>
        <v>23360.400000000001</v>
      </c>
    </row>
    <row r="148" spans="1:2" x14ac:dyDescent="0.25">
      <c r="A148" s="2">
        <v>41364</v>
      </c>
      <c r="B148" s="17">
        <f>IF([1]Rseries!L153="","",[1]Rseries!L153)</f>
        <v>23308.400000000001</v>
      </c>
    </row>
    <row r="149" spans="1:2" x14ac:dyDescent="0.25">
      <c r="A149" s="2">
        <v>41455</v>
      </c>
      <c r="B149" s="17">
        <f>IF([1]Rseries!L154="","",[1]Rseries!L154)</f>
        <v>23207.9</v>
      </c>
    </row>
    <row r="150" spans="1:2" x14ac:dyDescent="0.25">
      <c r="A150" s="2">
        <v>41547</v>
      </c>
      <c r="B150" s="17">
        <f>IF([1]Rseries!L155="","",[1]Rseries!L155)</f>
        <v>23173.4</v>
      </c>
    </row>
    <row r="151" spans="1:2" x14ac:dyDescent="0.25">
      <c r="A151" s="2">
        <v>41639</v>
      </c>
      <c r="B151" s="17">
        <f>IF([1]Rseries!L156="","",[1]Rseries!L156)</f>
        <v>23070.9</v>
      </c>
    </row>
    <row r="152" spans="1:2" x14ac:dyDescent="0.25">
      <c r="A152" s="2">
        <v>41729</v>
      </c>
      <c r="B152" s="17">
        <f>IF([1]Rseries!L157="","",[1]Rseries!L157)</f>
        <v>22883.9</v>
      </c>
    </row>
    <row r="153" spans="1:2" x14ac:dyDescent="0.25">
      <c r="A153" s="2">
        <v>41820</v>
      </c>
      <c r="B153" s="17">
        <f>IF([1]Rseries!L158="","",[1]Rseries!L158)</f>
        <v>22975.9</v>
      </c>
    </row>
    <row r="154" spans="1:2" x14ac:dyDescent="0.25">
      <c r="A154" s="2">
        <v>41912</v>
      </c>
      <c r="B154" s="17">
        <f>IF([1]Rseries!L159="","",[1]Rseries!L159)</f>
        <v>22931.7</v>
      </c>
    </row>
    <row r="155" spans="1:2" x14ac:dyDescent="0.25">
      <c r="A155" s="2">
        <v>42004</v>
      </c>
      <c r="B155" s="17">
        <f>IF([1]Rseries!L160="","",[1]Rseries!L160)</f>
        <v>23026.799999999999</v>
      </c>
    </row>
    <row r="156" spans="1:2" x14ac:dyDescent="0.25">
      <c r="A156" s="2">
        <v>42094</v>
      </c>
      <c r="B156" s="17">
        <f>IF([1]Rseries!L161="","",[1]Rseries!L161)</f>
        <v>22899.4</v>
      </c>
    </row>
    <row r="157" spans="1:2" x14ac:dyDescent="0.25">
      <c r="A157" s="2">
        <v>42185</v>
      </c>
      <c r="B157" s="17">
        <f>IF([1]Rseries!L162="","",[1]Rseries!L162)</f>
        <v>23015.5</v>
      </c>
    </row>
    <row r="158" spans="1:2" x14ac:dyDescent="0.25">
      <c r="A158" s="2">
        <v>42277</v>
      </c>
      <c r="B158" s="17">
        <f>IF([1]Rseries!L163="","",[1]Rseries!L163)</f>
        <v>22899.5</v>
      </c>
    </row>
    <row r="159" spans="1:2" x14ac:dyDescent="0.25">
      <c r="A159" s="2">
        <v>42369</v>
      </c>
      <c r="B159" s="17">
        <f>IF([1]Rseries!L164="","",[1]Rseries!L164)</f>
        <v>22873.7</v>
      </c>
    </row>
    <row r="160" spans="1:2" x14ac:dyDescent="0.25">
      <c r="A160" s="2">
        <v>42460</v>
      </c>
      <c r="B160" s="17">
        <f>IF([1]Rseries!L165="","",[1]Rseries!L165)</f>
        <v>22821</v>
      </c>
    </row>
    <row r="161" spans="1:2" x14ac:dyDescent="0.25">
      <c r="A161" s="2">
        <v>42551</v>
      </c>
      <c r="B161" s="17">
        <f>IF([1]Rseries!L166="","",[1]Rseries!L166)</f>
        <v>22875.7</v>
      </c>
    </row>
    <row r="162" spans="1:2" x14ac:dyDescent="0.25">
      <c r="A162" s="2">
        <v>42643</v>
      </c>
      <c r="B162" s="17">
        <f>IF([1]Rseries!L167="","",[1]Rseries!L167)</f>
        <v>22848.3</v>
      </c>
    </row>
    <row r="163" spans="1:2" x14ac:dyDescent="0.25">
      <c r="A163" s="2">
        <v>42735</v>
      </c>
      <c r="B163" s="17">
        <f>IF([1]Rseries!L168="","",[1]Rseries!L168)</f>
        <v>22745.9</v>
      </c>
    </row>
    <row r="164" spans="1:2" x14ac:dyDescent="0.25">
      <c r="A164" s="2">
        <v>42825</v>
      </c>
      <c r="B164" s="17">
        <f>IF([1]Rseries!L169="","",[1]Rseries!L169)</f>
        <v>22693.3</v>
      </c>
    </row>
    <row r="165" spans="1:2" x14ac:dyDescent="0.25">
      <c r="A165" s="2">
        <v>42916</v>
      </c>
      <c r="B165" s="17">
        <f>IF([1]Rseries!L170="","",[1]Rseries!L170)</f>
        <v>22727.6113</v>
      </c>
    </row>
    <row r="166" spans="1:2" x14ac:dyDescent="0.25">
      <c r="A166" s="2">
        <v>43008</v>
      </c>
      <c r="B166" s="17">
        <f>IF([1]Rseries!L171="","",[1]Rseries!L171)</f>
        <v>22780.94441</v>
      </c>
    </row>
    <row r="167" spans="1:2" x14ac:dyDescent="0.25">
      <c r="A167" s="2">
        <v>43100</v>
      </c>
      <c r="B167" s="17">
        <f>IF([1]Rseries!L172="","",[1]Rseries!L172)</f>
        <v>22765.025089999999</v>
      </c>
    </row>
    <row r="168" spans="1:2" x14ac:dyDescent="0.25">
      <c r="A168" s="2">
        <v>43190</v>
      </c>
      <c r="B168" s="17">
        <f>IF([1]Rseries!L173="","",[1]Rseries!L173)</f>
        <v>22670.284090000001</v>
      </c>
    </row>
    <row r="169" spans="1:2" x14ac:dyDescent="0.25">
      <c r="A169" s="2">
        <v>43281</v>
      </c>
      <c r="B169" s="17">
        <f>IF([1]Rseries!L174="","",[1]Rseries!L174)</f>
        <v>22834.167000000001</v>
      </c>
    </row>
    <row r="170" spans="1:2" x14ac:dyDescent="0.25">
      <c r="A170" s="2">
        <v>43373</v>
      </c>
      <c r="B170" s="17">
        <f>IF([1]Rseries!L175="","",[1]Rseries!L175)</f>
        <v>22853.955320000001</v>
      </c>
    </row>
    <row r="171" spans="1:2" x14ac:dyDescent="0.25">
      <c r="A171" s="2">
        <v>43465</v>
      </c>
      <c r="B171" s="17">
        <f>IF([1]Rseries!L176="","",[1]Rseries!L176)</f>
        <v>22868.84549</v>
      </c>
    </row>
    <row r="172" spans="1:2" x14ac:dyDescent="0.25">
      <c r="A172" s="2">
        <v>43555</v>
      </c>
      <c r="B172" s="17">
        <f>IF([1]Rseries!L177="","",[1]Rseries!L177)</f>
        <v>22825.4</v>
      </c>
    </row>
    <row r="173" spans="1:2" x14ac:dyDescent="0.25">
      <c r="A173" s="2">
        <v>43646</v>
      </c>
      <c r="B173" s="17">
        <f>IF([1]Rseries!L178="","",[1]Rseries!L178)</f>
        <v>23035.537319999999</v>
      </c>
    </row>
    <row r="174" spans="1:2" x14ac:dyDescent="0.25">
      <c r="A174" s="2">
        <v>43738</v>
      </c>
      <c r="B174" s="17">
        <f>IF([1]Rseries!L179="","",[1]Rseries!L179)</f>
        <v>23088.704140000002</v>
      </c>
    </row>
    <row r="175" spans="1:2" x14ac:dyDescent="0.25">
      <c r="A175" s="2">
        <v>43830</v>
      </c>
      <c r="B175" s="17">
        <f>IF([1]Rseries!L180="","",[1]Rseries!L180)</f>
        <v>23158.812160000001</v>
      </c>
    </row>
    <row r="176" spans="1:2" x14ac:dyDescent="0.25">
      <c r="A176" s="2">
        <v>43921</v>
      </c>
      <c r="B176" s="17">
        <f>IF([1]Rseries!L181="","",[1]Rseries!L181)</f>
        <v>22994.225770000001</v>
      </c>
    </row>
    <row r="177" spans="1:2" x14ac:dyDescent="0.25">
      <c r="A177" s="2">
        <v>44012</v>
      </c>
      <c r="B177" s="17">
        <f>IF([1]Rseries!L182="","",[1]Rseries!L182)</f>
        <v>21975.17772</v>
      </c>
    </row>
    <row r="178" spans="1:2" x14ac:dyDescent="0.25">
      <c r="A178" s="2">
        <v>44104</v>
      </c>
      <c r="B178" s="17">
        <f>IF([1]Rseries!L183="","",[1]Rseries!L183)</f>
        <v>22899.796470000001</v>
      </c>
    </row>
    <row r="179" spans="1:2" x14ac:dyDescent="0.25">
      <c r="A179" s="2">
        <v>44196</v>
      </c>
      <c r="B179" s="17">
        <f>IF([1]Rseries!L184="","",[1]Rseries!L184)</f>
        <v>23064.06985</v>
      </c>
    </row>
    <row r="180" spans="1:2" x14ac:dyDescent="0.25">
      <c r="A180" s="2">
        <v>44286</v>
      </c>
      <c r="B180" s="17" t="str">
        <f>IF([1]Rseries!L185="","",[1]Rseries!L185)</f>
        <v/>
      </c>
    </row>
    <row r="181" spans="1:2" x14ac:dyDescent="0.25">
      <c r="A181" s="2">
        <v>44377</v>
      </c>
      <c r="B181" s="17" t="str">
        <f>IF([1]Rseries!L186="","",[1]Rseries!L186)</f>
        <v/>
      </c>
    </row>
    <row r="182" spans="1:2" x14ac:dyDescent="0.25">
      <c r="A182" s="2">
        <v>44469</v>
      </c>
      <c r="B182" s="17" t="str">
        <f>IF([1]Rseries!L187="","",[1]Rseries!L187)</f>
        <v/>
      </c>
    </row>
    <row r="183" spans="1:2" x14ac:dyDescent="0.25">
      <c r="A183" s="2">
        <v>44561</v>
      </c>
      <c r="B183" s="17" t="str">
        <f>IF([1]Rseries!L188="","",[1]Rseries!L188)</f>
        <v/>
      </c>
    </row>
    <row r="184" spans="1:2" x14ac:dyDescent="0.25">
      <c r="A184" s="2">
        <v>44651</v>
      </c>
      <c r="B184" s="17" t="str">
        <f>IF([1]Rseries!L189="","",[1]Rseries!L189)</f>
        <v/>
      </c>
    </row>
    <row r="185" spans="1:2" x14ac:dyDescent="0.25">
      <c r="A185" s="2">
        <v>44742</v>
      </c>
      <c r="B185" s="17" t="str">
        <f>IF([1]Rseries!L190="","",[1]Rseries!L190)</f>
        <v/>
      </c>
    </row>
    <row r="186" spans="1:2" x14ac:dyDescent="0.25">
      <c r="A186" s="2">
        <v>44834</v>
      </c>
      <c r="B186" s="17" t="str">
        <f>IF([1]Rseries!L191="","",[1]Rseries!L191)</f>
        <v/>
      </c>
    </row>
    <row r="187" spans="1:2" x14ac:dyDescent="0.25">
      <c r="A187" s="2">
        <v>44926</v>
      </c>
      <c r="B187" s="17" t="str">
        <f>IF([1]Rseries!L192="","",[1]Rseries!L192)</f>
        <v/>
      </c>
    </row>
    <row r="188" spans="1:2" x14ac:dyDescent="0.25">
      <c r="A188" s="2">
        <v>45016</v>
      </c>
      <c r="B188" s="17" t="str">
        <f>IF([1]Rseries!L193="","",[1]Rseries!L193)</f>
        <v/>
      </c>
    </row>
    <row r="189" spans="1:2" x14ac:dyDescent="0.25">
      <c r="A189" s="2">
        <v>45107</v>
      </c>
      <c r="B189" s="17" t="str">
        <f>IF([1]Rseries!L194="","",[1]Rseries!L194)</f>
        <v/>
      </c>
    </row>
    <row r="190" spans="1:2" x14ac:dyDescent="0.25">
      <c r="A190" s="2">
        <v>45199</v>
      </c>
      <c r="B190" s="17" t="str">
        <f>IF([1]Rseries!L195="","",[1]Rseries!L195)</f>
        <v/>
      </c>
    </row>
    <row r="191" spans="1:2" x14ac:dyDescent="0.25">
      <c r="A191" s="2">
        <v>45291</v>
      </c>
      <c r="B191" s="17" t="str">
        <f>IF([1]Rseries!L196="","",[1]Rseries!L196)</f>
        <v/>
      </c>
    </row>
    <row r="192" spans="1:2" x14ac:dyDescent="0.25">
      <c r="A192" s="2">
        <v>45382</v>
      </c>
      <c r="B192" s="17" t="str">
        <f>IF([1]Rseries!L197="","",[1]Rseries!L197)</f>
        <v/>
      </c>
    </row>
    <row r="193" spans="1:2" x14ac:dyDescent="0.25">
      <c r="A193" s="2">
        <v>45473</v>
      </c>
      <c r="B193" s="17" t="str">
        <f>IF([1]Rseries!L198="","",[1]Rseries!L198)</f>
        <v/>
      </c>
    </row>
    <row r="194" spans="1:2" x14ac:dyDescent="0.25">
      <c r="A194" s="2">
        <v>45565</v>
      </c>
      <c r="B194" s="17" t="str">
        <f>IF([1]Rseries!L199="","",[1]Rseries!L199)</f>
        <v/>
      </c>
    </row>
    <row r="195" spans="1:2" x14ac:dyDescent="0.25">
      <c r="A195" s="2">
        <v>45657</v>
      </c>
      <c r="B195" s="17" t="str">
        <f>IF([1]Rseries!L200="","",[1]Rseries!L200)</f>
        <v/>
      </c>
    </row>
    <row r="196" spans="1:2" x14ac:dyDescent="0.25">
      <c r="A196" s="2">
        <v>45747</v>
      </c>
      <c r="B196" s="17" t="str">
        <f>IF([1]Rseries!L201="","",[1]Rseries!L201)</f>
        <v/>
      </c>
    </row>
    <row r="197" spans="1:2" x14ac:dyDescent="0.25">
      <c r="A197" s="2">
        <v>45838</v>
      </c>
      <c r="B197" s="17" t="str">
        <f>IF([1]Rseries!L202="","",[1]Rseries!L202)</f>
        <v/>
      </c>
    </row>
    <row r="198" spans="1:2" x14ac:dyDescent="0.25">
      <c r="A198" s="2">
        <v>45930</v>
      </c>
      <c r="B198" s="17" t="str">
        <f>IF([1]Rseries!L203="","",[1]Rseries!L203)</f>
        <v/>
      </c>
    </row>
    <row r="199" spans="1:2" x14ac:dyDescent="0.25">
      <c r="A199" s="2">
        <v>46022</v>
      </c>
      <c r="B199" s="17" t="str">
        <f>IF([1]Rseries!L204="","",[1]Rseries!L204)</f>
        <v/>
      </c>
    </row>
    <row r="200" spans="1:2" x14ac:dyDescent="0.25">
      <c r="A200" s="2">
        <v>46112</v>
      </c>
      <c r="B200" s="17" t="str">
        <f>IF([1]Rseries!L205="","",[1]Rseries!L205)</f>
        <v/>
      </c>
    </row>
    <row r="201" spans="1:2" x14ac:dyDescent="0.25">
      <c r="A201" s="2">
        <v>46203</v>
      </c>
      <c r="B201" s="17" t="str">
        <f>IF([1]Rseries!L206="","",[1]Rseries!L206)</f>
        <v/>
      </c>
    </row>
    <row r="202" spans="1:2" x14ac:dyDescent="0.25">
      <c r="A202" s="2">
        <v>46295</v>
      </c>
      <c r="B202" s="17" t="str">
        <f>IF([1]Rseries!L207="","",[1]Rseries!L207)</f>
        <v/>
      </c>
    </row>
    <row r="203" spans="1:2" x14ac:dyDescent="0.25">
      <c r="A203" s="2">
        <v>46387</v>
      </c>
      <c r="B203" s="17" t="str">
        <f>IF([1]Rseries!L208="","",[1]Rseries!L208)</f>
        <v/>
      </c>
    </row>
    <row r="204" spans="1:2" x14ac:dyDescent="0.25">
      <c r="A204" s="2">
        <v>46477</v>
      </c>
      <c r="B204" s="17" t="str">
        <f>IF([1]Rseries!L209="","",[1]Rseries!L209)</f>
        <v/>
      </c>
    </row>
    <row r="205" spans="1:2" x14ac:dyDescent="0.25">
      <c r="A205" s="2">
        <v>46568</v>
      </c>
      <c r="B205" s="17" t="str">
        <f>IF([1]Rseries!L210="","",[1]Rseries!L210)</f>
        <v/>
      </c>
    </row>
    <row r="206" spans="1:2" x14ac:dyDescent="0.25">
      <c r="A206" s="2">
        <v>46660</v>
      </c>
      <c r="B206" s="17" t="str">
        <f>IF([1]Rseries!L211="","",[1]Rseries!L211)</f>
        <v/>
      </c>
    </row>
    <row r="207" spans="1:2" x14ac:dyDescent="0.25">
      <c r="A207" s="2">
        <v>46752</v>
      </c>
      <c r="B207" s="17" t="str">
        <f>IF([1]Rseries!L212="","",[1]Rseries!L212)</f>
        <v/>
      </c>
    </row>
    <row r="208" spans="1:2" x14ac:dyDescent="0.25">
      <c r="A208" s="2">
        <v>46843</v>
      </c>
      <c r="B208" s="17" t="str">
        <f>IF([1]Rseries!L213="","",[1]Rseries!L213)</f>
        <v/>
      </c>
    </row>
    <row r="209" spans="1:2" x14ac:dyDescent="0.25">
      <c r="A209" s="2">
        <v>46934</v>
      </c>
      <c r="B209" s="17" t="str">
        <f>IF([1]Rseries!L214="","",[1]Rseries!L214)</f>
        <v/>
      </c>
    </row>
    <row r="210" spans="1:2" x14ac:dyDescent="0.25">
      <c r="A210" s="2">
        <v>47026</v>
      </c>
      <c r="B210" s="17" t="str">
        <f>IF([1]Rseries!L215="","",[1]Rseries!L215)</f>
        <v/>
      </c>
    </row>
    <row r="211" spans="1:2" x14ac:dyDescent="0.25">
      <c r="A211" s="2">
        <v>47118</v>
      </c>
      <c r="B211" s="17" t="str">
        <f>IF([1]Rseries!L216="","",[1]Rseries!L216)</f>
        <v/>
      </c>
    </row>
    <row r="212" spans="1:2" x14ac:dyDescent="0.25">
      <c r="A212" s="2">
        <v>47208</v>
      </c>
      <c r="B212" s="17" t="str">
        <f>IF([1]Rseries!L217="","",[1]Rseries!L217)</f>
        <v/>
      </c>
    </row>
    <row r="213" spans="1:2" x14ac:dyDescent="0.25">
      <c r="A213" s="2">
        <v>47299</v>
      </c>
      <c r="B213" s="17" t="str">
        <f>IF([1]Rseries!L218="","",[1]Rseries!L218)</f>
        <v/>
      </c>
    </row>
    <row r="214" spans="1:2" x14ac:dyDescent="0.25">
      <c r="A214" s="2">
        <v>47391</v>
      </c>
      <c r="B214" s="17" t="str">
        <f>IF([1]Rseries!L219="","",[1]Rseries!L219)</f>
        <v/>
      </c>
    </row>
    <row r="215" spans="1:2" x14ac:dyDescent="0.25">
      <c r="A215" s="2">
        <v>47483</v>
      </c>
      <c r="B215" s="17" t="str">
        <f>IF([1]Rseries!L220="","",[1]Rseries!L220)</f>
        <v/>
      </c>
    </row>
    <row r="216" spans="1:2" x14ac:dyDescent="0.25">
      <c r="A216" s="2">
        <v>47573</v>
      </c>
      <c r="B216" s="17" t="str">
        <f>IF([1]Rseries!L221="","",[1]Rseries!L221)</f>
        <v/>
      </c>
    </row>
    <row r="217" spans="1:2" x14ac:dyDescent="0.25">
      <c r="A217" s="2">
        <v>47664</v>
      </c>
      <c r="B217" s="17" t="str">
        <f>IF([1]Rseries!L222="","",[1]Rseries!L222)</f>
        <v/>
      </c>
    </row>
    <row r="218" spans="1:2" x14ac:dyDescent="0.25">
      <c r="A218" s="2">
        <v>47756</v>
      </c>
      <c r="B218" s="17" t="str">
        <f>IF([1]Rseries!L223="","",[1]Rseries!L223)</f>
        <v/>
      </c>
    </row>
    <row r="219" spans="1:2" x14ac:dyDescent="0.25">
      <c r="A219" s="2">
        <v>47848</v>
      </c>
      <c r="B219" s="17" t="str">
        <f>IF([1]Rseries!L224="","",[1]Rseries!L224)</f>
        <v/>
      </c>
    </row>
    <row r="220" spans="1:2" x14ac:dyDescent="0.25">
      <c r="A220" s="2">
        <v>47938</v>
      </c>
      <c r="B220" s="17" t="str">
        <f>IF([1]Rseries!L225="","",[1]Rseries!L225)</f>
        <v/>
      </c>
    </row>
    <row r="221" spans="1:2" x14ac:dyDescent="0.25">
      <c r="A221" s="2">
        <v>48029</v>
      </c>
      <c r="B221" s="17" t="str">
        <f>IF([1]Rseries!L226="","",[1]Rseries!L226)</f>
        <v/>
      </c>
    </row>
    <row r="222" spans="1:2" x14ac:dyDescent="0.25">
      <c r="A222" s="2">
        <v>48121</v>
      </c>
      <c r="B222" s="17" t="str">
        <f>IF([1]Rseries!L227="","",[1]Rseries!L227)</f>
        <v/>
      </c>
    </row>
    <row r="223" spans="1:2" x14ac:dyDescent="0.25">
      <c r="A223" s="2">
        <v>48213</v>
      </c>
      <c r="B223" s="17" t="str">
        <f>IF([1]Rseries!L228="","",[1]Rseries!L228)</f>
        <v/>
      </c>
    </row>
    <row r="224" spans="1:2" x14ac:dyDescent="0.25">
      <c r="A224" s="2">
        <v>48304</v>
      </c>
      <c r="B224" s="17" t="str">
        <f>IF([1]Rseries!L229="","",[1]Rseries!L229)</f>
        <v/>
      </c>
    </row>
    <row r="225" spans="1:2" x14ac:dyDescent="0.25">
      <c r="A225" s="2">
        <v>48395</v>
      </c>
      <c r="B225" s="17" t="str">
        <f>IF([1]Rseries!L230="","",[1]Rseries!L230)</f>
        <v/>
      </c>
    </row>
    <row r="226" spans="1:2" x14ac:dyDescent="0.25">
      <c r="A226" s="2">
        <v>48487</v>
      </c>
      <c r="B226" s="17" t="str">
        <f>IF([1]Rseries!L231="","",[1]Rseries!L231)</f>
        <v/>
      </c>
    </row>
    <row r="227" spans="1:2" x14ac:dyDescent="0.25">
      <c r="A227" s="2">
        <v>48579</v>
      </c>
      <c r="B227" s="17" t="str">
        <f>IF([1]Rseries!L232="","",[1]Rseries!L232)</f>
        <v/>
      </c>
    </row>
    <row r="228" spans="1:2" x14ac:dyDescent="0.25">
      <c r="A228" s="2"/>
    </row>
    <row r="229" spans="1:2" x14ac:dyDescent="0.25">
      <c r="A229" s="2"/>
    </row>
    <row r="230" spans="1:2" x14ac:dyDescent="0.25">
      <c r="A230" s="2"/>
    </row>
    <row r="231" spans="1:2" x14ac:dyDescent="0.25">
      <c r="A231" s="2"/>
    </row>
    <row r="232" spans="1:2" x14ac:dyDescent="0.25">
      <c r="A232" s="2"/>
    </row>
    <row r="233" spans="1:2" x14ac:dyDescent="0.25">
      <c r="A233" s="2"/>
    </row>
    <row r="234" spans="1:2" x14ac:dyDescent="0.25">
      <c r="A234" s="2"/>
    </row>
    <row r="235" spans="1:2" x14ac:dyDescent="0.25">
      <c r="A235" s="2"/>
    </row>
    <row r="236" spans="1:2" x14ac:dyDescent="0.25">
      <c r="A236" s="2"/>
    </row>
    <row r="237" spans="1:2" x14ac:dyDescent="0.25">
      <c r="A237" s="2"/>
    </row>
    <row r="238" spans="1:2" x14ac:dyDescent="0.25">
      <c r="A238" s="2"/>
    </row>
    <row r="239" spans="1:2" x14ac:dyDescent="0.25">
      <c r="A239" s="2"/>
    </row>
    <row r="240" spans="1:2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ActivosEPAESP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2012-08-28T12:16:49Z</cp:lastPrinted>
  <dcterms:created xsi:type="dcterms:W3CDTF">2012-03-02T12:51:06Z</dcterms:created>
  <dcterms:modified xsi:type="dcterms:W3CDTF">2021-01-28T10:32:15Z</dcterms:modified>
</cp:coreProperties>
</file>