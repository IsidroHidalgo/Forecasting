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Trimestrales - EPA\Modelos EPA\"/>
    </mc:Choice>
  </mc:AlternateContent>
  <bookViews>
    <workbookView xWindow="120" yWindow="45" windowWidth="18915" windowHeight="11820" tabRatio="463"/>
  </bookViews>
  <sheets>
    <sheet name="Mediana" sheetId="139" r:id="rId1"/>
    <sheet name="OcupadosEPACLM" sheetId="1" r:id="rId2"/>
  </sheets>
  <externalReferences>
    <externalReference r:id="rId3"/>
  </externalReferences>
  <definedNames>
    <definedName name="Amplitud">OcupadosEPACLM!$E$2</definedName>
    <definedName name="Inicio">OcupadosEPACLM!$D$2</definedName>
  </definedNames>
  <calcPr calcId="162913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" i="1"/>
  <c r="D2" i="1"/>
  <c r="BV11" i="139" l="1"/>
  <c r="BV14" i="139" s="1"/>
  <c r="BV23" i="139" s="1"/>
  <c r="BW11" i="139"/>
  <c r="BW13" i="139" s="1"/>
  <c r="BW22" i="139" s="1"/>
  <c r="BZ11" i="139"/>
  <c r="BZ14" i="139" s="1"/>
  <c r="BZ23" i="139" s="1"/>
  <c r="CA11" i="139"/>
  <c r="CA13" i="139" s="1"/>
  <c r="CA22" i="139" s="1"/>
  <c r="CD11" i="139"/>
  <c r="CD14" i="139" s="1"/>
  <c r="CD23" i="139" s="1"/>
  <c r="CE11" i="139"/>
  <c r="CE13" i="139" s="1"/>
  <c r="CE22" i="139" s="1"/>
  <c r="CH11" i="139"/>
  <c r="CH14" i="139" s="1"/>
  <c r="CH23" i="139" s="1"/>
  <c r="CI11" i="139"/>
  <c r="CI13" i="139" s="1"/>
  <c r="CI22" i="139" s="1"/>
  <c r="CL11" i="139"/>
  <c r="CL14" i="139" s="1"/>
  <c r="CL23" i="139" s="1"/>
  <c r="CM11" i="139"/>
  <c r="CM13" i="139" s="1"/>
  <c r="CM22" i="139" s="1"/>
  <c r="CP11" i="139"/>
  <c r="CP14" i="139" s="1"/>
  <c r="CP23" i="139" s="1"/>
  <c r="CQ11" i="139"/>
  <c r="CQ13" i="139" s="1"/>
  <c r="CQ22" i="139" s="1"/>
  <c r="CT11" i="139"/>
  <c r="CT14" i="139" s="1"/>
  <c r="CT23" i="139" s="1"/>
  <c r="CU11" i="139"/>
  <c r="CU13" i="139" s="1"/>
  <c r="CU22" i="139" s="1"/>
  <c r="CX11" i="139"/>
  <c r="CX14" i="139" s="1"/>
  <c r="CX23" i="139" s="1"/>
  <c r="CY11" i="139"/>
  <c r="CY13" i="139" s="1"/>
  <c r="CY22" i="139" s="1"/>
  <c r="DB11" i="139"/>
  <c r="DB14" i="139" s="1"/>
  <c r="DB23" i="139" s="1"/>
  <c r="DC11" i="139"/>
  <c r="DC13" i="139" s="1"/>
  <c r="DC22" i="139" s="1"/>
  <c r="DF11" i="139"/>
  <c r="DF14" i="139" s="1"/>
  <c r="DF23" i="139" s="1"/>
  <c r="DG11" i="139"/>
  <c r="DG13" i="139" s="1"/>
  <c r="DG22" i="139" s="1"/>
  <c r="DJ11" i="139"/>
  <c r="DJ14" i="139" s="1"/>
  <c r="DJ23" i="139" s="1"/>
  <c r="DK11" i="139"/>
  <c r="DK13" i="139" s="1"/>
  <c r="DK22" i="139" s="1"/>
  <c r="DN11" i="139"/>
  <c r="DN14" i="139" s="1"/>
  <c r="DN23" i="139" s="1"/>
  <c r="DO11" i="139"/>
  <c r="DO13" i="139" s="1"/>
  <c r="DO22" i="139" s="1"/>
  <c r="DR11" i="139"/>
  <c r="DR14" i="139" s="1"/>
  <c r="DR23" i="139" s="1"/>
  <c r="BV13" i="139"/>
  <c r="BV22" i="139" s="1"/>
  <c r="BZ13" i="139"/>
  <c r="BZ22" i="139" s="1"/>
  <c r="CD13" i="139"/>
  <c r="CD22" i="139" s="1"/>
  <c r="CH13" i="139"/>
  <c r="CH22" i="139" s="1"/>
  <c r="CL13" i="139"/>
  <c r="CL22" i="139" s="1"/>
  <c r="CP13" i="139"/>
  <c r="CP22" i="139" s="1"/>
  <c r="CT13" i="139"/>
  <c r="CT22" i="139" s="1"/>
  <c r="CX13" i="139"/>
  <c r="CX22" i="139" s="1"/>
  <c r="DB13" i="139"/>
  <c r="DB22" i="139" s="1"/>
  <c r="DF13" i="139"/>
  <c r="DF22" i="139" s="1"/>
  <c r="DJ13" i="139"/>
  <c r="DJ22" i="139" s="1"/>
  <c r="DN13" i="139"/>
  <c r="DN22" i="139" s="1"/>
  <c r="DR13" i="139"/>
  <c r="DR22" i="139" s="1"/>
  <c r="CA14" i="139"/>
  <c r="CA23" i="139" s="1"/>
  <c r="CE14" i="139"/>
  <c r="CE23" i="139" s="1"/>
  <c r="CQ14" i="139"/>
  <c r="CQ23" i="139" s="1"/>
  <c r="CY14" i="139"/>
  <c r="CY23" i="139" s="1"/>
  <c r="DC14" i="139"/>
  <c r="DC23" i="139" s="1"/>
  <c r="DO14" i="139"/>
  <c r="DO23" i="139" s="1"/>
  <c r="BZ15" i="139"/>
  <c r="BZ24" i="139" s="1"/>
  <c r="CD15" i="139"/>
  <c r="CD24" i="139" s="1"/>
  <c r="CH15" i="139"/>
  <c r="CH24" i="139" s="1"/>
  <c r="CL15" i="139"/>
  <c r="CL24" i="139" s="1"/>
  <c r="CP15" i="139"/>
  <c r="CP24" i="139" s="1"/>
  <c r="CX15" i="139"/>
  <c r="CX24" i="139" s="1"/>
  <c r="DB15" i="139"/>
  <c r="DB24" i="139" s="1"/>
  <c r="DF15" i="139"/>
  <c r="DF24" i="139" s="1"/>
  <c r="DJ15" i="139"/>
  <c r="DJ24" i="139" s="1"/>
  <c r="DN15" i="139"/>
  <c r="DN24" i="139" s="1"/>
  <c r="BW16" i="139"/>
  <c r="BW25" i="139" s="1"/>
  <c r="CE16" i="139"/>
  <c r="CE25" i="139" s="1"/>
  <c r="CU16" i="139"/>
  <c r="CU25" i="139" s="1"/>
  <c r="DC16" i="139"/>
  <c r="DC25" i="139" s="1"/>
  <c r="BV31" i="139"/>
  <c r="BW31" i="139"/>
  <c r="BX31" i="139"/>
  <c r="BZ31" i="139"/>
  <c r="CA31" i="139"/>
  <c r="CB31" i="139"/>
  <c r="CD31" i="139"/>
  <c r="CE31" i="139"/>
  <c r="CF31" i="139"/>
  <c r="CH31" i="139"/>
  <c r="CI31" i="139"/>
  <c r="CJ31" i="139"/>
  <c r="CL31" i="139"/>
  <c r="CM31" i="139"/>
  <c r="CN31" i="139"/>
  <c r="CP31" i="139"/>
  <c r="CQ31" i="139"/>
  <c r="CR31" i="139"/>
  <c r="CT31" i="139"/>
  <c r="CU31" i="139"/>
  <c r="CV31" i="139"/>
  <c r="CX31" i="139"/>
  <c r="CY31" i="139"/>
  <c r="CZ31" i="139"/>
  <c r="DB31" i="139"/>
  <c r="DC31" i="139"/>
  <c r="DD31" i="139"/>
  <c r="DF31" i="139"/>
  <c r="DG31" i="139"/>
  <c r="DH31" i="139"/>
  <c r="DJ31" i="139"/>
  <c r="DK31" i="139"/>
  <c r="DL31" i="139"/>
  <c r="DN31" i="139"/>
  <c r="DO31" i="139"/>
  <c r="DP31" i="139"/>
  <c r="DR31" i="139"/>
  <c r="BV32" i="139"/>
  <c r="BW32" i="139"/>
  <c r="BY32" i="139"/>
  <c r="BZ32" i="139"/>
  <c r="CA32" i="139"/>
  <c r="CC32" i="139"/>
  <c r="CD32" i="139"/>
  <c r="CE32" i="139"/>
  <c r="CG32" i="139"/>
  <c r="CH32" i="139"/>
  <c r="CI32" i="139"/>
  <c r="CK32" i="139"/>
  <c r="CL32" i="139"/>
  <c r="CM32" i="139"/>
  <c r="CO32" i="139"/>
  <c r="CP32" i="139"/>
  <c r="CQ32" i="139"/>
  <c r="CS32" i="139"/>
  <c r="CT32" i="139"/>
  <c r="CU32" i="139"/>
  <c r="CW32" i="139"/>
  <c r="CX32" i="139"/>
  <c r="CY32" i="139"/>
  <c r="DA32" i="139"/>
  <c r="DB32" i="139"/>
  <c r="DC32" i="139"/>
  <c r="DE32" i="139"/>
  <c r="DF32" i="139"/>
  <c r="DG32" i="139"/>
  <c r="DI32" i="139"/>
  <c r="DJ32" i="139"/>
  <c r="DK32" i="139"/>
  <c r="DM32" i="139"/>
  <c r="DN32" i="139"/>
  <c r="DO32" i="139"/>
  <c r="DQ32" i="139"/>
  <c r="DR32" i="139"/>
  <c r="BV33" i="139"/>
  <c r="BX33" i="139"/>
  <c r="BY33" i="139"/>
  <c r="BZ33" i="139"/>
  <c r="CB33" i="139"/>
  <c r="CC33" i="139"/>
  <c r="CD33" i="139"/>
  <c r="CF33" i="139"/>
  <c r="CG33" i="139"/>
  <c r="CH33" i="139"/>
  <c r="CJ33" i="139"/>
  <c r="CK33" i="139"/>
  <c r="CL33" i="139"/>
  <c r="CN33" i="139"/>
  <c r="CO33" i="139"/>
  <c r="CP33" i="139"/>
  <c r="CR33" i="139"/>
  <c r="CS33" i="139"/>
  <c r="CT33" i="139"/>
  <c r="CV33" i="139"/>
  <c r="CW33" i="139"/>
  <c r="CX33" i="139"/>
  <c r="CZ33" i="139"/>
  <c r="DA33" i="139"/>
  <c r="DB33" i="139"/>
  <c r="DD33" i="139"/>
  <c r="DE33" i="139"/>
  <c r="DF33" i="139"/>
  <c r="DH33" i="139"/>
  <c r="DI33" i="139"/>
  <c r="DJ33" i="139"/>
  <c r="DL33" i="139"/>
  <c r="DM33" i="139"/>
  <c r="DN33" i="139"/>
  <c r="DP33" i="139"/>
  <c r="DQ33" i="139"/>
  <c r="DR33" i="139"/>
  <c r="BW34" i="139"/>
  <c r="BX34" i="139"/>
  <c r="BY34" i="139"/>
  <c r="CA34" i="139"/>
  <c r="CB34" i="139"/>
  <c r="CC34" i="139"/>
  <c r="CE34" i="139"/>
  <c r="CF34" i="139"/>
  <c r="CG34" i="139"/>
  <c r="CI34" i="139"/>
  <c r="CJ34" i="139"/>
  <c r="CK34" i="139"/>
  <c r="CM34" i="139"/>
  <c r="CN34" i="139"/>
  <c r="CO34" i="139"/>
  <c r="CQ34" i="139"/>
  <c r="CR34" i="139"/>
  <c r="CS34" i="139"/>
  <c r="CU34" i="139"/>
  <c r="CV34" i="139"/>
  <c r="CW34" i="139"/>
  <c r="CY34" i="139"/>
  <c r="CZ34" i="139"/>
  <c r="DA34" i="139"/>
  <c r="DC34" i="139"/>
  <c r="DD34" i="139"/>
  <c r="DE34" i="139"/>
  <c r="DG34" i="139"/>
  <c r="DH34" i="139"/>
  <c r="DI34" i="139"/>
  <c r="DK34" i="139"/>
  <c r="DL34" i="139"/>
  <c r="DM34" i="139"/>
  <c r="DO34" i="139"/>
  <c r="DP34" i="139"/>
  <c r="DQ34" i="139"/>
  <c r="DO16" i="139" l="1"/>
  <c r="DO25" i="139" s="1"/>
  <c r="CQ16" i="139"/>
  <c r="CQ25" i="139" s="1"/>
  <c r="DR15" i="139"/>
  <c r="DR24" i="139" s="1"/>
  <c r="CT15" i="139"/>
  <c r="CT24" i="139" s="1"/>
  <c r="BV15" i="139"/>
  <c r="BV24" i="139" s="1"/>
  <c r="CU14" i="139"/>
  <c r="CU23" i="139" s="1"/>
  <c r="BW14" i="139"/>
  <c r="BW23" i="139" s="1"/>
  <c r="DK16" i="139"/>
  <c r="DK25" i="139" s="1"/>
  <c r="CM16" i="139"/>
  <c r="CM25" i="139" s="1"/>
  <c r="DG16" i="139"/>
  <c r="DG25" i="139" s="1"/>
  <c r="CI16" i="139"/>
  <c r="CI25" i="139" s="1"/>
  <c r="DK14" i="139"/>
  <c r="DK23" i="139" s="1"/>
  <c r="CM14" i="139"/>
  <c r="CM23" i="139" s="1"/>
  <c r="DG14" i="139"/>
  <c r="DG23" i="139" s="1"/>
  <c r="CI14" i="139"/>
  <c r="CI23" i="139" s="1"/>
  <c r="CY16" i="139"/>
  <c r="CY25" i="139" s="1"/>
  <c r="CA16" i="139"/>
  <c r="CA25" i="139" s="1"/>
  <c r="DR16" i="139"/>
  <c r="DR25" i="139" s="1"/>
  <c r="DR34" i="139"/>
  <c r="DN16" i="139"/>
  <c r="DN25" i="139" s="1"/>
  <c r="DN34" i="139"/>
  <c r="DJ16" i="139"/>
  <c r="DJ25" i="139" s="1"/>
  <c r="DJ34" i="139"/>
  <c r="DF16" i="139"/>
  <c r="DF25" i="139" s="1"/>
  <c r="DF34" i="139"/>
  <c r="DB16" i="139"/>
  <c r="DB25" i="139" s="1"/>
  <c r="DB34" i="139"/>
  <c r="CX16" i="139"/>
  <c r="CX25" i="139" s="1"/>
  <c r="CX34" i="139"/>
  <c r="CT16" i="139"/>
  <c r="CT25" i="139" s="1"/>
  <c r="CT34" i="139"/>
  <c r="CP16" i="139"/>
  <c r="CP25" i="139" s="1"/>
  <c r="CP34" i="139"/>
  <c r="CL16" i="139"/>
  <c r="CL25" i="139" s="1"/>
  <c r="CL34" i="139"/>
  <c r="CH16" i="139"/>
  <c r="CH25" i="139" s="1"/>
  <c r="CH34" i="139"/>
  <c r="CD16" i="139"/>
  <c r="CD25" i="139" s="1"/>
  <c r="CD34" i="139"/>
  <c r="BZ16" i="139"/>
  <c r="BZ25" i="139" s="1"/>
  <c r="BZ34" i="139"/>
  <c r="BV16" i="139"/>
  <c r="BV25" i="139" s="1"/>
  <c r="BV34" i="139"/>
  <c r="DO15" i="139"/>
  <c r="DO24" i="139" s="1"/>
  <c r="DO33" i="139"/>
  <c r="DK15" i="139"/>
  <c r="DK24" i="139" s="1"/>
  <c r="DK33" i="139"/>
  <c r="DG15" i="139"/>
  <c r="DG24" i="139" s="1"/>
  <c r="DG33" i="139"/>
  <c r="DC15" i="139"/>
  <c r="DC24" i="139" s="1"/>
  <c r="DC33" i="139"/>
  <c r="CY15" i="139"/>
  <c r="CY24" i="139" s="1"/>
  <c r="CY33" i="139"/>
  <c r="CU15" i="139"/>
  <c r="CU24" i="139" s="1"/>
  <c r="CU33" i="139"/>
  <c r="CQ15" i="139"/>
  <c r="CQ24" i="139" s="1"/>
  <c r="CQ33" i="139"/>
  <c r="CM15" i="139"/>
  <c r="CM24" i="139" s="1"/>
  <c r="CM33" i="139"/>
  <c r="CI15" i="139"/>
  <c r="CI24" i="139" s="1"/>
  <c r="CI33" i="139"/>
  <c r="CE15" i="139"/>
  <c r="CE24" i="139" s="1"/>
  <c r="CE33" i="139"/>
  <c r="CA15" i="139"/>
  <c r="CA24" i="139" s="1"/>
  <c r="CA33" i="139"/>
  <c r="BW15" i="139"/>
  <c r="BW24" i="139" s="1"/>
  <c r="BW33" i="139"/>
  <c r="DP32" i="139"/>
  <c r="DL32" i="139"/>
  <c r="DH32" i="139"/>
  <c r="DD32" i="139"/>
  <c r="CZ32" i="139"/>
  <c r="CV32" i="139"/>
  <c r="CR32" i="139"/>
  <c r="CN32" i="139"/>
  <c r="CJ32" i="139"/>
  <c r="CF32" i="139"/>
  <c r="CB32" i="139"/>
  <c r="BX32" i="139"/>
  <c r="DQ13" i="139"/>
  <c r="DQ22" i="139" s="1"/>
  <c r="DP11" i="139"/>
  <c r="DQ11" i="139"/>
  <c r="DQ31" i="139"/>
  <c r="DL11" i="139"/>
  <c r="DL14" i="139" s="1"/>
  <c r="DL23" i="139" s="1"/>
  <c r="DM11" i="139"/>
  <c r="DM13" i="139" s="1"/>
  <c r="DM22" i="139" s="1"/>
  <c r="DM31" i="139"/>
  <c r="DH11" i="139"/>
  <c r="DI11" i="139"/>
  <c r="DI13" i="139" s="1"/>
  <c r="DI22" i="139" s="1"/>
  <c r="DI31" i="139"/>
  <c r="DE13" i="139"/>
  <c r="DE22" i="139" s="1"/>
  <c r="DD11" i="139"/>
  <c r="DD14" i="139" s="1"/>
  <c r="DD23" i="139" s="1"/>
  <c r="DE11" i="139"/>
  <c r="DE31" i="139"/>
  <c r="CZ11" i="139"/>
  <c r="DA11" i="139"/>
  <c r="DA13" i="139" s="1"/>
  <c r="DA22" i="139" s="1"/>
  <c r="DA31" i="139"/>
  <c r="CV11" i="139"/>
  <c r="CV14" i="139" s="1"/>
  <c r="CV23" i="139" s="1"/>
  <c r="CW11" i="139"/>
  <c r="CW13" i="139" s="1"/>
  <c r="CW22" i="139" s="1"/>
  <c r="CW31" i="139"/>
  <c r="CS13" i="139"/>
  <c r="CS22" i="139" s="1"/>
  <c r="CR11" i="139"/>
  <c r="CS11" i="139"/>
  <c r="CS31" i="139"/>
  <c r="CN11" i="139"/>
  <c r="CN14" i="139" s="1"/>
  <c r="CN23" i="139" s="1"/>
  <c r="CO11" i="139"/>
  <c r="CO13" i="139" s="1"/>
  <c r="CO22" i="139" s="1"/>
  <c r="CO31" i="139"/>
  <c r="CJ11" i="139"/>
  <c r="CK11" i="139"/>
  <c r="CK13" i="139" s="1"/>
  <c r="CK22" i="139" s="1"/>
  <c r="CK31" i="139"/>
  <c r="CG13" i="139"/>
  <c r="CG22" i="139" s="1"/>
  <c r="CF11" i="139"/>
  <c r="CF14" i="139" s="1"/>
  <c r="CF23" i="139" s="1"/>
  <c r="CG11" i="139"/>
  <c r="CG31" i="139"/>
  <c r="CB11" i="139"/>
  <c r="CC11" i="139"/>
  <c r="CC13" i="139" s="1"/>
  <c r="CC22" i="139" s="1"/>
  <c r="CC31" i="139"/>
  <c r="BX11" i="139"/>
  <c r="BX14" i="139" s="1"/>
  <c r="BX23" i="139" s="1"/>
  <c r="BY11" i="139"/>
  <c r="BY13" i="139" s="1"/>
  <c r="BY22" i="139" s="1"/>
  <c r="BY31" i="139"/>
  <c r="BY14" i="139" l="1"/>
  <c r="BY23" i="139" s="1"/>
  <c r="BY15" i="139"/>
  <c r="BY24" i="139" s="1"/>
  <c r="BY16" i="139"/>
  <c r="BY25" i="139" s="1"/>
  <c r="CC14" i="139"/>
  <c r="CC23" i="139" s="1"/>
  <c r="CC15" i="139"/>
  <c r="CC24" i="139" s="1"/>
  <c r="CC16" i="139"/>
  <c r="CC25" i="139" s="1"/>
  <c r="CG14" i="139"/>
  <c r="CG23" i="139" s="1"/>
  <c r="CG15" i="139"/>
  <c r="CG24" i="139" s="1"/>
  <c r="CG16" i="139"/>
  <c r="CG25" i="139" s="1"/>
  <c r="CK14" i="139"/>
  <c r="CK23" i="139" s="1"/>
  <c r="CK15" i="139"/>
  <c r="CK24" i="139" s="1"/>
  <c r="CK16" i="139"/>
  <c r="CK25" i="139" s="1"/>
  <c r="CO14" i="139"/>
  <c r="CO23" i="139" s="1"/>
  <c r="CO15" i="139"/>
  <c r="CO24" i="139" s="1"/>
  <c r="CO16" i="139"/>
  <c r="CO25" i="139" s="1"/>
  <c r="CS14" i="139"/>
  <c r="CS23" i="139" s="1"/>
  <c r="CS15" i="139"/>
  <c r="CS24" i="139" s="1"/>
  <c r="CS16" i="139"/>
  <c r="CS25" i="139" s="1"/>
  <c r="CW14" i="139"/>
  <c r="CW23" i="139" s="1"/>
  <c r="CW15" i="139"/>
  <c r="CW24" i="139" s="1"/>
  <c r="CW16" i="139"/>
  <c r="CW25" i="139" s="1"/>
  <c r="DA14" i="139"/>
  <c r="DA23" i="139" s="1"/>
  <c r="DA15" i="139"/>
  <c r="DA24" i="139" s="1"/>
  <c r="DA16" i="139"/>
  <c r="DA25" i="139" s="1"/>
  <c r="DE14" i="139"/>
  <c r="DE23" i="139" s="1"/>
  <c r="DE15" i="139"/>
  <c r="DE24" i="139" s="1"/>
  <c r="DE16" i="139"/>
  <c r="DE25" i="139" s="1"/>
  <c r="DI14" i="139"/>
  <c r="DI23" i="139" s="1"/>
  <c r="DI15" i="139"/>
  <c r="DI24" i="139" s="1"/>
  <c r="DI16" i="139"/>
  <c r="DI25" i="139" s="1"/>
  <c r="DM14" i="139"/>
  <c r="DM23" i="139" s="1"/>
  <c r="DM15" i="139"/>
  <c r="DM24" i="139" s="1"/>
  <c r="DM16" i="139"/>
  <c r="DM25" i="139" s="1"/>
  <c r="DQ14" i="139"/>
  <c r="DQ23" i="139" s="1"/>
  <c r="DQ15" i="139"/>
  <c r="DQ24" i="139" s="1"/>
  <c r="DQ16" i="139"/>
  <c r="DQ25" i="139" s="1"/>
  <c r="BX15" i="139"/>
  <c r="BX24" i="139" s="1"/>
  <c r="BX16" i="139"/>
  <c r="BX25" i="139" s="1"/>
  <c r="BX13" i="139"/>
  <c r="BX22" i="139" s="1"/>
  <c r="CB15" i="139"/>
  <c r="CB24" i="139" s="1"/>
  <c r="CB16" i="139"/>
  <c r="CB25" i="139" s="1"/>
  <c r="CB13" i="139"/>
  <c r="CB22" i="139" s="1"/>
  <c r="CF15" i="139"/>
  <c r="CF24" i="139" s="1"/>
  <c r="CF16" i="139"/>
  <c r="CF25" i="139" s="1"/>
  <c r="CF13" i="139"/>
  <c r="CF22" i="139" s="1"/>
  <c r="CJ15" i="139"/>
  <c r="CJ24" i="139" s="1"/>
  <c r="CJ16" i="139"/>
  <c r="CJ25" i="139" s="1"/>
  <c r="CJ13" i="139"/>
  <c r="CJ22" i="139" s="1"/>
  <c r="CN15" i="139"/>
  <c r="CN24" i="139" s="1"/>
  <c r="CN16" i="139"/>
  <c r="CN25" i="139" s="1"/>
  <c r="CN13" i="139"/>
  <c r="CN22" i="139" s="1"/>
  <c r="CR15" i="139"/>
  <c r="CR24" i="139" s="1"/>
  <c r="CR16" i="139"/>
  <c r="CR25" i="139" s="1"/>
  <c r="CR13" i="139"/>
  <c r="CR22" i="139" s="1"/>
  <c r="CV15" i="139"/>
  <c r="CV24" i="139" s="1"/>
  <c r="CV16" i="139"/>
  <c r="CV25" i="139" s="1"/>
  <c r="CV13" i="139"/>
  <c r="CV22" i="139" s="1"/>
  <c r="CZ16" i="139"/>
  <c r="CZ25" i="139" s="1"/>
  <c r="CZ13" i="139"/>
  <c r="CZ22" i="139" s="1"/>
  <c r="CZ15" i="139"/>
  <c r="CZ24" i="139" s="1"/>
  <c r="DD16" i="139"/>
  <c r="DD25" i="139" s="1"/>
  <c r="DD15" i="139"/>
  <c r="DD24" i="139" s="1"/>
  <c r="DD13" i="139"/>
  <c r="DD22" i="139" s="1"/>
  <c r="DH16" i="139"/>
  <c r="DH25" i="139" s="1"/>
  <c r="DH13" i="139"/>
  <c r="DH22" i="139" s="1"/>
  <c r="DH15" i="139"/>
  <c r="DH24" i="139" s="1"/>
  <c r="DL16" i="139"/>
  <c r="DL25" i="139" s="1"/>
  <c r="DL15" i="139"/>
  <c r="DL24" i="139" s="1"/>
  <c r="DL13" i="139"/>
  <c r="DL22" i="139" s="1"/>
  <c r="DP16" i="139"/>
  <c r="DP25" i="139" s="1"/>
  <c r="DP13" i="139"/>
  <c r="DP22" i="139" s="1"/>
  <c r="DP15" i="139"/>
  <c r="DP24" i="139" s="1"/>
  <c r="CB14" i="139"/>
  <c r="CB23" i="139" s="1"/>
  <c r="CJ14" i="139"/>
  <c r="CJ23" i="139" s="1"/>
  <c r="CR14" i="139"/>
  <c r="CR23" i="139" s="1"/>
  <c r="CZ14" i="139"/>
  <c r="CZ23" i="139" s="1"/>
  <c r="DH14" i="139"/>
  <c r="DH23" i="139" s="1"/>
  <c r="DP14" i="139"/>
  <c r="DP23" i="139" s="1"/>
  <c r="BU34" i="139" l="1"/>
  <c r="BT34" i="139"/>
  <c r="BS34" i="139"/>
  <c r="BU33" i="139"/>
  <c r="BT33" i="139"/>
  <c r="BS33" i="139"/>
  <c r="BU32" i="139"/>
  <c r="BT32" i="139"/>
  <c r="BS32" i="139"/>
  <c r="BU31" i="139"/>
  <c r="BT31" i="139"/>
  <c r="BS31" i="139"/>
  <c r="BU11" i="139" l="1"/>
  <c r="BT11" i="139"/>
  <c r="BS11" i="139"/>
  <c r="BR11" i="139"/>
  <c r="BR13" i="139" s="1"/>
  <c r="BQ11" i="139"/>
  <c r="BP11" i="139" s="1"/>
  <c r="BU16" i="139"/>
  <c r="BT16" i="139"/>
  <c r="BU15" i="139"/>
  <c r="BU14" i="139"/>
  <c r="BT14" i="139"/>
  <c r="BU13" i="139"/>
  <c r="BR16" i="139" l="1"/>
  <c r="BQ13" i="139"/>
  <c r="BQ22" i="139" s="1"/>
  <c r="BR15" i="139"/>
  <c r="BR24" i="139" s="1"/>
  <c r="BR14" i="139"/>
  <c r="BR23" i="139" s="1"/>
  <c r="BQ15" i="139"/>
  <c r="BQ24" i="139" s="1"/>
  <c r="BQ14" i="139"/>
  <c r="BQ23" i="139" s="1"/>
  <c r="BQ16" i="139"/>
  <c r="BQ25" i="139" s="1"/>
  <c r="BO11" i="139"/>
  <c r="BN11" i="139" s="1"/>
  <c r="BP15" i="139"/>
  <c r="BP24" i="139" s="1"/>
  <c r="BP13" i="139"/>
  <c r="BP22" i="139" s="1"/>
  <c r="BP14" i="139"/>
  <c r="BP23" i="139" s="1"/>
  <c r="BP16" i="139"/>
  <c r="BP25" i="139" s="1"/>
  <c r="BT13" i="139"/>
  <c r="BT22" i="139" s="1"/>
  <c r="BT15" i="139"/>
  <c r="BT24" i="139" s="1"/>
  <c r="BS14" i="139"/>
  <c r="BS23" i="139" s="1"/>
  <c r="BS16" i="139"/>
  <c r="BS25" i="139" s="1"/>
  <c r="BS13" i="139"/>
  <c r="BS22" i="139" s="1"/>
  <c r="BS15" i="139"/>
  <c r="BS24" i="139" s="1"/>
  <c r="BU22" i="139"/>
  <c r="BU25" i="139"/>
  <c r="BT25" i="139"/>
  <c r="BR25" i="139"/>
  <c r="BU24" i="139"/>
  <c r="BU23" i="139"/>
  <c r="BT23" i="139"/>
  <c r="BR22" i="139"/>
  <c r="BO16" i="139" l="1"/>
  <c r="BO25" i="139" s="1"/>
  <c r="BO13" i="139"/>
  <c r="BO22" i="139" s="1"/>
  <c r="BO15" i="139"/>
  <c r="BO24" i="139" s="1"/>
  <c r="BO14" i="139"/>
  <c r="BO23" i="139" s="1"/>
  <c r="BM11" i="139"/>
  <c r="BN15" i="139"/>
  <c r="BN24" i="139" s="1"/>
  <c r="BN14" i="139"/>
  <c r="BN23" i="139" s="1"/>
  <c r="BN16" i="139"/>
  <c r="BN25" i="139" s="1"/>
  <c r="BN13" i="139"/>
  <c r="BN22" i="139" s="1"/>
  <c r="BM16" i="139" l="1"/>
  <c r="BM25" i="139" s="1"/>
  <c r="BM13" i="139"/>
  <c r="BM22" i="139" s="1"/>
  <c r="BL11" i="139"/>
  <c r="BM15" i="139"/>
  <c r="BM24" i="139" s="1"/>
  <c r="BM14" i="139"/>
  <c r="BM23" i="139" s="1"/>
  <c r="BL16" i="139" l="1"/>
  <c r="BL25" i="139" s="1"/>
  <c r="BK11" i="139"/>
  <c r="BL15" i="139"/>
  <c r="BL24" i="139" s="1"/>
  <c r="BL14" i="139"/>
  <c r="BL23" i="139" s="1"/>
  <c r="BL13" i="139"/>
  <c r="BL22" i="139" s="1"/>
  <c r="BK14" i="139" l="1"/>
  <c r="BK23" i="139" s="1"/>
  <c r="BK13" i="139"/>
  <c r="BK22" i="139" s="1"/>
  <c r="BK16" i="139"/>
  <c r="BK25" i="139" s="1"/>
  <c r="BK15" i="139"/>
  <c r="BK24" i="139" s="1"/>
  <c r="BJ11" i="139"/>
  <c r="BJ13" i="139" l="1"/>
  <c r="BJ22" i="139" s="1"/>
  <c r="BJ16" i="139"/>
  <c r="BJ25" i="139" s="1"/>
  <c r="BI11" i="139"/>
  <c r="BJ15" i="139"/>
  <c r="BJ24" i="139" s="1"/>
  <c r="BJ14" i="139"/>
  <c r="BJ23" i="139" s="1"/>
  <c r="BI13" i="139" l="1"/>
  <c r="BI22" i="139" s="1"/>
  <c r="BI16" i="139"/>
  <c r="BI25" i="139" s="1"/>
  <c r="BI15" i="139"/>
  <c r="BI24" i="139" s="1"/>
  <c r="BI14" i="139"/>
  <c r="BI23" i="139" s="1"/>
  <c r="BH11" i="139"/>
  <c r="BG11" i="139" l="1"/>
  <c r="BH16" i="139"/>
  <c r="BH25" i="139" s="1"/>
  <c r="BH13" i="139"/>
  <c r="BH22" i="139" s="1"/>
  <c r="BH14" i="139"/>
  <c r="BH23" i="139" s="1"/>
  <c r="BH15" i="139"/>
  <c r="BH24" i="139" s="1"/>
  <c r="BG14" i="139" l="1"/>
  <c r="BG23" i="139" s="1"/>
  <c r="BF11" i="139"/>
  <c r="BG16" i="139"/>
  <c r="BG25" i="139" s="1"/>
  <c r="BG13" i="139"/>
  <c r="BG22" i="139" s="1"/>
  <c r="BG15" i="139"/>
  <c r="BG24" i="139" s="1"/>
  <c r="BF15" i="139" l="1"/>
  <c r="BF24" i="139" s="1"/>
  <c r="BE11" i="139"/>
  <c r="BF13" i="139"/>
  <c r="BF22" i="139" s="1"/>
  <c r="BF14" i="139"/>
  <c r="BF23" i="139" s="1"/>
  <c r="BF16" i="139"/>
  <c r="BF25" i="139" s="1"/>
  <c r="BE16" i="139" l="1"/>
  <c r="BE25" i="139" s="1"/>
  <c r="BR34" i="139" s="1"/>
  <c r="BE14" i="139"/>
  <c r="BE23" i="139" s="1"/>
  <c r="BR32" i="139" s="1"/>
  <c r="BE13" i="139"/>
  <c r="BE22" i="139" s="1"/>
  <c r="BR31" i="139" s="1"/>
  <c r="BE15" i="139"/>
  <c r="BE24" i="139" s="1"/>
  <c r="BR33" i="139" s="1"/>
  <c r="BD11" i="139"/>
  <c r="BC11" i="139" l="1"/>
  <c r="BD14" i="139"/>
  <c r="BD23" i="139" s="1"/>
  <c r="BQ32" i="139" s="1"/>
  <c r="BD16" i="139"/>
  <c r="BD25" i="139" s="1"/>
  <c r="BQ34" i="139" s="1"/>
  <c r="BD15" i="139"/>
  <c r="BD24" i="139" s="1"/>
  <c r="BQ33" i="139" s="1"/>
  <c r="BD13" i="139"/>
  <c r="BD22" i="139" s="1"/>
  <c r="BQ31" i="139" s="1"/>
  <c r="BC13" i="139" l="1"/>
  <c r="BC22" i="139" s="1"/>
  <c r="BP31" i="139" s="1"/>
  <c r="BC15" i="139"/>
  <c r="BC24" i="139" s="1"/>
  <c r="BP33" i="139" s="1"/>
  <c r="BC14" i="139"/>
  <c r="BC23" i="139" s="1"/>
  <c r="BP32" i="139" s="1"/>
  <c r="BB11" i="139"/>
  <c r="BC16" i="139"/>
  <c r="BC25" i="139" s="1"/>
  <c r="BP34" i="139" s="1"/>
  <c r="BB14" i="139" l="1"/>
  <c r="BB23" i="139" s="1"/>
  <c r="BO32" i="139" s="1"/>
  <c r="BA11" i="139"/>
  <c r="BB16" i="139"/>
  <c r="BB25" i="139" s="1"/>
  <c r="BO34" i="139" s="1"/>
  <c r="BB13" i="139"/>
  <c r="BB22" i="139" s="1"/>
  <c r="BO31" i="139" s="1"/>
  <c r="BB15" i="139"/>
  <c r="BB24" i="139" s="1"/>
  <c r="BO33" i="139" s="1"/>
  <c r="BA15" i="139" l="1"/>
  <c r="BA24" i="139" s="1"/>
  <c r="BN33" i="139" s="1"/>
  <c r="BA13" i="139"/>
  <c r="BA22" i="139" s="1"/>
  <c r="BN31" i="139" s="1"/>
  <c r="AZ11" i="139"/>
  <c r="BA14" i="139"/>
  <c r="BA23" i="139" s="1"/>
  <c r="BN32" i="139" s="1"/>
  <c r="BA16" i="139"/>
  <c r="BA25" i="139" s="1"/>
  <c r="BN34" i="139" s="1"/>
  <c r="AY11" i="139" l="1"/>
  <c r="AZ16" i="139"/>
  <c r="AZ25" i="139" s="1"/>
  <c r="BM34" i="139" s="1"/>
  <c r="AZ15" i="139"/>
  <c r="AZ24" i="139" s="1"/>
  <c r="BM33" i="139" s="1"/>
  <c r="AZ14" i="139"/>
  <c r="AZ23" i="139" s="1"/>
  <c r="BM32" i="139" s="1"/>
  <c r="AZ13" i="139"/>
  <c r="AZ22" i="139" s="1"/>
  <c r="BM31" i="139" s="1"/>
  <c r="AY14" i="139" l="1"/>
  <c r="AY23" i="139" s="1"/>
  <c r="BL32" i="139" s="1"/>
  <c r="AY15" i="139"/>
  <c r="AY24" i="139" s="1"/>
  <c r="BL33" i="139" s="1"/>
  <c r="AX11" i="139"/>
  <c r="AY13" i="139"/>
  <c r="AY22" i="139" s="1"/>
  <c r="BL31" i="139" s="1"/>
  <c r="AY16" i="139"/>
  <c r="AY25" i="139" s="1"/>
  <c r="BL34" i="139" s="1"/>
  <c r="AW11" i="139" l="1"/>
  <c r="AX13" i="139"/>
  <c r="AX22" i="139" s="1"/>
  <c r="BK31" i="139" s="1"/>
  <c r="AX15" i="139"/>
  <c r="AX24" i="139" s="1"/>
  <c r="BK33" i="139" s="1"/>
  <c r="AX14" i="139"/>
  <c r="AX23" i="139" s="1"/>
  <c r="BK32" i="139" s="1"/>
  <c r="AX16" i="139"/>
  <c r="AX25" i="139" s="1"/>
  <c r="BK34" i="139" s="1"/>
  <c r="AW13" i="139" l="1"/>
  <c r="AW22" i="139" s="1"/>
  <c r="BJ31" i="139" s="1"/>
  <c r="AW14" i="139"/>
  <c r="AW23" i="139" s="1"/>
  <c r="BJ32" i="139" s="1"/>
  <c r="AW15" i="139"/>
  <c r="AW24" i="139" s="1"/>
  <c r="BJ33" i="139" s="1"/>
  <c r="AW16" i="139"/>
  <c r="AW25" i="139" s="1"/>
  <c r="BJ34" i="139" s="1"/>
  <c r="AV11" i="139"/>
  <c r="AU11" i="139" l="1"/>
  <c r="AV15" i="139"/>
  <c r="AV24" i="139" s="1"/>
  <c r="BI33" i="139" s="1"/>
  <c r="AV16" i="139"/>
  <c r="AV25" i="139" s="1"/>
  <c r="BI34" i="139" s="1"/>
  <c r="AV14" i="139"/>
  <c r="AV23" i="139" s="1"/>
  <c r="BI32" i="139" s="1"/>
  <c r="AV13" i="139"/>
  <c r="AV22" i="139" s="1"/>
  <c r="BI31" i="139" s="1"/>
  <c r="AU13" i="139" l="1"/>
  <c r="AU22" i="139" s="1"/>
  <c r="BH31" i="139" s="1"/>
  <c r="AU16" i="139"/>
  <c r="AU25" i="139" s="1"/>
  <c r="BH34" i="139" s="1"/>
  <c r="AU14" i="139"/>
  <c r="AU23" i="139" s="1"/>
  <c r="BH32" i="139" s="1"/>
  <c r="AT11" i="139"/>
  <c r="AU15" i="139"/>
  <c r="AU24" i="139" s="1"/>
  <c r="BH33" i="139" s="1"/>
  <c r="AT15" i="139" l="1"/>
  <c r="AT24" i="139" s="1"/>
  <c r="BG33" i="139" s="1"/>
  <c r="AT14" i="139"/>
  <c r="AT23" i="139" s="1"/>
  <c r="BG32" i="139" s="1"/>
  <c r="AT13" i="139"/>
  <c r="AT22" i="139" s="1"/>
  <c r="BG31" i="139" s="1"/>
  <c r="AS11" i="139"/>
  <c r="AT16" i="139"/>
  <c r="AT25" i="139" s="1"/>
  <c r="BG34" i="139" s="1"/>
  <c r="AS14" i="139" l="1"/>
  <c r="AS23" i="139" s="1"/>
  <c r="BF32" i="139" s="1"/>
  <c r="AR11" i="139"/>
  <c r="AS16" i="139"/>
  <c r="AS25" i="139" s="1"/>
  <c r="BF34" i="139" s="1"/>
  <c r="AS15" i="139"/>
  <c r="AS24" i="139" s="1"/>
  <c r="BF33" i="139" s="1"/>
  <c r="AS13" i="139"/>
  <c r="AS22" i="139" s="1"/>
  <c r="BF31" i="139" s="1"/>
  <c r="AR14" i="139" l="1"/>
  <c r="AR23" i="139" s="1"/>
  <c r="BE32" i="139" s="1"/>
  <c r="AQ11" i="139"/>
  <c r="AR15" i="139"/>
  <c r="AR24" i="139" s="1"/>
  <c r="BE33" i="139" s="1"/>
  <c r="AR16" i="139"/>
  <c r="AR25" i="139" s="1"/>
  <c r="BE34" i="139" s="1"/>
  <c r="AR13" i="139"/>
  <c r="AR22" i="139" s="1"/>
  <c r="BE31" i="139" s="1"/>
  <c r="AQ14" i="139" l="1"/>
  <c r="AQ23" i="139" s="1"/>
  <c r="BD32" i="139" s="1"/>
  <c r="AQ15" i="139"/>
  <c r="AQ24" i="139" s="1"/>
  <c r="BD33" i="139" s="1"/>
  <c r="AQ13" i="139"/>
  <c r="AQ22" i="139" s="1"/>
  <c r="BD31" i="139" s="1"/>
  <c r="AP11" i="139"/>
  <c r="AQ16" i="139"/>
  <c r="AQ25" i="139" s="1"/>
  <c r="BD34" i="139" s="1"/>
  <c r="AO11" i="139" l="1"/>
  <c r="AP16" i="139"/>
  <c r="AP25" i="139" s="1"/>
  <c r="BC34" i="139" s="1"/>
  <c r="AP15" i="139"/>
  <c r="AP24" i="139" s="1"/>
  <c r="BC33" i="139" s="1"/>
  <c r="AP14" i="139"/>
  <c r="AP23" i="139" s="1"/>
  <c r="BC32" i="139" s="1"/>
  <c r="AP13" i="139"/>
  <c r="AP22" i="139" s="1"/>
  <c r="BC31" i="139" s="1"/>
  <c r="AN11" i="139" l="1"/>
  <c r="AO16" i="139"/>
  <c r="AO25" i="139" s="1"/>
  <c r="BB34" i="139" s="1"/>
  <c r="AO13" i="139"/>
  <c r="AO22" i="139" s="1"/>
  <c r="BB31" i="139" s="1"/>
  <c r="AO14" i="139"/>
  <c r="AO23" i="139" s="1"/>
  <c r="BB32" i="139" s="1"/>
  <c r="AO15" i="139"/>
  <c r="AO24" i="139" s="1"/>
  <c r="BB33" i="139" s="1"/>
  <c r="AN13" i="139" l="1"/>
  <c r="AN22" i="139" s="1"/>
  <c r="BA31" i="139" s="1"/>
  <c r="AN15" i="139"/>
  <c r="AN24" i="139" s="1"/>
  <c r="BA33" i="139" s="1"/>
  <c r="AM11" i="139"/>
  <c r="AN16" i="139"/>
  <c r="AN25" i="139" s="1"/>
  <c r="BA34" i="139" s="1"/>
  <c r="AN14" i="139"/>
  <c r="AN23" i="139" s="1"/>
  <c r="BA32" i="139" s="1"/>
  <c r="AL11" i="139" l="1"/>
  <c r="AM13" i="139"/>
  <c r="AM22" i="139" s="1"/>
  <c r="AZ31" i="139" s="1"/>
  <c r="AM15" i="139"/>
  <c r="AM24" i="139" s="1"/>
  <c r="AZ33" i="139" s="1"/>
  <c r="AM14" i="139"/>
  <c r="AM23" i="139" s="1"/>
  <c r="AZ32" i="139" s="1"/>
  <c r="AM16" i="139"/>
  <c r="AM25" i="139" s="1"/>
  <c r="AZ34" i="139" s="1"/>
  <c r="AL14" i="139" l="1"/>
  <c r="AL23" i="139" s="1"/>
  <c r="AY32" i="139" s="1"/>
  <c r="AL15" i="139"/>
  <c r="AL24" i="139" s="1"/>
  <c r="AY33" i="139" s="1"/>
  <c r="AK11" i="139"/>
  <c r="AL13" i="139"/>
  <c r="AL22" i="139" s="1"/>
  <c r="AY31" i="139" s="1"/>
  <c r="AL16" i="139"/>
  <c r="AL25" i="139" s="1"/>
  <c r="AY34" i="139" s="1"/>
  <c r="AK14" i="139" l="1"/>
  <c r="AK23" i="139" s="1"/>
  <c r="AX32" i="139" s="1"/>
  <c r="AK15" i="139"/>
  <c r="AK24" i="139" s="1"/>
  <c r="AX33" i="139" s="1"/>
  <c r="AK13" i="139"/>
  <c r="AK22" i="139" s="1"/>
  <c r="AX31" i="139" s="1"/>
  <c r="AK16" i="139"/>
  <c r="AK25" i="139" s="1"/>
  <c r="AX34" i="139" s="1"/>
  <c r="AJ11" i="139"/>
  <c r="AJ15" i="139" l="1"/>
  <c r="AJ24" i="139" s="1"/>
  <c r="AW33" i="139" s="1"/>
  <c r="AJ16" i="139"/>
  <c r="AJ25" i="139" s="1"/>
  <c r="AW34" i="139" s="1"/>
  <c r="AI11" i="139"/>
  <c r="AJ14" i="139"/>
  <c r="AJ23" i="139" s="1"/>
  <c r="AW32" i="139" s="1"/>
  <c r="AJ13" i="139"/>
  <c r="AJ22" i="139" s="1"/>
  <c r="AW31" i="139" s="1"/>
  <c r="AI13" i="139" l="1"/>
  <c r="AI22" i="139" s="1"/>
  <c r="AV31" i="139" s="1"/>
  <c r="AI16" i="139"/>
  <c r="AI25" i="139" s="1"/>
  <c r="AV34" i="139" s="1"/>
  <c r="AH11" i="139"/>
  <c r="AI15" i="139"/>
  <c r="AI24" i="139" s="1"/>
  <c r="AV33" i="139" s="1"/>
  <c r="AI14" i="139"/>
  <c r="AI23" i="139" s="1"/>
  <c r="AV32" i="139" s="1"/>
  <c r="AH14" i="139" l="1"/>
  <c r="AH23" i="139" s="1"/>
  <c r="AU32" i="139" s="1"/>
  <c r="AG11" i="139"/>
  <c r="AH13" i="139"/>
  <c r="AH22" i="139" s="1"/>
  <c r="AU31" i="139" s="1"/>
  <c r="AH15" i="139"/>
  <c r="AH24" i="139" s="1"/>
  <c r="AU33" i="139" s="1"/>
  <c r="AH16" i="139"/>
  <c r="AH25" i="139" s="1"/>
  <c r="AU34" i="139" s="1"/>
  <c r="AG16" i="139" l="1"/>
  <c r="AG25" i="139" s="1"/>
  <c r="AT34" i="139" s="1"/>
  <c r="AF11" i="139"/>
  <c r="AG13" i="139"/>
  <c r="AG22" i="139" s="1"/>
  <c r="AT31" i="139" s="1"/>
  <c r="AG14" i="139"/>
  <c r="AG23" i="139" s="1"/>
  <c r="AT32" i="139" s="1"/>
  <c r="AG15" i="139"/>
  <c r="AG24" i="139" s="1"/>
  <c r="AT33" i="139" s="1"/>
  <c r="AF13" i="139" l="1"/>
  <c r="AF22" i="139" s="1"/>
  <c r="AS31" i="139" s="1"/>
  <c r="AF14" i="139"/>
  <c r="AF23" i="139" s="1"/>
  <c r="AS32" i="139" s="1"/>
  <c r="AF16" i="139"/>
  <c r="AF25" i="139" s="1"/>
  <c r="AS34" i="139" s="1"/>
  <c r="AE11" i="139"/>
  <c r="AF15" i="139"/>
  <c r="AF24" i="139" s="1"/>
  <c r="AS33" i="139" s="1"/>
  <c r="AE16" i="139" l="1"/>
  <c r="AE25" i="139" s="1"/>
  <c r="AR34" i="139" s="1"/>
  <c r="AE14" i="139"/>
  <c r="AE23" i="139" s="1"/>
  <c r="AR32" i="139" s="1"/>
  <c r="AE13" i="139"/>
  <c r="AE22" i="139" s="1"/>
  <c r="AR31" i="139" s="1"/>
  <c r="AE15" i="139"/>
  <c r="AE24" i="139" s="1"/>
  <c r="AR33" i="139" s="1"/>
  <c r="AD11" i="139"/>
  <c r="AD16" i="139" l="1"/>
  <c r="AD25" i="139" s="1"/>
  <c r="AQ34" i="139" s="1"/>
  <c r="AC11" i="139"/>
  <c r="AD13" i="139"/>
  <c r="AD22" i="139" s="1"/>
  <c r="AQ31" i="139" s="1"/>
  <c r="AD15" i="139"/>
  <c r="AD24" i="139" s="1"/>
  <c r="AQ33" i="139" s="1"/>
  <c r="AD14" i="139"/>
  <c r="AD23" i="139" s="1"/>
  <c r="AQ32" i="139" s="1"/>
  <c r="AC14" i="139" l="1"/>
  <c r="AC23" i="139" s="1"/>
  <c r="AP32" i="139" s="1"/>
  <c r="AB11" i="139"/>
  <c r="AC15" i="139"/>
  <c r="AC24" i="139" s="1"/>
  <c r="AP33" i="139" s="1"/>
  <c r="AC16" i="139"/>
  <c r="AC25" i="139" s="1"/>
  <c r="AP34" i="139" s="1"/>
  <c r="AC13" i="139"/>
  <c r="AC22" i="139" s="1"/>
  <c r="AP31" i="139" s="1"/>
  <c r="AB14" i="139" l="1"/>
  <c r="AB23" i="139" s="1"/>
  <c r="AO32" i="139" s="1"/>
  <c r="AB16" i="139"/>
  <c r="AB25" i="139" s="1"/>
  <c r="AO34" i="139" s="1"/>
  <c r="AB15" i="139"/>
  <c r="AB24" i="139" s="1"/>
  <c r="AO33" i="139" s="1"/>
  <c r="AA11" i="139"/>
  <c r="AB13" i="139"/>
  <c r="AB22" i="139" s="1"/>
  <c r="AO31" i="139" s="1"/>
  <c r="AA14" i="139" l="1"/>
  <c r="AA23" i="139" s="1"/>
  <c r="AN32" i="139" s="1"/>
  <c r="AA16" i="139"/>
  <c r="AA25" i="139" s="1"/>
  <c r="AN34" i="139" s="1"/>
  <c r="AA15" i="139"/>
  <c r="AA24" i="139" s="1"/>
  <c r="AN33" i="139" s="1"/>
  <c r="Z11" i="139"/>
  <c r="AA13" i="139"/>
  <c r="AA22" i="139" s="1"/>
  <c r="AN31" i="139" s="1"/>
  <c r="Y11" i="139" l="1"/>
  <c r="Z16" i="139"/>
  <c r="Z25" i="139" s="1"/>
  <c r="AM34" i="139" s="1"/>
  <c r="Z14" i="139"/>
  <c r="Z23" i="139" s="1"/>
  <c r="AM32" i="139" s="1"/>
  <c r="Z15" i="139"/>
  <c r="Z24" i="139" s="1"/>
  <c r="AM33" i="139" s="1"/>
  <c r="Z13" i="139"/>
  <c r="Z22" i="139" s="1"/>
  <c r="AM31" i="139" s="1"/>
  <c r="Y13" i="139" l="1"/>
  <c r="Y22" i="139" s="1"/>
  <c r="AL31" i="139" s="1"/>
  <c r="X11" i="139"/>
  <c r="Y15" i="139"/>
  <c r="Y24" i="139" s="1"/>
  <c r="AL33" i="139" s="1"/>
  <c r="Y14" i="139"/>
  <c r="Y23" i="139" s="1"/>
  <c r="AL32" i="139" s="1"/>
  <c r="Y16" i="139"/>
  <c r="Y25" i="139" s="1"/>
  <c r="AL34" i="139" s="1"/>
  <c r="X13" i="139" l="1"/>
  <c r="X22" i="139" s="1"/>
  <c r="AK31" i="139" s="1"/>
  <c r="W11" i="139"/>
  <c r="X15" i="139"/>
  <c r="X24" i="139" s="1"/>
  <c r="AK33" i="139" s="1"/>
  <c r="X16" i="139"/>
  <c r="X25" i="139" s="1"/>
  <c r="AK34" i="139" s="1"/>
  <c r="X14" i="139"/>
  <c r="X23" i="139" s="1"/>
  <c r="AK32" i="139" s="1"/>
  <c r="W13" i="139" l="1"/>
  <c r="W22" i="139" s="1"/>
  <c r="AJ31" i="139" s="1"/>
  <c r="W14" i="139"/>
  <c r="W23" i="139" s="1"/>
  <c r="AJ32" i="139" s="1"/>
  <c r="V11" i="139"/>
  <c r="W15" i="139"/>
  <c r="W24" i="139" s="1"/>
  <c r="AJ33" i="139" s="1"/>
  <c r="W16" i="139"/>
  <c r="W25" i="139" s="1"/>
  <c r="AJ34" i="139" s="1"/>
  <c r="V13" i="139" l="1"/>
  <c r="V22" i="139" s="1"/>
  <c r="AI31" i="139" s="1"/>
  <c r="V16" i="139"/>
  <c r="V25" i="139" s="1"/>
  <c r="AI34" i="139" s="1"/>
  <c r="V15" i="139"/>
  <c r="V24" i="139" s="1"/>
  <c r="AI33" i="139" s="1"/>
  <c r="V14" i="139"/>
  <c r="V23" i="139" s="1"/>
  <c r="AI32" i="139" s="1"/>
  <c r="U11" i="139"/>
  <c r="U15" i="139" l="1"/>
  <c r="U24" i="139" s="1"/>
  <c r="AH33" i="139" s="1"/>
  <c r="U14" i="139"/>
  <c r="U23" i="139" s="1"/>
  <c r="AH32" i="139" s="1"/>
  <c r="U13" i="139"/>
  <c r="U22" i="139" s="1"/>
  <c r="AH31" i="139" s="1"/>
  <c r="T11" i="139"/>
  <c r="U16" i="139"/>
  <c r="U25" i="139" s="1"/>
  <c r="AH34" i="139" s="1"/>
  <c r="DT14" i="139"/>
  <c r="DU14" i="139"/>
  <c r="DV14" i="139" s="1"/>
  <c r="DX14" i="139" s="1"/>
  <c r="DS14" i="139"/>
  <c r="DT15" i="139"/>
  <c r="DU15" i="139"/>
  <c r="DV15" i="139" s="1"/>
  <c r="DX15" i="139" s="1"/>
  <c r="DS15" i="139"/>
  <c r="DT13" i="139"/>
  <c r="DU13" i="139"/>
  <c r="DV13" i="139" s="1"/>
  <c r="DX13" i="139" s="1"/>
  <c r="DS13" i="139"/>
  <c r="DS16" i="139"/>
  <c r="DU16" i="139"/>
  <c r="DV16" i="139" s="1"/>
  <c r="DX16" i="139" s="1"/>
  <c r="DT16" i="139"/>
  <c r="T14" i="139" l="1"/>
  <c r="T23" i="139" s="1"/>
  <c r="AG32" i="139" s="1"/>
  <c r="T13" i="139"/>
  <c r="T22" i="139" s="1"/>
  <c r="AG31" i="139" s="1"/>
  <c r="T16" i="139"/>
  <c r="T25" i="139" s="1"/>
  <c r="AG34" i="139" s="1"/>
  <c r="T15" i="139"/>
  <c r="T24" i="139" s="1"/>
  <c r="AG33" i="139" s="1"/>
  <c r="S11" i="139"/>
  <c r="DW13" i="139"/>
  <c r="DW15" i="139"/>
  <c r="DW14" i="139"/>
  <c r="DU22" i="139"/>
  <c r="DV22" i="139" s="1"/>
  <c r="DX22" i="139" s="1"/>
  <c r="DT22" i="139"/>
  <c r="DS22" i="139"/>
  <c r="DS24" i="139"/>
  <c r="DU24" i="139"/>
  <c r="DV24" i="139" s="1"/>
  <c r="DX24" i="139" s="1"/>
  <c r="DT24" i="139"/>
  <c r="DT23" i="139"/>
  <c r="DS23" i="139"/>
  <c r="DU23" i="139"/>
  <c r="DV23" i="139" s="1"/>
  <c r="DX23" i="139" s="1"/>
  <c r="DW16" i="139"/>
  <c r="DS25" i="139"/>
  <c r="DT25" i="139"/>
  <c r="DU25" i="139"/>
  <c r="DV25" i="139" s="1"/>
  <c r="DX25" i="139" s="1"/>
  <c r="S14" i="139" l="1"/>
  <c r="S23" i="139" s="1"/>
  <c r="AF32" i="139" s="1"/>
  <c r="S16" i="139"/>
  <c r="S25" i="139" s="1"/>
  <c r="AF34" i="139" s="1"/>
  <c r="S13" i="139"/>
  <c r="S22" i="139" s="1"/>
  <c r="AF31" i="139" s="1"/>
  <c r="R11" i="139"/>
  <c r="S15" i="139"/>
  <c r="S24" i="139" s="1"/>
  <c r="AF33" i="139" s="1"/>
  <c r="DW23" i="139"/>
  <c r="DW25" i="139"/>
  <c r="DW24" i="139"/>
  <c r="DW22" i="139"/>
  <c r="Q11" i="139" l="1"/>
  <c r="R14" i="139"/>
  <c r="R23" i="139" s="1"/>
  <c r="AE32" i="139" s="1"/>
  <c r="R15" i="139"/>
  <c r="R24" i="139" s="1"/>
  <c r="AE33" i="139" s="1"/>
  <c r="R16" i="139"/>
  <c r="R25" i="139" s="1"/>
  <c r="AE34" i="139" s="1"/>
  <c r="R13" i="139"/>
  <c r="R22" i="139" s="1"/>
  <c r="AE31" i="139" s="1"/>
  <c r="P11" i="139" l="1"/>
  <c r="Q14" i="139"/>
  <c r="Q23" i="139" s="1"/>
  <c r="AD32" i="139" s="1"/>
  <c r="Q13" i="139"/>
  <c r="Q22" i="139" s="1"/>
  <c r="AD31" i="139" s="1"/>
  <c r="Q15" i="139"/>
  <c r="Q24" i="139" s="1"/>
  <c r="AD33" i="139" s="1"/>
  <c r="Q16" i="139"/>
  <c r="Q25" i="139" s="1"/>
  <c r="AD34" i="139" s="1"/>
  <c r="P15" i="139" l="1"/>
  <c r="P24" i="139" s="1"/>
  <c r="AC33" i="139" s="1"/>
  <c r="P14" i="139"/>
  <c r="P23" i="139" s="1"/>
  <c r="AC32" i="139" s="1"/>
  <c r="P13" i="139"/>
  <c r="P22" i="139" s="1"/>
  <c r="AC31" i="139" s="1"/>
  <c r="P16" i="139"/>
  <c r="P25" i="139" s="1"/>
  <c r="AC34" i="139" s="1"/>
  <c r="O11" i="139"/>
  <c r="O13" i="139" l="1"/>
  <c r="O22" i="139" s="1"/>
  <c r="AB31" i="139" s="1"/>
  <c r="O16" i="139"/>
  <c r="O25" i="139" s="1"/>
  <c r="AB34" i="139" s="1"/>
  <c r="O15" i="139"/>
  <c r="O24" i="139" s="1"/>
  <c r="AB33" i="139" s="1"/>
  <c r="N11" i="139"/>
  <c r="O14" i="139"/>
  <c r="O23" i="139" s="1"/>
  <c r="AB32" i="139" s="1"/>
  <c r="M11" i="139" l="1"/>
  <c r="N15" i="139"/>
  <c r="N24" i="139" s="1"/>
  <c r="AA33" i="139" s="1"/>
  <c r="N14" i="139"/>
  <c r="N23" i="139" s="1"/>
  <c r="AA32" i="139" s="1"/>
  <c r="N16" i="139"/>
  <c r="N25" i="139" s="1"/>
  <c r="AA34" i="139" s="1"/>
  <c r="N13" i="139"/>
  <c r="N22" i="139" s="1"/>
  <c r="AA31" i="139" s="1"/>
  <c r="M14" i="139" l="1"/>
  <c r="M23" i="139" s="1"/>
  <c r="Z32" i="139" s="1"/>
  <c r="L11" i="139"/>
  <c r="M15" i="139"/>
  <c r="M24" i="139" s="1"/>
  <c r="Z33" i="139" s="1"/>
  <c r="M16" i="139"/>
  <c r="M25" i="139" s="1"/>
  <c r="Z34" i="139" s="1"/>
  <c r="M13" i="139"/>
  <c r="M22" i="139" s="1"/>
  <c r="Z31" i="139" s="1"/>
  <c r="L16" i="139" l="1"/>
  <c r="L25" i="139" s="1"/>
  <c r="Y34" i="139" s="1"/>
  <c r="K11" i="139"/>
  <c r="L13" i="139"/>
  <c r="L22" i="139" s="1"/>
  <c r="Y31" i="139" s="1"/>
  <c r="L14" i="139"/>
  <c r="L23" i="139" s="1"/>
  <c r="Y32" i="139" s="1"/>
  <c r="L15" i="139"/>
  <c r="L24" i="139" s="1"/>
  <c r="Y33" i="139" s="1"/>
  <c r="K16" i="139" l="1"/>
  <c r="K25" i="139" s="1"/>
  <c r="X34" i="139" s="1"/>
  <c r="K14" i="139"/>
  <c r="K23" i="139" s="1"/>
  <c r="X32" i="139" s="1"/>
  <c r="K15" i="139"/>
  <c r="K24" i="139" s="1"/>
  <c r="X33" i="139" s="1"/>
  <c r="K13" i="139"/>
  <c r="K22" i="139" s="1"/>
  <c r="X31" i="139" s="1"/>
  <c r="J11" i="139"/>
  <c r="J14" i="139" l="1"/>
  <c r="J23" i="139" s="1"/>
  <c r="W32" i="139" s="1"/>
  <c r="J13" i="139"/>
  <c r="J22" i="139" s="1"/>
  <c r="W31" i="139" s="1"/>
  <c r="J16" i="139"/>
  <c r="J25" i="139" s="1"/>
  <c r="W34" i="139" s="1"/>
  <c r="J15" i="139"/>
  <c r="J24" i="139" s="1"/>
  <c r="W33" i="139" s="1"/>
  <c r="I11" i="139"/>
  <c r="H11" i="139" l="1"/>
  <c r="I13" i="139"/>
  <c r="I22" i="139" s="1"/>
  <c r="V31" i="139" s="1"/>
  <c r="I16" i="139"/>
  <c r="I25" i="139" s="1"/>
  <c r="V34" i="139" s="1"/>
  <c r="I14" i="139"/>
  <c r="I23" i="139" s="1"/>
  <c r="V32" i="139" s="1"/>
  <c r="I15" i="139"/>
  <c r="I24" i="139" s="1"/>
  <c r="V33" i="139" s="1"/>
  <c r="H15" i="139" l="1"/>
  <c r="H24" i="139" s="1"/>
  <c r="U33" i="139" s="1"/>
  <c r="H14" i="139"/>
  <c r="H23" i="139" s="1"/>
  <c r="U32" i="139" s="1"/>
  <c r="G11" i="139"/>
  <c r="H13" i="139"/>
  <c r="H22" i="139" s="1"/>
  <c r="U31" i="139" s="1"/>
  <c r="H16" i="139"/>
  <c r="H25" i="139" s="1"/>
  <c r="U34" i="139" s="1"/>
  <c r="G13" i="139" l="1"/>
  <c r="G22" i="139" s="1"/>
  <c r="T31" i="139" s="1"/>
  <c r="G14" i="139"/>
  <c r="G23" i="139" s="1"/>
  <c r="T32" i="139" s="1"/>
  <c r="G16" i="139"/>
  <c r="G25" i="139" s="1"/>
  <c r="T34" i="139" s="1"/>
  <c r="F11" i="139"/>
  <c r="G15" i="139"/>
  <c r="G24" i="139" s="1"/>
  <c r="T33" i="139" s="1"/>
  <c r="F14" i="139" l="1"/>
  <c r="F23" i="139" s="1"/>
  <c r="S32" i="139" s="1"/>
  <c r="F13" i="139"/>
  <c r="F22" i="139" s="1"/>
  <c r="S31" i="139" s="1"/>
  <c r="E11" i="139"/>
  <c r="F15" i="139"/>
  <c r="F24" i="139" s="1"/>
  <c r="S33" i="139" s="1"/>
  <c r="F16" i="139"/>
  <c r="F25" i="139" s="1"/>
  <c r="S34" i="139" s="1"/>
  <c r="E16" i="139" l="1"/>
  <c r="E25" i="139" s="1"/>
  <c r="R34" i="139" s="1"/>
  <c r="E14" i="139"/>
  <c r="E23" i="139" s="1"/>
  <c r="R32" i="139" s="1"/>
  <c r="E13" i="139"/>
  <c r="E22" i="139" s="1"/>
  <c r="R31" i="139" s="1"/>
  <c r="D11" i="139"/>
  <c r="E15" i="139"/>
  <c r="E24" i="139" s="1"/>
  <c r="R33" i="139" s="1"/>
  <c r="D15" i="139" l="1"/>
  <c r="D24" i="139" s="1"/>
  <c r="Q33" i="139" s="1"/>
  <c r="D13" i="139"/>
  <c r="D22" i="139" s="1"/>
  <c r="Q31" i="139" s="1"/>
  <c r="C11" i="139"/>
  <c r="D14" i="139"/>
  <c r="D23" i="139" s="1"/>
  <c r="Q32" i="139" s="1"/>
  <c r="D16" i="139"/>
  <c r="D25" i="139" s="1"/>
  <c r="Q34" i="139" s="1"/>
  <c r="C14" i="139" l="1"/>
  <c r="C23" i="139" s="1"/>
  <c r="P32" i="139" s="1"/>
  <c r="B11" i="139"/>
  <c r="C13" i="139"/>
  <c r="C22" i="139" s="1"/>
  <c r="P31" i="139" s="1"/>
  <c r="C15" i="139"/>
  <c r="C24" i="139" s="1"/>
  <c r="P33" i="139" s="1"/>
  <c r="C16" i="139"/>
  <c r="C25" i="139" s="1"/>
  <c r="P34" i="139" s="1"/>
  <c r="B14" i="139" l="1"/>
  <c r="B23" i="139" s="1"/>
  <c r="O32" i="139" s="1"/>
  <c r="B15" i="139"/>
  <c r="B24" i="139" s="1"/>
  <c r="O33" i="139" s="1"/>
  <c r="B16" i="139"/>
  <c r="B25" i="139" s="1"/>
  <c r="O34" i="139" s="1"/>
  <c r="B13" i="139"/>
  <c r="B22" i="139" s="1"/>
  <c r="O31" i="139" s="1"/>
</calcChain>
</file>

<file path=xl/sharedStrings.xml><?xml version="1.0" encoding="utf-8"?>
<sst xmlns="http://schemas.openxmlformats.org/spreadsheetml/2006/main" count="226" uniqueCount="11">
  <si>
    <t>MES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</si>
  <si>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</si>
  <si>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</si>
  <si>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</si>
  <si>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</si>
  <si>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</si>
  <si>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</si>
  <si>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OcupadosEPACLM</t>
  </si>
  <si>
    <t>Inicio</t>
  </si>
  <si>
    <t>Amplitud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</si>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</sst>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mmm\-yy;@"/>
    <numFmt numFmtId="165" formatCode="0.0%"/>
    <numFmt numFmtId="166" formatCode="0.000000"/>
    <numFmt numFmtId="167" formatCode="0.00\ &quot;σ&quot;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7" fillId="3" borderId="0" xfId="1" applyNumberFormat="1" applyFont="1" applyFill="1" applyAlignment="1">
      <alignment horizontal="center" vertical="center"/>
    </xf>
    <xf numFmtId="167" fontId="5" fillId="2" borderId="0" xfId="0" applyNumberFormat="1" applyFont="1" applyFill="1" applyAlignment="1">
      <alignment horizontal="center" vertical="center"/>
    </xf>
    <xf numFmtId="10" fontId="0" fillId="0" borderId="0" xfId="1" applyNumberFormat="1" applyFont="1"/>
  </cellXfs>
  <cellStyles count="2">
    <cellStyle name="Normal" xfId="0" builtinId="0"/>
    <cellStyle name="Porcentaje" xfId="1" builtinId="5"/>
  </cellStyles>
  <dxfs count="4">
    <dxf>
      <fill>
        <patternFill>
          <bgColor theme="0"/>
        </patternFill>
      </fill>
    </dxf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00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I7">
            <v>553600</v>
          </cell>
        </row>
        <row r="8">
          <cell r="I8">
            <v>549800</v>
          </cell>
        </row>
        <row r="9">
          <cell r="I9">
            <v>539800</v>
          </cell>
        </row>
        <row r="10">
          <cell r="I10">
            <v>542100</v>
          </cell>
        </row>
        <row r="11">
          <cell r="I11">
            <v>550300</v>
          </cell>
        </row>
        <row r="12">
          <cell r="I12">
            <v>545800</v>
          </cell>
        </row>
        <row r="13">
          <cell r="I13">
            <v>533700</v>
          </cell>
        </row>
        <row r="14">
          <cell r="I14">
            <v>534400</v>
          </cell>
        </row>
        <row r="15">
          <cell r="I15">
            <v>539400</v>
          </cell>
        </row>
        <row r="16">
          <cell r="I16">
            <v>532200</v>
          </cell>
        </row>
        <row r="17">
          <cell r="I17">
            <v>516200</v>
          </cell>
        </row>
        <row r="18">
          <cell r="I18">
            <v>510500</v>
          </cell>
        </row>
        <row r="19">
          <cell r="I19">
            <v>507300</v>
          </cell>
        </row>
        <row r="20">
          <cell r="I20">
            <v>516800</v>
          </cell>
        </row>
        <row r="21">
          <cell r="I21">
            <v>500800</v>
          </cell>
        </row>
        <row r="22">
          <cell r="I22">
            <v>492300</v>
          </cell>
        </row>
        <row r="23">
          <cell r="I23">
            <v>489100</v>
          </cell>
        </row>
        <row r="24">
          <cell r="I24">
            <v>497300</v>
          </cell>
        </row>
        <row r="25">
          <cell r="I25">
            <v>473900</v>
          </cell>
        </row>
        <row r="26">
          <cell r="I26">
            <v>471100</v>
          </cell>
        </row>
        <row r="27">
          <cell r="I27">
            <v>481800</v>
          </cell>
        </row>
        <row r="28">
          <cell r="I28">
            <v>489100</v>
          </cell>
        </row>
        <row r="29">
          <cell r="I29">
            <v>478200</v>
          </cell>
        </row>
        <row r="30">
          <cell r="I30">
            <v>484400</v>
          </cell>
        </row>
        <row r="31">
          <cell r="I31">
            <v>493700</v>
          </cell>
        </row>
        <row r="32">
          <cell r="I32">
            <v>497600</v>
          </cell>
        </row>
        <row r="33">
          <cell r="I33">
            <v>493700</v>
          </cell>
        </row>
        <row r="34">
          <cell r="I34">
            <v>484600</v>
          </cell>
        </row>
        <row r="35">
          <cell r="I35">
            <v>496800</v>
          </cell>
        </row>
        <row r="36">
          <cell r="I36">
            <v>499200</v>
          </cell>
        </row>
        <row r="37">
          <cell r="I37">
            <v>478900</v>
          </cell>
        </row>
        <row r="38">
          <cell r="I38">
            <v>472900</v>
          </cell>
        </row>
        <row r="39">
          <cell r="I39">
            <v>481600</v>
          </cell>
        </row>
        <row r="40">
          <cell r="I40">
            <v>490100</v>
          </cell>
        </row>
        <row r="41">
          <cell r="I41">
            <v>474600</v>
          </cell>
        </row>
        <row r="42">
          <cell r="I42">
            <v>481900</v>
          </cell>
        </row>
        <row r="43">
          <cell r="I43">
            <v>490400</v>
          </cell>
        </row>
        <row r="44">
          <cell r="I44">
            <v>498200</v>
          </cell>
        </row>
        <row r="45">
          <cell r="I45">
            <v>489400</v>
          </cell>
        </row>
        <row r="46">
          <cell r="I46">
            <v>494000</v>
          </cell>
        </row>
        <row r="47">
          <cell r="I47">
            <v>502300</v>
          </cell>
        </row>
        <row r="48">
          <cell r="I48">
            <v>498200</v>
          </cell>
        </row>
        <row r="49">
          <cell r="I49">
            <v>483200</v>
          </cell>
        </row>
        <row r="50">
          <cell r="I50">
            <v>507100</v>
          </cell>
        </row>
        <row r="51">
          <cell r="I51">
            <v>524200</v>
          </cell>
        </row>
        <row r="52">
          <cell r="I52">
            <v>529000</v>
          </cell>
        </row>
        <row r="53">
          <cell r="I53">
            <v>519900</v>
          </cell>
        </row>
        <row r="54">
          <cell r="I54">
            <v>521500</v>
          </cell>
        </row>
        <row r="55">
          <cell r="I55">
            <v>543900</v>
          </cell>
        </row>
        <row r="56">
          <cell r="I56">
            <v>537100</v>
          </cell>
        </row>
        <row r="57">
          <cell r="I57">
            <v>532600</v>
          </cell>
        </row>
        <row r="58">
          <cell r="I58">
            <v>533700</v>
          </cell>
        </row>
        <row r="59">
          <cell r="I59">
            <v>557600</v>
          </cell>
        </row>
        <row r="60">
          <cell r="I60">
            <v>542300</v>
          </cell>
        </row>
        <row r="61">
          <cell r="I61">
            <v>540900</v>
          </cell>
        </row>
        <row r="62">
          <cell r="I62">
            <v>542000</v>
          </cell>
        </row>
        <row r="63">
          <cell r="I63">
            <v>557500</v>
          </cell>
        </row>
        <row r="64">
          <cell r="I64">
            <v>555800</v>
          </cell>
        </row>
        <row r="65">
          <cell r="I65">
            <v>550200</v>
          </cell>
        </row>
        <row r="66">
          <cell r="I66">
            <v>541000</v>
          </cell>
        </row>
        <row r="67">
          <cell r="I67">
            <v>561000</v>
          </cell>
        </row>
        <row r="68">
          <cell r="I68">
            <v>564000</v>
          </cell>
        </row>
        <row r="69">
          <cell r="I69">
            <v>547300</v>
          </cell>
        </row>
        <row r="70">
          <cell r="I70">
            <v>544100</v>
          </cell>
        </row>
        <row r="71">
          <cell r="I71">
            <v>547200</v>
          </cell>
        </row>
        <row r="72">
          <cell r="I72">
            <v>544900</v>
          </cell>
        </row>
        <row r="73">
          <cell r="I73">
            <v>525600</v>
          </cell>
        </row>
        <row r="74">
          <cell r="I74">
            <v>524000</v>
          </cell>
        </row>
        <row r="75">
          <cell r="I75">
            <v>533200</v>
          </cell>
        </row>
        <row r="76">
          <cell r="I76">
            <v>520400</v>
          </cell>
        </row>
        <row r="77">
          <cell r="I77">
            <v>515400</v>
          </cell>
        </row>
        <row r="78">
          <cell r="I78">
            <v>513000</v>
          </cell>
        </row>
        <row r="79">
          <cell r="I79">
            <v>526300</v>
          </cell>
        </row>
        <row r="80">
          <cell r="I80">
            <v>518800</v>
          </cell>
        </row>
        <row r="81">
          <cell r="I81">
            <v>505600</v>
          </cell>
        </row>
        <row r="82">
          <cell r="I82">
            <v>508900</v>
          </cell>
        </row>
        <row r="83">
          <cell r="I83">
            <v>517500</v>
          </cell>
        </row>
        <row r="84">
          <cell r="I84">
            <v>509900</v>
          </cell>
        </row>
        <row r="85">
          <cell r="I85">
            <v>507000</v>
          </cell>
        </row>
        <row r="86">
          <cell r="I86">
            <v>516900</v>
          </cell>
        </row>
        <row r="87">
          <cell r="I87">
            <v>539000</v>
          </cell>
        </row>
        <row r="88">
          <cell r="I88">
            <v>531000</v>
          </cell>
        </row>
        <row r="89">
          <cell r="I89">
            <v>527700</v>
          </cell>
        </row>
        <row r="90">
          <cell r="I90">
            <v>534300</v>
          </cell>
        </row>
        <row r="91">
          <cell r="I91">
            <v>554500</v>
          </cell>
        </row>
        <row r="92">
          <cell r="I92">
            <v>551800</v>
          </cell>
        </row>
        <row r="93">
          <cell r="I93">
            <v>553100</v>
          </cell>
        </row>
        <row r="94">
          <cell r="I94">
            <v>571100</v>
          </cell>
        </row>
        <row r="95">
          <cell r="I95">
            <v>582300</v>
          </cell>
        </row>
        <row r="96">
          <cell r="I96">
            <v>581700</v>
          </cell>
        </row>
        <row r="97">
          <cell r="I97">
            <v>575300</v>
          </cell>
        </row>
        <row r="98">
          <cell r="I98">
            <v>592500</v>
          </cell>
        </row>
        <row r="99">
          <cell r="I99">
            <v>603500</v>
          </cell>
        </row>
        <row r="100">
          <cell r="I100">
            <v>602600</v>
          </cell>
        </row>
        <row r="101">
          <cell r="I101">
            <v>613000</v>
          </cell>
        </row>
        <row r="102">
          <cell r="I102">
            <v>620700</v>
          </cell>
        </row>
        <row r="103">
          <cell r="I103">
            <v>630700</v>
          </cell>
        </row>
        <row r="104">
          <cell r="I104">
            <v>626600</v>
          </cell>
        </row>
        <row r="105">
          <cell r="I105">
            <v>630600</v>
          </cell>
        </row>
        <row r="106">
          <cell r="I106">
            <v>633900</v>
          </cell>
        </row>
        <row r="107">
          <cell r="I107">
            <v>648100</v>
          </cell>
        </row>
        <row r="108">
          <cell r="I108">
            <v>648900</v>
          </cell>
        </row>
        <row r="109">
          <cell r="I109">
            <v>646000</v>
          </cell>
        </row>
        <row r="110">
          <cell r="I110">
            <v>660400</v>
          </cell>
        </row>
        <row r="111">
          <cell r="I111">
            <v>679400</v>
          </cell>
        </row>
        <row r="112">
          <cell r="I112">
            <v>679600</v>
          </cell>
        </row>
        <row r="113">
          <cell r="I113">
            <v>674100</v>
          </cell>
        </row>
        <row r="114">
          <cell r="I114">
            <v>690300</v>
          </cell>
        </row>
        <row r="115">
          <cell r="I115">
            <v>704000</v>
          </cell>
        </row>
        <row r="116">
          <cell r="I116">
            <v>705400</v>
          </cell>
        </row>
        <row r="117">
          <cell r="I117">
            <v>706600</v>
          </cell>
        </row>
        <row r="118">
          <cell r="I118">
            <v>712800</v>
          </cell>
        </row>
        <row r="119">
          <cell r="I119">
            <v>734700</v>
          </cell>
        </row>
        <row r="120">
          <cell r="I120">
            <v>739600</v>
          </cell>
        </row>
        <row r="121">
          <cell r="I121">
            <v>743200</v>
          </cell>
        </row>
        <row r="122">
          <cell r="I122">
            <v>770200</v>
          </cell>
        </row>
        <row r="123">
          <cell r="I123">
            <v>791100</v>
          </cell>
        </row>
        <row r="124">
          <cell r="I124">
            <v>790500</v>
          </cell>
        </row>
        <row r="125">
          <cell r="I125">
            <v>789300</v>
          </cell>
        </row>
        <row r="126">
          <cell r="I126">
            <v>802300</v>
          </cell>
        </row>
        <row r="127">
          <cell r="I127">
            <v>817600</v>
          </cell>
        </row>
        <row r="128">
          <cell r="I128">
            <v>831500</v>
          </cell>
        </row>
        <row r="129">
          <cell r="I129">
            <v>845500</v>
          </cell>
        </row>
        <row r="130">
          <cell r="I130">
            <v>857500</v>
          </cell>
        </row>
        <row r="131">
          <cell r="I131">
            <v>882500</v>
          </cell>
        </row>
        <row r="132">
          <cell r="I132">
            <v>874600</v>
          </cell>
        </row>
        <row r="133">
          <cell r="I133">
            <v>869300</v>
          </cell>
        </row>
        <row r="134">
          <cell r="I134">
            <v>873800</v>
          </cell>
        </row>
        <row r="135">
          <cell r="I135">
            <v>865300</v>
          </cell>
        </row>
        <row r="136">
          <cell r="I136">
            <v>835800</v>
          </cell>
        </row>
        <row r="137">
          <cell r="I137">
            <v>810100</v>
          </cell>
        </row>
        <row r="138">
          <cell r="I138">
            <v>798800</v>
          </cell>
        </row>
        <row r="139">
          <cell r="I139">
            <v>810200</v>
          </cell>
        </row>
        <row r="140">
          <cell r="I140">
            <v>804500</v>
          </cell>
        </row>
        <row r="141">
          <cell r="I141">
            <v>784200</v>
          </cell>
        </row>
        <row r="142">
          <cell r="I142">
            <v>786600</v>
          </cell>
        </row>
        <row r="143">
          <cell r="I143">
            <v>797700</v>
          </cell>
        </row>
        <row r="144">
          <cell r="I144">
            <v>789300</v>
          </cell>
        </row>
        <row r="145">
          <cell r="I145">
            <v>786800</v>
          </cell>
        </row>
        <row r="146">
          <cell r="I146">
            <v>787500</v>
          </cell>
        </row>
        <row r="147">
          <cell r="I147">
            <v>793500</v>
          </cell>
        </row>
        <row r="148">
          <cell r="I148">
            <v>774600</v>
          </cell>
        </row>
        <row r="149">
          <cell r="I149">
            <v>744800</v>
          </cell>
        </row>
        <row r="150">
          <cell r="I150">
            <v>726200</v>
          </cell>
        </row>
        <row r="151">
          <cell r="I151">
            <v>730200</v>
          </cell>
        </row>
        <row r="152">
          <cell r="I152">
            <v>710400</v>
          </cell>
        </row>
        <row r="153">
          <cell r="I153">
            <v>699600</v>
          </cell>
        </row>
        <row r="154">
          <cell r="I154">
            <v>712200</v>
          </cell>
        </row>
        <row r="155">
          <cell r="I155">
            <v>721000</v>
          </cell>
        </row>
        <row r="156">
          <cell r="I156">
            <v>716400</v>
          </cell>
        </row>
        <row r="157">
          <cell r="I157">
            <v>705300</v>
          </cell>
        </row>
        <row r="158">
          <cell r="I158">
            <v>716500</v>
          </cell>
        </row>
        <row r="159">
          <cell r="I159">
            <v>716400</v>
          </cell>
        </row>
        <row r="160">
          <cell r="I160">
            <v>710300</v>
          </cell>
        </row>
        <row r="161">
          <cell r="I161">
            <v>707000</v>
          </cell>
        </row>
        <row r="162">
          <cell r="I162">
            <v>720800</v>
          </cell>
        </row>
        <row r="163">
          <cell r="I163">
            <v>745800</v>
          </cell>
        </row>
        <row r="164">
          <cell r="I164">
            <v>741700</v>
          </cell>
        </row>
        <row r="165">
          <cell r="I165">
            <v>733200</v>
          </cell>
        </row>
        <row r="166">
          <cell r="I166">
            <v>748100</v>
          </cell>
        </row>
        <row r="167">
          <cell r="I167">
            <v>756500</v>
          </cell>
        </row>
        <row r="168">
          <cell r="I168">
            <v>770100</v>
          </cell>
        </row>
        <row r="169">
          <cell r="I169">
            <v>770800</v>
          </cell>
        </row>
        <row r="170">
          <cell r="I170">
            <v>766762.46</v>
          </cell>
        </row>
        <row r="171">
          <cell r="I171">
            <v>792276.96</v>
          </cell>
        </row>
        <row r="172">
          <cell r="I172">
            <v>799110.7</v>
          </cell>
        </row>
        <row r="173">
          <cell r="I173">
            <v>777248.42</v>
          </cell>
        </row>
        <row r="174">
          <cell r="I174">
            <v>794962.98</v>
          </cell>
        </row>
        <row r="175">
          <cell r="I175">
            <v>817620.78</v>
          </cell>
        </row>
        <row r="176">
          <cell r="I176">
            <v>830053.67</v>
          </cell>
        </row>
        <row r="177">
          <cell r="I177">
            <v>829500</v>
          </cell>
        </row>
        <row r="178">
          <cell r="I178">
            <v>820471.31</v>
          </cell>
        </row>
        <row r="179">
          <cell r="I179">
            <v>826122.31</v>
          </cell>
        </row>
        <row r="180">
          <cell r="I180">
            <v>824201.95</v>
          </cell>
        </row>
        <row r="181">
          <cell r="I181">
            <v>800895.95</v>
          </cell>
        </row>
        <row r="182">
          <cell r="I182">
            <v>771081.54</v>
          </cell>
        </row>
        <row r="183">
          <cell r="I183">
            <v>799616.69</v>
          </cell>
        </row>
        <row r="184">
          <cell r="I184">
            <v>821900.94999999984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I38"/>
  <sheetViews>
    <sheetView tabSelected="1" topLeftCell="BA1" workbookViewId="0">
      <selection activeCell="BS3" sqref="BS3"/>
    </sheetView>
  </sheetViews>
  <sheetFormatPr baseColWidth="10" defaultRowHeight="15" x14ac:dyDescent="0.25"/>
  <cols>
    <col min="1" max="1" width="7.140625" style="1" bestFit="1" customWidth="1"/>
    <col min="2" max="2" width="7.5703125" style="1" bestFit="1" customWidth="1"/>
    <col min="3" max="3" width="8.42578125" style="1" bestFit="1" customWidth="1"/>
    <col min="4" max="4" width="7.7109375" style="1" bestFit="1" customWidth="1"/>
    <col min="5" max="5" width="7.85546875" style="1" bestFit="1" customWidth="1"/>
    <col min="6" max="6" width="7.5703125" style="1" bestFit="1" customWidth="1"/>
    <col min="7" max="7" width="8.42578125" style="1" bestFit="1" customWidth="1"/>
    <col min="8" max="8" width="7.7109375" style="1" bestFit="1" customWidth="1"/>
    <col min="9" max="9" width="7.85546875" style="1" bestFit="1" customWidth="1"/>
    <col min="10" max="10" width="7.5703125" style="1" bestFit="1" customWidth="1"/>
    <col min="11" max="11" width="8.42578125" style="1" bestFit="1" customWidth="1"/>
    <col min="12" max="12" width="7.7109375" style="1" bestFit="1" customWidth="1"/>
    <col min="13" max="13" width="7.85546875" style="1" bestFit="1" customWidth="1"/>
    <col min="14" max="14" width="7.5703125" style="1" bestFit="1" customWidth="1"/>
    <col min="15" max="15" width="8.42578125" style="1" bestFit="1" customWidth="1"/>
    <col min="16" max="16" width="7.7109375" style="1" bestFit="1" customWidth="1"/>
    <col min="17" max="17" width="7.85546875" style="1" bestFit="1" customWidth="1"/>
    <col min="18" max="18" width="7.5703125" style="1" bestFit="1" customWidth="1"/>
    <col min="19" max="19" width="8.42578125" style="1" bestFit="1" customWidth="1"/>
    <col min="20" max="20" width="7.7109375" style="1" bestFit="1" customWidth="1"/>
    <col min="21" max="21" width="7.85546875" style="1" bestFit="1" customWidth="1"/>
    <col min="22" max="22" width="7.5703125" style="1" bestFit="1" customWidth="1"/>
    <col min="23" max="23" width="8.42578125" style="1" bestFit="1" customWidth="1"/>
    <col min="24" max="24" width="7.7109375" style="1" bestFit="1" customWidth="1"/>
    <col min="25" max="25" width="7.85546875" style="1" bestFit="1" customWidth="1"/>
    <col min="26" max="26" width="7.5703125" style="1" bestFit="1" customWidth="1"/>
    <col min="27" max="27" width="8.42578125" style="1" bestFit="1" customWidth="1"/>
    <col min="28" max="28" width="7.7109375" style="1" bestFit="1" customWidth="1"/>
    <col min="29" max="29" width="7.85546875" style="1" bestFit="1" customWidth="1"/>
    <col min="30" max="30" width="7.5703125" style="1" bestFit="1" customWidth="1"/>
    <col min="31" max="31" width="8.42578125" style="1" bestFit="1" customWidth="1"/>
    <col min="32" max="32" width="7.7109375" style="1" bestFit="1" customWidth="1"/>
    <col min="33" max="33" width="7.85546875" style="1" bestFit="1" customWidth="1"/>
    <col min="34" max="34" width="7.5703125" style="1" bestFit="1" customWidth="1"/>
    <col min="35" max="35" width="8.42578125" style="1" bestFit="1" customWidth="1"/>
    <col min="36" max="36" width="7.7109375" style="1" bestFit="1" customWidth="1"/>
    <col min="37" max="37" width="7.85546875" style="1" bestFit="1" customWidth="1"/>
    <col min="38" max="38" width="7.5703125" style="1" bestFit="1" customWidth="1"/>
    <col min="39" max="39" width="8.42578125" style="1" bestFit="1" customWidth="1"/>
    <col min="40" max="40" width="7.7109375" style="1" bestFit="1" customWidth="1"/>
    <col min="41" max="41" width="7.85546875" style="1" bestFit="1" customWidth="1"/>
    <col min="42" max="42" width="7.5703125" style="1" bestFit="1" customWidth="1"/>
    <col min="43" max="43" width="8.42578125" style="1" bestFit="1" customWidth="1"/>
    <col min="44" max="44" width="7.7109375" style="1" bestFit="1" customWidth="1"/>
    <col min="45" max="45" width="7.85546875" style="1" bestFit="1" customWidth="1"/>
    <col min="46" max="46" width="7.5703125" style="1" bestFit="1" customWidth="1"/>
    <col min="47" max="47" width="8.42578125" style="1" bestFit="1" customWidth="1"/>
    <col min="48" max="48" width="7.7109375" style="1" bestFit="1" customWidth="1"/>
    <col min="49" max="49" width="7.85546875" style="1" bestFit="1" customWidth="1"/>
    <col min="50" max="50" width="7.5703125" style="1" bestFit="1" customWidth="1"/>
    <col min="51" max="51" width="8.42578125" style="1" bestFit="1" customWidth="1"/>
    <col min="52" max="52" width="7.7109375" style="1" bestFit="1" customWidth="1"/>
    <col min="53" max="53" width="7.85546875" style="1" bestFit="1" customWidth="1"/>
    <col min="54" max="54" width="7.5703125" style="1" bestFit="1" customWidth="1"/>
    <col min="55" max="55" width="8.42578125" style="1" bestFit="1" customWidth="1"/>
    <col min="56" max="56" width="7.7109375" style="1" bestFit="1" customWidth="1"/>
    <col min="57" max="57" width="7.85546875" style="1" bestFit="1" customWidth="1"/>
    <col min="58" max="58" width="7.5703125" style="1" bestFit="1" customWidth="1"/>
    <col min="59" max="59" width="8.42578125" style="1" bestFit="1" customWidth="1"/>
    <col min="60" max="60" width="7.7109375" style="1" bestFit="1" customWidth="1"/>
    <col min="61" max="61" width="7.85546875" style="1" bestFit="1" customWidth="1"/>
    <col min="62" max="62" width="7.5703125" style="1" bestFit="1" customWidth="1"/>
    <col min="63" max="63" width="8.42578125" style="1" bestFit="1" customWidth="1"/>
    <col min="64" max="64" width="7.7109375" style="1" bestFit="1" customWidth="1"/>
    <col min="65" max="65" width="7.85546875" style="1" bestFit="1" customWidth="1"/>
    <col min="66" max="66" width="7.5703125" style="1" bestFit="1" customWidth="1"/>
    <col min="67" max="67" width="8.42578125" style="1" bestFit="1" customWidth="1"/>
    <col min="68" max="68" width="7.7109375" style="1" bestFit="1" customWidth="1"/>
    <col min="69" max="69" width="7.85546875" style="1" bestFit="1" customWidth="1"/>
    <col min="70" max="70" width="7.5703125" style="1" bestFit="1" customWidth="1"/>
    <col min="71" max="71" width="8.42578125" style="1" bestFit="1" customWidth="1"/>
    <col min="72" max="72" width="7.7109375" style="1" bestFit="1" customWidth="1"/>
    <col min="73" max="73" width="7.85546875" style="1" bestFit="1" customWidth="1"/>
    <col min="74" max="74" width="7.28515625" style="1" bestFit="1" customWidth="1"/>
    <col min="75" max="75" width="8.42578125" style="1" bestFit="1" customWidth="1"/>
    <col min="76" max="76" width="7.7109375" style="1" bestFit="1" customWidth="1"/>
    <col min="77" max="77" width="7.85546875" style="1" bestFit="1" customWidth="1"/>
    <col min="78" max="78" width="7.28515625" style="1" bestFit="1" customWidth="1"/>
    <col min="79" max="79" width="8.42578125" style="1" bestFit="1" customWidth="1"/>
    <col min="80" max="80" width="7.7109375" style="1" bestFit="1" customWidth="1"/>
    <col min="81" max="81" width="7.85546875" style="1" bestFit="1" customWidth="1"/>
    <col min="82" max="82" width="7.28515625" style="1" bestFit="1" customWidth="1"/>
    <col min="83" max="83" width="8.42578125" style="1" bestFit="1" customWidth="1"/>
    <col min="84" max="84" width="7.7109375" style="1" bestFit="1" customWidth="1"/>
    <col min="85" max="85" width="7.85546875" style="1" bestFit="1" customWidth="1"/>
    <col min="86" max="86" width="7.28515625" style="1" bestFit="1" customWidth="1"/>
    <col min="87" max="87" width="8.42578125" style="1" bestFit="1" customWidth="1"/>
    <col min="88" max="88" width="7.7109375" style="1" bestFit="1" customWidth="1"/>
    <col min="89" max="89" width="7.85546875" style="1" bestFit="1" customWidth="1"/>
    <col min="90" max="90" width="7.28515625" style="1" bestFit="1" customWidth="1"/>
    <col min="91" max="91" width="8.42578125" style="1" bestFit="1" customWidth="1"/>
    <col min="92" max="92" width="7.7109375" style="1" bestFit="1" customWidth="1"/>
    <col min="93" max="93" width="7.85546875" style="1" bestFit="1" customWidth="1"/>
    <col min="94" max="94" width="7.28515625" style="1" bestFit="1" customWidth="1"/>
    <col min="95" max="95" width="8.42578125" style="1" bestFit="1" customWidth="1"/>
    <col min="96" max="96" width="7.7109375" style="1" bestFit="1" customWidth="1"/>
    <col min="97" max="97" width="7.85546875" style="1" bestFit="1" customWidth="1"/>
    <col min="98" max="98" width="7.28515625" style="1" bestFit="1" customWidth="1"/>
    <col min="99" max="99" width="8.42578125" style="1" bestFit="1" customWidth="1"/>
    <col min="100" max="100" width="7.7109375" style="1" bestFit="1" customWidth="1"/>
    <col min="101" max="101" width="7.85546875" style="1" bestFit="1" customWidth="1"/>
    <col min="102" max="102" width="7.28515625" style="1" bestFit="1" customWidth="1"/>
    <col min="103" max="103" width="8.42578125" style="1" bestFit="1" customWidth="1"/>
    <col min="104" max="104" width="7.7109375" style="1" bestFit="1" customWidth="1"/>
    <col min="105" max="105" width="7.85546875" style="1" bestFit="1" customWidth="1"/>
    <col min="106" max="106" width="7.28515625" style="1" bestFit="1" customWidth="1"/>
    <col min="107" max="107" width="8.42578125" style="1" bestFit="1" customWidth="1"/>
    <col min="108" max="108" width="7.7109375" style="1" bestFit="1" customWidth="1"/>
    <col min="109" max="109" width="7.85546875" style="1" bestFit="1" customWidth="1"/>
    <col min="110" max="110" width="7.28515625" style="1" bestFit="1" customWidth="1"/>
    <col min="111" max="111" width="8.42578125" style="1" bestFit="1" customWidth="1"/>
    <col min="112" max="112" width="7.7109375" style="1" bestFit="1" customWidth="1"/>
    <col min="113" max="113" width="7.85546875" style="1" bestFit="1" customWidth="1"/>
    <col min="114" max="114" width="7.28515625" style="1" bestFit="1" customWidth="1"/>
    <col min="115" max="115" width="8.42578125" style="1" bestFit="1" customWidth="1"/>
    <col min="116" max="116" width="7.7109375" style="1" bestFit="1" customWidth="1"/>
    <col min="117" max="117" width="7.85546875" style="1" bestFit="1" customWidth="1"/>
    <col min="118" max="118" width="7.28515625" style="1" bestFit="1" customWidth="1"/>
    <col min="119" max="119" width="8.42578125" style="1" bestFit="1" customWidth="1"/>
    <col min="120" max="120" width="7.7109375" style="1" bestFit="1" customWidth="1"/>
    <col min="121" max="121" width="7.85546875" style="1" bestFit="1" customWidth="1"/>
    <col min="122" max="122" width="7.28515625" style="1" bestFit="1" customWidth="1"/>
    <col min="123" max="123" width="6.85546875" style="1" bestFit="1" customWidth="1"/>
    <col min="124" max="124" width="8.5703125" style="1" bestFit="1" customWidth="1"/>
    <col min="125" max="125" width="9.140625" style="1" bestFit="1" customWidth="1"/>
    <col min="126" max="126" width="6.140625" style="1" bestFit="1" customWidth="1"/>
    <col min="127" max="127" width="15.7109375" style="1" bestFit="1" customWidth="1"/>
    <col min="128" max="128" width="6.85546875" style="1" bestFit="1" customWidth="1"/>
    <col min="129" max="190" width="9" style="1" customWidth="1"/>
  </cols>
  <sheetData>
    <row r="1" spans="1:191" x14ac:dyDescent="0.25">
      <c r="B1" s="1">
        <v>110</v>
      </c>
      <c r="C1" s="1">
        <v>111</v>
      </c>
      <c r="D1" s="1">
        <v>112</v>
      </c>
      <c r="E1" s="1">
        <v>113</v>
      </c>
      <c r="F1" s="1">
        <v>114</v>
      </c>
      <c r="G1" s="1">
        <v>115</v>
      </c>
      <c r="H1" s="1">
        <v>116</v>
      </c>
      <c r="I1" s="1">
        <v>117</v>
      </c>
      <c r="J1" s="1">
        <v>118</v>
      </c>
      <c r="K1" s="1">
        <v>119</v>
      </c>
      <c r="L1" s="1">
        <v>120</v>
      </c>
      <c r="M1" s="1">
        <v>121</v>
      </c>
      <c r="N1" s="1">
        <v>122</v>
      </c>
      <c r="O1" s="1">
        <v>123</v>
      </c>
      <c r="P1" s="1">
        <v>124</v>
      </c>
      <c r="Q1" s="1">
        <v>125</v>
      </c>
      <c r="R1" s="1">
        <v>126</v>
      </c>
      <c r="S1" s="1">
        <v>127</v>
      </c>
      <c r="T1" s="1">
        <v>128</v>
      </c>
      <c r="U1" s="1">
        <v>129</v>
      </c>
      <c r="V1" s="1">
        <v>130</v>
      </c>
      <c r="W1" s="1">
        <v>131</v>
      </c>
      <c r="X1" s="1">
        <v>132</v>
      </c>
      <c r="Y1" s="1">
        <v>133</v>
      </c>
      <c r="Z1" s="1">
        <v>134</v>
      </c>
      <c r="AA1" s="1">
        <v>135</v>
      </c>
      <c r="AB1" s="1">
        <v>136</v>
      </c>
      <c r="AC1" s="1">
        <v>137</v>
      </c>
      <c r="AD1" s="1">
        <v>138</v>
      </c>
      <c r="AE1" s="1">
        <v>139</v>
      </c>
      <c r="AF1" s="1">
        <v>140</v>
      </c>
      <c r="AG1" s="1">
        <v>141</v>
      </c>
      <c r="AH1" s="1">
        <v>142</v>
      </c>
      <c r="AI1" s="1">
        <v>143</v>
      </c>
      <c r="AJ1" s="1">
        <v>144</v>
      </c>
      <c r="AK1" s="1">
        <v>145</v>
      </c>
      <c r="AL1" s="1">
        <v>146</v>
      </c>
      <c r="AM1" s="1">
        <v>147</v>
      </c>
      <c r="AN1" s="1">
        <v>148</v>
      </c>
      <c r="AO1" s="1">
        <v>149</v>
      </c>
      <c r="AP1" s="1">
        <v>150</v>
      </c>
      <c r="AQ1" s="1">
        <v>151</v>
      </c>
      <c r="AR1" s="1">
        <v>152</v>
      </c>
      <c r="AS1" s="1">
        <v>153</v>
      </c>
      <c r="AT1" s="1">
        <v>154</v>
      </c>
      <c r="AU1" s="1">
        <v>155</v>
      </c>
      <c r="AV1" s="1">
        <v>156</v>
      </c>
      <c r="AW1" s="1">
        <v>157</v>
      </c>
      <c r="AX1" s="1">
        <v>158</v>
      </c>
      <c r="AY1" s="1">
        <v>159</v>
      </c>
      <c r="AZ1" s="1">
        <v>160</v>
      </c>
      <c r="BA1" s="1">
        <v>161</v>
      </c>
      <c r="BB1" s="1">
        <v>162</v>
      </c>
      <c r="BC1" s="1">
        <v>163</v>
      </c>
      <c r="BD1" s="1">
        <v>164</v>
      </c>
      <c r="BE1" s="1">
        <v>165</v>
      </c>
      <c r="BF1" s="1">
        <v>166</v>
      </c>
      <c r="BG1" s="1">
        <v>167</v>
      </c>
      <c r="BH1" s="1">
        <v>168</v>
      </c>
      <c r="BI1" s="1">
        <v>169</v>
      </c>
      <c r="BJ1" s="1">
        <v>170</v>
      </c>
      <c r="BK1" s="1">
        <v>171</v>
      </c>
      <c r="BL1" s="1">
        <v>172</v>
      </c>
      <c r="BM1" s="1">
        <v>173</v>
      </c>
      <c r="BN1" s="1">
        <v>174</v>
      </c>
      <c r="BO1" s="1">
        <v>175</v>
      </c>
      <c r="BP1" s="1">
        <v>176</v>
      </c>
      <c r="BQ1" s="1">
        <v>177</v>
      </c>
      <c r="BR1" s="1">
        <v>178</v>
      </c>
      <c r="BS1" s="1">
        <v>179</v>
      </c>
      <c r="BT1" s="1">
        <v>180</v>
      </c>
      <c r="BU1" s="1">
        <v>181</v>
      </c>
      <c r="BV1" s="1">
        <v>182</v>
      </c>
      <c r="BW1" s="1">
        <v>183</v>
      </c>
      <c r="BX1" s="1">
        <v>184</v>
      </c>
      <c r="BY1" s="1">
        <v>185</v>
      </c>
      <c r="BZ1" s="1">
        <v>186</v>
      </c>
      <c r="CA1" s="1">
        <v>187</v>
      </c>
      <c r="CB1" s="1">
        <v>188</v>
      </c>
      <c r="CC1" s="1">
        <v>189</v>
      </c>
      <c r="CD1" s="1">
        <v>190</v>
      </c>
      <c r="CE1" s="1">
        <v>191</v>
      </c>
      <c r="CF1" s="1">
        <v>192</v>
      </c>
      <c r="CG1" s="1">
        <v>193</v>
      </c>
      <c r="CH1" s="1">
        <v>194</v>
      </c>
      <c r="CI1" s="1">
        <v>195</v>
      </c>
      <c r="CJ1" s="1">
        <v>196</v>
      </c>
      <c r="CK1" s="1">
        <v>197</v>
      </c>
      <c r="CL1" s="1">
        <v>198</v>
      </c>
      <c r="CM1" s="1">
        <v>199</v>
      </c>
      <c r="CN1" s="1">
        <v>200</v>
      </c>
      <c r="CO1" s="1">
        <v>201</v>
      </c>
      <c r="CP1" s="1">
        <v>202</v>
      </c>
      <c r="CQ1" s="1">
        <v>203</v>
      </c>
      <c r="CR1" s="1">
        <v>204</v>
      </c>
      <c r="CS1" s="1">
        <v>205</v>
      </c>
      <c r="CT1" s="1">
        <v>206</v>
      </c>
      <c r="CU1" s="1">
        <v>207</v>
      </c>
      <c r="CV1" s="1">
        <v>208</v>
      </c>
      <c r="CW1" s="1">
        <v>209</v>
      </c>
      <c r="CX1" s="1">
        <v>210</v>
      </c>
      <c r="CY1" s="1">
        <v>211</v>
      </c>
      <c r="CZ1" s="1">
        <v>212</v>
      </c>
      <c r="DA1" s="1">
        <v>213</v>
      </c>
      <c r="DB1" s="1">
        <v>214</v>
      </c>
      <c r="DC1" s="1">
        <v>215</v>
      </c>
      <c r="DD1" s="1">
        <v>216</v>
      </c>
      <c r="DE1" s="1">
        <v>217</v>
      </c>
      <c r="DF1" s="1">
        <v>218</v>
      </c>
      <c r="DG1" s="1">
        <v>219</v>
      </c>
      <c r="DH1" s="1">
        <v>220</v>
      </c>
      <c r="DI1" s="1">
        <v>221</v>
      </c>
      <c r="DJ1" s="1">
        <v>222</v>
      </c>
      <c r="DK1" s="1">
        <v>223</v>
      </c>
      <c r="DL1" s="1">
        <v>224</v>
      </c>
      <c r="DM1" s="1">
        <v>225</v>
      </c>
      <c r="DN1" s="1">
        <v>226</v>
      </c>
      <c r="DO1" s="1">
        <v>227</v>
      </c>
      <c r="DP1" s="1">
        <v>228</v>
      </c>
      <c r="DQ1" s="1">
        <v>229</v>
      </c>
      <c r="DR1" s="1">
        <v>230</v>
      </c>
    </row>
    <row r="2" spans="1:191" x14ac:dyDescent="0.25">
      <c r="A2" s="3" t="s">
        <v>1</v>
      </c>
      <c r="B2" s="7">
        <v>37986</v>
      </c>
      <c r="C2" s="7">
        <v>38077</v>
      </c>
      <c r="D2" s="7">
        <v>38168</v>
      </c>
      <c r="E2" s="7">
        <v>38260</v>
      </c>
      <c r="F2" s="7">
        <v>38352</v>
      </c>
      <c r="G2" s="7">
        <v>38442</v>
      </c>
      <c r="H2" s="7">
        <v>38533</v>
      </c>
      <c r="I2" s="7">
        <v>38625</v>
      </c>
      <c r="J2" s="7">
        <v>38717</v>
      </c>
      <c r="K2" s="7">
        <v>38807</v>
      </c>
      <c r="L2" s="7">
        <v>38898</v>
      </c>
      <c r="M2" s="7">
        <v>38990</v>
      </c>
      <c r="N2" s="7">
        <v>39082</v>
      </c>
      <c r="O2" s="7">
        <v>39172</v>
      </c>
      <c r="P2" s="7">
        <v>39263</v>
      </c>
      <c r="Q2" s="7">
        <v>39355</v>
      </c>
      <c r="R2" s="7">
        <v>39447</v>
      </c>
      <c r="S2" s="7">
        <v>39538</v>
      </c>
      <c r="T2" s="7">
        <v>39629</v>
      </c>
      <c r="U2" s="7">
        <v>39721</v>
      </c>
      <c r="V2" s="7">
        <v>39813</v>
      </c>
      <c r="W2" s="7">
        <v>39903</v>
      </c>
      <c r="X2" s="7">
        <v>39994</v>
      </c>
      <c r="Y2" s="7">
        <v>40086</v>
      </c>
      <c r="Z2" s="7">
        <v>40178</v>
      </c>
      <c r="AA2" s="7">
        <v>40268</v>
      </c>
      <c r="AB2" s="7">
        <v>40359</v>
      </c>
      <c r="AC2" s="7">
        <v>40451</v>
      </c>
      <c r="AD2" s="7">
        <v>40543</v>
      </c>
      <c r="AE2" s="7">
        <v>40633</v>
      </c>
      <c r="AF2" s="7">
        <v>40724</v>
      </c>
      <c r="AG2" s="7">
        <v>40816</v>
      </c>
      <c r="AH2" s="7">
        <v>40908</v>
      </c>
      <c r="AI2" s="7">
        <v>40999</v>
      </c>
      <c r="AJ2" s="7">
        <v>41090</v>
      </c>
      <c r="AK2" s="7">
        <v>41182</v>
      </c>
      <c r="AL2" s="7">
        <v>41274</v>
      </c>
      <c r="AM2" s="7">
        <v>41364</v>
      </c>
      <c r="AN2" s="7">
        <v>41455</v>
      </c>
      <c r="AO2" s="7">
        <v>41547</v>
      </c>
      <c r="AP2" s="7">
        <v>41639</v>
      </c>
      <c r="AQ2" s="7">
        <v>41729</v>
      </c>
      <c r="AR2" s="7">
        <v>41820</v>
      </c>
      <c r="AS2" s="7">
        <v>41912</v>
      </c>
      <c r="AT2" s="7">
        <v>42004</v>
      </c>
      <c r="AU2" s="7">
        <v>42094</v>
      </c>
      <c r="AV2" s="7">
        <v>42185</v>
      </c>
      <c r="AW2" s="7">
        <v>42277</v>
      </c>
      <c r="AX2" s="7">
        <v>42369</v>
      </c>
      <c r="AY2" s="7">
        <v>42460</v>
      </c>
      <c r="AZ2" s="7">
        <v>42551</v>
      </c>
      <c r="BA2" s="7">
        <v>42643</v>
      </c>
      <c r="BB2" s="7">
        <v>42735</v>
      </c>
      <c r="BC2" s="7">
        <v>42825</v>
      </c>
      <c r="BD2" s="7">
        <v>42916</v>
      </c>
      <c r="BE2" s="7">
        <v>43008</v>
      </c>
      <c r="BF2" s="7">
        <v>43100</v>
      </c>
      <c r="BG2" s="7">
        <v>43190</v>
      </c>
      <c r="BH2" s="7">
        <v>43281</v>
      </c>
      <c r="BI2" s="7">
        <v>43373</v>
      </c>
      <c r="BJ2" s="7">
        <v>43465</v>
      </c>
      <c r="BK2" s="7">
        <v>43555</v>
      </c>
      <c r="BL2" s="7">
        <v>43646</v>
      </c>
      <c r="BM2" s="7">
        <v>43738</v>
      </c>
      <c r="BN2" s="7">
        <v>43830</v>
      </c>
      <c r="BO2" s="7">
        <v>43921</v>
      </c>
      <c r="BP2" s="7">
        <v>44012</v>
      </c>
      <c r="BQ2" s="7">
        <v>44104</v>
      </c>
      <c r="BR2" s="7">
        <v>44196</v>
      </c>
      <c r="BS2" s="7">
        <v>44286</v>
      </c>
      <c r="BT2" s="7">
        <v>44377</v>
      </c>
      <c r="BU2" s="7">
        <v>44469</v>
      </c>
      <c r="BV2" s="7">
        <v>44561</v>
      </c>
      <c r="BW2" s="7">
        <v>44651</v>
      </c>
      <c r="BX2" s="7">
        <v>44742</v>
      </c>
      <c r="BY2" s="7">
        <v>44834</v>
      </c>
      <c r="BZ2" s="7">
        <v>44926</v>
      </c>
      <c r="CA2" s="7">
        <v>45016</v>
      </c>
      <c r="CB2" s="7">
        <v>45107</v>
      </c>
      <c r="CC2" s="7">
        <v>45199</v>
      </c>
      <c r="CD2" s="7">
        <v>45291</v>
      </c>
      <c r="CE2" s="7">
        <v>45382</v>
      </c>
      <c r="CF2" s="7">
        <v>45473</v>
      </c>
      <c r="CG2" s="7">
        <v>45565</v>
      </c>
      <c r="CH2" s="7">
        <v>45657</v>
      </c>
      <c r="CI2" s="7">
        <v>45747</v>
      </c>
      <c r="CJ2" s="7">
        <v>45838</v>
      </c>
      <c r="CK2" s="7">
        <v>45930</v>
      </c>
      <c r="CL2" s="7">
        <v>46022</v>
      </c>
      <c r="CM2" s="7">
        <v>46112</v>
      </c>
      <c r="CN2" s="7">
        <v>46203</v>
      </c>
      <c r="CO2" s="7">
        <v>46295</v>
      </c>
      <c r="CP2" s="7">
        <v>46387</v>
      </c>
      <c r="CQ2" s="7">
        <v>46477</v>
      </c>
      <c r="CR2" s="7">
        <v>46568</v>
      </c>
      <c r="CS2" s="7">
        <v>46660</v>
      </c>
      <c r="CT2" s="7">
        <v>46752</v>
      </c>
      <c r="CU2" s="7">
        <v>46843</v>
      </c>
      <c r="CV2" s="7">
        <v>46934</v>
      </c>
      <c r="CW2" s="7">
        <v>47026</v>
      </c>
      <c r="CX2" s="7">
        <v>47118</v>
      </c>
      <c r="CY2" s="7">
        <v>47208</v>
      </c>
      <c r="CZ2" s="7">
        <v>47299</v>
      </c>
      <c r="DA2" s="7">
        <v>47391</v>
      </c>
      <c r="DB2" s="7">
        <v>47483</v>
      </c>
      <c r="DC2" s="7">
        <v>47573</v>
      </c>
      <c r="DD2" s="7">
        <v>47664</v>
      </c>
      <c r="DE2" s="7">
        <v>47756</v>
      </c>
      <c r="DF2" s="7">
        <v>47848</v>
      </c>
      <c r="DG2" s="7">
        <v>47938</v>
      </c>
      <c r="DH2" s="7">
        <v>48029</v>
      </c>
      <c r="DI2" s="7">
        <v>48121</v>
      </c>
      <c r="DJ2" s="7">
        <v>48213</v>
      </c>
      <c r="DK2" s="7">
        <v>48304</v>
      </c>
      <c r="DL2" s="7">
        <v>48395</v>
      </c>
      <c r="DM2" s="7">
        <v>48487</v>
      </c>
      <c r="DN2" s="7">
        <v>48579</v>
      </c>
      <c r="DO2" s="7">
        <v>48669</v>
      </c>
      <c r="DP2" s="7">
        <v>48760</v>
      </c>
      <c r="DQ2" s="7">
        <v>48852</v>
      </c>
      <c r="DR2" s="7">
        <v>48944</v>
      </c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</row>
    <row r="3" spans="1:191" x14ac:dyDescent="0.25">
      <c r="A3" s="4">
        <v>1</v>
      </c>
      <c r="B3" s="1">
        <v>702254.78300092812</v>
      </c>
      <c r="C3" s="1">
        <v>717951.5974396267</v>
      </c>
      <c r="D3" s="1">
        <v>727793.40546021296</v>
      </c>
      <c r="E3" s="1">
        <v>733343.75984568195</v>
      </c>
      <c r="F3" s="1">
        <v>739476.24789603939</v>
      </c>
      <c r="G3" s="1">
        <v>752566.44713075447</v>
      </c>
      <c r="H3" s="1">
        <v>787598.00197934557</v>
      </c>
      <c r="I3" s="1">
        <v>795145.04713517381</v>
      </c>
      <c r="J3" s="1">
        <v>793661.92146250873</v>
      </c>
      <c r="K3" s="1">
        <v>807335.55373947578</v>
      </c>
      <c r="L3" s="1">
        <v>820865.80534776486</v>
      </c>
      <c r="M3" s="1">
        <v>818215.47931296774</v>
      </c>
      <c r="N3" s="1">
        <v>831316.05312394665</v>
      </c>
      <c r="O3" s="1">
        <v>860210.45594564988</v>
      </c>
      <c r="P3" s="1">
        <v>876178.14469305705</v>
      </c>
      <c r="Q3" s="1">
        <v>888855.5235664465</v>
      </c>
      <c r="R3" s="1">
        <v>880019.39741640724</v>
      </c>
      <c r="S3" s="1">
        <v>883721.30564085627</v>
      </c>
      <c r="T3" s="1">
        <v>892779.6613163841</v>
      </c>
      <c r="U3" s="1">
        <v>865790.45314014214</v>
      </c>
      <c r="V3" s="1">
        <v>825682.52704202489</v>
      </c>
      <c r="W3" s="1">
        <v>805104.70993525884</v>
      </c>
      <c r="X3" s="1">
        <v>794302.71735603758</v>
      </c>
      <c r="Y3" s="1">
        <v>793756.45985189965</v>
      </c>
      <c r="Z3" s="1">
        <v>791353.07209743944</v>
      </c>
      <c r="AA3" s="1">
        <v>783787.48009194783</v>
      </c>
      <c r="AB3" s="1">
        <v>796396.43646798609</v>
      </c>
      <c r="AC3" s="1">
        <v>791588.53009483987</v>
      </c>
      <c r="AD3" s="1">
        <v>778062.24050776707</v>
      </c>
      <c r="AE3" s="1">
        <v>791699.48357287119</v>
      </c>
      <c r="AF3" s="1">
        <v>798268.69265772006</v>
      </c>
      <c r="AG3" s="1">
        <v>786200.10517047544</v>
      </c>
      <c r="AH3" s="1">
        <v>768025.54323264491</v>
      </c>
      <c r="AI3" s="1">
        <v>743539.22195689043</v>
      </c>
      <c r="AJ3" s="1">
        <v>726478.35094890208</v>
      </c>
      <c r="AK3" s="1">
        <v>713352.00341489585</v>
      </c>
      <c r="AL3" s="1">
        <v>693130.91113462707</v>
      </c>
      <c r="AM3" s="1">
        <v>695196.19304361462</v>
      </c>
      <c r="AN3" s="1">
        <v>722328.55781703035</v>
      </c>
      <c r="AO3" s="1">
        <v>712071.67673414154</v>
      </c>
      <c r="AP3" s="1">
        <v>707883.29175788036</v>
      </c>
      <c r="AQ3" s="1">
        <v>709161.33447655942</v>
      </c>
      <c r="AR3" s="1">
        <v>726374.19039991905</v>
      </c>
      <c r="AS3" s="1">
        <v>707543.76551283104</v>
      </c>
      <c r="AT3" s="1">
        <v>699663.59744575119</v>
      </c>
      <c r="AU3" s="1">
        <v>712778.33942989493</v>
      </c>
      <c r="AV3" s="1">
        <v>730264.0473944078</v>
      </c>
      <c r="AW3" s="1">
        <v>743193.83780156984</v>
      </c>
      <c r="AX3" s="1">
        <v>738445.63319716661</v>
      </c>
      <c r="AY3" s="1">
        <v>743549.26440009358</v>
      </c>
      <c r="AZ3" s="1">
        <v>762167.81556718773</v>
      </c>
      <c r="BA3" s="1">
        <v>750779.06888809172</v>
      </c>
      <c r="BB3" s="1">
        <v>766102.99709535867</v>
      </c>
      <c r="BC3" s="1">
        <v>785489.6064108843</v>
      </c>
      <c r="BD3" s="1">
        <v>780026.8282982388</v>
      </c>
      <c r="BE3" s="1">
        <v>790812.4858205358</v>
      </c>
      <c r="BF3" s="1">
        <v>795145.15539265377</v>
      </c>
      <c r="BG3" s="1">
        <v>784611.13741861167</v>
      </c>
      <c r="BH3" s="1">
        <v>810407.82607923285</v>
      </c>
      <c r="BI3" s="1">
        <v>817602.87054748868</v>
      </c>
      <c r="BJ3" s="1">
        <v>823501.87929795112</v>
      </c>
      <c r="BK3" s="1">
        <v>844324.44193811342</v>
      </c>
      <c r="BL3" s="1">
        <v>838068.13223484776</v>
      </c>
      <c r="BM3" s="1">
        <v>823812.06464221724</v>
      </c>
      <c r="BN3" s="1">
        <v>811878.75787944009</v>
      </c>
      <c r="BO3" s="1">
        <v>801914.3665095889</v>
      </c>
      <c r="BP3" s="1">
        <v>776603.30215105729</v>
      </c>
      <c r="BQ3" s="1">
        <v>796073.60159754753</v>
      </c>
      <c r="BR3" s="1">
        <v>808632.85543661425</v>
      </c>
      <c r="BS3" s="1" t="s">
        <v>10</v>
      </c>
      <c r="BT3" s="1" t="s">
        <v>10</v>
      </c>
      <c r="BU3" s="1" t="s">
        <v>10</v>
      </c>
      <c r="BV3" s="1" t="s">
        <v>10</v>
      </c>
      <c r="BW3" s="1" t="s">
        <v>10</v>
      </c>
      <c r="BX3" s="1" t="s">
        <v>10</v>
      </c>
      <c r="BY3" s="1" t="s">
        <v>10</v>
      </c>
      <c r="BZ3" s="1" t="s">
        <v>10</v>
      </c>
      <c r="CA3" s="1" t="s">
        <v>10</v>
      </c>
      <c r="CB3" s="1" t="s">
        <v>10</v>
      </c>
      <c r="CC3" s="1" t="s">
        <v>10</v>
      </c>
      <c r="CD3" s="1" t="s">
        <v>10</v>
      </c>
      <c r="CE3" s="1" t="s">
        <v>10</v>
      </c>
      <c r="CF3" s="1" t="s">
        <v>10</v>
      </c>
      <c r="CG3" s="1" t="s">
        <v>10</v>
      </c>
      <c r="CH3" s="1" t="s">
        <v>10</v>
      </c>
      <c r="CI3" s="1" t="s">
        <v>10</v>
      </c>
      <c r="CJ3" s="1" t="s">
        <v>10</v>
      </c>
      <c r="CK3" s="1" t="s">
        <v>10</v>
      </c>
      <c r="CL3" s="1" t="s">
        <v>10</v>
      </c>
      <c r="CM3" s="1" t="s">
        <v>10</v>
      </c>
      <c r="CN3" s="1" t="s">
        <v>10</v>
      </c>
      <c r="CO3" s="1" t="s">
        <v>10</v>
      </c>
      <c r="CP3" s="1" t="s">
        <v>10</v>
      </c>
      <c r="CQ3" s="1" t="s">
        <v>10</v>
      </c>
      <c r="CR3" s="1" t="s">
        <v>10</v>
      </c>
      <c r="CS3" s="1" t="s">
        <v>10</v>
      </c>
      <c r="CT3" s="1" t="s">
        <v>10</v>
      </c>
      <c r="CU3" s="1" t="s">
        <v>10</v>
      </c>
      <c r="CV3" s="1" t="s">
        <v>10</v>
      </c>
      <c r="CW3" s="1" t="s">
        <v>10</v>
      </c>
      <c r="CX3" s="1" t="s">
        <v>10</v>
      </c>
      <c r="CY3" s="1" t="s">
        <v>10</v>
      </c>
      <c r="CZ3" s="1" t="s">
        <v>10</v>
      </c>
      <c r="DA3" s="1" t="s">
        <v>10</v>
      </c>
      <c r="DB3" s="1" t="s">
        <v>10</v>
      </c>
      <c r="DC3" s="1" t="s">
        <v>10</v>
      </c>
      <c r="DD3" s="1" t="s">
        <v>10</v>
      </c>
      <c r="DE3" s="1" t="s">
        <v>10</v>
      </c>
      <c r="DF3" s="1" t="s">
        <v>10</v>
      </c>
      <c r="DG3" s="1" t="s">
        <v>10</v>
      </c>
      <c r="DH3" s="1" t="s">
        <v>10</v>
      </c>
      <c r="DI3" s="1" t="s">
        <v>10</v>
      </c>
      <c r="DJ3" s="1" t="s">
        <v>10</v>
      </c>
      <c r="DK3" s="1" t="s">
        <v>10</v>
      </c>
      <c r="DL3" s="1" t="s">
        <v>10</v>
      </c>
      <c r="DM3" s="1" t="s">
        <v>10</v>
      </c>
      <c r="DN3" s="1" t="s">
        <v>10</v>
      </c>
      <c r="DO3" s="1" t="s">
        <v>10</v>
      </c>
      <c r="DP3" s="1" t="s">
        <v>10</v>
      </c>
      <c r="DQ3" s="1" t="s">
        <v>10</v>
      </c>
      <c r="DR3" s="1" t="s">
        <v>10</v>
      </c>
      <c r="GI3" s="1"/>
    </row>
    <row r="4" spans="1:191" x14ac:dyDescent="0.25">
      <c r="A4" s="4">
        <v>2</v>
      </c>
      <c r="B4" s="1">
        <v>713884.84684527165</v>
      </c>
      <c r="C4" s="1">
        <v>733425.21333768545</v>
      </c>
      <c r="D4" s="1">
        <v>726571.92961023364</v>
      </c>
      <c r="E4" s="1">
        <v>733918.40090422798</v>
      </c>
      <c r="F4" s="1">
        <v>748198.96944877587</v>
      </c>
      <c r="G4" s="1">
        <v>771283.68816255801</v>
      </c>
      <c r="H4" s="1">
        <v>791639.29097368545</v>
      </c>
      <c r="I4" s="1">
        <v>798244.90245056152</v>
      </c>
      <c r="J4" s="1">
        <v>812007.86063654278</v>
      </c>
      <c r="K4" s="1">
        <v>825757.73216912639</v>
      </c>
      <c r="L4" s="1">
        <v>822089.91869413597</v>
      </c>
      <c r="M4" s="1">
        <v>819307.7708100637</v>
      </c>
      <c r="N4" s="1">
        <v>846613.0443767769</v>
      </c>
      <c r="O4" s="1">
        <v>880802.4154768798</v>
      </c>
      <c r="P4" s="1">
        <v>883102.31037840061</v>
      </c>
      <c r="Q4" s="1">
        <v>895254.22384524974</v>
      </c>
      <c r="R4" s="1">
        <v>895254.3905997274</v>
      </c>
      <c r="S4" s="1">
        <v>902517.50508540729</v>
      </c>
      <c r="T4" s="1">
        <v>893015.22469539172</v>
      </c>
      <c r="U4" s="1">
        <v>863545.96332416497</v>
      </c>
      <c r="V4" s="1">
        <v>825099.02505738731</v>
      </c>
      <c r="W4" s="1">
        <v>801834.54635867884</v>
      </c>
      <c r="X4" s="1">
        <v>774570.42960445734</v>
      </c>
      <c r="Y4" s="1">
        <v>781670.4825026032</v>
      </c>
      <c r="Z4" s="1">
        <v>791815.07670325669</v>
      </c>
      <c r="AA4" s="1">
        <v>793486.40863251488</v>
      </c>
      <c r="AB4" s="1">
        <v>787882.47963376413</v>
      </c>
      <c r="AC4" s="1">
        <v>779904.70325370599</v>
      </c>
      <c r="AD4" s="1">
        <v>781858.2638306272</v>
      </c>
      <c r="AE4" s="1">
        <v>802273.86687889346</v>
      </c>
      <c r="AF4" s="1">
        <v>790449.89909373666</v>
      </c>
      <c r="AG4" s="1">
        <v>780507.20164669468</v>
      </c>
      <c r="AH4" s="1">
        <v>770539.10515341582</v>
      </c>
      <c r="AI4" s="1">
        <v>746349.90613893978</v>
      </c>
      <c r="AJ4" s="1">
        <v>709125.93030229653</v>
      </c>
      <c r="AK4" s="1">
        <v>696177.60737830284</v>
      </c>
      <c r="AL4" s="1">
        <v>686618.68925730989</v>
      </c>
      <c r="AM4" s="1">
        <v>701181.23680534412</v>
      </c>
      <c r="AN4" s="1">
        <v>713565.32493334659</v>
      </c>
      <c r="AO4" s="1">
        <v>703312.2965971448</v>
      </c>
      <c r="AP4" s="1">
        <v>712610.90468511614</v>
      </c>
      <c r="AQ4" s="1">
        <v>717931.10569603031</v>
      </c>
      <c r="AR4" s="1">
        <v>719071.17303827405</v>
      </c>
      <c r="AS4" s="1">
        <v>696716.46688618104</v>
      </c>
      <c r="AT4" s="1">
        <v>703688.58682949864</v>
      </c>
      <c r="AU4" s="1">
        <v>721326.46660950943</v>
      </c>
      <c r="AV4" s="1">
        <v>724801.6292322767</v>
      </c>
      <c r="AW4" s="1">
        <v>739762.90106806147</v>
      </c>
      <c r="AX4" s="1">
        <v>749501.51770950854</v>
      </c>
      <c r="AY4" s="1">
        <v>756670.30025443702</v>
      </c>
      <c r="AZ4" s="1">
        <v>757252.45698955469</v>
      </c>
      <c r="BA4" s="1">
        <v>742922.7813035599</v>
      </c>
      <c r="BB4" s="1">
        <v>780360.30368852359</v>
      </c>
      <c r="BC4" s="1">
        <v>801742.55990080722</v>
      </c>
      <c r="BD4" s="1">
        <v>777128.79452838481</v>
      </c>
      <c r="BE4" s="1">
        <v>786242.86370165669</v>
      </c>
      <c r="BF4" s="1">
        <v>805310.21283909015</v>
      </c>
      <c r="BG4" s="1">
        <v>798540.98136524169</v>
      </c>
      <c r="BH4" s="1">
        <v>808920.18815751676</v>
      </c>
      <c r="BI4" s="1">
        <v>809873.22577394429</v>
      </c>
      <c r="BJ4" s="1">
        <v>837466.36921077617</v>
      </c>
      <c r="BK4" s="1">
        <v>866585.87848730478</v>
      </c>
      <c r="BL4" s="1">
        <v>836865.36804834951</v>
      </c>
      <c r="BM4" s="1">
        <v>811897.59809454717</v>
      </c>
      <c r="BN4" s="1">
        <v>815593.34091266303</v>
      </c>
      <c r="BO4" s="1">
        <v>811533.02817102219</v>
      </c>
      <c r="BP4" s="1">
        <v>767458.08236748714</v>
      </c>
      <c r="BQ4" s="1">
        <v>781260.81701393903</v>
      </c>
      <c r="BR4" s="1">
        <v>804594.8261302202</v>
      </c>
      <c r="BS4" s="1" t="s">
        <v>10</v>
      </c>
      <c r="BT4" s="1" t="s">
        <v>10</v>
      </c>
      <c r="BU4" s="1" t="s">
        <v>10</v>
      </c>
      <c r="BV4" s="1" t="s">
        <v>10</v>
      </c>
      <c r="BW4" s="1" t="s">
        <v>10</v>
      </c>
      <c r="BX4" s="1" t="s">
        <v>10</v>
      </c>
      <c r="BY4" s="1" t="s">
        <v>10</v>
      </c>
      <c r="BZ4" s="1" t="s">
        <v>10</v>
      </c>
      <c r="CA4" s="1" t="s">
        <v>10</v>
      </c>
      <c r="CB4" s="1" t="s">
        <v>10</v>
      </c>
      <c r="CC4" s="1" t="s">
        <v>10</v>
      </c>
      <c r="CD4" s="1" t="s">
        <v>10</v>
      </c>
      <c r="CE4" s="1" t="s">
        <v>10</v>
      </c>
      <c r="CF4" s="1" t="s">
        <v>10</v>
      </c>
      <c r="CG4" s="1" t="s">
        <v>10</v>
      </c>
      <c r="CH4" s="1" t="s">
        <v>10</v>
      </c>
      <c r="CI4" s="1" t="s">
        <v>10</v>
      </c>
      <c r="CJ4" s="1" t="s">
        <v>10</v>
      </c>
      <c r="CK4" s="1" t="s">
        <v>10</v>
      </c>
      <c r="CL4" s="1" t="s">
        <v>10</v>
      </c>
      <c r="CM4" s="1" t="s">
        <v>10</v>
      </c>
      <c r="CN4" s="1" t="s">
        <v>10</v>
      </c>
      <c r="CO4" s="1" t="s">
        <v>10</v>
      </c>
      <c r="CP4" s="1" t="s">
        <v>10</v>
      </c>
      <c r="CQ4" s="1" t="s">
        <v>10</v>
      </c>
      <c r="CR4" s="1" t="s">
        <v>10</v>
      </c>
      <c r="CS4" s="1" t="s">
        <v>10</v>
      </c>
      <c r="CT4" s="1" t="s">
        <v>10</v>
      </c>
      <c r="CU4" s="1" t="s">
        <v>10</v>
      </c>
      <c r="CV4" s="1" t="s">
        <v>10</v>
      </c>
      <c r="CW4" s="1" t="s">
        <v>10</v>
      </c>
      <c r="CX4" s="1" t="s">
        <v>10</v>
      </c>
      <c r="CY4" s="1" t="s">
        <v>10</v>
      </c>
      <c r="CZ4" s="1" t="s">
        <v>10</v>
      </c>
      <c r="DA4" s="1" t="s">
        <v>10</v>
      </c>
      <c r="DB4" s="1" t="s">
        <v>10</v>
      </c>
      <c r="DC4" s="1" t="s">
        <v>10</v>
      </c>
      <c r="DD4" s="1" t="s">
        <v>10</v>
      </c>
      <c r="DE4" s="1" t="s">
        <v>10</v>
      </c>
      <c r="DF4" s="1" t="s">
        <v>10</v>
      </c>
      <c r="DG4" s="1" t="s">
        <v>10</v>
      </c>
      <c r="DH4" s="1" t="s">
        <v>10</v>
      </c>
      <c r="DI4" s="1" t="s">
        <v>10</v>
      </c>
      <c r="DJ4" s="1" t="s">
        <v>10</v>
      </c>
      <c r="DK4" s="1" t="s">
        <v>10</v>
      </c>
      <c r="DL4" s="1" t="s">
        <v>10</v>
      </c>
      <c r="DM4" s="1" t="s">
        <v>10</v>
      </c>
      <c r="DN4" s="1" t="s">
        <v>10</v>
      </c>
      <c r="DO4" s="1" t="s">
        <v>10</v>
      </c>
      <c r="DP4" s="1" t="s">
        <v>10</v>
      </c>
      <c r="DQ4" s="1" t="s">
        <v>10</v>
      </c>
      <c r="DR4" s="1" t="s">
        <v>10</v>
      </c>
      <c r="GI4" s="1"/>
    </row>
    <row r="5" spans="1:191" x14ac:dyDescent="0.25">
      <c r="A5" s="5">
        <v>3</v>
      </c>
      <c r="B5" s="1">
        <v>728841.54865822813</v>
      </c>
      <c r="C5" s="1">
        <v>733118.49146261229</v>
      </c>
      <c r="D5" s="1">
        <v>726366.64898269158</v>
      </c>
      <c r="E5" s="1">
        <v>741650.84649553907</v>
      </c>
      <c r="F5" s="1">
        <v>766567.13886958687</v>
      </c>
      <c r="G5" s="1">
        <v>774347.83305780636</v>
      </c>
      <c r="H5" s="1">
        <v>795413.3212948828</v>
      </c>
      <c r="I5" s="1">
        <v>818709.65494468459</v>
      </c>
      <c r="J5" s="1">
        <v>831828.43423403648</v>
      </c>
      <c r="K5" s="1">
        <v>827238.21739975433</v>
      </c>
      <c r="L5" s="1">
        <v>824687.24499013927</v>
      </c>
      <c r="M5" s="1">
        <v>833710.65459506097</v>
      </c>
      <c r="N5" s="1">
        <v>865313.92855332117</v>
      </c>
      <c r="O5" s="1">
        <v>887559.52237425314</v>
      </c>
      <c r="P5" s="1">
        <v>890021.79691200715</v>
      </c>
      <c r="Q5" s="1">
        <v>911697.43838853098</v>
      </c>
      <c r="R5" s="1">
        <v>915580.59609112586</v>
      </c>
      <c r="S5" s="1">
        <v>903693.42790337279</v>
      </c>
      <c r="T5" s="1">
        <v>894297.35660793982</v>
      </c>
      <c r="U5" s="1">
        <v>872109.34607764427</v>
      </c>
      <c r="V5" s="1">
        <v>828479.64885642217</v>
      </c>
      <c r="W5" s="1">
        <v>784480.75629748288</v>
      </c>
      <c r="X5" s="1">
        <v>758890.92555927718</v>
      </c>
      <c r="Y5" s="1">
        <v>780613.63524555927</v>
      </c>
      <c r="Z5" s="1">
        <v>804070.23502329027</v>
      </c>
      <c r="AA5" s="1">
        <v>784637.26197476708</v>
      </c>
      <c r="AB5" s="1">
        <v>776469.11579335725</v>
      </c>
      <c r="AC5" s="1">
        <v>784482.28328614566</v>
      </c>
      <c r="AD5" s="1">
        <v>790846.80806782562</v>
      </c>
      <c r="AE5" s="1">
        <v>795498.78976261918</v>
      </c>
      <c r="AF5" s="1">
        <v>782670.41293730494</v>
      </c>
      <c r="AG5" s="1">
        <v>784089.87555327883</v>
      </c>
      <c r="AH5" s="1">
        <v>775567.98909287481</v>
      </c>
      <c r="AI5" s="1">
        <v>731575.33785060258</v>
      </c>
      <c r="AJ5" s="1">
        <v>691536.72295149206</v>
      </c>
      <c r="AK5" s="1">
        <v>690480.04653889081</v>
      </c>
      <c r="AL5" s="1">
        <v>691295.7197431993</v>
      </c>
      <c r="AM5" s="1">
        <v>688143.54082209687</v>
      </c>
      <c r="AN5" s="1">
        <v>701941.1671525382</v>
      </c>
      <c r="AO5" s="1">
        <v>707269.18610449997</v>
      </c>
      <c r="AP5" s="1">
        <v>719516.21902494598</v>
      </c>
      <c r="AQ5" s="1">
        <v>708863.49868131673</v>
      </c>
      <c r="AR5" s="1">
        <v>712389.70988306275</v>
      </c>
      <c r="AS5" s="1">
        <v>700507.73429395538</v>
      </c>
      <c r="AT5" s="1">
        <v>711157.38240592834</v>
      </c>
      <c r="AU5" s="1">
        <v>714249.48459636711</v>
      </c>
      <c r="AV5" s="1">
        <v>718166.58678495698</v>
      </c>
      <c r="AW5" s="1">
        <v>751363.05242148414</v>
      </c>
      <c r="AX5" s="1">
        <v>764403.63903153606</v>
      </c>
      <c r="AY5" s="1">
        <v>750530.73481087375</v>
      </c>
      <c r="AZ5" s="1">
        <v>751111.16396646062</v>
      </c>
      <c r="BA5" s="1">
        <v>752731.87001182023</v>
      </c>
      <c r="BB5" s="1">
        <v>795688.85708446149</v>
      </c>
      <c r="BC5" s="1">
        <v>802079.64913888625</v>
      </c>
      <c r="BD5" s="1">
        <v>768961.30604237539</v>
      </c>
      <c r="BE5" s="1">
        <v>792518.66270396544</v>
      </c>
      <c r="BF5" s="1">
        <v>822006.11946909735</v>
      </c>
      <c r="BG5" s="1">
        <v>796364.40699802875</v>
      </c>
      <c r="BH5" s="1">
        <v>802464.66698213224</v>
      </c>
      <c r="BI5" s="1">
        <v>820517.17077366158</v>
      </c>
      <c r="BJ5" s="1">
        <v>857578.78425862221</v>
      </c>
      <c r="BK5" s="1">
        <v>868622.43637714325</v>
      </c>
      <c r="BL5" s="1">
        <v>827238.59405602096</v>
      </c>
      <c r="BM5" s="1">
        <v>814544.13068840315</v>
      </c>
      <c r="BN5" s="1">
        <v>830002.77757319366</v>
      </c>
      <c r="BO5" s="1">
        <v>811395.98095154634</v>
      </c>
      <c r="BP5" s="1">
        <v>747260.4766969356</v>
      </c>
      <c r="BQ5" s="1">
        <v>775419.96802838624</v>
      </c>
      <c r="BR5" s="1">
        <v>822761.40284419991</v>
      </c>
      <c r="BS5" s="1" t="s">
        <v>10</v>
      </c>
      <c r="BT5" s="1" t="s">
        <v>10</v>
      </c>
      <c r="BU5" s="1" t="s">
        <v>10</v>
      </c>
      <c r="BV5" s="1" t="s">
        <v>10</v>
      </c>
      <c r="BW5" s="1" t="s">
        <v>10</v>
      </c>
      <c r="BX5" s="1" t="s">
        <v>10</v>
      </c>
      <c r="BY5" s="1" t="s">
        <v>10</v>
      </c>
      <c r="BZ5" s="1" t="s">
        <v>10</v>
      </c>
      <c r="CA5" s="1" t="s">
        <v>10</v>
      </c>
      <c r="CB5" s="1" t="s">
        <v>10</v>
      </c>
      <c r="CC5" s="1" t="s">
        <v>10</v>
      </c>
      <c r="CD5" s="1" t="s">
        <v>10</v>
      </c>
      <c r="CE5" s="1" t="s">
        <v>10</v>
      </c>
      <c r="CF5" s="1" t="s">
        <v>10</v>
      </c>
      <c r="CG5" s="1" t="s">
        <v>10</v>
      </c>
      <c r="CH5" s="1" t="s">
        <v>10</v>
      </c>
      <c r="CI5" s="1" t="s">
        <v>10</v>
      </c>
      <c r="CJ5" s="1" t="s">
        <v>10</v>
      </c>
      <c r="CK5" s="1" t="s">
        <v>10</v>
      </c>
      <c r="CL5" s="1" t="s">
        <v>10</v>
      </c>
      <c r="CM5" s="1" t="s">
        <v>10</v>
      </c>
      <c r="CN5" s="1" t="s">
        <v>10</v>
      </c>
      <c r="CO5" s="1" t="s">
        <v>10</v>
      </c>
      <c r="CP5" s="1" t="s">
        <v>10</v>
      </c>
      <c r="CQ5" s="1" t="s">
        <v>10</v>
      </c>
      <c r="CR5" s="1" t="s">
        <v>10</v>
      </c>
      <c r="CS5" s="1" t="s">
        <v>10</v>
      </c>
      <c r="CT5" s="1" t="s">
        <v>10</v>
      </c>
      <c r="CU5" s="1" t="s">
        <v>10</v>
      </c>
      <c r="CV5" s="1" t="s">
        <v>10</v>
      </c>
      <c r="CW5" s="1" t="s">
        <v>10</v>
      </c>
      <c r="CX5" s="1" t="s">
        <v>10</v>
      </c>
      <c r="CY5" s="1" t="s">
        <v>10</v>
      </c>
      <c r="CZ5" s="1" t="s">
        <v>10</v>
      </c>
      <c r="DA5" s="1" t="s">
        <v>10</v>
      </c>
      <c r="DB5" s="1" t="s">
        <v>10</v>
      </c>
      <c r="DC5" s="1" t="s">
        <v>10</v>
      </c>
      <c r="DD5" s="1" t="s">
        <v>10</v>
      </c>
      <c r="DE5" s="1" t="s">
        <v>10</v>
      </c>
      <c r="DF5" s="1" t="s">
        <v>10</v>
      </c>
      <c r="DG5" s="1" t="s">
        <v>10</v>
      </c>
      <c r="DH5" s="1" t="s">
        <v>10</v>
      </c>
      <c r="DI5" s="1" t="s">
        <v>10</v>
      </c>
      <c r="DJ5" s="1" t="s">
        <v>10</v>
      </c>
      <c r="DK5" s="1" t="s">
        <v>10</v>
      </c>
      <c r="DL5" s="1" t="s">
        <v>10</v>
      </c>
      <c r="DM5" s="1" t="s">
        <v>10</v>
      </c>
      <c r="DN5" s="1" t="s">
        <v>10</v>
      </c>
      <c r="DO5" s="1" t="s">
        <v>10</v>
      </c>
      <c r="DP5" s="1" t="s">
        <v>10</v>
      </c>
      <c r="DQ5" s="1" t="s">
        <v>10</v>
      </c>
      <c r="DR5" s="1" t="s">
        <v>10</v>
      </c>
      <c r="GI5" s="1"/>
    </row>
    <row r="6" spans="1:191" x14ac:dyDescent="0.25">
      <c r="A6" s="5">
        <v>4</v>
      </c>
      <c r="B6" s="1">
        <v>727721.11050215922</v>
      </c>
      <c r="C6" s="1">
        <v>734692.38787279453</v>
      </c>
      <c r="D6" s="1">
        <v>733400.88747622329</v>
      </c>
      <c r="E6" s="1">
        <v>760039.80993506941</v>
      </c>
      <c r="F6" s="1">
        <v>770960.63186467567</v>
      </c>
      <c r="G6" s="1">
        <v>774929.89771395572</v>
      </c>
      <c r="H6" s="1">
        <v>813762.37428122782</v>
      </c>
      <c r="I6" s="1">
        <v>839087.22156569385</v>
      </c>
      <c r="J6" s="1">
        <v>833195.73436385847</v>
      </c>
      <c r="K6" s="1">
        <v>829668.29559271061</v>
      </c>
      <c r="L6" s="1">
        <v>839657.26900883473</v>
      </c>
      <c r="M6" s="1">
        <v>851139.14700729761</v>
      </c>
      <c r="N6" s="1">
        <v>871438.07181036577</v>
      </c>
      <c r="O6" s="1">
        <v>894165.56512539193</v>
      </c>
      <c r="P6" s="1">
        <v>904381.05994641327</v>
      </c>
      <c r="Q6" s="1">
        <v>933267.14456829638</v>
      </c>
      <c r="R6" s="1">
        <v>918450.53246611031</v>
      </c>
      <c r="S6" s="1">
        <v>905427.47249184642</v>
      </c>
      <c r="T6" s="1">
        <v>905253.93114842416</v>
      </c>
      <c r="U6" s="1">
        <v>883520.84433885443</v>
      </c>
      <c r="V6" s="1">
        <v>815013.82946923561</v>
      </c>
      <c r="W6" s="1">
        <v>770607.75224977406</v>
      </c>
      <c r="X6" s="1">
        <v>755731.93146992964</v>
      </c>
      <c r="Y6" s="1">
        <v>790406.20625106525</v>
      </c>
      <c r="Z6" s="1">
        <v>796716.06871139386</v>
      </c>
      <c r="AA6" s="1">
        <v>773247.21589510387</v>
      </c>
      <c r="AB6" s="1">
        <v>779860.97962314822</v>
      </c>
      <c r="AC6" s="1">
        <v>789713.82993119466</v>
      </c>
      <c r="AD6" s="1">
        <v>782243.68804513291</v>
      </c>
      <c r="AE6" s="1">
        <v>788392.47659537848</v>
      </c>
      <c r="AF6" s="1">
        <v>786269.55633108481</v>
      </c>
      <c r="AG6" s="1">
        <v>793910.76599870739</v>
      </c>
      <c r="AH6" s="1">
        <v>768423.47543004341</v>
      </c>
      <c r="AI6" s="1">
        <v>716340.49548987229</v>
      </c>
      <c r="AJ6" s="1">
        <v>685392.89099277416</v>
      </c>
      <c r="AK6" s="1">
        <v>695057.51942758518</v>
      </c>
      <c r="AL6" s="1">
        <v>677332.30889874836</v>
      </c>
      <c r="AM6" s="1">
        <v>675892.45257896511</v>
      </c>
      <c r="AN6" s="1">
        <v>706301.86861134274</v>
      </c>
      <c r="AO6" s="1">
        <v>713910.86872389959</v>
      </c>
      <c r="AP6" s="1">
        <v>713330.19477873202</v>
      </c>
      <c r="AQ6" s="1">
        <v>700959.28094843193</v>
      </c>
      <c r="AR6" s="1">
        <v>717040.11209582514</v>
      </c>
      <c r="AS6" s="1">
        <v>706607.9735371077</v>
      </c>
      <c r="AT6" s="1">
        <v>703075.36789609003</v>
      </c>
      <c r="AU6" s="1">
        <v>706451.74952907069</v>
      </c>
      <c r="AV6" s="1">
        <v>726238.65836549003</v>
      </c>
      <c r="AW6" s="1">
        <v>766744.61891664634</v>
      </c>
      <c r="AX6" s="1">
        <v>759341.89338611509</v>
      </c>
      <c r="AY6" s="1">
        <v>743237.28959441721</v>
      </c>
      <c r="AZ6" s="1">
        <v>760948.58726127329</v>
      </c>
      <c r="BA6" s="1">
        <v>762560.94829226169</v>
      </c>
      <c r="BB6" s="1">
        <v>795490.70481489319</v>
      </c>
      <c r="BC6" s="1">
        <v>796985.17672576173</v>
      </c>
      <c r="BD6" s="1">
        <v>775332.20521525061</v>
      </c>
      <c r="BE6" s="1">
        <v>808287.13361608458</v>
      </c>
      <c r="BF6" s="1">
        <v>821899.38383488473</v>
      </c>
      <c r="BG6" s="1">
        <v>784600.22864036425</v>
      </c>
      <c r="BH6" s="1">
        <v>809815.4404945632</v>
      </c>
      <c r="BI6" s="1">
        <v>838416.40693475958</v>
      </c>
      <c r="BJ6" s="1">
        <v>859473.400817747</v>
      </c>
      <c r="BK6" s="1">
        <v>862498.73036245303</v>
      </c>
      <c r="BL6" s="1">
        <v>832428.33725422784</v>
      </c>
      <c r="BM6" s="1">
        <v>827283.16919401824</v>
      </c>
      <c r="BN6" s="1">
        <v>829708.96394012379</v>
      </c>
      <c r="BO6" s="1">
        <v>796095.16403266136</v>
      </c>
      <c r="BP6" s="1">
        <v>740463.58542261703</v>
      </c>
      <c r="BQ6" s="1">
        <v>789673.40613802103</v>
      </c>
      <c r="BR6" s="1">
        <v>830604.39796702715</v>
      </c>
      <c r="BS6" s="1" t="s">
        <v>10</v>
      </c>
      <c r="BT6" s="1" t="s">
        <v>10</v>
      </c>
      <c r="BU6" s="1" t="s">
        <v>10</v>
      </c>
      <c r="BV6" s="1" t="s">
        <v>10</v>
      </c>
      <c r="BW6" s="1" t="s">
        <v>10</v>
      </c>
      <c r="BX6" s="1" t="s">
        <v>10</v>
      </c>
      <c r="BY6" s="1" t="s">
        <v>10</v>
      </c>
      <c r="BZ6" s="1" t="s">
        <v>10</v>
      </c>
      <c r="CA6" s="1" t="s">
        <v>10</v>
      </c>
      <c r="CB6" s="1" t="s">
        <v>10</v>
      </c>
      <c r="CC6" s="1" t="s">
        <v>10</v>
      </c>
      <c r="CD6" s="1" t="s">
        <v>10</v>
      </c>
      <c r="CE6" s="1" t="s">
        <v>10</v>
      </c>
      <c r="CF6" s="1" t="s">
        <v>10</v>
      </c>
      <c r="CG6" s="1" t="s">
        <v>10</v>
      </c>
      <c r="CH6" s="1" t="s">
        <v>10</v>
      </c>
      <c r="CI6" s="1" t="s">
        <v>10</v>
      </c>
      <c r="CJ6" s="1" t="s">
        <v>10</v>
      </c>
      <c r="CK6" s="1" t="s">
        <v>10</v>
      </c>
      <c r="CL6" s="1" t="s">
        <v>10</v>
      </c>
      <c r="CM6" s="1" t="s">
        <v>10</v>
      </c>
      <c r="CN6" s="1" t="s">
        <v>10</v>
      </c>
      <c r="CO6" s="1" t="s">
        <v>10</v>
      </c>
      <c r="CP6" s="1" t="s">
        <v>10</v>
      </c>
      <c r="CQ6" s="1" t="s">
        <v>10</v>
      </c>
      <c r="CR6" s="1" t="s">
        <v>10</v>
      </c>
      <c r="CS6" s="1" t="s">
        <v>10</v>
      </c>
      <c r="CT6" s="1" t="s">
        <v>10</v>
      </c>
      <c r="CU6" s="1" t="s">
        <v>10</v>
      </c>
      <c r="CV6" s="1" t="s">
        <v>10</v>
      </c>
      <c r="CW6" s="1" t="s">
        <v>10</v>
      </c>
      <c r="CX6" s="1" t="s">
        <v>10</v>
      </c>
      <c r="CY6" s="1" t="s">
        <v>10</v>
      </c>
      <c r="CZ6" s="1" t="s">
        <v>10</v>
      </c>
      <c r="DA6" s="1" t="s">
        <v>10</v>
      </c>
      <c r="DB6" s="1" t="s">
        <v>10</v>
      </c>
      <c r="DC6" s="1" t="s">
        <v>10</v>
      </c>
      <c r="DD6" s="1" t="s">
        <v>10</v>
      </c>
      <c r="DE6" s="1" t="s">
        <v>10</v>
      </c>
      <c r="DF6" s="1" t="s">
        <v>10</v>
      </c>
      <c r="DG6" s="1" t="s">
        <v>10</v>
      </c>
      <c r="DH6" s="1" t="s">
        <v>10</v>
      </c>
      <c r="DI6" s="1" t="s">
        <v>10</v>
      </c>
      <c r="DJ6" s="1" t="s">
        <v>10</v>
      </c>
      <c r="DK6" s="1" t="s">
        <v>10</v>
      </c>
      <c r="DL6" s="1" t="s">
        <v>10</v>
      </c>
      <c r="DM6" s="1" t="s">
        <v>10</v>
      </c>
      <c r="DN6" s="1" t="s">
        <v>10</v>
      </c>
      <c r="DO6" s="1" t="s">
        <v>10</v>
      </c>
      <c r="DP6" s="1" t="s">
        <v>10</v>
      </c>
      <c r="DQ6" s="1" t="s">
        <v>10</v>
      </c>
      <c r="DR6" s="1" t="s">
        <v>10</v>
      </c>
      <c r="GI6" s="1"/>
    </row>
    <row r="7" spans="1:191" hidden="1" x14ac:dyDescent="0.25">
      <c r="A7" s="5"/>
      <c r="GI7" s="1"/>
    </row>
    <row r="8" spans="1:191" hidden="1" x14ac:dyDescent="0.25">
      <c r="A8" s="5"/>
      <c r="GI8" s="1"/>
    </row>
    <row r="9" spans="1:191" hidden="1" x14ac:dyDescent="0.25">
      <c r="A9" s="4"/>
      <c r="GI9" s="1"/>
    </row>
    <row r="10" spans="1:191" hidden="1" x14ac:dyDescent="0.25">
      <c r="A10" s="4"/>
      <c r="GI10" s="1"/>
    </row>
    <row r="11" spans="1:191" x14ac:dyDescent="0.25">
      <c r="A11" s="5"/>
      <c r="B11" s="1">
        <f>IF(OR(B3="",C3=""),0,MIN(8,C11+1))</f>
        <v>8</v>
      </c>
      <c r="C11" s="1">
        <f t="shared" ref="C11:BN11" si="0">IF(OR(C3="",D3=""),0,MIN(8,D11+1))</f>
        <v>8</v>
      </c>
      <c r="D11" s="1">
        <f t="shared" si="0"/>
        <v>8</v>
      </c>
      <c r="E11" s="1">
        <f t="shared" si="0"/>
        <v>8</v>
      </c>
      <c r="F11" s="1">
        <f t="shared" si="0"/>
        <v>8</v>
      </c>
      <c r="G11" s="1">
        <f t="shared" si="0"/>
        <v>8</v>
      </c>
      <c r="H11" s="1">
        <f t="shared" si="0"/>
        <v>8</v>
      </c>
      <c r="I11" s="1">
        <f t="shared" si="0"/>
        <v>8</v>
      </c>
      <c r="J11" s="1">
        <f t="shared" si="0"/>
        <v>8</v>
      </c>
      <c r="K11" s="1">
        <f t="shared" si="0"/>
        <v>8</v>
      </c>
      <c r="L11" s="1">
        <f t="shared" si="0"/>
        <v>8</v>
      </c>
      <c r="M11" s="1">
        <f t="shared" si="0"/>
        <v>8</v>
      </c>
      <c r="N11" s="1">
        <f t="shared" si="0"/>
        <v>8</v>
      </c>
      <c r="O11" s="1">
        <f t="shared" si="0"/>
        <v>8</v>
      </c>
      <c r="P11" s="1">
        <f t="shared" si="0"/>
        <v>8</v>
      </c>
      <c r="Q11" s="1">
        <f t="shared" si="0"/>
        <v>8</v>
      </c>
      <c r="R11" s="1">
        <f t="shared" si="0"/>
        <v>8</v>
      </c>
      <c r="S11" s="1">
        <f t="shared" si="0"/>
        <v>8</v>
      </c>
      <c r="T11" s="1">
        <f t="shared" si="0"/>
        <v>8</v>
      </c>
      <c r="U11" s="1">
        <f t="shared" si="0"/>
        <v>8</v>
      </c>
      <c r="V11" s="1">
        <f t="shared" si="0"/>
        <v>8</v>
      </c>
      <c r="W11" s="1">
        <f t="shared" si="0"/>
        <v>8</v>
      </c>
      <c r="X11" s="1">
        <f t="shared" si="0"/>
        <v>8</v>
      </c>
      <c r="Y11" s="1">
        <f t="shared" si="0"/>
        <v>8</v>
      </c>
      <c r="Z11" s="1">
        <f t="shared" si="0"/>
        <v>8</v>
      </c>
      <c r="AA11" s="1">
        <f t="shared" si="0"/>
        <v>8</v>
      </c>
      <c r="AB11" s="1">
        <f t="shared" si="0"/>
        <v>8</v>
      </c>
      <c r="AC11" s="1">
        <f t="shared" si="0"/>
        <v>8</v>
      </c>
      <c r="AD11" s="1">
        <f t="shared" si="0"/>
        <v>8</v>
      </c>
      <c r="AE11" s="1">
        <f t="shared" si="0"/>
        <v>8</v>
      </c>
      <c r="AF11" s="1">
        <f t="shared" si="0"/>
        <v>8</v>
      </c>
      <c r="AG11" s="1">
        <f t="shared" si="0"/>
        <v>8</v>
      </c>
      <c r="AH11" s="1">
        <f t="shared" si="0"/>
        <v>8</v>
      </c>
      <c r="AI11" s="1">
        <f t="shared" si="0"/>
        <v>8</v>
      </c>
      <c r="AJ11" s="1">
        <f t="shared" si="0"/>
        <v>8</v>
      </c>
      <c r="AK11" s="1">
        <f t="shared" si="0"/>
        <v>8</v>
      </c>
      <c r="AL11" s="1">
        <f t="shared" si="0"/>
        <v>8</v>
      </c>
      <c r="AM11" s="1">
        <f t="shared" si="0"/>
        <v>8</v>
      </c>
      <c r="AN11" s="1">
        <f t="shared" si="0"/>
        <v>8</v>
      </c>
      <c r="AO11" s="1">
        <f t="shared" si="0"/>
        <v>8</v>
      </c>
      <c r="AP11" s="1">
        <f t="shared" si="0"/>
        <v>8</v>
      </c>
      <c r="AQ11" s="1">
        <f t="shared" si="0"/>
        <v>8</v>
      </c>
      <c r="AR11" s="1">
        <f t="shared" si="0"/>
        <v>8</v>
      </c>
      <c r="AS11" s="1">
        <f t="shared" si="0"/>
        <v>8</v>
      </c>
      <c r="AT11" s="1">
        <f t="shared" si="0"/>
        <v>8</v>
      </c>
      <c r="AU11" s="1">
        <f t="shared" si="0"/>
        <v>8</v>
      </c>
      <c r="AV11" s="1">
        <f t="shared" si="0"/>
        <v>8</v>
      </c>
      <c r="AW11" s="1">
        <f t="shared" si="0"/>
        <v>8</v>
      </c>
      <c r="AX11" s="1">
        <f t="shared" si="0"/>
        <v>8</v>
      </c>
      <c r="AY11" s="1">
        <f t="shared" si="0"/>
        <v>8</v>
      </c>
      <c r="AZ11" s="1">
        <f t="shared" si="0"/>
        <v>8</v>
      </c>
      <c r="BA11" s="1">
        <f t="shared" si="0"/>
        <v>8</v>
      </c>
      <c r="BB11" s="1">
        <f t="shared" si="0"/>
        <v>8</v>
      </c>
      <c r="BC11" s="1">
        <f t="shared" si="0"/>
        <v>8</v>
      </c>
      <c r="BD11" s="1">
        <f t="shared" si="0"/>
        <v>8</v>
      </c>
      <c r="BE11" s="1">
        <f t="shared" si="0"/>
        <v>8</v>
      </c>
      <c r="BF11" s="1">
        <f t="shared" si="0"/>
        <v>8</v>
      </c>
      <c r="BG11" s="1">
        <f t="shared" si="0"/>
        <v>8</v>
      </c>
      <c r="BH11" s="1">
        <f t="shared" si="0"/>
        <v>8</v>
      </c>
      <c r="BI11" s="1">
        <f t="shared" si="0"/>
        <v>8</v>
      </c>
      <c r="BJ11" s="1">
        <f t="shared" si="0"/>
        <v>8</v>
      </c>
      <c r="BK11" s="1">
        <f t="shared" si="0"/>
        <v>7</v>
      </c>
      <c r="BL11" s="1">
        <f t="shared" si="0"/>
        <v>6</v>
      </c>
      <c r="BM11" s="1">
        <f t="shared" si="0"/>
        <v>5</v>
      </c>
      <c r="BN11" s="1">
        <f t="shared" si="0"/>
        <v>4</v>
      </c>
      <c r="BO11" s="1">
        <f t="shared" ref="BO11:BT11" si="1">IF(OR(BO3="",BP3=""),0,MIN(8,BP11+1))</f>
        <v>3</v>
      </c>
      <c r="BP11" s="1">
        <f t="shared" si="1"/>
        <v>2</v>
      </c>
      <c r="BQ11" s="1">
        <f t="shared" si="1"/>
        <v>1</v>
      </c>
      <c r="BR11" s="1">
        <f t="shared" si="1"/>
        <v>0</v>
      </c>
      <c r="BS11" s="1">
        <f t="shared" si="1"/>
        <v>0</v>
      </c>
      <c r="BT11" s="1">
        <f t="shared" si="1"/>
        <v>0</v>
      </c>
      <c r="BU11" s="1">
        <f>IF(OR(BU3="",DR3=""),0,MIN(8,DR11+1))</f>
        <v>0</v>
      </c>
      <c r="BV11" s="1">
        <f t="shared" ref="BV11" si="2">IF(OR(BV3="",BW3=""),0,MIN(8,BW11+1))</f>
        <v>0</v>
      </c>
      <c r="BW11" s="1">
        <f t="shared" ref="BW11" si="3">IF(OR(BW3="",BX3=""),0,MIN(8,BX11+1))</f>
        <v>0</v>
      </c>
      <c r="BX11" s="1">
        <f t="shared" ref="BX11" si="4">IF(OR(BX3="",BY3=""),0,MIN(8,BY11+1))</f>
        <v>0</v>
      </c>
      <c r="BY11" s="1">
        <f t="shared" ref="BY11" si="5">IF(OR(BY3="",BZ3=""),0,MIN(8,BZ11+1))</f>
        <v>0</v>
      </c>
      <c r="BZ11" s="1">
        <f t="shared" ref="BZ11" si="6">IF(OR(BZ3="",CA3=""),0,MIN(8,CA11+1))</f>
        <v>0</v>
      </c>
      <c r="CA11" s="1">
        <f t="shared" ref="CA11" si="7">IF(OR(CA3="",DX3=""),0,MIN(8,DX11+1))</f>
        <v>0</v>
      </c>
      <c r="CB11" s="1">
        <f t="shared" ref="CB11" si="8">IF(OR(CB3="",CC3=""),0,MIN(8,CC11+1))</f>
        <v>0</v>
      </c>
      <c r="CC11" s="1">
        <f t="shared" ref="CC11" si="9">IF(OR(CC3="",CD3=""),0,MIN(8,CD11+1))</f>
        <v>0</v>
      </c>
      <c r="CD11" s="1">
        <f t="shared" ref="CD11" si="10">IF(OR(CD3="",CE3=""),0,MIN(8,CE11+1))</f>
        <v>0</v>
      </c>
      <c r="CE11" s="1">
        <f t="shared" ref="CE11" si="11">IF(OR(CE3="",CF3=""),0,MIN(8,CF11+1))</f>
        <v>0</v>
      </c>
      <c r="CF11" s="1">
        <f t="shared" ref="CF11" si="12">IF(OR(CF3="",CG3=""),0,MIN(8,CG11+1))</f>
        <v>0</v>
      </c>
      <c r="CG11" s="1">
        <f t="shared" ref="CG11" si="13">IF(OR(CG3="",ED3=""),0,MIN(8,ED11+1))</f>
        <v>0</v>
      </c>
      <c r="CH11" s="1">
        <f t="shared" ref="CH11" si="14">IF(OR(CH3="",CI3=""),0,MIN(8,CI11+1))</f>
        <v>0</v>
      </c>
      <c r="CI11" s="1">
        <f t="shared" ref="CI11" si="15">IF(OR(CI3="",CJ3=""),0,MIN(8,CJ11+1))</f>
        <v>0</v>
      </c>
      <c r="CJ11" s="1">
        <f t="shared" ref="CJ11" si="16">IF(OR(CJ3="",CK3=""),0,MIN(8,CK11+1))</f>
        <v>0</v>
      </c>
      <c r="CK11" s="1">
        <f t="shared" ref="CK11" si="17">IF(OR(CK3="",CL3=""),0,MIN(8,CL11+1))</f>
        <v>0</v>
      </c>
      <c r="CL11" s="1">
        <f t="shared" ref="CL11" si="18">IF(OR(CL3="",CM3=""),0,MIN(8,CM11+1))</f>
        <v>0</v>
      </c>
      <c r="CM11" s="1">
        <f t="shared" ref="CM11" si="19">IF(OR(CM3="",EJ3=""),0,MIN(8,EJ11+1))</f>
        <v>0</v>
      </c>
      <c r="CN11" s="1">
        <f t="shared" ref="CN11" si="20">IF(OR(CN3="",CO3=""),0,MIN(8,CO11+1))</f>
        <v>0</v>
      </c>
      <c r="CO11" s="1">
        <f t="shared" ref="CO11" si="21">IF(OR(CO3="",CP3=""),0,MIN(8,CP11+1))</f>
        <v>0</v>
      </c>
      <c r="CP11" s="1">
        <f t="shared" ref="CP11" si="22">IF(OR(CP3="",CQ3=""),0,MIN(8,CQ11+1))</f>
        <v>0</v>
      </c>
      <c r="CQ11" s="1">
        <f t="shared" ref="CQ11" si="23">IF(OR(CQ3="",CR3=""),0,MIN(8,CR11+1))</f>
        <v>0</v>
      </c>
      <c r="CR11" s="1">
        <f t="shared" ref="CR11" si="24">IF(OR(CR3="",CS3=""),0,MIN(8,CS11+1))</f>
        <v>0</v>
      </c>
      <c r="CS11" s="1">
        <f t="shared" ref="CS11" si="25">IF(OR(CS3="",EP3=""),0,MIN(8,EP11+1))</f>
        <v>0</v>
      </c>
      <c r="CT11" s="1">
        <f t="shared" ref="CT11" si="26">IF(OR(CT3="",CU3=""),0,MIN(8,CU11+1))</f>
        <v>0</v>
      </c>
      <c r="CU11" s="1">
        <f t="shared" ref="CU11" si="27">IF(OR(CU3="",CV3=""),0,MIN(8,CV11+1))</f>
        <v>0</v>
      </c>
      <c r="CV11" s="1">
        <f t="shared" ref="CV11" si="28">IF(OR(CV3="",CW3=""),0,MIN(8,CW11+1))</f>
        <v>0</v>
      </c>
      <c r="CW11" s="1">
        <f t="shared" ref="CW11" si="29">IF(OR(CW3="",CX3=""),0,MIN(8,CX11+1))</f>
        <v>0</v>
      </c>
      <c r="CX11" s="1">
        <f t="shared" ref="CX11" si="30">IF(OR(CX3="",CY3=""),0,MIN(8,CY11+1))</f>
        <v>0</v>
      </c>
      <c r="CY11" s="1">
        <f t="shared" ref="CY11" si="31">IF(OR(CY3="",EV3=""),0,MIN(8,EV11+1))</f>
        <v>0</v>
      </c>
      <c r="CZ11" s="1">
        <f t="shared" ref="CZ11" si="32">IF(OR(CZ3="",DA3=""),0,MIN(8,DA11+1))</f>
        <v>0</v>
      </c>
      <c r="DA11" s="1">
        <f t="shared" ref="DA11" si="33">IF(OR(DA3="",DB3=""),0,MIN(8,DB11+1))</f>
        <v>0</v>
      </c>
      <c r="DB11" s="1">
        <f t="shared" ref="DB11" si="34">IF(OR(DB3="",DC3=""),0,MIN(8,DC11+1))</f>
        <v>0</v>
      </c>
      <c r="DC11" s="1">
        <f t="shared" ref="DC11" si="35">IF(OR(DC3="",DD3=""),0,MIN(8,DD11+1))</f>
        <v>0</v>
      </c>
      <c r="DD11" s="1">
        <f t="shared" ref="DD11" si="36">IF(OR(DD3="",DE3=""),0,MIN(8,DE11+1))</f>
        <v>0</v>
      </c>
      <c r="DE11" s="1">
        <f t="shared" ref="DE11" si="37">IF(OR(DE3="",FB3=""),0,MIN(8,FB11+1))</f>
        <v>0</v>
      </c>
      <c r="DF11" s="1">
        <f t="shared" ref="DF11" si="38">IF(OR(DF3="",DG3=""),0,MIN(8,DG11+1))</f>
        <v>0</v>
      </c>
      <c r="DG11" s="1">
        <f t="shared" ref="DG11" si="39">IF(OR(DG3="",DH3=""),0,MIN(8,DH11+1))</f>
        <v>0</v>
      </c>
      <c r="DH11" s="1">
        <f t="shared" ref="DH11" si="40">IF(OR(DH3="",DI3=""),0,MIN(8,DI11+1))</f>
        <v>0</v>
      </c>
      <c r="DI11" s="1">
        <f t="shared" ref="DI11" si="41">IF(OR(DI3="",DJ3=""),0,MIN(8,DJ11+1))</f>
        <v>0</v>
      </c>
      <c r="DJ11" s="1">
        <f t="shared" ref="DJ11" si="42">IF(OR(DJ3="",DK3=""),0,MIN(8,DK11+1))</f>
        <v>0</v>
      </c>
      <c r="DK11" s="1">
        <f t="shared" ref="DK11" si="43">IF(OR(DK3="",FH3=""),0,MIN(8,FH11+1))</f>
        <v>0</v>
      </c>
      <c r="DL11" s="1">
        <f t="shared" ref="DL11" si="44">IF(OR(DL3="",DM3=""),0,MIN(8,DM11+1))</f>
        <v>0</v>
      </c>
      <c r="DM11" s="1">
        <f t="shared" ref="DM11" si="45">IF(OR(DM3="",DN3=""),0,MIN(8,DN11+1))</f>
        <v>0</v>
      </c>
      <c r="DN11" s="1">
        <f t="shared" ref="DN11" si="46">IF(OR(DN3="",DO3=""),0,MIN(8,DO11+1))</f>
        <v>0</v>
      </c>
      <c r="DO11" s="1">
        <f t="shared" ref="DO11" si="47">IF(OR(DO3="",DP3=""),0,MIN(8,DP11+1))</f>
        <v>0</v>
      </c>
      <c r="DP11" s="1">
        <f t="shared" ref="DP11" si="48">IF(OR(DP3="",DQ3=""),0,MIN(8,DQ11+1))</f>
        <v>0</v>
      </c>
      <c r="DQ11" s="1">
        <f t="shared" ref="DQ11" si="49">IF(OR(DQ3="",FN3=""),0,MIN(8,FN11+1))</f>
        <v>0</v>
      </c>
      <c r="DR11" s="1">
        <f t="shared" ref="DR11" si="50">IF(OR(DR3="",DS3=""),0,MIN(8,DS11+1))</f>
        <v>0</v>
      </c>
      <c r="GI11" s="1"/>
    </row>
    <row r="12" spans="1:191" ht="15.75" x14ac:dyDescent="0.25">
      <c r="A12" s="3" t="s">
        <v>1</v>
      </c>
      <c r="B12" s="7">
        <v>37986</v>
      </c>
      <c r="C12" s="7">
        <v>38077</v>
      </c>
      <c r="D12" s="7">
        <v>38168</v>
      </c>
      <c r="E12" s="7">
        <v>38260</v>
      </c>
      <c r="F12" s="7">
        <v>38352</v>
      </c>
      <c r="G12" s="7">
        <v>38442</v>
      </c>
      <c r="H12" s="7">
        <v>38533</v>
      </c>
      <c r="I12" s="7">
        <v>38625</v>
      </c>
      <c r="J12" s="7">
        <v>38717</v>
      </c>
      <c r="K12" s="7">
        <v>38807</v>
      </c>
      <c r="L12" s="7">
        <v>38898</v>
      </c>
      <c r="M12" s="7">
        <v>38990</v>
      </c>
      <c r="N12" s="7">
        <v>39082</v>
      </c>
      <c r="O12" s="7">
        <v>39172</v>
      </c>
      <c r="P12" s="7">
        <v>39263</v>
      </c>
      <c r="Q12" s="7">
        <v>39355</v>
      </c>
      <c r="R12" s="7">
        <v>39447</v>
      </c>
      <c r="S12" s="7">
        <v>39538</v>
      </c>
      <c r="T12" s="7">
        <v>39629</v>
      </c>
      <c r="U12" s="7">
        <v>39721</v>
      </c>
      <c r="V12" s="7">
        <v>39813</v>
      </c>
      <c r="W12" s="7">
        <v>39903</v>
      </c>
      <c r="X12" s="7">
        <v>39994</v>
      </c>
      <c r="Y12" s="7">
        <v>40086</v>
      </c>
      <c r="Z12" s="7">
        <v>40178</v>
      </c>
      <c r="AA12" s="7">
        <v>40268</v>
      </c>
      <c r="AB12" s="7">
        <v>40359</v>
      </c>
      <c r="AC12" s="7">
        <v>40451</v>
      </c>
      <c r="AD12" s="7">
        <v>40543</v>
      </c>
      <c r="AE12" s="7">
        <v>40633</v>
      </c>
      <c r="AF12" s="7">
        <v>40724</v>
      </c>
      <c r="AG12" s="7">
        <v>40816</v>
      </c>
      <c r="AH12" s="7">
        <v>40908</v>
      </c>
      <c r="AI12" s="7">
        <v>40999</v>
      </c>
      <c r="AJ12" s="7">
        <v>41090</v>
      </c>
      <c r="AK12" s="7">
        <v>41182</v>
      </c>
      <c r="AL12" s="7">
        <v>41274</v>
      </c>
      <c r="AM12" s="7">
        <v>41364</v>
      </c>
      <c r="AN12" s="7">
        <v>41455</v>
      </c>
      <c r="AO12" s="7">
        <v>41547</v>
      </c>
      <c r="AP12" s="7">
        <v>41639</v>
      </c>
      <c r="AQ12" s="7">
        <v>41729</v>
      </c>
      <c r="AR12" s="7">
        <v>41820</v>
      </c>
      <c r="AS12" s="7">
        <v>41912</v>
      </c>
      <c r="AT12" s="7">
        <v>42004</v>
      </c>
      <c r="AU12" s="7">
        <v>42094</v>
      </c>
      <c r="AV12" s="7">
        <v>42185</v>
      </c>
      <c r="AW12" s="7">
        <v>42277</v>
      </c>
      <c r="AX12" s="7">
        <v>42369</v>
      </c>
      <c r="AY12" s="7">
        <v>42460</v>
      </c>
      <c r="AZ12" s="7">
        <v>42551</v>
      </c>
      <c r="BA12" s="7">
        <v>42643</v>
      </c>
      <c r="BB12" s="7">
        <v>42735</v>
      </c>
      <c r="BC12" s="7">
        <v>42825</v>
      </c>
      <c r="BD12" s="7">
        <v>42916</v>
      </c>
      <c r="BE12" s="7">
        <v>43008</v>
      </c>
      <c r="BF12" s="7">
        <v>43100</v>
      </c>
      <c r="BG12" s="7">
        <v>43190</v>
      </c>
      <c r="BH12" s="7">
        <v>43281</v>
      </c>
      <c r="BI12" s="7">
        <v>43373</v>
      </c>
      <c r="BJ12" s="7">
        <v>43465</v>
      </c>
      <c r="BK12" s="7">
        <v>43555</v>
      </c>
      <c r="BL12" s="7">
        <v>43646</v>
      </c>
      <c r="BM12" s="7">
        <v>43738</v>
      </c>
      <c r="BN12" s="7">
        <v>43830</v>
      </c>
      <c r="BO12" s="7">
        <v>43921</v>
      </c>
      <c r="BP12" s="7">
        <v>44012</v>
      </c>
      <c r="BQ12" s="7">
        <v>44104</v>
      </c>
      <c r="BR12" s="7">
        <v>44196</v>
      </c>
      <c r="BS12" s="7">
        <v>44286</v>
      </c>
      <c r="BT12" s="7">
        <v>44377</v>
      </c>
      <c r="BU12" s="7">
        <v>44469</v>
      </c>
      <c r="BV12" s="7">
        <v>44561</v>
      </c>
      <c r="BW12" s="7">
        <v>44651</v>
      </c>
      <c r="BX12" s="7">
        <v>44742</v>
      </c>
      <c r="BY12" s="7">
        <v>44834</v>
      </c>
      <c r="BZ12" s="7">
        <v>44926</v>
      </c>
      <c r="CA12" s="7">
        <v>45016</v>
      </c>
      <c r="CB12" s="7">
        <v>45107</v>
      </c>
      <c r="CC12" s="7">
        <v>45199</v>
      </c>
      <c r="CD12" s="7">
        <v>45291</v>
      </c>
      <c r="CE12" s="7">
        <v>45382</v>
      </c>
      <c r="CF12" s="7">
        <v>45473</v>
      </c>
      <c r="CG12" s="7">
        <v>45565</v>
      </c>
      <c r="CH12" s="7">
        <v>45657</v>
      </c>
      <c r="CI12" s="7">
        <v>45747</v>
      </c>
      <c r="CJ12" s="7">
        <v>45838</v>
      </c>
      <c r="CK12" s="7">
        <v>45930</v>
      </c>
      <c r="CL12" s="7">
        <v>46022</v>
      </c>
      <c r="CM12" s="7">
        <v>46112</v>
      </c>
      <c r="CN12" s="7">
        <v>46203</v>
      </c>
      <c r="CO12" s="7">
        <v>46295</v>
      </c>
      <c r="CP12" s="7">
        <v>46387</v>
      </c>
      <c r="CQ12" s="7">
        <v>46477</v>
      </c>
      <c r="CR12" s="7">
        <v>46568</v>
      </c>
      <c r="CS12" s="7">
        <v>46660</v>
      </c>
      <c r="CT12" s="7">
        <v>46752</v>
      </c>
      <c r="CU12" s="7">
        <v>46843</v>
      </c>
      <c r="CV12" s="7">
        <v>46934</v>
      </c>
      <c r="CW12" s="7">
        <v>47026</v>
      </c>
      <c r="CX12" s="7">
        <v>47118</v>
      </c>
      <c r="CY12" s="7">
        <v>47208</v>
      </c>
      <c r="CZ12" s="7">
        <v>47299</v>
      </c>
      <c r="DA12" s="7">
        <v>47391</v>
      </c>
      <c r="DB12" s="7">
        <v>47483</v>
      </c>
      <c r="DC12" s="7">
        <v>47573</v>
      </c>
      <c r="DD12" s="7">
        <v>47664</v>
      </c>
      <c r="DE12" s="7">
        <v>47756</v>
      </c>
      <c r="DF12" s="7">
        <v>47848</v>
      </c>
      <c r="DG12" s="7">
        <v>47938</v>
      </c>
      <c r="DH12" s="7">
        <v>48029</v>
      </c>
      <c r="DI12" s="7">
        <v>48121</v>
      </c>
      <c r="DJ12" s="7">
        <v>48213</v>
      </c>
      <c r="DK12" s="7">
        <v>48304</v>
      </c>
      <c r="DL12" s="7">
        <v>48395</v>
      </c>
      <c r="DM12" s="7">
        <v>48487</v>
      </c>
      <c r="DN12" s="7">
        <v>48579</v>
      </c>
      <c r="DO12" s="7">
        <v>48669</v>
      </c>
      <c r="DP12" s="7">
        <v>48760</v>
      </c>
      <c r="DQ12" s="7">
        <v>48852</v>
      </c>
      <c r="DR12" s="7">
        <v>48944</v>
      </c>
      <c r="DS12" s="9" t="s">
        <v>2</v>
      </c>
      <c r="DT12" s="10" t="s">
        <v>3</v>
      </c>
      <c r="DU12" s="9" t="s">
        <v>4</v>
      </c>
      <c r="DV12" s="11" t="s">
        <v>5</v>
      </c>
      <c r="DW12" s="9" t="s">
        <v>6</v>
      </c>
      <c r="DX12" s="16">
        <v>1.28</v>
      </c>
      <c r="GI12" s="1"/>
    </row>
    <row r="13" spans="1:191" x14ac:dyDescent="0.25">
      <c r="A13" s="4">
        <v>1</v>
      </c>
      <c r="B13" s="8">
        <f ca="1">IF(OR(B3="",B$11&lt;$A13),"",B3/OFFSET(OcupadosEPACLM!$A$80,MATCH(B$12,OcupadosEPACLM!$A$80:$A$500)+$A13-1,1)-1)</f>
        <v>-6.149472118697874E-3</v>
      </c>
      <c r="C13" s="8">
        <f ca="1">IF(OR(C3="",C$11&lt;$A13),"",C3/OFFSET(OcupadosEPACLM!$A$80,MATCH(C$12,OcupadosEPACLM!$A$80:$A$500)+$A13-1,1)-1)</f>
        <v>7.2272691352788243E-3</v>
      </c>
      <c r="D13" s="8">
        <f ca="1">IF(OR(D3="",D$11&lt;$A13),"",D3/OFFSET(OcupadosEPACLM!$A$80,MATCH(D$12,OcupadosEPACLM!$A$80:$A$500)+$A13-1,1)-1)</f>
        <v>-9.4005642300082348E-3</v>
      </c>
      <c r="E13" s="8">
        <f ca="1">IF(OR(E3="",E$11&lt;$A13),"",E3/OFFSET(OcupadosEPACLM!$A$80,MATCH(E$12,OcupadosEPACLM!$A$80:$A$500)+$A13-1,1)-1)</f>
        <v>-8.4589509928583162E-3</v>
      </c>
      <c r="F13" s="8">
        <f ca="1">IF(OR(F3="",F$11&lt;$A13),"",F3/OFFSET(OcupadosEPACLM!$A$80,MATCH(F$12,OcupadosEPACLM!$A$80:$A$500)+$A13-1,1)-1)</f>
        <v>-5.0104307103883139E-3</v>
      </c>
      <c r="G13" s="8">
        <f ca="1">IF(OR(G3="",G$11&lt;$A13),"",G3/OFFSET(OcupadosEPACLM!$A$80,MATCH(G$12,OcupadosEPACLM!$A$80:$A$500)+$A13-1,1)-1)</f>
        <v>-2.2894771318158313E-2</v>
      </c>
      <c r="H13" s="8">
        <f ca="1">IF(OR(H3="",H$11&lt;$A13),"",H3/OFFSET(OcupadosEPACLM!$A$80,MATCH(H$12,OcupadosEPACLM!$A$80:$A$500)+$A13-1,1)-1)</f>
        <v>-4.4267450646624518E-3</v>
      </c>
      <c r="I13" s="8">
        <f ca="1">IF(OR(I3="",I$11&lt;$A13),"",I3/OFFSET(OcupadosEPACLM!$A$80,MATCH(I$12,OcupadosEPACLM!$A$80:$A$500)+$A13-1,1)-1)</f>
        <v>5.8760874575254363E-3</v>
      </c>
      <c r="J13" s="8">
        <f ca="1">IF(OR(J3="",J$11&lt;$A13),"",J3/OFFSET(OcupadosEPACLM!$A$80,MATCH(J$12,OcupadosEPACLM!$A$80:$A$500)+$A13-1,1)-1)</f>
        <v>5.5263163087657663E-3</v>
      </c>
      <c r="K13" s="8">
        <f ca="1">IF(OR(K3="",K$11&lt;$A13),"",K3/OFFSET(OcupadosEPACLM!$A$80,MATCH(K$12,OcupadosEPACLM!$A$80:$A$500)+$A13-1,1)-1)</f>
        <v>6.2763975314419351E-3</v>
      </c>
      <c r="L13" s="8">
        <f ca="1">IF(OR(L3="",L$11&lt;$A13),"",L3/OFFSET(OcupadosEPACLM!$A$80,MATCH(L$12,OcupadosEPACLM!$A$80:$A$500)+$A13-1,1)-1)</f>
        <v>3.9943803177162618E-3</v>
      </c>
      <c r="M13" s="8">
        <f ca="1">IF(OR(M3="",M$11&lt;$A13),"",M3/OFFSET(OcupadosEPACLM!$A$80,MATCH(M$12,OcupadosEPACLM!$A$80:$A$500)+$A13-1,1)-1)</f>
        <v>-1.5976573285667151E-2</v>
      </c>
      <c r="N13" s="8">
        <f ca="1">IF(OR(N3="",N$11&lt;$A13),"",N3/OFFSET(OcupadosEPACLM!$A$80,MATCH(N$12,OcupadosEPACLM!$A$80:$A$500)+$A13-1,1)-1)</f>
        <v>-1.6775809433534405E-2</v>
      </c>
      <c r="O13" s="8">
        <f ca="1">IF(OR(O3="",O$11&lt;$A13),"",O3/OFFSET(OcupadosEPACLM!$A$80,MATCH(O$12,OcupadosEPACLM!$A$80:$A$500)+$A13-1,1)-1)</f>
        <v>3.160881569270968E-3</v>
      </c>
      <c r="P13" s="8">
        <f ca="1">IF(OR(P3="",P$11&lt;$A13),"",P3/OFFSET(OcupadosEPACLM!$A$80,MATCH(P$12,OcupadosEPACLM!$A$80:$A$500)+$A13-1,1)-1)</f>
        <v>-7.1635754186322176E-3</v>
      </c>
      <c r="Q13" s="8">
        <f ca="1">IF(OR(Q3="",Q$11&lt;$A13),"",Q3/OFFSET(OcupadosEPACLM!$A$80,MATCH(Q$12,OcupadosEPACLM!$A$80:$A$500)+$A13-1,1)-1)</f>
        <v>1.6299478123080746E-2</v>
      </c>
      <c r="R13" s="8">
        <f ca="1">IF(OR(R3="",R$11&lt;$A13),"",R3/OFFSET(OcupadosEPACLM!$A$80,MATCH(R$12,OcupadosEPACLM!$A$80:$A$500)+$A13-1,1)-1)</f>
        <v>1.2331068004609813E-2</v>
      </c>
      <c r="S13" s="8">
        <f ca="1">IF(OR(S3="",S$11&lt;$A13),"",S3/OFFSET(OcupadosEPACLM!$A$80,MATCH(S$12,OcupadosEPACLM!$A$80:$A$500)+$A13-1,1)-1)</f>
        <v>1.1354206501323238E-2</v>
      </c>
      <c r="T13" s="8">
        <f ca="1">IF(OR(T3="",T$11&lt;$A13),"",T3/OFFSET(OcupadosEPACLM!$A$80,MATCH(T$12,OcupadosEPACLM!$A$80:$A$500)+$A13-1,1)-1)</f>
        <v>3.1757380465022633E-2</v>
      </c>
      <c r="U13" s="8">
        <f ca="1">IF(OR(U3="",U$11&lt;$A13),"",U3/OFFSET(OcupadosEPACLM!$A$80,MATCH(U$12,OcupadosEPACLM!$A$80:$A$500)+$A13-1,1)-1)</f>
        <v>3.5882332065257483E-2</v>
      </c>
      <c r="V13" s="8">
        <f ca="1">IF(OR(V3="",V$11&lt;$A13),"",V3/OFFSET(OcupadosEPACLM!$A$80,MATCH(V$12,OcupadosEPACLM!$A$80:$A$500)+$A13-1,1)-1)</f>
        <v>1.9235312976206398E-2</v>
      </c>
      <c r="W13" s="8">
        <f ca="1">IF(OR(W3="",W$11&lt;$A13),"",W3/OFFSET(OcupadosEPACLM!$A$80,MATCH(W$12,OcupadosEPACLM!$A$80:$A$500)+$A13-1,1)-1)</f>
        <v>7.8927265088368781E-3</v>
      </c>
      <c r="X13" s="8">
        <f ca="1">IF(OR(X3="",X$11&lt;$A13),"",X3/OFFSET(OcupadosEPACLM!$A$80,MATCH(X$12,OcupadosEPACLM!$A$80:$A$500)+$A13-1,1)-1)</f>
        <v>-1.9621430071540824E-2</v>
      </c>
      <c r="Y13" s="8">
        <f ca="1">IF(OR(Y3="",Y$11&lt;$A13),"",Y3/OFFSET(OcupadosEPACLM!$A$80,MATCH(Y$12,OcupadosEPACLM!$A$80:$A$500)+$A13-1,1)-1)</f>
        <v>-1.3354307207085636E-2</v>
      </c>
      <c r="Z13" s="8">
        <f ca="1">IF(OR(Z3="",Z$11&lt;$A13),"",Z3/OFFSET(OcupadosEPACLM!$A$80,MATCH(Z$12,OcupadosEPACLM!$A$80:$A$500)+$A13-1,1)-1)</f>
        <v>9.1214895402185192E-3</v>
      </c>
      <c r="AA13" s="8">
        <f ca="1">IF(OR(AA3="",AA$11&lt;$A13),"",AA3/OFFSET(OcupadosEPACLM!$A$80,MATCH(AA$12,OcupadosEPACLM!$A$80:$A$500)+$A13-1,1)-1)</f>
        <v>-3.5755401831326639E-3</v>
      </c>
      <c r="AB13" s="8">
        <f ca="1">IF(OR(AB3="",AB$11&lt;$A13),"",AB3/OFFSET(OcupadosEPACLM!$A$80,MATCH(AB$12,OcupadosEPACLM!$A$80:$A$500)+$A13-1,1)-1)</f>
        <v>-1.6341526037532139E-3</v>
      </c>
      <c r="AC13" s="8">
        <f ca="1">IF(OR(AC3="",AC$11&lt;$A13),"",AC3/OFFSET(OcupadosEPACLM!$A$80,MATCH(AC$12,OcupadosEPACLM!$A$80:$A$500)+$A13-1,1)-1)</f>
        <v>2.8994426641832938E-3</v>
      </c>
      <c r="AD13" s="8">
        <f ca="1">IF(OR(AD3="",AD$11&lt;$A13),"",AD3/OFFSET(OcupadosEPACLM!$A$80,MATCH(AD$12,OcupadosEPACLM!$A$80:$A$500)+$A13-1,1)-1)</f>
        <v>-1.1105439110616344E-2</v>
      </c>
      <c r="AE13" s="8">
        <f ca="1">IF(OR(AE3="",AE$11&lt;$A13),"",AE3/OFFSET(OcupadosEPACLM!$A$80,MATCH(AE$12,OcupadosEPACLM!$A$80:$A$500)+$A13-1,1)-1)</f>
        <v>5.3326775528523829E-3</v>
      </c>
      <c r="AF13" s="8">
        <f ca="1">IF(OR(AF3="",AF$11&lt;$A13),"",AF3/OFFSET(OcupadosEPACLM!$A$80,MATCH(AF$12,OcupadosEPACLM!$A$80:$A$500)+$A13-1,1)-1)</f>
        <v>6.0096945906995547E-3</v>
      </c>
      <c r="AG13" s="8">
        <f ca="1">IF(OR(AG3="",AG$11&lt;$A13),"",AG3/OFFSET(OcupadosEPACLM!$A$80,MATCH(AG$12,OcupadosEPACLM!$A$80:$A$500)+$A13-1,1)-1)</f>
        <v>1.4975606984863665E-2</v>
      </c>
      <c r="AH13" s="8">
        <f ca="1">IF(OR(AH3="",AH$11&lt;$A13),"",AH3/OFFSET(OcupadosEPACLM!$A$80,MATCH(AH$12,OcupadosEPACLM!$A$80:$A$500)+$A13-1,1)-1)</f>
        <v>3.1183597251134509E-2</v>
      </c>
      <c r="AI13" s="8">
        <f ca="1">IF(OR(AI3="",AI$11&lt;$A13),"",AI3/OFFSET(OcupadosEPACLM!$A$80,MATCH(AI$12,OcupadosEPACLM!$A$80:$A$500)+$A13-1,1)-1)</f>
        <v>2.3876648246888399E-2</v>
      </c>
      <c r="AJ13" s="8">
        <f ca="1">IF(OR(AJ3="",AJ$11&lt;$A13),"",AJ3/OFFSET(OcupadosEPACLM!$A$80,MATCH(AJ$12,OcupadosEPACLM!$A$80:$A$500)+$A13-1,1)-1)</f>
        <v>-5.0967530143767314E-3</v>
      </c>
      <c r="AK13" s="8">
        <f ca="1">IF(OR(AK3="",AK$11&lt;$A13),"",AK3/OFFSET(OcupadosEPACLM!$A$80,MATCH(AK$12,OcupadosEPACLM!$A$80:$A$500)+$A13-1,1)-1)</f>
        <v>4.155410212409727E-3</v>
      </c>
      <c r="AL13" s="8">
        <f ca="1">IF(OR(AL3="",AL$11&lt;$A13),"",AL3/OFFSET(OcupadosEPACLM!$A$80,MATCH(AL$12,OcupadosEPACLM!$A$80:$A$500)+$A13-1,1)-1)</f>
        <v>-9.2468394302072099E-3</v>
      </c>
      <c r="AM13" s="8">
        <f ca="1">IF(OR(AM3="",AM$11&lt;$A13),"",AM3/OFFSET(OcupadosEPACLM!$A$80,MATCH(AM$12,OcupadosEPACLM!$A$80:$A$500)+$A13-1,1)-1)</f>
        <v>-2.3875044869959838E-2</v>
      </c>
      <c r="AN13" s="8">
        <f ca="1">IF(OR(AN3="",AN$11&lt;$A13),"",AN3/OFFSET(OcupadosEPACLM!$A$80,MATCH(AN$12,OcupadosEPACLM!$A$80:$A$500)+$A13-1,1)-1)</f>
        <v>1.8426599404026689E-3</v>
      </c>
      <c r="AO13" s="8">
        <f ca="1">IF(OR(AO3="",AO$11&lt;$A13),"",AO3/OFFSET(OcupadosEPACLM!$A$80,MATCH(AO$12,OcupadosEPACLM!$A$80:$A$500)+$A13-1,1)-1)</f>
        <v>-6.0417689361508264E-3</v>
      </c>
      <c r="AP13" s="8">
        <f ca="1">IF(OR(AP3="",AP$11&lt;$A13),"",AP3/OFFSET(OcupadosEPACLM!$A$80,MATCH(AP$12,OcupadosEPACLM!$A$80:$A$500)+$A13-1,1)-1)</f>
        <v>3.6626850388208343E-3</v>
      </c>
      <c r="AQ13" s="8">
        <f ca="1">IF(OR(AQ3="",AQ$11&lt;$A13),"",AQ3/OFFSET(OcupadosEPACLM!$A$80,MATCH(AQ$12,OcupadosEPACLM!$A$80:$A$500)+$A13-1,1)-1)</f>
        <v>-1.0242380353720271E-2</v>
      </c>
      <c r="AR13" s="8">
        <f ca="1">IF(OR(AR3="",AR$11&lt;$A13),"",AR3/OFFSET(OcupadosEPACLM!$A$80,MATCH(AR$12,OcupadosEPACLM!$A$80:$A$500)+$A13-1,1)-1)</f>
        <v>1.3922655499607917E-2</v>
      </c>
      <c r="AS13" s="8">
        <f ca="1">IF(OR(AS3="",AS$11&lt;$A13),"",AS3/OFFSET(OcupadosEPACLM!$A$80,MATCH(AS$12,OcupadosEPACLM!$A$80:$A$500)+$A13-1,1)-1)</f>
        <v>-3.8803808069393098E-3</v>
      </c>
      <c r="AT13" s="8">
        <f ca="1">IF(OR(AT3="",AT$11&lt;$A13),"",AT3/OFFSET(OcupadosEPACLM!$A$80,MATCH(AT$12,OcupadosEPACLM!$A$80:$A$500)+$A13-1,1)-1)</f>
        <v>-1.0376807007424049E-2</v>
      </c>
      <c r="AU13" s="8">
        <f ca="1">IF(OR(AU3="",AU$11&lt;$A13),"",AU3/OFFSET(OcupadosEPACLM!$A$80,MATCH(AU$12,OcupadosEPACLM!$A$80:$A$500)+$A13-1,1)-1)</f>
        <v>-1.1128829869735068E-2</v>
      </c>
      <c r="AV13" s="8">
        <f ca="1">IF(OR(AV3="",AV$11&lt;$A13),"",AV3/OFFSET(OcupadosEPACLM!$A$80,MATCH(AV$12,OcupadosEPACLM!$A$80:$A$500)+$A13-1,1)-1)</f>
        <v>-2.0831258521845308E-2</v>
      </c>
      <c r="AW13" s="8">
        <f ca="1">IF(OR(AW3="",AW$11&lt;$A13),"",AW3/OFFSET(OcupadosEPACLM!$A$80,MATCH(AW$12,OcupadosEPACLM!$A$80:$A$500)+$A13-1,1)-1)</f>
        <v>2.0140728078330561E-3</v>
      </c>
      <c r="AX13" s="8">
        <f ca="1">IF(OR(AX3="",AX$11&lt;$A13),"",AX3/OFFSET(OcupadosEPACLM!$A$80,MATCH(AX$12,OcupadosEPACLM!$A$80:$A$500)+$A13-1,1)-1)</f>
        <v>7.1544369846789913E-3</v>
      </c>
      <c r="AY13" s="8">
        <f ca="1">IF(OR(AY3="",AY$11&lt;$A13),"",AY3/OFFSET(OcupadosEPACLM!$A$80,MATCH(AY$12,OcupadosEPACLM!$A$80:$A$500)+$A13-1,1)-1)</f>
        <v>-6.083057879837428E-3</v>
      </c>
      <c r="AZ13" s="8">
        <f ca="1">IF(OR(AZ3="",AZ$11&lt;$A13),"",AZ3/OFFSET(OcupadosEPACLM!$A$80,MATCH(AZ$12,OcupadosEPACLM!$A$80:$A$500)+$A13-1,1)-1)</f>
        <v>7.4921554093692055E-3</v>
      </c>
      <c r="BA13" s="8">
        <f ca="1">IF(OR(BA3="",BA$11&lt;$A13),"",BA3/OFFSET(OcupadosEPACLM!$A$80,MATCH(BA$12,OcupadosEPACLM!$A$80:$A$500)+$A13-1,1)-1)</f>
        <v>-2.5088860033642746E-2</v>
      </c>
      <c r="BB13" s="8">
        <f ca="1">IF(OR(BB3="",BB$11&lt;$A13),"",BB3/OFFSET(OcupadosEPACLM!$A$80,MATCH(BB$12,OcupadosEPACLM!$A$80:$A$500)+$A13-1,1)-1)</f>
        <v>-6.0936726837588218E-3</v>
      </c>
      <c r="BC13" s="8">
        <f ca="1">IF(OR(BC3="",BC$11&lt;$A13),"",BC3/OFFSET(OcupadosEPACLM!$A$80,MATCH(BC$12,OcupadosEPACLM!$A$80:$A$500)+$A13-1,1)-1)</f>
        <v>2.4423661026498733E-2</v>
      </c>
      <c r="BD13" s="8">
        <f ca="1">IF(OR(BD3="",BD$11&lt;$A13),"",BD3/OFFSET(OcupadosEPACLM!$A$80,MATCH(BD$12,OcupadosEPACLM!$A$80:$A$500)+$A13-1,1)-1)</f>
        <v>-1.5461931016851893E-2</v>
      </c>
      <c r="BE13" s="8">
        <f ca="1">IF(OR(BE3="",BE$11&lt;$A13),"",BE3/OFFSET(OcupadosEPACLM!$A$80,MATCH(BE$12,OcupadosEPACLM!$A$80:$A$500)+$A13-1,1)-1)</f>
        <v>-1.0384311184250428E-2</v>
      </c>
      <c r="BF13" s="8">
        <f ca="1">IF(OR(BF3="",BF$11&lt;$A13),"",BF3/OFFSET(OcupadosEPACLM!$A$80,MATCH(BF$12,OcupadosEPACLM!$A$80:$A$500)+$A13-1,1)-1)</f>
        <v>2.3025759759863762E-2</v>
      </c>
      <c r="BG13" s="8">
        <f ca="1">IF(OR(BG3="",BG$11&lt;$A13),"",BG3/OFFSET(OcupadosEPACLM!$A$80,MATCH(BG$12,OcupadosEPACLM!$A$80:$A$500)+$A13-1,1)-1)</f>
        <v>-1.3021792010224575E-2</v>
      </c>
      <c r="BH13" s="8">
        <f ca="1">IF(OR(BH3="",BH$11&lt;$A13),"",BH3/OFFSET(OcupadosEPACLM!$A$80,MATCH(BH$12,OcupadosEPACLM!$A$80:$A$500)+$A13-1,1)-1)</f>
        <v>-8.8218818518374098E-3</v>
      </c>
      <c r="BI13" s="8">
        <f ca="1">IF(OR(BI3="",BI$11&lt;$A13),"",BI3/OFFSET(OcupadosEPACLM!$A$80,MATCH(BI$12,OcupadosEPACLM!$A$80:$A$500)+$A13-1,1)-1)</f>
        <v>-1.4999993256473831E-2</v>
      </c>
      <c r="BJ13" s="8">
        <f ca="1">IF(OR(BJ3="",BJ$11&lt;$A13),"",BJ3/OFFSET(OcupadosEPACLM!$A$80,MATCH(BJ$12,OcupadosEPACLM!$A$80:$A$500)+$A13-1,1)-1)</f>
        <v>-7.2310074768521249E-3</v>
      </c>
      <c r="BK13" s="8">
        <f ca="1">IF(OR(BK3="",BK$11&lt;$A13),"",BK3/OFFSET(OcupadosEPACLM!$A$80,MATCH(BK$12,OcupadosEPACLM!$A$80:$A$500)+$A13-1,1)-1)</f>
        <v>2.9072475353359328E-2</v>
      </c>
      <c r="BL13" s="8">
        <f ca="1">IF(OR(BL3="",BL$11&lt;$A13),"",BL3/OFFSET(OcupadosEPACLM!$A$80,MATCH(BL$12,OcupadosEPACLM!$A$80:$A$500)+$A13-1,1)-1)</f>
        <v>1.4460113339449299E-2</v>
      </c>
      <c r="BM13" s="8">
        <f ca="1">IF(OR(BM3="",BM$11&lt;$A13),"",BM3/OFFSET(OcupadosEPACLM!$A$80,MATCH(BM$12,OcupadosEPACLM!$A$80:$A$500)+$A13-1,1)-1)</f>
        <v>-4.7304590553653991E-4</v>
      </c>
      <c r="BN13" s="8">
        <f ca="1">IF(OR(BN3="",BN$11&lt;$A13),"",BN3/OFFSET(OcupadosEPACLM!$A$80,MATCH(BN$12,OcupadosEPACLM!$A$80:$A$500)+$A13-1,1)-1)</f>
        <v>1.3713151976158855E-2</v>
      </c>
      <c r="BO13" s="8">
        <f ca="1">IF(OR(BO3="",BO$11&lt;$A13),"",BO3/OFFSET(OcupadosEPACLM!$A$80,MATCH(BO$12,OcupadosEPACLM!$A$80:$A$500)+$A13-1,1)-1)</f>
        <v>3.9986466943027654E-2</v>
      </c>
      <c r="BP13" s="8">
        <f ca="1">IF(OR(BP3="",BP$11&lt;$A13),"",BP3/OFFSET(OcupadosEPACLM!$A$80,MATCH(BP$12,OcupadosEPACLM!$A$80:$A$500)+$A13-1,1)-1)</f>
        <v>-2.8780524639802962E-2</v>
      </c>
      <c r="BQ13" s="8">
        <f ca="1">IF(OR(BQ3="",BQ$11&lt;$A13),"",BQ3/OFFSET(OcupadosEPACLM!$A$80,MATCH(BQ$12,OcupadosEPACLM!$A$80:$A$500)+$A13-1,1)-1)</f>
        <v>-3.1423918420403707E-2</v>
      </c>
      <c r="BR13" s="8" t="str">
        <f ca="1">IF(OR(BR3="",BR$11&lt;$A13),"",BR3/OFFSET(OcupadosEPACLM!$A$80,MATCH(BR$12,OcupadosEPACLM!$A$80:$A$500)+$A13-1,1)-1)</f>
        <v/>
      </c>
      <c r="BS13" s="8" t="str">
        <f ca="1">IF(OR(BS3="",BS$11&lt;$A13),"",BS3/OFFSET(OcupadosEPACLM!$A$80,MATCH(BS$12,OcupadosEPACLM!$A$80:$A$500)+$A13-1,1)-1)</f>
        <v/>
      </c>
      <c r="BT13" s="8" t="str">
        <f ca="1">IF(OR(BT3="",BT$11&lt;$A13),"",BT3/OFFSET(OcupadosEPACLM!$A$80,MATCH(BT$12,OcupadosEPACLM!$A$80:$A$500)+$A13-1,1)-1)</f>
        <v/>
      </c>
      <c r="BU13" s="8" t="str">
        <f ca="1">IF(OR(BU3="",BU$11&lt;$A13),"",BU3/OFFSET(OcupadosEPACLM!$A$80,MATCH(BU$12,OcupadosEPACLM!$A$80:$A$500)+$A13-1,1)-1)</f>
        <v/>
      </c>
      <c r="BV13" s="8" t="str">
        <f ca="1">IF(OR(BV3="",BV$11&lt;$A13),"",BV3/OFFSET(OcupadosEPACLM!$A$80,MATCH(BV$12,OcupadosEPACLM!$A$80:$A$500)+$A13-1,1)-1)</f>
        <v/>
      </c>
      <c r="BW13" s="8" t="str">
        <f ca="1">IF(OR(BW3="",BW$11&lt;$A13),"",BW3/OFFSET(OcupadosEPACLM!$A$80,MATCH(BW$12,OcupadosEPACLM!$A$80:$A$500)+$A13-1,1)-1)</f>
        <v/>
      </c>
      <c r="BX13" s="8" t="str">
        <f ca="1">IF(OR(BX3="",BX$11&lt;$A13),"",BX3/OFFSET(OcupadosEPACLM!$A$80,MATCH(BX$12,OcupadosEPACLM!$A$80:$A$500)+$A13-1,1)-1)</f>
        <v/>
      </c>
      <c r="BY13" s="8" t="str">
        <f ca="1">IF(OR(BY3="",BY$11&lt;$A13),"",BY3/OFFSET(OcupadosEPACLM!$A$80,MATCH(BY$12,OcupadosEPACLM!$A$80:$A$500)+$A13-1,1)-1)</f>
        <v/>
      </c>
      <c r="BZ13" s="8" t="str">
        <f ca="1">IF(OR(BZ3="",BZ$11&lt;$A13),"",BZ3/OFFSET(OcupadosEPACLM!$A$80,MATCH(BZ$12,OcupadosEPACLM!$A$80:$A$500)+$A13-1,1)-1)</f>
        <v/>
      </c>
      <c r="CA13" s="8" t="str">
        <f ca="1">IF(OR(CA3="",CA$11&lt;$A13),"",CA3/OFFSET(OcupadosEPACLM!$A$80,MATCH(CA$12,OcupadosEPACLM!$A$80:$A$500)+$A13-1,1)-1)</f>
        <v/>
      </c>
      <c r="CB13" s="8" t="str">
        <f ca="1">IF(OR(CB3="",CB$11&lt;$A13),"",CB3/OFFSET(OcupadosEPACLM!$A$80,MATCH(CB$12,OcupadosEPACLM!$A$80:$A$500)+$A13-1,1)-1)</f>
        <v/>
      </c>
      <c r="CC13" s="8" t="str">
        <f ca="1">IF(OR(CC3="",CC$11&lt;$A13),"",CC3/OFFSET(OcupadosEPACLM!$A$80,MATCH(CC$12,OcupadosEPACLM!$A$80:$A$500)+$A13-1,1)-1)</f>
        <v/>
      </c>
      <c r="CD13" s="8" t="str">
        <f ca="1">IF(OR(CD3="",CD$11&lt;$A13),"",CD3/OFFSET(OcupadosEPACLM!$A$80,MATCH(CD$12,OcupadosEPACLM!$A$80:$A$500)+$A13-1,1)-1)</f>
        <v/>
      </c>
      <c r="CE13" s="8" t="str">
        <f ca="1">IF(OR(CE3="",CE$11&lt;$A13),"",CE3/OFFSET(OcupadosEPACLM!$A$80,MATCH(CE$12,OcupadosEPACLM!$A$80:$A$500)+$A13-1,1)-1)</f>
        <v/>
      </c>
      <c r="CF13" s="8" t="str">
        <f ca="1">IF(OR(CF3="",CF$11&lt;$A13),"",CF3/OFFSET(OcupadosEPACLM!$A$80,MATCH(CF$12,OcupadosEPACLM!$A$80:$A$500)+$A13-1,1)-1)</f>
        <v/>
      </c>
      <c r="CG13" s="8" t="str">
        <f ca="1">IF(OR(CG3="",CG$11&lt;$A13),"",CG3/OFFSET(OcupadosEPACLM!$A$80,MATCH(CG$12,OcupadosEPACLM!$A$80:$A$500)+$A13-1,1)-1)</f>
        <v/>
      </c>
      <c r="CH13" s="8" t="str">
        <f ca="1">IF(OR(CH3="",CH$11&lt;$A13),"",CH3/OFFSET(OcupadosEPACLM!$A$80,MATCH(CH$12,OcupadosEPACLM!$A$80:$A$500)+$A13-1,1)-1)</f>
        <v/>
      </c>
      <c r="CI13" s="8" t="str">
        <f ca="1">IF(OR(CI3="",CI$11&lt;$A13),"",CI3/OFFSET(OcupadosEPACLM!$A$80,MATCH(CI$12,OcupadosEPACLM!$A$80:$A$500)+$A13-1,1)-1)</f>
        <v/>
      </c>
      <c r="CJ13" s="8" t="str">
        <f ca="1">IF(OR(CJ3="",CJ$11&lt;$A13),"",CJ3/OFFSET(OcupadosEPACLM!$A$80,MATCH(CJ$12,OcupadosEPACLM!$A$80:$A$500)+$A13-1,1)-1)</f>
        <v/>
      </c>
      <c r="CK13" s="8" t="str">
        <f ca="1">IF(OR(CK3="",CK$11&lt;$A13),"",CK3/OFFSET(OcupadosEPACLM!$A$80,MATCH(CK$12,OcupadosEPACLM!$A$80:$A$500)+$A13-1,1)-1)</f>
        <v/>
      </c>
      <c r="CL13" s="8" t="str">
        <f ca="1">IF(OR(CL3="",CL$11&lt;$A13),"",CL3/OFFSET(OcupadosEPACLM!$A$80,MATCH(CL$12,OcupadosEPACLM!$A$80:$A$500)+$A13-1,1)-1)</f>
        <v/>
      </c>
      <c r="CM13" s="8" t="str">
        <f ca="1">IF(OR(CM3="",CM$11&lt;$A13),"",CM3/OFFSET(OcupadosEPACLM!$A$80,MATCH(CM$12,OcupadosEPACLM!$A$80:$A$500)+$A13-1,1)-1)</f>
        <v/>
      </c>
      <c r="CN13" s="8" t="str">
        <f ca="1">IF(OR(CN3="",CN$11&lt;$A13),"",CN3/OFFSET(OcupadosEPACLM!$A$80,MATCH(CN$12,OcupadosEPACLM!$A$80:$A$500)+$A13-1,1)-1)</f>
        <v/>
      </c>
      <c r="CO13" s="8" t="str">
        <f ca="1">IF(OR(CO3="",CO$11&lt;$A13),"",CO3/OFFSET(OcupadosEPACLM!$A$80,MATCH(CO$12,OcupadosEPACLM!$A$80:$A$500)+$A13-1,1)-1)</f>
        <v/>
      </c>
      <c r="CP13" s="8" t="str">
        <f ca="1">IF(OR(CP3="",CP$11&lt;$A13),"",CP3/OFFSET(OcupadosEPACLM!$A$80,MATCH(CP$12,OcupadosEPACLM!$A$80:$A$500)+$A13-1,1)-1)</f>
        <v/>
      </c>
      <c r="CQ13" s="8" t="str">
        <f ca="1">IF(OR(CQ3="",CQ$11&lt;$A13),"",CQ3/OFFSET(OcupadosEPACLM!$A$80,MATCH(CQ$12,OcupadosEPACLM!$A$80:$A$500)+$A13-1,1)-1)</f>
        <v/>
      </c>
      <c r="CR13" s="8" t="str">
        <f ca="1">IF(OR(CR3="",CR$11&lt;$A13),"",CR3/OFFSET(OcupadosEPACLM!$A$80,MATCH(CR$12,OcupadosEPACLM!$A$80:$A$500)+$A13-1,1)-1)</f>
        <v/>
      </c>
      <c r="CS13" s="8" t="str">
        <f ca="1">IF(OR(CS3="",CS$11&lt;$A13),"",CS3/OFFSET(OcupadosEPACLM!$A$80,MATCH(CS$12,OcupadosEPACLM!$A$80:$A$500)+$A13-1,1)-1)</f>
        <v/>
      </c>
      <c r="CT13" s="8" t="str">
        <f ca="1">IF(OR(CT3="",CT$11&lt;$A13),"",CT3/OFFSET(OcupadosEPACLM!$A$80,MATCH(CT$12,OcupadosEPACLM!$A$80:$A$500)+$A13-1,1)-1)</f>
        <v/>
      </c>
      <c r="CU13" s="8" t="str">
        <f ca="1">IF(OR(CU3="",CU$11&lt;$A13),"",CU3/OFFSET(OcupadosEPACLM!$A$80,MATCH(CU$12,OcupadosEPACLM!$A$80:$A$500)+$A13-1,1)-1)</f>
        <v/>
      </c>
      <c r="CV13" s="8" t="str">
        <f ca="1">IF(OR(CV3="",CV$11&lt;$A13),"",CV3/OFFSET(OcupadosEPACLM!$A$80,MATCH(CV$12,OcupadosEPACLM!$A$80:$A$500)+$A13-1,1)-1)</f>
        <v/>
      </c>
      <c r="CW13" s="8" t="str">
        <f ca="1">IF(OR(CW3="",CW$11&lt;$A13),"",CW3/OFFSET(OcupadosEPACLM!$A$80,MATCH(CW$12,OcupadosEPACLM!$A$80:$A$500)+$A13-1,1)-1)</f>
        <v/>
      </c>
      <c r="CX13" s="8" t="str">
        <f ca="1">IF(OR(CX3="",CX$11&lt;$A13),"",CX3/OFFSET(OcupadosEPACLM!$A$80,MATCH(CX$12,OcupadosEPACLM!$A$80:$A$500)+$A13-1,1)-1)</f>
        <v/>
      </c>
      <c r="CY13" s="8" t="str">
        <f ca="1">IF(OR(CY3="",CY$11&lt;$A13),"",CY3/OFFSET(OcupadosEPACLM!$A$80,MATCH(CY$12,OcupadosEPACLM!$A$80:$A$500)+$A13-1,1)-1)</f>
        <v/>
      </c>
      <c r="CZ13" s="8" t="str">
        <f ca="1">IF(OR(CZ3="",CZ$11&lt;$A13),"",CZ3/OFFSET(OcupadosEPACLM!$A$80,MATCH(CZ$12,OcupadosEPACLM!$A$80:$A$500)+$A13-1,1)-1)</f>
        <v/>
      </c>
      <c r="DA13" s="8" t="str">
        <f ca="1">IF(OR(DA3="",DA$11&lt;$A13),"",DA3/OFFSET(OcupadosEPACLM!$A$80,MATCH(DA$12,OcupadosEPACLM!$A$80:$A$500)+$A13-1,1)-1)</f>
        <v/>
      </c>
      <c r="DB13" s="8" t="str">
        <f ca="1">IF(OR(DB3="",DB$11&lt;$A13),"",DB3/OFFSET(OcupadosEPACLM!$A$80,MATCH(DB$12,OcupadosEPACLM!$A$80:$A$500)+$A13-1,1)-1)</f>
        <v/>
      </c>
      <c r="DC13" s="8" t="str">
        <f ca="1">IF(OR(DC3="",DC$11&lt;$A13),"",DC3/OFFSET(OcupadosEPACLM!$A$80,MATCH(DC$12,OcupadosEPACLM!$A$80:$A$500)+$A13-1,1)-1)</f>
        <v/>
      </c>
      <c r="DD13" s="8" t="str">
        <f ca="1">IF(OR(DD3="",DD$11&lt;$A13),"",DD3/OFFSET(OcupadosEPACLM!$A$80,MATCH(DD$12,OcupadosEPACLM!$A$80:$A$500)+$A13-1,1)-1)</f>
        <v/>
      </c>
      <c r="DE13" s="8" t="str">
        <f ca="1">IF(OR(DE3="",DE$11&lt;$A13),"",DE3/OFFSET(OcupadosEPACLM!$A$80,MATCH(DE$12,OcupadosEPACLM!$A$80:$A$500)+$A13-1,1)-1)</f>
        <v/>
      </c>
      <c r="DF13" s="8" t="str">
        <f ca="1">IF(OR(DF3="",DF$11&lt;$A13),"",DF3/OFFSET(OcupadosEPACLM!$A$80,MATCH(DF$12,OcupadosEPACLM!$A$80:$A$500)+$A13-1,1)-1)</f>
        <v/>
      </c>
      <c r="DG13" s="8" t="str">
        <f ca="1">IF(OR(DG3="",DG$11&lt;$A13),"",DG3/OFFSET(OcupadosEPACLM!$A$80,MATCH(DG$12,OcupadosEPACLM!$A$80:$A$500)+$A13-1,1)-1)</f>
        <v/>
      </c>
      <c r="DH13" s="8" t="str">
        <f ca="1">IF(OR(DH3="",DH$11&lt;$A13),"",DH3/OFFSET(OcupadosEPACLM!$A$80,MATCH(DH$12,OcupadosEPACLM!$A$80:$A$500)+$A13-1,1)-1)</f>
        <v/>
      </c>
      <c r="DI13" s="8" t="str">
        <f ca="1">IF(OR(DI3="",DI$11&lt;$A13),"",DI3/OFFSET(OcupadosEPACLM!$A$80,MATCH(DI$12,OcupadosEPACLM!$A$80:$A$500)+$A13-1,1)-1)</f>
        <v/>
      </c>
      <c r="DJ13" s="8" t="str">
        <f ca="1">IF(OR(DJ3="",DJ$11&lt;$A13),"",DJ3/OFFSET(OcupadosEPACLM!$A$80,MATCH(DJ$12,OcupadosEPACLM!$A$80:$A$500)+$A13-1,1)-1)</f>
        <v/>
      </c>
      <c r="DK13" s="8" t="str">
        <f ca="1">IF(OR(DK3="",DK$11&lt;$A13),"",DK3/OFFSET(OcupadosEPACLM!$A$80,MATCH(DK$12,OcupadosEPACLM!$A$80:$A$500)+$A13-1,1)-1)</f>
        <v/>
      </c>
      <c r="DL13" s="8" t="str">
        <f ca="1">IF(OR(DL3="",DL$11&lt;$A13),"",DL3/OFFSET(OcupadosEPACLM!$A$80,MATCH(DL$12,OcupadosEPACLM!$A$80:$A$500)+$A13-1,1)-1)</f>
        <v/>
      </c>
      <c r="DM13" s="8" t="str">
        <f ca="1">IF(OR(DM3="",DM$11&lt;$A13),"",DM3/OFFSET(OcupadosEPACLM!$A$80,MATCH(DM$12,OcupadosEPACLM!$A$80:$A$500)+$A13-1,1)-1)</f>
        <v/>
      </c>
      <c r="DN13" s="8" t="str">
        <f ca="1">IF(OR(DN3="",DN$11&lt;$A13),"",DN3/OFFSET(OcupadosEPACLM!$A$80,MATCH(DN$12,OcupadosEPACLM!$A$80:$A$500)+$A13-1,1)-1)</f>
        <v/>
      </c>
      <c r="DO13" s="8" t="str">
        <f ca="1">IF(OR(DO3="",DO$11&lt;$A13),"",DO3/OFFSET(OcupadosEPACLM!$A$80,MATCH(DO$12,OcupadosEPACLM!$A$80:$A$500)+$A13-1,1)-1)</f>
        <v/>
      </c>
      <c r="DP13" s="8" t="str">
        <f ca="1">IF(OR(DP3="",DP$11&lt;$A13),"",DP3/OFFSET(OcupadosEPACLM!$A$80,MATCH(DP$12,OcupadosEPACLM!$A$80:$A$500)+$A13-1,1)-1)</f>
        <v/>
      </c>
      <c r="DQ13" s="8" t="str">
        <f ca="1">IF(OR(DQ3="",DQ$11&lt;$A13),"",DQ3/OFFSET(OcupadosEPACLM!$A$80,MATCH(DQ$12,OcupadosEPACLM!$A$80:$A$500)+$A13-1,1)-1)</f>
        <v/>
      </c>
      <c r="DR13" s="8" t="str">
        <f ca="1">IF(OR(DR3="",DR$11&lt;$A13),"",DR3/OFFSET(OcupadosEPACLM!$A$80,MATCH(DR$12,OcupadosEPACLM!$A$80:$A$500)+$A13-1,1)-1)</f>
        <v/>
      </c>
      <c r="DS13" s="12">
        <f t="shared" ref="DS13:DS16" ca="1" si="51">AVERAGE(OFFSET($B13,0,Inicio-1,1,Amplitud))</f>
        <v>-2.370005569231511E-3</v>
      </c>
      <c r="DT13" s="12">
        <f t="shared" ref="DT13:DT16" ca="1" si="52">MEDIAN(OFFSET($B13,0,Inicio-1,1,Amplitud))</f>
        <v>-6.083057879837428E-3</v>
      </c>
      <c r="DU13" s="13">
        <f t="shared" ref="DU13:DU16" ca="1" si="53">VARP(OFFSET($B13,0,Inicio-1,1,Amplitud))</f>
        <v>2.8706471009100137E-4</v>
      </c>
      <c r="DV13" s="15">
        <f ca="1">SQRT(DU13)</f>
        <v>1.6942984096404073E-2</v>
      </c>
      <c r="DW13" s="14" t="str">
        <f t="shared" ref="DW13:DW16" ca="1" si="54">CONCATENATE("[ ",TEXT(DS13-2*DV13,"0,00%")," ; ",TEXT(DS13+2*DV13,"0,00%")," ]")</f>
        <v>[ -3,63% ; 3,15% ]</v>
      </c>
      <c r="DX13" s="15">
        <f t="shared" ref="DX13:DX16" ca="1" si="55">DV13*DX$12</f>
        <v>2.1687019643397216E-2</v>
      </c>
      <c r="GI13" s="1"/>
    </row>
    <row r="14" spans="1:191" x14ac:dyDescent="0.25">
      <c r="A14" s="4">
        <v>2</v>
      </c>
      <c r="B14" s="8">
        <f ca="1">IF(OR(B4="",B$11&lt;$A14),"",B4/OFFSET(OcupadosEPACLM!$A$80,MATCH(B$12,OcupadosEPACLM!$A$80:$A$500)+$A14-1,1)-1)</f>
        <v>1.5219512419635262E-3</v>
      </c>
      <c r="C14" s="8">
        <f ca="1">IF(OR(C4="",C$11&lt;$A14),"",C4/OFFSET(OcupadosEPACLM!$A$80,MATCH(C$12,OcupadosEPACLM!$A$80:$A$500)+$A14-1,1)-1)</f>
        <v>-1.7351118311073055E-3</v>
      </c>
      <c r="D14" s="8">
        <f ca="1">IF(OR(D4="",D$11&lt;$A14),"",D4/OFFSET(OcupadosEPACLM!$A$80,MATCH(D$12,OcupadosEPACLM!$A$80:$A$500)+$A14-1,1)-1)</f>
        <v>-1.7615022160311522E-2</v>
      </c>
      <c r="E14" s="8">
        <f ca="1">IF(OR(E4="",E$11&lt;$A14),"",E4/OFFSET(OcupadosEPACLM!$A$80,MATCH(E$12,OcupadosEPACLM!$A$80:$A$500)+$A14-1,1)-1)</f>
        <v>-1.2488696307551117E-2</v>
      </c>
      <c r="F14" s="8">
        <f ca="1">IF(OR(F4="",F$11&lt;$A14),"",F4/OFFSET(OcupadosEPACLM!$A$80,MATCH(F$12,OcupadosEPACLM!$A$80:$A$500)+$A14-1,1)-1)</f>
        <v>-2.8565347378893935E-2</v>
      </c>
      <c r="G14" s="8">
        <f ca="1">IF(OR(G4="",G$11&lt;$A14),"",G4/OFFSET(OcupadosEPACLM!$A$80,MATCH(G$12,OcupadosEPACLM!$A$80:$A$500)+$A14-1,1)-1)</f>
        <v>-2.504906059593226E-2</v>
      </c>
      <c r="H14" s="8">
        <f ca="1">IF(OR(H4="",H$11&lt;$A14),"",H4/OFFSET(OcupadosEPACLM!$A$80,MATCH(H$12,OcupadosEPACLM!$A$80:$A$500)+$A14-1,1)-1)</f>
        <v>1.4412283032074757E-3</v>
      </c>
      <c r="I14" s="8">
        <f ca="1">IF(OR(I4="",I$11&lt;$A14),"",I4/OFFSET(OcupadosEPACLM!$A$80,MATCH(I$12,OcupadosEPACLM!$A$80:$A$500)+$A14-1,1)-1)</f>
        <v>1.1332702965363595E-2</v>
      </c>
      <c r="J14" s="8">
        <f ca="1">IF(OR(J4="",J$11&lt;$A14),"",J4/OFFSET(OcupadosEPACLM!$A$80,MATCH(J$12,OcupadosEPACLM!$A$80:$A$500)+$A14-1,1)-1)</f>
        <v>1.2100038185894002E-2</v>
      </c>
      <c r="K14" s="8">
        <f ca="1">IF(OR(K4="",K$11&lt;$A14),"",K4/OFFSET(OcupadosEPACLM!$A$80,MATCH(K$12,OcupadosEPACLM!$A$80:$A$500)+$A14-1,1)-1)</f>
        <v>9.9776567626301826E-3</v>
      </c>
      <c r="L14" s="8">
        <f ca="1">IF(OR(L4="",L$11&lt;$A14),"",L4/OFFSET(OcupadosEPACLM!$A$80,MATCH(L$12,OcupadosEPACLM!$A$80:$A$500)+$A14-1,1)-1)</f>
        <v>-1.1316994955939963E-2</v>
      </c>
      <c r="M14" s="8">
        <f ca="1">IF(OR(M4="",M$11&lt;$A14),"",M4/OFFSET(OcupadosEPACLM!$A$80,MATCH(M$12,OcupadosEPACLM!$A$80:$A$500)+$A14-1,1)-1)</f>
        <v>-3.0978390526240407E-2</v>
      </c>
      <c r="N14" s="8">
        <f ca="1">IF(OR(N4="",N$11&lt;$A14),"",N4/OFFSET(OcupadosEPACLM!$A$80,MATCH(N$12,OcupadosEPACLM!$A$80:$A$500)+$A14-1,1)-1)</f>
        <v>-1.2696158161193072E-2</v>
      </c>
      <c r="O14" s="8">
        <f ca="1">IF(OR(O4="",O$11&lt;$A14),"",O4/OFFSET(OcupadosEPACLM!$A$80,MATCH(O$12,OcupadosEPACLM!$A$80:$A$500)+$A14-1,1)-1)</f>
        <v>-1.9236085247821277E-3</v>
      </c>
      <c r="P14" s="8">
        <f ca="1">IF(OR(P4="",P$11&lt;$A14),"",P4/OFFSET(OcupadosEPACLM!$A$80,MATCH(P$12,OcupadosEPACLM!$A$80:$A$500)+$A14-1,1)-1)</f>
        <v>9.7213702016929471E-3</v>
      </c>
      <c r="Q14" s="8">
        <f ca="1">IF(OR(Q4="",Q$11&lt;$A14),"",Q4/OFFSET(OcupadosEPACLM!$A$80,MATCH(Q$12,OcupadosEPACLM!$A$80:$A$500)+$A14-1,1)-1)</f>
        <v>2.9856463643448405E-2</v>
      </c>
      <c r="R14" s="8">
        <f ca="1">IF(OR(R4="",R$11&lt;$A14),"",R4/OFFSET(OcupadosEPACLM!$A$80,MATCH(R$12,OcupadosEPACLM!$A$80:$A$500)+$A14-1,1)-1)</f>
        <v>2.4552976195613807E-2</v>
      </c>
      <c r="S14" s="8">
        <f ca="1">IF(OR(S4="",S$11&lt;$A14),"",S4/OFFSET(OcupadosEPACLM!$A$80,MATCH(S$12,OcupadosEPACLM!$A$80:$A$500)+$A14-1,1)-1)</f>
        <v>4.3011100295166083E-2</v>
      </c>
      <c r="T14" s="8">
        <f ca="1">IF(OR(T4="",T$11&lt;$A14),"",T4/OFFSET(OcupadosEPACLM!$A$80,MATCH(T$12,OcupadosEPACLM!$A$80:$A$500)+$A14-1,1)-1)</f>
        <v>6.8455640937295614E-2</v>
      </c>
      <c r="U14" s="8">
        <f ca="1">IF(OR(U4="",U$11&lt;$A14),"",U4/OFFSET(OcupadosEPACLM!$A$80,MATCH(U$12,OcupadosEPACLM!$A$80:$A$500)+$A14-1,1)-1)</f>
        <v>6.5974525767392933E-2</v>
      </c>
      <c r="V14" s="8">
        <f ca="1">IF(OR(V4="",V$11&lt;$A14),"",V4/OFFSET(OcupadosEPACLM!$A$80,MATCH(V$12,OcupadosEPACLM!$A$80:$A$500)+$A14-1,1)-1)</f>
        <v>3.2923166070840448E-2</v>
      </c>
      <c r="W14" s="8">
        <f ca="1">IF(OR(W4="",W$11&lt;$A14),"",W4/OFFSET(OcupadosEPACLM!$A$80,MATCH(W$12,OcupadosEPACLM!$A$80:$A$500)+$A14-1,1)-1)</f>
        <v>-1.0325171119873078E-2</v>
      </c>
      <c r="X14" s="8">
        <f ca="1">IF(OR(X4="",X$11&lt;$A14),"",X4/OFFSET(OcupadosEPACLM!$A$80,MATCH(X$12,OcupadosEPACLM!$A$80:$A$500)+$A14-1,1)-1)</f>
        <v>-3.7202697819195385E-2</v>
      </c>
      <c r="Y14" s="8">
        <f ca="1">IF(OR(Y4="",Y$11&lt;$A14),"",Y4/OFFSET(OcupadosEPACLM!$A$80,MATCH(Y$12,OcupadosEPACLM!$A$80:$A$500)+$A14-1,1)-1)</f>
        <v>-3.2256025215465778E-3</v>
      </c>
      <c r="Z14" s="8">
        <f ca="1">IF(OR(Z4="",Z$11&lt;$A14),"",Z4/OFFSET(OcupadosEPACLM!$A$80,MATCH(Z$12,OcupadosEPACLM!$A$80:$A$500)+$A14-1,1)-1)</f>
        <v>6.6298966479236832E-3</v>
      </c>
      <c r="AA14" s="8">
        <f ca="1">IF(OR(AA4="",AA$11&lt;$A14),"",AA4/OFFSET(OcupadosEPACLM!$A$80,MATCH(AA$12,OcupadosEPACLM!$A$80:$A$500)+$A14-1,1)-1)</f>
        <v>-5.2821754638148199E-3</v>
      </c>
      <c r="AB14" s="8">
        <f ca="1">IF(OR(AB4="",AB$11&lt;$A14),"",AB4/OFFSET(OcupadosEPACLM!$A$80,MATCH(AB$12,OcupadosEPACLM!$A$80:$A$500)+$A14-1,1)-1)</f>
        <v>-1.7959208998300502E-3</v>
      </c>
      <c r="AC14" s="8">
        <f ca="1">IF(OR(AC4="",AC$11&lt;$A14),"",AC4/OFFSET(OcupadosEPACLM!$A$80,MATCH(AC$12,OcupadosEPACLM!$A$80:$A$500)+$A14-1,1)-1)</f>
        <v>-8.7637223516701113E-3</v>
      </c>
      <c r="AD14" s="8">
        <f ca="1">IF(OR(AD4="",AD$11&lt;$A14),"",AD4/OFFSET(OcupadosEPACLM!$A$80,MATCH(AD$12,OcupadosEPACLM!$A$80:$A$500)+$A14-1,1)-1)</f>
        <v>-7.1641094214257572E-3</v>
      </c>
      <c r="AE14" s="8">
        <f ca="1">IF(OR(AE4="",AE$11&lt;$A14),"",AE4/OFFSET(OcupadosEPACLM!$A$80,MATCH(AE$12,OcupadosEPACLM!$A$80:$A$500)+$A14-1,1)-1)</f>
        <v>1.1057173130300413E-2</v>
      </c>
      <c r="AF14" s="8">
        <f ca="1">IF(OR(AF4="",AF$11&lt;$A14),"",AF4/OFFSET(OcupadosEPACLM!$A$80,MATCH(AF$12,OcupadosEPACLM!$A$80:$A$500)+$A14-1,1)-1)</f>
        <v>2.0462043756437787E-2</v>
      </c>
      <c r="AG14" s="8">
        <f ca="1">IF(OR(AG4="",AG$11&lt;$A14),"",AG4/OFFSET(OcupadosEPACLM!$A$80,MATCH(AG$12,OcupadosEPACLM!$A$80:$A$500)+$A14-1,1)-1)</f>
        <v>4.7942000062694223E-2</v>
      </c>
      <c r="AH14" s="8">
        <f ca="1">IF(OR(AH4="",AH$11&lt;$A14),"",AH4/OFFSET(OcupadosEPACLM!$A$80,MATCH(AH$12,OcupadosEPACLM!$A$80:$A$500)+$A14-1,1)-1)</f>
        <v>6.1056327669258836E-2</v>
      </c>
      <c r="AI14" s="8">
        <f ca="1">IF(OR(AI4="",AI$11&lt;$A14),"",AI4/OFFSET(OcupadosEPACLM!$A$80,MATCH(AI$12,OcupadosEPACLM!$A$80:$A$500)+$A14-1,1)-1)</f>
        <v>2.2117099615091451E-2</v>
      </c>
      <c r="AJ14" s="8">
        <f ca="1">IF(OR(AJ4="",AJ$11&lt;$A14),"",AJ4/OFFSET(OcupadosEPACLM!$A$80,MATCH(AJ$12,OcupadosEPACLM!$A$80:$A$500)+$A14-1,1)-1)</f>
        <v>-1.7934539663618798E-3</v>
      </c>
      <c r="AK14" s="8">
        <f ca="1">IF(OR(AK4="",AK$11&lt;$A14),"",AK4/OFFSET(OcupadosEPACLM!$A$80,MATCH(AK$12,OcupadosEPACLM!$A$80:$A$500)+$A14-1,1)-1)</f>
        <v>-4.891927703969623E-3</v>
      </c>
      <c r="AL14" s="8">
        <f ca="1">IF(OR(AL4="",AL$11&lt;$A14),"",AL4/OFFSET(OcupadosEPACLM!$A$80,MATCH(AL$12,OcupadosEPACLM!$A$80:$A$500)+$A14-1,1)-1)</f>
        <v>-3.5918717695436864E-2</v>
      </c>
      <c r="AM14" s="8">
        <f ca="1">IF(OR(AM4="",AM$11&lt;$A14),"",AM4/OFFSET(OcupadosEPACLM!$A$80,MATCH(AM$12,OcupadosEPACLM!$A$80:$A$500)+$A14-1,1)-1)</f>
        <v>-2.7487882378163464E-2</v>
      </c>
      <c r="AN14" s="8">
        <f ca="1">IF(OR(AN4="",AN$11&lt;$A14),"",AN4/OFFSET(OcupadosEPACLM!$A$80,MATCH(AN$12,OcupadosEPACLM!$A$80:$A$500)+$A14-1,1)-1)</f>
        <v>-3.956832868025395E-3</v>
      </c>
      <c r="AO14" s="8">
        <f ca="1">IF(OR(AO4="",AO$11&lt;$A14),"",AO4/OFFSET(OcupadosEPACLM!$A$80,MATCH(AO$12,OcupadosEPACLM!$A$80:$A$500)+$A14-1,1)-1)</f>
        <v>-2.8182382005603746E-3</v>
      </c>
      <c r="AP14" s="8">
        <f ca="1">IF(OR(AP4="",AP$11&lt;$A14),"",AP4/OFFSET(OcupadosEPACLM!$A$80,MATCH(AP$12,OcupadosEPACLM!$A$80:$A$500)+$A14-1,1)-1)</f>
        <v>-5.427906929356352E-3</v>
      </c>
      <c r="AQ14" s="8">
        <f ca="1">IF(OR(AQ4="",AQ$11&lt;$A14),"",AQ4/OFFSET(OcupadosEPACLM!$A$80,MATCH(AQ$12,OcupadosEPACLM!$A$80:$A$500)+$A14-1,1)-1)</f>
        <v>2.1372217979205299E-3</v>
      </c>
      <c r="AR14" s="8">
        <f ca="1">IF(OR(AR4="",AR$11&lt;$A14),"",AR4/OFFSET(OcupadosEPACLM!$A$80,MATCH(AR$12,OcupadosEPACLM!$A$80:$A$500)+$A14-1,1)-1)</f>
        <v>1.2348547146662003E-2</v>
      </c>
      <c r="AS14" s="8">
        <f ca="1">IF(OR(AS4="",AS$11&lt;$A14),"",AS4/OFFSET(OcupadosEPACLM!$A$80,MATCH(AS$12,OcupadosEPACLM!$A$80:$A$500)+$A14-1,1)-1)</f>
        <v>-1.4545308506108912E-2</v>
      </c>
      <c r="AT14" s="8">
        <f ca="1">IF(OR(AT4="",AT$11&lt;$A14),"",AT4/OFFSET(OcupadosEPACLM!$A$80,MATCH(AT$12,OcupadosEPACLM!$A$80:$A$500)+$A14-1,1)-1)</f>
        <v>-2.3739474431883179E-2</v>
      </c>
      <c r="AU14" s="8">
        <f ca="1">IF(OR(AU4="",AU$11&lt;$A14),"",AU4/OFFSET(OcupadosEPACLM!$A$80,MATCH(AU$12,OcupadosEPACLM!$A$80:$A$500)+$A14-1,1)-1)</f>
        <v>-3.2815142652843354E-2</v>
      </c>
      <c r="AV14" s="8">
        <f ca="1">IF(OR(AV4="",AV$11&lt;$A14),"",AV4/OFFSET(OcupadosEPACLM!$A$80,MATCH(AV$12,OcupadosEPACLM!$A$80:$A$500)+$A14-1,1)-1)</f>
        <v>-2.2783296167888989E-2</v>
      </c>
      <c r="AW14" s="8">
        <f ca="1">IF(OR(AW4="",AW$11&lt;$A14),"",AW4/OFFSET(OcupadosEPACLM!$A$80,MATCH(AW$12,OcupadosEPACLM!$A$80:$A$500)+$A14-1,1)-1)</f>
        <v>8.9510380088126951E-3</v>
      </c>
      <c r="AX14" s="8">
        <f ca="1">IF(OR(AX4="",AX$11&lt;$A14),"",AX4/OFFSET(OcupadosEPACLM!$A$80,MATCH(AX$12,OcupadosEPACLM!$A$80:$A$500)+$A14-1,1)-1)</f>
        <v>1.8734363180170632E-3</v>
      </c>
      <c r="AY14" s="8">
        <f ca="1">IF(OR(AY4="",AY$11&lt;$A14),"",AY4/OFFSET(OcupadosEPACLM!$A$80,MATCH(AY$12,OcupadosEPACLM!$A$80:$A$500)+$A14-1,1)-1)</f>
        <v>2.2511600057772974E-4</v>
      </c>
      <c r="AZ14" s="8">
        <f ca="1">IF(OR(AZ4="",AZ$11&lt;$A14),"",AZ4/OFFSET(OcupadosEPACLM!$A$80,MATCH(AZ$12,OcupadosEPACLM!$A$80:$A$500)+$A14-1,1)-1)</f>
        <v>-1.6682954175360698E-2</v>
      </c>
      <c r="BA14" s="8">
        <f ca="1">IF(OR(BA4="",BA$11&lt;$A14),"",BA4/OFFSET(OcupadosEPACLM!$A$80,MATCH(BA$12,OcupadosEPACLM!$A$80:$A$500)+$A14-1,1)-1)</f>
        <v>-3.6166604432330218E-2</v>
      </c>
      <c r="BB14" s="8">
        <f ca="1">IF(OR(BB4="",BB$11&lt;$A14),"",BB4/OFFSET(OcupadosEPACLM!$A$80,MATCH(BB$12,OcupadosEPACLM!$A$80:$A$500)+$A14-1,1)-1)</f>
        <v>1.773410201710135E-2</v>
      </c>
      <c r="BC14" s="8">
        <f ca="1">IF(OR(BC4="",BC$11&lt;$A14),"",BC4/OFFSET(OcupadosEPACLM!$A$80,MATCH(BC$12,OcupadosEPACLM!$A$80:$A$500)+$A14-1,1)-1)</f>
        <v>1.1947337078699327E-2</v>
      </c>
      <c r="BD14" s="8">
        <f ca="1">IF(OR(BD4="",BD$11&lt;$A14),"",BD4/OFFSET(OcupadosEPACLM!$A$80,MATCH(BD$12,OcupadosEPACLM!$A$80:$A$500)+$A14-1,1)-1)</f>
        <v>-2.7507960375971918E-2</v>
      </c>
      <c r="BE14" s="8">
        <f ca="1">IF(OR(BE4="",BE$11&lt;$A14),"",BE4/OFFSET(OcupadosEPACLM!$A$80,MATCH(BE$12,OcupadosEPACLM!$A$80:$A$500)+$A14-1,1)-1)</f>
        <v>1.1572160804979914E-2</v>
      </c>
      <c r="BF14" s="8">
        <f ca="1">IF(OR(BF4="",BF$11&lt;$A14),"",BF4/OFFSET(OcupadosEPACLM!$A$80,MATCH(BF$12,OcupadosEPACLM!$A$80:$A$500)+$A14-1,1)-1)</f>
        <v>1.3015993322217589E-2</v>
      </c>
      <c r="BG14" s="8">
        <f ca="1">IF(OR(BG4="",BG$11&lt;$A14),"",BG4/OFFSET(OcupadosEPACLM!$A$80,MATCH(BG$12,OcupadosEPACLM!$A$80:$A$500)+$A14-1,1)-1)</f>
        <v>-2.3335755525634161E-2</v>
      </c>
      <c r="BH14" s="8">
        <f ca="1">IF(OR(BH4="",BH$11&lt;$A14),"",BH4/OFFSET(OcupadosEPACLM!$A$80,MATCH(BH$12,OcupadosEPACLM!$A$80:$A$500)+$A14-1,1)-1)</f>
        <v>-2.5460379980590031E-2</v>
      </c>
      <c r="BI14" s="8">
        <f ca="1">IF(OR(BI4="",BI$11&lt;$A14),"",BI4/OFFSET(OcupadosEPACLM!$A$80,MATCH(BI$12,OcupadosEPACLM!$A$80:$A$500)+$A14-1,1)-1)</f>
        <v>-2.3660969531109965E-2</v>
      </c>
      <c r="BJ14" s="8">
        <f ca="1">IF(OR(BJ4="",BJ$11&lt;$A14),"",BJ4/OFFSET(OcupadosEPACLM!$A$80,MATCH(BJ$12,OcupadosEPACLM!$A$80:$A$500)+$A14-1,1)-1)</f>
        <v>2.0713776342497825E-2</v>
      </c>
      <c r="BK14" s="8">
        <f ca="1">IF(OR(BK4="",BK$11&lt;$A14),"",BK4/OFFSET(OcupadosEPACLM!$A$80,MATCH(BK$12,OcupadosEPACLM!$A$80:$A$500)+$A14-1,1)-1)</f>
        <v>4.8980118316021226E-2</v>
      </c>
      <c r="BL14" s="8">
        <f ca="1">IF(OR(BL4="",BL$11&lt;$A14),"",BL4/OFFSET(OcupadosEPACLM!$A$80,MATCH(BL$12,OcupadosEPACLM!$A$80:$A$500)+$A14-1,1)-1)</f>
        <v>1.5364460188852513E-2</v>
      </c>
      <c r="BM14" s="8">
        <f ca="1">IF(OR(BM4="",BM$11&lt;$A14),"",BM4/OFFSET(OcupadosEPACLM!$A$80,MATCH(BM$12,OcupadosEPACLM!$A$80:$A$500)+$A14-1,1)-1)</f>
        <v>1.3736675899718609E-2</v>
      </c>
      <c r="BN14" s="8">
        <f ca="1">IF(OR(BN4="",BN$11&lt;$A14),"",BN4/OFFSET(OcupadosEPACLM!$A$80,MATCH(BN$12,OcupadosEPACLM!$A$80:$A$500)+$A14-1,1)-1)</f>
        <v>5.7726451229351161E-2</v>
      </c>
      <c r="BO14" s="8">
        <f ca="1">IF(OR(BO4="",BO$11&lt;$A14),"",BO4/OFFSET(OcupadosEPACLM!$A$80,MATCH(BO$12,OcupadosEPACLM!$A$80:$A$500)+$A14-1,1)-1)</f>
        <v>1.4902563090600562E-2</v>
      </c>
      <c r="BP14" s="8">
        <f ca="1">IF(OR(BP4="",BP$11&lt;$A14),"",BP4/OFFSET(OcupadosEPACLM!$A$80,MATCH(BP$12,OcupadosEPACLM!$A$80:$A$500)+$A14-1,1)-1)</f>
        <v>-6.6240180927534809E-2</v>
      </c>
      <c r="BQ14" s="8" t="str">
        <f ca="1">IF(OR(BQ4="",BQ$11&lt;$A14),"",BQ4/OFFSET(OcupadosEPACLM!$A$80,MATCH(BQ$12,OcupadosEPACLM!$A$80:$A$500)+$A14-1,1)-1)</f>
        <v/>
      </c>
      <c r="BR14" s="8" t="str">
        <f ca="1">IF(OR(BR4="",BR$11&lt;$A14),"",BR4/OFFSET(OcupadosEPACLM!$A$80,MATCH(BR$12,OcupadosEPACLM!$A$80:$A$500)+$A14-1,1)-1)</f>
        <v/>
      </c>
      <c r="BS14" s="8" t="str">
        <f ca="1">IF(OR(BS4="",BS$11&lt;$A14),"",BS4/OFFSET(OcupadosEPACLM!$A$80,MATCH(BS$12,OcupadosEPACLM!$A$80:$A$500)+$A14-1,1)-1)</f>
        <v/>
      </c>
      <c r="BT14" s="8" t="str">
        <f ca="1">IF(OR(BT4="",BT$11&lt;$A14),"",BT4/OFFSET(OcupadosEPACLM!$A$80,MATCH(BT$12,OcupadosEPACLM!$A$80:$A$500)+$A14-1,1)-1)</f>
        <v/>
      </c>
      <c r="BU14" s="8" t="str">
        <f ca="1">IF(OR(BU4="",BU$11&lt;$A14),"",BU4/OFFSET(OcupadosEPACLM!$A$80,MATCH(BU$12,OcupadosEPACLM!$A$80:$A$500)+$A14-1,1)-1)</f>
        <v/>
      </c>
      <c r="BV14" s="8" t="str">
        <f ca="1">IF(OR(BV4="",BV$11&lt;$A14),"",BV4/OFFSET(OcupadosEPACLM!$A$80,MATCH(BV$12,OcupadosEPACLM!$A$80:$A$500)+$A14-1,1)-1)</f>
        <v/>
      </c>
      <c r="BW14" s="8" t="str">
        <f ca="1">IF(OR(BW4="",BW$11&lt;$A14),"",BW4/OFFSET(OcupadosEPACLM!$A$80,MATCH(BW$12,OcupadosEPACLM!$A$80:$A$500)+$A14-1,1)-1)</f>
        <v/>
      </c>
      <c r="BX14" s="8" t="str">
        <f ca="1">IF(OR(BX4="",BX$11&lt;$A14),"",BX4/OFFSET(OcupadosEPACLM!$A$80,MATCH(BX$12,OcupadosEPACLM!$A$80:$A$500)+$A14-1,1)-1)</f>
        <v/>
      </c>
      <c r="BY14" s="8" t="str">
        <f ca="1">IF(OR(BY4="",BY$11&lt;$A14),"",BY4/OFFSET(OcupadosEPACLM!$A$80,MATCH(BY$12,OcupadosEPACLM!$A$80:$A$500)+$A14-1,1)-1)</f>
        <v/>
      </c>
      <c r="BZ14" s="8" t="str">
        <f ca="1">IF(OR(BZ4="",BZ$11&lt;$A14),"",BZ4/OFFSET(OcupadosEPACLM!$A$80,MATCH(BZ$12,OcupadosEPACLM!$A$80:$A$500)+$A14-1,1)-1)</f>
        <v/>
      </c>
      <c r="CA14" s="8" t="str">
        <f ca="1">IF(OR(CA4="",CA$11&lt;$A14),"",CA4/OFFSET(OcupadosEPACLM!$A$80,MATCH(CA$12,OcupadosEPACLM!$A$80:$A$500)+$A14-1,1)-1)</f>
        <v/>
      </c>
      <c r="CB14" s="8" t="str">
        <f ca="1">IF(OR(CB4="",CB$11&lt;$A14),"",CB4/OFFSET(OcupadosEPACLM!$A$80,MATCH(CB$12,OcupadosEPACLM!$A$80:$A$500)+$A14-1,1)-1)</f>
        <v/>
      </c>
      <c r="CC14" s="8" t="str">
        <f ca="1">IF(OR(CC4="",CC$11&lt;$A14),"",CC4/OFFSET(OcupadosEPACLM!$A$80,MATCH(CC$12,OcupadosEPACLM!$A$80:$A$500)+$A14-1,1)-1)</f>
        <v/>
      </c>
      <c r="CD14" s="8" t="str">
        <f ca="1">IF(OR(CD4="",CD$11&lt;$A14),"",CD4/OFFSET(OcupadosEPACLM!$A$80,MATCH(CD$12,OcupadosEPACLM!$A$80:$A$500)+$A14-1,1)-1)</f>
        <v/>
      </c>
      <c r="CE14" s="8" t="str">
        <f ca="1">IF(OR(CE4="",CE$11&lt;$A14),"",CE4/OFFSET(OcupadosEPACLM!$A$80,MATCH(CE$12,OcupadosEPACLM!$A$80:$A$500)+$A14-1,1)-1)</f>
        <v/>
      </c>
      <c r="CF14" s="8" t="str">
        <f ca="1">IF(OR(CF4="",CF$11&lt;$A14),"",CF4/OFFSET(OcupadosEPACLM!$A$80,MATCH(CF$12,OcupadosEPACLM!$A$80:$A$500)+$A14-1,1)-1)</f>
        <v/>
      </c>
      <c r="CG14" s="8" t="str">
        <f ca="1">IF(OR(CG4="",CG$11&lt;$A14),"",CG4/OFFSET(OcupadosEPACLM!$A$80,MATCH(CG$12,OcupadosEPACLM!$A$80:$A$500)+$A14-1,1)-1)</f>
        <v/>
      </c>
      <c r="CH14" s="8" t="str">
        <f ca="1">IF(OR(CH4="",CH$11&lt;$A14),"",CH4/OFFSET(OcupadosEPACLM!$A$80,MATCH(CH$12,OcupadosEPACLM!$A$80:$A$500)+$A14-1,1)-1)</f>
        <v/>
      </c>
      <c r="CI14" s="8" t="str">
        <f ca="1">IF(OR(CI4="",CI$11&lt;$A14),"",CI4/OFFSET(OcupadosEPACLM!$A$80,MATCH(CI$12,OcupadosEPACLM!$A$80:$A$500)+$A14-1,1)-1)</f>
        <v/>
      </c>
      <c r="CJ14" s="8" t="str">
        <f ca="1">IF(OR(CJ4="",CJ$11&lt;$A14),"",CJ4/OFFSET(OcupadosEPACLM!$A$80,MATCH(CJ$12,OcupadosEPACLM!$A$80:$A$500)+$A14-1,1)-1)</f>
        <v/>
      </c>
      <c r="CK14" s="8" t="str">
        <f ca="1">IF(OR(CK4="",CK$11&lt;$A14),"",CK4/OFFSET(OcupadosEPACLM!$A$80,MATCH(CK$12,OcupadosEPACLM!$A$80:$A$500)+$A14-1,1)-1)</f>
        <v/>
      </c>
      <c r="CL14" s="8" t="str">
        <f ca="1">IF(OR(CL4="",CL$11&lt;$A14),"",CL4/OFFSET(OcupadosEPACLM!$A$80,MATCH(CL$12,OcupadosEPACLM!$A$80:$A$500)+$A14-1,1)-1)</f>
        <v/>
      </c>
      <c r="CM14" s="8" t="str">
        <f ca="1">IF(OR(CM4="",CM$11&lt;$A14),"",CM4/OFFSET(OcupadosEPACLM!$A$80,MATCH(CM$12,OcupadosEPACLM!$A$80:$A$500)+$A14-1,1)-1)</f>
        <v/>
      </c>
      <c r="CN14" s="8" t="str">
        <f ca="1">IF(OR(CN4="",CN$11&lt;$A14),"",CN4/OFFSET(OcupadosEPACLM!$A$80,MATCH(CN$12,OcupadosEPACLM!$A$80:$A$500)+$A14-1,1)-1)</f>
        <v/>
      </c>
      <c r="CO14" s="8" t="str">
        <f ca="1">IF(OR(CO4="",CO$11&lt;$A14),"",CO4/OFFSET(OcupadosEPACLM!$A$80,MATCH(CO$12,OcupadosEPACLM!$A$80:$A$500)+$A14-1,1)-1)</f>
        <v/>
      </c>
      <c r="CP14" s="8" t="str">
        <f ca="1">IF(OR(CP4="",CP$11&lt;$A14),"",CP4/OFFSET(OcupadosEPACLM!$A$80,MATCH(CP$12,OcupadosEPACLM!$A$80:$A$500)+$A14-1,1)-1)</f>
        <v/>
      </c>
      <c r="CQ14" s="8" t="str">
        <f ca="1">IF(OR(CQ4="",CQ$11&lt;$A14),"",CQ4/OFFSET(OcupadosEPACLM!$A$80,MATCH(CQ$12,OcupadosEPACLM!$A$80:$A$500)+$A14-1,1)-1)</f>
        <v/>
      </c>
      <c r="CR14" s="8" t="str">
        <f ca="1">IF(OR(CR4="",CR$11&lt;$A14),"",CR4/OFFSET(OcupadosEPACLM!$A$80,MATCH(CR$12,OcupadosEPACLM!$A$80:$A$500)+$A14-1,1)-1)</f>
        <v/>
      </c>
      <c r="CS14" s="8" t="str">
        <f ca="1">IF(OR(CS4="",CS$11&lt;$A14),"",CS4/OFFSET(OcupadosEPACLM!$A$80,MATCH(CS$12,OcupadosEPACLM!$A$80:$A$500)+$A14-1,1)-1)</f>
        <v/>
      </c>
      <c r="CT14" s="8" t="str">
        <f ca="1">IF(OR(CT4="",CT$11&lt;$A14),"",CT4/OFFSET(OcupadosEPACLM!$A$80,MATCH(CT$12,OcupadosEPACLM!$A$80:$A$500)+$A14-1,1)-1)</f>
        <v/>
      </c>
      <c r="CU14" s="8" t="str">
        <f ca="1">IF(OR(CU4="",CU$11&lt;$A14),"",CU4/OFFSET(OcupadosEPACLM!$A$80,MATCH(CU$12,OcupadosEPACLM!$A$80:$A$500)+$A14-1,1)-1)</f>
        <v/>
      </c>
      <c r="CV14" s="8" t="str">
        <f ca="1">IF(OR(CV4="",CV$11&lt;$A14),"",CV4/OFFSET(OcupadosEPACLM!$A$80,MATCH(CV$12,OcupadosEPACLM!$A$80:$A$500)+$A14-1,1)-1)</f>
        <v/>
      </c>
      <c r="CW14" s="8" t="str">
        <f ca="1">IF(OR(CW4="",CW$11&lt;$A14),"",CW4/OFFSET(OcupadosEPACLM!$A$80,MATCH(CW$12,OcupadosEPACLM!$A$80:$A$500)+$A14-1,1)-1)</f>
        <v/>
      </c>
      <c r="CX14" s="8" t="str">
        <f ca="1">IF(OR(CX4="",CX$11&lt;$A14),"",CX4/OFFSET(OcupadosEPACLM!$A$80,MATCH(CX$12,OcupadosEPACLM!$A$80:$A$500)+$A14-1,1)-1)</f>
        <v/>
      </c>
      <c r="CY14" s="8" t="str">
        <f ca="1">IF(OR(CY4="",CY$11&lt;$A14),"",CY4/OFFSET(OcupadosEPACLM!$A$80,MATCH(CY$12,OcupadosEPACLM!$A$80:$A$500)+$A14-1,1)-1)</f>
        <v/>
      </c>
      <c r="CZ14" s="8" t="str">
        <f ca="1">IF(OR(CZ4="",CZ$11&lt;$A14),"",CZ4/OFFSET(OcupadosEPACLM!$A$80,MATCH(CZ$12,OcupadosEPACLM!$A$80:$A$500)+$A14-1,1)-1)</f>
        <v/>
      </c>
      <c r="DA14" s="8" t="str">
        <f ca="1">IF(OR(DA4="",DA$11&lt;$A14),"",DA4/OFFSET(OcupadosEPACLM!$A$80,MATCH(DA$12,OcupadosEPACLM!$A$80:$A$500)+$A14-1,1)-1)</f>
        <v/>
      </c>
      <c r="DB14" s="8" t="str">
        <f ca="1">IF(OR(DB4="",DB$11&lt;$A14),"",DB4/OFFSET(OcupadosEPACLM!$A$80,MATCH(DB$12,OcupadosEPACLM!$A$80:$A$500)+$A14-1,1)-1)</f>
        <v/>
      </c>
      <c r="DC14" s="8" t="str">
        <f ca="1">IF(OR(DC4="",DC$11&lt;$A14),"",DC4/OFFSET(OcupadosEPACLM!$A$80,MATCH(DC$12,OcupadosEPACLM!$A$80:$A$500)+$A14-1,1)-1)</f>
        <v/>
      </c>
      <c r="DD14" s="8" t="str">
        <f ca="1">IF(OR(DD4="",DD$11&lt;$A14),"",DD4/OFFSET(OcupadosEPACLM!$A$80,MATCH(DD$12,OcupadosEPACLM!$A$80:$A$500)+$A14-1,1)-1)</f>
        <v/>
      </c>
      <c r="DE14" s="8" t="str">
        <f ca="1">IF(OR(DE4="",DE$11&lt;$A14),"",DE4/OFFSET(OcupadosEPACLM!$A$80,MATCH(DE$12,OcupadosEPACLM!$A$80:$A$500)+$A14-1,1)-1)</f>
        <v/>
      </c>
      <c r="DF14" s="8" t="str">
        <f ca="1">IF(OR(DF4="",DF$11&lt;$A14),"",DF4/OFFSET(OcupadosEPACLM!$A$80,MATCH(DF$12,OcupadosEPACLM!$A$80:$A$500)+$A14-1,1)-1)</f>
        <v/>
      </c>
      <c r="DG14" s="8" t="str">
        <f ca="1">IF(OR(DG4="",DG$11&lt;$A14),"",DG4/OFFSET(OcupadosEPACLM!$A$80,MATCH(DG$12,OcupadosEPACLM!$A$80:$A$500)+$A14-1,1)-1)</f>
        <v/>
      </c>
      <c r="DH14" s="8" t="str">
        <f ca="1">IF(OR(DH4="",DH$11&lt;$A14),"",DH4/OFFSET(OcupadosEPACLM!$A$80,MATCH(DH$12,OcupadosEPACLM!$A$80:$A$500)+$A14-1,1)-1)</f>
        <v/>
      </c>
      <c r="DI14" s="8" t="str">
        <f ca="1">IF(OR(DI4="",DI$11&lt;$A14),"",DI4/OFFSET(OcupadosEPACLM!$A$80,MATCH(DI$12,OcupadosEPACLM!$A$80:$A$500)+$A14-1,1)-1)</f>
        <v/>
      </c>
      <c r="DJ14" s="8" t="str">
        <f ca="1">IF(OR(DJ4="",DJ$11&lt;$A14),"",DJ4/OFFSET(OcupadosEPACLM!$A$80,MATCH(DJ$12,OcupadosEPACLM!$A$80:$A$500)+$A14-1,1)-1)</f>
        <v/>
      </c>
      <c r="DK14" s="8" t="str">
        <f ca="1">IF(OR(DK4="",DK$11&lt;$A14),"",DK4/OFFSET(OcupadosEPACLM!$A$80,MATCH(DK$12,OcupadosEPACLM!$A$80:$A$500)+$A14-1,1)-1)</f>
        <v/>
      </c>
      <c r="DL14" s="8" t="str">
        <f ca="1">IF(OR(DL4="",DL$11&lt;$A14),"",DL4/OFFSET(OcupadosEPACLM!$A$80,MATCH(DL$12,OcupadosEPACLM!$A$80:$A$500)+$A14-1,1)-1)</f>
        <v/>
      </c>
      <c r="DM14" s="8" t="str">
        <f ca="1">IF(OR(DM4="",DM$11&lt;$A14),"",DM4/OFFSET(OcupadosEPACLM!$A$80,MATCH(DM$12,OcupadosEPACLM!$A$80:$A$500)+$A14-1,1)-1)</f>
        <v/>
      </c>
      <c r="DN14" s="8" t="str">
        <f ca="1">IF(OR(DN4="",DN$11&lt;$A14),"",DN4/OFFSET(OcupadosEPACLM!$A$80,MATCH(DN$12,OcupadosEPACLM!$A$80:$A$500)+$A14-1,1)-1)</f>
        <v/>
      </c>
      <c r="DO14" s="8" t="str">
        <f ca="1">IF(OR(DO4="",DO$11&lt;$A14),"",DO4/OFFSET(OcupadosEPACLM!$A$80,MATCH(DO$12,OcupadosEPACLM!$A$80:$A$500)+$A14-1,1)-1)</f>
        <v/>
      </c>
      <c r="DP14" s="8" t="str">
        <f ca="1">IF(OR(DP4="",DP$11&lt;$A14),"",DP4/OFFSET(OcupadosEPACLM!$A$80,MATCH(DP$12,OcupadosEPACLM!$A$80:$A$500)+$A14-1,1)-1)</f>
        <v/>
      </c>
      <c r="DQ14" s="8" t="str">
        <f ca="1">IF(OR(DQ4="",DQ$11&lt;$A14),"",DQ4/OFFSET(OcupadosEPACLM!$A$80,MATCH(DQ$12,OcupadosEPACLM!$A$80:$A$500)+$A14-1,1)-1)</f>
        <v/>
      </c>
      <c r="DR14" s="8" t="str">
        <f ca="1">IF(OR(DR4="",DR$11&lt;$A14),"",DR4/OFFSET(OcupadosEPACLM!$A$80,MATCH(DR$12,OcupadosEPACLM!$A$80:$A$500)+$A14-1,1)-1)</f>
        <v/>
      </c>
      <c r="DS14" s="12">
        <f t="shared" ca="1" si="51"/>
        <v>-3.3799963173777241E-3</v>
      </c>
      <c r="DT14" s="12">
        <f t="shared" ca="1" si="52"/>
        <v>-1.2965610999913224E-3</v>
      </c>
      <c r="DU14" s="13">
        <f t="shared" ca="1" si="53"/>
        <v>6.3763290245854351E-4</v>
      </c>
      <c r="DV14" s="15">
        <f t="shared" ref="DV14:DV16" ca="1" si="56">SQRT(DU14)</f>
        <v>2.5251394069606206E-2</v>
      </c>
      <c r="DW14" s="14" t="str">
        <f t="shared" ca="1" si="54"/>
        <v>[ -5,39% ; 4,71% ]</v>
      </c>
      <c r="DX14" s="15">
        <f t="shared" ca="1" si="55"/>
        <v>3.2321784409095944E-2</v>
      </c>
      <c r="GI14" s="1"/>
    </row>
    <row r="15" spans="1:191" x14ac:dyDescent="0.25">
      <c r="A15" s="4">
        <v>3</v>
      </c>
      <c r="B15" s="8">
        <f ca="1">IF(OR(B5="",B$11&lt;$A15),"",B5/OFFSET(OcupadosEPACLM!$A$80,MATCH(B$12,OcupadosEPACLM!$A$80:$A$500)+$A15-1,1)-1)</f>
        <v>-7.9739367657164495E-3</v>
      </c>
      <c r="C15" s="8">
        <f ca="1">IF(OR(C5="",C$11&lt;$A15),"",C5/OFFSET(OcupadosEPACLM!$A$80,MATCH(C$12,OcupadosEPACLM!$A$80:$A$500)+$A15-1,1)-1)</f>
        <v>-8.763532365316018E-3</v>
      </c>
      <c r="D15" s="8">
        <f ca="1">IF(OR(D5="",D$11&lt;$A15),"",D5/OFFSET(OcupadosEPACLM!$A$80,MATCH(D$12,OcupadosEPACLM!$A$80:$A$500)+$A15-1,1)-1)</f>
        <v>-2.2649826449553823E-2</v>
      </c>
      <c r="E15" s="8">
        <f ca="1">IF(OR(E5="",E$11&lt;$A15),"",E5/OFFSET(OcupadosEPACLM!$A$80,MATCH(E$12,OcupadosEPACLM!$A$80:$A$500)+$A15-1,1)-1)</f>
        <v>-3.7067194890237465E-2</v>
      </c>
      <c r="F15" s="8">
        <f ca="1">IF(OR(F5="",F$11&lt;$A15),"",F5/OFFSET(OcupadosEPACLM!$A$80,MATCH(F$12,OcupadosEPACLM!$A$80:$A$500)+$A15-1,1)-1)</f>
        <v>-3.1011074618143231E-2</v>
      </c>
      <c r="G15" s="8">
        <f ca="1">IF(OR(G5="",G$11&lt;$A15),"",G5/OFFSET(OcupadosEPACLM!$A$80,MATCH(G$12,OcupadosEPACLM!$A$80:$A$500)+$A15-1,1)-1)</f>
        <v>-2.0432848756728239E-2</v>
      </c>
      <c r="H15" s="8">
        <f ca="1">IF(OR(H5="",H$11&lt;$A15),"",H5/OFFSET(OcupadosEPACLM!$A$80,MATCH(H$12,OcupadosEPACLM!$A$80:$A$500)+$A15-1,1)-1)</f>
        <v>7.7452442605889793E-3</v>
      </c>
      <c r="I15" s="8">
        <f ca="1">IF(OR(I5="",I$11&lt;$A15),"",I5/OFFSET(OcupadosEPACLM!$A$80,MATCH(I$12,OcupadosEPACLM!$A$80:$A$500)+$A15-1,1)-1)</f>
        <v>2.0453265542421217E-2</v>
      </c>
      <c r="J15" s="8">
        <f ca="1">IF(OR(J5="",J$11&lt;$A15),"",J5/OFFSET(OcupadosEPACLM!$A$80,MATCH(J$12,OcupadosEPACLM!$A$80:$A$500)+$A15-1,1)-1)</f>
        <v>1.7402683750044723E-2</v>
      </c>
      <c r="K15" s="8">
        <f ca="1">IF(OR(K5="",K$11&lt;$A15),"",K5/OFFSET(OcupadosEPACLM!$A$80,MATCH(K$12,OcupadosEPACLM!$A$80:$A$500)+$A15-1,1)-1)</f>
        <v>-5.1254150333681636E-3</v>
      </c>
      <c r="L15" s="8">
        <f ca="1">IF(OR(L5="",L$11&lt;$A15),"",L5/OFFSET(OcupadosEPACLM!$A$80,MATCH(L$12,OcupadosEPACLM!$A$80:$A$500)+$A15-1,1)-1)</f>
        <v>-2.4615913672218492E-2</v>
      </c>
      <c r="M15" s="8">
        <f ca="1">IF(OR(M5="",M$11&lt;$A15),"",M5/OFFSET(OcupadosEPACLM!$A$80,MATCH(M$12,OcupadosEPACLM!$A$80:$A$500)+$A15-1,1)-1)</f>
        <v>-2.7742676857071769E-2</v>
      </c>
      <c r="N15" s="8">
        <f ca="1">IF(OR(N5="",N$11&lt;$A15),"",N5/OFFSET(OcupadosEPACLM!$A$80,MATCH(N$12,OcupadosEPACLM!$A$80:$A$500)+$A15-1,1)-1)</f>
        <v>-1.947430192258226E-2</v>
      </c>
      <c r="O15" s="8">
        <f ca="1">IF(OR(O5="",O$11&lt;$A15),"",O5/OFFSET(OcupadosEPACLM!$A$80,MATCH(O$12,OcupadosEPACLM!$A$80:$A$500)+$A15-1,1)-1)</f>
        <v>1.4817656499260368E-2</v>
      </c>
      <c r="P15" s="8">
        <f ca="1">IF(OR(P5="",P$11&lt;$A15),"",P5/OFFSET(OcupadosEPACLM!$A$80,MATCH(P$12,OcupadosEPACLM!$A$80:$A$500)+$A15-1,1)-1)</f>
        <v>2.3837336836543432E-2</v>
      </c>
      <c r="Q15" s="8">
        <f ca="1">IF(OR(Q5="",Q$11&lt;$A15),"",Q5/OFFSET(OcupadosEPACLM!$A$80,MATCH(Q$12,OcupadosEPACLM!$A$80:$A$500)+$A15-1,1)-1)</f>
        <v>4.3370838164947356E-2</v>
      </c>
      <c r="R15" s="8">
        <f ca="1">IF(OR(R5="",R$11&lt;$A15),"",R5/OFFSET(OcupadosEPACLM!$A$80,MATCH(R$12,OcupadosEPACLM!$A$80:$A$500)+$A15-1,1)-1)</f>
        <v>5.8107703791894005E-2</v>
      </c>
      <c r="S15" s="8">
        <f ca="1">IF(OR(S5="",S$11&lt;$A15),"",S5/OFFSET(OcupadosEPACLM!$A$80,MATCH(S$12,OcupadosEPACLM!$A$80:$A$500)+$A15-1,1)-1)</f>
        <v>8.1231667747514669E-2</v>
      </c>
      <c r="T15" s="8">
        <f ca="1">IF(OR(T5="",T$11&lt;$A15),"",T5/OFFSET(OcupadosEPACLM!$A$80,MATCH(T$12,OcupadosEPACLM!$A$80:$A$500)+$A15-1,1)-1)</f>
        <v>0.10393452241444234</v>
      </c>
      <c r="U15" s="8">
        <f ca="1">IF(OR(U5="",U$11&lt;$A15),"",U5/OFFSET(OcupadosEPACLM!$A$80,MATCH(U$12,OcupadosEPACLM!$A$80:$A$500)+$A15-1,1)-1)</f>
        <v>9.177434411322527E-2</v>
      </c>
      <c r="V15" s="8">
        <f ca="1">IF(OR(V5="",V$11&lt;$A15),"",V5/OFFSET(OcupadosEPACLM!$A$80,MATCH(V$12,OcupadosEPACLM!$A$80:$A$500)+$A15-1,1)-1)</f>
        <v>2.2561896885240795E-2</v>
      </c>
      <c r="W15" s="8">
        <f ca="1">IF(OR(W5="",W$11&lt;$A15),"",W5/OFFSET(OcupadosEPACLM!$A$80,MATCH(W$12,OcupadosEPACLM!$A$80:$A$500)+$A15-1,1)-1)</f>
        <v>-2.4884081668759661E-2</v>
      </c>
      <c r="X15" s="8">
        <f ca="1">IF(OR(X5="",X$11&lt;$A15),"",X5/OFFSET(OcupadosEPACLM!$A$80,MATCH(X$12,OcupadosEPACLM!$A$80:$A$500)+$A15-1,1)-1)</f>
        <v>-3.2273749605614355E-2</v>
      </c>
      <c r="Y15" s="8">
        <f ca="1">IF(OR(Y5="",Y$11&lt;$A15),"",Y5/OFFSET(OcupadosEPACLM!$A$80,MATCH(Y$12,OcupadosEPACLM!$A$80:$A$500)+$A15-1,1)-1)</f>
        <v>-7.610430656548095E-3</v>
      </c>
      <c r="Z15" s="8">
        <f ca="1">IF(OR(Z5="",Z$11&lt;$A15),"",Z5/OFFSET(OcupadosEPACLM!$A$80,MATCH(Z$12,OcupadosEPACLM!$A$80:$A$500)+$A15-1,1)-1)</f>
        <v>7.9857528184659188E-3</v>
      </c>
      <c r="AA15" s="8">
        <f ca="1">IF(OR(AA5="",AA$11&lt;$A15),"",AA5/OFFSET(OcupadosEPACLM!$A$80,MATCH(AA$12,OcupadosEPACLM!$A$80:$A$500)+$A15-1,1)-1)</f>
        <v>-5.9074344675446033E-3</v>
      </c>
      <c r="AB15" s="8">
        <f ca="1">IF(OR(AB5="",AB$11&lt;$A15),"",AB5/OFFSET(OcupadosEPACLM!$A$80,MATCH(AB$12,OcupadosEPACLM!$A$80:$A$500)+$A15-1,1)-1)</f>
        <v>-1.313025445684135E-2</v>
      </c>
      <c r="AC15" s="8">
        <f ca="1">IF(OR(AC5="",AC$11&lt;$A15),"",AC5/OFFSET(OcupadosEPACLM!$A$80,MATCH(AC$12,OcupadosEPACLM!$A$80:$A$500)+$A15-1,1)-1)</f>
        <v>-3.8320212239419948E-3</v>
      </c>
      <c r="AD15" s="8">
        <f ca="1">IF(OR(AD5="",AD$11&lt;$A15),"",AD5/OFFSET(OcupadosEPACLM!$A$80,MATCH(AD$12,OcupadosEPACLM!$A$80:$A$500)+$A15-1,1)-1)</f>
        <v>-3.3436571293943285E-3</v>
      </c>
      <c r="AE15" s="8">
        <f ca="1">IF(OR(AE5="",AE$11&lt;$A15),"",AE5/OFFSET(OcupadosEPACLM!$A$80,MATCH(AE$12,OcupadosEPACLM!$A$80:$A$500)+$A15-1,1)-1)</f>
        <v>2.6980105554633704E-2</v>
      </c>
      <c r="AF15" s="8">
        <f ca="1">IF(OR(AF5="",AF$11&lt;$A15),"",AF5/OFFSET(OcupadosEPACLM!$A$80,MATCH(AF$12,OcupadosEPACLM!$A$80:$A$500)+$A15-1,1)-1)</f>
        <v>5.0846419088755201E-2</v>
      </c>
      <c r="AG15" s="8">
        <f ca="1">IF(OR(AG5="",AG$11&lt;$A15),"",AG5/OFFSET(OcupadosEPACLM!$A$80,MATCH(AG$12,OcupadosEPACLM!$A$80:$A$500)+$A15-1,1)-1)</f>
        <v>7.9716160222085941E-2</v>
      </c>
      <c r="AH15" s="8">
        <f ca="1">IF(OR(AH5="",AH$11&lt;$A15),"",AH5/OFFSET(OcupadosEPACLM!$A$80,MATCH(AH$12,OcupadosEPACLM!$A$80:$A$500)+$A15-1,1)-1)</f>
        <v>6.2130908097610016E-2</v>
      </c>
      <c r="AI15" s="8">
        <f ca="1">IF(OR(AI5="",AI$11&lt;$A15),"",AI5/OFFSET(OcupadosEPACLM!$A$80,MATCH(AI$12,OcupadosEPACLM!$A$80:$A$500)+$A15-1,1)-1)</f>
        <v>2.9807626478888682E-2</v>
      </c>
      <c r="AJ15" s="8">
        <f ca="1">IF(OR(AJ5="",AJ$11&lt;$A15),"",AJ5/OFFSET(OcupadosEPACLM!$A$80,MATCH(AJ$12,OcupadosEPACLM!$A$80:$A$500)+$A15-1,1)-1)</f>
        <v>-1.1525553242578535E-2</v>
      </c>
      <c r="AK15" s="8">
        <f ca="1">IF(OR(AK5="",AK$11&lt;$A15),"",AK5/OFFSET(OcupadosEPACLM!$A$80,MATCH(AK$12,OcupadosEPACLM!$A$80:$A$500)+$A15-1,1)-1)</f>
        <v>-3.0496986044803664E-2</v>
      </c>
      <c r="AL15" s="8">
        <f ca="1">IF(OR(AL5="",AL$11&lt;$A15),"",AL5/OFFSET(OcupadosEPACLM!$A$80,MATCH(AL$12,OcupadosEPACLM!$A$80:$A$500)+$A15-1,1)-1)</f>
        <v>-4.1198724350625104E-2</v>
      </c>
      <c r="AM15" s="8">
        <f ca="1">IF(OR(AM5="",AM$11&lt;$A15),"",AM5/OFFSET(OcupadosEPACLM!$A$80,MATCH(AM$12,OcupadosEPACLM!$A$80:$A$500)+$A15-1,1)-1)</f>
        <v>-3.9442293659831318E-2</v>
      </c>
      <c r="AN15" s="8">
        <f ca="1">IF(OR(AN5="",AN$11&lt;$A15),"",AN5/OFFSET(OcupadosEPACLM!$A$80,MATCH(AN$12,OcupadosEPACLM!$A$80:$A$500)+$A15-1,1)-1)</f>
        <v>-4.7622754111183996E-3</v>
      </c>
      <c r="AO15" s="8">
        <f ca="1">IF(OR(AO5="",AO$11&lt;$A15),"",AO5/OFFSET(OcupadosEPACLM!$A$80,MATCH(AO$12,OcupadosEPACLM!$A$80:$A$500)+$A15-1,1)-1)</f>
        <v>-1.2883201528960275E-2</v>
      </c>
      <c r="AP15" s="8">
        <f ca="1">IF(OR(AP5="",AP$11&lt;$A15),"",AP5/OFFSET(OcupadosEPACLM!$A$80,MATCH(AP$12,OcupadosEPACLM!$A$80:$A$500)+$A15-1,1)-1)</f>
        <v>4.3498311347653917E-3</v>
      </c>
      <c r="AQ15" s="8">
        <f ca="1">IF(OR(AQ5="",AQ$11&lt;$A15),"",AQ5/OFFSET(OcupadosEPACLM!$A$80,MATCH(AQ$12,OcupadosEPACLM!$A$80:$A$500)+$A15-1,1)-1)</f>
        <v>-2.0223867643013316E-3</v>
      </c>
      <c r="AR15" s="8">
        <f ca="1">IF(OR(AR5="",AR$11&lt;$A15),"",AR5/OFFSET(OcupadosEPACLM!$A$80,MATCH(AR$12,OcupadosEPACLM!$A$80:$A$500)+$A15-1,1)-1)</f>
        <v>7.6233520269628485E-3</v>
      </c>
      <c r="AS15" s="8">
        <f ca="1">IF(OR(AS5="",AS$11&lt;$A15),"",AS5/OFFSET(OcupadosEPACLM!$A$80,MATCH(AS$12,OcupadosEPACLM!$A$80:$A$500)+$A15-1,1)-1)</f>
        <v>-2.8152421900727864E-2</v>
      </c>
      <c r="AT15" s="8">
        <f ca="1">IF(OR(AT5="",AT$11&lt;$A15),"",AT5/OFFSET(OcupadosEPACLM!$A$80,MATCH(AT$12,OcupadosEPACLM!$A$80:$A$500)+$A15-1,1)-1)</f>
        <v>-4.6450278350860352E-2</v>
      </c>
      <c r="AU15" s="8">
        <f ca="1">IF(OR(AU5="",AU$11&lt;$A15),"",AU5/OFFSET(OcupadosEPACLM!$A$80,MATCH(AU$12,OcupadosEPACLM!$A$80:$A$500)+$A15-1,1)-1)</f>
        <v>-3.7010267498493898E-2</v>
      </c>
      <c r="AV15" s="8">
        <f ca="1">IF(OR(AV5="",AV$11&lt;$A15),"",AV5/OFFSET(OcupadosEPACLM!$A$80,MATCH(AV$12,OcupadosEPACLM!$A$80:$A$500)+$A15-1,1)-1)</f>
        <v>-2.0503836899949612E-2</v>
      </c>
      <c r="AW15" s="8">
        <f ca="1">IF(OR(AW5="",AW$11&lt;$A15),"",AW5/OFFSET(OcupadosEPACLM!$A$80,MATCH(AW$12,OcupadosEPACLM!$A$80:$A$500)+$A15-1,1)-1)</f>
        <v>4.361786420911784E-3</v>
      </c>
      <c r="AX15" s="8">
        <f ca="1">IF(OR(AX5="",AX$11&lt;$A15),"",AX5/OFFSET(OcupadosEPACLM!$A$80,MATCH(AX$12,OcupadosEPACLM!$A$80:$A$500)+$A15-1,1)-1)</f>
        <v>1.0447639169247847E-2</v>
      </c>
      <c r="AY15" s="8">
        <f ca="1">IF(OR(AY5="",AY$11&lt;$A15),"",AY5/OFFSET(OcupadosEPACLM!$A$80,MATCH(AY$12,OcupadosEPACLM!$A$80:$A$500)+$A15-1,1)-1)</f>
        <v>-2.5411329943028527E-2</v>
      </c>
      <c r="AZ15" s="8">
        <f ca="1">IF(OR(AZ5="",AZ$11&lt;$A15),"",AZ5/OFFSET(OcupadosEPACLM!$A$80,MATCH(AZ$12,OcupadosEPACLM!$A$80:$A$500)+$A15-1,1)-1)</f>
        <v>-2.5543378351763568E-2</v>
      </c>
      <c r="BA15" s="8">
        <f ca="1">IF(OR(BA5="",BA$11&lt;$A15),"",BA5/OFFSET(OcupadosEPACLM!$A$80,MATCH(BA$12,OcupadosEPACLM!$A$80:$A$500)+$A15-1,1)-1)</f>
        <v>-1.8298483194103876E-2</v>
      </c>
      <c r="BB15" s="8">
        <f ca="1">IF(OR(BB5="",BB$11&lt;$A15),"",BB5/OFFSET(OcupadosEPACLM!$A$80,MATCH(BB$12,OcupadosEPACLM!$A$80:$A$500)+$A15-1,1)-1)</f>
        <v>4.3064449134826432E-3</v>
      </c>
      <c r="BC15" s="8">
        <f ca="1">IF(OR(BC5="",BC$11&lt;$A15),"",BC5/OFFSET(OcupadosEPACLM!$A$80,MATCH(BC$12,OcupadosEPACLM!$A$80:$A$500)+$A15-1,1)-1)</f>
        <v>3.7153164622703017E-3</v>
      </c>
      <c r="BD15" s="8">
        <f ca="1">IF(OR(BD5="",BD$11&lt;$A15),"",BD5/OFFSET(OcupadosEPACLM!$A$80,MATCH(BD$12,OcupadosEPACLM!$A$80:$A$500)+$A15-1,1)-1)</f>
        <v>-1.066211747027368E-2</v>
      </c>
      <c r="BE15" s="8">
        <f ca="1">IF(OR(BE5="",BE$11&lt;$A15),"",BE5/OFFSET(OcupadosEPACLM!$A$80,MATCH(BE$12,OcupadosEPACLM!$A$80:$A$500)+$A15-1,1)-1)</f>
        <v>-3.0747561301968096E-3</v>
      </c>
      <c r="BF15" s="8">
        <f ca="1">IF(OR(BF5="",BF$11&lt;$A15),"",BF5/OFFSET(OcupadosEPACLM!$A$80,MATCH(BF$12,OcupadosEPACLM!$A$80:$A$500)+$A15-1,1)-1)</f>
        <v>5.3635372000908621E-3</v>
      </c>
      <c r="BG15" s="8">
        <f ca="1">IF(OR(BG5="",BG$11&lt;$A15),"",BG5/OFFSET(OcupadosEPACLM!$A$80,MATCH(BG$12,OcupadosEPACLM!$A$80:$A$500)+$A15-1,1)-1)</f>
        <v>-4.0586849043112272E-2</v>
      </c>
      <c r="BH15" s="8">
        <f ca="1">IF(OR(BH5="",BH$11&lt;$A15),"",BH5/OFFSET(OcupadosEPACLM!$A$80,MATCH(BH$12,OcupadosEPACLM!$A$80:$A$500)+$A15-1,1)-1)</f>
        <v>-3.2592324313282406E-2</v>
      </c>
      <c r="BI15" s="8">
        <f ca="1">IF(OR(BI5="",BI$11&lt;$A15),"",BI5/OFFSET(OcupadosEPACLM!$A$80,MATCH(BI$12,OcupadosEPACLM!$A$80:$A$500)+$A15-1,1)-1)</f>
        <v>5.58956457130666E-5</v>
      </c>
      <c r="BJ15" s="8">
        <f ca="1">IF(OR(BJ5="",BJ$11&lt;$A15),"",BJ5/OFFSET(OcupadosEPACLM!$A$80,MATCH(BJ$12,OcupadosEPACLM!$A$80:$A$500)+$A15-1,1)-1)</f>
        <v>3.8077260325559026E-2</v>
      </c>
      <c r="BK15" s="8">
        <f ca="1">IF(OR(BK5="",BK$11&lt;$A15),"",BK5/OFFSET(OcupadosEPACLM!$A$80,MATCH(BK$12,OcupadosEPACLM!$A$80:$A$500)+$A15-1,1)-1)</f>
        <v>5.3895148363994227E-2</v>
      </c>
      <c r="BL15" s="8">
        <f ca="1">IF(OR(BL5="",BL$11&lt;$A15),"",BL5/OFFSET(OcupadosEPACLM!$A$80,MATCH(BL$12,OcupadosEPACLM!$A$80:$A$500)+$A15-1,1)-1)</f>
        <v>3.2891468680820601E-2</v>
      </c>
      <c r="BM15" s="8">
        <f ca="1">IF(OR(BM5="",BM$11&lt;$A15),"",BM5/OFFSET(OcupadosEPACLM!$A$80,MATCH(BM$12,OcupadosEPACLM!$A$80:$A$500)+$A15-1,1)-1)</f>
        <v>5.6365751783401752E-2</v>
      </c>
      <c r="BN15" s="8">
        <f ca="1">IF(OR(BN5="",BN$11&lt;$A15),"",BN5/OFFSET(OcupadosEPACLM!$A$80,MATCH(BN$12,OcupadosEPACLM!$A$80:$A$500)+$A15-1,1)-1)</f>
        <v>3.8000817082987304E-2</v>
      </c>
      <c r="BO15" s="8">
        <f ca="1">IF(OR(BO5="",BO$11&lt;$A15),"",BO5/OFFSET(OcupadosEPACLM!$A$80,MATCH(BO$12,OcupadosEPACLM!$A$80:$A$500)+$A15-1,1)-1)</f>
        <v>-1.2781307830893152E-2</v>
      </c>
      <c r="BP15" s="8" t="str">
        <f ca="1">IF(OR(BP5="",BP$11&lt;$A15),"",BP5/OFFSET(OcupadosEPACLM!$A$80,MATCH(BP$12,OcupadosEPACLM!$A$80:$A$500)+$A15-1,1)-1)</f>
        <v/>
      </c>
      <c r="BQ15" s="8" t="str">
        <f ca="1">IF(OR(BQ5="",BQ$11&lt;$A15),"",BQ5/OFFSET(OcupadosEPACLM!$A$80,MATCH(BQ$12,OcupadosEPACLM!$A$80:$A$500)+$A15-1,1)-1)</f>
        <v/>
      </c>
      <c r="BR15" s="8" t="str">
        <f ca="1">IF(OR(BR5="",BR$11&lt;$A15),"",BR5/OFFSET(OcupadosEPACLM!$A$80,MATCH(BR$12,OcupadosEPACLM!$A$80:$A$500)+$A15-1,1)-1)</f>
        <v/>
      </c>
      <c r="BS15" s="8" t="str">
        <f ca="1">IF(OR(BS5="",BS$11&lt;$A15),"",BS5/OFFSET(OcupadosEPACLM!$A$80,MATCH(BS$12,OcupadosEPACLM!$A$80:$A$500)+$A15-1,1)-1)</f>
        <v/>
      </c>
      <c r="BT15" s="8" t="str">
        <f ca="1">IF(OR(BT5="",BT$11&lt;$A15),"",BT5/OFFSET(OcupadosEPACLM!$A$80,MATCH(BT$12,OcupadosEPACLM!$A$80:$A$500)+$A15-1,1)-1)</f>
        <v/>
      </c>
      <c r="BU15" s="8" t="str">
        <f ca="1">IF(OR(BU5="",BU$11&lt;$A15),"",BU5/OFFSET(OcupadosEPACLM!$A$80,MATCH(BU$12,OcupadosEPACLM!$A$80:$A$500)+$A15-1,1)-1)</f>
        <v/>
      </c>
      <c r="BV15" s="8" t="str">
        <f ca="1">IF(OR(BV5="",BV$11&lt;$A15),"",BV5/OFFSET(OcupadosEPACLM!$A$80,MATCH(BV$12,OcupadosEPACLM!$A$80:$A$500)+$A15-1,1)-1)</f>
        <v/>
      </c>
      <c r="BW15" s="8" t="str">
        <f ca="1">IF(OR(BW5="",BW$11&lt;$A15),"",BW5/OFFSET(OcupadosEPACLM!$A$80,MATCH(BW$12,OcupadosEPACLM!$A$80:$A$500)+$A15-1,1)-1)</f>
        <v/>
      </c>
      <c r="BX15" s="8" t="str">
        <f ca="1">IF(OR(BX5="",BX$11&lt;$A15),"",BX5/OFFSET(OcupadosEPACLM!$A$80,MATCH(BX$12,OcupadosEPACLM!$A$80:$A$500)+$A15-1,1)-1)</f>
        <v/>
      </c>
      <c r="BY15" s="8" t="str">
        <f ca="1">IF(OR(BY5="",BY$11&lt;$A15),"",BY5/OFFSET(OcupadosEPACLM!$A$80,MATCH(BY$12,OcupadosEPACLM!$A$80:$A$500)+$A15-1,1)-1)</f>
        <v/>
      </c>
      <c r="BZ15" s="8" t="str">
        <f ca="1">IF(OR(BZ5="",BZ$11&lt;$A15),"",BZ5/OFFSET(OcupadosEPACLM!$A$80,MATCH(BZ$12,OcupadosEPACLM!$A$80:$A$500)+$A15-1,1)-1)</f>
        <v/>
      </c>
      <c r="CA15" s="8" t="str">
        <f ca="1">IF(OR(CA5="",CA$11&lt;$A15),"",CA5/OFFSET(OcupadosEPACLM!$A$80,MATCH(CA$12,OcupadosEPACLM!$A$80:$A$500)+$A15-1,1)-1)</f>
        <v/>
      </c>
      <c r="CB15" s="8" t="str">
        <f ca="1">IF(OR(CB5="",CB$11&lt;$A15),"",CB5/OFFSET(OcupadosEPACLM!$A$80,MATCH(CB$12,OcupadosEPACLM!$A$80:$A$500)+$A15-1,1)-1)</f>
        <v/>
      </c>
      <c r="CC15" s="8" t="str">
        <f ca="1">IF(OR(CC5="",CC$11&lt;$A15),"",CC5/OFFSET(OcupadosEPACLM!$A$80,MATCH(CC$12,OcupadosEPACLM!$A$80:$A$500)+$A15-1,1)-1)</f>
        <v/>
      </c>
      <c r="CD15" s="8" t="str">
        <f ca="1">IF(OR(CD5="",CD$11&lt;$A15),"",CD5/OFFSET(OcupadosEPACLM!$A$80,MATCH(CD$12,OcupadosEPACLM!$A$80:$A$500)+$A15-1,1)-1)</f>
        <v/>
      </c>
      <c r="CE15" s="8" t="str">
        <f ca="1">IF(OR(CE5="",CE$11&lt;$A15),"",CE5/OFFSET(OcupadosEPACLM!$A$80,MATCH(CE$12,OcupadosEPACLM!$A$80:$A$500)+$A15-1,1)-1)</f>
        <v/>
      </c>
      <c r="CF15" s="8" t="str">
        <f ca="1">IF(OR(CF5="",CF$11&lt;$A15),"",CF5/OFFSET(OcupadosEPACLM!$A$80,MATCH(CF$12,OcupadosEPACLM!$A$80:$A$500)+$A15-1,1)-1)</f>
        <v/>
      </c>
      <c r="CG15" s="8" t="str">
        <f ca="1">IF(OR(CG5="",CG$11&lt;$A15),"",CG5/OFFSET(OcupadosEPACLM!$A$80,MATCH(CG$12,OcupadosEPACLM!$A$80:$A$500)+$A15-1,1)-1)</f>
        <v/>
      </c>
      <c r="CH15" s="8" t="str">
        <f ca="1">IF(OR(CH5="",CH$11&lt;$A15),"",CH5/OFFSET(OcupadosEPACLM!$A$80,MATCH(CH$12,OcupadosEPACLM!$A$80:$A$500)+$A15-1,1)-1)</f>
        <v/>
      </c>
      <c r="CI15" s="8" t="str">
        <f ca="1">IF(OR(CI5="",CI$11&lt;$A15),"",CI5/OFFSET(OcupadosEPACLM!$A$80,MATCH(CI$12,OcupadosEPACLM!$A$80:$A$500)+$A15-1,1)-1)</f>
        <v/>
      </c>
      <c r="CJ15" s="8" t="str">
        <f ca="1">IF(OR(CJ5="",CJ$11&lt;$A15),"",CJ5/OFFSET(OcupadosEPACLM!$A$80,MATCH(CJ$12,OcupadosEPACLM!$A$80:$A$500)+$A15-1,1)-1)</f>
        <v/>
      </c>
      <c r="CK15" s="8" t="str">
        <f ca="1">IF(OR(CK5="",CK$11&lt;$A15),"",CK5/OFFSET(OcupadosEPACLM!$A$80,MATCH(CK$12,OcupadosEPACLM!$A$80:$A$500)+$A15-1,1)-1)</f>
        <v/>
      </c>
      <c r="CL15" s="8" t="str">
        <f ca="1">IF(OR(CL5="",CL$11&lt;$A15),"",CL5/OFFSET(OcupadosEPACLM!$A$80,MATCH(CL$12,OcupadosEPACLM!$A$80:$A$500)+$A15-1,1)-1)</f>
        <v/>
      </c>
      <c r="CM15" s="8" t="str">
        <f ca="1">IF(OR(CM5="",CM$11&lt;$A15),"",CM5/OFFSET(OcupadosEPACLM!$A$80,MATCH(CM$12,OcupadosEPACLM!$A$80:$A$500)+$A15-1,1)-1)</f>
        <v/>
      </c>
      <c r="CN15" s="8" t="str">
        <f ca="1">IF(OR(CN5="",CN$11&lt;$A15),"",CN5/OFFSET(OcupadosEPACLM!$A$80,MATCH(CN$12,OcupadosEPACLM!$A$80:$A$500)+$A15-1,1)-1)</f>
        <v/>
      </c>
      <c r="CO15" s="8" t="str">
        <f ca="1">IF(OR(CO5="",CO$11&lt;$A15),"",CO5/OFFSET(OcupadosEPACLM!$A$80,MATCH(CO$12,OcupadosEPACLM!$A$80:$A$500)+$A15-1,1)-1)</f>
        <v/>
      </c>
      <c r="CP15" s="8" t="str">
        <f ca="1">IF(OR(CP5="",CP$11&lt;$A15),"",CP5/OFFSET(OcupadosEPACLM!$A$80,MATCH(CP$12,OcupadosEPACLM!$A$80:$A$500)+$A15-1,1)-1)</f>
        <v/>
      </c>
      <c r="CQ15" s="8" t="str">
        <f ca="1">IF(OR(CQ5="",CQ$11&lt;$A15),"",CQ5/OFFSET(OcupadosEPACLM!$A$80,MATCH(CQ$12,OcupadosEPACLM!$A$80:$A$500)+$A15-1,1)-1)</f>
        <v/>
      </c>
      <c r="CR15" s="8" t="str">
        <f ca="1">IF(OR(CR5="",CR$11&lt;$A15),"",CR5/OFFSET(OcupadosEPACLM!$A$80,MATCH(CR$12,OcupadosEPACLM!$A$80:$A$500)+$A15-1,1)-1)</f>
        <v/>
      </c>
      <c r="CS15" s="8" t="str">
        <f ca="1">IF(OR(CS5="",CS$11&lt;$A15),"",CS5/OFFSET(OcupadosEPACLM!$A$80,MATCH(CS$12,OcupadosEPACLM!$A$80:$A$500)+$A15-1,1)-1)</f>
        <v/>
      </c>
      <c r="CT15" s="8" t="str">
        <f ca="1">IF(OR(CT5="",CT$11&lt;$A15),"",CT5/OFFSET(OcupadosEPACLM!$A$80,MATCH(CT$12,OcupadosEPACLM!$A$80:$A$500)+$A15-1,1)-1)</f>
        <v/>
      </c>
      <c r="CU15" s="8" t="str">
        <f ca="1">IF(OR(CU5="",CU$11&lt;$A15),"",CU5/OFFSET(OcupadosEPACLM!$A$80,MATCH(CU$12,OcupadosEPACLM!$A$80:$A$500)+$A15-1,1)-1)</f>
        <v/>
      </c>
      <c r="CV15" s="8" t="str">
        <f ca="1">IF(OR(CV5="",CV$11&lt;$A15),"",CV5/OFFSET(OcupadosEPACLM!$A$80,MATCH(CV$12,OcupadosEPACLM!$A$80:$A$500)+$A15-1,1)-1)</f>
        <v/>
      </c>
      <c r="CW15" s="8" t="str">
        <f ca="1">IF(OR(CW5="",CW$11&lt;$A15),"",CW5/OFFSET(OcupadosEPACLM!$A$80,MATCH(CW$12,OcupadosEPACLM!$A$80:$A$500)+$A15-1,1)-1)</f>
        <v/>
      </c>
      <c r="CX15" s="8" t="str">
        <f ca="1">IF(OR(CX5="",CX$11&lt;$A15),"",CX5/OFFSET(OcupadosEPACLM!$A$80,MATCH(CX$12,OcupadosEPACLM!$A$80:$A$500)+$A15-1,1)-1)</f>
        <v/>
      </c>
      <c r="CY15" s="8" t="str">
        <f ca="1">IF(OR(CY5="",CY$11&lt;$A15),"",CY5/OFFSET(OcupadosEPACLM!$A$80,MATCH(CY$12,OcupadosEPACLM!$A$80:$A$500)+$A15-1,1)-1)</f>
        <v/>
      </c>
      <c r="CZ15" s="8" t="str">
        <f ca="1">IF(OR(CZ5="",CZ$11&lt;$A15),"",CZ5/OFFSET(OcupadosEPACLM!$A$80,MATCH(CZ$12,OcupadosEPACLM!$A$80:$A$500)+$A15-1,1)-1)</f>
        <v/>
      </c>
      <c r="DA15" s="8" t="str">
        <f ca="1">IF(OR(DA5="",DA$11&lt;$A15),"",DA5/OFFSET(OcupadosEPACLM!$A$80,MATCH(DA$12,OcupadosEPACLM!$A$80:$A$500)+$A15-1,1)-1)</f>
        <v/>
      </c>
      <c r="DB15" s="8" t="str">
        <f ca="1">IF(OR(DB5="",DB$11&lt;$A15),"",DB5/OFFSET(OcupadosEPACLM!$A$80,MATCH(DB$12,OcupadosEPACLM!$A$80:$A$500)+$A15-1,1)-1)</f>
        <v/>
      </c>
      <c r="DC15" s="8" t="str">
        <f ca="1">IF(OR(DC5="",DC$11&lt;$A15),"",DC5/OFFSET(OcupadosEPACLM!$A$80,MATCH(DC$12,OcupadosEPACLM!$A$80:$A$500)+$A15-1,1)-1)</f>
        <v/>
      </c>
      <c r="DD15" s="8" t="str">
        <f ca="1">IF(OR(DD5="",DD$11&lt;$A15),"",DD5/OFFSET(OcupadosEPACLM!$A$80,MATCH(DD$12,OcupadosEPACLM!$A$80:$A$500)+$A15-1,1)-1)</f>
        <v/>
      </c>
      <c r="DE15" s="8" t="str">
        <f ca="1">IF(OR(DE5="",DE$11&lt;$A15),"",DE5/OFFSET(OcupadosEPACLM!$A$80,MATCH(DE$12,OcupadosEPACLM!$A$80:$A$500)+$A15-1,1)-1)</f>
        <v/>
      </c>
      <c r="DF15" s="8" t="str">
        <f ca="1">IF(OR(DF5="",DF$11&lt;$A15),"",DF5/OFFSET(OcupadosEPACLM!$A$80,MATCH(DF$12,OcupadosEPACLM!$A$80:$A$500)+$A15-1,1)-1)</f>
        <v/>
      </c>
      <c r="DG15" s="8" t="str">
        <f ca="1">IF(OR(DG5="",DG$11&lt;$A15),"",DG5/OFFSET(OcupadosEPACLM!$A$80,MATCH(DG$12,OcupadosEPACLM!$A$80:$A$500)+$A15-1,1)-1)</f>
        <v/>
      </c>
      <c r="DH15" s="8" t="str">
        <f ca="1">IF(OR(DH5="",DH$11&lt;$A15),"",DH5/OFFSET(OcupadosEPACLM!$A$80,MATCH(DH$12,OcupadosEPACLM!$A$80:$A$500)+$A15-1,1)-1)</f>
        <v/>
      </c>
      <c r="DI15" s="8" t="str">
        <f ca="1">IF(OR(DI5="",DI$11&lt;$A15),"",DI5/OFFSET(OcupadosEPACLM!$A$80,MATCH(DI$12,OcupadosEPACLM!$A$80:$A$500)+$A15-1,1)-1)</f>
        <v/>
      </c>
      <c r="DJ15" s="8" t="str">
        <f ca="1">IF(OR(DJ5="",DJ$11&lt;$A15),"",DJ5/OFFSET(OcupadosEPACLM!$A$80,MATCH(DJ$12,OcupadosEPACLM!$A$80:$A$500)+$A15-1,1)-1)</f>
        <v/>
      </c>
      <c r="DK15" s="8" t="str">
        <f ca="1">IF(OR(DK5="",DK$11&lt;$A15),"",DK5/OFFSET(OcupadosEPACLM!$A$80,MATCH(DK$12,OcupadosEPACLM!$A$80:$A$500)+$A15-1,1)-1)</f>
        <v/>
      </c>
      <c r="DL15" s="8" t="str">
        <f ca="1">IF(OR(DL5="",DL$11&lt;$A15),"",DL5/OFFSET(OcupadosEPACLM!$A$80,MATCH(DL$12,OcupadosEPACLM!$A$80:$A$500)+$A15-1,1)-1)</f>
        <v/>
      </c>
      <c r="DM15" s="8" t="str">
        <f ca="1">IF(OR(DM5="",DM$11&lt;$A15),"",DM5/OFFSET(OcupadosEPACLM!$A$80,MATCH(DM$12,OcupadosEPACLM!$A$80:$A$500)+$A15-1,1)-1)</f>
        <v/>
      </c>
      <c r="DN15" s="8" t="str">
        <f ca="1">IF(OR(DN5="",DN$11&lt;$A15),"",DN5/OFFSET(OcupadosEPACLM!$A$80,MATCH(DN$12,OcupadosEPACLM!$A$80:$A$500)+$A15-1,1)-1)</f>
        <v/>
      </c>
      <c r="DO15" s="8" t="str">
        <f ca="1">IF(OR(DO5="",DO$11&lt;$A15),"",DO5/OFFSET(OcupadosEPACLM!$A$80,MATCH(DO$12,OcupadosEPACLM!$A$80:$A$500)+$A15-1,1)-1)</f>
        <v/>
      </c>
      <c r="DP15" s="8" t="str">
        <f ca="1">IF(OR(DP5="",DP$11&lt;$A15),"",DP5/OFFSET(OcupadosEPACLM!$A$80,MATCH(DP$12,OcupadosEPACLM!$A$80:$A$500)+$A15-1,1)-1)</f>
        <v/>
      </c>
      <c r="DQ15" s="8" t="str">
        <f ca="1">IF(OR(DQ5="",DQ$11&lt;$A15),"",DQ5/OFFSET(OcupadosEPACLM!$A$80,MATCH(DQ$12,OcupadosEPACLM!$A$80:$A$500)+$A15-1,1)-1)</f>
        <v/>
      </c>
      <c r="DR15" s="8" t="str">
        <f ca="1">IF(OR(DR5="",DR$11&lt;$A15),"",DR5/OFFSET(OcupadosEPACLM!$A$80,MATCH(DR$12,OcupadosEPACLM!$A$80:$A$500)+$A15-1,1)-1)</f>
        <v/>
      </c>
      <c r="DS15" s="12">
        <f t="shared" ca="1" si="51"/>
        <v>-3.4732158303686098E-3</v>
      </c>
      <c r="DT15" s="12">
        <f t="shared" ca="1" si="52"/>
        <v>-3.0747561301968096E-3</v>
      </c>
      <c r="DU15" s="13">
        <f t="shared" ca="1" si="53"/>
        <v>7.2730871240039028E-4</v>
      </c>
      <c r="DV15" s="15">
        <f t="shared" ca="1" si="56"/>
        <v>2.6968661672400251E-2</v>
      </c>
      <c r="DW15" s="14" t="str">
        <f t="shared" ca="1" si="54"/>
        <v>[ -5,74% ; 5,05% ]</v>
      </c>
      <c r="DX15" s="15">
        <f t="shared" ca="1" si="55"/>
        <v>3.4519886940672324E-2</v>
      </c>
      <c r="GI15" s="1"/>
    </row>
    <row r="16" spans="1:191" x14ac:dyDescent="0.25">
      <c r="A16" s="4">
        <v>4</v>
      </c>
      <c r="B16" s="8">
        <f ca="1">IF(OR(B6="",B$11&lt;$A16),"",B6/OFFSET(OcupadosEPACLM!$A$80,MATCH(B$12,OcupadosEPACLM!$A$80:$A$500)+$A16-1,1)-1)</f>
        <v>-1.6061235124176232E-2</v>
      </c>
      <c r="C16" s="8">
        <f ca="1">IF(OR(C6="",C$11&lt;$A16),"",C6/OFFSET(OcupadosEPACLM!$A$80,MATCH(C$12,OcupadosEPACLM!$A$80:$A$500)+$A16-1,1)-1)</f>
        <v>-1.1447271430577888E-2</v>
      </c>
      <c r="D16" s="8">
        <f ca="1">IF(OR(D6="",D$11&lt;$A16),"",D6/OFFSET(OcupadosEPACLM!$A$80,MATCH(D$12,OcupadosEPACLM!$A$80:$A$500)+$A16-1,1)-1)</f>
        <v>-4.7778645187972923E-2</v>
      </c>
      <c r="E16" s="8">
        <f ca="1">IF(OR(E6="",E$11&lt;$A16),"",E6/OFFSET(OcupadosEPACLM!$A$80,MATCH(E$12,OcupadosEPACLM!$A$80:$A$500)+$A16-1,1)-1)</f>
        <v>-3.9262027638643171E-2</v>
      </c>
      <c r="F16" s="8">
        <f ca="1">IF(OR(F6="",F$11&lt;$A16),"",F6/OFFSET(OcupadosEPACLM!$A$80,MATCH(F$12,OcupadosEPACLM!$A$80:$A$500)+$A16-1,1)-1)</f>
        <v>-2.471773325151716E-2</v>
      </c>
      <c r="G16" s="8">
        <f ca="1">IF(OR(G6="",G$11&lt;$A16),"",G6/OFFSET(OcupadosEPACLM!$A$80,MATCH(G$12,OcupadosEPACLM!$A$80:$A$500)+$A16-1,1)-1)</f>
        <v>-1.8206134912003402E-2</v>
      </c>
      <c r="H16" s="8">
        <f ca="1">IF(OR(H6="",H$11&lt;$A16),"",H6/OFFSET(OcupadosEPACLM!$A$80,MATCH(H$12,OcupadosEPACLM!$A$80:$A$500)+$A16-1,1)-1)</f>
        <v>1.4286893034061832E-2</v>
      </c>
      <c r="I16" s="8">
        <f ca="1">IF(OR(I6="",I$11&lt;$A16),"",I6/OFFSET(OcupadosEPACLM!$A$80,MATCH(I$12,OcupadosEPACLM!$A$80:$A$500)+$A16-1,1)-1)</f>
        <v>2.6280848294635284E-2</v>
      </c>
      <c r="J16" s="8">
        <f ca="1">IF(OR(J6="",J$11&lt;$A16),"",J6/OFFSET(OcupadosEPACLM!$A$80,MATCH(J$12,OcupadosEPACLM!$A$80:$A$500)+$A16-1,1)-1)</f>
        <v>2.0393678458912046E-3</v>
      </c>
      <c r="K16" s="8">
        <f ca="1">IF(OR(K6="",K$11&lt;$A16),"",K6/OFFSET(OcupadosEPACLM!$A$80,MATCH(K$12,OcupadosEPACLM!$A$80:$A$500)+$A16-1,1)-1)</f>
        <v>-1.872466517716076E-2</v>
      </c>
      <c r="L16" s="8">
        <f ca="1">IF(OR(L6="",L$11&lt;$A16),"",L6/OFFSET(OcupadosEPACLM!$A$80,MATCH(L$12,OcupadosEPACLM!$A$80:$A$500)+$A16-1,1)-1)</f>
        <v>-2.0807849552379354E-2</v>
      </c>
      <c r="M16" s="8">
        <f ca="1">IF(OR(M6="",M$11&lt;$A16),"",M6/OFFSET(OcupadosEPACLM!$A$80,MATCH(M$12,OcupadosEPACLM!$A$80:$A$500)+$A16-1,1)-1)</f>
        <v>-3.5536377328841184E-2</v>
      </c>
      <c r="N16" s="8">
        <f ca="1">IF(OR(N6="",N$11&lt;$A16),"",N6/OFFSET(OcupadosEPACLM!$A$80,MATCH(N$12,OcupadosEPACLM!$A$80:$A$500)+$A16-1,1)-1)</f>
        <v>-3.6152849184017954E-3</v>
      </c>
      <c r="O16" s="8">
        <f ca="1">IF(OR(O6="",O$11&lt;$A16),"",O6/OFFSET(OcupadosEPACLM!$A$80,MATCH(O$12,OcupadosEPACLM!$A$80:$A$500)+$A16-1,1)-1)</f>
        <v>2.8604124152067145E-2</v>
      </c>
      <c r="P16" s="8">
        <f ca="1">IF(OR(P6="",P$11&lt;$A16),"",P6/OFFSET(OcupadosEPACLM!$A$80,MATCH(P$12,OcupadosEPACLM!$A$80:$A$500)+$A16-1,1)-1)</f>
        <v>3.4997779750987945E-2</v>
      </c>
      <c r="Q16" s="8">
        <f ca="1">IF(OR(Q6="",Q$11&lt;$A16),"",Q6/OFFSET(OcupadosEPACLM!$A$80,MATCH(Q$12,OcupadosEPACLM!$A$80:$A$500)+$A16-1,1)-1)</f>
        <v>7.854749170033104E-2</v>
      </c>
      <c r="R16" s="8">
        <f ca="1">IF(OR(R6="",R$11&lt;$A16),"",R6/OFFSET(OcupadosEPACLM!$A$80,MATCH(R$12,OcupadosEPACLM!$A$80:$A$500)+$A16-1,1)-1)</f>
        <v>9.8887930684506298E-2</v>
      </c>
      <c r="S16" s="8">
        <f ca="1">IF(OR(S6="",S$11&lt;$A16),"",S6/OFFSET(OcupadosEPACLM!$A$80,MATCH(S$12,OcupadosEPACLM!$A$80:$A$500)+$A16-1,1)-1)</f>
        <v>0.11767371002573324</v>
      </c>
      <c r="T16" s="8">
        <f ca="1">IF(OR(T6="",T$11&lt;$A16),"",T6/OFFSET(OcupadosEPACLM!$A$80,MATCH(T$12,OcupadosEPACLM!$A$80:$A$500)+$A16-1,1)-1)</f>
        <v>0.13326731490789201</v>
      </c>
      <c r="U16" s="8">
        <f ca="1">IF(OR(U6="",U$11&lt;$A16),"",U6/OFFSET(OcupadosEPACLM!$A$80,MATCH(U$12,OcupadosEPACLM!$A$80:$A$500)+$A16-1,1)-1)</f>
        <v>9.0497215920580576E-2</v>
      </c>
      <c r="V16" s="8">
        <f ca="1">IF(OR(V6="",V$11&lt;$A16),"",V6/OFFSET(OcupadosEPACLM!$A$80,MATCH(V$12,OcupadosEPACLM!$A$80:$A$500)+$A16-1,1)-1)</f>
        <v>1.3068774977297304E-2</v>
      </c>
      <c r="W16" s="8">
        <f ca="1">IF(OR(W6="",W$11&lt;$A16),"",W6/OFFSET(OcupadosEPACLM!$A$80,MATCH(W$12,OcupadosEPACLM!$A$80:$A$500)+$A16-1,1)-1)</f>
        <v>-1.7332629112759457E-2</v>
      </c>
      <c r="X16" s="8">
        <f ca="1">IF(OR(X6="",X$11&lt;$A16),"",X6/OFFSET(OcupadosEPACLM!$A$80,MATCH(X$12,OcupadosEPACLM!$A$80:$A$500)+$A16-1,1)-1)</f>
        <v>-3.9242395792105755E-2</v>
      </c>
      <c r="Y16" s="8">
        <f ca="1">IF(OR(Y6="",Y$11&lt;$A16),"",Y6/OFFSET(OcupadosEPACLM!$A$80,MATCH(Y$12,OcupadosEPACLM!$A$80:$A$500)+$A16-1,1)-1)</f>
        <v>-9.1435298344424432E-3</v>
      </c>
      <c r="Z16" s="8">
        <f ca="1">IF(OR(Z6="",Z$11&lt;$A16),"",Z6/OFFSET(OcupadosEPACLM!$A$80,MATCH(Z$12,OcupadosEPACLM!$A$80:$A$500)+$A16-1,1)-1)</f>
        <v>9.3957541003342193E-3</v>
      </c>
      <c r="AA16" s="8">
        <f ca="1">IF(OR(AA6="",AA$11&lt;$A16),"",AA6/OFFSET(OcupadosEPACLM!$A$80,MATCH(AA$12,OcupadosEPACLM!$A$80:$A$500)+$A16-1,1)-1)</f>
        <v>-1.7225195862857312E-2</v>
      </c>
      <c r="AB16" s="8">
        <f ca="1">IF(OR(AB6="",AB$11&lt;$A16),"",AB6/OFFSET(OcupadosEPACLM!$A$80,MATCH(AB$12,OcupadosEPACLM!$A$80:$A$500)+$A16-1,1)-1)</f>
        <v>-9.7003433356848134E-3</v>
      </c>
      <c r="AC16" s="8">
        <f ca="1">IF(OR(AC6="",AC$11&lt;$A16),"",AC6/OFFSET(OcupadosEPACLM!$A$80,MATCH(AC$12,OcupadosEPACLM!$A$80:$A$500)+$A16-1,1)-1)</f>
        <v>-4.7714808680596743E-3</v>
      </c>
      <c r="AD16" s="8">
        <f ca="1">IF(OR(AD6="",AD$11&lt;$A16),"",AD6/OFFSET(OcupadosEPACLM!$A$80,MATCH(AD$12,OcupadosEPACLM!$A$80:$A$500)+$A16-1,1)-1)</f>
        <v>9.8679164021855392E-3</v>
      </c>
      <c r="AE16" s="8">
        <f ca="1">IF(OR(AE6="",AE$11&lt;$A16),"",AE6/OFFSET(OcupadosEPACLM!$A$80,MATCH(AE$12,OcupadosEPACLM!$A$80:$A$500)+$A16-1,1)-1)</f>
        <v>5.8529103914310543E-2</v>
      </c>
      <c r="AF16" s="8">
        <f ca="1">IF(OR(AF6="",AF$11&lt;$A16),"",AF6/OFFSET(OcupadosEPACLM!$A$80,MATCH(AF$12,OcupadosEPACLM!$A$80:$A$500)+$A16-1,1)-1)</f>
        <v>8.2717648486759554E-2</v>
      </c>
      <c r="AG16" s="8">
        <f ca="1">IF(OR(AG6="",AG$11&lt;$A16),"",AG6/OFFSET(OcupadosEPACLM!$A$80,MATCH(AG$12,OcupadosEPACLM!$A$80:$A$500)+$A16-1,1)-1)</f>
        <v>8.7251117500283915E-2</v>
      </c>
      <c r="AH16" s="8">
        <f ca="1">IF(OR(AH6="",AH$11&lt;$A16),"",AH6/OFFSET(OcupadosEPACLM!$A$80,MATCH(AH$12,OcupadosEPACLM!$A$80:$A$500)+$A16-1,1)-1)</f>
        <v>8.1677189513011506E-2</v>
      </c>
      <c r="AI16" s="8">
        <f ca="1">IF(OR(AI6="",AI$11&lt;$A16),"",AI6/OFFSET(OcupadosEPACLM!$A$80,MATCH(AI$12,OcupadosEPACLM!$A$80:$A$500)+$A16-1,1)-1)</f>
        <v>2.3928667081006605E-2</v>
      </c>
      <c r="AJ16" s="8">
        <f ca="1">IF(OR(AJ6="",AJ$11&lt;$A16),"",AJ6/OFFSET(OcupadosEPACLM!$A$80,MATCH(AJ$12,OcupadosEPACLM!$A$80:$A$500)+$A16-1,1)-1)</f>
        <v>-3.7639861004248543E-2</v>
      </c>
      <c r="AK16" s="8">
        <f ca="1">IF(OR(AK6="",AK$11&lt;$A16),"",AK6/OFFSET(OcupadosEPACLM!$A$80,MATCH(AK$12,OcupadosEPACLM!$A$80:$A$500)+$A16-1,1)-1)</f>
        <v>-3.5981249060214715E-2</v>
      </c>
      <c r="AL16" s="8">
        <f ca="1">IF(OR(AL6="",AL$11&lt;$A16),"",AL6/OFFSET(OcupadosEPACLM!$A$80,MATCH(AL$12,OcupadosEPACLM!$A$80:$A$500)+$A16-1,1)-1)</f>
        <v>-5.4533348829217787E-2</v>
      </c>
      <c r="AM16" s="8">
        <f ca="1">IF(OR(AM6="",AM$11&lt;$A16),"",AM6/OFFSET(OcupadosEPACLM!$A$80,MATCH(AM$12,OcupadosEPACLM!$A$80:$A$500)+$A16-1,1)-1)</f>
        <v>-4.1695090629568776E-2</v>
      </c>
      <c r="AN16" s="8">
        <f ca="1">IF(OR(AN6="",AN$11&lt;$A16),"",AN6/OFFSET(OcupadosEPACLM!$A$80,MATCH(AN$12,OcupadosEPACLM!$A$80:$A$500)+$A16-1,1)-1)</f>
        <v>-1.4233260835530004E-2</v>
      </c>
      <c r="AO16" s="8">
        <f ca="1">IF(OR(AO6="",AO$11&lt;$A16),"",AO6/OFFSET(OcupadosEPACLM!$A$80,MATCH(AO$12,OcupadosEPACLM!$A$80:$A$500)+$A16-1,1)-1)</f>
        <v>-3.4744992687052445E-3</v>
      </c>
      <c r="AP16" s="8">
        <f ca="1">IF(OR(AP6="",AP$11&lt;$A16),"",AP6/OFFSET(OcupadosEPACLM!$A$80,MATCH(AP$12,OcupadosEPACLM!$A$80:$A$500)+$A16-1,1)-1)</f>
        <v>4.2660774021288095E-3</v>
      </c>
      <c r="AQ16" s="8">
        <f ca="1">IF(OR(AQ6="",AQ$11&lt;$A16),"",AQ6/OFFSET(OcupadosEPACLM!$A$80,MATCH(AQ$12,OcupadosEPACLM!$A$80:$A$500)+$A16-1,1)-1)</f>
        <v>-8.5441570743537421E-3</v>
      </c>
      <c r="AR16" s="8">
        <f ca="1">IF(OR(AR6="",AR$11&lt;$A16),"",AR6/OFFSET(OcupadosEPACLM!$A$80,MATCH(AR$12,OcupadosEPACLM!$A$80:$A$500)+$A16-1,1)-1)</f>
        <v>-5.2162706772681533E-3</v>
      </c>
      <c r="AS16" s="8">
        <f ca="1">IF(OR(AS6="",AS$11&lt;$A16),"",AS6/OFFSET(OcupadosEPACLM!$A$80,MATCH(AS$12,OcupadosEPACLM!$A$80:$A$500)+$A16-1,1)-1)</f>
        <v>-5.2550317059388951E-2</v>
      </c>
      <c r="AT16" s="8">
        <f ca="1">IF(OR(AT6="",AT$11&lt;$A16),"",AT6/OFFSET(OcupadosEPACLM!$A$80,MATCH(AT$12,OcupadosEPACLM!$A$80:$A$500)+$A16-1,1)-1)</f>
        <v>-5.2075815159646766E-2</v>
      </c>
      <c r="AU16" s="8">
        <f ca="1">IF(OR(AU6="",AU$11&lt;$A16),"",AU6/OFFSET(OcupadosEPACLM!$A$80,MATCH(AU$12,OcupadosEPACLM!$A$80:$A$500)+$A16-1,1)-1)</f>
        <v>-3.6481520009450819E-2</v>
      </c>
      <c r="AV16" s="8">
        <f ca="1">IF(OR(AV6="",AV$11&lt;$A16),"",AV6/OFFSET(OcupadosEPACLM!$A$80,MATCH(AV$12,OcupadosEPACLM!$A$80:$A$500)+$A16-1,1)-1)</f>
        <v>-2.9222485810065479E-2</v>
      </c>
      <c r="AW16" s="8">
        <f ca="1">IF(OR(AW6="",AW$11&lt;$A16),"",AW6/OFFSET(OcupadosEPACLM!$A$80,MATCH(AW$12,OcupadosEPACLM!$A$80:$A$500)+$A16-1,1)-1)</f>
        <v>1.3542126790015097E-2</v>
      </c>
      <c r="AX16" s="8">
        <f ca="1">IF(OR(AX6="",AX$11&lt;$A16),"",AX6/OFFSET(OcupadosEPACLM!$A$80,MATCH(AX$12,OcupadosEPACLM!$A$80:$A$500)+$A16-1,1)-1)</f>
        <v>-1.3969752777411859E-2</v>
      </c>
      <c r="AY16" s="8">
        <f ca="1">IF(OR(AY6="",AY$11&lt;$A16),"",AY6/OFFSET(OcupadosEPACLM!$A$80,MATCH(AY$12,OcupadosEPACLM!$A$80:$A$500)+$A16-1,1)-1)</f>
        <v>-3.5758576032152045E-2</v>
      </c>
      <c r="AZ16" s="8">
        <f ca="1">IF(OR(AZ6="",AZ$11&lt;$A16),"",AZ6/OFFSET(OcupadosEPACLM!$A$80,MATCH(AZ$12,OcupadosEPACLM!$A$80:$A$500)+$A16-1,1)-1)</f>
        <v>-7.5823648678975397E-3</v>
      </c>
      <c r="BA16" s="8">
        <f ca="1">IF(OR(BA6="",BA$11&lt;$A16),"",BA6/OFFSET(OcupadosEPACLM!$A$80,MATCH(BA$12,OcupadosEPACLM!$A$80:$A$500)+$A16-1,1)-1)</f>
        <v>-3.7507100683248806E-2</v>
      </c>
      <c r="BB16" s="8">
        <f ca="1">IF(OR(BB6="",BB$11&lt;$A16),"",BB6/OFFSET(OcupadosEPACLM!$A$80,MATCH(BB$12,OcupadosEPACLM!$A$80:$A$500)+$A16-1,1)-1)</f>
        <v>-4.5300296756216607E-3</v>
      </c>
      <c r="BC16" s="8">
        <f ca="1">IF(OR(BC6="",BC$11&lt;$A16),"",BC6/OFFSET(OcupadosEPACLM!$A$80,MATCH(BC$12,OcupadosEPACLM!$A$80:$A$500)+$A16-1,1)-1)</f>
        <v>2.5393112701035392E-2</v>
      </c>
      <c r="BD16" s="8">
        <f ca="1">IF(OR(BD6="",BD$11&lt;$A16),"",BD6/OFFSET(OcupadosEPACLM!$A$80,MATCH(BD$12,OcupadosEPACLM!$A$80:$A$500)+$A16-1,1)-1)</f>
        <v>-2.4693948370714591E-2</v>
      </c>
      <c r="BE16" s="8">
        <f ca="1">IF(OR(BE6="",BE$11&lt;$A16),"",BE6/OFFSET(OcupadosEPACLM!$A$80,MATCH(BE$12,OcupadosEPACLM!$A$80:$A$500)+$A16-1,1)-1)</f>
        <v>-1.1415617866164629E-2</v>
      </c>
      <c r="BF16" s="8">
        <f ca="1">IF(OR(BF6="",BF$11&lt;$A16),"",BF6/OFFSET(OcupadosEPACLM!$A$80,MATCH(BF$12,OcupadosEPACLM!$A$80:$A$500)+$A16-1,1)-1)</f>
        <v>-9.823805929459084E-3</v>
      </c>
      <c r="BG16" s="8">
        <f ca="1">IF(OR(BG6="",BG$11&lt;$A16),"",BG6/OFFSET(OcupadosEPACLM!$A$80,MATCH(BG$12,OcupadosEPACLM!$A$80:$A$500)+$A16-1,1)-1)</f>
        <v>-5.4128717733135323E-2</v>
      </c>
      <c r="BH16" s="8">
        <f ca="1">IF(OR(BH6="",BH$11&lt;$A16),"",BH6/OFFSET(OcupadosEPACLM!$A$80,MATCH(BH$12,OcupadosEPACLM!$A$80:$A$500)+$A16-1,1)-1)</f>
        <v>-1.2987498009451204E-2</v>
      </c>
      <c r="BI16" s="8">
        <f ca="1">IF(OR(BI6="",BI$11&lt;$A16),"",BI6/OFFSET(OcupadosEPACLM!$A$80,MATCH(BI$12,OcupadosEPACLM!$A$80:$A$500)+$A16-1,1)-1)</f>
        <v>1.4881690986846108E-2</v>
      </c>
      <c r="BJ16" s="8">
        <f ca="1">IF(OR(BJ6="",BJ$11&lt;$A16),"",BJ6/OFFSET(OcupadosEPACLM!$A$80,MATCH(BJ$12,OcupadosEPACLM!$A$80:$A$500)+$A16-1,1)-1)</f>
        <v>4.2794670429676884E-2</v>
      </c>
      <c r="BK16" s="8">
        <f ca="1">IF(OR(BK6="",BK$11&lt;$A16),"",BK6/OFFSET(OcupadosEPACLM!$A$80,MATCH(BK$12,OcupadosEPACLM!$A$80:$A$500)+$A16-1,1)-1)</f>
        <v>7.6917332847610265E-2</v>
      </c>
      <c r="BL16" s="8">
        <f ca="1">IF(OR(BL6="",BL$11&lt;$A16),"",BL6/OFFSET(OcupadosEPACLM!$A$80,MATCH(BL$12,OcupadosEPACLM!$A$80:$A$500)+$A16-1,1)-1)</f>
        <v>7.9559416315721609E-2</v>
      </c>
      <c r="BM16" s="8">
        <f ca="1">IF(OR(BM6="",BM$11&lt;$A16),"",BM6/OFFSET(OcupadosEPACLM!$A$80,MATCH(BM$12,OcupadosEPACLM!$A$80:$A$500)+$A16-1,1)-1)</f>
        <v>3.4599676995259232E-2</v>
      </c>
      <c r="BN16" s="8">
        <f ca="1">IF(OR(BN6="",BN$11&lt;$A16),"",BN6/OFFSET(OcupadosEPACLM!$A$80,MATCH(BN$12,OcupadosEPACLM!$A$80:$A$500)+$A16-1,1)-1)</f>
        <v>9.4999451456090345E-3</v>
      </c>
      <c r="BO16" s="8" t="str">
        <f ca="1">IF(OR(BO6="",BO$11&lt;$A16),"",BO6/OFFSET(OcupadosEPACLM!$A$80,MATCH(BO$12,OcupadosEPACLM!$A$80:$A$500)+$A16-1,1)-1)</f>
        <v/>
      </c>
      <c r="BP16" s="8" t="str">
        <f ca="1">IF(OR(BP6="",BP$11&lt;$A16),"",BP6/OFFSET(OcupadosEPACLM!$A$80,MATCH(BP$12,OcupadosEPACLM!$A$80:$A$500)+$A16-1,1)-1)</f>
        <v/>
      </c>
      <c r="BQ16" s="8" t="str">
        <f ca="1">IF(OR(BQ6="",BQ$11&lt;$A16),"",BQ6/OFFSET(OcupadosEPACLM!$A$80,MATCH(BQ$12,OcupadosEPACLM!$A$80:$A$500)+$A16-1,1)-1)</f>
        <v/>
      </c>
      <c r="BR16" s="8" t="str">
        <f ca="1">IF(OR(BR6="",BR$11&lt;$A16),"",BR6/OFFSET(OcupadosEPACLM!$A$80,MATCH(BR$12,OcupadosEPACLM!$A$80:$A$500)+$A16-1,1)-1)</f>
        <v/>
      </c>
      <c r="BS16" s="8" t="str">
        <f ca="1">IF(OR(BS6="",BS$11&lt;$A16),"",BS6/OFFSET(OcupadosEPACLM!$A$80,MATCH(BS$12,OcupadosEPACLM!$A$80:$A$500)+$A16-1,1)-1)</f>
        <v/>
      </c>
      <c r="BT16" s="8" t="str">
        <f ca="1">IF(OR(BT6="",BT$11&lt;$A16),"",BT6/OFFSET(OcupadosEPACLM!$A$80,MATCH(BT$12,OcupadosEPACLM!$A$80:$A$500)+$A16-1,1)-1)</f>
        <v/>
      </c>
      <c r="BU16" s="8" t="str">
        <f ca="1">IF(OR(BU6="",BU$11&lt;$A16),"",BU6/OFFSET(OcupadosEPACLM!$A$80,MATCH(BU$12,OcupadosEPACLM!$A$80:$A$500)+$A16-1,1)-1)</f>
        <v/>
      </c>
      <c r="BV16" s="8" t="str">
        <f ca="1">IF(OR(BV6="",BV$11&lt;$A16),"",BV6/OFFSET(OcupadosEPACLM!$A$80,MATCH(BV$12,OcupadosEPACLM!$A$80:$A$500)+$A16-1,1)-1)</f>
        <v/>
      </c>
      <c r="BW16" s="8" t="str">
        <f ca="1">IF(OR(BW6="",BW$11&lt;$A16),"",BW6/OFFSET(OcupadosEPACLM!$A$80,MATCH(BW$12,OcupadosEPACLM!$A$80:$A$500)+$A16-1,1)-1)</f>
        <v/>
      </c>
      <c r="BX16" s="8" t="str">
        <f ca="1">IF(OR(BX6="",BX$11&lt;$A16),"",BX6/OFFSET(OcupadosEPACLM!$A$80,MATCH(BX$12,OcupadosEPACLM!$A$80:$A$500)+$A16-1,1)-1)</f>
        <v/>
      </c>
      <c r="BY16" s="8" t="str">
        <f ca="1">IF(OR(BY6="",BY$11&lt;$A16),"",BY6/OFFSET(OcupadosEPACLM!$A$80,MATCH(BY$12,OcupadosEPACLM!$A$80:$A$500)+$A16-1,1)-1)</f>
        <v/>
      </c>
      <c r="BZ16" s="8" t="str">
        <f ca="1">IF(OR(BZ6="",BZ$11&lt;$A16),"",BZ6/OFFSET(OcupadosEPACLM!$A$80,MATCH(BZ$12,OcupadosEPACLM!$A$80:$A$500)+$A16-1,1)-1)</f>
        <v/>
      </c>
      <c r="CA16" s="8" t="str">
        <f ca="1">IF(OR(CA6="",CA$11&lt;$A16),"",CA6/OFFSET(OcupadosEPACLM!$A$80,MATCH(CA$12,OcupadosEPACLM!$A$80:$A$500)+$A16-1,1)-1)</f>
        <v/>
      </c>
      <c r="CB16" s="8" t="str">
        <f ca="1">IF(OR(CB6="",CB$11&lt;$A16),"",CB6/OFFSET(OcupadosEPACLM!$A$80,MATCH(CB$12,OcupadosEPACLM!$A$80:$A$500)+$A16-1,1)-1)</f>
        <v/>
      </c>
      <c r="CC16" s="8" t="str">
        <f ca="1">IF(OR(CC6="",CC$11&lt;$A16),"",CC6/OFFSET(OcupadosEPACLM!$A$80,MATCH(CC$12,OcupadosEPACLM!$A$80:$A$500)+$A16-1,1)-1)</f>
        <v/>
      </c>
      <c r="CD16" s="8" t="str">
        <f ca="1">IF(OR(CD6="",CD$11&lt;$A16),"",CD6/OFFSET(OcupadosEPACLM!$A$80,MATCH(CD$12,OcupadosEPACLM!$A$80:$A$500)+$A16-1,1)-1)</f>
        <v/>
      </c>
      <c r="CE16" s="8" t="str">
        <f ca="1">IF(OR(CE6="",CE$11&lt;$A16),"",CE6/OFFSET(OcupadosEPACLM!$A$80,MATCH(CE$12,OcupadosEPACLM!$A$80:$A$500)+$A16-1,1)-1)</f>
        <v/>
      </c>
      <c r="CF16" s="8" t="str">
        <f ca="1">IF(OR(CF6="",CF$11&lt;$A16),"",CF6/OFFSET(OcupadosEPACLM!$A$80,MATCH(CF$12,OcupadosEPACLM!$A$80:$A$500)+$A16-1,1)-1)</f>
        <v/>
      </c>
      <c r="CG16" s="8" t="str">
        <f ca="1">IF(OR(CG6="",CG$11&lt;$A16),"",CG6/OFFSET(OcupadosEPACLM!$A$80,MATCH(CG$12,OcupadosEPACLM!$A$80:$A$500)+$A16-1,1)-1)</f>
        <v/>
      </c>
      <c r="CH16" s="8" t="str">
        <f ca="1">IF(OR(CH6="",CH$11&lt;$A16),"",CH6/OFFSET(OcupadosEPACLM!$A$80,MATCH(CH$12,OcupadosEPACLM!$A$80:$A$500)+$A16-1,1)-1)</f>
        <v/>
      </c>
      <c r="CI16" s="8" t="str">
        <f ca="1">IF(OR(CI6="",CI$11&lt;$A16),"",CI6/OFFSET(OcupadosEPACLM!$A$80,MATCH(CI$12,OcupadosEPACLM!$A$80:$A$500)+$A16-1,1)-1)</f>
        <v/>
      </c>
      <c r="CJ16" s="8" t="str">
        <f ca="1">IF(OR(CJ6="",CJ$11&lt;$A16),"",CJ6/OFFSET(OcupadosEPACLM!$A$80,MATCH(CJ$12,OcupadosEPACLM!$A$80:$A$500)+$A16-1,1)-1)</f>
        <v/>
      </c>
      <c r="CK16" s="8" t="str">
        <f ca="1">IF(OR(CK6="",CK$11&lt;$A16),"",CK6/OFFSET(OcupadosEPACLM!$A$80,MATCH(CK$12,OcupadosEPACLM!$A$80:$A$500)+$A16-1,1)-1)</f>
        <v/>
      </c>
      <c r="CL16" s="8" t="str">
        <f ca="1">IF(OR(CL6="",CL$11&lt;$A16),"",CL6/OFFSET(OcupadosEPACLM!$A$80,MATCH(CL$12,OcupadosEPACLM!$A$80:$A$500)+$A16-1,1)-1)</f>
        <v/>
      </c>
      <c r="CM16" s="8" t="str">
        <f ca="1">IF(OR(CM6="",CM$11&lt;$A16),"",CM6/OFFSET(OcupadosEPACLM!$A$80,MATCH(CM$12,OcupadosEPACLM!$A$80:$A$500)+$A16-1,1)-1)</f>
        <v/>
      </c>
      <c r="CN16" s="8" t="str">
        <f ca="1">IF(OR(CN6="",CN$11&lt;$A16),"",CN6/OFFSET(OcupadosEPACLM!$A$80,MATCH(CN$12,OcupadosEPACLM!$A$80:$A$500)+$A16-1,1)-1)</f>
        <v/>
      </c>
      <c r="CO16" s="8" t="str">
        <f ca="1">IF(OR(CO6="",CO$11&lt;$A16),"",CO6/OFFSET(OcupadosEPACLM!$A$80,MATCH(CO$12,OcupadosEPACLM!$A$80:$A$500)+$A16-1,1)-1)</f>
        <v/>
      </c>
      <c r="CP16" s="8" t="str">
        <f ca="1">IF(OR(CP6="",CP$11&lt;$A16),"",CP6/OFFSET(OcupadosEPACLM!$A$80,MATCH(CP$12,OcupadosEPACLM!$A$80:$A$500)+$A16-1,1)-1)</f>
        <v/>
      </c>
      <c r="CQ16" s="8" t="str">
        <f ca="1">IF(OR(CQ6="",CQ$11&lt;$A16),"",CQ6/OFFSET(OcupadosEPACLM!$A$80,MATCH(CQ$12,OcupadosEPACLM!$A$80:$A$500)+$A16-1,1)-1)</f>
        <v/>
      </c>
      <c r="CR16" s="8" t="str">
        <f ca="1">IF(OR(CR6="",CR$11&lt;$A16),"",CR6/OFFSET(OcupadosEPACLM!$A$80,MATCH(CR$12,OcupadosEPACLM!$A$80:$A$500)+$A16-1,1)-1)</f>
        <v/>
      </c>
      <c r="CS16" s="8" t="str">
        <f ca="1">IF(OR(CS6="",CS$11&lt;$A16),"",CS6/OFFSET(OcupadosEPACLM!$A$80,MATCH(CS$12,OcupadosEPACLM!$A$80:$A$500)+$A16-1,1)-1)</f>
        <v/>
      </c>
      <c r="CT16" s="8" t="str">
        <f ca="1">IF(OR(CT6="",CT$11&lt;$A16),"",CT6/OFFSET(OcupadosEPACLM!$A$80,MATCH(CT$12,OcupadosEPACLM!$A$80:$A$500)+$A16-1,1)-1)</f>
        <v/>
      </c>
      <c r="CU16" s="8" t="str">
        <f ca="1">IF(OR(CU6="",CU$11&lt;$A16),"",CU6/OFFSET(OcupadosEPACLM!$A$80,MATCH(CU$12,OcupadosEPACLM!$A$80:$A$500)+$A16-1,1)-1)</f>
        <v/>
      </c>
      <c r="CV16" s="8" t="str">
        <f ca="1">IF(OR(CV6="",CV$11&lt;$A16),"",CV6/OFFSET(OcupadosEPACLM!$A$80,MATCH(CV$12,OcupadosEPACLM!$A$80:$A$500)+$A16-1,1)-1)</f>
        <v/>
      </c>
      <c r="CW16" s="8" t="str">
        <f ca="1">IF(OR(CW6="",CW$11&lt;$A16),"",CW6/OFFSET(OcupadosEPACLM!$A$80,MATCH(CW$12,OcupadosEPACLM!$A$80:$A$500)+$A16-1,1)-1)</f>
        <v/>
      </c>
      <c r="CX16" s="8" t="str">
        <f ca="1">IF(OR(CX6="",CX$11&lt;$A16),"",CX6/OFFSET(OcupadosEPACLM!$A$80,MATCH(CX$12,OcupadosEPACLM!$A$80:$A$500)+$A16-1,1)-1)</f>
        <v/>
      </c>
      <c r="CY16" s="8" t="str">
        <f ca="1">IF(OR(CY6="",CY$11&lt;$A16),"",CY6/OFFSET(OcupadosEPACLM!$A$80,MATCH(CY$12,OcupadosEPACLM!$A$80:$A$500)+$A16-1,1)-1)</f>
        <v/>
      </c>
      <c r="CZ16" s="8" t="str">
        <f ca="1">IF(OR(CZ6="",CZ$11&lt;$A16),"",CZ6/OFFSET(OcupadosEPACLM!$A$80,MATCH(CZ$12,OcupadosEPACLM!$A$80:$A$500)+$A16-1,1)-1)</f>
        <v/>
      </c>
      <c r="DA16" s="8" t="str">
        <f ca="1">IF(OR(DA6="",DA$11&lt;$A16),"",DA6/OFFSET(OcupadosEPACLM!$A$80,MATCH(DA$12,OcupadosEPACLM!$A$80:$A$500)+$A16-1,1)-1)</f>
        <v/>
      </c>
      <c r="DB16" s="8" t="str">
        <f ca="1">IF(OR(DB6="",DB$11&lt;$A16),"",DB6/OFFSET(OcupadosEPACLM!$A$80,MATCH(DB$12,OcupadosEPACLM!$A$80:$A$500)+$A16-1,1)-1)</f>
        <v/>
      </c>
      <c r="DC16" s="8" t="str">
        <f ca="1">IF(OR(DC6="",DC$11&lt;$A16),"",DC6/OFFSET(OcupadosEPACLM!$A$80,MATCH(DC$12,OcupadosEPACLM!$A$80:$A$500)+$A16-1,1)-1)</f>
        <v/>
      </c>
      <c r="DD16" s="8" t="str">
        <f ca="1">IF(OR(DD6="",DD$11&lt;$A16),"",DD6/OFFSET(OcupadosEPACLM!$A$80,MATCH(DD$12,OcupadosEPACLM!$A$80:$A$500)+$A16-1,1)-1)</f>
        <v/>
      </c>
      <c r="DE16" s="8" t="str">
        <f ca="1">IF(OR(DE6="",DE$11&lt;$A16),"",DE6/OFFSET(OcupadosEPACLM!$A$80,MATCH(DE$12,OcupadosEPACLM!$A$80:$A$500)+$A16-1,1)-1)</f>
        <v/>
      </c>
      <c r="DF16" s="8" t="str">
        <f ca="1">IF(OR(DF6="",DF$11&lt;$A16),"",DF6/OFFSET(OcupadosEPACLM!$A$80,MATCH(DF$12,OcupadosEPACLM!$A$80:$A$500)+$A16-1,1)-1)</f>
        <v/>
      </c>
      <c r="DG16" s="8" t="str">
        <f ca="1">IF(OR(DG6="",DG$11&lt;$A16),"",DG6/OFFSET(OcupadosEPACLM!$A$80,MATCH(DG$12,OcupadosEPACLM!$A$80:$A$500)+$A16-1,1)-1)</f>
        <v/>
      </c>
      <c r="DH16" s="8" t="str">
        <f ca="1">IF(OR(DH6="",DH$11&lt;$A16),"",DH6/OFFSET(OcupadosEPACLM!$A$80,MATCH(DH$12,OcupadosEPACLM!$A$80:$A$500)+$A16-1,1)-1)</f>
        <v/>
      </c>
      <c r="DI16" s="8" t="str">
        <f ca="1">IF(OR(DI6="",DI$11&lt;$A16),"",DI6/OFFSET(OcupadosEPACLM!$A$80,MATCH(DI$12,OcupadosEPACLM!$A$80:$A$500)+$A16-1,1)-1)</f>
        <v/>
      </c>
      <c r="DJ16" s="8" t="str">
        <f ca="1">IF(OR(DJ6="",DJ$11&lt;$A16),"",DJ6/OFFSET(OcupadosEPACLM!$A$80,MATCH(DJ$12,OcupadosEPACLM!$A$80:$A$500)+$A16-1,1)-1)</f>
        <v/>
      </c>
      <c r="DK16" s="8" t="str">
        <f ca="1">IF(OR(DK6="",DK$11&lt;$A16),"",DK6/OFFSET(OcupadosEPACLM!$A$80,MATCH(DK$12,OcupadosEPACLM!$A$80:$A$500)+$A16-1,1)-1)</f>
        <v/>
      </c>
      <c r="DL16" s="8" t="str">
        <f ca="1">IF(OR(DL6="",DL$11&lt;$A16),"",DL6/OFFSET(OcupadosEPACLM!$A$80,MATCH(DL$12,OcupadosEPACLM!$A$80:$A$500)+$A16-1,1)-1)</f>
        <v/>
      </c>
      <c r="DM16" s="8" t="str">
        <f ca="1">IF(OR(DM6="",DM$11&lt;$A16),"",DM6/OFFSET(OcupadosEPACLM!$A$80,MATCH(DM$12,OcupadosEPACLM!$A$80:$A$500)+$A16-1,1)-1)</f>
        <v/>
      </c>
      <c r="DN16" s="8" t="str">
        <f ca="1">IF(OR(DN6="",DN$11&lt;$A16),"",DN6/OFFSET(OcupadosEPACLM!$A$80,MATCH(DN$12,OcupadosEPACLM!$A$80:$A$500)+$A16-1,1)-1)</f>
        <v/>
      </c>
      <c r="DO16" s="8" t="str">
        <f ca="1">IF(OR(DO6="",DO$11&lt;$A16),"",DO6/OFFSET(OcupadosEPACLM!$A$80,MATCH(DO$12,OcupadosEPACLM!$A$80:$A$500)+$A16-1,1)-1)</f>
        <v/>
      </c>
      <c r="DP16" s="8" t="str">
        <f ca="1">IF(OR(DP6="",DP$11&lt;$A16),"",DP6/OFFSET(OcupadosEPACLM!$A$80,MATCH(DP$12,OcupadosEPACLM!$A$80:$A$500)+$A16-1,1)-1)</f>
        <v/>
      </c>
      <c r="DQ16" s="8" t="str">
        <f ca="1">IF(OR(DQ6="",DQ$11&lt;$A16),"",DQ6/OFFSET(OcupadosEPACLM!$A$80,MATCH(DQ$12,OcupadosEPACLM!$A$80:$A$500)+$A16-1,1)-1)</f>
        <v/>
      </c>
      <c r="DR16" s="8" t="str">
        <f ca="1">IF(OR(DR6="",DR$11&lt;$A16),"",DR6/OFFSET(OcupadosEPACLM!$A$80,MATCH(DR$12,OcupadosEPACLM!$A$80:$A$500)+$A16-1,1)-1)</f>
        <v/>
      </c>
      <c r="DS16" s="12">
        <f t="shared" ca="1" si="51"/>
        <v>-5.5155992448332946E-3</v>
      </c>
      <c r="DT16" s="12">
        <f t="shared" ca="1" si="52"/>
        <v>-9.183981501906413E-3</v>
      </c>
      <c r="DU16" s="13">
        <f t="shared" ca="1" si="53"/>
        <v>1.1495094567710625E-3</v>
      </c>
      <c r="DV16" s="15">
        <f t="shared" ca="1" si="56"/>
        <v>3.3904416478846268E-2</v>
      </c>
      <c r="DW16" s="14" t="str">
        <f t="shared" ca="1" si="54"/>
        <v>[ -7,33% ; 6,23% ]</v>
      </c>
      <c r="DX16" s="15">
        <f t="shared" ca="1" si="55"/>
        <v>4.3397653092923226E-2</v>
      </c>
      <c r="GI16" s="1"/>
    </row>
    <row r="17" spans="1:191" hidden="1" x14ac:dyDescent="0.25">
      <c r="A17" s="4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12"/>
      <c r="DT17" s="12"/>
      <c r="DU17" s="13"/>
      <c r="DV17" s="15"/>
      <c r="DW17" s="14"/>
      <c r="DX17" s="15"/>
      <c r="GI17" s="1"/>
    </row>
    <row r="18" spans="1:191" hidden="1" x14ac:dyDescent="0.25">
      <c r="A18" s="4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12"/>
      <c r="DT18" s="12"/>
      <c r="DU18" s="13"/>
      <c r="DV18" s="15"/>
      <c r="DW18" s="14"/>
      <c r="DX18" s="15"/>
      <c r="GI18" s="1"/>
    </row>
    <row r="19" spans="1:191" hidden="1" x14ac:dyDescent="0.25">
      <c r="A19" s="4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12"/>
      <c r="DT19" s="12"/>
      <c r="DU19" s="13"/>
      <c r="DV19" s="15"/>
      <c r="DW19" s="14"/>
      <c r="DX19" s="15"/>
      <c r="GI19" s="1"/>
    </row>
    <row r="20" spans="1:191" hidden="1" x14ac:dyDescent="0.25">
      <c r="A20" s="4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12"/>
      <c r="DT20" s="12"/>
      <c r="DU20" s="13"/>
      <c r="DV20" s="15"/>
      <c r="DW20" s="14"/>
      <c r="DX20" s="15"/>
      <c r="GI20" s="1"/>
    </row>
    <row r="21" spans="1:191" ht="15.75" x14ac:dyDescent="0.25">
      <c r="A21" s="3" t="s">
        <v>1</v>
      </c>
      <c r="B21" s="7">
        <v>37986</v>
      </c>
      <c r="C21" s="7">
        <v>38077</v>
      </c>
      <c r="D21" s="7">
        <v>38168</v>
      </c>
      <c r="E21" s="7">
        <v>38260</v>
      </c>
      <c r="F21" s="7">
        <v>38352</v>
      </c>
      <c r="G21" s="7">
        <v>38442</v>
      </c>
      <c r="H21" s="7">
        <v>38533</v>
      </c>
      <c r="I21" s="7">
        <v>38625</v>
      </c>
      <c r="J21" s="7">
        <v>38717</v>
      </c>
      <c r="K21" s="7">
        <v>38807</v>
      </c>
      <c r="L21" s="7">
        <v>38898</v>
      </c>
      <c r="M21" s="7">
        <v>38990</v>
      </c>
      <c r="N21" s="7">
        <v>39082</v>
      </c>
      <c r="O21" s="7">
        <v>39172</v>
      </c>
      <c r="P21" s="7">
        <v>39263</v>
      </c>
      <c r="Q21" s="7">
        <v>39355</v>
      </c>
      <c r="R21" s="7">
        <v>39447</v>
      </c>
      <c r="S21" s="7">
        <v>39538</v>
      </c>
      <c r="T21" s="7">
        <v>39629</v>
      </c>
      <c r="U21" s="7">
        <v>39721</v>
      </c>
      <c r="V21" s="7">
        <v>39813</v>
      </c>
      <c r="W21" s="7">
        <v>39903</v>
      </c>
      <c r="X21" s="7">
        <v>39994</v>
      </c>
      <c r="Y21" s="7">
        <v>40086</v>
      </c>
      <c r="Z21" s="7">
        <v>40178</v>
      </c>
      <c r="AA21" s="7">
        <v>40268</v>
      </c>
      <c r="AB21" s="7">
        <v>40359</v>
      </c>
      <c r="AC21" s="7">
        <v>40451</v>
      </c>
      <c r="AD21" s="7">
        <v>40543</v>
      </c>
      <c r="AE21" s="7">
        <v>40633</v>
      </c>
      <c r="AF21" s="7">
        <v>40724</v>
      </c>
      <c r="AG21" s="7">
        <v>40816</v>
      </c>
      <c r="AH21" s="7">
        <v>40908</v>
      </c>
      <c r="AI21" s="7">
        <v>40999</v>
      </c>
      <c r="AJ21" s="7">
        <v>41090</v>
      </c>
      <c r="AK21" s="7">
        <v>41182</v>
      </c>
      <c r="AL21" s="7">
        <v>41274</v>
      </c>
      <c r="AM21" s="7">
        <v>41364</v>
      </c>
      <c r="AN21" s="7">
        <v>41455</v>
      </c>
      <c r="AO21" s="7">
        <v>41547</v>
      </c>
      <c r="AP21" s="7">
        <v>41639</v>
      </c>
      <c r="AQ21" s="7">
        <v>41729</v>
      </c>
      <c r="AR21" s="7">
        <v>41820</v>
      </c>
      <c r="AS21" s="7">
        <v>41912</v>
      </c>
      <c r="AT21" s="7">
        <v>42004</v>
      </c>
      <c r="AU21" s="7">
        <v>42094</v>
      </c>
      <c r="AV21" s="7">
        <v>42185</v>
      </c>
      <c r="AW21" s="7">
        <v>42277</v>
      </c>
      <c r="AX21" s="7">
        <v>42369</v>
      </c>
      <c r="AY21" s="7">
        <v>42460</v>
      </c>
      <c r="AZ21" s="7">
        <v>42551</v>
      </c>
      <c r="BA21" s="7">
        <v>42643</v>
      </c>
      <c r="BB21" s="7">
        <v>42735</v>
      </c>
      <c r="BC21" s="7">
        <v>42825</v>
      </c>
      <c r="BD21" s="7">
        <v>42916</v>
      </c>
      <c r="BE21" s="7">
        <v>43008</v>
      </c>
      <c r="BF21" s="7">
        <v>43100</v>
      </c>
      <c r="BG21" s="7">
        <v>43190</v>
      </c>
      <c r="BH21" s="7">
        <v>43281</v>
      </c>
      <c r="BI21" s="7">
        <v>43373</v>
      </c>
      <c r="BJ21" s="7">
        <v>43465</v>
      </c>
      <c r="BK21" s="7">
        <v>43555</v>
      </c>
      <c r="BL21" s="7">
        <v>43646</v>
      </c>
      <c r="BM21" s="7">
        <v>43738</v>
      </c>
      <c r="BN21" s="7">
        <v>43830</v>
      </c>
      <c r="BO21" s="7">
        <v>43921</v>
      </c>
      <c r="BP21" s="7">
        <v>44012</v>
      </c>
      <c r="BQ21" s="7">
        <v>44104</v>
      </c>
      <c r="BR21" s="7">
        <v>44196</v>
      </c>
      <c r="BS21" s="7">
        <v>44286</v>
      </c>
      <c r="BT21" s="7">
        <v>44377</v>
      </c>
      <c r="BU21" s="7">
        <v>44469</v>
      </c>
      <c r="BV21" s="7">
        <v>44561</v>
      </c>
      <c r="BW21" s="7">
        <v>44651</v>
      </c>
      <c r="BX21" s="7">
        <v>44742</v>
      </c>
      <c r="BY21" s="7">
        <v>44834</v>
      </c>
      <c r="BZ21" s="7">
        <v>44926</v>
      </c>
      <c r="CA21" s="7">
        <v>45016</v>
      </c>
      <c r="CB21" s="7">
        <v>45107</v>
      </c>
      <c r="CC21" s="7">
        <v>45199</v>
      </c>
      <c r="CD21" s="7">
        <v>45291</v>
      </c>
      <c r="CE21" s="7">
        <v>45382</v>
      </c>
      <c r="CF21" s="7">
        <v>45473</v>
      </c>
      <c r="CG21" s="7">
        <v>45565</v>
      </c>
      <c r="CH21" s="7">
        <v>45657</v>
      </c>
      <c r="CI21" s="7">
        <v>45747</v>
      </c>
      <c r="CJ21" s="7">
        <v>45838</v>
      </c>
      <c r="CK21" s="7">
        <v>45930</v>
      </c>
      <c r="CL21" s="7">
        <v>46022</v>
      </c>
      <c r="CM21" s="7">
        <v>46112</v>
      </c>
      <c r="CN21" s="7">
        <v>46203</v>
      </c>
      <c r="CO21" s="7">
        <v>46295</v>
      </c>
      <c r="CP21" s="7">
        <v>46387</v>
      </c>
      <c r="CQ21" s="7">
        <v>46477</v>
      </c>
      <c r="CR21" s="7">
        <v>46568</v>
      </c>
      <c r="CS21" s="7">
        <v>46660</v>
      </c>
      <c r="CT21" s="7">
        <v>46752</v>
      </c>
      <c r="CU21" s="7">
        <v>46843</v>
      </c>
      <c r="CV21" s="7">
        <v>46934</v>
      </c>
      <c r="CW21" s="7">
        <v>47026</v>
      </c>
      <c r="CX21" s="7">
        <v>47118</v>
      </c>
      <c r="CY21" s="7">
        <v>47208</v>
      </c>
      <c r="CZ21" s="7">
        <v>47299</v>
      </c>
      <c r="DA21" s="7">
        <v>47391</v>
      </c>
      <c r="DB21" s="7">
        <v>47483</v>
      </c>
      <c r="DC21" s="7">
        <v>47573</v>
      </c>
      <c r="DD21" s="7">
        <v>47664</v>
      </c>
      <c r="DE21" s="7">
        <v>47756</v>
      </c>
      <c r="DF21" s="7">
        <v>47848</v>
      </c>
      <c r="DG21" s="7">
        <v>47938</v>
      </c>
      <c r="DH21" s="7">
        <v>48029</v>
      </c>
      <c r="DI21" s="7">
        <v>48121</v>
      </c>
      <c r="DJ21" s="7">
        <v>48213</v>
      </c>
      <c r="DK21" s="7">
        <v>48304</v>
      </c>
      <c r="DL21" s="7">
        <v>48395</v>
      </c>
      <c r="DM21" s="7">
        <v>48487</v>
      </c>
      <c r="DN21" s="7">
        <v>48579</v>
      </c>
      <c r="DO21" s="7">
        <v>48669</v>
      </c>
      <c r="DP21" s="7">
        <v>48760</v>
      </c>
      <c r="DQ21" s="7">
        <v>48852</v>
      </c>
      <c r="DR21" s="7">
        <v>48944</v>
      </c>
      <c r="DS21" s="9" t="s">
        <v>2</v>
      </c>
      <c r="DT21" s="10" t="s">
        <v>3</v>
      </c>
      <c r="DU21" s="9" t="s">
        <v>4</v>
      </c>
      <c r="DV21" s="11" t="s">
        <v>5</v>
      </c>
      <c r="DW21" s="9" t="s">
        <v>6</v>
      </c>
      <c r="DX21" s="16"/>
      <c r="GI21" s="1"/>
    </row>
    <row r="22" spans="1:191" x14ac:dyDescent="0.25">
      <c r="A22" s="4">
        <v>1</v>
      </c>
      <c r="B22" s="8">
        <f t="shared" ref="B22:BM25" ca="1" si="57">IF(B13="","",ABS(B13))</f>
        <v>6.149472118697874E-3</v>
      </c>
      <c r="C22" s="8">
        <f t="shared" ca="1" si="57"/>
        <v>7.2272691352788243E-3</v>
      </c>
      <c r="D22" s="8">
        <f t="shared" ca="1" si="57"/>
        <v>9.4005642300082348E-3</v>
      </c>
      <c r="E22" s="8">
        <f t="shared" ca="1" si="57"/>
        <v>8.4589509928583162E-3</v>
      </c>
      <c r="F22" s="8">
        <f t="shared" ca="1" si="57"/>
        <v>5.0104307103883139E-3</v>
      </c>
      <c r="G22" s="8">
        <f t="shared" ca="1" si="57"/>
        <v>2.2894771318158313E-2</v>
      </c>
      <c r="H22" s="8">
        <f t="shared" ca="1" si="57"/>
        <v>4.4267450646624518E-3</v>
      </c>
      <c r="I22" s="8">
        <f t="shared" ca="1" si="57"/>
        <v>5.8760874575254363E-3</v>
      </c>
      <c r="J22" s="8">
        <f t="shared" ca="1" si="57"/>
        <v>5.5263163087657663E-3</v>
      </c>
      <c r="K22" s="8">
        <f t="shared" ca="1" si="57"/>
        <v>6.2763975314419351E-3</v>
      </c>
      <c r="L22" s="8">
        <f t="shared" ca="1" si="57"/>
        <v>3.9943803177162618E-3</v>
      </c>
      <c r="M22" s="8">
        <f t="shared" ca="1" si="57"/>
        <v>1.5976573285667151E-2</v>
      </c>
      <c r="N22" s="8">
        <f t="shared" ca="1" si="57"/>
        <v>1.6775809433534405E-2</v>
      </c>
      <c r="O22" s="8">
        <f t="shared" ca="1" si="57"/>
        <v>3.160881569270968E-3</v>
      </c>
      <c r="P22" s="8">
        <f t="shared" ca="1" si="57"/>
        <v>7.1635754186322176E-3</v>
      </c>
      <c r="Q22" s="8">
        <f t="shared" ca="1" si="57"/>
        <v>1.6299478123080746E-2</v>
      </c>
      <c r="R22" s="8">
        <f t="shared" ca="1" si="57"/>
        <v>1.2331068004609813E-2</v>
      </c>
      <c r="S22" s="8">
        <f t="shared" ca="1" si="57"/>
        <v>1.1354206501323238E-2</v>
      </c>
      <c r="T22" s="8">
        <f t="shared" ca="1" si="57"/>
        <v>3.1757380465022633E-2</v>
      </c>
      <c r="U22" s="8">
        <f t="shared" ca="1" si="57"/>
        <v>3.5882332065257483E-2</v>
      </c>
      <c r="V22" s="8">
        <f t="shared" ca="1" si="57"/>
        <v>1.9235312976206398E-2</v>
      </c>
      <c r="W22" s="8">
        <f t="shared" ca="1" si="57"/>
        <v>7.8927265088368781E-3</v>
      </c>
      <c r="X22" s="8">
        <f t="shared" ca="1" si="57"/>
        <v>1.9621430071540824E-2</v>
      </c>
      <c r="Y22" s="8">
        <f t="shared" ca="1" si="57"/>
        <v>1.3354307207085636E-2</v>
      </c>
      <c r="Z22" s="8">
        <f t="shared" ca="1" si="57"/>
        <v>9.1214895402185192E-3</v>
      </c>
      <c r="AA22" s="8">
        <f t="shared" ca="1" si="57"/>
        <v>3.5755401831326639E-3</v>
      </c>
      <c r="AB22" s="8">
        <f t="shared" ca="1" si="57"/>
        <v>1.6341526037532139E-3</v>
      </c>
      <c r="AC22" s="8">
        <f t="shared" ca="1" si="57"/>
        <v>2.8994426641832938E-3</v>
      </c>
      <c r="AD22" s="8">
        <f t="shared" ca="1" si="57"/>
        <v>1.1105439110616344E-2</v>
      </c>
      <c r="AE22" s="8">
        <f t="shared" ca="1" si="57"/>
        <v>5.3326775528523829E-3</v>
      </c>
      <c r="AF22" s="8">
        <f t="shared" ca="1" si="57"/>
        <v>6.0096945906995547E-3</v>
      </c>
      <c r="AG22" s="8">
        <f t="shared" ca="1" si="57"/>
        <v>1.4975606984863665E-2</v>
      </c>
      <c r="AH22" s="8">
        <f t="shared" ca="1" si="57"/>
        <v>3.1183597251134509E-2</v>
      </c>
      <c r="AI22" s="8">
        <f t="shared" ca="1" si="57"/>
        <v>2.3876648246888399E-2</v>
      </c>
      <c r="AJ22" s="8">
        <f t="shared" ca="1" si="57"/>
        <v>5.0967530143767314E-3</v>
      </c>
      <c r="AK22" s="8">
        <f t="shared" ca="1" si="57"/>
        <v>4.155410212409727E-3</v>
      </c>
      <c r="AL22" s="8">
        <f t="shared" ca="1" si="57"/>
        <v>9.2468394302072099E-3</v>
      </c>
      <c r="AM22" s="8">
        <f t="shared" ca="1" si="57"/>
        <v>2.3875044869959838E-2</v>
      </c>
      <c r="AN22" s="8">
        <f t="shared" ca="1" si="57"/>
        <v>1.8426599404026689E-3</v>
      </c>
      <c r="AO22" s="8">
        <f t="shared" ca="1" si="57"/>
        <v>6.0417689361508264E-3</v>
      </c>
      <c r="AP22" s="8">
        <f t="shared" ca="1" si="57"/>
        <v>3.6626850388208343E-3</v>
      </c>
      <c r="AQ22" s="8">
        <f t="shared" ca="1" si="57"/>
        <v>1.0242380353720271E-2</v>
      </c>
      <c r="AR22" s="8">
        <f t="shared" ca="1" si="57"/>
        <v>1.3922655499607917E-2</v>
      </c>
      <c r="AS22" s="8">
        <f t="shared" ca="1" si="57"/>
        <v>3.8803808069393098E-3</v>
      </c>
      <c r="AT22" s="8">
        <f t="shared" ca="1" si="57"/>
        <v>1.0376807007424049E-2</v>
      </c>
      <c r="AU22" s="8">
        <f t="shared" ca="1" si="57"/>
        <v>1.1128829869735068E-2</v>
      </c>
      <c r="AV22" s="8">
        <f t="shared" ca="1" si="57"/>
        <v>2.0831258521845308E-2</v>
      </c>
      <c r="AW22" s="8">
        <f t="shared" ca="1" si="57"/>
        <v>2.0140728078330561E-3</v>
      </c>
      <c r="AX22" s="8">
        <f t="shared" ca="1" si="57"/>
        <v>7.1544369846789913E-3</v>
      </c>
      <c r="AY22" s="8">
        <f t="shared" ca="1" si="57"/>
        <v>6.083057879837428E-3</v>
      </c>
      <c r="AZ22" s="8">
        <f t="shared" ca="1" si="57"/>
        <v>7.4921554093692055E-3</v>
      </c>
      <c r="BA22" s="8">
        <f t="shared" ca="1" si="57"/>
        <v>2.5088860033642746E-2</v>
      </c>
      <c r="BB22" s="8">
        <f t="shared" ca="1" si="57"/>
        <v>6.0936726837588218E-3</v>
      </c>
      <c r="BC22" s="8">
        <f t="shared" ca="1" si="57"/>
        <v>2.4423661026498733E-2</v>
      </c>
      <c r="BD22" s="8">
        <f t="shared" ca="1" si="57"/>
        <v>1.5461931016851893E-2</v>
      </c>
      <c r="BE22" s="8">
        <f t="shared" ca="1" si="57"/>
        <v>1.0384311184250428E-2</v>
      </c>
      <c r="BF22" s="8">
        <f t="shared" ca="1" si="57"/>
        <v>2.3025759759863762E-2</v>
      </c>
      <c r="BG22" s="8">
        <f t="shared" ca="1" si="57"/>
        <v>1.3021792010224575E-2</v>
      </c>
      <c r="BH22" s="8">
        <f t="shared" ca="1" si="57"/>
        <v>8.8218818518374098E-3</v>
      </c>
      <c r="BI22" s="8">
        <f t="shared" ca="1" si="57"/>
        <v>1.4999993256473831E-2</v>
      </c>
      <c r="BJ22" s="8">
        <f t="shared" ca="1" si="57"/>
        <v>7.2310074768521249E-3</v>
      </c>
      <c r="BK22" s="8">
        <f t="shared" ca="1" si="57"/>
        <v>2.9072475353359328E-2</v>
      </c>
      <c r="BL22" s="8">
        <f t="shared" ca="1" si="57"/>
        <v>1.4460113339449299E-2</v>
      </c>
      <c r="BM22" s="8">
        <f t="shared" ca="1" si="57"/>
        <v>4.7304590553653991E-4</v>
      </c>
      <c r="BN22" s="8">
        <f t="shared" ref="BN22:BU24" ca="1" si="58">IF(BN13="","",ABS(BN13))</f>
        <v>1.3713151976158855E-2</v>
      </c>
      <c r="BO22" s="8">
        <f t="shared" ca="1" si="58"/>
        <v>3.9986466943027654E-2</v>
      </c>
      <c r="BP22" s="8">
        <f t="shared" ca="1" si="58"/>
        <v>2.8780524639802962E-2</v>
      </c>
      <c r="BQ22" s="8">
        <f t="shared" ca="1" si="58"/>
        <v>3.1423918420403707E-2</v>
      </c>
      <c r="BR22" s="8" t="str">
        <f t="shared" ca="1" si="58"/>
        <v/>
      </c>
      <c r="BS22" s="8" t="str">
        <f t="shared" ca="1" si="58"/>
        <v/>
      </c>
      <c r="BT22" s="8" t="str">
        <f t="shared" ca="1" si="58"/>
        <v/>
      </c>
      <c r="BU22" s="8" t="str">
        <f t="shared" ca="1" si="58"/>
        <v/>
      </c>
      <c r="BV22" s="8" t="str">
        <f t="shared" ref="BV22:DR22" ca="1" si="59">IF(BV13="","",ABS(BV13))</f>
        <v/>
      </c>
      <c r="BW22" s="8" t="str">
        <f t="shared" ca="1" si="59"/>
        <v/>
      </c>
      <c r="BX22" s="8" t="str">
        <f t="shared" ca="1" si="59"/>
        <v/>
      </c>
      <c r="BY22" s="8" t="str">
        <f t="shared" ca="1" si="59"/>
        <v/>
      </c>
      <c r="BZ22" s="8" t="str">
        <f t="shared" ca="1" si="59"/>
        <v/>
      </c>
      <c r="CA22" s="8" t="str">
        <f t="shared" ca="1" si="59"/>
        <v/>
      </c>
      <c r="CB22" s="8" t="str">
        <f t="shared" ca="1" si="59"/>
        <v/>
      </c>
      <c r="CC22" s="8" t="str">
        <f t="shared" ca="1" si="59"/>
        <v/>
      </c>
      <c r="CD22" s="8" t="str">
        <f t="shared" ca="1" si="59"/>
        <v/>
      </c>
      <c r="CE22" s="8" t="str">
        <f t="shared" ca="1" si="59"/>
        <v/>
      </c>
      <c r="CF22" s="8" t="str">
        <f t="shared" ca="1" si="59"/>
        <v/>
      </c>
      <c r="CG22" s="8" t="str">
        <f t="shared" ca="1" si="59"/>
        <v/>
      </c>
      <c r="CH22" s="8" t="str">
        <f t="shared" ca="1" si="59"/>
        <v/>
      </c>
      <c r="CI22" s="8" t="str">
        <f t="shared" ca="1" si="59"/>
        <v/>
      </c>
      <c r="CJ22" s="8" t="str">
        <f t="shared" ca="1" si="59"/>
        <v/>
      </c>
      <c r="CK22" s="8" t="str">
        <f t="shared" ca="1" si="59"/>
        <v/>
      </c>
      <c r="CL22" s="8" t="str">
        <f t="shared" ca="1" si="59"/>
        <v/>
      </c>
      <c r="CM22" s="8" t="str">
        <f t="shared" ca="1" si="59"/>
        <v/>
      </c>
      <c r="CN22" s="8" t="str">
        <f t="shared" ca="1" si="59"/>
        <v/>
      </c>
      <c r="CO22" s="8" t="str">
        <f t="shared" ca="1" si="59"/>
        <v/>
      </c>
      <c r="CP22" s="8" t="str">
        <f t="shared" ca="1" si="59"/>
        <v/>
      </c>
      <c r="CQ22" s="8" t="str">
        <f t="shared" ca="1" si="59"/>
        <v/>
      </c>
      <c r="CR22" s="8" t="str">
        <f t="shared" ca="1" si="59"/>
        <v/>
      </c>
      <c r="CS22" s="8" t="str">
        <f t="shared" ca="1" si="59"/>
        <v/>
      </c>
      <c r="CT22" s="8" t="str">
        <f t="shared" ca="1" si="59"/>
        <v/>
      </c>
      <c r="CU22" s="8" t="str">
        <f t="shared" ca="1" si="59"/>
        <v/>
      </c>
      <c r="CV22" s="8" t="str">
        <f t="shared" ca="1" si="59"/>
        <v/>
      </c>
      <c r="CW22" s="8" t="str">
        <f t="shared" ca="1" si="59"/>
        <v/>
      </c>
      <c r="CX22" s="8" t="str">
        <f t="shared" ca="1" si="59"/>
        <v/>
      </c>
      <c r="CY22" s="8" t="str">
        <f t="shared" ca="1" si="59"/>
        <v/>
      </c>
      <c r="CZ22" s="8" t="str">
        <f t="shared" ca="1" si="59"/>
        <v/>
      </c>
      <c r="DA22" s="8" t="str">
        <f t="shared" ca="1" si="59"/>
        <v/>
      </c>
      <c r="DB22" s="8" t="str">
        <f t="shared" ca="1" si="59"/>
        <v/>
      </c>
      <c r="DC22" s="8" t="str">
        <f t="shared" ca="1" si="59"/>
        <v/>
      </c>
      <c r="DD22" s="8" t="str">
        <f t="shared" ca="1" si="59"/>
        <v/>
      </c>
      <c r="DE22" s="8" t="str">
        <f t="shared" ca="1" si="59"/>
        <v/>
      </c>
      <c r="DF22" s="8" t="str">
        <f t="shared" ca="1" si="59"/>
        <v/>
      </c>
      <c r="DG22" s="8" t="str">
        <f t="shared" ca="1" si="59"/>
        <v/>
      </c>
      <c r="DH22" s="8" t="str">
        <f t="shared" ca="1" si="59"/>
        <v/>
      </c>
      <c r="DI22" s="8" t="str">
        <f t="shared" ca="1" si="59"/>
        <v/>
      </c>
      <c r="DJ22" s="8" t="str">
        <f t="shared" ca="1" si="59"/>
        <v/>
      </c>
      <c r="DK22" s="8" t="str">
        <f t="shared" ca="1" si="59"/>
        <v/>
      </c>
      <c r="DL22" s="8" t="str">
        <f t="shared" ca="1" si="59"/>
        <v/>
      </c>
      <c r="DM22" s="8" t="str">
        <f t="shared" ca="1" si="59"/>
        <v/>
      </c>
      <c r="DN22" s="8" t="str">
        <f t="shared" ca="1" si="59"/>
        <v/>
      </c>
      <c r="DO22" s="8" t="str">
        <f t="shared" ca="1" si="59"/>
        <v/>
      </c>
      <c r="DP22" s="8" t="str">
        <f t="shared" ca="1" si="59"/>
        <v/>
      </c>
      <c r="DQ22" s="8" t="str">
        <f t="shared" ca="1" si="59"/>
        <v/>
      </c>
      <c r="DR22" s="8" t="str">
        <f t="shared" ca="1" si="59"/>
        <v/>
      </c>
      <c r="DS22" s="12">
        <f t="shared" ref="DS22:DS25" ca="1" si="60">AVERAGE(OFFSET($B22,0,Inicio-1,1,Amplitud))</f>
        <v>1.4032605187236046E-2</v>
      </c>
      <c r="DT22" s="12">
        <f t="shared" ref="DT22:DT25" ca="1" si="61">MEDIAN(OFFSET($B22,0,Inicio-1,1,Amplitud))</f>
        <v>1.1128829869735068E-2</v>
      </c>
      <c r="DU22" s="13">
        <f t="shared" ref="DU22:DU25" ca="1" si="62">VARP(OFFSET($B22,0,Inicio-1,1,Amplitud))</f>
        <v>9.5767628148345763E-5</v>
      </c>
      <c r="DV22" s="15">
        <f ca="1">SQRT(DU22)</f>
        <v>9.7860936102382428E-3</v>
      </c>
      <c r="DW22" s="14" t="str">
        <f t="shared" ref="DW22:DW25" ca="1" si="63">CONCATENATE("[ ",TEXT(DS22-2*DV22,"0,00%")," ; ",TEXT(DS22+2*DV22,"0,00%")," ]")</f>
        <v>[ -0,55% ; 3,36% ]</v>
      </c>
      <c r="DX22" s="15">
        <f t="shared" ref="DX22:DX25" ca="1" si="64">DV22*DX$12</f>
        <v>1.2526199821104951E-2</v>
      </c>
      <c r="GI22" s="1"/>
    </row>
    <row r="23" spans="1:191" x14ac:dyDescent="0.25">
      <c r="A23" s="4">
        <v>2</v>
      </c>
      <c r="B23" s="8">
        <f t="shared" ca="1" si="57"/>
        <v>1.5219512419635262E-3</v>
      </c>
      <c r="C23" s="8">
        <f t="shared" ca="1" si="57"/>
        <v>1.7351118311073055E-3</v>
      </c>
      <c r="D23" s="8">
        <f t="shared" ca="1" si="57"/>
        <v>1.7615022160311522E-2</v>
      </c>
      <c r="E23" s="8">
        <f t="shared" ca="1" si="57"/>
        <v>1.2488696307551117E-2</v>
      </c>
      <c r="F23" s="8">
        <f t="shared" ca="1" si="57"/>
        <v>2.8565347378893935E-2</v>
      </c>
      <c r="G23" s="8">
        <f t="shared" ca="1" si="57"/>
        <v>2.504906059593226E-2</v>
      </c>
      <c r="H23" s="8">
        <f t="shared" ca="1" si="57"/>
        <v>1.4412283032074757E-3</v>
      </c>
      <c r="I23" s="8">
        <f t="shared" ca="1" si="57"/>
        <v>1.1332702965363595E-2</v>
      </c>
      <c r="J23" s="8">
        <f t="shared" ca="1" si="57"/>
        <v>1.2100038185894002E-2</v>
      </c>
      <c r="K23" s="8">
        <f t="shared" ca="1" si="57"/>
        <v>9.9776567626301826E-3</v>
      </c>
      <c r="L23" s="8">
        <f t="shared" ca="1" si="57"/>
        <v>1.1316994955939963E-2</v>
      </c>
      <c r="M23" s="8">
        <f t="shared" ca="1" si="57"/>
        <v>3.0978390526240407E-2</v>
      </c>
      <c r="N23" s="8">
        <f t="shared" ca="1" si="57"/>
        <v>1.2696158161193072E-2</v>
      </c>
      <c r="O23" s="8">
        <f t="shared" ca="1" si="57"/>
        <v>1.9236085247821277E-3</v>
      </c>
      <c r="P23" s="8">
        <f t="shared" ca="1" si="57"/>
        <v>9.7213702016929471E-3</v>
      </c>
      <c r="Q23" s="8">
        <f t="shared" ca="1" si="57"/>
        <v>2.9856463643448405E-2</v>
      </c>
      <c r="R23" s="8">
        <f t="shared" ca="1" si="57"/>
        <v>2.4552976195613807E-2</v>
      </c>
      <c r="S23" s="8">
        <f t="shared" ca="1" si="57"/>
        <v>4.3011100295166083E-2</v>
      </c>
      <c r="T23" s="8">
        <f t="shared" ca="1" si="57"/>
        <v>6.8455640937295614E-2</v>
      </c>
      <c r="U23" s="8">
        <f t="shared" ca="1" si="57"/>
        <v>6.5974525767392933E-2</v>
      </c>
      <c r="V23" s="8">
        <f t="shared" ca="1" si="57"/>
        <v>3.2923166070840448E-2</v>
      </c>
      <c r="W23" s="8">
        <f t="shared" ca="1" si="57"/>
        <v>1.0325171119873078E-2</v>
      </c>
      <c r="X23" s="8">
        <f t="shared" ca="1" si="57"/>
        <v>3.7202697819195385E-2</v>
      </c>
      <c r="Y23" s="8">
        <f t="shared" ca="1" si="57"/>
        <v>3.2256025215465778E-3</v>
      </c>
      <c r="Z23" s="8">
        <f t="shared" ca="1" si="57"/>
        <v>6.6298966479236832E-3</v>
      </c>
      <c r="AA23" s="8">
        <f t="shared" ca="1" si="57"/>
        <v>5.2821754638148199E-3</v>
      </c>
      <c r="AB23" s="8">
        <f t="shared" ca="1" si="57"/>
        <v>1.7959208998300502E-3</v>
      </c>
      <c r="AC23" s="8">
        <f t="shared" ca="1" si="57"/>
        <v>8.7637223516701113E-3</v>
      </c>
      <c r="AD23" s="8">
        <f t="shared" ca="1" si="57"/>
        <v>7.1641094214257572E-3</v>
      </c>
      <c r="AE23" s="8">
        <f t="shared" ca="1" si="57"/>
        <v>1.1057173130300413E-2</v>
      </c>
      <c r="AF23" s="8">
        <f t="shared" ca="1" si="57"/>
        <v>2.0462043756437787E-2</v>
      </c>
      <c r="AG23" s="8">
        <f t="shared" ca="1" si="57"/>
        <v>4.7942000062694223E-2</v>
      </c>
      <c r="AH23" s="8">
        <f t="shared" ca="1" si="57"/>
        <v>6.1056327669258836E-2</v>
      </c>
      <c r="AI23" s="8">
        <f t="shared" ca="1" si="57"/>
        <v>2.2117099615091451E-2</v>
      </c>
      <c r="AJ23" s="8">
        <f t="shared" ca="1" si="57"/>
        <v>1.7934539663618798E-3</v>
      </c>
      <c r="AK23" s="8">
        <f t="shared" ca="1" si="57"/>
        <v>4.891927703969623E-3</v>
      </c>
      <c r="AL23" s="8">
        <f t="shared" ca="1" si="57"/>
        <v>3.5918717695436864E-2</v>
      </c>
      <c r="AM23" s="8">
        <f t="shared" ca="1" si="57"/>
        <v>2.7487882378163464E-2</v>
      </c>
      <c r="AN23" s="8">
        <f t="shared" ca="1" si="57"/>
        <v>3.956832868025395E-3</v>
      </c>
      <c r="AO23" s="8">
        <f t="shared" ca="1" si="57"/>
        <v>2.8182382005603746E-3</v>
      </c>
      <c r="AP23" s="8">
        <f t="shared" ca="1" si="57"/>
        <v>5.427906929356352E-3</v>
      </c>
      <c r="AQ23" s="8">
        <f t="shared" ca="1" si="57"/>
        <v>2.1372217979205299E-3</v>
      </c>
      <c r="AR23" s="8">
        <f t="shared" ca="1" si="57"/>
        <v>1.2348547146662003E-2</v>
      </c>
      <c r="AS23" s="8">
        <f t="shared" ca="1" si="57"/>
        <v>1.4545308506108912E-2</v>
      </c>
      <c r="AT23" s="8">
        <f t="shared" ca="1" si="57"/>
        <v>2.3739474431883179E-2</v>
      </c>
      <c r="AU23" s="8">
        <f t="shared" ca="1" si="57"/>
        <v>3.2815142652843354E-2</v>
      </c>
      <c r="AV23" s="8">
        <f t="shared" ca="1" si="57"/>
        <v>2.2783296167888989E-2</v>
      </c>
      <c r="AW23" s="8">
        <f t="shared" ca="1" si="57"/>
        <v>8.9510380088126951E-3</v>
      </c>
      <c r="AX23" s="8">
        <f t="shared" ca="1" si="57"/>
        <v>1.8734363180170632E-3</v>
      </c>
      <c r="AY23" s="8">
        <f t="shared" ca="1" si="57"/>
        <v>2.2511600057772974E-4</v>
      </c>
      <c r="AZ23" s="8">
        <f t="shared" ca="1" si="57"/>
        <v>1.6682954175360698E-2</v>
      </c>
      <c r="BA23" s="8">
        <f t="shared" ca="1" si="57"/>
        <v>3.6166604432330218E-2</v>
      </c>
      <c r="BB23" s="8">
        <f t="shared" ca="1" si="57"/>
        <v>1.773410201710135E-2</v>
      </c>
      <c r="BC23" s="8">
        <f t="shared" ca="1" si="57"/>
        <v>1.1947337078699327E-2</v>
      </c>
      <c r="BD23" s="8">
        <f t="shared" ca="1" si="57"/>
        <v>2.7507960375971918E-2</v>
      </c>
      <c r="BE23" s="8">
        <f t="shared" ca="1" si="57"/>
        <v>1.1572160804979914E-2</v>
      </c>
      <c r="BF23" s="8">
        <f t="shared" ca="1" si="57"/>
        <v>1.3015993322217589E-2</v>
      </c>
      <c r="BG23" s="8">
        <f t="shared" ca="1" si="57"/>
        <v>2.3335755525634161E-2</v>
      </c>
      <c r="BH23" s="8">
        <f t="shared" ca="1" si="57"/>
        <v>2.5460379980590031E-2</v>
      </c>
      <c r="BI23" s="8">
        <f t="shared" ca="1" si="57"/>
        <v>2.3660969531109965E-2</v>
      </c>
      <c r="BJ23" s="8">
        <f t="shared" ca="1" si="57"/>
        <v>2.0713776342497825E-2</v>
      </c>
      <c r="BK23" s="8">
        <f t="shared" ca="1" si="57"/>
        <v>4.8980118316021226E-2</v>
      </c>
      <c r="BL23" s="8">
        <f t="shared" ca="1" si="57"/>
        <v>1.5364460188852513E-2</v>
      </c>
      <c r="BM23" s="8">
        <f t="shared" ca="1" si="57"/>
        <v>1.3736675899718609E-2</v>
      </c>
      <c r="BN23" s="8">
        <f t="shared" ca="1" si="58"/>
        <v>5.7726451229351161E-2</v>
      </c>
      <c r="BO23" s="8">
        <f t="shared" ca="1" si="58"/>
        <v>1.4902563090600562E-2</v>
      </c>
      <c r="BP23" s="8">
        <f t="shared" ca="1" si="58"/>
        <v>6.6240180927534809E-2</v>
      </c>
      <c r="BQ23" s="8" t="str">
        <f t="shared" ca="1" si="58"/>
        <v/>
      </c>
      <c r="BR23" s="8" t="str">
        <f t="shared" ca="1" si="58"/>
        <v/>
      </c>
      <c r="BS23" s="8" t="str">
        <f t="shared" ca="1" si="58"/>
        <v/>
      </c>
      <c r="BT23" s="8" t="str">
        <f t="shared" ca="1" si="58"/>
        <v/>
      </c>
      <c r="BU23" s="8" t="str">
        <f t="shared" ca="1" si="58"/>
        <v/>
      </c>
      <c r="BV23" s="8" t="str">
        <f t="shared" ref="BV23:DR23" ca="1" si="65">IF(BV14="","",ABS(BV14))</f>
        <v/>
      </c>
      <c r="BW23" s="8" t="str">
        <f t="shared" ca="1" si="65"/>
        <v/>
      </c>
      <c r="BX23" s="8" t="str">
        <f t="shared" ca="1" si="65"/>
        <v/>
      </c>
      <c r="BY23" s="8" t="str">
        <f t="shared" ca="1" si="65"/>
        <v/>
      </c>
      <c r="BZ23" s="8" t="str">
        <f t="shared" ca="1" si="65"/>
        <v/>
      </c>
      <c r="CA23" s="8" t="str">
        <f t="shared" ca="1" si="65"/>
        <v/>
      </c>
      <c r="CB23" s="8" t="str">
        <f t="shared" ca="1" si="65"/>
        <v/>
      </c>
      <c r="CC23" s="8" t="str">
        <f t="shared" ca="1" si="65"/>
        <v/>
      </c>
      <c r="CD23" s="8" t="str">
        <f t="shared" ca="1" si="65"/>
        <v/>
      </c>
      <c r="CE23" s="8" t="str">
        <f t="shared" ca="1" si="65"/>
        <v/>
      </c>
      <c r="CF23" s="8" t="str">
        <f t="shared" ca="1" si="65"/>
        <v/>
      </c>
      <c r="CG23" s="8" t="str">
        <f t="shared" ca="1" si="65"/>
        <v/>
      </c>
      <c r="CH23" s="8" t="str">
        <f t="shared" ca="1" si="65"/>
        <v/>
      </c>
      <c r="CI23" s="8" t="str">
        <f t="shared" ca="1" si="65"/>
        <v/>
      </c>
      <c r="CJ23" s="8" t="str">
        <f t="shared" ca="1" si="65"/>
        <v/>
      </c>
      <c r="CK23" s="8" t="str">
        <f t="shared" ca="1" si="65"/>
        <v/>
      </c>
      <c r="CL23" s="8" t="str">
        <f t="shared" ca="1" si="65"/>
        <v/>
      </c>
      <c r="CM23" s="8" t="str">
        <f t="shared" ca="1" si="65"/>
        <v/>
      </c>
      <c r="CN23" s="8" t="str">
        <f t="shared" ca="1" si="65"/>
        <v/>
      </c>
      <c r="CO23" s="8" t="str">
        <f t="shared" ca="1" si="65"/>
        <v/>
      </c>
      <c r="CP23" s="8" t="str">
        <f t="shared" ca="1" si="65"/>
        <v/>
      </c>
      <c r="CQ23" s="8" t="str">
        <f t="shared" ca="1" si="65"/>
        <v/>
      </c>
      <c r="CR23" s="8" t="str">
        <f t="shared" ca="1" si="65"/>
        <v/>
      </c>
      <c r="CS23" s="8" t="str">
        <f t="shared" ca="1" si="65"/>
        <v/>
      </c>
      <c r="CT23" s="8" t="str">
        <f t="shared" ca="1" si="65"/>
        <v/>
      </c>
      <c r="CU23" s="8" t="str">
        <f t="shared" ca="1" si="65"/>
        <v/>
      </c>
      <c r="CV23" s="8" t="str">
        <f t="shared" ca="1" si="65"/>
        <v/>
      </c>
      <c r="CW23" s="8" t="str">
        <f t="shared" ca="1" si="65"/>
        <v/>
      </c>
      <c r="CX23" s="8" t="str">
        <f t="shared" ca="1" si="65"/>
        <v/>
      </c>
      <c r="CY23" s="8" t="str">
        <f t="shared" ca="1" si="65"/>
        <v/>
      </c>
      <c r="CZ23" s="8" t="str">
        <f t="shared" ca="1" si="65"/>
        <v/>
      </c>
      <c r="DA23" s="8" t="str">
        <f t="shared" ca="1" si="65"/>
        <v/>
      </c>
      <c r="DB23" s="8" t="str">
        <f t="shared" ca="1" si="65"/>
        <v/>
      </c>
      <c r="DC23" s="8" t="str">
        <f t="shared" ca="1" si="65"/>
        <v/>
      </c>
      <c r="DD23" s="8" t="str">
        <f t="shared" ca="1" si="65"/>
        <v/>
      </c>
      <c r="DE23" s="8" t="str">
        <f t="shared" ca="1" si="65"/>
        <v/>
      </c>
      <c r="DF23" s="8" t="str">
        <f t="shared" ca="1" si="65"/>
        <v/>
      </c>
      <c r="DG23" s="8" t="str">
        <f t="shared" ca="1" si="65"/>
        <v/>
      </c>
      <c r="DH23" s="8" t="str">
        <f t="shared" ca="1" si="65"/>
        <v/>
      </c>
      <c r="DI23" s="8" t="str">
        <f t="shared" ca="1" si="65"/>
        <v/>
      </c>
      <c r="DJ23" s="8" t="str">
        <f t="shared" ca="1" si="65"/>
        <v/>
      </c>
      <c r="DK23" s="8" t="str">
        <f t="shared" ca="1" si="65"/>
        <v/>
      </c>
      <c r="DL23" s="8" t="str">
        <f t="shared" ca="1" si="65"/>
        <v/>
      </c>
      <c r="DM23" s="8" t="str">
        <f t="shared" ca="1" si="65"/>
        <v/>
      </c>
      <c r="DN23" s="8" t="str">
        <f t="shared" ca="1" si="65"/>
        <v/>
      </c>
      <c r="DO23" s="8" t="str">
        <f t="shared" ca="1" si="65"/>
        <v/>
      </c>
      <c r="DP23" s="8" t="str">
        <f t="shared" ca="1" si="65"/>
        <v/>
      </c>
      <c r="DQ23" s="8" t="str">
        <f t="shared" ca="1" si="65"/>
        <v/>
      </c>
      <c r="DR23" s="8" t="str">
        <f t="shared" ca="1" si="65"/>
        <v/>
      </c>
      <c r="DS23" s="12">
        <f t="shared" ca="1" si="60"/>
        <v>2.0128596154846398E-2</v>
      </c>
      <c r="DT23" s="12">
        <f t="shared" ca="1" si="61"/>
        <v>1.6023707182106606E-2</v>
      </c>
      <c r="DU23" s="13">
        <f t="shared" ca="1" si="62"/>
        <v>2.4389689439913327E-4</v>
      </c>
      <c r="DV23" s="15">
        <f t="shared" ref="DV23:DV25" ca="1" si="66">SQRT(DU23)</f>
        <v>1.5617198673229884E-2</v>
      </c>
      <c r="DW23" s="14" t="str">
        <f t="shared" ca="1" si="63"/>
        <v>[ -1,11% ; 5,14% ]</v>
      </c>
      <c r="DX23" s="15">
        <f t="shared" ca="1" si="64"/>
        <v>1.9990014301734253E-2</v>
      </c>
      <c r="GI23" s="1"/>
    </row>
    <row r="24" spans="1:191" x14ac:dyDescent="0.25">
      <c r="A24" s="4">
        <v>3</v>
      </c>
      <c r="B24" s="8">
        <f t="shared" ca="1" si="57"/>
        <v>7.9739367657164495E-3</v>
      </c>
      <c r="C24" s="8">
        <f t="shared" ca="1" si="57"/>
        <v>8.763532365316018E-3</v>
      </c>
      <c r="D24" s="8">
        <f t="shared" ca="1" si="57"/>
        <v>2.2649826449553823E-2</v>
      </c>
      <c r="E24" s="8">
        <f t="shared" ca="1" si="57"/>
        <v>3.7067194890237465E-2</v>
      </c>
      <c r="F24" s="8">
        <f t="shared" ca="1" si="57"/>
        <v>3.1011074618143231E-2</v>
      </c>
      <c r="G24" s="8">
        <f t="shared" ca="1" si="57"/>
        <v>2.0432848756728239E-2</v>
      </c>
      <c r="H24" s="8">
        <f t="shared" ca="1" si="57"/>
        <v>7.7452442605889793E-3</v>
      </c>
      <c r="I24" s="8">
        <f t="shared" ca="1" si="57"/>
        <v>2.0453265542421217E-2</v>
      </c>
      <c r="J24" s="8">
        <f t="shared" ca="1" si="57"/>
        <v>1.7402683750044723E-2</v>
      </c>
      <c r="K24" s="8">
        <f t="shared" ca="1" si="57"/>
        <v>5.1254150333681636E-3</v>
      </c>
      <c r="L24" s="8">
        <f t="shared" ca="1" si="57"/>
        <v>2.4615913672218492E-2</v>
      </c>
      <c r="M24" s="8">
        <f t="shared" ca="1" si="57"/>
        <v>2.7742676857071769E-2</v>
      </c>
      <c r="N24" s="8">
        <f t="shared" ca="1" si="57"/>
        <v>1.947430192258226E-2</v>
      </c>
      <c r="O24" s="8">
        <f t="shared" ca="1" si="57"/>
        <v>1.4817656499260368E-2</v>
      </c>
      <c r="P24" s="8">
        <f t="shared" ca="1" si="57"/>
        <v>2.3837336836543432E-2</v>
      </c>
      <c r="Q24" s="8">
        <f t="shared" ca="1" si="57"/>
        <v>4.3370838164947356E-2</v>
      </c>
      <c r="R24" s="8">
        <f t="shared" ca="1" si="57"/>
        <v>5.8107703791894005E-2</v>
      </c>
      <c r="S24" s="8">
        <f t="shared" ca="1" si="57"/>
        <v>8.1231667747514669E-2</v>
      </c>
      <c r="T24" s="8">
        <f t="shared" ca="1" si="57"/>
        <v>0.10393452241444234</v>
      </c>
      <c r="U24" s="8">
        <f t="shared" ca="1" si="57"/>
        <v>9.177434411322527E-2</v>
      </c>
      <c r="V24" s="8">
        <f t="shared" ca="1" si="57"/>
        <v>2.2561896885240795E-2</v>
      </c>
      <c r="W24" s="8">
        <f t="shared" ca="1" si="57"/>
        <v>2.4884081668759661E-2</v>
      </c>
      <c r="X24" s="8">
        <f t="shared" ca="1" si="57"/>
        <v>3.2273749605614355E-2</v>
      </c>
      <c r="Y24" s="8">
        <f t="shared" ca="1" si="57"/>
        <v>7.610430656548095E-3</v>
      </c>
      <c r="Z24" s="8">
        <f t="shared" ca="1" si="57"/>
        <v>7.9857528184659188E-3</v>
      </c>
      <c r="AA24" s="8">
        <f t="shared" ca="1" si="57"/>
        <v>5.9074344675446033E-3</v>
      </c>
      <c r="AB24" s="8">
        <f t="shared" ca="1" si="57"/>
        <v>1.313025445684135E-2</v>
      </c>
      <c r="AC24" s="8">
        <f t="shared" ca="1" si="57"/>
        <v>3.8320212239419948E-3</v>
      </c>
      <c r="AD24" s="8">
        <f t="shared" ca="1" si="57"/>
        <v>3.3436571293943285E-3</v>
      </c>
      <c r="AE24" s="8">
        <f t="shared" ca="1" si="57"/>
        <v>2.6980105554633704E-2</v>
      </c>
      <c r="AF24" s="8">
        <f t="shared" ca="1" si="57"/>
        <v>5.0846419088755201E-2</v>
      </c>
      <c r="AG24" s="8">
        <f t="shared" ca="1" si="57"/>
        <v>7.9716160222085941E-2</v>
      </c>
      <c r="AH24" s="8">
        <f t="shared" ca="1" si="57"/>
        <v>6.2130908097610016E-2</v>
      </c>
      <c r="AI24" s="8">
        <f t="shared" ca="1" si="57"/>
        <v>2.9807626478888682E-2</v>
      </c>
      <c r="AJ24" s="8">
        <f t="shared" ca="1" si="57"/>
        <v>1.1525553242578535E-2</v>
      </c>
      <c r="AK24" s="8">
        <f t="shared" ca="1" si="57"/>
        <v>3.0496986044803664E-2</v>
      </c>
      <c r="AL24" s="8">
        <f t="shared" ca="1" si="57"/>
        <v>4.1198724350625104E-2</v>
      </c>
      <c r="AM24" s="8">
        <f t="shared" ca="1" si="57"/>
        <v>3.9442293659831318E-2</v>
      </c>
      <c r="AN24" s="8">
        <f t="shared" ca="1" si="57"/>
        <v>4.7622754111183996E-3</v>
      </c>
      <c r="AO24" s="8">
        <f t="shared" ca="1" si="57"/>
        <v>1.2883201528960275E-2</v>
      </c>
      <c r="AP24" s="8">
        <f t="shared" ca="1" si="57"/>
        <v>4.3498311347653917E-3</v>
      </c>
      <c r="AQ24" s="8">
        <f t="shared" ca="1" si="57"/>
        <v>2.0223867643013316E-3</v>
      </c>
      <c r="AR24" s="8">
        <f t="shared" ca="1" si="57"/>
        <v>7.6233520269628485E-3</v>
      </c>
      <c r="AS24" s="8">
        <f t="shared" ca="1" si="57"/>
        <v>2.8152421900727864E-2</v>
      </c>
      <c r="AT24" s="8">
        <f t="shared" ca="1" si="57"/>
        <v>4.6450278350860352E-2</v>
      </c>
      <c r="AU24" s="8">
        <f t="shared" ca="1" si="57"/>
        <v>3.7010267498493898E-2</v>
      </c>
      <c r="AV24" s="8">
        <f t="shared" ca="1" si="57"/>
        <v>2.0503836899949612E-2</v>
      </c>
      <c r="AW24" s="8">
        <f t="shared" ca="1" si="57"/>
        <v>4.361786420911784E-3</v>
      </c>
      <c r="AX24" s="8">
        <f t="shared" ca="1" si="57"/>
        <v>1.0447639169247847E-2</v>
      </c>
      <c r="AY24" s="8">
        <f t="shared" ca="1" si="57"/>
        <v>2.5411329943028527E-2</v>
      </c>
      <c r="AZ24" s="8">
        <f t="shared" ca="1" si="57"/>
        <v>2.5543378351763568E-2</v>
      </c>
      <c r="BA24" s="8">
        <f t="shared" ca="1" si="57"/>
        <v>1.8298483194103876E-2</v>
      </c>
      <c r="BB24" s="8">
        <f t="shared" ca="1" si="57"/>
        <v>4.3064449134826432E-3</v>
      </c>
      <c r="BC24" s="8">
        <f t="shared" ca="1" si="57"/>
        <v>3.7153164622703017E-3</v>
      </c>
      <c r="BD24" s="8">
        <f t="shared" ca="1" si="57"/>
        <v>1.066211747027368E-2</v>
      </c>
      <c r="BE24" s="8">
        <f t="shared" ca="1" si="57"/>
        <v>3.0747561301968096E-3</v>
      </c>
      <c r="BF24" s="8">
        <f t="shared" ca="1" si="57"/>
        <v>5.3635372000908621E-3</v>
      </c>
      <c r="BG24" s="8">
        <f t="shared" ca="1" si="57"/>
        <v>4.0586849043112272E-2</v>
      </c>
      <c r="BH24" s="8">
        <f t="shared" ca="1" si="57"/>
        <v>3.2592324313282406E-2</v>
      </c>
      <c r="BI24" s="8">
        <f t="shared" ca="1" si="57"/>
        <v>5.58956457130666E-5</v>
      </c>
      <c r="BJ24" s="8">
        <f t="shared" ca="1" si="57"/>
        <v>3.8077260325559026E-2</v>
      </c>
      <c r="BK24" s="8">
        <f t="shared" ca="1" si="57"/>
        <v>5.3895148363994227E-2</v>
      </c>
      <c r="BL24" s="8">
        <f t="shared" ca="1" si="57"/>
        <v>3.2891468680820601E-2</v>
      </c>
      <c r="BM24" s="8">
        <f t="shared" ca="1" si="57"/>
        <v>5.6365751783401752E-2</v>
      </c>
      <c r="BN24" s="8">
        <f t="shared" ca="1" si="58"/>
        <v>3.8000817082987304E-2</v>
      </c>
      <c r="BO24" s="8">
        <f t="shared" ca="1" si="58"/>
        <v>1.2781307830893152E-2</v>
      </c>
      <c r="BP24" s="8" t="str">
        <f t="shared" ca="1" si="58"/>
        <v/>
      </c>
      <c r="BQ24" s="8" t="str">
        <f t="shared" ca="1" si="58"/>
        <v/>
      </c>
      <c r="BR24" s="8" t="str">
        <f t="shared" ca="1" si="58"/>
        <v/>
      </c>
      <c r="BS24" s="8" t="str">
        <f t="shared" ca="1" si="58"/>
        <v/>
      </c>
      <c r="BT24" s="8" t="str">
        <f t="shared" ca="1" si="58"/>
        <v/>
      </c>
      <c r="BU24" s="8" t="str">
        <f t="shared" ca="1" si="58"/>
        <v/>
      </c>
      <c r="BV24" s="8" t="str">
        <f t="shared" ref="BV24:DR24" ca="1" si="67">IF(BV15="","",ABS(BV15))</f>
        <v/>
      </c>
      <c r="BW24" s="8" t="str">
        <f t="shared" ca="1" si="67"/>
        <v/>
      </c>
      <c r="BX24" s="8" t="str">
        <f t="shared" ca="1" si="67"/>
        <v/>
      </c>
      <c r="BY24" s="8" t="str">
        <f t="shared" ca="1" si="67"/>
        <v/>
      </c>
      <c r="BZ24" s="8" t="str">
        <f t="shared" ca="1" si="67"/>
        <v/>
      </c>
      <c r="CA24" s="8" t="str">
        <f t="shared" ca="1" si="67"/>
        <v/>
      </c>
      <c r="CB24" s="8" t="str">
        <f t="shared" ca="1" si="67"/>
        <v/>
      </c>
      <c r="CC24" s="8" t="str">
        <f t="shared" ca="1" si="67"/>
        <v/>
      </c>
      <c r="CD24" s="8" t="str">
        <f t="shared" ca="1" si="67"/>
        <v/>
      </c>
      <c r="CE24" s="8" t="str">
        <f t="shared" ca="1" si="67"/>
        <v/>
      </c>
      <c r="CF24" s="8" t="str">
        <f t="shared" ca="1" si="67"/>
        <v/>
      </c>
      <c r="CG24" s="8" t="str">
        <f t="shared" ca="1" si="67"/>
        <v/>
      </c>
      <c r="CH24" s="8" t="str">
        <f t="shared" ca="1" si="67"/>
        <v/>
      </c>
      <c r="CI24" s="8" t="str">
        <f t="shared" ca="1" si="67"/>
        <v/>
      </c>
      <c r="CJ24" s="8" t="str">
        <f t="shared" ca="1" si="67"/>
        <v/>
      </c>
      <c r="CK24" s="8" t="str">
        <f t="shared" ca="1" si="67"/>
        <v/>
      </c>
      <c r="CL24" s="8" t="str">
        <f t="shared" ca="1" si="67"/>
        <v/>
      </c>
      <c r="CM24" s="8" t="str">
        <f t="shared" ca="1" si="67"/>
        <v/>
      </c>
      <c r="CN24" s="8" t="str">
        <f t="shared" ca="1" si="67"/>
        <v/>
      </c>
      <c r="CO24" s="8" t="str">
        <f t="shared" ca="1" si="67"/>
        <v/>
      </c>
      <c r="CP24" s="8" t="str">
        <f t="shared" ca="1" si="67"/>
        <v/>
      </c>
      <c r="CQ24" s="8" t="str">
        <f t="shared" ca="1" si="67"/>
        <v/>
      </c>
      <c r="CR24" s="8" t="str">
        <f t="shared" ca="1" si="67"/>
        <v/>
      </c>
      <c r="CS24" s="8" t="str">
        <f t="shared" ca="1" si="67"/>
        <v/>
      </c>
      <c r="CT24" s="8" t="str">
        <f t="shared" ca="1" si="67"/>
        <v/>
      </c>
      <c r="CU24" s="8" t="str">
        <f t="shared" ca="1" si="67"/>
        <v/>
      </c>
      <c r="CV24" s="8" t="str">
        <f t="shared" ca="1" si="67"/>
        <v/>
      </c>
      <c r="CW24" s="8" t="str">
        <f t="shared" ca="1" si="67"/>
        <v/>
      </c>
      <c r="CX24" s="8" t="str">
        <f t="shared" ca="1" si="67"/>
        <v/>
      </c>
      <c r="CY24" s="8" t="str">
        <f t="shared" ca="1" si="67"/>
        <v/>
      </c>
      <c r="CZ24" s="8" t="str">
        <f t="shared" ca="1" si="67"/>
        <v/>
      </c>
      <c r="DA24" s="8" t="str">
        <f t="shared" ca="1" si="67"/>
        <v/>
      </c>
      <c r="DB24" s="8" t="str">
        <f t="shared" ca="1" si="67"/>
        <v/>
      </c>
      <c r="DC24" s="8" t="str">
        <f t="shared" ca="1" si="67"/>
        <v/>
      </c>
      <c r="DD24" s="8" t="str">
        <f t="shared" ca="1" si="67"/>
        <v/>
      </c>
      <c r="DE24" s="8" t="str">
        <f t="shared" ca="1" si="67"/>
        <v/>
      </c>
      <c r="DF24" s="8" t="str">
        <f t="shared" ca="1" si="67"/>
        <v/>
      </c>
      <c r="DG24" s="8" t="str">
        <f t="shared" ca="1" si="67"/>
        <v/>
      </c>
      <c r="DH24" s="8" t="str">
        <f t="shared" ca="1" si="67"/>
        <v/>
      </c>
      <c r="DI24" s="8" t="str">
        <f t="shared" ca="1" si="67"/>
        <v/>
      </c>
      <c r="DJ24" s="8" t="str">
        <f t="shared" ca="1" si="67"/>
        <v/>
      </c>
      <c r="DK24" s="8" t="str">
        <f t="shared" ca="1" si="67"/>
        <v/>
      </c>
      <c r="DL24" s="8" t="str">
        <f t="shared" ca="1" si="67"/>
        <v/>
      </c>
      <c r="DM24" s="8" t="str">
        <f t="shared" ca="1" si="67"/>
        <v/>
      </c>
      <c r="DN24" s="8" t="str">
        <f t="shared" ca="1" si="67"/>
        <v/>
      </c>
      <c r="DO24" s="8" t="str">
        <f t="shared" ca="1" si="67"/>
        <v/>
      </c>
      <c r="DP24" s="8" t="str">
        <f t="shared" ca="1" si="67"/>
        <v/>
      </c>
      <c r="DQ24" s="8" t="str">
        <f t="shared" ca="1" si="67"/>
        <v/>
      </c>
      <c r="DR24" s="8" t="str">
        <f t="shared" ca="1" si="67"/>
        <v/>
      </c>
      <c r="DS24" s="12">
        <f t="shared" ca="1" si="60"/>
        <v>2.136661232762431E-2</v>
      </c>
      <c r="DT24" s="12">
        <f t="shared" ca="1" si="61"/>
        <v>1.8298483194103876E-2</v>
      </c>
      <c r="DU24" s="13">
        <f t="shared" ca="1" si="62"/>
        <v>2.8283981824572612E-4</v>
      </c>
      <c r="DV24" s="15">
        <f t="shared" ca="1" si="66"/>
        <v>1.6817842258914372E-2</v>
      </c>
      <c r="DW24" s="14" t="str">
        <f t="shared" ca="1" si="63"/>
        <v>[ -1,23% ; 5,50% ]</v>
      </c>
      <c r="DX24" s="15">
        <f t="shared" ca="1" si="64"/>
        <v>2.1526838091410396E-2</v>
      </c>
      <c r="GI24" s="1"/>
    </row>
    <row r="25" spans="1:191" x14ac:dyDescent="0.25">
      <c r="A25" s="4">
        <v>4</v>
      </c>
      <c r="B25" s="8">
        <f t="shared" ca="1" si="57"/>
        <v>1.6061235124176232E-2</v>
      </c>
      <c r="C25" s="8">
        <f t="shared" ca="1" si="57"/>
        <v>1.1447271430577888E-2</v>
      </c>
      <c r="D25" s="8">
        <f t="shared" ca="1" si="57"/>
        <v>4.7778645187972923E-2</v>
      </c>
      <c r="E25" s="8">
        <f t="shared" ca="1" si="57"/>
        <v>3.9262027638643171E-2</v>
      </c>
      <c r="F25" s="8">
        <f t="shared" ca="1" si="57"/>
        <v>2.471773325151716E-2</v>
      </c>
      <c r="G25" s="8">
        <f t="shared" ca="1" si="57"/>
        <v>1.8206134912003402E-2</v>
      </c>
      <c r="H25" s="8">
        <f t="shared" ca="1" si="57"/>
        <v>1.4286893034061832E-2</v>
      </c>
      <c r="I25" s="8">
        <f t="shared" ca="1" si="57"/>
        <v>2.6280848294635284E-2</v>
      </c>
      <c r="J25" s="8">
        <f t="shared" ca="1" si="57"/>
        <v>2.0393678458912046E-3</v>
      </c>
      <c r="K25" s="8">
        <f t="shared" ca="1" si="57"/>
        <v>1.872466517716076E-2</v>
      </c>
      <c r="L25" s="8">
        <f t="shared" ca="1" si="57"/>
        <v>2.0807849552379354E-2</v>
      </c>
      <c r="M25" s="8">
        <f t="shared" ca="1" si="57"/>
        <v>3.5536377328841184E-2</v>
      </c>
      <c r="N25" s="8">
        <f t="shared" ca="1" si="57"/>
        <v>3.6152849184017954E-3</v>
      </c>
      <c r="O25" s="8">
        <f t="shared" ca="1" si="57"/>
        <v>2.8604124152067145E-2</v>
      </c>
      <c r="P25" s="8">
        <f t="shared" ca="1" si="57"/>
        <v>3.4997779750987945E-2</v>
      </c>
      <c r="Q25" s="8">
        <f t="shared" ca="1" si="57"/>
        <v>7.854749170033104E-2</v>
      </c>
      <c r="R25" s="8">
        <f t="shared" ca="1" si="57"/>
        <v>9.8887930684506298E-2</v>
      </c>
      <c r="S25" s="8">
        <f t="shared" ca="1" si="57"/>
        <v>0.11767371002573324</v>
      </c>
      <c r="T25" s="8">
        <f t="shared" ca="1" si="57"/>
        <v>0.13326731490789201</v>
      </c>
      <c r="U25" s="8">
        <f t="shared" ca="1" si="57"/>
        <v>9.0497215920580576E-2</v>
      </c>
      <c r="V25" s="8">
        <f t="shared" ca="1" si="57"/>
        <v>1.3068774977297304E-2</v>
      </c>
      <c r="W25" s="8">
        <f t="shared" ca="1" si="57"/>
        <v>1.7332629112759457E-2</v>
      </c>
      <c r="X25" s="8">
        <f t="shared" ca="1" si="57"/>
        <v>3.9242395792105755E-2</v>
      </c>
      <c r="Y25" s="8">
        <f t="shared" ca="1" si="57"/>
        <v>9.1435298344424432E-3</v>
      </c>
      <c r="Z25" s="8">
        <f t="shared" ca="1" si="57"/>
        <v>9.3957541003342193E-3</v>
      </c>
      <c r="AA25" s="8">
        <f t="shared" ca="1" si="57"/>
        <v>1.7225195862857312E-2</v>
      </c>
      <c r="AB25" s="8">
        <f t="shared" ca="1" si="57"/>
        <v>9.7003433356848134E-3</v>
      </c>
      <c r="AC25" s="8">
        <f t="shared" ca="1" si="57"/>
        <v>4.7714808680596743E-3</v>
      </c>
      <c r="AD25" s="8">
        <f t="shared" ca="1" si="57"/>
        <v>9.8679164021855392E-3</v>
      </c>
      <c r="AE25" s="8">
        <f t="shared" ca="1" si="57"/>
        <v>5.8529103914310543E-2</v>
      </c>
      <c r="AF25" s="8">
        <f t="shared" ca="1" si="57"/>
        <v>8.2717648486759554E-2</v>
      </c>
      <c r="AG25" s="8">
        <f t="shared" ca="1" si="57"/>
        <v>8.7251117500283915E-2</v>
      </c>
      <c r="AH25" s="8">
        <f t="shared" ca="1" si="57"/>
        <v>8.1677189513011506E-2</v>
      </c>
      <c r="AI25" s="8">
        <f t="shared" ca="1" si="57"/>
        <v>2.3928667081006605E-2</v>
      </c>
      <c r="AJ25" s="8">
        <f t="shared" ca="1" si="57"/>
        <v>3.7639861004248543E-2</v>
      </c>
      <c r="AK25" s="8">
        <f t="shared" ca="1" si="57"/>
        <v>3.5981249060214715E-2</v>
      </c>
      <c r="AL25" s="8">
        <f t="shared" ca="1" si="57"/>
        <v>5.4533348829217787E-2</v>
      </c>
      <c r="AM25" s="8">
        <f t="shared" ca="1" si="57"/>
        <v>4.1695090629568776E-2</v>
      </c>
      <c r="AN25" s="8">
        <f t="shared" ca="1" si="57"/>
        <v>1.4233260835530004E-2</v>
      </c>
      <c r="AO25" s="8">
        <f t="shared" ca="1" si="57"/>
        <v>3.4744992687052445E-3</v>
      </c>
      <c r="AP25" s="8">
        <f t="shared" ca="1" si="57"/>
        <v>4.2660774021288095E-3</v>
      </c>
      <c r="AQ25" s="8">
        <f t="shared" ca="1" si="57"/>
        <v>8.5441570743537421E-3</v>
      </c>
      <c r="AR25" s="8">
        <f t="shared" ca="1" si="57"/>
        <v>5.2162706772681533E-3</v>
      </c>
      <c r="AS25" s="8">
        <f t="shared" ca="1" si="57"/>
        <v>5.2550317059388951E-2</v>
      </c>
      <c r="AT25" s="8">
        <f t="shared" ca="1" si="57"/>
        <v>5.2075815159646766E-2</v>
      </c>
      <c r="AU25" s="8">
        <f t="shared" ca="1" si="57"/>
        <v>3.6481520009450819E-2</v>
      </c>
      <c r="AV25" s="8">
        <f t="shared" ca="1" si="57"/>
        <v>2.9222485810065479E-2</v>
      </c>
      <c r="AW25" s="8">
        <f t="shared" ca="1" si="57"/>
        <v>1.3542126790015097E-2</v>
      </c>
      <c r="AX25" s="8">
        <f t="shared" ca="1" si="57"/>
        <v>1.3969752777411859E-2</v>
      </c>
      <c r="AY25" s="8">
        <f t="shared" ca="1" si="57"/>
        <v>3.5758576032152045E-2</v>
      </c>
      <c r="AZ25" s="8">
        <f t="shared" ca="1" si="57"/>
        <v>7.5823648678975397E-3</v>
      </c>
      <c r="BA25" s="8">
        <f t="shared" ca="1" si="57"/>
        <v>3.7507100683248806E-2</v>
      </c>
      <c r="BB25" s="8">
        <f t="shared" ca="1" si="57"/>
        <v>4.5300296756216607E-3</v>
      </c>
      <c r="BC25" s="8">
        <f t="shared" ca="1" si="57"/>
        <v>2.5393112701035392E-2</v>
      </c>
      <c r="BD25" s="8">
        <f t="shared" ca="1" si="57"/>
        <v>2.4693948370714591E-2</v>
      </c>
      <c r="BE25" s="8">
        <f t="shared" ca="1" si="57"/>
        <v>1.1415617866164629E-2</v>
      </c>
      <c r="BF25" s="8">
        <f t="shared" ca="1" si="57"/>
        <v>9.823805929459084E-3</v>
      </c>
      <c r="BG25" s="8">
        <f t="shared" ca="1" si="57"/>
        <v>5.4128717733135323E-2</v>
      </c>
      <c r="BH25" s="8">
        <f t="shared" ca="1" si="57"/>
        <v>1.2987498009451204E-2</v>
      </c>
      <c r="BI25" s="8">
        <f t="shared" ca="1" si="57"/>
        <v>1.4881690986846108E-2</v>
      </c>
      <c r="BJ25" s="8">
        <f t="shared" ca="1" si="57"/>
        <v>4.2794670429676884E-2</v>
      </c>
      <c r="BK25" s="8">
        <f t="shared" ca="1" si="57"/>
        <v>7.6917332847610265E-2</v>
      </c>
      <c r="BL25" s="8">
        <f t="shared" ca="1" si="57"/>
        <v>7.9559416315721609E-2</v>
      </c>
      <c r="BM25" s="8">
        <f t="shared" ref="BM25:BU25" ca="1" si="68">IF(BM16="","",ABS(BM16))</f>
        <v>3.4599676995259232E-2</v>
      </c>
      <c r="BN25" s="8">
        <f t="shared" ca="1" si="68"/>
        <v>9.4999451456090345E-3</v>
      </c>
      <c r="BO25" s="8" t="str">
        <f t="shared" ca="1" si="68"/>
        <v/>
      </c>
      <c r="BP25" s="8" t="str">
        <f t="shared" ca="1" si="68"/>
        <v/>
      </c>
      <c r="BQ25" s="8" t="str">
        <f t="shared" ca="1" si="68"/>
        <v/>
      </c>
      <c r="BR25" s="8" t="str">
        <f t="shared" ca="1" si="68"/>
        <v/>
      </c>
      <c r="BS25" s="8" t="str">
        <f t="shared" ca="1" si="68"/>
        <v/>
      </c>
      <c r="BT25" s="8" t="str">
        <f t="shared" ca="1" si="68"/>
        <v/>
      </c>
      <c r="BU25" s="8" t="str">
        <f t="shared" ca="1" si="68"/>
        <v/>
      </c>
      <c r="BV25" s="8" t="str">
        <f t="shared" ref="BV25:DR25" ca="1" si="69">IF(BV16="","",ABS(BV16))</f>
        <v/>
      </c>
      <c r="BW25" s="8" t="str">
        <f t="shared" ca="1" si="69"/>
        <v/>
      </c>
      <c r="BX25" s="8" t="str">
        <f t="shared" ca="1" si="69"/>
        <v/>
      </c>
      <c r="BY25" s="8" t="str">
        <f t="shared" ca="1" si="69"/>
        <v/>
      </c>
      <c r="BZ25" s="8" t="str">
        <f t="shared" ca="1" si="69"/>
        <v/>
      </c>
      <c r="CA25" s="8" t="str">
        <f t="shared" ca="1" si="69"/>
        <v/>
      </c>
      <c r="CB25" s="8" t="str">
        <f t="shared" ca="1" si="69"/>
        <v/>
      </c>
      <c r="CC25" s="8" t="str">
        <f t="shared" ca="1" si="69"/>
        <v/>
      </c>
      <c r="CD25" s="8" t="str">
        <f t="shared" ca="1" si="69"/>
        <v/>
      </c>
      <c r="CE25" s="8" t="str">
        <f t="shared" ca="1" si="69"/>
        <v/>
      </c>
      <c r="CF25" s="8" t="str">
        <f t="shared" ca="1" si="69"/>
        <v/>
      </c>
      <c r="CG25" s="8" t="str">
        <f t="shared" ca="1" si="69"/>
        <v/>
      </c>
      <c r="CH25" s="8" t="str">
        <f t="shared" ca="1" si="69"/>
        <v/>
      </c>
      <c r="CI25" s="8" t="str">
        <f t="shared" ca="1" si="69"/>
        <v/>
      </c>
      <c r="CJ25" s="8" t="str">
        <f t="shared" ca="1" si="69"/>
        <v/>
      </c>
      <c r="CK25" s="8" t="str">
        <f t="shared" ca="1" si="69"/>
        <v/>
      </c>
      <c r="CL25" s="8" t="str">
        <f t="shared" ca="1" si="69"/>
        <v/>
      </c>
      <c r="CM25" s="8" t="str">
        <f t="shared" ca="1" si="69"/>
        <v/>
      </c>
      <c r="CN25" s="8" t="str">
        <f t="shared" ca="1" si="69"/>
        <v/>
      </c>
      <c r="CO25" s="8" t="str">
        <f t="shared" ca="1" si="69"/>
        <v/>
      </c>
      <c r="CP25" s="8" t="str">
        <f t="shared" ca="1" si="69"/>
        <v/>
      </c>
      <c r="CQ25" s="8" t="str">
        <f t="shared" ca="1" si="69"/>
        <v/>
      </c>
      <c r="CR25" s="8" t="str">
        <f t="shared" ca="1" si="69"/>
        <v/>
      </c>
      <c r="CS25" s="8" t="str">
        <f t="shared" ca="1" si="69"/>
        <v/>
      </c>
      <c r="CT25" s="8" t="str">
        <f t="shared" ca="1" si="69"/>
        <v/>
      </c>
      <c r="CU25" s="8" t="str">
        <f t="shared" ca="1" si="69"/>
        <v/>
      </c>
      <c r="CV25" s="8" t="str">
        <f t="shared" ca="1" si="69"/>
        <v/>
      </c>
      <c r="CW25" s="8" t="str">
        <f t="shared" ca="1" si="69"/>
        <v/>
      </c>
      <c r="CX25" s="8" t="str">
        <f t="shared" ca="1" si="69"/>
        <v/>
      </c>
      <c r="CY25" s="8" t="str">
        <f t="shared" ca="1" si="69"/>
        <v/>
      </c>
      <c r="CZ25" s="8" t="str">
        <f t="shared" ca="1" si="69"/>
        <v/>
      </c>
      <c r="DA25" s="8" t="str">
        <f t="shared" ca="1" si="69"/>
        <v/>
      </c>
      <c r="DB25" s="8" t="str">
        <f t="shared" ca="1" si="69"/>
        <v/>
      </c>
      <c r="DC25" s="8" t="str">
        <f t="shared" ca="1" si="69"/>
        <v/>
      </c>
      <c r="DD25" s="8" t="str">
        <f t="shared" ca="1" si="69"/>
        <v/>
      </c>
      <c r="DE25" s="8" t="str">
        <f t="shared" ca="1" si="69"/>
        <v/>
      </c>
      <c r="DF25" s="8" t="str">
        <f t="shared" ca="1" si="69"/>
        <v/>
      </c>
      <c r="DG25" s="8" t="str">
        <f t="shared" ca="1" si="69"/>
        <v/>
      </c>
      <c r="DH25" s="8" t="str">
        <f t="shared" ca="1" si="69"/>
        <v/>
      </c>
      <c r="DI25" s="8" t="str">
        <f t="shared" ca="1" si="69"/>
        <v/>
      </c>
      <c r="DJ25" s="8" t="str">
        <f t="shared" ca="1" si="69"/>
        <v/>
      </c>
      <c r="DK25" s="8" t="str">
        <f t="shared" ca="1" si="69"/>
        <v/>
      </c>
      <c r="DL25" s="8" t="str">
        <f t="shared" ca="1" si="69"/>
        <v/>
      </c>
      <c r="DM25" s="8" t="str">
        <f t="shared" ca="1" si="69"/>
        <v/>
      </c>
      <c r="DN25" s="8" t="str">
        <f t="shared" ca="1" si="69"/>
        <v/>
      </c>
      <c r="DO25" s="8" t="str">
        <f t="shared" ca="1" si="69"/>
        <v/>
      </c>
      <c r="DP25" s="8" t="str">
        <f t="shared" ca="1" si="69"/>
        <v/>
      </c>
      <c r="DQ25" s="8" t="str">
        <f t="shared" ca="1" si="69"/>
        <v/>
      </c>
      <c r="DR25" s="8" t="str">
        <f t="shared" ca="1" si="69"/>
        <v/>
      </c>
      <c r="DS25" s="12">
        <f t="shared" ca="1" si="60"/>
        <v>2.7048031360112041E-2</v>
      </c>
      <c r="DT25" s="12">
        <f t="shared" ca="1" si="61"/>
        <v>1.978781967878035E-2</v>
      </c>
      <c r="DU25" s="13">
        <f t="shared" ca="1" si="62"/>
        <v>4.4833529134306372E-4</v>
      </c>
      <c r="DV25" s="15">
        <f t="shared" ca="1" si="66"/>
        <v>2.1173929520593566E-2</v>
      </c>
      <c r="DW25" s="14" t="str">
        <f t="shared" ca="1" si="63"/>
        <v>[ -1,53% ; 6,94% ]</v>
      </c>
      <c r="DX25" s="15">
        <f t="shared" ca="1" si="64"/>
        <v>2.7102629786359765E-2</v>
      </c>
      <c r="GI25" s="1"/>
    </row>
    <row r="26" spans="1:191" hidden="1" x14ac:dyDescent="0.25">
      <c r="A26" s="4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12"/>
      <c r="DT26" s="12"/>
      <c r="DU26" s="13"/>
      <c r="DV26" s="15"/>
      <c r="DW26" s="14"/>
      <c r="DX26" s="15"/>
      <c r="GI26" s="1"/>
    </row>
    <row r="27" spans="1:191" hidden="1" x14ac:dyDescent="0.25">
      <c r="A27" s="4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12"/>
      <c r="DT27" s="12"/>
      <c r="DU27" s="13"/>
      <c r="DV27" s="15"/>
      <c r="DW27" s="14"/>
      <c r="DX27" s="15"/>
      <c r="GI27" s="1"/>
    </row>
    <row r="28" spans="1:191" hidden="1" x14ac:dyDescent="0.25">
      <c r="A28" s="4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12"/>
      <c r="DT28" s="12"/>
      <c r="DU28" s="13"/>
      <c r="DV28" s="15"/>
      <c r="DW28" s="14"/>
      <c r="DX28" s="15"/>
      <c r="GI28" s="1"/>
    </row>
    <row r="29" spans="1:191" hidden="1" x14ac:dyDescent="0.25">
      <c r="A29" s="4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12"/>
      <c r="DT29" s="12"/>
      <c r="DU29" s="13"/>
      <c r="DV29" s="15"/>
      <c r="DW29" s="14"/>
      <c r="DX29" s="15"/>
      <c r="GI29" s="1"/>
    </row>
    <row r="30" spans="1:191" x14ac:dyDescent="0.25">
      <c r="A30" s="3" t="s">
        <v>1</v>
      </c>
      <c r="B30" s="7">
        <v>37986</v>
      </c>
      <c r="C30" s="7">
        <v>38077</v>
      </c>
      <c r="D30" s="7">
        <v>38168</v>
      </c>
      <c r="E30" s="7">
        <v>38260</v>
      </c>
      <c r="F30" s="7">
        <v>38352</v>
      </c>
      <c r="G30" s="7">
        <v>38442</v>
      </c>
      <c r="H30" s="7">
        <v>38533</v>
      </c>
      <c r="I30" s="7">
        <v>38625</v>
      </c>
      <c r="J30" s="7">
        <v>38717</v>
      </c>
      <c r="K30" s="7">
        <v>38807</v>
      </c>
      <c r="L30" s="7">
        <v>38898</v>
      </c>
      <c r="M30" s="7">
        <v>38990</v>
      </c>
      <c r="N30" s="7">
        <v>39082</v>
      </c>
      <c r="O30" s="7">
        <v>39172</v>
      </c>
      <c r="P30" s="7">
        <v>39263</v>
      </c>
      <c r="Q30" s="7">
        <v>39355</v>
      </c>
      <c r="R30" s="7">
        <v>39447</v>
      </c>
      <c r="S30" s="7">
        <v>39538</v>
      </c>
      <c r="T30" s="7">
        <v>39629</v>
      </c>
      <c r="U30" s="7">
        <v>39721</v>
      </c>
      <c r="V30" s="7">
        <v>39813</v>
      </c>
      <c r="W30" s="7">
        <v>39903</v>
      </c>
      <c r="X30" s="7">
        <v>39994</v>
      </c>
      <c r="Y30" s="7">
        <v>40086</v>
      </c>
      <c r="Z30" s="7">
        <v>40178</v>
      </c>
      <c r="AA30" s="7">
        <v>40268</v>
      </c>
      <c r="AB30" s="7">
        <v>40359</v>
      </c>
      <c r="AC30" s="7">
        <v>40451</v>
      </c>
      <c r="AD30" s="7">
        <v>40543</v>
      </c>
      <c r="AE30" s="7">
        <v>40633</v>
      </c>
      <c r="AF30" s="7">
        <v>40724</v>
      </c>
      <c r="AG30" s="7">
        <v>40816</v>
      </c>
      <c r="AH30" s="7">
        <v>40908</v>
      </c>
      <c r="AI30" s="7">
        <v>40999</v>
      </c>
      <c r="AJ30" s="7">
        <v>41090</v>
      </c>
      <c r="AK30" s="7">
        <v>41182</v>
      </c>
      <c r="AL30" s="7">
        <v>41274</v>
      </c>
      <c r="AM30" s="7">
        <v>41364</v>
      </c>
      <c r="AN30" s="7">
        <v>41455</v>
      </c>
      <c r="AO30" s="7">
        <v>41547</v>
      </c>
      <c r="AP30" s="7">
        <v>41639</v>
      </c>
      <c r="AQ30" s="7">
        <v>41729</v>
      </c>
      <c r="AR30" s="7">
        <v>41820</v>
      </c>
      <c r="AS30" s="7">
        <v>41912</v>
      </c>
      <c r="AT30" s="7">
        <v>42004</v>
      </c>
      <c r="AU30" s="7">
        <v>42094</v>
      </c>
      <c r="AV30" s="7">
        <v>42185</v>
      </c>
      <c r="AW30" s="7">
        <v>42277</v>
      </c>
      <c r="AX30" s="7">
        <v>42369</v>
      </c>
      <c r="AY30" s="7">
        <v>42460</v>
      </c>
      <c r="AZ30" s="7">
        <v>42551</v>
      </c>
      <c r="BA30" s="7">
        <v>42643</v>
      </c>
      <c r="BB30" s="7">
        <v>42735</v>
      </c>
      <c r="BC30" s="7">
        <v>42825</v>
      </c>
      <c r="BD30" s="7">
        <v>42916</v>
      </c>
      <c r="BE30" s="7">
        <v>43008</v>
      </c>
      <c r="BF30" s="7">
        <v>43100</v>
      </c>
      <c r="BG30" s="7">
        <v>43190</v>
      </c>
      <c r="BH30" s="7">
        <v>43281</v>
      </c>
      <c r="BI30" s="7">
        <v>43373</v>
      </c>
      <c r="BJ30" s="7">
        <v>43465</v>
      </c>
      <c r="BK30" s="7">
        <v>43555</v>
      </c>
      <c r="BL30" s="7">
        <v>43646</v>
      </c>
      <c r="BM30" s="7">
        <v>43738</v>
      </c>
      <c r="BN30" s="7">
        <v>43830</v>
      </c>
      <c r="BO30" s="7">
        <v>43921</v>
      </c>
      <c r="BP30" s="7">
        <v>44012</v>
      </c>
      <c r="BQ30" s="7">
        <v>44104</v>
      </c>
      <c r="BR30" s="7">
        <v>44196</v>
      </c>
      <c r="BS30" s="7">
        <v>44286</v>
      </c>
      <c r="BT30" s="7">
        <v>44377</v>
      </c>
      <c r="BU30" s="7">
        <v>44469</v>
      </c>
      <c r="BV30" s="7">
        <v>44561</v>
      </c>
      <c r="BW30" s="7">
        <v>44651</v>
      </c>
      <c r="BX30" s="7">
        <v>44742</v>
      </c>
      <c r="BY30" s="7">
        <v>44834</v>
      </c>
      <c r="BZ30" s="7">
        <v>44926</v>
      </c>
      <c r="CA30" s="7">
        <v>45016</v>
      </c>
      <c r="CB30" s="7">
        <v>45107</v>
      </c>
      <c r="CC30" s="7">
        <v>45199</v>
      </c>
      <c r="CD30" s="7">
        <v>45291</v>
      </c>
      <c r="CE30" s="7">
        <v>45382</v>
      </c>
      <c r="CF30" s="7">
        <v>45473</v>
      </c>
      <c r="CG30" s="7">
        <v>45565</v>
      </c>
      <c r="CH30" s="7">
        <v>45657</v>
      </c>
      <c r="CI30" s="7">
        <v>45747</v>
      </c>
      <c r="CJ30" s="7">
        <v>45838</v>
      </c>
      <c r="CK30" s="7">
        <v>45930</v>
      </c>
      <c r="CL30" s="7">
        <v>46022</v>
      </c>
      <c r="CM30" s="7">
        <v>46112</v>
      </c>
      <c r="CN30" s="7">
        <v>46203</v>
      </c>
      <c r="CO30" s="7">
        <v>46295</v>
      </c>
      <c r="CP30" s="7">
        <v>46387</v>
      </c>
      <c r="CQ30" s="7">
        <v>46477</v>
      </c>
      <c r="CR30" s="7">
        <v>46568</v>
      </c>
      <c r="CS30" s="7">
        <v>46660</v>
      </c>
      <c r="CT30" s="7">
        <v>46752</v>
      </c>
      <c r="CU30" s="7">
        <v>46843</v>
      </c>
      <c r="CV30" s="7">
        <v>46934</v>
      </c>
      <c r="CW30" s="7">
        <v>47026</v>
      </c>
      <c r="CX30" s="7">
        <v>47118</v>
      </c>
      <c r="CY30" s="7">
        <v>47208</v>
      </c>
      <c r="CZ30" s="7">
        <v>47299</v>
      </c>
      <c r="DA30" s="7">
        <v>47391</v>
      </c>
      <c r="DB30" s="7">
        <v>47483</v>
      </c>
      <c r="DC30" s="7">
        <v>47573</v>
      </c>
      <c r="DD30" s="7">
        <v>47664</v>
      </c>
      <c r="DE30" s="7">
        <v>47756</v>
      </c>
      <c r="DF30" s="7">
        <v>47848</v>
      </c>
      <c r="DG30" s="7">
        <v>47938</v>
      </c>
      <c r="DH30" s="7">
        <v>48029</v>
      </c>
      <c r="DI30" s="7">
        <v>48121</v>
      </c>
      <c r="DJ30" s="7">
        <v>48213</v>
      </c>
      <c r="DK30" s="7">
        <v>48304</v>
      </c>
      <c r="DL30" s="7">
        <v>48395</v>
      </c>
      <c r="DM30" s="7">
        <v>48487</v>
      </c>
      <c r="DN30" s="7">
        <v>48579</v>
      </c>
      <c r="DO30" s="7">
        <v>48669</v>
      </c>
      <c r="DP30" s="7">
        <v>48760</v>
      </c>
      <c r="DQ30" s="7">
        <v>48852</v>
      </c>
      <c r="DR30" s="7">
        <v>48944</v>
      </c>
      <c r="GI30" s="1"/>
    </row>
    <row r="31" spans="1:191" x14ac:dyDescent="0.25">
      <c r="A31" s="4">
        <v>1</v>
      </c>
      <c r="O31" s="17">
        <f t="shared" ref="O31:AJ31" ca="1" si="70">IF(O3="","",AVERAGE(N22)+CONFIDENCE(0.05,STDEV(B22:N22),COUNT(B22:N22)))</f>
        <v>1.9933726882521072E-2</v>
      </c>
      <c r="P31" s="17">
        <f t="shared" ca="1" si="70"/>
        <v>6.4176092163206987E-3</v>
      </c>
      <c r="Q31" s="17">
        <f t="shared" ca="1" si="70"/>
        <v>1.0421096973703747E-2</v>
      </c>
      <c r="R31" s="17">
        <f t="shared" ca="1" si="70"/>
        <v>1.9746680837746014E-2</v>
      </c>
      <c r="S31" s="17">
        <f t="shared" ca="1" si="70"/>
        <v>1.5802354397880462E-2</v>
      </c>
      <c r="T31" s="17">
        <f t="shared" ca="1" si="70"/>
        <v>1.4746660835543214E-2</v>
      </c>
      <c r="U31" s="17">
        <f t="shared" ca="1" si="70"/>
        <v>3.6099429369745473E-2</v>
      </c>
      <c r="V31" s="17">
        <f t="shared" ca="1" si="70"/>
        <v>4.1486714218736676E-2</v>
      </c>
      <c r="W31" s="17">
        <f t="shared" ca="1" si="70"/>
        <v>2.4767757043128117E-2</v>
      </c>
      <c r="X31" s="17">
        <f t="shared" ca="1" si="70"/>
        <v>1.3343799115117204E-2</v>
      </c>
      <c r="Y31" s="17">
        <f t="shared" ca="1" si="70"/>
        <v>2.4948496796446229E-2</v>
      </c>
      <c r="Z31" s="17">
        <f t="shared" ca="1" si="70"/>
        <v>1.8361023050172301E-2</v>
      </c>
      <c r="AA31" s="17">
        <f t="shared" ca="1" si="70"/>
        <v>1.4241657233919836E-2</v>
      </c>
      <c r="AB31" s="17">
        <f t="shared" ca="1" si="70"/>
        <v>9.0041637423533515E-3</v>
      </c>
      <c r="AC31" s="17">
        <f t="shared" ca="1" si="70"/>
        <v>7.1467330897926392E-3</v>
      </c>
      <c r="AD31" s="17">
        <f t="shared" ca="1" si="70"/>
        <v>8.5875199945327999E-3</v>
      </c>
      <c r="AE31" s="17">
        <f t="shared" ca="1" si="70"/>
        <v>1.6800828126529981E-2</v>
      </c>
      <c r="AF31" s="17">
        <f t="shared" ca="1" si="70"/>
        <v>1.1169346527057627E-2</v>
      </c>
      <c r="AG31" s="17">
        <f t="shared" ca="1" si="70"/>
        <v>1.1944796244892284E-2</v>
      </c>
      <c r="AH31" s="17">
        <f t="shared" ca="1" si="70"/>
        <v>2.0076959868744984E-2</v>
      </c>
      <c r="AI31" s="17">
        <f t="shared" ca="1" si="70"/>
        <v>3.5755645294170732E-2</v>
      </c>
      <c r="AJ31" s="17">
        <f t="shared" ca="1" si="70"/>
        <v>2.8695778804457284E-2</v>
      </c>
      <c r="AK31" s="17">
        <f ca="1">IF(AK3="","",AVERAGE(AJ22)+CONFIDENCE(0.05,STDEV(X22:AJ22),COUNT(X22:AJ22)))</f>
        <v>9.9865286427752095E-3</v>
      </c>
      <c r="AL31" s="17">
        <f t="shared" ref="AL31:BU31" ca="1" si="71">IF(AL3="","",AK22+CONFIDENCE(0.05,STDEV(Y22:AK22),COUNT(Y22:AK22)))</f>
        <v>8.957553178051688E-3</v>
      </c>
      <c r="AM31" s="17">
        <f t="shared" ca="1" si="71"/>
        <v>1.4021945545415481E-2</v>
      </c>
      <c r="AN31" s="17">
        <f t="shared" ca="1" si="71"/>
        <v>2.9091448487180458E-2</v>
      </c>
      <c r="AO31" s="17">
        <f t="shared" ca="1" si="71"/>
        <v>7.1258914205250597E-3</v>
      </c>
      <c r="AP31" s="17">
        <f t="shared" ca="1" si="71"/>
        <v>1.1175046758867498E-2</v>
      </c>
      <c r="AQ31" s="17">
        <f t="shared" ca="1" si="71"/>
        <v>8.7667667758212393E-3</v>
      </c>
      <c r="AR31" s="17">
        <f t="shared" ca="1" si="71"/>
        <v>1.5348771690357796E-2</v>
      </c>
      <c r="AS31" s="17">
        <f t="shared" ca="1" si="71"/>
        <v>1.8949799762758346E-2</v>
      </c>
      <c r="AT31" s="17">
        <f t="shared" ca="1" si="71"/>
        <v>8.978258525192219E-3</v>
      </c>
      <c r="AU31" s="17">
        <f t="shared" ca="1" si="71"/>
        <v>1.5448837877181489E-2</v>
      </c>
      <c r="AV31" s="17">
        <f t="shared" ca="1" si="71"/>
        <v>1.503613972745982E-2</v>
      </c>
      <c r="AW31" s="17">
        <f t="shared" ca="1" si="71"/>
        <v>2.4487215660211507E-2</v>
      </c>
      <c r="AX31" s="17">
        <f t="shared" ca="1" si="71"/>
        <v>5.7903030520167712E-3</v>
      </c>
      <c r="AY31" s="17">
        <f t="shared" ca="1" si="71"/>
        <v>1.0855903417268088E-2</v>
      </c>
      <c r="AZ31" s="17">
        <f t="shared" ca="1" si="71"/>
        <v>9.8215667988679391E-3</v>
      </c>
      <c r="BA31" s="17">
        <f t="shared" ca="1" si="71"/>
        <v>1.0377832105193687E-2</v>
      </c>
      <c r="BB31" s="17">
        <f t="shared" ca="1" si="71"/>
        <v>2.8763338300912381E-2</v>
      </c>
      <c r="BC31" s="17">
        <f t="shared" ca="1" si="71"/>
        <v>9.7668379046825498E-3</v>
      </c>
      <c r="BD31" s="17">
        <f t="shared" ca="1" si="71"/>
        <v>2.854303947016695E-2</v>
      </c>
      <c r="BE31" s="17">
        <f t="shared" ca="1" si="71"/>
        <v>1.961890594259854E-2</v>
      </c>
      <c r="BF31" s="17">
        <f t="shared" ca="1" si="71"/>
        <v>1.4531903634782002E-2</v>
      </c>
      <c r="BG31" s="17">
        <f t="shared" ca="1" si="71"/>
        <v>2.7301681437339909E-2</v>
      </c>
      <c r="BH31" s="17">
        <f t="shared" ca="1" si="71"/>
        <v>1.7275639716130959E-2</v>
      </c>
      <c r="BI31" s="17">
        <f t="shared" ca="1" si="71"/>
        <v>1.3118018185277637E-2</v>
      </c>
      <c r="BJ31" s="17">
        <f t="shared" ca="1" si="71"/>
        <v>1.9123157982840838E-2</v>
      </c>
      <c r="BK31" s="17">
        <f t="shared" ca="1" si="71"/>
        <v>1.1090285359294745E-2</v>
      </c>
      <c r="BL31" s="17">
        <f t="shared" ca="1" si="71"/>
        <v>3.3486126543772025E-2</v>
      </c>
      <c r="BM31" s="17">
        <f t="shared" ca="1" si="71"/>
        <v>1.8645467317768866E-2</v>
      </c>
      <c r="BN31" s="17">
        <f t="shared" ca="1" si="71"/>
        <v>5.0941026686665168E-3</v>
      </c>
      <c r="BO31" s="17">
        <f t="shared" ca="1" si="71"/>
        <v>1.801874952993985E-2</v>
      </c>
      <c r="BP31" s="17">
        <f t="shared" ca="1" si="71"/>
        <v>4.5604018337265448E-2</v>
      </c>
      <c r="BQ31" s="17">
        <f t="shared" ca="1" si="71"/>
        <v>3.458389137747437E-2</v>
      </c>
      <c r="BR31" s="17">
        <f t="shared" ca="1" si="71"/>
        <v>3.7617152475091641E-2</v>
      </c>
      <c r="BS31" s="17" t="str">
        <f t="shared" si="71"/>
        <v/>
      </c>
      <c r="BT31" s="17" t="str">
        <f t="shared" si="71"/>
        <v/>
      </c>
      <c r="BU31" s="17" t="str">
        <f t="shared" si="71"/>
        <v/>
      </c>
      <c r="BV31" s="17" t="str">
        <f t="shared" ref="BV31" si="72">IF(BV3="","",BU22+CONFIDENCE(0.05,STDEV(BI22:BU22),COUNT(BI22:BU22)))</f>
        <v/>
      </c>
      <c r="BW31" s="17" t="str">
        <f t="shared" ref="BW31" si="73">IF(BW3="","",BV22+CONFIDENCE(0.05,STDEV(BJ22:BV22),COUNT(BJ22:BV22)))</f>
        <v/>
      </c>
      <c r="BX31" s="17" t="str">
        <f t="shared" ref="BX31" si="74">IF(BX3="","",BW22+CONFIDENCE(0.05,STDEV(BK22:BW22),COUNT(BK22:BW22)))</f>
        <v/>
      </c>
      <c r="BY31" s="17" t="str">
        <f t="shared" ref="BY31" si="75">IF(BY3="","",BX22+CONFIDENCE(0.05,STDEV(BL22:BX22),COUNT(BL22:BX22)))</f>
        <v/>
      </c>
      <c r="BZ31" s="17" t="str">
        <f t="shared" ref="BZ31" si="76">IF(BZ3="","",BY22+CONFIDENCE(0.05,STDEV(BM22:BY22),COUNT(BM22:BY22)))</f>
        <v/>
      </c>
      <c r="CA31" s="17" t="str">
        <f t="shared" ref="CA31" si="77">IF(CA3="","",BZ22+CONFIDENCE(0.05,STDEV(BN22:BZ22),COUNT(BN22:BZ22)))</f>
        <v/>
      </c>
      <c r="CB31" s="17" t="str">
        <f t="shared" ref="CB31" si="78">IF(CB3="","",CA22+CONFIDENCE(0.05,STDEV(BO22:CA22),COUNT(BO22:CA22)))</f>
        <v/>
      </c>
      <c r="CC31" s="17" t="str">
        <f t="shared" ref="CC31" si="79">IF(CC3="","",CB22+CONFIDENCE(0.05,STDEV(BP22:CB22),COUNT(BP22:CB22)))</f>
        <v/>
      </c>
      <c r="CD31" s="17" t="str">
        <f t="shared" ref="CD31" si="80">IF(CD3="","",CC22+CONFIDENCE(0.05,STDEV(BQ22:CC22),COUNT(BQ22:CC22)))</f>
        <v/>
      </c>
      <c r="CE31" s="17" t="str">
        <f t="shared" ref="CE31" si="81">IF(CE3="","",CD22+CONFIDENCE(0.05,STDEV(BR22:CD22),COUNT(BR22:CD22)))</f>
        <v/>
      </c>
      <c r="CF31" s="17" t="str">
        <f t="shared" ref="CF31" si="82">IF(CF3="","",CE22+CONFIDENCE(0.05,STDEV(BS22:CE22),COUNT(BS22:CE22)))</f>
        <v/>
      </c>
      <c r="CG31" s="17" t="str">
        <f t="shared" ref="CG31" si="83">IF(CG3="","",CF22+CONFIDENCE(0.05,STDEV(BT22:CF22),COUNT(BT22:CF22)))</f>
        <v/>
      </c>
      <c r="CH31" s="17" t="str">
        <f t="shared" ref="CH31" si="84">IF(CH3="","",CG22+CONFIDENCE(0.05,STDEV(BU22:CG22),COUNT(BU22:CG22)))</f>
        <v/>
      </c>
      <c r="CI31" s="17" t="str">
        <f t="shared" ref="CI31" si="85">IF(CI3="","",CH22+CONFIDENCE(0.05,STDEV(BV22:CH22),COUNT(BV22:CH22)))</f>
        <v/>
      </c>
      <c r="CJ31" s="17" t="str">
        <f t="shared" ref="CJ31" si="86">IF(CJ3="","",CI22+CONFIDENCE(0.05,STDEV(BW22:CI22),COUNT(BW22:CI22)))</f>
        <v/>
      </c>
      <c r="CK31" s="17" t="str">
        <f t="shared" ref="CK31" si="87">IF(CK3="","",CJ22+CONFIDENCE(0.05,STDEV(BX22:CJ22),COUNT(BX22:CJ22)))</f>
        <v/>
      </c>
      <c r="CL31" s="17" t="str">
        <f t="shared" ref="CL31" si="88">IF(CL3="","",CK22+CONFIDENCE(0.05,STDEV(BY22:CK22),COUNT(BY22:CK22)))</f>
        <v/>
      </c>
      <c r="CM31" s="17" t="str">
        <f t="shared" ref="CM31" si="89">IF(CM3="","",CL22+CONFIDENCE(0.05,STDEV(BZ22:CL22),COUNT(BZ22:CL22)))</f>
        <v/>
      </c>
      <c r="CN31" s="17" t="str">
        <f t="shared" ref="CN31" si="90">IF(CN3="","",CM22+CONFIDENCE(0.05,STDEV(CA22:CM22),COUNT(CA22:CM22)))</f>
        <v/>
      </c>
      <c r="CO31" s="17" t="str">
        <f t="shared" ref="CO31" si="91">IF(CO3="","",CN22+CONFIDENCE(0.05,STDEV(CB22:CN22),COUNT(CB22:CN22)))</f>
        <v/>
      </c>
      <c r="CP31" s="17" t="str">
        <f t="shared" ref="CP31" si="92">IF(CP3="","",CO22+CONFIDENCE(0.05,STDEV(CC22:CO22),COUNT(CC22:CO22)))</f>
        <v/>
      </c>
      <c r="CQ31" s="17" t="str">
        <f t="shared" ref="CQ31" si="93">IF(CQ3="","",CP22+CONFIDENCE(0.05,STDEV(CD22:CP22),COUNT(CD22:CP22)))</f>
        <v/>
      </c>
      <c r="CR31" s="17" t="str">
        <f t="shared" ref="CR31" si="94">IF(CR3="","",CQ22+CONFIDENCE(0.05,STDEV(CE22:CQ22),COUNT(CE22:CQ22)))</f>
        <v/>
      </c>
      <c r="CS31" s="17" t="str">
        <f t="shared" ref="CS31" si="95">IF(CS3="","",CR22+CONFIDENCE(0.05,STDEV(CF22:CR22),COUNT(CF22:CR22)))</f>
        <v/>
      </c>
      <c r="CT31" s="17" t="str">
        <f t="shared" ref="CT31" si="96">IF(CT3="","",CS22+CONFIDENCE(0.05,STDEV(CG22:CS22),COUNT(CG22:CS22)))</f>
        <v/>
      </c>
      <c r="CU31" s="17" t="str">
        <f t="shared" ref="CU31" si="97">IF(CU3="","",CT22+CONFIDENCE(0.05,STDEV(CH22:CT22),COUNT(CH22:CT22)))</f>
        <v/>
      </c>
      <c r="CV31" s="17" t="str">
        <f t="shared" ref="CV31" si="98">IF(CV3="","",CU22+CONFIDENCE(0.05,STDEV(CI22:CU22),COUNT(CI22:CU22)))</f>
        <v/>
      </c>
      <c r="CW31" s="17" t="str">
        <f t="shared" ref="CW31" si="99">IF(CW3="","",CV22+CONFIDENCE(0.05,STDEV(CJ22:CV22),COUNT(CJ22:CV22)))</f>
        <v/>
      </c>
      <c r="CX31" s="17" t="str">
        <f t="shared" ref="CX31" si="100">IF(CX3="","",CW22+CONFIDENCE(0.05,STDEV(CK22:CW22),COUNT(CK22:CW22)))</f>
        <v/>
      </c>
      <c r="CY31" s="17" t="str">
        <f t="shared" ref="CY31" si="101">IF(CY3="","",CX22+CONFIDENCE(0.05,STDEV(CL22:CX22),COUNT(CL22:CX22)))</f>
        <v/>
      </c>
      <c r="CZ31" s="17" t="str">
        <f t="shared" ref="CZ31" si="102">IF(CZ3="","",CY22+CONFIDENCE(0.05,STDEV(CM22:CY22),COUNT(CM22:CY22)))</f>
        <v/>
      </c>
      <c r="DA31" s="17" t="str">
        <f t="shared" ref="DA31" si="103">IF(DA3="","",CZ22+CONFIDENCE(0.05,STDEV(CN22:CZ22),COUNT(CN22:CZ22)))</f>
        <v/>
      </c>
      <c r="DB31" s="17" t="str">
        <f t="shared" ref="DB31" si="104">IF(DB3="","",DA22+CONFIDENCE(0.05,STDEV(CO22:DA22),COUNT(CO22:DA22)))</f>
        <v/>
      </c>
      <c r="DC31" s="17" t="str">
        <f t="shared" ref="DC31" si="105">IF(DC3="","",DB22+CONFIDENCE(0.05,STDEV(CP22:DB22),COUNT(CP22:DB22)))</f>
        <v/>
      </c>
      <c r="DD31" s="17" t="str">
        <f t="shared" ref="DD31" si="106">IF(DD3="","",DC22+CONFIDENCE(0.05,STDEV(CQ22:DC22),COUNT(CQ22:DC22)))</f>
        <v/>
      </c>
      <c r="DE31" s="17" t="str">
        <f t="shared" ref="DE31" si="107">IF(DE3="","",DD22+CONFIDENCE(0.05,STDEV(CR22:DD22),COUNT(CR22:DD22)))</f>
        <v/>
      </c>
      <c r="DF31" s="17" t="str">
        <f t="shared" ref="DF31" si="108">IF(DF3="","",DE22+CONFIDENCE(0.05,STDEV(CS22:DE22),COUNT(CS22:DE22)))</f>
        <v/>
      </c>
      <c r="DG31" s="17" t="str">
        <f t="shared" ref="DG31" si="109">IF(DG3="","",DF22+CONFIDENCE(0.05,STDEV(CT22:DF22),COUNT(CT22:DF22)))</f>
        <v/>
      </c>
      <c r="DH31" s="17" t="str">
        <f t="shared" ref="DH31" si="110">IF(DH3="","",DG22+CONFIDENCE(0.05,STDEV(CU22:DG22),COUNT(CU22:DG22)))</f>
        <v/>
      </c>
      <c r="DI31" s="17" t="str">
        <f t="shared" ref="DI31" si="111">IF(DI3="","",DH22+CONFIDENCE(0.05,STDEV(CV22:DH22),COUNT(CV22:DH22)))</f>
        <v/>
      </c>
      <c r="DJ31" s="17" t="str">
        <f t="shared" ref="DJ31" si="112">IF(DJ3="","",DI22+CONFIDENCE(0.05,STDEV(CW22:DI22),COUNT(CW22:DI22)))</f>
        <v/>
      </c>
      <c r="DK31" s="17" t="str">
        <f t="shared" ref="DK31" si="113">IF(DK3="","",DJ22+CONFIDENCE(0.05,STDEV(CX22:DJ22),COUNT(CX22:DJ22)))</f>
        <v/>
      </c>
      <c r="DL31" s="17" t="str">
        <f t="shared" ref="DL31" si="114">IF(DL3="","",DK22+CONFIDENCE(0.05,STDEV(CY22:DK22),COUNT(CY22:DK22)))</f>
        <v/>
      </c>
      <c r="DM31" s="17" t="str">
        <f t="shared" ref="DM31" si="115">IF(DM3="","",DL22+CONFIDENCE(0.05,STDEV(CZ22:DL22),COUNT(CZ22:DL22)))</f>
        <v/>
      </c>
      <c r="DN31" s="17" t="str">
        <f t="shared" ref="DN31" si="116">IF(DN3="","",DM22+CONFIDENCE(0.05,STDEV(DA22:DM22),COUNT(DA22:DM22)))</f>
        <v/>
      </c>
      <c r="DO31" s="17" t="str">
        <f t="shared" ref="DO31" si="117">IF(DO3="","",DN22+CONFIDENCE(0.05,STDEV(DB22:DN22),COUNT(DB22:DN22)))</f>
        <v/>
      </c>
      <c r="DP31" s="17" t="str">
        <f t="shared" ref="DP31" si="118">IF(DP3="","",DO22+CONFIDENCE(0.05,STDEV(DC22:DO22),COUNT(DC22:DO22)))</f>
        <v/>
      </c>
      <c r="DQ31" s="17" t="str">
        <f t="shared" ref="DQ31" si="119">IF(DQ3="","",DP22+CONFIDENCE(0.05,STDEV(DD22:DP22),COUNT(DD22:DP22)))</f>
        <v/>
      </c>
      <c r="DR31" s="17" t="str">
        <f t="shared" ref="DR31" si="120">IF(DR3="","",DQ22+CONFIDENCE(0.05,STDEV(DE22:DQ22),COUNT(DE22:DQ22)))</f>
        <v/>
      </c>
    </row>
    <row r="32" spans="1:191" x14ac:dyDescent="0.25">
      <c r="A32" s="4">
        <v>2</v>
      </c>
      <c r="O32" s="17">
        <f t="shared" ref="O32:AJ32" ca="1" si="121">IF(O4="","",AVERAGE(M23:N23)+CONFIDENCE(0.05,STDEV(B23:N23),COUNT(B23:N23)))</f>
        <v>2.7124982682730885E-2</v>
      </c>
      <c r="P32" s="17">
        <f t="shared" ca="1" si="121"/>
        <v>1.2575296698204088E-2</v>
      </c>
      <c r="Q32" s="17">
        <f t="shared" ca="1" si="121"/>
        <v>1.0771726099797724E-2</v>
      </c>
      <c r="R32" s="17">
        <f t="shared" ca="1" si="121"/>
        <v>2.5259924763410348E-2</v>
      </c>
      <c r="S32" s="17">
        <f t="shared" ca="1" si="121"/>
        <v>3.2829335160290511E-2</v>
      </c>
      <c r="T32" s="17">
        <f t="shared" ca="1" si="121"/>
        <v>4.0507847760156847E-2</v>
      </c>
      <c r="U32" s="17">
        <f t="shared" ca="1" si="121"/>
        <v>6.5969791656280266E-2</v>
      </c>
      <c r="V32" s="17">
        <f t="shared" ca="1" si="121"/>
        <v>7.8990573128959726E-2</v>
      </c>
      <c r="W32" s="17">
        <f t="shared" ca="1" si="121"/>
        <v>6.1031638003354372E-2</v>
      </c>
      <c r="X32" s="17">
        <f t="shared" ca="1" si="121"/>
        <v>3.3266841458823894E-2</v>
      </c>
      <c r="Y32" s="17">
        <f t="shared" ca="1" si="121"/>
        <v>3.5143843110856832E-2</v>
      </c>
      <c r="Z32" s="17">
        <f t="shared" ca="1" si="121"/>
        <v>3.1965598521507585E-2</v>
      </c>
      <c r="AA32" s="17">
        <f t="shared" ca="1" si="121"/>
        <v>1.7119236135157527E-2</v>
      </c>
      <c r="AB32" s="17">
        <f t="shared" ca="1" si="121"/>
        <v>1.84050588048877E-2</v>
      </c>
      <c r="AC32" s="17">
        <f t="shared" ca="1" si="121"/>
        <v>1.5994186403160759E-2</v>
      </c>
      <c r="AD32" s="17">
        <f t="shared" ca="1" si="121"/>
        <v>1.7766716538471158E-2</v>
      </c>
      <c r="AE32" s="17">
        <f t="shared" ca="1" si="121"/>
        <v>2.0743487703424175E-2</v>
      </c>
      <c r="AF32" s="17">
        <f t="shared" ca="1" si="121"/>
        <v>2.204350799054729E-2</v>
      </c>
      <c r="AG32" s="17">
        <f t="shared" ca="1" si="121"/>
        <v>2.8282939302375472E-2</v>
      </c>
      <c r="AH32" s="17">
        <f t="shared" ca="1" si="121"/>
        <v>4.510807079036025E-2</v>
      </c>
      <c r="AI32" s="17">
        <f t="shared" ca="1" si="121"/>
        <v>6.4907454393843281E-2</v>
      </c>
      <c r="AJ32" s="17">
        <f t="shared" ca="1" si="121"/>
        <v>5.177771817668432E-2</v>
      </c>
      <c r="AK32" s="17">
        <f ca="1">IF(AK4="","",AVERAGE(AI23:AJ23)+CONFIDENCE(0.05,STDEV(X23:AJ23),COUNT(X23:AJ23)))</f>
        <v>2.2396906528416138E-2</v>
      </c>
      <c r="AL32" s="17">
        <f ca="1">IF(AL4="","",OFFSET(AK23,0,-COUNTBLANK(AE23:AK23),1,1)+CONFIDENCE(0.05,STDEV(Y23:AK23),COUNT(Y23:AK23)))</f>
        <v>1.5004355738435166E-2</v>
      </c>
      <c r="AM32" s="17">
        <f t="shared" ref="AM32:BU34" ca="1" si="122">IF(AM4="","",OFFSET(AL23,0,-COUNTBLANK(AF23:AL23),1,1)+CONFIDENCE(0.05,STDEV(Z23:AL23),COUNT(Z23:AL23)))</f>
        <v>4.6248715404270037E-2</v>
      </c>
      <c r="AN32" s="17">
        <f t="shared" ca="1" si="122"/>
        <v>3.7727457937894206E-2</v>
      </c>
      <c r="AO32" s="17">
        <f t="shared" ca="1" si="122"/>
        <v>1.4244110252058201E-2</v>
      </c>
      <c r="AP32" s="17">
        <f t="shared" ca="1" si="122"/>
        <v>1.3063087804947596E-2</v>
      </c>
      <c r="AQ32" s="17">
        <f t="shared" ca="1" si="122"/>
        <v>1.577189541966386E-2</v>
      </c>
      <c r="AR32" s="17">
        <f t="shared" ca="1" si="122"/>
        <v>1.2653862115863578E-2</v>
      </c>
      <c r="AS32" s="17">
        <f t="shared" ca="1" si="122"/>
        <v>2.2842933427444295E-2</v>
      </c>
      <c r="AT32" s="17">
        <f t="shared" ca="1" si="122"/>
        <v>2.5058742694575843E-2</v>
      </c>
      <c r="AU32" s="17">
        <f t="shared" ca="1" si="122"/>
        <v>3.3169811647662972E-2</v>
      </c>
      <c r="AV32" s="17">
        <f t="shared" ca="1" si="122"/>
        <v>3.9559664906549892E-2</v>
      </c>
      <c r="AW32" s="17">
        <f t="shared" ca="1" si="122"/>
        <v>2.9546786708664396E-2</v>
      </c>
      <c r="AX32" s="17">
        <f t="shared" ca="1" si="122"/>
        <v>1.5460376308261234E-2</v>
      </c>
      <c r="AY32" s="17">
        <f t="shared" ca="1" si="122"/>
        <v>8.5152366502812202E-3</v>
      </c>
      <c r="AZ32" s="17">
        <f t="shared" ca="1" si="122"/>
        <v>6.2478642560080738E-3</v>
      </c>
      <c r="BA32" s="17">
        <f t="shared" ca="1" si="122"/>
        <v>2.2233882972851705E-2</v>
      </c>
      <c r="BB32" s="17">
        <f t="shared" ca="1" si="122"/>
        <v>4.2691562646187141E-2</v>
      </c>
      <c r="BC32" s="17">
        <f t="shared" ca="1" si="122"/>
        <v>2.4019170408840992E-2</v>
      </c>
      <c r="BD32" s="17">
        <f t="shared" ca="1" si="122"/>
        <v>1.8061597651065502E-2</v>
      </c>
      <c r="BE32" s="17">
        <f t="shared" ca="1" si="122"/>
        <v>3.3447261425449425E-2</v>
      </c>
      <c r="BF32" s="17">
        <f t="shared" ca="1" si="122"/>
        <v>1.7529126811362566E-2</v>
      </c>
      <c r="BG32" s="17">
        <f t="shared" ca="1" si="122"/>
        <v>1.8995592677610779E-2</v>
      </c>
      <c r="BH32" s="17">
        <f t="shared" ca="1" si="122"/>
        <v>2.9304964256490457E-2</v>
      </c>
      <c r="BI32" s="17">
        <f t="shared" ca="1" si="122"/>
        <v>3.1049036583232915E-2</v>
      </c>
      <c r="BJ32" s="17">
        <f t="shared" ca="1" si="122"/>
        <v>2.9274615691247896E-2</v>
      </c>
      <c r="BK32" s="17">
        <f t="shared" ca="1" si="122"/>
        <v>2.6202214645965529E-2</v>
      </c>
      <c r="BL32" s="17">
        <f t="shared" ca="1" si="122"/>
        <v>5.5604459672083696E-2</v>
      </c>
      <c r="BM32" s="17">
        <f t="shared" ca="1" si="122"/>
        <v>2.1141334404997384E-2</v>
      </c>
      <c r="BN32" s="17">
        <f t="shared" ca="1" si="122"/>
        <v>1.9602651397947379E-2</v>
      </c>
      <c r="BO32" s="17">
        <f t="shared" ca="1" si="122"/>
        <v>6.545669195610701E-2</v>
      </c>
      <c r="BP32" s="17">
        <f t="shared" ca="1" si="122"/>
        <v>2.269995457897897E-2</v>
      </c>
      <c r="BQ32" s="17">
        <f t="shared" ca="1" si="122"/>
        <v>7.6059197187155092E-2</v>
      </c>
      <c r="BR32" s="17">
        <f t="shared" ca="1" si="122"/>
        <v>7.691439096177817E-2</v>
      </c>
      <c r="BS32" s="17" t="str">
        <f t="shared" ca="1" si="122"/>
        <v/>
      </c>
      <c r="BT32" s="17" t="str">
        <f t="shared" ca="1" si="122"/>
        <v/>
      </c>
      <c r="BU32" s="17" t="str">
        <f t="shared" ca="1" si="122"/>
        <v/>
      </c>
      <c r="BV32" s="17" t="str">
        <f t="shared" ref="BV32:BV34" ca="1" si="123">IF(BV4="","",OFFSET(BU23,0,-COUNTBLANK(BO23:BU23),1,1)+CONFIDENCE(0.05,STDEV(BI23:BU23),COUNT(BI23:BU23)))</f>
        <v/>
      </c>
      <c r="BW32" s="17" t="str">
        <f t="shared" ref="BW32:BW34" ca="1" si="124">IF(BW4="","",OFFSET(BV23,0,-COUNTBLANK(BP23:BV23),1,1)+CONFIDENCE(0.05,STDEV(BJ23:BV23),COUNT(BJ23:BV23)))</f>
        <v/>
      </c>
      <c r="BX32" s="17" t="str">
        <f t="shared" ref="BX32:BX34" ca="1" si="125">IF(BX4="","",OFFSET(BW23,0,-COUNTBLANK(BQ23:BW23),1,1)+CONFIDENCE(0.05,STDEV(BK23:BW23),COUNT(BK23:BW23)))</f>
        <v/>
      </c>
      <c r="BY32" s="17" t="str">
        <f t="shared" ref="BY32:BY34" ca="1" si="126">IF(BY4="","",OFFSET(BX23,0,-COUNTBLANK(BR23:BX23),1,1)+CONFIDENCE(0.05,STDEV(BL23:BX23),COUNT(BL23:BX23)))</f>
        <v/>
      </c>
      <c r="BZ32" s="17" t="str">
        <f t="shared" ref="BZ32:BZ34" ca="1" si="127">IF(BZ4="","",OFFSET(BY23,0,-COUNTBLANK(BS23:BY23),1,1)+CONFIDENCE(0.05,STDEV(BM23:BY23),COUNT(BM23:BY23)))</f>
        <v/>
      </c>
      <c r="CA32" s="17" t="str">
        <f t="shared" ref="CA32:CA34" ca="1" si="128">IF(CA4="","",OFFSET(BZ23,0,-COUNTBLANK(BT23:BZ23),1,1)+CONFIDENCE(0.05,STDEV(BN23:BZ23),COUNT(BN23:BZ23)))</f>
        <v/>
      </c>
      <c r="CB32" s="17" t="str">
        <f t="shared" ref="CB32:CB34" ca="1" si="129">IF(CB4="","",OFFSET(CA23,0,-COUNTBLANK(BU23:CA23),1,1)+CONFIDENCE(0.05,STDEV(BO23:CA23),COUNT(BO23:CA23)))</f>
        <v/>
      </c>
      <c r="CC32" s="17" t="str">
        <f t="shared" ref="CC32:CC34" ca="1" si="130">IF(CC4="","",OFFSET(CB23,0,-COUNTBLANK(BV23:CB23),1,1)+CONFIDENCE(0.05,STDEV(BP23:CB23),COUNT(BP23:CB23)))</f>
        <v/>
      </c>
      <c r="CD32" s="17" t="str">
        <f t="shared" ref="CD32:CD34" ca="1" si="131">IF(CD4="","",OFFSET(CC23,0,-COUNTBLANK(BW23:CC23),1,1)+CONFIDENCE(0.05,STDEV(BQ23:CC23),COUNT(BQ23:CC23)))</f>
        <v/>
      </c>
      <c r="CE32" s="17" t="str">
        <f t="shared" ref="CE32:CE34" ca="1" si="132">IF(CE4="","",OFFSET(CD23,0,-COUNTBLANK(BX23:CD23),1,1)+CONFIDENCE(0.05,STDEV(BR23:CD23),COUNT(BR23:CD23)))</f>
        <v/>
      </c>
      <c r="CF32" s="17" t="str">
        <f t="shared" ref="CF32:CF34" ca="1" si="133">IF(CF4="","",OFFSET(CE23,0,-COUNTBLANK(BY23:CE23),1,1)+CONFIDENCE(0.05,STDEV(BS23:CE23),COUNT(BS23:CE23)))</f>
        <v/>
      </c>
      <c r="CG32" s="17" t="str">
        <f t="shared" ref="CG32:CG34" ca="1" si="134">IF(CG4="","",OFFSET(CF23,0,-COUNTBLANK(BZ23:CF23),1,1)+CONFIDENCE(0.05,STDEV(BT23:CF23),COUNT(BT23:CF23)))</f>
        <v/>
      </c>
      <c r="CH32" s="17" t="str">
        <f t="shared" ref="CH32:CH34" ca="1" si="135">IF(CH4="","",OFFSET(CG23,0,-COUNTBLANK(CA23:CG23),1,1)+CONFIDENCE(0.05,STDEV(BU23:CG23),COUNT(BU23:CG23)))</f>
        <v/>
      </c>
      <c r="CI32" s="17" t="str">
        <f t="shared" ref="CI32:CI34" ca="1" si="136">IF(CI4="","",OFFSET(CH23,0,-COUNTBLANK(CB23:CH23),1,1)+CONFIDENCE(0.05,STDEV(BV23:CH23),COUNT(BV23:CH23)))</f>
        <v/>
      </c>
      <c r="CJ32" s="17" t="str">
        <f t="shared" ref="CJ32:CJ34" ca="1" si="137">IF(CJ4="","",OFFSET(CI23,0,-COUNTBLANK(CC23:CI23),1,1)+CONFIDENCE(0.05,STDEV(BW23:CI23),COUNT(BW23:CI23)))</f>
        <v/>
      </c>
      <c r="CK32" s="17" t="str">
        <f t="shared" ref="CK32:CK34" ca="1" si="138">IF(CK4="","",OFFSET(CJ23,0,-COUNTBLANK(CD23:CJ23),1,1)+CONFIDENCE(0.05,STDEV(BX23:CJ23),COUNT(BX23:CJ23)))</f>
        <v/>
      </c>
      <c r="CL32" s="17" t="str">
        <f t="shared" ref="CL32:CL34" ca="1" si="139">IF(CL4="","",OFFSET(CK23,0,-COUNTBLANK(CE23:CK23),1,1)+CONFIDENCE(0.05,STDEV(BY23:CK23),COUNT(BY23:CK23)))</f>
        <v/>
      </c>
      <c r="CM32" s="17" t="str">
        <f t="shared" ref="CM32:CM34" ca="1" si="140">IF(CM4="","",OFFSET(CL23,0,-COUNTBLANK(CF23:CL23),1,1)+CONFIDENCE(0.05,STDEV(BZ23:CL23),COUNT(BZ23:CL23)))</f>
        <v/>
      </c>
      <c r="CN32" s="17" t="str">
        <f t="shared" ref="CN32:CN34" ca="1" si="141">IF(CN4="","",OFFSET(CM23,0,-COUNTBLANK(CG23:CM23),1,1)+CONFIDENCE(0.05,STDEV(CA23:CM23),COUNT(CA23:CM23)))</f>
        <v/>
      </c>
      <c r="CO32" s="17" t="str">
        <f t="shared" ref="CO32:CO34" ca="1" si="142">IF(CO4="","",OFFSET(CN23,0,-COUNTBLANK(CH23:CN23),1,1)+CONFIDENCE(0.05,STDEV(CB23:CN23),COUNT(CB23:CN23)))</f>
        <v/>
      </c>
      <c r="CP32" s="17" t="str">
        <f t="shared" ref="CP32:CP34" ca="1" si="143">IF(CP4="","",OFFSET(CO23,0,-COUNTBLANK(CI23:CO23),1,1)+CONFIDENCE(0.05,STDEV(CC23:CO23),COUNT(CC23:CO23)))</f>
        <v/>
      </c>
      <c r="CQ32" s="17" t="str">
        <f t="shared" ref="CQ32:CQ34" ca="1" si="144">IF(CQ4="","",OFFSET(CP23,0,-COUNTBLANK(CJ23:CP23),1,1)+CONFIDENCE(0.05,STDEV(CD23:CP23),COUNT(CD23:CP23)))</f>
        <v/>
      </c>
      <c r="CR32" s="17" t="str">
        <f t="shared" ref="CR32:CR34" ca="1" si="145">IF(CR4="","",OFFSET(CQ23,0,-COUNTBLANK(CK23:CQ23),1,1)+CONFIDENCE(0.05,STDEV(CE23:CQ23),COUNT(CE23:CQ23)))</f>
        <v/>
      </c>
      <c r="CS32" s="17" t="str">
        <f t="shared" ref="CS32:CS34" ca="1" si="146">IF(CS4="","",OFFSET(CR23,0,-COUNTBLANK(CL23:CR23),1,1)+CONFIDENCE(0.05,STDEV(CF23:CR23),COUNT(CF23:CR23)))</f>
        <v/>
      </c>
      <c r="CT32" s="17" t="str">
        <f t="shared" ref="CT32:CT34" ca="1" si="147">IF(CT4="","",OFFSET(CS23,0,-COUNTBLANK(CM23:CS23),1,1)+CONFIDENCE(0.05,STDEV(CG23:CS23),COUNT(CG23:CS23)))</f>
        <v/>
      </c>
      <c r="CU32" s="17" t="str">
        <f t="shared" ref="CU32:CU34" ca="1" si="148">IF(CU4="","",OFFSET(CT23,0,-COUNTBLANK(CN23:CT23),1,1)+CONFIDENCE(0.05,STDEV(CH23:CT23),COUNT(CH23:CT23)))</f>
        <v/>
      </c>
      <c r="CV32" s="17" t="str">
        <f t="shared" ref="CV32:CV34" ca="1" si="149">IF(CV4="","",OFFSET(CU23,0,-COUNTBLANK(CO23:CU23),1,1)+CONFIDENCE(0.05,STDEV(CI23:CU23),COUNT(CI23:CU23)))</f>
        <v/>
      </c>
      <c r="CW32" s="17" t="str">
        <f t="shared" ref="CW32:CW34" ca="1" si="150">IF(CW4="","",OFFSET(CV23,0,-COUNTBLANK(CP23:CV23),1,1)+CONFIDENCE(0.05,STDEV(CJ23:CV23),COUNT(CJ23:CV23)))</f>
        <v/>
      </c>
      <c r="CX32" s="17" t="str">
        <f t="shared" ref="CX32:CX34" ca="1" si="151">IF(CX4="","",OFFSET(CW23,0,-COUNTBLANK(CQ23:CW23),1,1)+CONFIDENCE(0.05,STDEV(CK23:CW23),COUNT(CK23:CW23)))</f>
        <v/>
      </c>
      <c r="CY32" s="17" t="str">
        <f t="shared" ref="CY32:CY34" ca="1" si="152">IF(CY4="","",OFFSET(CX23,0,-COUNTBLANK(CR23:CX23),1,1)+CONFIDENCE(0.05,STDEV(CL23:CX23),COUNT(CL23:CX23)))</f>
        <v/>
      </c>
      <c r="CZ32" s="17" t="str">
        <f t="shared" ref="CZ32:CZ34" ca="1" si="153">IF(CZ4="","",OFFSET(CY23,0,-COUNTBLANK(CS23:CY23),1,1)+CONFIDENCE(0.05,STDEV(CM23:CY23),COUNT(CM23:CY23)))</f>
        <v/>
      </c>
      <c r="DA32" s="17" t="str">
        <f t="shared" ref="DA32:DA34" ca="1" si="154">IF(DA4="","",OFFSET(CZ23,0,-COUNTBLANK(CT23:CZ23),1,1)+CONFIDENCE(0.05,STDEV(CN23:CZ23),COUNT(CN23:CZ23)))</f>
        <v/>
      </c>
      <c r="DB32" s="17" t="str">
        <f t="shared" ref="DB32:DB34" ca="1" si="155">IF(DB4="","",OFFSET(DA23,0,-COUNTBLANK(CU23:DA23),1,1)+CONFIDENCE(0.05,STDEV(CO23:DA23),COUNT(CO23:DA23)))</f>
        <v/>
      </c>
      <c r="DC32" s="17" t="str">
        <f t="shared" ref="DC32:DC34" ca="1" si="156">IF(DC4="","",OFFSET(DB23,0,-COUNTBLANK(CV23:DB23),1,1)+CONFIDENCE(0.05,STDEV(CP23:DB23),COUNT(CP23:DB23)))</f>
        <v/>
      </c>
      <c r="DD32" s="17" t="str">
        <f t="shared" ref="DD32:DD34" ca="1" si="157">IF(DD4="","",OFFSET(DC23,0,-COUNTBLANK(CW23:DC23),1,1)+CONFIDENCE(0.05,STDEV(CQ23:DC23),COUNT(CQ23:DC23)))</f>
        <v/>
      </c>
      <c r="DE32" s="17" t="str">
        <f t="shared" ref="DE32:DE34" ca="1" si="158">IF(DE4="","",OFFSET(DD23,0,-COUNTBLANK(CX23:DD23),1,1)+CONFIDENCE(0.05,STDEV(CR23:DD23),COUNT(CR23:DD23)))</f>
        <v/>
      </c>
      <c r="DF32" s="17" t="str">
        <f t="shared" ref="DF32:DF34" ca="1" si="159">IF(DF4="","",OFFSET(DE23,0,-COUNTBLANK(CY23:DE23),1,1)+CONFIDENCE(0.05,STDEV(CS23:DE23),COUNT(CS23:DE23)))</f>
        <v/>
      </c>
      <c r="DG32" s="17" t="str">
        <f t="shared" ref="DG32:DG34" ca="1" si="160">IF(DG4="","",OFFSET(DF23,0,-COUNTBLANK(CZ23:DF23),1,1)+CONFIDENCE(0.05,STDEV(CT23:DF23),COUNT(CT23:DF23)))</f>
        <v/>
      </c>
      <c r="DH32" s="17" t="str">
        <f t="shared" ref="DH32:DH34" ca="1" si="161">IF(DH4="","",OFFSET(DG23,0,-COUNTBLANK(DA23:DG23),1,1)+CONFIDENCE(0.05,STDEV(CU23:DG23),COUNT(CU23:DG23)))</f>
        <v/>
      </c>
      <c r="DI32" s="17" t="str">
        <f t="shared" ref="DI32:DI34" ca="1" si="162">IF(DI4="","",OFFSET(DH23,0,-COUNTBLANK(DB23:DH23),1,1)+CONFIDENCE(0.05,STDEV(CV23:DH23),COUNT(CV23:DH23)))</f>
        <v/>
      </c>
      <c r="DJ32" s="17" t="str">
        <f t="shared" ref="DJ32:DJ34" ca="1" si="163">IF(DJ4="","",OFFSET(DI23,0,-COUNTBLANK(DC23:DI23),1,1)+CONFIDENCE(0.05,STDEV(CW23:DI23),COUNT(CW23:DI23)))</f>
        <v/>
      </c>
      <c r="DK32" s="17" t="str">
        <f t="shared" ref="DK32:DK34" ca="1" si="164">IF(DK4="","",OFFSET(DJ23,0,-COUNTBLANK(DD23:DJ23),1,1)+CONFIDENCE(0.05,STDEV(CX23:DJ23),COUNT(CX23:DJ23)))</f>
        <v/>
      </c>
      <c r="DL32" s="17" t="str">
        <f t="shared" ref="DL32:DL34" ca="1" si="165">IF(DL4="","",OFFSET(DK23,0,-COUNTBLANK(DE23:DK23),1,1)+CONFIDENCE(0.05,STDEV(CY23:DK23),COUNT(CY23:DK23)))</f>
        <v/>
      </c>
      <c r="DM32" s="17" t="str">
        <f t="shared" ref="DM32:DM34" ca="1" si="166">IF(DM4="","",OFFSET(DL23,0,-COUNTBLANK(DF23:DL23),1,1)+CONFIDENCE(0.05,STDEV(CZ23:DL23),COUNT(CZ23:DL23)))</f>
        <v/>
      </c>
      <c r="DN32" s="17" t="str">
        <f t="shared" ref="DN32:DN34" ca="1" si="167">IF(DN4="","",OFFSET(DM23,0,-COUNTBLANK(DG23:DM23),1,1)+CONFIDENCE(0.05,STDEV(DA23:DM23),COUNT(DA23:DM23)))</f>
        <v/>
      </c>
      <c r="DO32" s="17" t="str">
        <f t="shared" ref="DO32:DO34" ca="1" si="168">IF(DO4="","",OFFSET(DN23,0,-COUNTBLANK(DH23:DN23),1,1)+CONFIDENCE(0.05,STDEV(DB23:DN23),COUNT(DB23:DN23)))</f>
        <v/>
      </c>
      <c r="DP32" s="17" t="str">
        <f t="shared" ref="DP32:DP34" ca="1" si="169">IF(DP4="","",OFFSET(DO23,0,-COUNTBLANK(DI23:DO23),1,1)+CONFIDENCE(0.05,STDEV(DC23:DO23),COUNT(DC23:DO23)))</f>
        <v/>
      </c>
      <c r="DQ32" s="17" t="str">
        <f t="shared" ref="DQ32:DQ34" ca="1" si="170">IF(DQ4="","",OFFSET(DP23,0,-COUNTBLANK(DJ23:DP23),1,1)+CONFIDENCE(0.05,STDEV(DD23:DP23),COUNT(DD23:DP23)))</f>
        <v/>
      </c>
      <c r="DR32" s="17" t="str">
        <f t="shared" ref="DR32:DR34" ca="1" si="171">IF(DR4="","",OFFSET(DQ23,0,-COUNTBLANK(DK23:DQ23),1,1)+CONFIDENCE(0.05,STDEV(DE23:DQ23),COUNT(DE23:DQ23)))</f>
        <v/>
      </c>
    </row>
    <row r="33" spans="1:122" x14ac:dyDescent="0.25">
      <c r="A33" s="4">
        <v>3</v>
      </c>
      <c r="O33" s="17">
        <f t="shared" ref="O33:AJ33" ca="1" si="172">IF(O5="","",AVERAGE(L24:N24)+CONFIDENCE(0.05,STDEV(B24:N24),COUNT(B24:N24)))</f>
        <v>2.9250833608742432E-2</v>
      </c>
      <c r="P33" s="17">
        <f t="shared" ca="1" si="172"/>
        <v>2.5719834602827261E-2</v>
      </c>
      <c r="Q33" s="17">
        <f t="shared" ca="1" si="172"/>
        <v>2.4108786333242503E-2</v>
      </c>
      <c r="R33" s="17">
        <f t="shared" ca="1" si="172"/>
        <v>3.3163235768233087E-2</v>
      </c>
      <c r="S33" s="17">
        <f t="shared" ca="1" si="172"/>
        <v>4.9452961530416409E-2</v>
      </c>
      <c r="T33" s="17">
        <f t="shared" ca="1" si="172"/>
        <v>7.244726803980403E-2</v>
      </c>
      <c r="U33" s="17">
        <f t="shared" ca="1" si="172"/>
        <v>9.7231859094823098E-2</v>
      </c>
      <c r="V33" s="17">
        <f t="shared" ca="1" si="172"/>
        <v>0.10993446048244992</v>
      </c>
      <c r="W33" s="17">
        <f t="shared" ca="1" si="172"/>
        <v>9.032035007574804E-2</v>
      </c>
      <c r="X33" s="17">
        <f t="shared" ca="1" si="172"/>
        <v>6.3756802760220693E-2</v>
      </c>
      <c r="Y33" s="17">
        <f t="shared" ca="1" si="172"/>
        <v>4.2972597198480046E-2</v>
      </c>
      <c r="Z33" s="17">
        <f t="shared" ca="1" si="172"/>
        <v>3.8663648362667336E-2</v>
      </c>
      <c r="AA33" s="17">
        <f t="shared" ca="1" si="172"/>
        <v>3.3696293805139388E-2</v>
      </c>
      <c r="AB33" s="17">
        <f t="shared" ca="1" si="172"/>
        <v>2.542172707101847E-2</v>
      </c>
      <c r="AC33" s="17">
        <f t="shared" ca="1" si="172"/>
        <v>2.732037199627841E-2</v>
      </c>
      <c r="AD33" s="17">
        <f t="shared" ca="1" si="172"/>
        <v>2.6599911584697124E-2</v>
      </c>
      <c r="AE33" s="17">
        <f t="shared" ca="1" si="172"/>
        <v>2.6424173323514603E-2</v>
      </c>
      <c r="AF33" s="17">
        <f t="shared" ca="1" si="172"/>
        <v>3.0701719513873682E-2</v>
      </c>
      <c r="AG33" s="17">
        <f t="shared" ca="1" si="172"/>
        <v>4.4987887916571413E-2</v>
      </c>
      <c r="AH33" s="17">
        <f t="shared" ca="1" si="172"/>
        <v>6.8234868851303476E-2</v>
      </c>
      <c r="AI33" s="17">
        <f t="shared" ca="1" si="172"/>
        <v>7.7451442112327948E-2</v>
      </c>
      <c r="AJ33" s="17">
        <f t="shared" ca="1" si="172"/>
        <v>7.0433917738682586E-2</v>
      </c>
      <c r="AK33" s="17">
        <f ca="1">IF(AK5="","",AVERAGE(AH24:AJ24)+CONFIDENCE(0.05,STDEV(X24:AJ24),COUNT(X24:AJ24)))</f>
        <v>4.7903452188638736E-2</v>
      </c>
      <c r="AL33" s="17">
        <f t="shared" ref="AL33:AL34" ca="1" si="173">IF(AL5="","",OFFSET(AK24,0,-COUNTBLANK(AE24:AK24),1,1)+CONFIDENCE(0.05,STDEV(Y24:AK24),COUNT(Y24:AK24)))</f>
        <v>4.3893879725108872E-2</v>
      </c>
      <c r="AM33" s="17">
        <f t="shared" ca="1" si="122"/>
        <v>5.4438700583764245E-2</v>
      </c>
      <c r="AN33" s="17">
        <f t="shared" ca="1" si="122"/>
        <v>5.2343337208323321E-2</v>
      </c>
      <c r="AO33" s="17">
        <f t="shared" ca="1" si="122"/>
        <v>1.7718423672304678E-2</v>
      </c>
      <c r="AP33" s="17">
        <f t="shared" ca="1" si="122"/>
        <v>2.5847582503870224E-2</v>
      </c>
      <c r="AQ33" s="17">
        <f t="shared" ca="1" si="122"/>
        <v>1.728815681990092E-2</v>
      </c>
      <c r="AR33" s="17">
        <f t="shared" ca="1" si="122"/>
        <v>1.5030537731166388E-2</v>
      </c>
      <c r="AS33" s="17">
        <f t="shared" ca="1" si="122"/>
        <v>2.1079189140467081E-2</v>
      </c>
      <c r="AT33" s="17">
        <f t="shared" ca="1" si="122"/>
        <v>4.1126721026095409E-2</v>
      </c>
      <c r="AU33" s="17">
        <f t="shared" ca="1" si="122"/>
        <v>5.6819092511811539E-2</v>
      </c>
      <c r="AV33" s="17">
        <f t="shared" ca="1" si="122"/>
        <v>4.5700689407802295E-2</v>
      </c>
      <c r="AW33" s="17">
        <f t="shared" ca="1" si="122"/>
        <v>2.9121044831953498E-2</v>
      </c>
      <c r="AX33" s="17">
        <f t="shared" ca="1" si="122"/>
        <v>1.3257276148395596E-2</v>
      </c>
      <c r="AY33" s="17">
        <f t="shared" ca="1" si="122"/>
        <v>1.9356323707117117E-2</v>
      </c>
      <c r="AZ33" s="17">
        <f t="shared" ca="1" si="122"/>
        <v>3.3687818119541781E-2</v>
      </c>
      <c r="BA33" s="17">
        <f t="shared" ca="1" si="122"/>
        <v>3.3205612855184245E-2</v>
      </c>
      <c r="BB33" s="17">
        <f t="shared" ca="1" si="122"/>
        <v>2.5665940026888254E-2</v>
      </c>
      <c r="BC33" s="17">
        <f t="shared" ca="1" si="122"/>
        <v>1.1948902393398273E-2</v>
      </c>
      <c r="BD33" s="17">
        <f t="shared" ca="1" si="122"/>
        <v>1.138630246469129E-2</v>
      </c>
      <c r="BE33" s="17">
        <f t="shared" ca="1" si="122"/>
        <v>1.7993368816975028E-2</v>
      </c>
      <c r="BF33" s="17">
        <f t="shared" ca="1" si="122"/>
        <v>1.0603920174328711E-2</v>
      </c>
      <c r="BG33" s="17">
        <f t="shared" ca="1" si="122"/>
        <v>1.2942359162962028E-2</v>
      </c>
      <c r="BH33" s="17">
        <f t="shared" ca="1" si="122"/>
        <v>4.7628558190280605E-2</v>
      </c>
      <c r="BI33" s="17">
        <f t="shared" ca="1" si="122"/>
        <v>3.9336166237153122E-2</v>
      </c>
      <c r="BJ33" s="17">
        <f t="shared" ca="1" si="122"/>
        <v>7.141460202852625E-3</v>
      </c>
      <c r="BK33" s="17">
        <f t="shared" ca="1" si="122"/>
        <v>4.5805825872799383E-2</v>
      </c>
      <c r="BL33" s="17">
        <f t="shared" ca="1" si="122"/>
        <v>6.3333888419178322E-2</v>
      </c>
      <c r="BM33" s="17">
        <f t="shared" ca="1" si="122"/>
        <v>4.2499292785440429E-2</v>
      </c>
      <c r="BN33" s="17">
        <f t="shared" ca="1" si="122"/>
        <v>6.7377618559523858E-2</v>
      </c>
      <c r="BO33" s="17">
        <f t="shared" ca="1" si="122"/>
        <v>4.9201561959492698E-2</v>
      </c>
      <c r="BP33" s="17">
        <f t="shared" ca="1" si="122"/>
        <v>2.3672859993381982E-2</v>
      </c>
      <c r="BQ33" s="17">
        <f t="shared" ca="1" si="122"/>
        <v>2.3988152067651397E-2</v>
      </c>
      <c r="BR33" s="17">
        <f t="shared" ca="1" si="122"/>
        <v>2.4634866406995554E-2</v>
      </c>
      <c r="BS33" s="17" t="str">
        <f t="shared" ca="1" si="122"/>
        <v/>
      </c>
      <c r="BT33" s="17" t="str">
        <f t="shared" ca="1" si="122"/>
        <v/>
      </c>
      <c r="BU33" s="17" t="str">
        <f t="shared" ca="1" si="122"/>
        <v/>
      </c>
      <c r="BV33" s="17" t="str">
        <f t="shared" ca="1" si="123"/>
        <v/>
      </c>
      <c r="BW33" s="17" t="str">
        <f t="shared" ca="1" si="124"/>
        <v/>
      </c>
      <c r="BX33" s="17" t="str">
        <f t="shared" ca="1" si="125"/>
        <v/>
      </c>
      <c r="BY33" s="17" t="str">
        <f t="shared" ca="1" si="126"/>
        <v/>
      </c>
      <c r="BZ33" s="17" t="str">
        <f t="shared" ca="1" si="127"/>
        <v/>
      </c>
      <c r="CA33" s="17" t="str">
        <f t="shared" ca="1" si="128"/>
        <v/>
      </c>
      <c r="CB33" s="17" t="str">
        <f t="shared" ca="1" si="129"/>
        <v/>
      </c>
      <c r="CC33" s="17" t="str">
        <f t="shared" ca="1" si="130"/>
        <v/>
      </c>
      <c r="CD33" s="17" t="str">
        <f t="shared" ca="1" si="131"/>
        <v/>
      </c>
      <c r="CE33" s="17" t="str">
        <f t="shared" ca="1" si="132"/>
        <v/>
      </c>
      <c r="CF33" s="17" t="str">
        <f t="shared" ca="1" si="133"/>
        <v/>
      </c>
      <c r="CG33" s="17" t="str">
        <f t="shared" ca="1" si="134"/>
        <v/>
      </c>
      <c r="CH33" s="17" t="str">
        <f t="shared" ca="1" si="135"/>
        <v/>
      </c>
      <c r="CI33" s="17" t="str">
        <f t="shared" ca="1" si="136"/>
        <v/>
      </c>
      <c r="CJ33" s="17" t="str">
        <f t="shared" ca="1" si="137"/>
        <v/>
      </c>
      <c r="CK33" s="17" t="str">
        <f t="shared" ca="1" si="138"/>
        <v/>
      </c>
      <c r="CL33" s="17" t="str">
        <f t="shared" ca="1" si="139"/>
        <v/>
      </c>
      <c r="CM33" s="17" t="str">
        <f t="shared" ca="1" si="140"/>
        <v/>
      </c>
      <c r="CN33" s="17" t="str">
        <f t="shared" ca="1" si="141"/>
        <v/>
      </c>
      <c r="CO33" s="17" t="str">
        <f t="shared" ca="1" si="142"/>
        <v/>
      </c>
      <c r="CP33" s="17" t="str">
        <f t="shared" ca="1" si="143"/>
        <v/>
      </c>
      <c r="CQ33" s="17" t="str">
        <f t="shared" ca="1" si="144"/>
        <v/>
      </c>
      <c r="CR33" s="17" t="str">
        <f t="shared" ca="1" si="145"/>
        <v/>
      </c>
      <c r="CS33" s="17" t="str">
        <f t="shared" ca="1" si="146"/>
        <v/>
      </c>
      <c r="CT33" s="17" t="str">
        <f t="shared" ca="1" si="147"/>
        <v/>
      </c>
      <c r="CU33" s="17" t="str">
        <f t="shared" ca="1" si="148"/>
        <v/>
      </c>
      <c r="CV33" s="17" t="str">
        <f t="shared" ca="1" si="149"/>
        <v/>
      </c>
      <c r="CW33" s="17" t="str">
        <f t="shared" ca="1" si="150"/>
        <v/>
      </c>
      <c r="CX33" s="17" t="str">
        <f t="shared" ca="1" si="151"/>
        <v/>
      </c>
      <c r="CY33" s="17" t="str">
        <f t="shared" ca="1" si="152"/>
        <v/>
      </c>
      <c r="CZ33" s="17" t="str">
        <f t="shared" ca="1" si="153"/>
        <v/>
      </c>
      <c r="DA33" s="17" t="str">
        <f t="shared" ca="1" si="154"/>
        <v/>
      </c>
      <c r="DB33" s="17" t="str">
        <f t="shared" ca="1" si="155"/>
        <v/>
      </c>
      <c r="DC33" s="17" t="str">
        <f t="shared" ca="1" si="156"/>
        <v/>
      </c>
      <c r="DD33" s="17" t="str">
        <f t="shared" ca="1" si="157"/>
        <v/>
      </c>
      <c r="DE33" s="17" t="str">
        <f t="shared" ca="1" si="158"/>
        <v/>
      </c>
      <c r="DF33" s="17" t="str">
        <f t="shared" ca="1" si="159"/>
        <v/>
      </c>
      <c r="DG33" s="17" t="str">
        <f t="shared" ca="1" si="160"/>
        <v/>
      </c>
      <c r="DH33" s="17" t="str">
        <f t="shared" ca="1" si="161"/>
        <v/>
      </c>
      <c r="DI33" s="17" t="str">
        <f t="shared" ca="1" si="162"/>
        <v/>
      </c>
      <c r="DJ33" s="17" t="str">
        <f t="shared" ca="1" si="163"/>
        <v/>
      </c>
      <c r="DK33" s="17" t="str">
        <f t="shared" ca="1" si="164"/>
        <v/>
      </c>
      <c r="DL33" s="17" t="str">
        <f t="shared" ca="1" si="165"/>
        <v/>
      </c>
      <c r="DM33" s="17" t="str">
        <f t="shared" ca="1" si="166"/>
        <v/>
      </c>
      <c r="DN33" s="17" t="str">
        <f t="shared" ca="1" si="167"/>
        <v/>
      </c>
      <c r="DO33" s="17" t="str">
        <f t="shared" ca="1" si="168"/>
        <v/>
      </c>
      <c r="DP33" s="17" t="str">
        <f t="shared" ca="1" si="169"/>
        <v/>
      </c>
      <c r="DQ33" s="17" t="str">
        <f t="shared" ca="1" si="170"/>
        <v/>
      </c>
      <c r="DR33" s="17" t="str">
        <f t="shared" ca="1" si="171"/>
        <v/>
      </c>
    </row>
    <row r="34" spans="1:122" x14ac:dyDescent="0.25">
      <c r="A34" s="4">
        <v>4</v>
      </c>
      <c r="O34" s="17">
        <f t="shared" ref="O34:AJ34" ca="1" si="174">IF(O6="","",AVERAGE(K25:N25)+CONFIDENCE(0.05,STDEV(B25:N25),COUNT(B25:N25)))</f>
        <v>2.6924408583743707E-2</v>
      </c>
      <c r="P34" s="17">
        <f t="shared" ca="1" si="174"/>
        <v>2.9411577340903376E-2</v>
      </c>
      <c r="Q34" s="17">
        <f t="shared" ca="1" si="174"/>
        <v>3.2951757090055163E-2</v>
      </c>
      <c r="R34" s="17">
        <f t="shared" ca="1" si="174"/>
        <v>4.6928105349496423E-2</v>
      </c>
      <c r="S34" s="17">
        <f t="shared" ca="1" si="174"/>
        <v>7.5359339897918043E-2</v>
      </c>
      <c r="T34" s="17">
        <f t="shared" ca="1" si="174"/>
        <v>0.10239798461366317</v>
      </c>
      <c r="U34" s="17">
        <f t="shared" ca="1" si="174"/>
        <v>0.13121459201261984</v>
      </c>
      <c r="V34" s="17">
        <f t="shared" ca="1" si="174"/>
        <v>0.13437925426448236</v>
      </c>
      <c r="W34" s="17">
        <f t="shared" ca="1" si="174"/>
        <v>0.11336046452590412</v>
      </c>
      <c r="X34" s="17">
        <f t="shared" ca="1" si="174"/>
        <v>8.7612786551077473E-2</v>
      </c>
      <c r="Y34" s="17">
        <f t="shared" ca="1" si="174"/>
        <v>6.357591627316185E-2</v>
      </c>
      <c r="Z34" s="17">
        <f t="shared" ca="1" si="174"/>
        <v>4.3712835627336154E-2</v>
      </c>
      <c r="AA34" s="17">
        <f t="shared" ca="1" si="174"/>
        <v>4.3596195705749505E-2</v>
      </c>
      <c r="AB34" s="17">
        <f t="shared" ca="1" si="174"/>
        <v>4.2995938825365884E-2</v>
      </c>
      <c r="AC34" s="17">
        <f t="shared" ca="1" si="174"/>
        <v>3.6236623477145097E-2</v>
      </c>
      <c r="AD34" s="17">
        <f t="shared" ca="1" si="174"/>
        <v>3.6037725309804591E-2</v>
      </c>
      <c r="AE34" s="17">
        <f t="shared" ca="1" si="174"/>
        <v>3.6305366417047943E-2</v>
      </c>
      <c r="AF34" s="17">
        <f t="shared" ca="1" si="174"/>
        <v>4.5195242748316766E-2</v>
      </c>
      <c r="AG34" s="17">
        <f t="shared" ca="1" si="174"/>
        <v>6.1209233023374748E-2</v>
      </c>
      <c r="AH34" s="17">
        <f t="shared" ca="1" si="174"/>
        <v>7.7671196576652918E-2</v>
      </c>
      <c r="AI34" s="17">
        <f t="shared" ca="1" si="174"/>
        <v>9.4988809801611965E-2</v>
      </c>
      <c r="AJ34" s="17">
        <f t="shared" ca="1" si="174"/>
        <v>8.6095425271200579E-2</v>
      </c>
      <c r="AK34" s="17">
        <f ca="1">IF(AK6="","",AVERAGE(AG25:AJ25)+CONFIDENCE(0.05,STDEV(X25:AJ25),COUNT(X25:AJ25)))</f>
        <v>7.4592694349145866E-2</v>
      </c>
      <c r="AL34" s="17">
        <f t="shared" ca="1" si="173"/>
        <v>5.2942636427743175E-2</v>
      </c>
      <c r="AM34" s="17">
        <f t="shared" ca="1" si="122"/>
        <v>7.1101773042807265E-2</v>
      </c>
      <c r="AN34" s="17">
        <f t="shared" ca="1" si="122"/>
        <v>5.7518271450289635E-2</v>
      </c>
      <c r="AO34" s="17">
        <f t="shared" ca="1" si="122"/>
        <v>3.0177590996252251E-2</v>
      </c>
      <c r="AP34" s="17">
        <f t="shared" ca="1" si="122"/>
        <v>1.9751000712690963E-2</v>
      </c>
      <c r="AQ34" s="17">
        <f t="shared" ca="1" si="122"/>
        <v>2.0570628405694902E-2</v>
      </c>
      <c r="AR34" s="17">
        <f t="shared" ca="1" si="122"/>
        <v>2.4912476199158082E-2</v>
      </c>
      <c r="AS34" s="17">
        <f t="shared" ca="1" si="122"/>
        <v>2.2151444912129337E-2</v>
      </c>
      <c r="AT34" s="17">
        <f t="shared" ca="1" si="122"/>
        <v>6.8028711516729345E-2</v>
      </c>
      <c r="AU34" s="17">
        <f t="shared" ca="1" si="122"/>
        <v>6.5366901868138635E-2</v>
      </c>
      <c r="AV34" s="17">
        <f t="shared" ca="1" si="122"/>
        <v>4.7087052122418774E-2</v>
      </c>
      <c r="AW34" s="17">
        <f t="shared" ca="1" si="122"/>
        <v>3.9801714814072922E-2</v>
      </c>
      <c r="AX34" s="17">
        <f t="shared" ca="1" si="122"/>
        <v>2.4255052617047398E-2</v>
      </c>
      <c r="AY34" s="17">
        <f t="shared" ca="1" si="122"/>
        <v>2.4745269214412821E-2</v>
      </c>
      <c r="AZ34" s="17">
        <f t="shared" ca="1" si="122"/>
        <v>4.5615446110097373E-2</v>
      </c>
      <c r="BA34" s="17">
        <f t="shared" ca="1" si="122"/>
        <v>1.726509121571234E-2</v>
      </c>
      <c r="BB34" s="17">
        <f t="shared" ca="1" si="122"/>
        <v>4.74048824141695E-2</v>
      </c>
      <c r="BC34" s="17">
        <f t="shared" ca="1" si="122"/>
        <v>1.4377446884114414E-2</v>
      </c>
      <c r="BD34" s="17">
        <f t="shared" ca="1" si="122"/>
        <v>3.4744319062466951E-2</v>
      </c>
      <c r="BE34" s="17">
        <f t="shared" ca="1" si="122"/>
        <v>3.3663104659304735E-2</v>
      </c>
      <c r="BF34" s="17">
        <f t="shared" ca="1" si="122"/>
        <v>2.0073647290527553E-2</v>
      </c>
      <c r="BG34" s="17">
        <f t="shared" ca="1" si="122"/>
        <v>1.767726121626001E-2</v>
      </c>
      <c r="BH34" s="17">
        <f t="shared" ca="1" si="122"/>
        <v>6.2171661530172007E-2</v>
      </c>
      <c r="BI34" s="17">
        <f t="shared" ca="1" si="122"/>
        <v>2.0866955846488254E-2</v>
      </c>
      <c r="BJ34" s="17">
        <f t="shared" ca="1" si="122"/>
        <v>2.2715189115648276E-2</v>
      </c>
      <c r="BK34" s="17">
        <f t="shared" ca="1" si="122"/>
        <v>5.121025728734984E-2</v>
      </c>
      <c r="BL34" s="17">
        <f t="shared" ca="1" si="122"/>
        <v>8.8481806451657763E-2</v>
      </c>
      <c r="BM34" s="17">
        <f t="shared" ca="1" si="122"/>
        <v>9.3523988189091953E-2</v>
      </c>
      <c r="BN34" s="17">
        <f t="shared" ca="1" si="122"/>
        <v>4.8035530533713525E-2</v>
      </c>
      <c r="BO34" s="17">
        <f t="shared" ca="1" si="122"/>
        <v>2.3362119210974516E-2</v>
      </c>
      <c r="BP34" s="17">
        <f t="shared" ca="1" si="122"/>
        <v>2.3825987730009299E-2</v>
      </c>
      <c r="BQ34" s="17">
        <f t="shared" ca="1" si="122"/>
        <v>2.5121865598708746E-2</v>
      </c>
      <c r="BR34" s="17">
        <f t="shared" ca="1" si="122"/>
        <v>2.6658671183219091E-2</v>
      </c>
      <c r="BS34" s="17" t="str">
        <f t="shared" ca="1" si="122"/>
        <v/>
      </c>
      <c r="BT34" s="17" t="str">
        <f t="shared" ca="1" si="122"/>
        <v/>
      </c>
      <c r="BU34" s="17" t="str">
        <f t="shared" ca="1" si="122"/>
        <v/>
      </c>
      <c r="BV34" s="17" t="str">
        <f t="shared" ca="1" si="123"/>
        <v/>
      </c>
      <c r="BW34" s="17" t="str">
        <f t="shared" ca="1" si="124"/>
        <v/>
      </c>
      <c r="BX34" s="17" t="str">
        <f t="shared" ca="1" si="125"/>
        <v/>
      </c>
      <c r="BY34" s="17" t="str">
        <f t="shared" ca="1" si="126"/>
        <v/>
      </c>
      <c r="BZ34" s="17" t="str">
        <f t="shared" ca="1" si="127"/>
        <v/>
      </c>
      <c r="CA34" s="17" t="str">
        <f t="shared" ca="1" si="128"/>
        <v/>
      </c>
      <c r="CB34" s="17" t="str">
        <f t="shared" ca="1" si="129"/>
        <v/>
      </c>
      <c r="CC34" s="17" t="str">
        <f t="shared" ca="1" si="130"/>
        <v/>
      </c>
      <c r="CD34" s="17" t="str">
        <f t="shared" ca="1" si="131"/>
        <v/>
      </c>
      <c r="CE34" s="17" t="str">
        <f t="shared" ca="1" si="132"/>
        <v/>
      </c>
      <c r="CF34" s="17" t="str">
        <f t="shared" ca="1" si="133"/>
        <v/>
      </c>
      <c r="CG34" s="17" t="str">
        <f t="shared" ca="1" si="134"/>
        <v/>
      </c>
      <c r="CH34" s="17" t="str">
        <f t="shared" ca="1" si="135"/>
        <v/>
      </c>
      <c r="CI34" s="17" t="str">
        <f t="shared" ca="1" si="136"/>
        <v/>
      </c>
      <c r="CJ34" s="17" t="str">
        <f t="shared" ca="1" si="137"/>
        <v/>
      </c>
      <c r="CK34" s="17" t="str">
        <f t="shared" ca="1" si="138"/>
        <v/>
      </c>
      <c r="CL34" s="17" t="str">
        <f t="shared" ca="1" si="139"/>
        <v/>
      </c>
      <c r="CM34" s="17" t="str">
        <f t="shared" ca="1" si="140"/>
        <v/>
      </c>
      <c r="CN34" s="17" t="str">
        <f t="shared" ca="1" si="141"/>
        <v/>
      </c>
      <c r="CO34" s="17" t="str">
        <f t="shared" ca="1" si="142"/>
        <v/>
      </c>
      <c r="CP34" s="17" t="str">
        <f t="shared" ca="1" si="143"/>
        <v/>
      </c>
      <c r="CQ34" s="17" t="str">
        <f t="shared" ca="1" si="144"/>
        <v/>
      </c>
      <c r="CR34" s="17" t="str">
        <f t="shared" ca="1" si="145"/>
        <v/>
      </c>
      <c r="CS34" s="17" t="str">
        <f t="shared" ca="1" si="146"/>
        <v/>
      </c>
      <c r="CT34" s="17" t="str">
        <f t="shared" ca="1" si="147"/>
        <v/>
      </c>
      <c r="CU34" s="17" t="str">
        <f t="shared" ca="1" si="148"/>
        <v/>
      </c>
      <c r="CV34" s="17" t="str">
        <f t="shared" ca="1" si="149"/>
        <v/>
      </c>
      <c r="CW34" s="17" t="str">
        <f t="shared" ca="1" si="150"/>
        <v/>
      </c>
      <c r="CX34" s="17" t="str">
        <f t="shared" ca="1" si="151"/>
        <v/>
      </c>
      <c r="CY34" s="17" t="str">
        <f t="shared" ca="1" si="152"/>
        <v/>
      </c>
      <c r="CZ34" s="17" t="str">
        <f t="shared" ca="1" si="153"/>
        <v/>
      </c>
      <c r="DA34" s="17" t="str">
        <f t="shared" ca="1" si="154"/>
        <v/>
      </c>
      <c r="DB34" s="17" t="str">
        <f t="shared" ca="1" si="155"/>
        <v/>
      </c>
      <c r="DC34" s="17" t="str">
        <f t="shared" ca="1" si="156"/>
        <v/>
      </c>
      <c r="DD34" s="17" t="str">
        <f t="shared" ca="1" si="157"/>
        <v/>
      </c>
      <c r="DE34" s="17" t="str">
        <f t="shared" ca="1" si="158"/>
        <v/>
      </c>
      <c r="DF34" s="17" t="str">
        <f t="shared" ca="1" si="159"/>
        <v/>
      </c>
      <c r="DG34" s="17" t="str">
        <f t="shared" ca="1" si="160"/>
        <v/>
      </c>
      <c r="DH34" s="17" t="str">
        <f t="shared" ca="1" si="161"/>
        <v/>
      </c>
      <c r="DI34" s="17" t="str">
        <f t="shared" ca="1" si="162"/>
        <v/>
      </c>
      <c r="DJ34" s="17" t="str">
        <f t="shared" ca="1" si="163"/>
        <v/>
      </c>
      <c r="DK34" s="17" t="str">
        <f t="shared" ca="1" si="164"/>
        <v/>
      </c>
      <c r="DL34" s="17" t="str">
        <f t="shared" ca="1" si="165"/>
        <v/>
      </c>
      <c r="DM34" s="17" t="str">
        <f t="shared" ca="1" si="166"/>
        <v/>
      </c>
      <c r="DN34" s="17" t="str">
        <f t="shared" ca="1" si="167"/>
        <v/>
      </c>
      <c r="DO34" s="17" t="str">
        <f t="shared" ca="1" si="168"/>
        <v/>
      </c>
      <c r="DP34" s="17" t="str">
        <f t="shared" ca="1" si="169"/>
        <v/>
      </c>
      <c r="DQ34" s="17" t="str">
        <f t="shared" ca="1" si="170"/>
        <v/>
      </c>
      <c r="DR34" s="17" t="str">
        <f t="shared" ca="1" si="171"/>
        <v/>
      </c>
    </row>
    <row r="35" spans="1:122" x14ac:dyDescent="0.25">
      <c r="A35" s="4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</row>
    <row r="36" spans="1:122" x14ac:dyDescent="0.25">
      <c r="A36" s="4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</row>
    <row r="37" spans="1:122" x14ac:dyDescent="0.25">
      <c r="A37" s="4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</row>
    <row r="38" spans="1:122" x14ac:dyDescent="0.25">
      <c r="A38" s="4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</row>
  </sheetData>
  <conditionalFormatting sqref="B13:DR20">
    <cfRule type="expression" dxfId="3" priority="3">
      <formula>B13&gt;$DX13</formula>
    </cfRule>
    <cfRule type="expression" dxfId="2" priority="4">
      <formula>B13&lt;-$DX13</formula>
    </cfRule>
  </conditionalFormatting>
  <conditionalFormatting sqref="B22:DR29">
    <cfRule type="expression" dxfId="1" priority="2">
      <formula>B22&gt;$DX22</formula>
    </cfRule>
  </conditionalFormatting>
  <conditionalFormatting sqref="B13:DR20 B22:DR29">
    <cfRule type="cellIs" dxfId="0" priority="1" operator="equal">
      <formula>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73"/>
  <sheetViews>
    <sheetView workbookViewId="0">
      <selection activeCell="B2" sqref="B2:B227"/>
    </sheetView>
  </sheetViews>
  <sheetFormatPr baseColWidth="10" defaultRowHeight="15" x14ac:dyDescent="0.25"/>
  <cols>
    <col min="1" max="1" width="10.7109375" bestFit="1" customWidth="1"/>
    <col min="2" max="2" width="17" bestFit="1" customWidth="1"/>
  </cols>
  <sheetData>
    <row r="1" spans="1:5" x14ac:dyDescent="0.25">
      <c r="A1" t="s">
        <v>0</v>
      </c>
      <c r="B1" s="1" t="s">
        <v>7</v>
      </c>
      <c r="D1" t="s">
        <v>8</v>
      </c>
      <c r="E1" t="s">
        <v>9</v>
      </c>
    </row>
    <row r="2" spans="1:5" x14ac:dyDescent="0.25">
      <c r="A2" s="2">
        <v>28033</v>
      </c>
      <c r="B2" s="1">
        <f>IF([1]Rseries!I7="","",[1]Rseries!I7)</f>
        <v>553600</v>
      </c>
      <c r="D2">
        <f>COUNT(Mediana!3:3)-Amplitud</f>
        <v>38</v>
      </c>
      <c r="E2">
        <v>32</v>
      </c>
    </row>
    <row r="3" spans="1:5" x14ac:dyDescent="0.25">
      <c r="A3" s="2">
        <v>28125</v>
      </c>
      <c r="B3" s="1">
        <f>IF([1]Rseries!I8="","",[1]Rseries!I8)</f>
        <v>549800</v>
      </c>
    </row>
    <row r="4" spans="1:5" x14ac:dyDescent="0.25">
      <c r="A4" s="2">
        <v>28215</v>
      </c>
      <c r="B4" s="1">
        <f>IF([1]Rseries!I9="","",[1]Rseries!I9)</f>
        <v>539800</v>
      </c>
    </row>
    <row r="5" spans="1:5" x14ac:dyDescent="0.25">
      <c r="A5" s="2">
        <v>28306</v>
      </c>
      <c r="B5" s="1">
        <f>IF([1]Rseries!I10="","",[1]Rseries!I10)</f>
        <v>542100</v>
      </c>
    </row>
    <row r="6" spans="1:5" x14ac:dyDescent="0.25">
      <c r="A6" s="2">
        <v>28398</v>
      </c>
      <c r="B6" s="1">
        <f>IF([1]Rseries!I11="","",[1]Rseries!I11)</f>
        <v>550300</v>
      </c>
    </row>
    <row r="7" spans="1:5" x14ac:dyDescent="0.25">
      <c r="A7" s="2">
        <v>28490</v>
      </c>
      <c r="B7" s="1">
        <f>IF([1]Rseries!I12="","",[1]Rseries!I12)</f>
        <v>545800</v>
      </c>
    </row>
    <row r="8" spans="1:5" x14ac:dyDescent="0.25">
      <c r="A8" s="2">
        <v>28580</v>
      </c>
      <c r="B8" s="1">
        <f>IF([1]Rseries!I13="","",[1]Rseries!I13)</f>
        <v>533700</v>
      </c>
    </row>
    <row r="9" spans="1:5" x14ac:dyDescent="0.25">
      <c r="A9" s="2">
        <v>28671</v>
      </c>
      <c r="B9" s="1">
        <f>IF([1]Rseries!I14="","",[1]Rseries!I14)</f>
        <v>534400</v>
      </c>
    </row>
    <row r="10" spans="1:5" x14ac:dyDescent="0.25">
      <c r="A10" s="2">
        <v>28763</v>
      </c>
      <c r="B10" s="1">
        <f>IF([1]Rseries!I15="","",[1]Rseries!I15)</f>
        <v>539400</v>
      </c>
    </row>
    <row r="11" spans="1:5" x14ac:dyDescent="0.25">
      <c r="A11" s="2">
        <v>28855</v>
      </c>
      <c r="B11" s="1">
        <f>IF([1]Rseries!I16="","",[1]Rseries!I16)</f>
        <v>532200</v>
      </c>
    </row>
    <row r="12" spans="1:5" x14ac:dyDescent="0.25">
      <c r="A12" s="2">
        <v>28945</v>
      </c>
      <c r="B12" s="1">
        <f>IF([1]Rseries!I17="","",[1]Rseries!I17)</f>
        <v>516200</v>
      </c>
    </row>
    <row r="13" spans="1:5" x14ac:dyDescent="0.25">
      <c r="A13" s="2">
        <v>29036</v>
      </c>
      <c r="B13" s="1">
        <f>IF([1]Rseries!I18="","",[1]Rseries!I18)</f>
        <v>510500</v>
      </c>
    </row>
    <row r="14" spans="1:5" x14ac:dyDescent="0.25">
      <c r="A14" s="2">
        <v>29128</v>
      </c>
      <c r="B14" s="1">
        <f>IF([1]Rseries!I19="","",[1]Rseries!I19)</f>
        <v>507300</v>
      </c>
    </row>
    <row r="15" spans="1:5" x14ac:dyDescent="0.25">
      <c r="A15" s="2">
        <v>29220</v>
      </c>
      <c r="B15" s="1">
        <f>IF([1]Rseries!I20="","",[1]Rseries!I20)</f>
        <v>516800</v>
      </c>
    </row>
    <row r="16" spans="1:5" x14ac:dyDescent="0.25">
      <c r="A16" s="2">
        <v>29311</v>
      </c>
      <c r="B16" s="1">
        <f>IF([1]Rseries!I21="","",[1]Rseries!I21)</f>
        <v>500800</v>
      </c>
    </row>
    <row r="17" spans="1:2" x14ac:dyDescent="0.25">
      <c r="A17" s="2">
        <v>29402</v>
      </c>
      <c r="B17" s="1">
        <f>IF([1]Rseries!I22="","",[1]Rseries!I22)</f>
        <v>492300</v>
      </c>
    </row>
    <row r="18" spans="1:2" x14ac:dyDescent="0.25">
      <c r="A18" s="2">
        <v>29494</v>
      </c>
      <c r="B18" s="1">
        <f>IF([1]Rseries!I23="","",[1]Rseries!I23)</f>
        <v>489100</v>
      </c>
    </row>
    <row r="19" spans="1:2" x14ac:dyDescent="0.25">
      <c r="A19" s="2">
        <v>29586</v>
      </c>
      <c r="B19" s="1">
        <f>IF([1]Rseries!I24="","",[1]Rseries!I24)</f>
        <v>497300</v>
      </c>
    </row>
    <row r="20" spans="1:2" x14ac:dyDescent="0.25">
      <c r="A20" s="2">
        <v>29676</v>
      </c>
      <c r="B20" s="1">
        <f>IF([1]Rseries!I25="","",[1]Rseries!I25)</f>
        <v>473900</v>
      </c>
    </row>
    <row r="21" spans="1:2" x14ac:dyDescent="0.25">
      <c r="A21" s="2">
        <v>29767</v>
      </c>
      <c r="B21" s="1">
        <f>IF([1]Rseries!I26="","",[1]Rseries!I26)</f>
        <v>471100</v>
      </c>
    </row>
    <row r="22" spans="1:2" x14ac:dyDescent="0.25">
      <c r="A22" s="2">
        <v>29859</v>
      </c>
      <c r="B22" s="1">
        <f>IF([1]Rseries!I27="","",[1]Rseries!I27)</f>
        <v>481800</v>
      </c>
    </row>
    <row r="23" spans="1:2" x14ac:dyDescent="0.25">
      <c r="A23" s="2">
        <v>29951</v>
      </c>
      <c r="B23" s="1">
        <f>IF([1]Rseries!I28="","",[1]Rseries!I28)</f>
        <v>489100</v>
      </c>
    </row>
    <row r="24" spans="1:2" x14ac:dyDescent="0.25">
      <c r="A24" s="2">
        <v>30041</v>
      </c>
      <c r="B24" s="1">
        <f>IF([1]Rseries!I29="","",[1]Rseries!I29)</f>
        <v>478200</v>
      </c>
    </row>
    <row r="25" spans="1:2" x14ac:dyDescent="0.25">
      <c r="A25" s="2">
        <v>30132</v>
      </c>
      <c r="B25" s="1">
        <f>IF([1]Rseries!I30="","",[1]Rseries!I30)</f>
        <v>484400</v>
      </c>
    </row>
    <row r="26" spans="1:2" x14ac:dyDescent="0.25">
      <c r="A26" s="2">
        <v>30224</v>
      </c>
      <c r="B26" s="1">
        <f>IF([1]Rseries!I31="","",[1]Rseries!I31)</f>
        <v>493700</v>
      </c>
    </row>
    <row r="27" spans="1:2" x14ac:dyDescent="0.25">
      <c r="A27" s="2">
        <v>30316</v>
      </c>
      <c r="B27" s="1">
        <f>IF([1]Rseries!I32="","",[1]Rseries!I32)</f>
        <v>497600</v>
      </c>
    </row>
    <row r="28" spans="1:2" x14ac:dyDescent="0.25">
      <c r="A28" s="2">
        <v>30406</v>
      </c>
      <c r="B28" s="1">
        <f>IF([1]Rseries!I33="","",[1]Rseries!I33)</f>
        <v>493700</v>
      </c>
    </row>
    <row r="29" spans="1:2" x14ac:dyDescent="0.25">
      <c r="A29" s="2">
        <v>30497</v>
      </c>
      <c r="B29" s="1">
        <f>IF([1]Rseries!I34="","",[1]Rseries!I34)</f>
        <v>484600</v>
      </c>
    </row>
    <row r="30" spans="1:2" x14ac:dyDescent="0.25">
      <c r="A30" s="2">
        <v>30589</v>
      </c>
      <c r="B30" s="1">
        <f>IF([1]Rseries!I35="","",[1]Rseries!I35)</f>
        <v>496800</v>
      </c>
    </row>
    <row r="31" spans="1:2" x14ac:dyDescent="0.25">
      <c r="A31" s="2">
        <v>30681</v>
      </c>
      <c r="B31" s="1">
        <f>IF([1]Rseries!I36="","",[1]Rseries!I36)</f>
        <v>499200</v>
      </c>
    </row>
    <row r="32" spans="1:2" x14ac:dyDescent="0.25">
      <c r="A32" s="2">
        <v>30772</v>
      </c>
      <c r="B32" s="1">
        <f>IF([1]Rseries!I37="","",[1]Rseries!I37)</f>
        <v>478900</v>
      </c>
    </row>
    <row r="33" spans="1:2" x14ac:dyDescent="0.25">
      <c r="A33" s="2">
        <v>30863</v>
      </c>
      <c r="B33" s="1">
        <f>IF([1]Rseries!I38="","",[1]Rseries!I38)</f>
        <v>472900</v>
      </c>
    </row>
    <row r="34" spans="1:2" x14ac:dyDescent="0.25">
      <c r="A34" s="2">
        <v>30955</v>
      </c>
      <c r="B34" s="1">
        <f>IF([1]Rseries!I39="","",[1]Rseries!I39)</f>
        <v>481600</v>
      </c>
    </row>
    <row r="35" spans="1:2" x14ac:dyDescent="0.25">
      <c r="A35" s="2">
        <v>31047</v>
      </c>
      <c r="B35" s="1">
        <f>IF([1]Rseries!I40="","",[1]Rseries!I40)</f>
        <v>490100</v>
      </c>
    </row>
    <row r="36" spans="1:2" x14ac:dyDescent="0.25">
      <c r="A36" s="2">
        <v>31137</v>
      </c>
      <c r="B36" s="1">
        <f>IF([1]Rseries!I41="","",[1]Rseries!I41)</f>
        <v>474600</v>
      </c>
    </row>
    <row r="37" spans="1:2" x14ac:dyDescent="0.25">
      <c r="A37" s="2">
        <v>31228</v>
      </c>
      <c r="B37" s="1">
        <f>IF([1]Rseries!I42="","",[1]Rseries!I42)</f>
        <v>481900</v>
      </c>
    </row>
    <row r="38" spans="1:2" x14ac:dyDescent="0.25">
      <c r="A38" s="2">
        <v>31320</v>
      </c>
      <c r="B38" s="1">
        <f>IF([1]Rseries!I43="","",[1]Rseries!I43)</f>
        <v>490400</v>
      </c>
    </row>
    <row r="39" spans="1:2" x14ac:dyDescent="0.25">
      <c r="A39" s="2">
        <v>31412</v>
      </c>
      <c r="B39" s="1">
        <f>IF([1]Rseries!I44="","",[1]Rseries!I44)</f>
        <v>498200</v>
      </c>
    </row>
    <row r="40" spans="1:2" x14ac:dyDescent="0.25">
      <c r="A40" s="2">
        <v>31502</v>
      </c>
      <c r="B40" s="1">
        <f>IF([1]Rseries!I45="","",[1]Rseries!I45)</f>
        <v>489400</v>
      </c>
    </row>
    <row r="41" spans="1:2" x14ac:dyDescent="0.25">
      <c r="A41" s="2">
        <v>31593</v>
      </c>
      <c r="B41" s="1">
        <f>IF([1]Rseries!I46="","",[1]Rseries!I46)</f>
        <v>494000</v>
      </c>
    </row>
    <row r="42" spans="1:2" x14ac:dyDescent="0.25">
      <c r="A42" s="2">
        <v>31685</v>
      </c>
      <c r="B42" s="1">
        <f>IF([1]Rseries!I47="","",[1]Rseries!I47)</f>
        <v>502300</v>
      </c>
    </row>
    <row r="43" spans="1:2" x14ac:dyDescent="0.25">
      <c r="A43" s="2">
        <v>31777</v>
      </c>
      <c r="B43" s="1">
        <f>IF([1]Rseries!I48="","",[1]Rseries!I48)</f>
        <v>498200</v>
      </c>
    </row>
    <row r="44" spans="1:2" x14ac:dyDescent="0.25">
      <c r="A44" s="2">
        <v>31867</v>
      </c>
      <c r="B44" s="1">
        <f>IF([1]Rseries!I49="","",[1]Rseries!I49)</f>
        <v>483200</v>
      </c>
    </row>
    <row r="45" spans="1:2" x14ac:dyDescent="0.25">
      <c r="A45" s="2">
        <v>31958</v>
      </c>
      <c r="B45" s="1">
        <f>IF([1]Rseries!I50="","",[1]Rseries!I50)</f>
        <v>507100</v>
      </c>
    </row>
    <row r="46" spans="1:2" x14ac:dyDescent="0.25">
      <c r="A46" s="2">
        <v>32050</v>
      </c>
      <c r="B46" s="1">
        <f>IF([1]Rseries!I51="","",[1]Rseries!I51)</f>
        <v>524200</v>
      </c>
    </row>
    <row r="47" spans="1:2" x14ac:dyDescent="0.25">
      <c r="A47" s="2">
        <v>32142</v>
      </c>
      <c r="B47" s="1">
        <f>IF([1]Rseries!I52="","",[1]Rseries!I52)</f>
        <v>529000</v>
      </c>
    </row>
    <row r="48" spans="1:2" x14ac:dyDescent="0.25">
      <c r="A48" s="2">
        <v>32233</v>
      </c>
      <c r="B48" s="1">
        <f>IF([1]Rseries!I53="","",[1]Rseries!I53)</f>
        <v>519900</v>
      </c>
    </row>
    <row r="49" spans="1:2" x14ac:dyDescent="0.25">
      <c r="A49" s="2">
        <v>32324</v>
      </c>
      <c r="B49" s="1">
        <f>IF([1]Rseries!I54="","",[1]Rseries!I54)</f>
        <v>521500</v>
      </c>
    </row>
    <row r="50" spans="1:2" x14ac:dyDescent="0.25">
      <c r="A50" s="2">
        <v>32416</v>
      </c>
      <c r="B50" s="1">
        <f>IF([1]Rseries!I55="","",[1]Rseries!I55)</f>
        <v>543900</v>
      </c>
    </row>
    <row r="51" spans="1:2" x14ac:dyDescent="0.25">
      <c r="A51" s="2">
        <v>32508</v>
      </c>
      <c r="B51" s="1">
        <f>IF([1]Rseries!I56="","",[1]Rseries!I56)</f>
        <v>537100</v>
      </c>
    </row>
    <row r="52" spans="1:2" x14ac:dyDescent="0.25">
      <c r="A52" s="2">
        <v>32598</v>
      </c>
      <c r="B52" s="1">
        <f>IF([1]Rseries!I57="","",[1]Rseries!I57)</f>
        <v>532600</v>
      </c>
    </row>
    <row r="53" spans="1:2" x14ac:dyDescent="0.25">
      <c r="A53" s="2">
        <v>32689</v>
      </c>
      <c r="B53" s="1">
        <f>IF([1]Rseries!I58="","",[1]Rseries!I58)</f>
        <v>533700</v>
      </c>
    </row>
    <row r="54" spans="1:2" x14ac:dyDescent="0.25">
      <c r="A54" s="2">
        <v>32781</v>
      </c>
      <c r="B54" s="1">
        <f>IF([1]Rseries!I59="","",[1]Rseries!I59)</f>
        <v>557600</v>
      </c>
    </row>
    <row r="55" spans="1:2" x14ac:dyDescent="0.25">
      <c r="A55" s="2">
        <v>32873</v>
      </c>
      <c r="B55" s="1">
        <f>IF([1]Rseries!I60="","",[1]Rseries!I60)</f>
        <v>542300</v>
      </c>
    </row>
    <row r="56" spans="1:2" x14ac:dyDescent="0.25">
      <c r="A56" s="2">
        <v>32963</v>
      </c>
      <c r="B56" s="1">
        <f>IF([1]Rseries!I61="","",[1]Rseries!I61)</f>
        <v>540900</v>
      </c>
    </row>
    <row r="57" spans="1:2" x14ac:dyDescent="0.25">
      <c r="A57" s="2">
        <v>33054</v>
      </c>
      <c r="B57" s="1">
        <f>IF([1]Rseries!I62="","",[1]Rseries!I62)</f>
        <v>542000</v>
      </c>
    </row>
    <row r="58" spans="1:2" x14ac:dyDescent="0.25">
      <c r="A58" s="2">
        <v>33146</v>
      </c>
      <c r="B58" s="1">
        <f>IF([1]Rseries!I63="","",[1]Rseries!I63)</f>
        <v>557500</v>
      </c>
    </row>
    <row r="59" spans="1:2" x14ac:dyDescent="0.25">
      <c r="A59" s="2">
        <v>33238</v>
      </c>
      <c r="B59" s="1">
        <f>IF([1]Rseries!I64="","",[1]Rseries!I64)</f>
        <v>555800</v>
      </c>
    </row>
    <row r="60" spans="1:2" x14ac:dyDescent="0.25">
      <c r="A60" s="2">
        <v>33328</v>
      </c>
      <c r="B60" s="1">
        <f>IF([1]Rseries!I65="","",[1]Rseries!I65)</f>
        <v>550200</v>
      </c>
    </row>
    <row r="61" spans="1:2" x14ac:dyDescent="0.25">
      <c r="A61" s="2">
        <v>33419</v>
      </c>
      <c r="B61" s="1">
        <f>IF([1]Rseries!I66="","",[1]Rseries!I66)</f>
        <v>541000</v>
      </c>
    </row>
    <row r="62" spans="1:2" x14ac:dyDescent="0.25">
      <c r="A62" s="2">
        <v>33511</v>
      </c>
      <c r="B62" s="1">
        <f>IF([1]Rseries!I67="","",[1]Rseries!I67)</f>
        <v>561000</v>
      </c>
    </row>
    <row r="63" spans="1:2" x14ac:dyDescent="0.25">
      <c r="A63" s="2">
        <v>33603</v>
      </c>
      <c r="B63" s="1">
        <f>IF([1]Rseries!I68="","",[1]Rseries!I68)</f>
        <v>564000</v>
      </c>
    </row>
    <row r="64" spans="1:2" x14ac:dyDescent="0.25">
      <c r="A64" s="2">
        <v>33694</v>
      </c>
      <c r="B64" s="1">
        <f>IF([1]Rseries!I69="","",[1]Rseries!I69)</f>
        <v>547300</v>
      </c>
    </row>
    <row r="65" spans="1:2" x14ac:dyDescent="0.25">
      <c r="A65" s="2">
        <v>33785</v>
      </c>
      <c r="B65" s="1">
        <f>IF([1]Rseries!I70="","",[1]Rseries!I70)</f>
        <v>544100</v>
      </c>
    </row>
    <row r="66" spans="1:2" x14ac:dyDescent="0.25">
      <c r="A66" s="2">
        <v>33877</v>
      </c>
      <c r="B66" s="1">
        <f>IF([1]Rseries!I71="","",[1]Rseries!I71)</f>
        <v>547200</v>
      </c>
    </row>
    <row r="67" spans="1:2" x14ac:dyDescent="0.25">
      <c r="A67" s="2">
        <v>33969</v>
      </c>
      <c r="B67" s="1">
        <f>IF([1]Rseries!I72="","",[1]Rseries!I72)</f>
        <v>544900</v>
      </c>
    </row>
    <row r="68" spans="1:2" x14ac:dyDescent="0.25">
      <c r="A68" s="2">
        <v>34059</v>
      </c>
      <c r="B68" s="1">
        <f>IF([1]Rseries!I73="","",[1]Rseries!I73)</f>
        <v>525600</v>
      </c>
    </row>
    <row r="69" spans="1:2" x14ac:dyDescent="0.25">
      <c r="A69" s="2">
        <v>34150</v>
      </c>
      <c r="B69" s="1">
        <f>IF([1]Rseries!I74="","",[1]Rseries!I74)</f>
        <v>524000</v>
      </c>
    </row>
    <row r="70" spans="1:2" x14ac:dyDescent="0.25">
      <c r="A70" s="2">
        <v>34242</v>
      </c>
      <c r="B70" s="1">
        <f>IF([1]Rseries!I75="","",[1]Rseries!I75)</f>
        <v>533200</v>
      </c>
    </row>
    <row r="71" spans="1:2" x14ac:dyDescent="0.25">
      <c r="A71" s="2">
        <v>34334</v>
      </c>
      <c r="B71" s="1">
        <f>IF([1]Rseries!I76="","",[1]Rseries!I76)</f>
        <v>520400</v>
      </c>
    </row>
    <row r="72" spans="1:2" x14ac:dyDescent="0.25">
      <c r="A72" s="2">
        <v>34424</v>
      </c>
      <c r="B72" s="1">
        <f>IF([1]Rseries!I77="","",[1]Rseries!I77)</f>
        <v>515400</v>
      </c>
    </row>
    <row r="73" spans="1:2" x14ac:dyDescent="0.25">
      <c r="A73" s="2">
        <v>34515</v>
      </c>
      <c r="B73" s="1">
        <f>IF([1]Rseries!I78="","",[1]Rseries!I78)</f>
        <v>513000</v>
      </c>
    </row>
    <row r="74" spans="1:2" x14ac:dyDescent="0.25">
      <c r="A74" s="2">
        <v>34607</v>
      </c>
      <c r="B74" s="1">
        <f>IF([1]Rseries!I79="","",[1]Rseries!I79)</f>
        <v>526300</v>
      </c>
    </row>
    <row r="75" spans="1:2" x14ac:dyDescent="0.25">
      <c r="A75" s="2">
        <v>34699</v>
      </c>
      <c r="B75" s="1">
        <f>IF([1]Rseries!I80="","",[1]Rseries!I80)</f>
        <v>518800</v>
      </c>
    </row>
    <row r="76" spans="1:2" x14ac:dyDescent="0.25">
      <c r="A76" s="2">
        <v>34789</v>
      </c>
      <c r="B76" s="1">
        <f>IF([1]Rseries!I81="","",[1]Rseries!I81)</f>
        <v>505600</v>
      </c>
    </row>
    <row r="77" spans="1:2" x14ac:dyDescent="0.25">
      <c r="A77" s="2">
        <v>34880</v>
      </c>
      <c r="B77" s="1">
        <f>IF([1]Rseries!I82="","",[1]Rseries!I82)</f>
        <v>508900</v>
      </c>
    </row>
    <row r="78" spans="1:2" x14ac:dyDescent="0.25">
      <c r="A78" s="2">
        <v>34972</v>
      </c>
      <c r="B78" s="1">
        <f>IF([1]Rseries!I83="","",[1]Rseries!I83)</f>
        <v>517500</v>
      </c>
    </row>
    <row r="79" spans="1:2" x14ac:dyDescent="0.25">
      <c r="A79" s="2">
        <v>35064</v>
      </c>
      <c r="B79" s="1">
        <f>IF([1]Rseries!I84="","",[1]Rseries!I84)</f>
        <v>509900</v>
      </c>
    </row>
    <row r="80" spans="1:2" x14ac:dyDescent="0.25">
      <c r="A80" s="2">
        <v>35155</v>
      </c>
      <c r="B80" s="1">
        <f>IF([1]Rseries!I85="","",[1]Rseries!I85)</f>
        <v>507000</v>
      </c>
    </row>
    <row r="81" spans="1:2" x14ac:dyDescent="0.25">
      <c r="A81" s="2">
        <v>35246</v>
      </c>
      <c r="B81" s="1">
        <f>IF([1]Rseries!I86="","",[1]Rseries!I86)</f>
        <v>516900</v>
      </c>
    </row>
    <row r="82" spans="1:2" x14ac:dyDescent="0.25">
      <c r="A82" s="2">
        <v>35338</v>
      </c>
      <c r="B82" s="1">
        <f>IF([1]Rseries!I87="","",[1]Rseries!I87)</f>
        <v>539000</v>
      </c>
    </row>
    <row r="83" spans="1:2" x14ac:dyDescent="0.25">
      <c r="A83" s="2">
        <v>35430</v>
      </c>
      <c r="B83" s="1">
        <f>IF([1]Rseries!I88="","",[1]Rseries!I88)</f>
        <v>531000</v>
      </c>
    </row>
    <row r="84" spans="1:2" x14ac:dyDescent="0.25">
      <c r="A84" s="2">
        <v>35520</v>
      </c>
      <c r="B84" s="1">
        <f>IF([1]Rseries!I89="","",[1]Rseries!I89)</f>
        <v>527700</v>
      </c>
    </row>
    <row r="85" spans="1:2" x14ac:dyDescent="0.25">
      <c r="A85" s="2">
        <v>35611</v>
      </c>
      <c r="B85" s="1">
        <f>IF([1]Rseries!I90="","",[1]Rseries!I90)</f>
        <v>534300</v>
      </c>
    </row>
    <row r="86" spans="1:2" x14ac:dyDescent="0.25">
      <c r="A86" s="2">
        <v>35703</v>
      </c>
      <c r="B86" s="1">
        <f>IF([1]Rseries!I91="","",[1]Rseries!I91)</f>
        <v>554500</v>
      </c>
    </row>
    <row r="87" spans="1:2" x14ac:dyDescent="0.25">
      <c r="A87" s="2">
        <v>35795</v>
      </c>
      <c r="B87" s="1">
        <f>IF([1]Rseries!I92="","",[1]Rseries!I92)</f>
        <v>551800</v>
      </c>
    </row>
    <row r="88" spans="1:2" x14ac:dyDescent="0.25">
      <c r="A88" s="2">
        <v>35885</v>
      </c>
      <c r="B88" s="1">
        <f>IF([1]Rseries!I93="","",[1]Rseries!I93)</f>
        <v>553100</v>
      </c>
    </row>
    <row r="89" spans="1:2" x14ac:dyDescent="0.25">
      <c r="A89" s="2">
        <v>35976</v>
      </c>
      <c r="B89" s="1">
        <f>IF([1]Rseries!I94="","",[1]Rseries!I94)</f>
        <v>571100</v>
      </c>
    </row>
    <row r="90" spans="1:2" x14ac:dyDescent="0.25">
      <c r="A90" s="2">
        <v>36068</v>
      </c>
      <c r="B90" s="1">
        <f>IF([1]Rseries!I95="","",[1]Rseries!I95)</f>
        <v>582300</v>
      </c>
    </row>
    <row r="91" spans="1:2" x14ac:dyDescent="0.25">
      <c r="A91" s="2">
        <v>36160</v>
      </c>
      <c r="B91" s="1">
        <f>IF([1]Rseries!I96="","",[1]Rseries!I96)</f>
        <v>581700</v>
      </c>
    </row>
    <row r="92" spans="1:2" x14ac:dyDescent="0.25">
      <c r="A92" s="2">
        <v>36250</v>
      </c>
      <c r="B92" s="1">
        <f>IF([1]Rseries!I97="","",[1]Rseries!I97)</f>
        <v>575300</v>
      </c>
    </row>
    <row r="93" spans="1:2" x14ac:dyDescent="0.25">
      <c r="A93" s="2">
        <v>36341</v>
      </c>
      <c r="B93" s="1">
        <f>IF([1]Rseries!I98="","",[1]Rseries!I98)</f>
        <v>592500</v>
      </c>
    </row>
    <row r="94" spans="1:2" x14ac:dyDescent="0.25">
      <c r="A94" s="2">
        <v>36433</v>
      </c>
      <c r="B94" s="1">
        <f>IF([1]Rseries!I99="","",[1]Rseries!I99)</f>
        <v>603500</v>
      </c>
    </row>
    <row r="95" spans="1:2" x14ac:dyDescent="0.25">
      <c r="A95" s="2">
        <v>36525</v>
      </c>
      <c r="B95" s="1">
        <f>IF([1]Rseries!I100="","",[1]Rseries!I100)</f>
        <v>602600</v>
      </c>
    </row>
    <row r="96" spans="1:2" x14ac:dyDescent="0.25">
      <c r="A96" s="2">
        <v>36616</v>
      </c>
      <c r="B96" s="1">
        <f>IF([1]Rseries!I101="","",[1]Rseries!I101)</f>
        <v>613000</v>
      </c>
    </row>
    <row r="97" spans="1:2" x14ac:dyDescent="0.25">
      <c r="A97" s="2">
        <v>36707</v>
      </c>
      <c r="B97" s="1">
        <f>IF([1]Rseries!I102="","",[1]Rseries!I102)</f>
        <v>620700</v>
      </c>
    </row>
    <row r="98" spans="1:2" x14ac:dyDescent="0.25">
      <c r="A98" s="2">
        <v>36799</v>
      </c>
      <c r="B98" s="1">
        <f>IF([1]Rseries!I103="","",[1]Rseries!I103)</f>
        <v>630700</v>
      </c>
    </row>
    <row r="99" spans="1:2" x14ac:dyDescent="0.25">
      <c r="A99" s="2">
        <v>36891</v>
      </c>
      <c r="B99" s="1">
        <f>IF([1]Rseries!I104="","",[1]Rseries!I104)</f>
        <v>626600</v>
      </c>
    </row>
    <row r="100" spans="1:2" x14ac:dyDescent="0.25">
      <c r="A100" s="2">
        <v>36981</v>
      </c>
      <c r="B100" s="1">
        <f>IF([1]Rseries!I105="","",[1]Rseries!I105)</f>
        <v>630600</v>
      </c>
    </row>
    <row r="101" spans="1:2" x14ac:dyDescent="0.25">
      <c r="A101" s="2">
        <v>37072</v>
      </c>
      <c r="B101" s="1">
        <f>IF([1]Rseries!I106="","",[1]Rseries!I106)</f>
        <v>633900</v>
      </c>
    </row>
    <row r="102" spans="1:2" x14ac:dyDescent="0.25">
      <c r="A102" s="2">
        <v>37164</v>
      </c>
      <c r="B102" s="1">
        <f>IF([1]Rseries!I107="","",[1]Rseries!I107)</f>
        <v>648100</v>
      </c>
    </row>
    <row r="103" spans="1:2" x14ac:dyDescent="0.25">
      <c r="A103" s="2">
        <v>37256</v>
      </c>
      <c r="B103" s="1">
        <f>IF([1]Rseries!I108="","",[1]Rseries!I108)</f>
        <v>648900</v>
      </c>
    </row>
    <row r="104" spans="1:2" x14ac:dyDescent="0.25">
      <c r="A104" s="2">
        <v>37346</v>
      </c>
      <c r="B104" s="1">
        <f>IF([1]Rseries!I109="","",[1]Rseries!I109)</f>
        <v>646000</v>
      </c>
    </row>
    <row r="105" spans="1:2" x14ac:dyDescent="0.25">
      <c r="A105" s="2">
        <v>37437</v>
      </c>
      <c r="B105" s="1">
        <f>IF([1]Rseries!I110="","",[1]Rseries!I110)</f>
        <v>660400</v>
      </c>
    </row>
    <row r="106" spans="1:2" x14ac:dyDescent="0.25">
      <c r="A106" s="2">
        <v>37529</v>
      </c>
      <c r="B106" s="1">
        <f>IF([1]Rseries!I111="","",[1]Rseries!I111)</f>
        <v>679400</v>
      </c>
    </row>
    <row r="107" spans="1:2" x14ac:dyDescent="0.25">
      <c r="A107" s="2">
        <v>37621</v>
      </c>
      <c r="B107" s="1">
        <f>IF([1]Rseries!I112="","",[1]Rseries!I112)</f>
        <v>679600</v>
      </c>
    </row>
    <row r="108" spans="1:2" x14ac:dyDescent="0.25">
      <c r="A108" s="2">
        <v>37711</v>
      </c>
      <c r="B108" s="1">
        <f>IF([1]Rseries!I113="","",[1]Rseries!I113)</f>
        <v>674100</v>
      </c>
    </row>
    <row r="109" spans="1:2" x14ac:dyDescent="0.25">
      <c r="A109" s="2">
        <v>37802</v>
      </c>
      <c r="B109" s="1">
        <f>IF([1]Rseries!I114="","",[1]Rseries!I114)</f>
        <v>690300</v>
      </c>
    </row>
    <row r="110" spans="1:2" x14ac:dyDescent="0.25">
      <c r="A110" s="2">
        <v>37894</v>
      </c>
      <c r="B110" s="1">
        <f>IF([1]Rseries!I115="","",[1]Rseries!I115)</f>
        <v>704000</v>
      </c>
    </row>
    <row r="111" spans="1:2" x14ac:dyDescent="0.25">
      <c r="A111" s="2">
        <v>37986</v>
      </c>
      <c r="B111" s="1">
        <f>IF([1]Rseries!I116="","",[1]Rseries!I116)</f>
        <v>705400</v>
      </c>
    </row>
    <row r="112" spans="1:2" x14ac:dyDescent="0.25">
      <c r="A112" s="2">
        <v>38077</v>
      </c>
      <c r="B112" s="1">
        <f>IF([1]Rseries!I117="","",[1]Rseries!I117)</f>
        <v>706600</v>
      </c>
    </row>
    <row r="113" spans="1:2" x14ac:dyDescent="0.25">
      <c r="A113" s="2">
        <v>38168</v>
      </c>
      <c r="B113" s="1">
        <f>IF([1]Rseries!I118="","",[1]Rseries!I118)</f>
        <v>712800</v>
      </c>
    </row>
    <row r="114" spans="1:2" x14ac:dyDescent="0.25">
      <c r="A114" s="2">
        <v>38260</v>
      </c>
      <c r="B114" s="1">
        <f>IF([1]Rseries!I119="","",[1]Rseries!I119)</f>
        <v>734700</v>
      </c>
    </row>
    <row r="115" spans="1:2" x14ac:dyDescent="0.25">
      <c r="A115" s="2">
        <v>38352</v>
      </c>
      <c r="B115" s="1">
        <f>IF([1]Rseries!I120="","",[1]Rseries!I120)</f>
        <v>739600</v>
      </c>
    </row>
    <row r="116" spans="1:2" x14ac:dyDescent="0.25">
      <c r="A116" s="2">
        <v>38442</v>
      </c>
      <c r="B116" s="1">
        <f>IF([1]Rseries!I121="","",[1]Rseries!I121)</f>
        <v>743200</v>
      </c>
    </row>
    <row r="117" spans="1:2" x14ac:dyDescent="0.25">
      <c r="A117" s="2">
        <v>38533</v>
      </c>
      <c r="B117" s="1">
        <f>IF([1]Rseries!I122="","",[1]Rseries!I122)</f>
        <v>770200</v>
      </c>
    </row>
    <row r="118" spans="1:2" x14ac:dyDescent="0.25">
      <c r="A118" s="2">
        <v>38625</v>
      </c>
      <c r="B118" s="1">
        <f>IF([1]Rseries!I123="","",[1]Rseries!I123)</f>
        <v>791100</v>
      </c>
    </row>
    <row r="119" spans="1:2" x14ac:dyDescent="0.25">
      <c r="A119" s="2">
        <v>38717</v>
      </c>
      <c r="B119" s="1">
        <f>IF([1]Rseries!I124="","",[1]Rseries!I124)</f>
        <v>790500</v>
      </c>
    </row>
    <row r="120" spans="1:2" x14ac:dyDescent="0.25">
      <c r="A120" s="2">
        <v>38807</v>
      </c>
      <c r="B120" s="1">
        <f>IF([1]Rseries!I125="","",[1]Rseries!I125)</f>
        <v>789300</v>
      </c>
    </row>
    <row r="121" spans="1:2" x14ac:dyDescent="0.25">
      <c r="A121" s="2">
        <v>38898</v>
      </c>
      <c r="B121" s="1">
        <f>IF([1]Rseries!I126="","",[1]Rseries!I126)</f>
        <v>802300</v>
      </c>
    </row>
    <row r="122" spans="1:2" x14ac:dyDescent="0.25">
      <c r="A122" s="2">
        <v>38990</v>
      </c>
      <c r="B122" s="1">
        <f>IF([1]Rseries!I127="","",[1]Rseries!I127)</f>
        <v>817600</v>
      </c>
    </row>
    <row r="123" spans="1:2" x14ac:dyDescent="0.25">
      <c r="A123" s="2">
        <v>39082</v>
      </c>
      <c r="B123" s="1">
        <f>IF([1]Rseries!I128="","",[1]Rseries!I128)</f>
        <v>831500</v>
      </c>
    </row>
    <row r="124" spans="1:2" x14ac:dyDescent="0.25">
      <c r="A124" s="2">
        <v>39172</v>
      </c>
      <c r="B124" s="1">
        <f>IF([1]Rseries!I129="","",[1]Rseries!I129)</f>
        <v>845500</v>
      </c>
    </row>
    <row r="125" spans="1:2" x14ac:dyDescent="0.25">
      <c r="A125" s="2">
        <v>39263</v>
      </c>
      <c r="B125" s="1">
        <f>IF([1]Rseries!I130="","",[1]Rseries!I130)</f>
        <v>857500</v>
      </c>
    </row>
    <row r="126" spans="1:2" x14ac:dyDescent="0.25">
      <c r="A126" s="2">
        <v>39355</v>
      </c>
      <c r="B126" s="1">
        <f>IF([1]Rseries!I131="","",[1]Rseries!I131)</f>
        <v>882500</v>
      </c>
    </row>
    <row r="127" spans="1:2" x14ac:dyDescent="0.25">
      <c r="A127" s="2">
        <v>39447</v>
      </c>
      <c r="B127" s="1">
        <f>IF([1]Rseries!I132="","",[1]Rseries!I132)</f>
        <v>874600</v>
      </c>
    </row>
    <row r="128" spans="1:2" x14ac:dyDescent="0.25">
      <c r="A128" s="2">
        <v>39538</v>
      </c>
      <c r="B128" s="1">
        <f>IF([1]Rseries!I133="","",[1]Rseries!I133)</f>
        <v>869300</v>
      </c>
    </row>
    <row r="129" spans="1:2" x14ac:dyDescent="0.25">
      <c r="A129" s="2">
        <v>39629</v>
      </c>
      <c r="B129" s="1">
        <f>IF([1]Rseries!I134="","",[1]Rseries!I134)</f>
        <v>873800</v>
      </c>
    </row>
    <row r="130" spans="1:2" x14ac:dyDescent="0.25">
      <c r="A130" s="2">
        <v>39721</v>
      </c>
      <c r="B130" s="1">
        <f>IF([1]Rseries!I135="","",[1]Rseries!I135)</f>
        <v>865300</v>
      </c>
    </row>
    <row r="131" spans="1:2" x14ac:dyDescent="0.25">
      <c r="A131" s="2">
        <v>39813</v>
      </c>
      <c r="B131" s="1">
        <f>IF([1]Rseries!I136="","",[1]Rseries!I136)</f>
        <v>835800</v>
      </c>
    </row>
    <row r="132" spans="1:2" x14ac:dyDescent="0.25">
      <c r="A132" s="2">
        <v>39903</v>
      </c>
      <c r="B132" s="1">
        <f>IF([1]Rseries!I137="","",[1]Rseries!I137)</f>
        <v>810100</v>
      </c>
    </row>
    <row r="133" spans="1:2" x14ac:dyDescent="0.25">
      <c r="A133" s="2">
        <v>39994</v>
      </c>
      <c r="B133" s="1">
        <f>IF([1]Rseries!I138="","",[1]Rseries!I138)</f>
        <v>798800</v>
      </c>
    </row>
    <row r="134" spans="1:2" x14ac:dyDescent="0.25">
      <c r="A134" s="2">
        <v>40086</v>
      </c>
      <c r="B134" s="1">
        <f>IF([1]Rseries!I139="","",[1]Rseries!I139)</f>
        <v>810200</v>
      </c>
    </row>
    <row r="135" spans="1:2" x14ac:dyDescent="0.25">
      <c r="A135" s="2">
        <v>40178</v>
      </c>
      <c r="B135" s="1">
        <f>IF([1]Rseries!I140="","",[1]Rseries!I140)</f>
        <v>804500</v>
      </c>
    </row>
    <row r="136" spans="1:2" x14ac:dyDescent="0.25">
      <c r="A136" s="2">
        <v>40268</v>
      </c>
      <c r="B136" s="1">
        <f>IF([1]Rseries!I141="","",[1]Rseries!I141)</f>
        <v>784200</v>
      </c>
    </row>
    <row r="137" spans="1:2" x14ac:dyDescent="0.25">
      <c r="A137" s="2">
        <v>40359</v>
      </c>
      <c r="B137" s="1">
        <f>IF([1]Rseries!I142="","",[1]Rseries!I142)</f>
        <v>786600</v>
      </c>
    </row>
    <row r="138" spans="1:2" x14ac:dyDescent="0.25">
      <c r="A138" s="2">
        <v>40451</v>
      </c>
      <c r="B138" s="1">
        <f>IF([1]Rseries!I143="","",[1]Rseries!I143)</f>
        <v>797700</v>
      </c>
    </row>
    <row r="139" spans="1:2" x14ac:dyDescent="0.25">
      <c r="A139" s="2">
        <v>40543</v>
      </c>
      <c r="B139" s="1">
        <f>IF([1]Rseries!I144="","",[1]Rseries!I144)</f>
        <v>789300</v>
      </c>
    </row>
    <row r="140" spans="1:2" x14ac:dyDescent="0.25">
      <c r="A140" s="2">
        <v>40633</v>
      </c>
      <c r="B140" s="1">
        <f>IF([1]Rseries!I145="","",[1]Rseries!I145)</f>
        <v>786800</v>
      </c>
    </row>
    <row r="141" spans="1:2" x14ac:dyDescent="0.25">
      <c r="A141" s="2">
        <v>40724</v>
      </c>
      <c r="B141" s="1">
        <f>IF([1]Rseries!I146="","",[1]Rseries!I146)</f>
        <v>787500</v>
      </c>
    </row>
    <row r="142" spans="1:2" x14ac:dyDescent="0.25">
      <c r="A142" s="2">
        <v>40816</v>
      </c>
      <c r="B142" s="1">
        <f>IF([1]Rseries!I147="","",[1]Rseries!I147)</f>
        <v>793500</v>
      </c>
    </row>
    <row r="143" spans="1:2" x14ac:dyDescent="0.25">
      <c r="A143" s="2">
        <v>40908</v>
      </c>
      <c r="B143" s="1">
        <f>IF([1]Rseries!I148="","",[1]Rseries!I148)</f>
        <v>774600</v>
      </c>
    </row>
    <row r="144" spans="1:2" x14ac:dyDescent="0.25">
      <c r="A144" s="2">
        <v>40999</v>
      </c>
      <c r="B144" s="1">
        <f>IF([1]Rseries!I149="","",[1]Rseries!I149)</f>
        <v>744800</v>
      </c>
    </row>
    <row r="145" spans="1:2" x14ac:dyDescent="0.25">
      <c r="A145" s="2">
        <v>41090</v>
      </c>
      <c r="B145" s="1">
        <f>IF([1]Rseries!I150="","",[1]Rseries!I150)</f>
        <v>726200</v>
      </c>
    </row>
    <row r="146" spans="1:2" x14ac:dyDescent="0.25">
      <c r="A146" s="2">
        <v>41182</v>
      </c>
      <c r="B146" s="1">
        <f>IF([1]Rseries!I151="","",[1]Rseries!I151)</f>
        <v>730200</v>
      </c>
    </row>
    <row r="147" spans="1:2" x14ac:dyDescent="0.25">
      <c r="A147" s="2">
        <v>41274</v>
      </c>
      <c r="B147" s="1">
        <f>IF([1]Rseries!I152="","",[1]Rseries!I152)</f>
        <v>710400</v>
      </c>
    </row>
    <row r="148" spans="1:2" x14ac:dyDescent="0.25">
      <c r="A148" s="2">
        <v>41364</v>
      </c>
      <c r="B148" s="1">
        <f>IF([1]Rseries!I153="","",[1]Rseries!I153)</f>
        <v>699600</v>
      </c>
    </row>
    <row r="149" spans="1:2" x14ac:dyDescent="0.25">
      <c r="A149" s="2">
        <v>41455</v>
      </c>
      <c r="B149" s="1">
        <f>IF([1]Rseries!I154="","",[1]Rseries!I154)</f>
        <v>712200</v>
      </c>
    </row>
    <row r="150" spans="1:2" x14ac:dyDescent="0.25">
      <c r="A150" s="2">
        <v>41547</v>
      </c>
      <c r="B150" s="1">
        <f>IF([1]Rseries!I155="","",[1]Rseries!I155)</f>
        <v>721000</v>
      </c>
    </row>
    <row r="151" spans="1:2" x14ac:dyDescent="0.25">
      <c r="A151" s="2">
        <v>41639</v>
      </c>
      <c r="B151" s="1">
        <f>IF([1]Rseries!I156="","",[1]Rseries!I156)</f>
        <v>716400</v>
      </c>
    </row>
    <row r="152" spans="1:2" x14ac:dyDescent="0.25">
      <c r="A152" s="2">
        <v>41729</v>
      </c>
      <c r="B152" s="1">
        <f>IF([1]Rseries!I157="","",[1]Rseries!I157)</f>
        <v>705300</v>
      </c>
    </row>
    <row r="153" spans="1:2" x14ac:dyDescent="0.25">
      <c r="A153" s="2">
        <v>41820</v>
      </c>
      <c r="B153" s="1">
        <f>IF([1]Rseries!I158="","",[1]Rseries!I158)</f>
        <v>716500</v>
      </c>
    </row>
    <row r="154" spans="1:2" x14ac:dyDescent="0.25">
      <c r="A154" s="2">
        <v>41912</v>
      </c>
      <c r="B154" s="1">
        <f>IF([1]Rseries!I159="","",[1]Rseries!I159)</f>
        <v>716400</v>
      </c>
    </row>
    <row r="155" spans="1:2" x14ac:dyDescent="0.25">
      <c r="A155" s="2">
        <v>42004</v>
      </c>
      <c r="B155" s="1">
        <f>IF([1]Rseries!I160="","",[1]Rseries!I160)</f>
        <v>710300</v>
      </c>
    </row>
    <row r="156" spans="1:2" x14ac:dyDescent="0.25">
      <c r="A156" s="2">
        <v>42094</v>
      </c>
      <c r="B156" s="1">
        <f>IF([1]Rseries!I161="","",[1]Rseries!I161)</f>
        <v>707000</v>
      </c>
    </row>
    <row r="157" spans="1:2" x14ac:dyDescent="0.25">
      <c r="A157" s="2">
        <v>42185</v>
      </c>
      <c r="B157" s="1">
        <f>IF([1]Rseries!I162="","",[1]Rseries!I162)</f>
        <v>720800</v>
      </c>
    </row>
    <row r="158" spans="1:2" x14ac:dyDescent="0.25">
      <c r="A158" s="2">
        <v>42277</v>
      </c>
      <c r="B158" s="1">
        <f>IF([1]Rseries!I163="","",[1]Rseries!I163)</f>
        <v>745800</v>
      </c>
    </row>
    <row r="159" spans="1:2" x14ac:dyDescent="0.25">
      <c r="A159" s="2">
        <v>42369</v>
      </c>
      <c r="B159" s="1">
        <f>IF([1]Rseries!I164="","",[1]Rseries!I164)</f>
        <v>741700</v>
      </c>
    </row>
    <row r="160" spans="1:2" x14ac:dyDescent="0.25">
      <c r="A160" s="2">
        <v>42460</v>
      </c>
      <c r="B160" s="1">
        <f>IF([1]Rseries!I165="","",[1]Rseries!I165)</f>
        <v>733200</v>
      </c>
    </row>
    <row r="161" spans="1:2" x14ac:dyDescent="0.25">
      <c r="A161" s="2">
        <v>42551</v>
      </c>
      <c r="B161" s="1">
        <f>IF([1]Rseries!I166="","",[1]Rseries!I166)</f>
        <v>748100</v>
      </c>
    </row>
    <row r="162" spans="1:2" x14ac:dyDescent="0.25">
      <c r="A162" s="2">
        <v>42643</v>
      </c>
      <c r="B162" s="1">
        <f>IF([1]Rseries!I167="","",[1]Rseries!I167)</f>
        <v>756500</v>
      </c>
    </row>
    <row r="163" spans="1:2" x14ac:dyDescent="0.25">
      <c r="A163" s="2">
        <v>42735</v>
      </c>
      <c r="B163" s="1">
        <f>IF([1]Rseries!I168="","",[1]Rseries!I168)</f>
        <v>770100</v>
      </c>
    </row>
    <row r="164" spans="1:2" x14ac:dyDescent="0.25">
      <c r="A164" s="2">
        <v>42825</v>
      </c>
      <c r="B164" s="1">
        <f>IF([1]Rseries!I169="","",[1]Rseries!I169)</f>
        <v>770800</v>
      </c>
    </row>
    <row r="165" spans="1:2" x14ac:dyDescent="0.25">
      <c r="A165" s="2">
        <v>42916</v>
      </c>
      <c r="B165" s="1">
        <f>IF([1]Rseries!I170="","",[1]Rseries!I170)</f>
        <v>766762.46</v>
      </c>
    </row>
    <row r="166" spans="1:2" x14ac:dyDescent="0.25">
      <c r="A166" s="2">
        <v>43008</v>
      </c>
      <c r="B166" s="1">
        <f>IF([1]Rseries!I171="","",[1]Rseries!I171)</f>
        <v>792276.96</v>
      </c>
    </row>
    <row r="167" spans="1:2" x14ac:dyDescent="0.25">
      <c r="A167" s="2">
        <v>43100</v>
      </c>
      <c r="B167" s="1">
        <f>IF([1]Rseries!I172="","",[1]Rseries!I172)</f>
        <v>799110.7</v>
      </c>
    </row>
    <row r="168" spans="1:2" x14ac:dyDescent="0.25">
      <c r="A168" s="2">
        <v>43190</v>
      </c>
      <c r="B168" s="1">
        <f>IF([1]Rseries!I173="","",[1]Rseries!I173)</f>
        <v>777248.42</v>
      </c>
    </row>
    <row r="169" spans="1:2" x14ac:dyDescent="0.25">
      <c r="A169" s="2">
        <v>43281</v>
      </c>
      <c r="B169" s="1">
        <f>IF([1]Rseries!I174="","",[1]Rseries!I174)</f>
        <v>794962.98</v>
      </c>
    </row>
    <row r="170" spans="1:2" x14ac:dyDescent="0.25">
      <c r="A170" s="2">
        <v>43373</v>
      </c>
      <c r="B170" s="1">
        <f>IF([1]Rseries!I175="","",[1]Rseries!I175)</f>
        <v>817620.78</v>
      </c>
    </row>
    <row r="171" spans="1:2" x14ac:dyDescent="0.25">
      <c r="A171" s="2">
        <v>43465</v>
      </c>
      <c r="B171" s="1">
        <f>IF([1]Rseries!I176="","",[1]Rseries!I176)</f>
        <v>830053.67</v>
      </c>
    </row>
    <row r="172" spans="1:2" x14ac:dyDescent="0.25">
      <c r="A172" s="2">
        <v>43555</v>
      </c>
      <c r="B172" s="1">
        <f>IF([1]Rseries!I177="","",[1]Rseries!I177)</f>
        <v>829500</v>
      </c>
    </row>
    <row r="173" spans="1:2" x14ac:dyDescent="0.25">
      <c r="A173" s="2">
        <v>43646</v>
      </c>
      <c r="B173" s="1">
        <f>IF([1]Rseries!I178="","",[1]Rseries!I178)</f>
        <v>820471.31</v>
      </c>
    </row>
    <row r="174" spans="1:2" x14ac:dyDescent="0.25">
      <c r="A174" s="2">
        <v>43738</v>
      </c>
      <c r="B174" s="1">
        <f>IF([1]Rseries!I179="","",[1]Rseries!I179)</f>
        <v>826122.31</v>
      </c>
    </row>
    <row r="175" spans="1:2" x14ac:dyDescent="0.25">
      <c r="A175" s="2">
        <v>43830</v>
      </c>
      <c r="B175" s="1">
        <f>IF([1]Rseries!I180="","",[1]Rseries!I180)</f>
        <v>824201.95</v>
      </c>
    </row>
    <row r="176" spans="1:2" x14ac:dyDescent="0.25">
      <c r="A176" s="2">
        <v>43921</v>
      </c>
      <c r="B176" s="1">
        <f>IF([1]Rseries!I181="","",[1]Rseries!I181)</f>
        <v>800895.95</v>
      </c>
    </row>
    <row r="177" spans="1:2" x14ac:dyDescent="0.25">
      <c r="A177" s="2">
        <v>44012</v>
      </c>
      <c r="B177" s="1">
        <f>IF([1]Rseries!I182="","",[1]Rseries!I182)</f>
        <v>771081.54</v>
      </c>
    </row>
    <row r="178" spans="1:2" x14ac:dyDescent="0.25">
      <c r="A178" s="2">
        <v>44104</v>
      </c>
      <c r="B178" s="1">
        <f>IF([1]Rseries!I183="","",[1]Rseries!I183)</f>
        <v>799616.69</v>
      </c>
    </row>
    <row r="179" spans="1:2" x14ac:dyDescent="0.25">
      <c r="A179" s="2">
        <v>44196</v>
      </c>
      <c r="B179" s="1">
        <f>IF([1]Rseries!I184="","",[1]Rseries!I184)</f>
        <v>821900.94999999984</v>
      </c>
    </row>
    <row r="180" spans="1:2" x14ac:dyDescent="0.25">
      <c r="A180" s="2">
        <v>44286</v>
      </c>
      <c r="B180" s="1" t="str">
        <f>IF([1]Rseries!I185="","",[1]Rseries!I185)</f>
        <v/>
      </c>
    </row>
    <row r="181" spans="1:2" x14ac:dyDescent="0.25">
      <c r="A181" s="2">
        <v>44377</v>
      </c>
      <c r="B181" s="1" t="str">
        <f>IF([1]Rseries!I186="","",[1]Rseries!I186)</f>
        <v/>
      </c>
    </row>
    <row r="182" spans="1:2" x14ac:dyDescent="0.25">
      <c r="A182" s="2">
        <v>44469</v>
      </c>
      <c r="B182" s="1" t="str">
        <f>IF([1]Rseries!I187="","",[1]Rseries!I187)</f>
        <v/>
      </c>
    </row>
    <row r="183" spans="1:2" x14ac:dyDescent="0.25">
      <c r="A183" s="2">
        <v>44561</v>
      </c>
      <c r="B183" s="1" t="str">
        <f>IF([1]Rseries!I188="","",[1]Rseries!I188)</f>
        <v/>
      </c>
    </row>
    <row r="184" spans="1:2" x14ac:dyDescent="0.25">
      <c r="A184" s="2">
        <v>44651</v>
      </c>
      <c r="B184" s="1" t="str">
        <f>IF([1]Rseries!I189="","",[1]Rseries!I189)</f>
        <v/>
      </c>
    </row>
    <row r="185" spans="1:2" x14ac:dyDescent="0.25">
      <c r="A185" s="2">
        <v>44742</v>
      </c>
      <c r="B185" s="1" t="str">
        <f>IF([1]Rseries!I190="","",[1]Rseries!I190)</f>
        <v/>
      </c>
    </row>
    <row r="186" spans="1:2" x14ac:dyDescent="0.25">
      <c r="A186" s="2">
        <v>44834</v>
      </c>
      <c r="B186" s="1" t="str">
        <f>IF([1]Rseries!I191="","",[1]Rseries!I191)</f>
        <v/>
      </c>
    </row>
    <row r="187" spans="1:2" x14ac:dyDescent="0.25">
      <c r="A187" s="2">
        <v>44926</v>
      </c>
      <c r="B187" s="1" t="str">
        <f>IF([1]Rseries!I192="","",[1]Rseries!I192)</f>
        <v/>
      </c>
    </row>
    <row r="188" spans="1:2" x14ac:dyDescent="0.25">
      <c r="A188" s="2">
        <v>45016</v>
      </c>
      <c r="B188" s="1" t="str">
        <f>IF([1]Rseries!I193="","",[1]Rseries!I193)</f>
        <v/>
      </c>
    </row>
    <row r="189" spans="1:2" x14ac:dyDescent="0.25">
      <c r="A189" s="2">
        <v>45107</v>
      </c>
      <c r="B189" s="1" t="str">
        <f>IF([1]Rseries!I194="","",[1]Rseries!I194)</f>
        <v/>
      </c>
    </row>
    <row r="190" spans="1:2" x14ac:dyDescent="0.25">
      <c r="A190" s="2">
        <v>45199</v>
      </c>
      <c r="B190" s="1" t="str">
        <f>IF([1]Rseries!I195="","",[1]Rseries!I195)</f>
        <v/>
      </c>
    </row>
    <row r="191" spans="1:2" x14ac:dyDescent="0.25">
      <c r="A191" s="2">
        <v>45291</v>
      </c>
      <c r="B191" s="1" t="str">
        <f>IF([1]Rseries!I196="","",[1]Rseries!I196)</f>
        <v/>
      </c>
    </row>
    <row r="192" spans="1:2" x14ac:dyDescent="0.25">
      <c r="A192" s="2">
        <v>45382</v>
      </c>
      <c r="B192" s="1" t="str">
        <f>IF([1]Rseries!I197="","",[1]Rseries!I197)</f>
        <v/>
      </c>
    </row>
    <row r="193" spans="1:2" x14ac:dyDescent="0.25">
      <c r="A193" s="2">
        <v>45473</v>
      </c>
      <c r="B193" s="1" t="str">
        <f>IF([1]Rseries!I198="","",[1]Rseries!I198)</f>
        <v/>
      </c>
    </row>
    <row r="194" spans="1:2" x14ac:dyDescent="0.25">
      <c r="A194" s="2">
        <v>45565</v>
      </c>
      <c r="B194" s="1" t="str">
        <f>IF([1]Rseries!I199="","",[1]Rseries!I199)</f>
        <v/>
      </c>
    </row>
    <row r="195" spans="1:2" x14ac:dyDescent="0.25">
      <c r="A195" s="2">
        <v>45657</v>
      </c>
      <c r="B195" s="1" t="str">
        <f>IF([1]Rseries!I200="","",[1]Rseries!I200)</f>
        <v/>
      </c>
    </row>
    <row r="196" spans="1:2" x14ac:dyDescent="0.25">
      <c r="A196" s="2">
        <v>45747</v>
      </c>
      <c r="B196" s="1" t="str">
        <f>IF([1]Rseries!I201="","",[1]Rseries!I201)</f>
        <v/>
      </c>
    </row>
    <row r="197" spans="1:2" x14ac:dyDescent="0.25">
      <c r="A197" s="2">
        <v>45838</v>
      </c>
      <c r="B197" s="1" t="str">
        <f>IF([1]Rseries!I202="","",[1]Rseries!I202)</f>
        <v/>
      </c>
    </row>
    <row r="198" spans="1:2" x14ac:dyDescent="0.25">
      <c r="A198" s="2">
        <v>45930</v>
      </c>
      <c r="B198" s="1" t="str">
        <f>IF([1]Rseries!I203="","",[1]Rseries!I203)</f>
        <v/>
      </c>
    </row>
    <row r="199" spans="1:2" x14ac:dyDescent="0.25">
      <c r="A199" s="2">
        <v>46022</v>
      </c>
      <c r="B199" s="1" t="str">
        <f>IF([1]Rseries!I204="","",[1]Rseries!I204)</f>
        <v/>
      </c>
    </row>
    <row r="200" spans="1:2" x14ac:dyDescent="0.25">
      <c r="A200" s="2">
        <v>46112</v>
      </c>
      <c r="B200" s="1" t="str">
        <f>IF([1]Rseries!I205="","",[1]Rseries!I205)</f>
        <v/>
      </c>
    </row>
    <row r="201" spans="1:2" x14ac:dyDescent="0.25">
      <c r="A201" s="2">
        <v>46203</v>
      </c>
      <c r="B201" s="1" t="str">
        <f>IF([1]Rseries!I206="","",[1]Rseries!I206)</f>
        <v/>
      </c>
    </row>
    <row r="202" spans="1:2" x14ac:dyDescent="0.25">
      <c r="A202" s="2">
        <v>46295</v>
      </c>
      <c r="B202" s="1" t="str">
        <f>IF([1]Rseries!I207="","",[1]Rseries!I207)</f>
        <v/>
      </c>
    </row>
    <row r="203" spans="1:2" x14ac:dyDescent="0.25">
      <c r="A203" s="2">
        <v>46387</v>
      </c>
      <c r="B203" s="1" t="str">
        <f>IF([1]Rseries!I208="","",[1]Rseries!I208)</f>
        <v/>
      </c>
    </row>
    <row r="204" spans="1:2" x14ac:dyDescent="0.25">
      <c r="A204" s="2">
        <v>46477</v>
      </c>
      <c r="B204" s="1" t="str">
        <f>IF([1]Rseries!I209="","",[1]Rseries!I209)</f>
        <v/>
      </c>
    </row>
    <row r="205" spans="1:2" x14ac:dyDescent="0.25">
      <c r="A205" s="2">
        <v>46568</v>
      </c>
      <c r="B205" s="1" t="str">
        <f>IF([1]Rseries!I210="","",[1]Rseries!I210)</f>
        <v/>
      </c>
    </row>
    <row r="206" spans="1:2" x14ac:dyDescent="0.25">
      <c r="A206" s="2">
        <v>46660</v>
      </c>
      <c r="B206" s="1" t="str">
        <f>IF([1]Rseries!I211="","",[1]Rseries!I211)</f>
        <v/>
      </c>
    </row>
    <row r="207" spans="1:2" x14ac:dyDescent="0.25">
      <c r="A207" s="2">
        <v>46752</v>
      </c>
      <c r="B207" s="1" t="str">
        <f>IF([1]Rseries!I212="","",[1]Rseries!I212)</f>
        <v/>
      </c>
    </row>
    <row r="208" spans="1:2" x14ac:dyDescent="0.25">
      <c r="A208" s="2">
        <v>46843</v>
      </c>
      <c r="B208" s="1" t="str">
        <f>IF([1]Rseries!I213="","",[1]Rseries!I213)</f>
        <v/>
      </c>
    </row>
    <row r="209" spans="1:2" x14ac:dyDescent="0.25">
      <c r="A209" s="2">
        <v>46934</v>
      </c>
      <c r="B209" s="1" t="str">
        <f>IF([1]Rseries!I214="","",[1]Rseries!I214)</f>
        <v/>
      </c>
    </row>
    <row r="210" spans="1:2" x14ac:dyDescent="0.25">
      <c r="A210" s="2">
        <v>47026</v>
      </c>
      <c r="B210" s="1" t="str">
        <f>IF([1]Rseries!I215="","",[1]Rseries!I215)</f>
        <v/>
      </c>
    </row>
    <row r="211" spans="1:2" x14ac:dyDescent="0.25">
      <c r="A211" s="2">
        <v>47118</v>
      </c>
      <c r="B211" s="1" t="str">
        <f>IF([1]Rseries!I216="","",[1]Rseries!I216)</f>
        <v/>
      </c>
    </row>
    <row r="212" spans="1:2" x14ac:dyDescent="0.25">
      <c r="A212" s="2">
        <v>47208</v>
      </c>
      <c r="B212" s="1" t="str">
        <f>IF([1]Rseries!I217="","",[1]Rseries!I217)</f>
        <v/>
      </c>
    </row>
    <row r="213" spans="1:2" x14ac:dyDescent="0.25">
      <c r="A213" s="2">
        <v>47299</v>
      </c>
      <c r="B213" s="1" t="str">
        <f>IF([1]Rseries!I218="","",[1]Rseries!I218)</f>
        <v/>
      </c>
    </row>
    <row r="214" spans="1:2" x14ac:dyDescent="0.25">
      <c r="A214" s="2">
        <v>47391</v>
      </c>
      <c r="B214" s="1" t="str">
        <f>IF([1]Rseries!I219="","",[1]Rseries!I219)</f>
        <v/>
      </c>
    </row>
    <row r="215" spans="1:2" x14ac:dyDescent="0.25">
      <c r="A215" s="2">
        <v>47483</v>
      </c>
      <c r="B215" s="1" t="str">
        <f>IF([1]Rseries!I220="","",[1]Rseries!I220)</f>
        <v/>
      </c>
    </row>
    <row r="216" spans="1:2" x14ac:dyDescent="0.25">
      <c r="A216" s="2">
        <v>47573</v>
      </c>
      <c r="B216" s="1" t="str">
        <f>IF([1]Rseries!I221="","",[1]Rseries!I221)</f>
        <v/>
      </c>
    </row>
    <row r="217" spans="1:2" x14ac:dyDescent="0.25">
      <c r="A217" s="2">
        <v>47664</v>
      </c>
      <c r="B217" s="1" t="str">
        <f>IF([1]Rseries!I222="","",[1]Rseries!I222)</f>
        <v/>
      </c>
    </row>
    <row r="218" spans="1:2" x14ac:dyDescent="0.25">
      <c r="A218" s="2">
        <v>47756</v>
      </c>
      <c r="B218" s="1" t="str">
        <f>IF([1]Rseries!I223="","",[1]Rseries!I223)</f>
        <v/>
      </c>
    </row>
    <row r="219" spans="1:2" x14ac:dyDescent="0.25">
      <c r="A219" s="2">
        <v>47848</v>
      </c>
      <c r="B219" s="1" t="str">
        <f>IF([1]Rseries!I224="","",[1]Rseries!I224)</f>
        <v/>
      </c>
    </row>
    <row r="220" spans="1:2" x14ac:dyDescent="0.25">
      <c r="A220" s="2">
        <v>47938</v>
      </c>
      <c r="B220" s="1" t="str">
        <f>IF([1]Rseries!I225="","",[1]Rseries!I225)</f>
        <v/>
      </c>
    </row>
    <row r="221" spans="1:2" x14ac:dyDescent="0.25">
      <c r="A221" s="2">
        <v>48029</v>
      </c>
      <c r="B221" s="1" t="str">
        <f>IF([1]Rseries!I226="","",[1]Rseries!I226)</f>
        <v/>
      </c>
    </row>
    <row r="222" spans="1:2" x14ac:dyDescent="0.25">
      <c r="A222" s="2">
        <v>48121</v>
      </c>
      <c r="B222" s="1" t="str">
        <f>IF([1]Rseries!I227="","",[1]Rseries!I227)</f>
        <v/>
      </c>
    </row>
    <row r="223" spans="1:2" x14ac:dyDescent="0.25">
      <c r="A223" s="2">
        <v>48213</v>
      </c>
      <c r="B223" s="1" t="str">
        <f>IF([1]Rseries!I228="","",[1]Rseries!I228)</f>
        <v/>
      </c>
    </row>
    <row r="224" spans="1:2" x14ac:dyDescent="0.25">
      <c r="A224" s="2">
        <v>48304</v>
      </c>
      <c r="B224" s="1" t="str">
        <f>IF([1]Rseries!I229="","",[1]Rseries!I229)</f>
        <v/>
      </c>
    </row>
    <row r="225" spans="1:2" x14ac:dyDescent="0.25">
      <c r="A225" s="2">
        <v>48395</v>
      </c>
      <c r="B225" s="1" t="str">
        <f>IF([1]Rseries!I230="","",[1]Rseries!I230)</f>
        <v/>
      </c>
    </row>
    <row r="226" spans="1:2" x14ac:dyDescent="0.25">
      <c r="A226" s="2">
        <v>48487</v>
      </c>
      <c r="B226" s="1" t="str">
        <f>IF([1]Rseries!I231="","",[1]Rseries!I231)</f>
        <v/>
      </c>
    </row>
    <row r="227" spans="1:2" x14ac:dyDescent="0.25">
      <c r="A227" s="2">
        <v>48579</v>
      </c>
      <c r="B227" s="1" t="str">
        <f>IF([1]Rseries!I232="","",[1]Rseries!I232)</f>
        <v/>
      </c>
    </row>
    <row r="228" spans="1:2" x14ac:dyDescent="0.25">
      <c r="A228" s="2"/>
      <c r="B228" s="1"/>
    </row>
    <row r="229" spans="1:2" x14ac:dyDescent="0.25">
      <c r="A229" s="2"/>
      <c r="B229" s="1"/>
    </row>
    <row r="230" spans="1:2" x14ac:dyDescent="0.25">
      <c r="A230" s="2"/>
      <c r="B230" s="1"/>
    </row>
    <row r="231" spans="1:2" x14ac:dyDescent="0.25">
      <c r="A231" s="2"/>
      <c r="B231" s="1"/>
    </row>
    <row r="232" spans="1:2" x14ac:dyDescent="0.25">
      <c r="A232" s="2"/>
      <c r="B232" s="1"/>
    </row>
    <row r="233" spans="1:2" x14ac:dyDescent="0.25">
      <c r="A233" s="2"/>
      <c r="B233" s="1"/>
    </row>
    <row r="234" spans="1:2" x14ac:dyDescent="0.25">
      <c r="A234" s="2"/>
      <c r="B234" s="1"/>
    </row>
    <row r="235" spans="1:2" x14ac:dyDescent="0.25">
      <c r="A235" s="2"/>
      <c r="B235" s="1"/>
    </row>
    <row r="236" spans="1:2" x14ac:dyDescent="0.25">
      <c r="A236" s="2"/>
      <c r="B236" s="1"/>
    </row>
    <row r="237" spans="1:2" x14ac:dyDescent="0.25">
      <c r="A237" s="2"/>
      <c r="B237" s="1"/>
    </row>
    <row r="238" spans="1:2" x14ac:dyDescent="0.25">
      <c r="A238" s="2"/>
      <c r="B238" s="1"/>
    </row>
    <row r="239" spans="1:2" x14ac:dyDescent="0.25">
      <c r="A239" s="2"/>
      <c r="B239" s="1"/>
    </row>
    <row r="240" spans="1:2" x14ac:dyDescent="0.25">
      <c r="A240" s="2"/>
      <c r="B240" s="1"/>
    </row>
    <row r="241" spans="1:2" x14ac:dyDescent="0.25">
      <c r="A241" s="2"/>
      <c r="B241" s="1"/>
    </row>
    <row r="242" spans="1:2" x14ac:dyDescent="0.25">
      <c r="A242" s="2"/>
      <c r="B242" s="1"/>
    </row>
    <row r="243" spans="1:2" x14ac:dyDescent="0.25">
      <c r="A243" s="2"/>
      <c r="B243" s="1"/>
    </row>
    <row r="244" spans="1:2" x14ac:dyDescent="0.25">
      <c r="A244" s="2"/>
      <c r="B244" s="1"/>
    </row>
    <row r="245" spans="1:2" x14ac:dyDescent="0.25">
      <c r="A245" s="2"/>
      <c r="B245" s="1"/>
    </row>
    <row r="246" spans="1:2" x14ac:dyDescent="0.25">
      <c r="A246" s="2"/>
      <c r="B246" s="1"/>
    </row>
    <row r="247" spans="1:2" x14ac:dyDescent="0.25">
      <c r="A247" s="2"/>
      <c r="B247" s="1"/>
    </row>
    <row r="248" spans="1:2" x14ac:dyDescent="0.25">
      <c r="A248" s="2"/>
      <c r="B248" s="1"/>
    </row>
    <row r="249" spans="1:2" x14ac:dyDescent="0.25">
      <c r="A249" s="2"/>
      <c r="B249" s="1"/>
    </row>
    <row r="250" spans="1:2" x14ac:dyDescent="0.25">
      <c r="A250" s="2"/>
      <c r="B250" s="1"/>
    </row>
    <row r="251" spans="1:2" x14ac:dyDescent="0.25">
      <c r="A251" s="2"/>
      <c r="B251" s="1"/>
    </row>
    <row r="252" spans="1:2" x14ac:dyDescent="0.25">
      <c r="A252" s="2"/>
      <c r="B252" s="1"/>
    </row>
    <row r="253" spans="1:2" x14ac:dyDescent="0.25">
      <c r="A253" s="2"/>
      <c r="B253" s="1"/>
    </row>
    <row r="254" spans="1:2" x14ac:dyDescent="0.25">
      <c r="A254" s="2"/>
      <c r="B254" s="1"/>
    </row>
    <row r="255" spans="1:2" x14ac:dyDescent="0.25">
      <c r="A255" s="2"/>
      <c r="B255" s="1"/>
    </row>
    <row r="256" spans="1:2" x14ac:dyDescent="0.25">
      <c r="A256" s="2"/>
      <c r="B256" s="1"/>
    </row>
    <row r="257" spans="1:2" x14ac:dyDescent="0.25">
      <c r="A257" s="2"/>
      <c r="B257" s="1"/>
    </row>
    <row r="258" spans="1:2" x14ac:dyDescent="0.25">
      <c r="A258" s="2"/>
      <c r="B258" s="1"/>
    </row>
    <row r="259" spans="1:2" x14ac:dyDescent="0.25">
      <c r="A259" s="2"/>
      <c r="B259" s="1"/>
    </row>
    <row r="260" spans="1:2" x14ac:dyDescent="0.25">
      <c r="A260" s="2"/>
      <c r="B260" s="1"/>
    </row>
    <row r="261" spans="1:2" x14ac:dyDescent="0.25">
      <c r="A261" s="2"/>
      <c r="B261" s="1"/>
    </row>
    <row r="262" spans="1:2" x14ac:dyDescent="0.25">
      <c r="A262" s="2"/>
      <c r="B262" s="1"/>
    </row>
    <row r="263" spans="1:2" x14ac:dyDescent="0.25">
      <c r="A263" s="2"/>
      <c r="B263" s="1"/>
    </row>
    <row r="264" spans="1:2" x14ac:dyDescent="0.25">
      <c r="A264" s="2"/>
      <c r="B264" s="1"/>
    </row>
    <row r="265" spans="1:2" x14ac:dyDescent="0.25">
      <c r="A265" s="2"/>
      <c r="B265" s="1"/>
    </row>
    <row r="266" spans="1:2" x14ac:dyDescent="0.25">
      <c r="A266" s="2"/>
      <c r="B266" s="1"/>
    </row>
    <row r="267" spans="1:2" x14ac:dyDescent="0.25">
      <c r="A267" s="2"/>
      <c r="B267" s="1"/>
    </row>
    <row r="268" spans="1:2" x14ac:dyDescent="0.25">
      <c r="A268" s="2"/>
      <c r="B268" s="1"/>
    </row>
    <row r="269" spans="1:2" x14ac:dyDescent="0.25">
      <c r="A269" s="2"/>
      <c r="B269" s="1"/>
    </row>
    <row r="270" spans="1:2" x14ac:dyDescent="0.25">
      <c r="A270" s="2"/>
      <c r="B270" s="1"/>
    </row>
    <row r="271" spans="1:2" x14ac:dyDescent="0.25">
      <c r="A271" s="2"/>
      <c r="B271" s="1"/>
    </row>
    <row r="272" spans="1:2" x14ac:dyDescent="0.25">
      <c r="A272" s="2"/>
      <c r="B272" s="1"/>
    </row>
    <row r="273" spans="1:2" x14ac:dyDescent="0.25">
      <c r="A273" s="2"/>
      <c r="B27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OcupadosEPACLM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2012-08-28T12:16:58Z</cp:lastPrinted>
  <dcterms:created xsi:type="dcterms:W3CDTF">2012-03-02T12:51:06Z</dcterms:created>
  <dcterms:modified xsi:type="dcterms:W3CDTF">2021-01-28T10:32:14Z</dcterms:modified>
</cp:coreProperties>
</file>