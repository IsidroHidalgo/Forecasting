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jclm.es\PROS\SC\OBSERVATORIOEMPLEO\Análisis\Previsiones\Trimestrales - EPA\Modelos EPA\"/>
    </mc:Choice>
  </mc:AlternateContent>
  <bookViews>
    <workbookView xWindow="120" yWindow="45" windowWidth="18915" windowHeight="11820" tabRatio="452"/>
  </bookViews>
  <sheets>
    <sheet name="Mediana" sheetId="139" r:id="rId1"/>
    <sheet name="ParoEPAESP" sheetId="1" r:id="rId2"/>
  </sheets>
  <externalReferences>
    <externalReference r:id="rId3"/>
  </externalReferences>
  <definedNames>
    <definedName name="Amplitud">ParoEPAESP!$E$2</definedName>
    <definedName name="Inicio">ParoEPAESP!$D$2</definedName>
  </definedNames>
  <calcPr calcId="162913"/>
</workbook>
</file>

<file path=xl/calcChain.xml><?xml version="1.0" encoding="utf-8"?>
<calcChain xmlns="http://schemas.openxmlformats.org/spreadsheetml/2006/main">
  <c r="D2" i="1" l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" i="1"/>
  <c r="BZ11" i="139" l="1"/>
  <c r="BZ14" i="139"/>
  <c r="BZ23" i="139" s="1"/>
  <c r="CC15" i="139"/>
  <c r="CC24" i="139" s="1"/>
  <c r="DE15" i="139"/>
  <c r="DE24" i="139" s="1"/>
  <c r="CR16" i="139"/>
  <c r="CR25" i="139" s="1"/>
  <c r="CZ16" i="139"/>
  <c r="CZ25" i="139" s="1"/>
  <c r="BX11" i="139"/>
  <c r="BX16" i="139" s="1"/>
  <c r="BX25" i="139" s="1"/>
  <c r="BY11" i="139"/>
  <c r="BY13" i="139" s="1"/>
  <c r="BY22" i="139" s="1"/>
  <c r="CA11" i="139"/>
  <c r="CA13" i="139" s="1"/>
  <c r="CA22" i="139" s="1"/>
  <c r="CB11" i="139"/>
  <c r="CB14" i="139" s="1"/>
  <c r="CB23" i="139" s="1"/>
  <c r="CC11" i="139"/>
  <c r="CC13" i="139" s="1"/>
  <c r="CC22" i="139" s="1"/>
  <c r="CF11" i="139"/>
  <c r="CG11" i="139"/>
  <c r="CG13" i="139" s="1"/>
  <c r="CG22" i="139" s="1"/>
  <c r="CJ11" i="139"/>
  <c r="CJ14" i="139" s="1"/>
  <c r="CJ23" i="139" s="1"/>
  <c r="CK11" i="139"/>
  <c r="CK13" i="139" s="1"/>
  <c r="CK22" i="139" s="1"/>
  <c r="CN11" i="139"/>
  <c r="CO11" i="139"/>
  <c r="CO13" i="139" s="1"/>
  <c r="CO22" i="139" s="1"/>
  <c r="CR11" i="139"/>
  <c r="CR14" i="139" s="1"/>
  <c r="CR23" i="139" s="1"/>
  <c r="CS11" i="139"/>
  <c r="CS13" i="139" s="1"/>
  <c r="CS22" i="139" s="1"/>
  <c r="CV11" i="139"/>
  <c r="CV16" i="139" s="1"/>
  <c r="CV25" i="139" s="1"/>
  <c r="CW11" i="139"/>
  <c r="CW13" i="139" s="1"/>
  <c r="CW22" i="139" s="1"/>
  <c r="CZ11" i="139"/>
  <c r="CZ14" i="139" s="1"/>
  <c r="CZ23" i="139" s="1"/>
  <c r="DA11" i="139"/>
  <c r="DA13" i="139" s="1"/>
  <c r="DA22" i="139" s="1"/>
  <c r="DD11" i="139"/>
  <c r="DE11" i="139"/>
  <c r="DE13" i="139" s="1"/>
  <c r="DE22" i="139" s="1"/>
  <c r="DH11" i="139"/>
  <c r="DH14" i="139" s="1"/>
  <c r="DH23" i="139" s="1"/>
  <c r="DI11" i="139"/>
  <c r="DL11" i="139"/>
  <c r="DL16" i="139" s="1"/>
  <c r="DL25" i="139" s="1"/>
  <c r="DM11" i="139"/>
  <c r="DM13" i="139" s="1"/>
  <c r="DM22" i="139" s="1"/>
  <c r="DP11" i="139"/>
  <c r="DP14" i="139" s="1"/>
  <c r="DP23" i="139" s="1"/>
  <c r="DQ11" i="139"/>
  <c r="DR11" i="139"/>
  <c r="DR13" i="139" s="1"/>
  <c r="DR22" i="139" s="1"/>
  <c r="BX13" i="139"/>
  <c r="BX22" i="139" s="1"/>
  <c r="CB13" i="139"/>
  <c r="CB22" i="139" s="1"/>
  <c r="CR13" i="139"/>
  <c r="CR22" i="139" s="1"/>
  <c r="CV13" i="139"/>
  <c r="CV22" i="139" s="1"/>
  <c r="DD13" i="139"/>
  <c r="DD22" i="139" s="1"/>
  <c r="DH13" i="139"/>
  <c r="DH22" i="139" s="1"/>
  <c r="DL13" i="139"/>
  <c r="DL22" i="139" s="1"/>
  <c r="BY14" i="139"/>
  <c r="BY23" i="139" s="1"/>
  <c r="CC14" i="139"/>
  <c r="CC23" i="139" s="1"/>
  <c r="CG14" i="139"/>
  <c r="CG23" i="139" s="1"/>
  <c r="CO14" i="139"/>
  <c r="CO23" i="139" s="1"/>
  <c r="DA14" i="139"/>
  <c r="DA23" i="139" s="1"/>
  <c r="DM14" i="139"/>
  <c r="DM23" i="139" s="1"/>
  <c r="BY15" i="139"/>
  <c r="BY24" i="139" s="1"/>
  <c r="CB15" i="139"/>
  <c r="CB24" i="139" s="1"/>
  <c r="CJ15" i="139"/>
  <c r="CJ24" i="139" s="1"/>
  <c r="CR15" i="139"/>
  <c r="CR24" i="139" s="1"/>
  <c r="CZ15" i="139"/>
  <c r="CZ24" i="139" s="1"/>
  <c r="DA15" i="139"/>
  <c r="DA24" i="139" s="1"/>
  <c r="DH15" i="139"/>
  <c r="DH24" i="139" s="1"/>
  <c r="DI15" i="139"/>
  <c r="DI24" i="139" s="1"/>
  <c r="DP15" i="139"/>
  <c r="DP24" i="139" s="1"/>
  <c r="DR15" i="139"/>
  <c r="DR24" i="139" s="1"/>
  <c r="BY16" i="139"/>
  <c r="BY25" i="139" s="1"/>
  <c r="CC16" i="139"/>
  <c r="CC25" i="139" s="1"/>
  <c r="CG16" i="139"/>
  <c r="CG25" i="139" s="1"/>
  <c r="CN16" i="139"/>
  <c r="CN25" i="139" s="1"/>
  <c r="CO16" i="139"/>
  <c r="CO25" i="139" s="1"/>
  <c r="CS16" i="139"/>
  <c r="CS25" i="139" s="1"/>
  <c r="DA16" i="139"/>
  <c r="DA25" i="139" s="1"/>
  <c r="DD16" i="139"/>
  <c r="DD25" i="139" s="1"/>
  <c r="DM16" i="139"/>
  <c r="DM25" i="139" s="1"/>
  <c r="DR16" i="139"/>
  <c r="DR25" i="139" s="1"/>
  <c r="BV31" i="139"/>
  <c r="BW31" i="139"/>
  <c r="BX31" i="139"/>
  <c r="BY31" i="139"/>
  <c r="BZ31" i="139"/>
  <c r="CA31" i="139"/>
  <c r="CB31" i="139"/>
  <c r="CC31" i="139"/>
  <c r="CD31" i="139"/>
  <c r="CE31" i="139"/>
  <c r="CF31" i="139"/>
  <c r="CG31" i="139"/>
  <c r="CH31" i="139"/>
  <c r="CI31" i="139"/>
  <c r="CJ31" i="139"/>
  <c r="CK31" i="139"/>
  <c r="CL31" i="139"/>
  <c r="CM31" i="139"/>
  <c r="CN31" i="139"/>
  <c r="CO31" i="139"/>
  <c r="CP31" i="139"/>
  <c r="CQ31" i="139"/>
  <c r="CR31" i="139"/>
  <c r="CS31" i="139"/>
  <c r="CT31" i="139"/>
  <c r="CU31" i="139"/>
  <c r="CV31" i="139"/>
  <c r="CW31" i="139"/>
  <c r="CX31" i="139"/>
  <c r="CY31" i="139"/>
  <c r="CZ31" i="139"/>
  <c r="DA31" i="139"/>
  <c r="DB31" i="139"/>
  <c r="DC31" i="139"/>
  <c r="DD31" i="139"/>
  <c r="DE31" i="139"/>
  <c r="DF31" i="139"/>
  <c r="DG31" i="139"/>
  <c r="DH31" i="139"/>
  <c r="DI31" i="139"/>
  <c r="DJ31" i="139"/>
  <c r="DK31" i="139"/>
  <c r="DL31" i="139"/>
  <c r="DM31" i="139"/>
  <c r="DN31" i="139"/>
  <c r="DO31" i="139"/>
  <c r="DP31" i="139"/>
  <c r="DQ31" i="139"/>
  <c r="DR31" i="139"/>
  <c r="BV32" i="139"/>
  <c r="BW32" i="139"/>
  <c r="BX32" i="139"/>
  <c r="BY32" i="139"/>
  <c r="BZ32" i="139"/>
  <c r="CA32" i="139"/>
  <c r="CB32" i="139"/>
  <c r="CC32" i="139"/>
  <c r="CD32" i="139"/>
  <c r="CE32" i="139"/>
  <c r="CF32" i="139"/>
  <c r="CG32" i="139"/>
  <c r="CH32" i="139"/>
  <c r="CI32" i="139"/>
  <c r="CJ32" i="139"/>
  <c r="CK32" i="139"/>
  <c r="CL32" i="139"/>
  <c r="CM32" i="139"/>
  <c r="CN32" i="139"/>
  <c r="CO32" i="139"/>
  <c r="CP32" i="139"/>
  <c r="CQ32" i="139"/>
  <c r="CR32" i="139"/>
  <c r="CS32" i="139"/>
  <c r="CT32" i="139"/>
  <c r="CU32" i="139"/>
  <c r="CV32" i="139"/>
  <c r="CW32" i="139"/>
  <c r="CX32" i="139"/>
  <c r="CY32" i="139"/>
  <c r="CZ32" i="139"/>
  <c r="DA32" i="139"/>
  <c r="DB32" i="139"/>
  <c r="DC32" i="139"/>
  <c r="DD32" i="139"/>
  <c r="DE32" i="139"/>
  <c r="DF32" i="139"/>
  <c r="DG32" i="139"/>
  <c r="DH32" i="139"/>
  <c r="DI32" i="139"/>
  <c r="DJ32" i="139"/>
  <c r="DK32" i="139"/>
  <c r="DL32" i="139"/>
  <c r="DM32" i="139"/>
  <c r="DN32" i="139"/>
  <c r="DO32" i="139"/>
  <c r="DP32" i="139"/>
  <c r="DQ32" i="139"/>
  <c r="DR32" i="139"/>
  <c r="BV33" i="139"/>
  <c r="BW33" i="139"/>
  <c r="BX33" i="139"/>
  <c r="BY33" i="139"/>
  <c r="BZ33" i="139"/>
  <c r="CA33" i="139"/>
  <c r="CB33" i="139"/>
  <c r="CC33" i="139"/>
  <c r="CD33" i="139"/>
  <c r="CE33" i="139"/>
  <c r="CF33" i="139"/>
  <c r="CG33" i="139"/>
  <c r="CH33" i="139"/>
  <c r="CI33" i="139"/>
  <c r="CJ33" i="139"/>
  <c r="CK33" i="139"/>
  <c r="CL33" i="139"/>
  <c r="CM33" i="139"/>
  <c r="CN33" i="139"/>
  <c r="CO33" i="139"/>
  <c r="CP33" i="139"/>
  <c r="CQ33" i="139"/>
  <c r="CR33" i="139"/>
  <c r="CS33" i="139"/>
  <c r="CT33" i="139"/>
  <c r="CU33" i="139"/>
  <c r="CV33" i="139"/>
  <c r="CW33" i="139"/>
  <c r="CX33" i="139"/>
  <c r="CY33" i="139"/>
  <c r="CZ33" i="139"/>
  <c r="DA33" i="139"/>
  <c r="DB33" i="139"/>
  <c r="DC33" i="139"/>
  <c r="DD33" i="139"/>
  <c r="DE33" i="139"/>
  <c r="DF33" i="139"/>
  <c r="DG33" i="139"/>
  <c r="DH33" i="139"/>
  <c r="DI33" i="139"/>
  <c r="DJ33" i="139"/>
  <c r="DK33" i="139"/>
  <c r="DL33" i="139"/>
  <c r="DM33" i="139"/>
  <c r="DN33" i="139"/>
  <c r="DO33" i="139"/>
  <c r="DP33" i="139"/>
  <c r="DQ33" i="139"/>
  <c r="DR33" i="139"/>
  <c r="BV34" i="139"/>
  <c r="BW34" i="139"/>
  <c r="BX34" i="139"/>
  <c r="BY34" i="139"/>
  <c r="BZ34" i="139"/>
  <c r="CA34" i="139"/>
  <c r="CB34" i="139"/>
  <c r="CC34" i="139"/>
  <c r="CD34" i="139"/>
  <c r="CE34" i="139"/>
  <c r="CF34" i="139"/>
  <c r="CG34" i="139"/>
  <c r="CH34" i="139"/>
  <c r="CI34" i="139"/>
  <c r="CJ34" i="139"/>
  <c r="CK34" i="139"/>
  <c r="CL34" i="139"/>
  <c r="CM34" i="139"/>
  <c r="CN34" i="139"/>
  <c r="CO34" i="139"/>
  <c r="CP34" i="139"/>
  <c r="CQ34" i="139"/>
  <c r="CR34" i="139"/>
  <c r="CS34" i="139"/>
  <c r="CT34" i="139"/>
  <c r="CU34" i="139"/>
  <c r="CV34" i="139"/>
  <c r="CW34" i="139"/>
  <c r="CX34" i="139"/>
  <c r="CY34" i="139"/>
  <c r="CZ34" i="139"/>
  <c r="DA34" i="139"/>
  <c r="DB34" i="139"/>
  <c r="DC34" i="139"/>
  <c r="DD34" i="139"/>
  <c r="DE34" i="139"/>
  <c r="DF34" i="139"/>
  <c r="DG34" i="139"/>
  <c r="DH34" i="139"/>
  <c r="DI34" i="139"/>
  <c r="DJ34" i="139"/>
  <c r="DK34" i="139"/>
  <c r="DL34" i="139"/>
  <c r="DM34" i="139"/>
  <c r="DN34" i="139"/>
  <c r="DO34" i="139"/>
  <c r="DP34" i="139"/>
  <c r="DQ34" i="139"/>
  <c r="DR34" i="139"/>
  <c r="CW16" i="139" l="1"/>
  <c r="CW25" i="139" s="1"/>
  <c r="CK14" i="139"/>
  <c r="CK23" i="139" s="1"/>
  <c r="CW15" i="139"/>
  <c r="CW24" i="139" s="1"/>
  <c r="DR14" i="139"/>
  <c r="DR23" i="139" s="1"/>
  <c r="DP16" i="139"/>
  <c r="DP25" i="139" s="1"/>
  <c r="CJ16" i="139"/>
  <c r="CJ25" i="139" s="1"/>
  <c r="CO15" i="139"/>
  <c r="CO24" i="139" s="1"/>
  <c r="DE16" i="139"/>
  <c r="DE25" i="139" s="1"/>
  <c r="CW14" i="139"/>
  <c r="CW23" i="139" s="1"/>
  <c r="CB16" i="139"/>
  <c r="CB25" i="139" s="1"/>
  <c r="CK15" i="139"/>
  <c r="CK24" i="139" s="1"/>
  <c r="CS15" i="139"/>
  <c r="CS24" i="139" s="1"/>
  <c r="CK16" i="139"/>
  <c r="CK25" i="139" s="1"/>
  <c r="CS14" i="139"/>
  <c r="CS23" i="139" s="1"/>
  <c r="DH16" i="139"/>
  <c r="DH25" i="139" s="1"/>
  <c r="DM15" i="139"/>
  <c r="DM24" i="139" s="1"/>
  <c r="CG15" i="139"/>
  <c r="CG24" i="139" s="1"/>
  <c r="CN14" i="139"/>
  <c r="CN23" i="139" s="1"/>
  <c r="CN15" i="139"/>
  <c r="CN24" i="139" s="1"/>
  <c r="CN13" i="139"/>
  <c r="CN22" i="139" s="1"/>
  <c r="CF14" i="139"/>
  <c r="CF23" i="139" s="1"/>
  <c r="CF15" i="139"/>
  <c r="CF24" i="139" s="1"/>
  <c r="CF13" i="139"/>
  <c r="CF22" i="139" s="1"/>
  <c r="CF16" i="139"/>
  <c r="CF25" i="139" s="1"/>
  <c r="DQ15" i="139"/>
  <c r="DQ24" i="139" s="1"/>
  <c r="CX14" i="139"/>
  <c r="CX23" i="139" s="1"/>
  <c r="DN11" i="139"/>
  <c r="DO11" i="139"/>
  <c r="DJ11" i="139"/>
  <c r="DK11" i="139"/>
  <c r="DF11" i="139"/>
  <c r="DB11" i="139"/>
  <c r="DC11" i="139"/>
  <c r="CX11" i="139"/>
  <c r="CT11" i="139"/>
  <c r="CU11" i="139"/>
  <c r="CP11" i="139"/>
  <c r="CQ11" i="139"/>
  <c r="CL11" i="139"/>
  <c r="CM11" i="139"/>
  <c r="CM13" i="139"/>
  <c r="CM22" i="139" s="1"/>
  <c r="CH11" i="139"/>
  <c r="CI11" i="139"/>
  <c r="CI13" i="139" s="1"/>
  <c r="CI22" i="139" s="1"/>
  <c r="CD11" i="139"/>
  <c r="CE13" i="139"/>
  <c r="CE22" i="139" s="1"/>
  <c r="CE11" i="139"/>
  <c r="BZ13" i="139"/>
  <c r="BZ22" i="139" s="1"/>
  <c r="BZ15" i="139"/>
  <c r="BZ24" i="139" s="1"/>
  <c r="BZ16" i="139"/>
  <c r="BZ25" i="139" s="1"/>
  <c r="BV11" i="139"/>
  <c r="BW11" i="139"/>
  <c r="DQ13" i="139"/>
  <c r="DQ22" i="139" s="1"/>
  <c r="DQ16" i="139"/>
  <c r="DQ25" i="139" s="1"/>
  <c r="DQ14" i="139"/>
  <c r="DQ23" i="139" s="1"/>
  <c r="DG11" i="139"/>
  <c r="CA15" i="139"/>
  <c r="CA24" i="139" s="1"/>
  <c r="CA14" i="139"/>
  <c r="CA23" i="139" s="1"/>
  <c r="CA16" i="139"/>
  <c r="CA25" i="139" s="1"/>
  <c r="DL14" i="139"/>
  <c r="DL23" i="139" s="1"/>
  <c r="DL15" i="139"/>
  <c r="DL24" i="139" s="1"/>
  <c r="CY11" i="139"/>
  <c r="DI13" i="139"/>
  <c r="DI22" i="139" s="1"/>
  <c r="DI16" i="139"/>
  <c r="DI25" i="139" s="1"/>
  <c r="DD14" i="139"/>
  <c r="DD23" i="139" s="1"/>
  <c r="DD15" i="139"/>
  <c r="DD24" i="139" s="1"/>
  <c r="BX14" i="139"/>
  <c r="BX23" i="139" s="1"/>
  <c r="BX15" i="139"/>
  <c r="BX24" i="139" s="1"/>
  <c r="DI14" i="139"/>
  <c r="DI23" i="139" s="1"/>
  <c r="CV14" i="139"/>
  <c r="CV23" i="139" s="1"/>
  <c r="CV15" i="139"/>
  <c r="CV24" i="139" s="1"/>
  <c r="DE14" i="139"/>
  <c r="DE23" i="139" s="1"/>
  <c r="DP13" i="139"/>
  <c r="DP22" i="139" s="1"/>
  <c r="CZ13" i="139"/>
  <c r="CZ22" i="139" s="1"/>
  <c r="CJ13" i="139"/>
  <c r="CJ22" i="139" s="1"/>
  <c r="CH14" i="139" l="1"/>
  <c r="CH23" i="139" s="1"/>
  <c r="BW13" i="139"/>
  <c r="BW22" i="139" s="1"/>
  <c r="CY14" i="139"/>
  <c r="CY23" i="139" s="1"/>
  <c r="CY16" i="139"/>
  <c r="CY25" i="139" s="1"/>
  <c r="CY15" i="139"/>
  <c r="CY24" i="139" s="1"/>
  <c r="DG14" i="139"/>
  <c r="DG23" i="139" s="1"/>
  <c r="DG16" i="139"/>
  <c r="DG25" i="139" s="1"/>
  <c r="DG15" i="139"/>
  <c r="DG24" i="139" s="1"/>
  <c r="BV13" i="139"/>
  <c r="BV22" i="139" s="1"/>
  <c r="BV15" i="139"/>
  <c r="BV24" i="139" s="1"/>
  <c r="BV16" i="139"/>
  <c r="BV25" i="139" s="1"/>
  <c r="DK16" i="139"/>
  <c r="DK25" i="139" s="1"/>
  <c r="DK15" i="139"/>
  <c r="DK24" i="139" s="1"/>
  <c r="DK14" i="139"/>
  <c r="DK23" i="139" s="1"/>
  <c r="CD13" i="139"/>
  <c r="CD22" i="139" s="1"/>
  <c r="CD15" i="139"/>
  <c r="CD24" i="139" s="1"/>
  <c r="CD16" i="139"/>
  <c r="CD25" i="139" s="1"/>
  <c r="CM15" i="139"/>
  <c r="CM24" i="139" s="1"/>
  <c r="CM16" i="139"/>
  <c r="CM25" i="139" s="1"/>
  <c r="CM14" i="139"/>
  <c r="CM23" i="139" s="1"/>
  <c r="CP13" i="139"/>
  <c r="CP22" i="139" s="1"/>
  <c r="CP15" i="139"/>
  <c r="CP24" i="139" s="1"/>
  <c r="CP16" i="139"/>
  <c r="CP25" i="139" s="1"/>
  <c r="CY13" i="139"/>
  <c r="CY22" i="139" s="1"/>
  <c r="DB15" i="139"/>
  <c r="DB24" i="139" s="1"/>
  <c r="DB13" i="139"/>
  <c r="DB22" i="139" s="1"/>
  <c r="DB16" i="139"/>
  <c r="DB25" i="139" s="1"/>
  <c r="DK13" i="139"/>
  <c r="DK22" i="139" s="1"/>
  <c r="DN15" i="139"/>
  <c r="DN24" i="139" s="1"/>
  <c r="DN13" i="139"/>
  <c r="DN22" i="139" s="1"/>
  <c r="DN16" i="139"/>
  <c r="DN25" i="139" s="1"/>
  <c r="DN14" i="139"/>
  <c r="DN23" i="139" s="1"/>
  <c r="CL14" i="139"/>
  <c r="CL23" i="139" s="1"/>
  <c r="DB14" i="139"/>
  <c r="DB23" i="139" s="1"/>
  <c r="CT16" i="139"/>
  <c r="CT25" i="139" s="1"/>
  <c r="CT15" i="139"/>
  <c r="CT24" i="139" s="1"/>
  <c r="CT13" i="139"/>
  <c r="CT22" i="139" s="1"/>
  <c r="CI15" i="139"/>
  <c r="CI24" i="139" s="1"/>
  <c r="CI14" i="139"/>
  <c r="CI23" i="139" s="1"/>
  <c r="CI16" i="139"/>
  <c r="CI25" i="139" s="1"/>
  <c r="CL13" i="139"/>
  <c r="CL22" i="139" s="1"/>
  <c r="CL15" i="139"/>
  <c r="CL24" i="139" s="1"/>
  <c r="CL16" i="139"/>
  <c r="CL25" i="139" s="1"/>
  <c r="CU15" i="139"/>
  <c r="CU24" i="139" s="1"/>
  <c r="CU16" i="139"/>
  <c r="CU25" i="139" s="1"/>
  <c r="CU14" i="139"/>
  <c r="CU23" i="139" s="1"/>
  <c r="CX15" i="139"/>
  <c r="CX24" i="139" s="1"/>
  <c r="CX13" i="139"/>
  <c r="CX22" i="139" s="1"/>
  <c r="CX16" i="139"/>
  <c r="CX25" i="139" s="1"/>
  <c r="DG13" i="139"/>
  <c r="DG22" i="139" s="1"/>
  <c r="DJ15" i="139"/>
  <c r="DJ24" i="139" s="1"/>
  <c r="DJ13" i="139"/>
  <c r="DJ22" i="139" s="1"/>
  <c r="DJ16" i="139"/>
  <c r="DJ25" i="139" s="1"/>
  <c r="BV14" i="139"/>
  <c r="BV23" i="139" s="1"/>
  <c r="CP14" i="139"/>
  <c r="CP23" i="139" s="1"/>
  <c r="DJ14" i="139"/>
  <c r="DJ23" i="139" s="1"/>
  <c r="CQ15" i="139"/>
  <c r="CQ24" i="139" s="1"/>
  <c r="CQ14" i="139"/>
  <c r="CQ23" i="139" s="1"/>
  <c r="CQ16" i="139"/>
  <c r="CQ25" i="139" s="1"/>
  <c r="DC16" i="139"/>
  <c r="DC25" i="139" s="1"/>
  <c r="DC15" i="139"/>
  <c r="DC24" i="139" s="1"/>
  <c r="DC14" i="139"/>
  <c r="DC23" i="139" s="1"/>
  <c r="DO14" i="139"/>
  <c r="DO23" i="139" s="1"/>
  <c r="DO16" i="139"/>
  <c r="DO25" i="139" s="1"/>
  <c r="DO15" i="139"/>
  <c r="DO24" i="139" s="1"/>
  <c r="BW15" i="139"/>
  <c r="BW24" i="139" s="1"/>
  <c r="BW16" i="139"/>
  <c r="BW25" i="139" s="1"/>
  <c r="BW14" i="139"/>
  <c r="BW23" i="139" s="1"/>
  <c r="CE15" i="139"/>
  <c r="CE24" i="139" s="1"/>
  <c r="CE16" i="139"/>
  <c r="CE25" i="139" s="1"/>
  <c r="CE14" i="139"/>
  <c r="CE23" i="139" s="1"/>
  <c r="CH15" i="139"/>
  <c r="CH24" i="139" s="1"/>
  <c r="CH13" i="139"/>
  <c r="CH22" i="139" s="1"/>
  <c r="CH16" i="139"/>
  <c r="CH25" i="139" s="1"/>
  <c r="CQ13" i="139"/>
  <c r="CQ22" i="139" s="1"/>
  <c r="CU13" i="139"/>
  <c r="CU22" i="139" s="1"/>
  <c r="DC13" i="139"/>
  <c r="DC22" i="139" s="1"/>
  <c r="DF13" i="139"/>
  <c r="DF22" i="139" s="1"/>
  <c r="DF15" i="139"/>
  <c r="DF24" i="139" s="1"/>
  <c r="DF16" i="139"/>
  <c r="DF25" i="139" s="1"/>
  <c r="DO13" i="139"/>
  <c r="DO22" i="139" s="1"/>
  <c r="CD14" i="139"/>
  <c r="CD23" i="139" s="1"/>
  <c r="CT14" i="139"/>
  <c r="CT23" i="139" s="1"/>
  <c r="DF14" i="139"/>
  <c r="DF23" i="139" s="1"/>
  <c r="BT32" i="139" l="1"/>
  <c r="BT33" i="139"/>
  <c r="BS34" i="139"/>
  <c r="BU34" i="139" l="1"/>
  <c r="BU33" i="139"/>
  <c r="BS33" i="139"/>
  <c r="BU32" i="139"/>
  <c r="BS32" i="139"/>
  <c r="BU31" i="139"/>
  <c r="BU11" i="139"/>
  <c r="BS31" i="139"/>
  <c r="BS11" i="139"/>
  <c r="BS16" i="139" s="1"/>
  <c r="BS25" i="139" s="1"/>
  <c r="BT34" i="139"/>
  <c r="BT31" i="139"/>
  <c r="BT11" i="139"/>
  <c r="BR11" i="139"/>
  <c r="BR14" i="139" s="1"/>
  <c r="BR23" i="139" s="1"/>
  <c r="BQ11" i="139" l="1"/>
  <c r="BP11" i="139"/>
  <c r="BP14" i="139" s="1"/>
  <c r="BP23" i="139" s="1"/>
  <c r="BO11" i="139"/>
  <c r="BO16" i="139" s="1"/>
  <c r="BO25" i="139" s="1"/>
  <c r="BT16" i="139"/>
  <c r="BT25" i="139" s="1"/>
  <c r="BR15" i="139"/>
  <c r="BR24" i="139" s="1"/>
  <c r="BR13" i="139"/>
  <c r="BR22" i="139" s="1"/>
  <c r="BR16" i="139"/>
  <c r="BR25" i="139" s="1"/>
  <c r="BS13" i="139"/>
  <c r="BS22" i="139" s="1"/>
  <c r="BP15" i="139"/>
  <c r="BP24" i="139" s="1"/>
  <c r="BT14" i="139"/>
  <c r="BT23" i="139" s="1"/>
  <c r="BT15" i="139"/>
  <c r="BT24" i="139" s="1"/>
  <c r="BT13" i="139"/>
  <c r="BT22" i="139" s="1"/>
  <c r="BQ13" i="139"/>
  <c r="BQ22" i="139" s="1"/>
  <c r="BU13" i="139"/>
  <c r="BU22" i="139" s="1"/>
  <c r="BQ14" i="139"/>
  <c r="BQ23" i="139" s="1"/>
  <c r="BS14" i="139"/>
  <c r="BS23" i="139" s="1"/>
  <c r="BU14" i="139"/>
  <c r="BU23" i="139" s="1"/>
  <c r="BQ15" i="139"/>
  <c r="BQ24" i="139" s="1"/>
  <c r="BS15" i="139"/>
  <c r="BS24" i="139" s="1"/>
  <c r="BU15" i="139"/>
  <c r="BU24" i="139" s="1"/>
  <c r="BQ16" i="139"/>
  <c r="BQ25" i="139" s="1"/>
  <c r="BU16" i="139"/>
  <c r="BU25" i="139" s="1"/>
  <c r="BO13" i="139" l="1"/>
  <c r="BO22" i="139" s="1"/>
  <c r="BO15" i="139"/>
  <c r="BO24" i="139" s="1"/>
  <c r="BO14" i="139"/>
  <c r="BO23" i="139" s="1"/>
  <c r="BP13" i="139"/>
  <c r="BP22" i="139" s="1"/>
  <c r="BP16" i="139"/>
  <c r="BP25" i="139" s="1"/>
  <c r="BN11" i="139"/>
  <c r="BN14" i="139" l="1"/>
  <c r="BN23" i="139" s="1"/>
  <c r="BM11" i="139"/>
  <c r="BN16" i="139"/>
  <c r="BN25" i="139" s="1"/>
  <c r="BN13" i="139"/>
  <c r="BN22" i="139" s="1"/>
  <c r="BN15" i="139"/>
  <c r="BN24" i="139" s="1"/>
  <c r="BM14" i="139" l="1"/>
  <c r="BM23" i="139" s="1"/>
  <c r="BM13" i="139"/>
  <c r="BM22" i="139" s="1"/>
  <c r="BM15" i="139"/>
  <c r="BM24" i="139" s="1"/>
  <c r="BM16" i="139"/>
  <c r="BM25" i="139" s="1"/>
  <c r="BL11" i="139"/>
  <c r="BL16" i="139" l="1"/>
  <c r="BL25" i="139" s="1"/>
  <c r="BL15" i="139"/>
  <c r="BL24" i="139" s="1"/>
  <c r="BL13" i="139"/>
  <c r="BL22" i="139" s="1"/>
  <c r="BK11" i="139"/>
  <c r="BL14" i="139"/>
  <c r="BL23" i="139" s="1"/>
  <c r="BK15" i="139" l="1"/>
  <c r="BK24" i="139" s="1"/>
  <c r="BK16" i="139"/>
  <c r="BK25" i="139" s="1"/>
  <c r="BJ11" i="139"/>
  <c r="BK13" i="139"/>
  <c r="BK22" i="139" s="1"/>
  <c r="BK14" i="139"/>
  <c r="BK23" i="139" s="1"/>
  <c r="BJ14" i="139" l="1"/>
  <c r="BJ23" i="139" s="1"/>
  <c r="BJ15" i="139"/>
  <c r="BJ24" i="139" s="1"/>
  <c r="BJ16" i="139"/>
  <c r="BJ25" i="139" s="1"/>
  <c r="BJ13" i="139"/>
  <c r="BJ22" i="139" s="1"/>
  <c r="BI11" i="139"/>
  <c r="BH11" i="139" l="1"/>
  <c r="BI16" i="139"/>
  <c r="BI25" i="139" s="1"/>
  <c r="BI14" i="139"/>
  <c r="BI23" i="139" s="1"/>
  <c r="BI15" i="139"/>
  <c r="BI24" i="139" s="1"/>
  <c r="BI13" i="139"/>
  <c r="BI22" i="139" s="1"/>
  <c r="BH13" i="139" l="1"/>
  <c r="BH22" i="139" s="1"/>
  <c r="BH14" i="139"/>
  <c r="BH23" i="139" s="1"/>
  <c r="BH15" i="139"/>
  <c r="BH24" i="139" s="1"/>
  <c r="BG11" i="139"/>
  <c r="BH16" i="139"/>
  <c r="BH25" i="139" s="1"/>
  <c r="BG15" i="139" l="1"/>
  <c r="BG24" i="139" s="1"/>
  <c r="BG13" i="139"/>
  <c r="BG22" i="139" s="1"/>
  <c r="BG16" i="139"/>
  <c r="BG25" i="139" s="1"/>
  <c r="BG14" i="139"/>
  <c r="BG23" i="139" s="1"/>
  <c r="BF11" i="139"/>
  <c r="BF14" i="139" l="1"/>
  <c r="BF23" i="139" s="1"/>
  <c r="BE11" i="139"/>
  <c r="BF13" i="139"/>
  <c r="BF22" i="139" s="1"/>
  <c r="BF15" i="139"/>
  <c r="BF24" i="139" s="1"/>
  <c r="BF16" i="139"/>
  <c r="BF25" i="139" s="1"/>
  <c r="BE14" i="139" l="1"/>
  <c r="BE23" i="139" s="1"/>
  <c r="BR32" i="139" s="1"/>
  <c r="BE13" i="139"/>
  <c r="BE22" i="139" s="1"/>
  <c r="BR31" i="139" s="1"/>
  <c r="BE15" i="139"/>
  <c r="BE24" i="139" s="1"/>
  <c r="BR33" i="139" s="1"/>
  <c r="BD11" i="139"/>
  <c r="BE16" i="139"/>
  <c r="BE25" i="139" s="1"/>
  <c r="BR34" i="139" s="1"/>
  <c r="BD15" i="139" l="1"/>
  <c r="BD24" i="139" s="1"/>
  <c r="BQ33" i="139" s="1"/>
  <c r="BD16" i="139"/>
  <c r="BD25" i="139" s="1"/>
  <c r="BQ34" i="139" s="1"/>
  <c r="BC11" i="139"/>
  <c r="BD14" i="139"/>
  <c r="BD23" i="139" s="1"/>
  <c r="BQ32" i="139" s="1"/>
  <c r="BD13" i="139"/>
  <c r="BD22" i="139" s="1"/>
  <c r="BQ31" i="139" s="1"/>
  <c r="BC14" i="139" l="1"/>
  <c r="BC23" i="139" s="1"/>
  <c r="BP32" i="139" s="1"/>
  <c r="BB11" i="139"/>
  <c r="BC16" i="139"/>
  <c r="BC25" i="139" s="1"/>
  <c r="BP34" i="139" s="1"/>
  <c r="BC15" i="139"/>
  <c r="BC24" i="139" s="1"/>
  <c r="BP33" i="139" s="1"/>
  <c r="BC13" i="139"/>
  <c r="BC22" i="139" s="1"/>
  <c r="BP31" i="139" s="1"/>
  <c r="BB13" i="139" l="1"/>
  <c r="BB22" i="139" s="1"/>
  <c r="BO31" i="139" s="1"/>
  <c r="BB15" i="139"/>
  <c r="BB24" i="139" s="1"/>
  <c r="BO33" i="139" s="1"/>
  <c r="BA11" i="139"/>
  <c r="BB14" i="139"/>
  <c r="BB23" i="139" s="1"/>
  <c r="BO32" i="139" s="1"/>
  <c r="BB16" i="139"/>
  <c r="BB25" i="139" s="1"/>
  <c r="BO34" i="139" s="1"/>
  <c r="BA15" i="139" l="1"/>
  <c r="BA24" i="139" s="1"/>
  <c r="BN33" i="139" s="1"/>
  <c r="AZ11" i="139"/>
  <c r="BA16" i="139"/>
  <c r="BA25" i="139" s="1"/>
  <c r="BN34" i="139" s="1"/>
  <c r="BA13" i="139"/>
  <c r="BA22" i="139" s="1"/>
  <c r="BN31" i="139" s="1"/>
  <c r="BA14" i="139"/>
  <c r="BA23" i="139" s="1"/>
  <c r="BN32" i="139" s="1"/>
  <c r="AZ13" i="139" l="1"/>
  <c r="AZ22" i="139" s="1"/>
  <c r="BM31" i="139" s="1"/>
  <c r="AY11" i="139"/>
  <c r="AZ14" i="139"/>
  <c r="AZ23" i="139" s="1"/>
  <c r="BM32" i="139" s="1"/>
  <c r="AZ16" i="139"/>
  <c r="AZ25" i="139" s="1"/>
  <c r="BM34" i="139" s="1"/>
  <c r="AZ15" i="139"/>
  <c r="AZ24" i="139" s="1"/>
  <c r="BM33" i="139" s="1"/>
  <c r="AX11" i="139" l="1"/>
  <c r="AY16" i="139"/>
  <c r="AY25" i="139" s="1"/>
  <c r="BL34" i="139" s="1"/>
  <c r="AY15" i="139"/>
  <c r="AY24" i="139" s="1"/>
  <c r="BL33" i="139" s="1"/>
  <c r="AY13" i="139"/>
  <c r="AY22" i="139" s="1"/>
  <c r="BL31" i="139" s="1"/>
  <c r="AY14" i="139"/>
  <c r="AY23" i="139" s="1"/>
  <c r="BL32" i="139" s="1"/>
  <c r="AX16" i="139" l="1"/>
  <c r="AX25" i="139" s="1"/>
  <c r="BK34" i="139" s="1"/>
  <c r="AX14" i="139"/>
  <c r="AX23" i="139" s="1"/>
  <c r="BK32" i="139" s="1"/>
  <c r="AW11" i="139"/>
  <c r="AX15" i="139"/>
  <c r="AX24" i="139" s="1"/>
  <c r="BK33" i="139" s="1"/>
  <c r="AX13" i="139"/>
  <c r="AX22" i="139" s="1"/>
  <c r="BK31" i="139" s="1"/>
  <c r="AV11" i="139" l="1"/>
  <c r="AW13" i="139"/>
  <c r="AW22" i="139" s="1"/>
  <c r="BJ31" i="139" s="1"/>
  <c r="AW15" i="139"/>
  <c r="AW24" i="139" s="1"/>
  <c r="BJ33" i="139" s="1"/>
  <c r="AW16" i="139"/>
  <c r="AW25" i="139" s="1"/>
  <c r="BJ34" i="139" s="1"/>
  <c r="AW14" i="139"/>
  <c r="AW23" i="139" s="1"/>
  <c r="BJ32" i="139" s="1"/>
  <c r="AV14" i="139" l="1"/>
  <c r="AV23" i="139" s="1"/>
  <c r="BI32" i="139" s="1"/>
  <c r="AV15" i="139"/>
  <c r="AV24" i="139" s="1"/>
  <c r="BI33" i="139" s="1"/>
  <c r="AU11" i="139"/>
  <c r="AV13" i="139"/>
  <c r="AV22" i="139" s="1"/>
  <c r="BI31" i="139" s="1"/>
  <c r="AV16" i="139"/>
  <c r="AV25" i="139" s="1"/>
  <c r="BI34" i="139" s="1"/>
  <c r="AU14" i="139" l="1"/>
  <c r="AU23" i="139" s="1"/>
  <c r="BH32" i="139" s="1"/>
  <c r="AU15" i="139"/>
  <c r="AU24" i="139" s="1"/>
  <c r="BH33" i="139" s="1"/>
  <c r="AU16" i="139"/>
  <c r="AU25" i="139" s="1"/>
  <c r="BH34" i="139" s="1"/>
  <c r="AT11" i="139"/>
  <c r="AU13" i="139"/>
  <c r="AU22" i="139" s="1"/>
  <c r="BH31" i="139" s="1"/>
  <c r="AT14" i="139" l="1"/>
  <c r="AT23" i="139" s="1"/>
  <c r="BG32" i="139" s="1"/>
  <c r="AS11" i="139"/>
  <c r="AT13" i="139"/>
  <c r="AT22" i="139" s="1"/>
  <c r="BG31" i="139" s="1"/>
  <c r="AT16" i="139"/>
  <c r="AT25" i="139" s="1"/>
  <c r="BG34" i="139" s="1"/>
  <c r="AT15" i="139"/>
  <c r="AT24" i="139" s="1"/>
  <c r="BG33" i="139" s="1"/>
  <c r="AS13" i="139" l="1"/>
  <c r="AS22" i="139" s="1"/>
  <c r="BF31" i="139" s="1"/>
  <c r="AS15" i="139"/>
  <c r="AS24" i="139" s="1"/>
  <c r="BF33" i="139" s="1"/>
  <c r="AR11" i="139"/>
  <c r="AS16" i="139"/>
  <c r="AS25" i="139" s="1"/>
  <c r="BF34" i="139" s="1"/>
  <c r="AS14" i="139"/>
  <c r="AS23" i="139" s="1"/>
  <c r="BF32" i="139" s="1"/>
  <c r="AR16" i="139" l="1"/>
  <c r="AR25" i="139" s="1"/>
  <c r="BE34" i="139" s="1"/>
  <c r="AR14" i="139"/>
  <c r="AR23" i="139" s="1"/>
  <c r="BE32" i="139" s="1"/>
  <c r="AR13" i="139"/>
  <c r="AR22" i="139" s="1"/>
  <c r="BE31" i="139" s="1"/>
  <c r="AR15" i="139"/>
  <c r="AR24" i="139" s="1"/>
  <c r="BE33" i="139" s="1"/>
  <c r="AQ11" i="139"/>
  <c r="AQ13" i="139" l="1"/>
  <c r="AQ22" i="139" s="1"/>
  <c r="BD31" i="139" s="1"/>
  <c r="AP11" i="139"/>
  <c r="AQ14" i="139"/>
  <c r="AQ23" i="139" s="1"/>
  <c r="BD32" i="139" s="1"/>
  <c r="AQ16" i="139"/>
  <c r="AQ25" i="139" s="1"/>
  <c r="BD34" i="139" s="1"/>
  <c r="AQ15" i="139"/>
  <c r="AQ24" i="139" s="1"/>
  <c r="BD33" i="139" s="1"/>
  <c r="AP14" i="139" l="1"/>
  <c r="AP23" i="139" s="1"/>
  <c r="BC32" i="139" s="1"/>
  <c r="AP16" i="139"/>
  <c r="AP25" i="139" s="1"/>
  <c r="BC34" i="139" s="1"/>
  <c r="AO11" i="139"/>
  <c r="AP15" i="139"/>
  <c r="AP24" i="139" s="1"/>
  <c r="BC33" i="139" s="1"/>
  <c r="AP13" i="139"/>
  <c r="AP22" i="139" s="1"/>
  <c r="BC31" i="139" s="1"/>
  <c r="AO16" i="139" l="1"/>
  <c r="AO25" i="139" s="1"/>
  <c r="BB34" i="139" s="1"/>
  <c r="AO14" i="139"/>
  <c r="AO23" i="139" s="1"/>
  <c r="BB32" i="139" s="1"/>
  <c r="AO13" i="139"/>
  <c r="AO22" i="139" s="1"/>
  <c r="BB31" i="139" s="1"/>
  <c r="AO15" i="139"/>
  <c r="AO24" i="139" s="1"/>
  <c r="BB33" i="139" s="1"/>
  <c r="AN11" i="139"/>
  <c r="AN15" i="139" l="1"/>
  <c r="AN24" i="139" s="1"/>
  <c r="BA33" i="139" s="1"/>
  <c r="AN14" i="139"/>
  <c r="AN23" i="139" s="1"/>
  <c r="BA32" i="139" s="1"/>
  <c r="AN13" i="139"/>
  <c r="AN22" i="139" s="1"/>
  <c r="BA31" i="139" s="1"/>
  <c r="AM11" i="139"/>
  <c r="AN16" i="139"/>
  <c r="AN25" i="139" s="1"/>
  <c r="BA34" i="139" s="1"/>
  <c r="AM13" i="139" l="1"/>
  <c r="AM22" i="139" s="1"/>
  <c r="AZ31" i="139" s="1"/>
  <c r="AM16" i="139"/>
  <c r="AM25" i="139" s="1"/>
  <c r="AZ34" i="139" s="1"/>
  <c r="AM14" i="139"/>
  <c r="AM23" i="139" s="1"/>
  <c r="AZ32" i="139" s="1"/>
  <c r="AL11" i="139"/>
  <c r="AM15" i="139"/>
  <c r="AM24" i="139" s="1"/>
  <c r="AZ33" i="139" s="1"/>
  <c r="AL15" i="139" l="1"/>
  <c r="AL24" i="139" s="1"/>
  <c r="AY33" i="139" s="1"/>
  <c r="AK11" i="139"/>
  <c r="AL16" i="139"/>
  <c r="AL25" i="139" s="1"/>
  <c r="AY34" i="139" s="1"/>
  <c r="AL14" i="139"/>
  <c r="AL23" i="139" s="1"/>
  <c r="AY32" i="139" s="1"/>
  <c r="AL13" i="139"/>
  <c r="AL22" i="139" s="1"/>
  <c r="AY31" i="139" s="1"/>
  <c r="AK13" i="139" l="1"/>
  <c r="AK22" i="139" s="1"/>
  <c r="AX31" i="139" s="1"/>
  <c r="AK15" i="139"/>
  <c r="AK24" i="139" s="1"/>
  <c r="AX33" i="139" s="1"/>
  <c r="AK16" i="139"/>
  <c r="AK25" i="139" s="1"/>
  <c r="AX34" i="139" s="1"/>
  <c r="AJ11" i="139"/>
  <c r="AK14" i="139"/>
  <c r="AK23" i="139" s="1"/>
  <c r="AX32" i="139" s="1"/>
  <c r="AJ14" i="139" l="1"/>
  <c r="AJ23" i="139" s="1"/>
  <c r="AW32" i="139" s="1"/>
  <c r="AJ13" i="139"/>
  <c r="AJ22" i="139" s="1"/>
  <c r="AW31" i="139" s="1"/>
  <c r="AJ16" i="139"/>
  <c r="AJ25" i="139" s="1"/>
  <c r="AW34" i="139" s="1"/>
  <c r="AI11" i="139"/>
  <c r="AJ15" i="139"/>
  <c r="AJ24" i="139" s="1"/>
  <c r="AW33" i="139" s="1"/>
  <c r="AH11" i="139" l="1"/>
  <c r="AI15" i="139"/>
  <c r="AI24" i="139" s="1"/>
  <c r="AV33" i="139" s="1"/>
  <c r="AI13" i="139"/>
  <c r="AI22" i="139" s="1"/>
  <c r="AV31" i="139" s="1"/>
  <c r="AI14" i="139"/>
  <c r="AI23" i="139" s="1"/>
  <c r="AV32" i="139" s="1"/>
  <c r="AI16" i="139"/>
  <c r="AI25" i="139" s="1"/>
  <c r="AV34" i="139" s="1"/>
  <c r="AH16" i="139" l="1"/>
  <c r="AH25" i="139" s="1"/>
  <c r="AU34" i="139" s="1"/>
  <c r="AH15" i="139"/>
  <c r="AH24" i="139" s="1"/>
  <c r="AU33" i="139" s="1"/>
  <c r="AH14" i="139"/>
  <c r="AH23" i="139" s="1"/>
  <c r="AU32" i="139" s="1"/>
  <c r="AH13" i="139"/>
  <c r="AH22" i="139" s="1"/>
  <c r="AU31" i="139" s="1"/>
  <c r="AG11" i="139"/>
  <c r="AG13" i="139" l="1"/>
  <c r="AG22" i="139" s="1"/>
  <c r="AT31" i="139" s="1"/>
  <c r="AG16" i="139"/>
  <c r="AG25" i="139" s="1"/>
  <c r="AT34" i="139" s="1"/>
  <c r="AG14" i="139"/>
  <c r="AG23" i="139" s="1"/>
  <c r="AT32" i="139" s="1"/>
  <c r="AG15" i="139"/>
  <c r="AG24" i="139" s="1"/>
  <c r="AT33" i="139" s="1"/>
  <c r="AF11" i="139"/>
  <c r="AF16" i="139" l="1"/>
  <c r="AF25" i="139" s="1"/>
  <c r="AS34" i="139" s="1"/>
  <c r="AF14" i="139"/>
  <c r="AF23" i="139" s="1"/>
  <c r="AS32" i="139" s="1"/>
  <c r="AE11" i="139"/>
  <c r="AF15" i="139"/>
  <c r="AF24" i="139" s="1"/>
  <c r="AS33" i="139" s="1"/>
  <c r="AF13" i="139"/>
  <c r="AF22" i="139" s="1"/>
  <c r="AS31" i="139" s="1"/>
  <c r="AD11" i="139" l="1"/>
  <c r="AE13" i="139"/>
  <c r="AE22" i="139" s="1"/>
  <c r="AR31" i="139" s="1"/>
  <c r="AE14" i="139"/>
  <c r="AE23" i="139" s="1"/>
  <c r="AR32" i="139" s="1"/>
  <c r="AE16" i="139"/>
  <c r="AE25" i="139" s="1"/>
  <c r="AR34" i="139" s="1"/>
  <c r="AE15" i="139"/>
  <c r="AE24" i="139" s="1"/>
  <c r="AR33" i="139" s="1"/>
  <c r="AD14" i="139" l="1"/>
  <c r="AD23" i="139" s="1"/>
  <c r="AQ32" i="139" s="1"/>
  <c r="AC11" i="139"/>
  <c r="AD13" i="139"/>
  <c r="AD22" i="139" s="1"/>
  <c r="AQ31" i="139" s="1"/>
  <c r="AD15" i="139"/>
  <c r="AD24" i="139" s="1"/>
  <c r="AQ33" i="139" s="1"/>
  <c r="AD16" i="139"/>
  <c r="AD25" i="139" s="1"/>
  <c r="AQ34" i="139" s="1"/>
  <c r="AC13" i="139" l="1"/>
  <c r="AC22" i="139" s="1"/>
  <c r="AP31" i="139" s="1"/>
  <c r="AC14" i="139"/>
  <c r="AC23" i="139" s="1"/>
  <c r="AP32" i="139" s="1"/>
  <c r="AC15" i="139"/>
  <c r="AC24" i="139" s="1"/>
  <c r="AP33" i="139" s="1"/>
  <c r="AB11" i="139"/>
  <c r="AC16" i="139"/>
  <c r="AC25" i="139" s="1"/>
  <c r="AP34" i="139" s="1"/>
  <c r="AB16" i="139" l="1"/>
  <c r="AB25" i="139" s="1"/>
  <c r="AO34" i="139" s="1"/>
  <c r="AB14" i="139"/>
  <c r="AB23" i="139" s="1"/>
  <c r="AO32" i="139" s="1"/>
  <c r="AB13" i="139"/>
  <c r="AB22" i="139" s="1"/>
  <c r="AO31" i="139" s="1"/>
  <c r="AB15" i="139"/>
  <c r="AB24" i="139" s="1"/>
  <c r="AO33" i="139" s="1"/>
  <c r="AA11" i="139"/>
  <c r="AA13" i="139" l="1"/>
  <c r="AA22" i="139" s="1"/>
  <c r="AN31" i="139" s="1"/>
  <c r="Z11" i="139"/>
  <c r="AA16" i="139"/>
  <c r="AA25" i="139" s="1"/>
  <c r="AN34" i="139" s="1"/>
  <c r="AA15" i="139"/>
  <c r="AA24" i="139" s="1"/>
  <c r="AN33" i="139" s="1"/>
  <c r="AA14" i="139"/>
  <c r="AA23" i="139" s="1"/>
  <c r="AN32" i="139" s="1"/>
  <c r="Z13" i="139" l="1"/>
  <c r="Z22" i="139" s="1"/>
  <c r="AM31" i="139" s="1"/>
  <c r="Z16" i="139"/>
  <c r="Z25" i="139" s="1"/>
  <c r="AM34" i="139" s="1"/>
  <c r="Z14" i="139"/>
  <c r="Z23" i="139" s="1"/>
  <c r="AM32" i="139" s="1"/>
  <c r="Y11" i="139"/>
  <c r="Z15" i="139"/>
  <c r="Z24" i="139" s="1"/>
  <c r="AM33" i="139" s="1"/>
  <c r="Y14" i="139" l="1"/>
  <c r="Y23" i="139" s="1"/>
  <c r="AL32" i="139" s="1"/>
  <c r="Y16" i="139"/>
  <c r="Y25" i="139" s="1"/>
  <c r="AL34" i="139" s="1"/>
  <c r="Y15" i="139"/>
  <c r="Y24" i="139" s="1"/>
  <c r="AL33" i="139" s="1"/>
  <c r="Y13" i="139"/>
  <c r="Y22" i="139" s="1"/>
  <c r="AL31" i="139" s="1"/>
  <c r="X11" i="139"/>
  <c r="X13" i="139" l="1"/>
  <c r="X22" i="139" s="1"/>
  <c r="AK31" i="139" s="1"/>
  <c r="X15" i="139"/>
  <c r="X24" i="139" s="1"/>
  <c r="AK33" i="139" s="1"/>
  <c r="X16" i="139"/>
  <c r="X25" i="139" s="1"/>
  <c r="AK34" i="139" s="1"/>
  <c r="X14" i="139"/>
  <c r="X23" i="139" s="1"/>
  <c r="AK32" i="139" s="1"/>
  <c r="W11" i="139"/>
  <c r="W15" i="139" l="1"/>
  <c r="W24" i="139" s="1"/>
  <c r="AJ33" i="139" s="1"/>
  <c r="V11" i="139"/>
  <c r="W14" i="139"/>
  <c r="W23" i="139" s="1"/>
  <c r="AJ32" i="139" s="1"/>
  <c r="W13" i="139"/>
  <c r="W22" i="139" s="1"/>
  <c r="AJ31" i="139" s="1"/>
  <c r="W16" i="139"/>
  <c r="W25" i="139" s="1"/>
  <c r="AJ34" i="139" s="1"/>
  <c r="U11" i="139" l="1"/>
  <c r="V15" i="139"/>
  <c r="V24" i="139" s="1"/>
  <c r="AI33" i="139" s="1"/>
  <c r="V14" i="139"/>
  <c r="V23" i="139" s="1"/>
  <c r="AI32" i="139" s="1"/>
  <c r="V13" i="139"/>
  <c r="V22" i="139" s="1"/>
  <c r="AI31" i="139" s="1"/>
  <c r="V16" i="139"/>
  <c r="V25" i="139" s="1"/>
  <c r="AI34" i="139" s="1"/>
  <c r="U16" i="139" l="1"/>
  <c r="U25" i="139" s="1"/>
  <c r="AH34" i="139" s="1"/>
  <c r="U14" i="139"/>
  <c r="U23" i="139" s="1"/>
  <c r="AH32" i="139" s="1"/>
  <c r="T11" i="139"/>
  <c r="U13" i="139"/>
  <c r="U22" i="139" s="1"/>
  <c r="AH31" i="139" s="1"/>
  <c r="U15" i="139"/>
  <c r="U24" i="139" s="1"/>
  <c r="AH33" i="139" s="1"/>
  <c r="T13" i="139" l="1"/>
  <c r="T22" i="139" s="1"/>
  <c r="AG31" i="139" s="1"/>
  <c r="T14" i="139"/>
  <c r="T23" i="139" s="1"/>
  <c r="AG32" i="139" s="1"/>
  <c r="T15" i="139"/>
  <c r="T24" i="139" s="1"/>
  <c r="AG33" i="139" s="1"/>
  <c r="S11" i="139"/>
  <c r="T16" i="139"/>
  <c r="T25" i="139" s="1"/>
  <c r="AG34" i="139" s="1"/>
  <c r="S14" i="139" l="1"/>
  <c r="S23" i="139" s="1"/>
  <c r="AF32" i="139" s="1"/>
  <c r="S13" i="139"/>
  <c r="S22" i="139" s="1"/>
  <c r="AF31" i="139" s="1"/>
  <c r="S16" i="139"/>
  <c r="S25" i="139" s="1"/>
  <c r="AF34" i="139" s="1"/>
  <c r="R11" i="139"/>
  <c r="S15" i="139"/>
  <c r="S24" i="139" s="1"/>
  <c r="AF33" i="139" s="1"/>
  <c r="DT14" i="139"/>
  <c r="DS14" i="139"/>
  <c r="DU14" i="139"/>
  <c r="DV14" i="139" s="1"/>
  <c r="DX14" i="139" s="1"/>
  <c r="DU16" i="139"/>
  <c r="DV16" i="139" s="1"/>
  <c r="DX16" i="139" s="1"/>
  <c r="DS16" i="139"/>
  <c r="DT16" i="139"/>
  <c r="DS15" i="139"/>
  <c r="DT15" i="139"/>
  <c r="DU15" i="139"/>
  <c r="DV15" i="139" s="1"/>
  <c r="DX15" i="139" s="1"/>
  <c r="DT13" i="139"/>
  <c r="DU13" i="139"/>
  <c r="DV13" i="139" s="1"/>
  <c r="DX13" i="139" s="1"/>
  <c r="DS13" i="139"/>
  <c r="R15" i="139" l="1"/>
  <c r="R24" i="139" s="1"/>
  <c r="AE33" i="139" s="1"/>
  <c r="R13" i="139"/>
  <c r="R22" i="139" s="1"/>
  <c r="AE31" i="139" s="1"/>
  <c r="R14" i="139"/>
  <c r="R23" i="139" s="1"/>
  <c r="AE32" i="139" s="1"/>
  <c r="Q11" i="139"/>
  <c r="R16" i="139"/>
  <c r="R25" i="139" s="1"/>
  <c r="AE34" i="139" s="1"/>
  <c r="DW13" i="139"/>
  <c r="DW16" i="139"/>
  <c r="DW14" i="139"/>
  <c r="DT22" i="139"/>
  <c r="DS22" i="139"/>
  <c r="DU22" i="139"/>
  <c r="DV22" i="139" s="1"/>
  <c r="DX22" i="139" s="1"/>
  <c r="DW15" i="139"/>
  <c r="DT25" i="139"/>
  <c r="DS25" i="139"/>
  <c r="DU25" i="139"/>
  <c r="DV25" i="139" s="1"/>
  <c r="DX25" i="139" s="1"/>
  <c r="DS23" i="139"/>
  <c r="DU23" i="139"/>
  <c r="DV23" i="139" s="1"/>
  <c r="DX23" i="139" s="1"/>
  <c r="DT23" i="139"/>
  <c r="DU24" i="139"/>
  <c r="DV24" i="139" s="1"/>
  <c r="DX24" i="139" s="1"/>
  <c r="DS24" i="139"/>
  <c r="DT24" i="139"/>
  <c r="Q14" i="139" l="1"/>
  <c r="Q23" i="139" s="1"/>
  <c r="AD32" i="139" s="1"/>
  <c r="Q15" i="139"/>
  <c r="Q24" i="139" s="1"/>
  <c r="AD33" i="139" s="1"/>
  <c r="Q13" i="139"/>
  <c r="Q22" i="139" s="1"/>
  <c r="AD31" i="139" s="1"/>
  <c r="Q16" i="139"/>
  <c r="Q25" i="139" s="1"/>
  <c r="AD34" i="139" s="1"/>
  <c r="P11" i="139"/>
  <c r="DW23" i="139"/>
  <c r="DW24" i="139"/>
  <c r="DW25" i="139"/>
  <c r="DW22" i="139"/>
  <c r="P13" i="139" l="1"/>
  <c r="P22" i="139" s="1"/>
  <c r="AC31" i="139" s="1"/>
  <c r="P14" i="139"/>
  <c r="P23" i="139" s="1"/>
  <c r="AC32" i="139" s="1"/>
  <c r="P15" i="139"/>
  <c r="P24" i="139" s="1"/>
  <c r="AC33" i="139" s="1"/>
  <c r="P16" i="139"/>
  <c r="P25" i="139" s="1"/>
  <c r="AC34" i="139" s="1"/>
  <c r="O11" i="139"/>
  <c r="O15" i="139" l="1"/>
  <c r="O24" i="139" s="1"/>
  <c r="AB33" i="139" s="1"/>
  <c r="O16" i="139"/>
  <c r="O25" i="139" s="1"/>
  <c r="AB34" i="139" s="1"/>
  <c r="O13" i="139"/>
  <c r="O22" i="139" s="1"/>
  <c r="AB31" i="139" s="1"/>
  <c r="N11" i="139"/>
  <c r="O14" i="139"/>
  <c r="O23" i="139" s="1"/>
  <c r="AB32" i="139" s="1"/>
  <c r="N15" i="139" l="1"/>
  <c r="N24" i="139" s="1"/>
  <c r="AA33" i="139" s="1"/>
  <c r="N16" i="139"/>
  <c r="N25" i="139" s="1"/>
  <c r="AA34" i="139" s="1"/>
  <c r="M11" i="139"/>
  <c r="N14" i="139"/>
  <c r="N23" i="139" s="1"/>
  <c r="AA32" i="139" s="1"/>
  <c r="N13" i="139"/>
  <c r="N22" i="139" s="1"/>
  <c r="AA31" i="139" s="1"/>
  <c r="M13" i="139" l="1"/>
  <c r="M22" i="139" s="1"/>
  <c r="Z31" i="139" s="1"/>
  <c r="M15" i="139"/>
  <c r="M24" i="139" s="1"/>
  <c r="Z33" i="139" s="1"/>
  <c r="M14" i="139"/>
  <c r="M23" i="139" s="1"/>
  <c r="Z32" i="139" s="1"/>
  <c r="L11" i="139"/>
  <c r="M16" i="139"/>
  <c r="M25" i="139" s="1"/>
  <c r="Z34" i="139" s="1"/>
  <c r="K11" i="139" l="1"/>
  <c r="L15" i="139"/>
  <c r="L24" i="139" s="1"/>
  <c r="Y33" i="139" s="1"/>
  <c r="L16" i="139"/>
  <c r="L25" i="139" s="1"/>
  <c r="Y34" i="139" s="1"/>
  <c r="L13" i="139"/>
  <c r="L22" i="139" s="1"/>
  <c r="Y31" i="139" s="1"/>
  <c r="L14" i="139"/>
  <c r="L23" i="139" s="1"/>
  <c r="Y32" i="139" s="1"/>
  <c r="K15" i="139" l="1"/>
  <c r="K24" i="139" s="1"/>
  <c r="X33" i="139" s="1"/>
  <c r="K13" i="139"/>
  <c r="K22" i="139" s="1"/>
  <c r="X31" i="139" s="1"/>
  <c r="K14" i="139"/>
  <c r="K23" i="139" s="1"/>
  <c r="X32" i="139" s="1"/>
  <c r="J11" i="139"/>
  <c r="K16" i="139"/>
  <c r="K25" i="139" s="1"/>
  <c r="X34" i="139" s="1"/>
  <c r="I11" i="139" l="1"/>
  <c r="J13" i="139"/>
  <c r="J22" i="139" s="1"/>
  <c r="W31" i="139" s="1"/>
  <c r="J15" i="139"/>
  <c r="J24" i="139" s="1"/>
  <c r="W33" i="139" s="1"/>
  <c r="J16" i="139"/>
  <c r="J25" i="139" s="1"/>
  <c r="W34" i="139" s="1"/>
  <c r="J14" i="139"/>
  <c r="J23" i="139" s="1"/>
  <c r="W32" i="139" s="1"/>
  <c r="I13" i="139" l="1"/>
  <c r="I22" i="139" s="1"/>
  <c r="V31" i="139" s="1"/>
  <c r="H11" i="139"/>
  <c r="I16" i="139"/>
  <c r="I25" i="139" s="1"/>
  <c r="V34" i="139" s="1"/>
  <c r="I15" i="139"/>
  <c r="I24" i="139" s="1"/>
  <c r="V33" i="139" s="1"/>
  <c r="I14" i="139"/>
  <c r="I23" i="139" s="1"/>
  <c r="V32" i="139" s="1"/>
  <c r="G11" i="139" l="1"/>
  <c r="H16" i="139"/>
  <c r="H25" i="139" s="1"/>
  <c r="U34" i="139" s="1"/>
  <c r="H14" i="139"/>
  <c r="H23" i="139" s="1"/>
  <c r="U32" i="139" s="1"/>
  <c r="H15" i="139"/>
  <c r="H24" i="139" s="1"/>
  <c r="U33" i="139" s="1"/>
  <c r="H13" i="139"/>
  <c r="H22" i="139" s="1"/>
  <c r="U31" i="139" s="1"/>
  <c r="G14" i="139" l="1"/>
  <c r="G23" i="139" s="1"/>
  <c r="T32" i="139" s="1"/>
  <c r="G16" i="139"/>
  <c r="G25" i="139" s="1"/>
  <c r="T34" i="139" s="1"/>
  <c r="G13" i="139"/>
  <c r="G22" i="139" s="1"/>
  <c r="T31" i="139" s="1"/>
  <c r="G15" i="139"/>
  <c r="G24" i="139" s="1"/>
  <c r="T33" i="139" s="1"/>
  <c r="F11" i="139"/>
  <c r="F14" i="139" l="1"/>
  <c r="F23" i="139" s="1"/>
  <c r="S32" i="139" s="1"/>
  <c r="F15" i="139"/>
  <c r="F24" i="139" s="1"/>
  <c r="S33" i="139" s="1"/>
  <c r="F16" i="139"/>
  <c r="F25" i="139" s="1"/>
  <c r="S34" i="139" s="1"/>
  <c r="F13" i="139"/>
  <c r="F22" i="139" s="1"/>
  <c r="S31" i="139" s="1"/>
  <c r="E11" i="139"/>
  <c r="E15" i="139" l="1"/>
  <c r="E24" i="139" s="1"/>
  <c r="R33" i="139" s="1"/>
  <c r="D11" i="139"/>
  <c r="E13" i="139"/>
  <c r="E22" i="139" s="1"/>
  <c r="R31" i="139" s="1"/>
  <c r="E16" i="139"/>
  <c r="E25" i="139" s="1"/>
  <c r="R34" i="139" s="1"/>
  <c r="E14" i="139"/>
  <c r="E23" i="139" s="1"/>
  <c r="R32" i="139" s="1"/>
  <c r="D14" i="139" l="1"/>
  <c r="D23" i="139" s="1"/>
  <c r="Q32" i="139" s="1"/>
  <c r="D15" i="139"/>
  <c r="D24" i="139" s="1"/>
  <c r="Q33" i="139" s="1"/>
  <c r="D16" i="139"/>
  <c r="D25" i="139" s="1"/>
  <c r="Q34" i="139" s="1"/>
  <c r="C11" i="139"/>
  <c r="D13" i="139"/>
  <c r="D22" i="139" s="1"/>
  <c r="Q31" i="139" s="1"/>
  <c r="C15" i="139" l="1"/>
  <c r="C24" i="139" s="1"/>
  <c r="P33" i="139" s="1"/>
  <c r="C14" i="139"/>
  <c r="C23" i="139" s="1"/>
  <c r="P32" i="139" s="1"/>
  <c r="C13" i="139"/>
  <c r="C22" i="139" s="1"/>
  <c r="P31" i="139" s="1"/>
  <c r="B11" i="139"/>
  <c r="C16" i="139"/>
  <c r="C25" i="139" s="1"/>
  <c r="P34" i="139" s="1"/>
  <c r="B14" i="139" l="1"/>
  <c r="B23" i="139" s="1"/>
  <c r="O32" i="139" s="1"/>
  <c r="B13" i="139"/>
  <c r="B22" i="139" s="1"/>
  <c r="O31" i="139" s="1"/>
  <c r="B16" i="139"/>
  <c r="B25" i="139" s="1"/>
  <c r="O34" i="139" s="1"/>
  <c r="B15" i="139"/>
  <c r="B24" i="139" s="1"/>
  <c r="O33" i="139" s="1"/>
</calcChain>
</file>

<file path=xl/sharedStrings.xml><?xml version="1.0" encoding="utf-8"?>
<sst xmlns="http://schemas.openxmlformats.org/spreadsheetml/2006/main" count="226" uniqueCount="11">
  <si>
    <t>MES</t>
  </si>
  <si>
    <t>Period</t>
  </si>
  <si>
    <t>MEDIA</t>
  </si>
  <si>
    <t>MEDIANA</t>
  </si>
  <si>
    <t>VARIANZA</t>
  </si>
  <si>
    <t>σ</t>
  </si>
  <si>
    <r>
      <t xml:space="preserve">INTERVALO </t>
    </r>
    <r>
      <rPr>
        <b/>
        <sz val="8"/>
        <color theme="0"/>
        <rFont val="Calibri"/>
        <family val="2"/>
        <scheme val="minor"/>
      </rPr>
      <t>∓</t>
    </r>
    <r>
      <rPr>
        <b/>
        <sz val="11"/>
        <color theme="0"/>
        <rFont val="Calibri"/>
        <family val="2"/>
        <scheme val="minor"/>
      </rPr>
      <t>2σ</t>
    </r>
  </si>
  <si>
    <t>ParoEPAESP</t>
  </si>
  <si>
    <t>Inicio</t>
  </si>
  <si>
    <t>Amplitud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</si>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</sst>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[$-C0A]mmm\-yy;@"/>
    <numFmt numFmtId="165" formatCode="0.0%"/>
    <numFmt numFmtId="166" formatCode="0.000000"/>
    <numFmt numFmtId="167" formatCode="0.00\ &quot;σ&quot;"/>
  </numFmts>
  <fonts count="8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8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6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18">
    <xf numFmtId="0" fontId="0" fillId="0" borderId="0" xfId="0"/>
    <xf numFmtId="3" fontId="0" fillId="0" borderId="0" xfId="0" applyNumberFormat="1"/>
    <xf numFmtId="14" fontId="0" fillId="0" borderId="0" xfId="0" applyNumberFormat="1"/>
    <xf numFmtId="0" fontId="1" fillId="0" borderId="1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Alignment="1">
      <alignment vertical="center"/>
    </xf>
    <xf numFmtId="3" fontId="1" fillId="0" borderId="1" xfId="0" applyNumberFormat="1" applyFont="1" applyBorder="1"/>
    <xf numFmtId="164" fontId="1" fillId="0" borderId="1" xfId="0" applyNumberFormat="1" applyFont="1" applyBorder="1" applyAlignment="1">
      <alignment vertical="center"/>
    </xf>
    <xf numFmtId="10" fontId="2" fillId="0" borderId="0" xfId="1" applyNumberFormat="1" applyFont="1"/>
    <xf numFmtId="164" fontId="4" fillId="2" borderId="0" xfId="0" applyNumberFormat="1" applyFont="1" applyFill="1" applyAlignment="1">
      <alignment horizontal="center" vertical="center"/>
    </xf>
    <xf numFmtId="164" fontId="4" fillId="2" borderId="0" xfId="0" applyNumberFormat="1" applyFont="1" applyFill="1" applyAlignment="1">
      <alignment horizontal="center"/>
    </xf>
    <xf numFmtId="164" fontId="5" fillId="2" borderId="0" xfId="0" applyNumberFormat="1" applyFont="1" applyFill="1" applyAlignment="1">
      <alignment horizontal="center" vertical="center"/>
    </xf>
    <xf numFmtId="10" fontId="7" fillId="3" borderId="0" xfId="0" applyNumberFormat="1" applyFont="1" applyFill="1"/>
    <xf numFmtId="166" fontId="7" fillId="3" borderId="0" xfId="0" applyNumberFormat="1" applyFont="1" applyFill="1"/>
    <xf numFmtId="165" fontId="7" fillId="3" borderId="0" xfId="1" applyNumberFormat="1" applyFont="1" applyFill="1" applyAlignment="1">
      <alignment horizontal="center" vertical="center"/>
    </xf>
    <xf numFmtId="10" fontId="7" fillId="3" borderId="0" xfId="1" applyNumberFormat="1" applyFont="1" applyFill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0" fontId="0" fillId="0" borderId="0" xfId="1" applyNumberFormat="1" applyFont="1"/>
  </cellXfs>
  <cellStyles count="2">
    <cellStyle name="Normal" xfId="0" builtinId="0"/>
    <cellStyle name="Porcentaje" xfId="1" builtinId="5"/>
  </cellStyles>
  <dxfs count="4">
    <dxf>
      <fill>
        <patternFill>
          <bgColor theme="0"/>
        </patternFill>
      </fill>
    </dxf>
    <dxf>
      <font>
        <b/>
        <i val="0"/>
        <strike val="0"/>
        <u val="none"/>
        <color auto="1"/>
      </font>
      <fill>
        <patternFill patternType="solid">
          <bgColor theme="3" tint="0.79998168889431442"/>
        </patternFill>
      </fill>
      <border>
        <left/>
        <right/>
        <top/>
        <bottom/>
      </border>
    </dxf>
    <dxf>
      <font>
        <b/>
        <i val="0"/>
        <u val="none"/>
        <color theme="0"/>
      </font>
      <fill>
        <patternFill patternType="solid">
          <bgColor rgb="FF00B050"/>
        </patternFill>
      </fill>
      <border>
        <left/>
        <right/>
        <top/>
        <bottom/>
      </border>
    </dxf>
    <dxf>
      <font>
        <b/>
        <i val="0"/>
        <strike val="0"/>
        <u val="none"/>
        <color rgb="FFFFFF00"/>
      </font>
      <fill>
        <patternFill patternType="solid">
          <bgColor rgb="FFFF3300"/>
        </patternFill>
      </fill>
      <border>
        <left/>
        <right/>
        <top/>
        <bottom/>
      </border>
    </dxf>
  </dxfs>
  <tableStyles count="0" defaultTableStyle="TableStyleMedium9" defaultPivotStyle="PivotStyleLight16"/>
  <colors>
    <mruColors>
      <color rgb="FFFF66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C/OBSERVATORIOEMPLEO/An&#225;lisis/Previsiones/Serie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series"/>
    </sheetNames>
    <sheetDataSet>
      <sheetData sheetId="0">
        <row r="7">
          <cell r="H7">
            <v>605300</v>
          </cell>
        </row>
        <row r="8">
          <cell r="H8">
            <v>644300</v>
          </cell>
        </row>
        <row r="9">
          <cell r="H9">
            <v>670400</v>
          </cell>
        </row>
        <row r="10">
          <cell r="H10">
            <v>647700</v>
          </cell>
        </row>
        <row r="11">
          <cell r="H11">
            <v>727200</v>
          </cell>
        </row>
        <row r="12">
          <cell r="H12">
            <v>776400</v>
          </cell>
        </row>
        <row r="13">
          <cell r="H13">
            <v>878300</v>
          </cell>
        </row>
        <row r="14">
          <cell r="H14">
            <v>893900</v>
          </cell>
        </row>
        <row r="15">
          <cell r="H15">
            <v>958900</v>
          </cell>
        </row>
        <row r="16">
          <cell r="H16">
            <v>1032600</v>
          </cell>
        </row>
        <row r="17">
          <cell r="H17">
            <v>1104100</v>
          </cell>
        </row>
        <row r="18">
          <cell r="H18">
            <v>1102800</v>
          </cell>
        </row>
        <row r="19">
          <cell r="H19">
            <v>1185800</v>
          </cell>
        </row>
        <row r="20">
          <cell r="H20">
            <v>1295800</v>
          </cell>
        </row>
        <row r="21">
          <cell r="H21">
            <v>1444500</v>
          </cell>
        </row>
        <row r="22">
          <cell r="H22">
            <v>1503800</v>
          </cell>
        </row>
        <row r="23">
          <cell r="H23">
            <v>1557900</v>
          </cell>
        </row>
        <row r="24">
          <cell r="H24">
            <v>1690300</v>
          </cell>
        </row>
        <row r="25">
          <cell r="H25">
            <v>1816500</v>
          </cell>
        </row>
        <row r="26">
          <cell r="H26">
            <v>1845500</v>
          </cell>
        </row>
        <row r="27">
          <cell r="H27">
            <v>1921300</v>
          </cell>
        </row>
        <row r="28">
          <cell r="H28">
            <v>2048200</v>
          </cell>
        </row>
        <row r="29">
          <cell r="H29">
            <v>2121600</v>
          </cell>
        </row>
        <row r="30">
          <cell r="H30">
            <v>2093900</v>
          </cell>
        </row>
        <row r="31">
          <cell r="H31">
            <v>2194800</v>
          </cell>
        </row>
        <row r="32">
          <cell r="H32">
            <v>2302200</v>
          </cell>
        </row>
        <row r="33">
          <cell r="H33">
            <v>2389900</v>
          </cell>
        </row>
        <row r="34">
          <cell r="H34">
            <v>2334700</v>
          </cell>
        </row>
        <row r="35">
          <cell r="H35">
            <v>2400600</v>
          </cell>
        </row>
        <row r="36">
          <cell r="H36">
            <v>2517400</v>
          </cell>
        </row>
        <row r="37">
          <cell r="H37">
            <v>2739500</v>
          </cell>
        </row>
        <row r="38">
          <cell r="H38">
            <v>2739000</v>
          </cell>
        </row>
        <row r="39">
          <cell r="H39">
            <v>2796100</v>
          </cell>
        </row>
        <row r="40">
          <cell r="H40">
            <v>2964700</v>
          </cell>
        </row>
        <row r="41">
          <cell r="H41">
            <v>3023300</v>
          </cell>
        </row>
        <row r="42">
          <cell r="H42">
            <v>3020000</v>
          </cell>
        </row>
        <row r="43">
          <cell r="H43">
            <v>3001500</v>
          </cell>
        </row>
        <row r="44">
          <cell r="H44">
            <v>3040700</v>
          </cell>
        </row>
        <row r="45">
          <cell r="H45">
            <v>3069400</v>
          </cell>
        </row>
        <row r="46">
          <cell r="H46">
            <v>2984800</v>
          </cell>
        </row>
        <row r="47">
          <cell r="H47">
            <v>2940400</v>
          </cell>
        </row>
        <row r="48">
          <cell r="H48">
            <v>2971100</v>
          </cell>
        </row>
        <row r="49">
          <cell r="H49">
            <v>3044200</v>
          </cell>
        </row>
        <row r="50">
          <cell r="H50">
            <v>2976000</v>
          </cell>
        </row>
        <row r="51">
          <cell r="H51">
            <v>2980400</v>
          </cell>
        </row>
        <row r="52">
          <cell r="H52">
            <v>2971500</v>
          </cell>
        </row>
        <row r="53">
          <cell r="H53">
            <v>3017400</v>
          </cell>
        </row>
        <row r="54">
          <cell r="H54">
            <v>2971000</v>
          </cell>
        </row>
        <row r="55">
          <cell r="H55">
            <v>2912800</v>
          </cell>
        </row>
        <row r="56">
          <cell r="H56">
            <v>2789900</v>
          </cell>
        </row>
        <row r="57">
          <cell r="H57">
            <v>2788500</v>
          </cell>
        </row>
        <row r="58">
          <cell r="H58">
            <v>2639300</v>
          </cell>
        </row>
        <row r="59">
          <cell r="H59">
            <v>2554400</v>
          </cell>
        </row>
        <row r="60">
          <cell r="H60">
            <v>2612800</v>
          </cell>
        </row>
        <row r="61">
          <cell r="H61">
            <v>2600700</v>
          </cell>
        </row>
        <row r="62">
          <cell r="H62">
            <v>2519900</v>
          </cell>
        </row>
        <row r="63">
          <cell r="H63">
            <v>2470400</v>
          </cell>
        </row>
        <row r="64">
          <cell r="H64">
            <v>2516100</v>
          </cell>
        </row>
        <row r="65">
          <cell r="H65">
            <v>2517000</v>
          </cell>
        </row>
        <row r="66">
          <cell r="H66">
            <v>2483100</v>
          </cell>
        </row>
        <row r="67">
          <cell r="H67">
            <v>2576500</v>
          </cell>
        </row>
        <row r="68">
          <cell r="H68">
            <v>2669300</v>
          </cell>
        </row>
        <row r="69">
          <cell r="H69">
            <v>2736100</v>
          </cell>
        </row>
        <row r="70">
          <cell r="H70">
            <v>2792000</v>
          </cell>
        </row>
        <row r="71">
          <cell r="H71">
            <v>2893400</v>
          </cell>
        </row>
        <row r="72">
          <cell r="H72">
            <v>3177300</v>
          </cell>
        </row>
        <row r="73">
          <cell r="H73">
            <v>3430600</v>
          </cell>
        </row>
        <row r="74">
          <cell r="H74">
            <v>3526500</v>
          </cell>
        </row>
        <row r="75">
          <cell r="H75">
            <v>3669900</v>
          </cell>
        </row>
        <row r="76">
          <cell r="H76">
            <v>3833300</v>
          </cell>
        </row>
        <row r="77">
          <cell r="H77">
            <v>3949200</v>
          </cell>
        </row>
        <row r="78">
          <cell r="H78">
            <v>3911800</v>
          </cell>
        </row>
        <row r="79">
          <cell r="H79">
            <v>3851500</v>
          </cell>
        </row>
        <row r="80">
          <cell r="H80">
            <v>3873000</v>
          </cell>
        </row>
        <row r="81">
          <cell r="H81">
            <v>3810400</v>
          </cell>
        </row>
        <row r="82">
          <cell r="H82">
            <v>3684400</v>
          </cell>
        </row>
        <row r="83">
          <cell r="H83">
            <v>3706000</v>
          </cell>
        </row>
        <row r="84">
          <cell r="H84">
            <v>3726700</v>
          </cell>
        </row>
        <row r="85">
          <cell r="H85">
            <v>3751600</v>
          </cell>
        </row>
        <row r="86">
          <cell r="H86">
            <v>3658200</v>
          </cell>
        </row>
        <row r="87">
          <cell r="H87">
            <v>3625300</v>
          </cell>
        </row>
        <row r="88">
          <cell r="H88">
            <v>3615200</v>
          </cell>
        </row>
        <row r="89">
          <cell r="H89">
            <v>3568600</v>
          </cell>
        </row>
        <row r="90">
          <cell r="H90">
            <v>3486200</v>
          </cell>
        </row>
        <row r="91">
          <cell r="H91">
            <v>3443600</v>
          </cell>
        </row>
        <row r="92">
          <cell r="H92">
            <v>3423100</v>
          </cell>
        </row>
        <row r="93">
          <cell r="H93">
            <v>3298700</v>
          </cell>
        </row>
        <row r="94">
          <cell r="H94">
            <v>3193300</v>
          </cell>
        </row>
        <row r="95">
          <cell r="H95">
            <v>3166300</v>
          </cell>
        </row>
        <row r="96">
          <cell r="H96">
            <v>3114100</v>
          </cell>
        </row>
        <row r="97">
          <cell r="H97">
            <v>2905000</v>
          </cell>
        </row>
        <row r="98">
          <cell r="H98">
            <v>2678200</v>
          </cell>
        </row>
        <row r="99">
          <cell r="H99">
            <v>2675300</v>
          </cell>
        </row>
        <row r="100">
          <cell r="H100">
            <v>2695600</v>
          </cell>
        </row>
        <row r="101">
          <cell r="H101">
            <v>2641100</v>
          </cell>
        </row>
        <row r="102">
          <cell r="H102">
            <v>2475900</v>
          </cell>
        </row>
        <row r="103">
          <cell r="H103">
            <v>2471900</v>
          </cell>
        </row>
        <row r="104">
          <cell r="H104">
            <v>2461700</v>
          </cell>
        </row>
        <row r="105">
          <cell r="H105">
            <v>1964600</v>
          </cell>
        </row>
        <row r="106">
          <cell r="H106">
            <v>1872100</v>
          </cell>
        </row>
        <row r="107">
          <cell r="H107">
            <v>1886000</v>
          </cell>
        </row>
        <row r="108">
          <cell r="H108">
            <v>1960100</v>
          </cell>
        </row>
        <row r="109">
          <cell r="H109">
            <v>2152600</v>
          </cell>
        </row>
        <row r="110">
          <cell r="H110">
            <v>2108900</v>
          </cell>
        </row>
        <row r="111">
          <cell r="H111">
            <v>2196900</v>
          </cell>
        </row>
        <row r="112">
          <cell r="H112">
            <v>2228100</v>
          </cell>
        </row>
        <row r="113">
          <cell r="H113">
            <v>2315800</v>
          </cell>
        </row>
        <row r="114">
          <cell r="H114">
            <v>2207500</v>
          </cell>
        </row>
        <row r="115">
          <cell r="H115">
            <v>2242300</v>
          </cell>
        </row>
        <row r="116">
          <cell r="H116">
            <v>2268400</v>
          </cell>
        </row>
        <row r="117">
          <cell r="H117">
            <v>2303500</v>
          </cell>
        </row>
        <row r="118">
          <cell r="H118">
            <v>2243500</v>
          </cell>
        </row>
        <row r="119">
          <cell r="H119">
            <v>2197200</v>
          </cell>
        </row>
        <row r="120">
          <cell r="H120">
            <v>2175700</v>
          </cell>
        </row>
        <row r="121">
          <cell r="H121">
            <v>2115300</v>
          </cell>
        </row>
        <row r="122">
          <cell r="H122">
            <v>1961000</v>
          </cell>
        </row>
        <row r="123">
          <cell r="H123">
            <v>1781300</v>
          </cell>
        </row>
        <row r="124">
          <cell r="H124">
            <v>1857600</v>
          </cell>
        </row>
        <row r="125">
          <cell r="H125">
            <v>1952100</v>
          </cell>
        </row>
        <row r="126">
          <cell r="H126">
            <v>1853300</v>
          </cell>
        </row>
        <row r="127">
          <cell r="H127">
            <v>1781300</v>
          </cell>
        </row>
        <row r="128">
          <cell r="H128">
            <v>1826900</v>
          </cell>
        </row>
        <row r="129">
          <cell r="H129">
            <v>1872400</v>
          </cell>
        </row>
        <row r="130">
          <cell r="H130">
            <v>1776300</v>
          </cell>
        </row>
        <row r="131">
          <cell r="H131">
            <v>1808200</v>
          </cell>
        </row>
        <row r="132">
          <cell r="H132">
            <v>1943900</v>
          </cell>
        </row>
        <row r="133">
          <cell r="H133">
            <v>2190500</v>
          </cell>
        </row>
        <row r="134">
          <cell r="H134">
            <v>2385700</v>
          </cell>
        </row>
        <row r="135">
          <cell r="H135">
            <v>2600700</v>
          </cell>
        </row>
        <row r="136">
          <cell r="H136">
            <v>3206800</v>
          </cell>
        </row>
        <row r="137">
          <cell r="H137">
            <v>4018200</v>
          </cell>
        </row>
        <row r="138">
          <cell r="H138">
            <v>4139600</v>
          </cell>
        </row>
        <row r="139">
          <cell r="H139">
            <v>4121400</v>
          </cell>
        </row>
        <row r="140">
          <cell r="H140">
            <v>4335000</v>
          </cell>
        </row>
        <row r="141">
          <cell r="H141">
            <v>4617700</v>
          </cell>
        </row>
        <row r="142">
          <cell r="H142">
            <v>4655300</v>
          </cell>
        </row>
        <row r="143">
          <cell r="H143">
            <v>4585400</v>
          </cell>
        </row>
        <row r="144">
          <cell r="H144">
            <v>4702200</v>
          </cell>
        </row>
        <row r="145">
          <cell r="H145">
            <v>4921200</v>
          </cell>
        </row>
        <row r="146">
          <cell r="H146">
            <v>4844200</v>
          </cell>
        </row>
        <row r="147">
          <cell r="H147">
            <v>4998000</v>
          </cell>
        </row>
        <row r="148">
          <cell r="H148">
            <v>5287300</v>
          </cell>
        </row>
        <row r="149">
          <cell r="H149">
            <v>5667900</v>
          </cell>
        </row>
        <row r="150">
          <cell r="H150">
            <v>5731000</v>
          </cell>
        </row>
        <row r="151">
          <cell r="H151">
            <v>5824200</v>
          </cell>
        </row>
        <row r="152">
          <cell r="H152">
            <v>6021000</v>
          </cell>
        </row>
        <row r="153">
          <cell r="H153">
            <v>6278200</v>
          </cell>
        </row>
        <row r="154">
          <cell r="H154">
            <v>6047300</v>
          </cell>
        </row>
        <row r="155">
          <cell r="H155">
            <v>5943400</v>
          </cell>
        </row>
        <row r="156">
          <cell r="H156">
            <v>5935600</v>
          </cell>
        </row>
        <row r="157">
          <cell r="H157">
            <v>5933300</v>
          </cell>
        </row>
        <row r="158">
          <cell r="H158">
            <v>5622900</v>
          </cell>
        </row>
        <row r="159">
          <cell r="H159">
            <v>5427700</v>
          </cell>
        </row>
        <row r="160">
          <cell r="H160">
            <v>5457700</v>
          </cell>
        </row>
        <row r="161">
          <cell r="H161">
            <v>5444600</v>
          </cell>
        </row>
        <row r="162">
          <cell r="H162">
            <v>5149000</v>
          </cell>
        </row>
        <row r="163">
          <cell r="H163">
            <v>4850800</v>
          </cell>
        </row>
        <row r="164">
          <cell r="H164">
            <v>4779500</v>
          </cell>
        </row>
        <row r="165">
          <cell r="H165">
            <v>4791400</v>
          </cell>
        </row>
        <row r="166">
          <cell r="H166">
            <v>4574700</v>
          </cell>
        </row>
        <row r="167">
          <cell r="H167">
            <v>4320800</v>
          </cell>
        </row>
        <row r="168">
          <cell r="H168">
            <v>4237800</v>
          </cell>
        </row>
        <row r="169">
          <cell r="H169">
            <v>4255000</v>
          </cell>
        </row>
        <row r="170">
          <cell r="H170">
            <v>3914300.14</v>
          </cell>
        </row>
        <row r="171">
          <cell r="H171">
            <v>3731731.1</v>
          </cell>
        </row>
        <row r="172">
          <cell r="H172">
            <v>3766672.32</v>
          </cell>
        </row>
        <row r="173">
          <cell r="H173">
            <v>3796078.88</v>
          </cell>
        </row>
        <row r="174">
          <cell r="H174">
            <v>3490100.7</v>
          </cell>
        </row>
        <row r="175">
          <cell r="H175">
            <v>3325975.07</v>
          </cell>
        </row>
        <row r="176">
          <cell r="H176">
            <v>3304292.3</v>
          </cell>
        </row>
        <row r="177">
          <cell r="H177">
            <v>3354200</v>
          </cell>
        </row>
        <row r="178">
          <cell r="H178">
            <v>3230627.72</v>
          </cell>
        </row>
        <row r="179">
          <cell r="H179">
            <v>3214380.65</v>
          </cell>
        </row>
        <row r="180">
          <cell r="H180">
            <v>3191928.24</v>
          </cell>
        </row>
        <row r="181">
          <cell r="H181">
            <v>3312961.15</v>
          </cell>
        </row>
        <row r="182">
          <cell r="H182">
            <v>3367957.53</v>
          </cell>
        </row>
        <row r="183">
          <cell r="H183">
            <v>3722927.11</v>
          </cell>
        </row>
        <row r="184">
          <cell r="H184">
            <v>3719782.84</v>
          </cell>
        </row>
      </sheetData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I38"/>
  <sheetViews>
    <sheetView tabSelected="1" topLeftCell="BF1" workbookViewId="0">
      <selection activeCell="BS3" sqref="BS3"/>
    </sheetView>
  </sheetViews>
  <sheetFormatPr baseColWidth="10" defaultRowHeight="15" x14ac:dyDescent="0.25"/>
  <cols>
    <col min="1" max="1" width="7.140625" style="1" bestFit="1" customWidth="1"/>
    <col min="2" max="51" width="9.140625" style="1" bestFit="1" customWidth="1"/>
    <col min="52" max="69" width="9.140625" style="1" customWidth="1"/>
    <col min="70" max="70" width="9.140625" style="1" bestFit="1" customWidth="1"/>
    <col min="71" max="71" width="8.42578125" style="1" bestFit="1" customWidth="1"/>
    <col min="72" max="72" width="7.7109375" style="1" bestFit="1" customWidth="1"/>
    <col min="73" max="73" width="7.85546875" style="1" bestFit="1" customWidth="1"/>
    <col min="74" max="74" width="7.28515625" style="1" bestFit="1" customWidth="1"/>
    <col min="75" max="75" width="8.42578125" style="1" bestFit="1" customWidth="1"/>
    <col min="76" max="76" width="7.7109375" style="1" bestFit="1" customWidth="1"/>
    <col min="77" max="77" width="7.85546875" style="1" bestFit="1" customWidth="1"/>
    <col min="78" max="78" width="7.28515625" style="1" bestFit="1" customWidth="1"/>
    <col min="79" max="79" width="8.42578125" style="1" bestFit="1" customWidth="1"/>
    <col min="80" max="80" width="7.7109375" style="1" bestFit="1" customWidth="1"/>
    <col min="81" max="81" width="7.85546875" style="1" bestFit="1" customWidth="1"/>
    <col min="82" max="82" width="7.28515625" style="1" bestFit="1" customWidth="1"/>
    <col min="83" max="83" width="8.42578125" style="1" bestFit="1" customWidth="1"/>
    <col min="84" max="84" width="7.7109375" style="1" bestFit="1" customWidth="1"/>
    <col min="85" max="85" width="7.85546875" style="1" bestFit="1" customWidth="1"/>
    <col min="86" max="86" width="7.28515625" style="1" bestFit="1" customWidth="1"/>
    <col min="87" max="87" width="8.42578125" style="1" bestFit="1" customWidth="1"/>
    <col min="88" max="88" width="7.7109375" style="1" bestFit="1" customWidth="1"/>
    <col min="89" max="89" width="7.85546875" style="1" bestFit="1" customWidth="1"/>
    <col min="90" max="90" width="7.28515625" style="1" bestFit="1" customWidth="1"/>
    <col min="91" max="91" width="8.42578125" style="1" bestFit="1" customWidth="1"/>
    <col min="92" max="92" width="7.7109375" style="1" bestFit="1" customWidth="1"/>
    <col min="93" max="93" width="7.85546875" style="1" bestFit="1" customWidth="1"/>
    <col min="94" max="94" width="7.28515625" style="1" bestFit="1" customWidth="1"/>
    <col min="95" max="95" width="8.42578125" style="1" bestFit="1" customWidth="1"/>
    <col min="96" max="96" width="7.7109375" style="1" bestFit="1" customWidth="1"/>
    <col min="97" max="97" width="7.85546875" style="1" bestFit="1" customWidth="1"/>
    <col min="98" max="98" width="7.28515625" style="1" bestFit="1" customWidth="1"/>
    <col min="99" max="99" width="8.42578125" style="1" bestFit="1" customWidth="1"/>
    <col min="100" max="100" width="7.7109375" style="1" bestFit="1" customWidth="1"/>
    <col min="101" max="101" width="7.85546875" style="1" bestFit="1" customWidth="1"/>
    <col min="102" max="102" width="7.28515625" style="1" bestFit="1" customWidth="1"/>
    <col min="103" max="103" width="8.42578125" style="1" bestFit="1" customWidth="1"/>
    <col min="104" max="104" width="7.7109375" style="1" bestFit="1" customWidth="1"/>
    <col min="105" max="105" width="7.85546875" style="1" bestFit="1" customWidth="1"/>
    <col min="106" max="106" width="7.28515625" style="1" bestFit="1" customWidth="1"/>
    <col min="107" max="107" width="8.42578125" style="1" bestFit="1" customWidth="1"/>
    <col min="108" max="108" width="7.7109375" style="1" bestFit="1" customWidth="1"/>
    <col min="109" max="109" width="7.85546875" style="1" bestFit="1" customWidth="1"/>
    <col min="110" max="110" width="7.28515625" style="1" bestFit="1" customWidth="1"/>
    <col min="111" max="111" width="8.42578125" style="1" bestFit="1" customWidth="1"/>
    <col min="112" max="112" width="7.7109375" style="1" bestFit="1" customWidth="1"/>
    <col min="113" max="113" width="7.85546875" style="1" bestFit="1" customWidth="1"/>
    <col min="114" max="114" width="7.28515625" style="1" bestFit="1" customWidth="1"/>
    <col min="115" max="115" width="8.42578125" style="1" bestFit="1" customWidth="1"/>
    <col min="116" max="116" width="7.7109375" style="1" bestFit="1" customWidth="1"/>
    <col min="117" max="117" width="7.85546875" style="1" bestFit="1" customWidth="1"/>
    <col min="118" max="118" width="7.28515625" style="1" bestFit="1" customWidth="1"/>
    <col min="119" max="119" width="8.42578125" style="1" bestFit="1" customWidth="1"/>
    <col min="120" max="120" width="7.7109375" style="1" bestFit="1" customWidth="1"/>
    <col min="121" max="121" width="7.85546875" style="1" bestFit="1" customWidth="1"/>
    <col min="122" max="122" width="7.28515625" style="1" bestFit="1" customWidth="1"/>
    <col min="123" max="123" width="6.85546875" style="1" bestFit="1" customWidth="1"/>
    <col min="124" max="124" width="8.5703125" style="1" bestFit="1" customWidth="1"/>
    <col min="125" max="125" width="9.140625" style="1" bestFit="1" customWidth="1"/>
    <col min="126" max="126" width="6.140625" style="1" bestFit="1" customWidth="1"/>
    <col min="127" max="127" width="17.85546875" style="1" bestFit="1" customWidth="1"/>
    <col min="128" max="128" width="6.85546875" style="1" bestFit="1" customWidth="1"/>
    <col min="129" max="190" width="9" style="1" customWidth="1"/>
  </cols>
  <sheetData>
    <row r="1" spans="1:191" x14ac:dyDescent="0.25">
      <c r="B1" s="1">
        <v>110</v>
      </c>
      <c r="C1" s="1">
        <v>111</v>
      </c>
      <c r="D1" s="1">
        <v>112</v>
      </c>
      <c r="E1" s="1">
        <v>113</v>
      </c>
      <c r="F1" s="1">
        <v>114</v>
      </c>
      <c r="G1" s="1">
        <v>115</v>
      </c>
      <c r="H1" s="1">
        <v>116</v>
      </c>
      <c r="I1" s="1">
        <v>117</v>
      </c>
      <c r="J1" s="1">
        <v>118</v>
      </c>
      <c r="K1" s="1">
        <v>119</v>
      </c>
      <c r="L1" s="1">
        <v>120</v>
      </c>
      <c r="M1" s="1">
        <v>121</v>
      </c>
      <c r="N1" s="1">
        <v>122</v>
      </c>
      <c r="O1" s="1">
        <v>123</v>
      </c>
      <c r="P1" s="1">
        <v>124</v>
      </c>
      <c r="Q1" s="1">
        <v>125</v>
      </c>
      <c r="R1" s="1">
        <v>126</v>
      </c>
      <c r="S1" s="1">
        <v>127</v>
      </c>
      <c r="T1" s="1">
        <v>128</v>
      </c>
      <c r="U1" s="1">
        <v>129</v>
      </c>
      <c r="V1" s="1">
        <v>130</v>
      </c>
      <c r="W1" s="1">
        <v>131</v>
      </c>
      <c r="X1" s="1">
        <v>132</v>
      </c>
      <c r="Y1" s="1">
        <v>133</v>
      </c>
      <c r="Z1" s="1">
        <v>134</v>
      </c>
      <c r="AA1" s="1">
        <v>135</v>
      </c>
      <c r="AB1" s="1">
        <v>136</v>
      </c>
      <c r="AC1" s="1">
        <v>137</v>
      </c>
      <c r="AD1" s="1">
        <v>138</v>
      </c>
      <c r="AE1" s="1">
        <v>139</v>
      </c>
      <c r="AF1" s="1">
        <v>140</v>
      </c>
      <c r="AG1" s="1">
        <v>141</v>
      </c>
      <c r="AH1" s="1">
        <v>142</v>
      </c>
      <c r="AI1" s="1">
        <v>143</v>
      </c>
      <c r="AJ1" s="1">
        <v>144</v>
      </c>
      <c r="AK1" s="1">
        <v>145</v>
      </c>
      <c r="AL1" s="1">
        <v>146</v>
      </c>
      <c r="AM1" s="1">
        <v>147</v>
      </c>
      <c r="AN1" s="1">
        <v>148</v>
      </c>
      <c r="AO1" s="1">
        <v>149</v>
      </c>
      <c r="AP1" s="1">
        <v>150</v>
      </c>
      <c r="AQ1" s="1">
        <v>151</v>
      </c>
      <c r="AR1" s="1">
        <v>152</v>
      </c>
      <c r="AS1" s="1">
        <v>153</v>
      </c>
      <c r="AT1" s="1">
        <v>154</v>
      </c>
      <c r="AU1" s="1">
        <v>155</v>
      </c>
      <c r="AV1" s="1">
        <v>156</v>
      </c>
      <c r="AW1" s="1">
        <v>157</v>
      </c>
      <c r="AX1" s="1">
        <v>158</v>
      </c>
      <c r="AY1" s="1">
        <v>159</v>
      </c>
      <c r="AZ1" s="1">
        <v>160</v>
      </c>
      <c r="BA1" s="1">
        <v>161</v>
      </c>
      <c r="BB1" s="1">
        <v>162</v>
      </c>
      <c r="BC1" s="1">
        <v>163</v>
      </c>
      <c r="BD1" s="1">
        <v>164</v>
      </c>
      <c r="BE1" s="1">
        <v>165</v>
      </c>
      <c r="BF1" s="1">
        <v>166</v>
      </c>
      <c r="BG1" s="1">
        <v>167</v>
      </c>
      <c r="BH1" s="1">
        <v>168</v>
      </c>
      <c r="BI1" s="1">
        <v>169</v>
      </c>
      <c r="BJ1" s="1">
        <v>170</v>
      </c>
      <c r="BK1" s="1">
        <v>171</v>
      </c>
      <c r="BL1" s="1">
        <v>172</v>
      </c>
      <c r="BM1" s="1">
        <v>173</v>
      </c>
      <c r="BN1" s="1">
        <v>174</v>
      </c>
      <c r="BO1" s="1">
        <v>175</v>
      </c>
      <c r="BP1" s="1">
        <v>176</v>
      </c>
      <c r="BQ1" s="1">
        <v>177</v>
      </c>
      <c r="BR1" s="1">
        <v>178</v>
      </c>
      <c r="BS1" s="1">
        <v>179</v>
      </c>
      <c r="BT1" s="1">
        <v>180</v>
      </c>
      <c r="BU1" s="1">
        <v>181</v>
      </c>
      <c r="BV1" s="1">
        <v>182</v>
      </c>
      <c r="BW1" s="1">
        <v>183</v>
      </c>
      <c r="BX1" s="1">
        <v>184</v>
      </c>
      <c r="BY1" s="1">
        <v>185</v>
      </c>
      <c r="BZ1" s="1">
        <v>186</v>
      </c>
      <c r="CA1" s="1">
        <v>187</v>
      </c>
      <c r="CB1" s="1">
        <v>188</v>
      </c>
      <c r="CC1" s="1">
        <v>189</v>
      </c>
      <c r="CD1" s="1">
        <v>190</v>
      </c>
      <c r="CE1" s="1">
        <v>191</v>
      </c>
      <c r="CF1" s="1">
        <v>192</v>
      </c>
      <c r="CG1" s="1">
        <v>193</v>
      </c>
      <c r="CH1" s="1">
        <v>194</v>
      </c>
      <c r="CI1" s="1">
        <v>195</v>
      </c>
      <c r="CJ1" s="1">
        <v>196</v>
      </c>
      <c r="CK1" s="1">
        <v>197</v>
      </c>
      <c r="CL1" s="1">
        <v>198</v>
      </c>
      <c r="CM1" s="1">
        <v>199</v>
      </c>
      <c r="CN1" s="1">
        <v>200</v>
      </c>
      <c r="CO1" s="1">
        <v>201</v>
      </c>
      <c r="CP1" s="1">
        <v>202</v>
      </c>
      <c r="CQ1" s="1">
        <v>203</v>
      </c>
      <c r="CR1" s="1">
        <v>204</v>
      </c>
      <c r="CS1" s="1">
        <v>205</v>
      </c>
      <c r="CT1" s="1">
        <v>206</v>
      </c>
      <c r="CU1" s="1">
        <v>207</v>
      </c>
      <c r="CV1" s="1">
        <v>208</v>
      </c>
      <c r="CW1" s="1">
        <v>209</v>
      </c>
      <c r="CX1" s="1">
        <v>210</v>
      </c>
      <c r="CY1" s="1">
        <v>211</v>
      </c>
      <c r="CZ1" s="1">
        <v>212</v>
      </c>
      <c r="DA1" s="1">
        <v>213</v>
      </c>
      <c r="DB1" s="1">
        <v>214</v>
      </c>
      <c r="DC1" s="1">
        <v>215</v>
      </c>
      <c r="DD1" s="1">
        <v>216</v>
      </c>
      <c r="DE1" s="1">
        <v>217</v>
      </c>
      <c r="DF1" s="1">
        <v>218</v>
      </c>
      <c r="DG1" s="1">
        <v>219</v>
      </c>
      <c r="DH1" s="1">
        <v>220</v>
      </c>
      <c r="DI1" s="1">
        <v>221</v>
      </c>
      <c r="DJ1" s="1">
        <v>222</v>
      </c>
      <c r="DK1" s="1">
        <v>223</v>
      </c>
      <c r="DL1" s="1">
        <v>224</v>
      </c>
      <c r="DM1" s="1">
        <v>225</v>
      </c>
      <c r="DN1" s="1">
        <v>226</v>
      </c>
      <c r="DO1" s="1">
        <v>227</v>
      </c>
      <c r="DP1" s="1">
        <v>228</v>
      </c>
      <c r="DQ1" s="1">
        <v>229</v>
      </c>
      <c r="DR1" s="1">
        <v>230</v>
      </c>
    </row>
    <row r="2" spans="1:191" x14ac:dyDescent="0.25">
      <c r="A2" s="3" t="s">
        <v>1</v>
      </c>
      <c r="B2" s="7">
        <v>37986</v>
      </c>
      <c r="C2" s="7">
        <v>38077</v>
      </c>
      <c r="D2" s="7">
        <v>38168</v>
      </c>
      <c r="E2" s="7">
        <v>38260</v>
      </c>
      <c r="F2" s="7">
        <v>38352</v>
      </c>
      <c r="G2" s="7">
        <v>38442</v>
      </c>
      <c r="H2" s="7">
        <v>38533</v>
      </c>
      <c r="I2" s="7">
        <v>38625</v>
      </c>
      <c r="J2" s="7">
        <v>38717</v>
      </c>
      <c r="K2" s="7">
        <v>38807</v>
      </c>
      <c r="L2" s="7">
        <v>38898</v>
      </c>
      <c r="M2" s="7">
        <v>38990</v>
      </c>
      <c r="N2" s="7">
        <v>39082</v>
      </c>
      <c r="O2" s="7">
        <v>39172</v>
      </c>
      <c r="P2" s="7">
        <v>39263</v>
      </c>
      <c r="Q2" s="7">
        <v>39355</v>
      </c>
      <c r="R2" s="7">
        <v>39447</v>
      </c>
      <c r="S2" s="7">
        <v>39538</v>
      </c>
      <c r="T2" s="7">
        <v>39629</v>
      </c>
      <c r="U2" s="7">
        <v>39721</v>
      </c>
      <c r="V2" s="7">
        <v>39813</v>
      </c>
      <c r="W2" s="7">
        <v>39903</v>
      </c>
      <c r="X2" s="7">
        <v>39994</v>
      </c>
      <c r="Y2" s="7">
        <v>40086</v>
      </c>
      <c r="Z2" s="7">
        <v>40178</v>
      </c>
      <c r="AA2" s="7">
        <v>40268</v>
      </c>
      <c r="AB2" s="7">
        <v>40359</v>
      </c>
      <c r="AC2" s="7">
        <v>40451</v>
      </c>
      <c r="AD2" s="7">
        <v>40543</v>
      </c>
      <c r="AE2" s="7">
        <v>40633</v>
      </c>
      <c r="AF2" s="7">
        <v>40724</v>
      </c>
      <c r="AG2" s="7">
        <v>40816</v>
      </c>
      <c r="AH2" s="7">
        <v>40908</v>
      </c>
      <c r="AI2" s="7">
        <v>40999</v>
      </c>
      <c r="AJ2" s="7">
        <v>41090</v>
      </c>
      <c r="AK2" s="7">
        <v>41182</v>
      </c>
      <c r="AL2" s="7">
        <v>41274</v>
      </c>
      <c r="AM2" s="7">
        <v>41364</v>
      </c>
      <c r="AN2" s="7">
        <v>41455</v>
      </c>
      <c r="AO2" s="7">
        <v>41547</v>
      </c>
      <c r="AP2" s="7">
        <v>41639</v>
      </c>
      <c r="AQ2" s="7">
        <v>41729</v>
      </c>
      <c r="AR2" s="7">
        <v>41820</v>
      </c>
      <c r="AS2" s="7">
        <v>41912</v>
      </c>
      <c r="AT2" s="7">
        <v>42004</v>
      </c>
      <c r="AU2" s="7">
        <v>42094</v>
      </c>
      <c r="AV2" s="7">
        <v>42185</v>
      </c>
      <c r="AW2" s="7">
        <v>42277</v>
      </c>
      <c r="AX2" s="7">
        <v>42369</v>
      </c>
      <c r="AY2" s="7">
        <v>42460</v>
      </c>
      <c r="AZ2" s="7">
        <v>42551</v>
      </c>
      <c r="BA2" s="7">
        <v>42643</v>
      </c>
      <c r="BB2" s="7">
        <v>42735</v>
      </c>
      <c r="BC2" s="7">
        <v>42825</v>
      </c>
      <c r="BD2" s="7">
        <v>42916</v>
      </c>
      <c r="BE2" s="7">
        <v>43008</v>
      </c>
      <c r="BF2" s="7">
        <v>43100</v>
      </c>
      <c r="BG2" s="7">
        <v>43190</v>
      </c>
      <c r="BH2" s="7">
        <v>43281</v>
      </c>
      <c r="BI2" s="7">
        <v>43373</v>
      </c>
      <c r="BJ2" s="7">
        <v>43465</v>
      </c>
      <c r="BK2" s="7">
        <v>43555</v>
      </c>
      <c r="BL2" s="7">
        <v>43646</v>
      </c>
      <c r="BM2" s="7">
        <v>43738</v>
      </c>
      <c r="BN2" s="7">
        <v>43830</v>
      </c>
      <c r="BO2" s="7">
        <v>43921</v>
      </c>
      <c r="BP2" s="7">
        <v>44012</v>
      </c>
      <c r="BQ2" s="7">
        <v>44104</v>
      </c>
      <c r="BR2" s="7">
        <v>44196</v>
      </c>
      <c r="BS2" s="7">
        <v>44286</v>
      </c>
      <c r="BT2" s="7">
        <v>44377</v>
      </c>
      <c r="BU2" s="7">
        <v>44469</v>
      </c>
      <c r="BV2" s="7">
        <v>44561</v>
      </c>
      <c r="BW2" s="7">
        <v>44651</v>
      </c>
      <c r="BX2" s="7">
        <v>44742</v>
      </c>
      <c r="BY2" s="7">
        <v>44834</v>
      </c>
      <c r="BZ2" s="7">
        <v>44926</v>
      </c>
      <c r="CA2" s="7">
        <v>45016</v>
      </c>
      <c r="CB2" s="7">
        <v>45107</v>
      </c>
      <c r="CC2" s="7">
        <v>45199</v>
      </c>
      <c r="CD2" s="7">
        <v>45291</v>
      </c>
      <c r="CE2" s="7">
        <v>45382</v>
      </c>
      <c r="CF2" s="7">
        <v>45473</v>
      </c>
      <c r="CG2" s="7">
        <v>45565</v>
      </c>
      <c r="CH2" s="7">
        <v>45657</v>
      </c>
      <c r="CI2" s="7">
        <v>45747</v>
      </c>
      <c r="CJ2" s="7">
        <v>45838</v>
      </c>
      <c r="CK2" s="7">
        <v>45930</v>
      </c>
      <c r="CL2" s="7">
        <v>46022</v>
      </c>
      <c r="CM2" s="7">
        <v>46112</v>
      </c>
      <c r="CN2" s="7">
        <v>46203</v>
      </c>
      <c r="CO2" s="7">
        <v>46295</v>
      </c>
      <c r="CP2" s="7">
        <v>46387</v>
      </c>
      <c r="CQ2" s="7">
        <v>46477</v>
      </c>
      <c r="CR2" s="7">
        <v>46568</v>
      </c>
      <c r="CS2" s="7">
        <v>46660</v>
      </c>
      <c r="CT2" s="7">
        <v>46752</v>
      </c>
      <c r="CU2" s="7">
        <v>46843</v>
      </c>
      <c r="CV2" s="7">
        <v>46934</v>
      </c>
      <c r="CW2" s="7">
        <v>47026</v>
      </c>
      <c r="CX2" s="7">
        <v>47118</v>
      </c>
      <c r="CY2" s="7">
        <v>47208</v>
      </c>
      <c r="CZ2" s="7">
        <v>47299</v>
      </c>
      <c r="DA2" s="7">
        <v>47391</v>
      </c>
      <c r="DB2" s="7">
        <v>47483</v>
      </c>
      <c r="DC2" s="7">
        <v>47573</v>
      </c>
      <c r="DD2" s="7">
        <v>47664</v>
      </c>
      <c r="DE2" s="7">
        <v>47756</v>
      </c>
      <c r="DF2" s="7">
        <v>47848</v>
      </c>
      <c r="DG2" s="7">
        <v>47938</v>
      </c>
      <c r="DH2" s="7">
        <v>48029</v>
      </c>
      <c r="DI2" s="7">
        <v>48121</v>
      </c>
      <c r="DJ2" s="7">
        <v>48213</v>
      </c>
      <c r="DK2" s="7">
        <v>48304</v>
      </c>
      <c r="DL2" s="7">
        <v>48395</v>
      </c>
      <c r="DM2" s="7">
        <v>48487</v>
      </c>
      <c r="DN2" s="7">
        <v>48579</v>
      </c>
      <c r="DO2" s="7">
        <v>48669</v>
      </c>
      <c r="DP2" s="7">
        <v>48760</v>
      </c>
      <c r="DQ2" s="7">
        <v>48852</v>
      </c>
      <c r="DR2" s="7">
        <v>48944</v>
      </c>
      <c r="DS2" s="6"/>
      <c r="DT2" s="6"/>
      <c r="DU2" s="6"/>
      <c r="DV2" s="6"/>
      <c r="DW2" s="6"/>
      <c r="DX2" s="6"/>
      <c r="DY2" s="6"/>
      <c r="DZ2" s="6"/>
      <c r="EA2" s="6"/>
      <c r="EB2" s="6"/>
      <c r="EC2" s="6"/>
      <c r="ED2" s="6"/>
      <c r="EE2" s="6"/>
      <c r="EF2" s="6"/>
      <c r="EG2" s="6"/>
      <c r="EH2" s="6"/>
      <c r="EI2" s="6"/>
      <c r="EJ2" s="6"/>
      <c r="EK2" s="6"/>
      <c r="EL2" s="6"/>
      <c r="EM2" s="6"/>
      <c r="EN2" s="6"/>
      <c r="EO2" s="6"/>
      <c r="EP2" s="6"/>
      <c r="EQ2" s="6"/>
      <c r="ER2" s="6"/>
      <c r="ES2" s="6"/>
      <c r="ET2" s="6"/>
      <c r="EU2" s="6"/>
      <c r="EV2" s="6"/>
      <c r="EW2" s="6"/>
      <c r="EX2" s="6"/>
      <c r="EY2" s="6"/>
      <c r="EZ2" s="6"/>
      <c r="FA2" s="6"/>
      <c r="FB2" s="6"/>
      <c r="FC2" s="6"/>
      <c r="FD2" s="6"/>
      <c r="FE2" s="6"/>
      <c r="FF2" s="6"/>
      <c r="FG2" s="6"/>
      <c r="FH2" s="6"/>
      <c r="FI2" s="6"/>
      <c r="FJ2" s="6"/>
      <c r="FK2" s="6"/>
      <c r="FL2" s="6"/>
      <c r="FM2" s="6"/>
      <c r="FN2" s="6"/>
      <c r="FO2" s="6"/>
      <c r="FP2" s="6"/>
      <c r="FQ2" s="6"/>
      <c r="FR2" s="6"/>
      <c r="FS2" s="6"/>
      <c r="FT2" s="6"/>
      <c r="FU2" s="6"/>
      <c r="FV2" s="6"/>
      <c r="FW2" s="6"/>
      <c r="FX2" s="6"/>
      <c r="FY2" s="6"/>
      <c r="FZ2" s="6"/>
      <c r="GA2" s="6"/>
      <c r="GB2" s="6"/>
      <c r="GC2" s="6"/>
      <c r="GD2" s="6"/>
      <c r="GE2" s="6"/>
      <c r="GF2" s="6"/>
      <c r="GG2" s="6"/>
      <c r="GH2" s="6"/>
      <c r="GI2" s="6"/>
    </row>
    <row r="3" spans="1:191" x14ac:dyDescent="0.25">
      <c r="A3" s="4">
        <v>1</v>
      </c>
      <c r="B3" s="1">
        <v>2300011.5590964165</v>
      </c>
      <c r="C3" s="1">
        <v>2248840.9119700622</v>
      </c>
      <c r="D3" s="1">
        <v>2268208.0395917534</v>
      </c>
      <c r="E3" s="1">
        <v>2201835.7622694774</v>
      </c>
      <c r="F3" s="1">
        <v>2163492.9244445157</v>
      </c>
      <c r="G3" s="1">
        <v>2011290.5430664858</v>
      </c>
      <c r="H3" s="1">
        <v>1908103.5515196291</v>
      </c>
      <c r="I3" s="1">
        <v>1696489.0188682429</v>
      </c>
      <c r="J3" s="1">
        <v>1833758.1709731517</v>
      </c>
      <c r="K3" s="1">
        <v>1912047.7110052989</v>
      </c>
      <c r="L3" s="1">
        <v>1841577.0236606628</v>
      </c>
      <c r="M3" s="1">
        <v>1809494.8750358392</v>
      </c>
      <c r="N3" s="1">
        <v>1838503.1490487321</v>
      </c>
      <c r="O3" s="1">
        <v>1805673.3402389544</v>
      </c>
      <c r="P3" s="1">
        <v>1748826.8970759045</v>
      </c>
      <c r="Q3" s="1">
        <v>1871386.3251440774</v>
      </c>
      <c r="R3" s="1">
        <v>2003653.2505611763</v>
      </c>
      <c r="S3" s="1">
        <v>2239994.0995333362</v>
      </c>
      <c r="T3" s="1">
        <v>2547789.2605426684</v>
      </c>
      <c r="U3" s="1">
        <v>2805628.0420823223</v>
      </c>
      <c r="V3" s="1">
        <v>3538013.836341084</v>
      </c>
      <c r="W3" s="1">
        <v>4597112.0931465216</v>
      </c>
      <c r="X3" s="1">
        <v>4478685.9351685941</v>
      </c>
      <c r="Y3" s="1">
        <v>4414109.0512289293</v>
      </c>
      <c r="Z3" s="1">
        <v>4551797.8689795285</v>
      </c>
      <c r="AA3" s="1">
        <v>4632704.7554434203</v>
      </c>
      <c r="AB3" s="1">
        <v>4712426.3585343715</v>
      </c>
      <c r="AC3" s="1">
        <v>4757357.847555574</v>
      </c>
      <c r="AD3" s="1">
        <v>4882067.9008974424</v>
      </c>
      <c r="AE3" s="1">
        <v>4920695.2428322881</v>
      </c>
      <c r="AF3" s="1">
        <v>4774525.0619566962</v>
      </c>
      <c r="AG3" s="1">
        <v>5233241.9599959645</v>
      </c>
      <c r="AH3" s="1">
        <v>5547971.5680203196</v>
      </c>
      <c r="AI3" s="1">
        <v>5751888.6158399768</v>
      </c>
      <c r="AJ3" s="1">
        <v>5822770.6053657793</v>
      </c>
      <c r="AK3" s="1">
        <v>6070465.8137099463</v>
      </c>
      <c r="AL3" s="1">
        <v>6259859.2121782303</v>
      </c>
      <c r="AM3" s="1">
        <v>6257359.7066525016</v>
      </c>
      <c r="AN3" s="1">
        <v>5965205.6460114587</v>
      </c>
      <c r="AO3" s="1">
        <v>6032043.9468601644</v>
      </c>
      <c r="AP3" s="1">
        <v>6047043.4072519923</v>
      </c>
      <c r="AQ3" s="1">
        <v>5675520.7916737236</v>
      </c>
      <c r="AR3" s="1">
        <v>5451884.2565428801</v>
      </c>
      <c r="AS3" s="1">
        <v>5399126.7073959531</v>
      </c>
      <c r="AT3" s="1">
        <v>5535370.5250224657</v>
      </c>
      <c r="AU3" s="1">
        <v>5179160.7183462866</v>
      </c>
      <c r="AV3" s="1">
        <v>4986691.025786167</v>
      </c>
      <c r="AW3" s="1">
        <v>4783870.7039360218</v>
      </c>
      <c r="AX3" s="1">
        <v>4759574.5424042922</v>
      </c>
      <c r="AY3" s="1">
        <v>4545072.2314543445</v>
      </c>
      <c r="AZ3" s="1">
        <v>4420159.2554160859</v>
      </c>
      <c r="BA3" s="1">
        <v>4269585.1170854997</v>
      </c>
      <c r="BB3" s="1">
        <v>4232019.5216646362</v>
      </c>
      <c r="BC3" s="1">
        <v>4037096.2049106089</v>
      </c>
      <c r="BD3" s="1">
        <v>3665633.7804577937</v>
      </c>
      <c r="BE3" s="1">
        <v>3691339.633102763</v>
      </c>
      <c r="BF3" s="1">
        <v>3835147.0299321618</v>
      </c>
      <c r="BG3" s="1">
        <v>3570455.3736621095</v>
      </c>
      <c r="BH3" s="1">
        <v>3304987.2109345868</v>
      </c>
      <c r="BI3" s="1">
        <v>3336743.0788786793</v>
      </c>
      <c r="BJ3" s="1">
        <v>3325348.3961963039</v>
      </c>
      <c r="BK3" s="1">
        <v>3131313.8789051753</v>
      </c>
      <c r="BL3" s="1">
        <v>3157509.8029803848</v>
      </c>
      <c r="BM3" s="1">
        <v>3302613.0888515282</v>
      </c>
      <c r="BN3" s="1">
        <v>3226957.0023528412</v>
      </c>
      <c r="BO3" s="1">
        <v>3194348.2810339862</v>
      </c>
      <c r="BP3" s="1">
        <v>3416647.3588174698</v>
      </c>
      <c r="BQ3" s="1">
        <v>4003341.0413573477</v>
      </c>
      <c r="BR3" s="1">
        <v>3820539.8291295618</v>
      </c>
      <c r="BS3" s="1" t="s">
        <v>10</v>
      </c>
      <c r="BT3" s="1" t="s">
        <v>10</v>
      </c>
      <c r="BU3" s="1" t="s">
        <v>10</v>
      </c>
      <c r="BV3" s="1" t="s">
        <v>10</v>
      </c>
      <c r="BW3" s="1" t="s">
        <v>10</v>
      </c>
      <c r="BX3" s="1" t="s">
        <v>10</v>
      </c>
      <c r="BY3" s="1" t="s">
        <v>10</v>
      </c>
      <c r="BZ3" s="1" t="s">
        <v>10</v>
      </c>
      <c r="CA3" s="1" t="s">
        <v>10</v>
      </c>
      <c r="CB3" s="1" t="s">
        <v>10</v>
      </c>
      <c r="CC3" s="1" t="s">
        <v>10</v>
      </c>
      <c r="CD3" s="1" t="s">
        <v>10</v>
      </c>
      <c r="CE3" s="1" t="s">
        <v>10</v>
      </c>
      <c r="CF3" s="1" t="s">
        <v>10</v>
      </c>
      <c r="CG3" s="1" t="s">
        <v>10</v>
      </c>
      <c r="CH3" s="1" t="s">
        <v>10</v>
      </c>
      <c r="CI3" s="1" t="s">
        <v>10</v>
      </c>
      <c r="CJ3" s="1" t="s">
        <v>10</v>
      </c>
      <c r="CK3" s="1" t="s">
        <v>10</v>
      </c>
      <c r="CL3" s="1" t="s">
        <v>10</v>
      </c>
      <c r="CM3" s="1" t="s">
        <v>10</v>
      </c>
      <c r="CN3" s="1" t="s">
        <v>10</v>
      </c>
      <c r="CO3" s="1" t="s">
        <v>10</v>
      </c>
      <c r="CP3" s="1" t="s">
        <v>10</v>
      </c>
      <c r="CQ3" s="1" t="s">
        <v>10</v>
      </c>
      <c r="CR3" s="1" t="s">
        <v>10</v>
      </c>
      <c r="CS3" s="1" t="s">
        <v>10</v>
      </c>
      <c r="CT3" s="1" t="s">
        <v>10</v>
      </c>
      <c r="CU3" s="1" t="s">
        <v>10</v>
      </c>
      <c r="CV3" s="1" t="s">
        <v>10</v>
      </c>
      <c r="CW3" s="1" t="s">
        <v>10</v>
      </c>
      <c r="CX3" s="1" t="s">
        <v>10</v>
      </c>
      <c r="CY3" s="1" t="s">
        <v>10</v>
      </c>
      <c r="CZ3" s="1" t="s">
        <v>10</v>
      </c>
      <c r="DA3" s="1" t="s">
        <v>10</v>
      </c>
      <c r="DB3" s="1" t="s">
        <v>10</v>
      </c>
      <c r="DC3" s="1" t="s">
        <v>10</v>
      </c>
      <c r="DD3" s="1" t="s">
        <v>10</v>
      </c>
      <c r="DE3" s="1" t="s">
        <v>10</v>
      </c>
      <c r="DF3" s="1" t="s">
        <v>10</v>
      </c>
      <c r="DG3" s="1" t="s">
        <v>10</v>
      </c>
      <c r="DH3" s="1" t="s">
        <v>10</v>
      </c>
      <c r="DI3" s="1" t="s">
        <v>10</v>
      </c>
      <c r="DJ3" s="1" t="s">
        <v>10</v>
      </c>
      <c r="DK3" s="1" t="s">
        <v>10</v>
      </c>
      <c r="DL3" s="1" t="s">
        <v>10</v>
      </c>
      <c r="DM3" s="1" t="s">
        <v>10</v>
      </c>
      <c r="DN3" s="1" t="s">
        <v>10</v>
      </c>
      <c r="DO3" s="1" t="s">
        <v>10</v>
      </c>
      <c r="DP3" s="1" t="s">
        <v>10</v>
      </c>
      <c r="DQ3" s="1" t="s">
        <v>10</v>
      </c>
      <c r="DR3" s="1" t="s">
        <v>10</v>
      </c>
      <c r="GI3" s="1"/>
    </row>
    <row r="4" spans="1:191" x14ac:dyDescent="0.25">
      <c r="A4" s="4">
        <v>2</v>
      </c>
      <c r="B4" s="1">
        <v>2246440.1344357356</v>
      </c>
      <c r="C4" s="1">
        <v>2259527.9122639671</v>
      </c>
      <c r="D4" s="1">
        <v>2318182.9953883467</v>
      </c>
      <c r="E4" s="1">
        <v>2186720.7916887905</v>
      </c>
      <c r="F4" s="1">
        <v>2107673.3064316437</v>
      </c>
      <c r="G4" s="1">
        <v>1996768.3494326361</v>
      </c>
      <c r="H4" s="1">
        <v>1896221.2104784534</v>
      </c>
      <c r="I4" s="1">
        <v>1618571.7514550416</v>
      </c>
      <c r="J4" s="1">
        <v>1771683.2255608412</v>
      </c>
      <c r="K4" s="1">
        <v>1910674.0437997039</v>
      </c>
      <c r="L4" s="1">
        <v>1867540.65298619</v>
      </c>
      <c r="M4" s="1">
        <v>1790938.3505848958</v>
      </c>
      <c r="N4" s="1">
        <v>1799984.0882474943</v>
      </c>
      <c r="O4" s="1">
        <v>1802958.8005077699</v>
      </c>
      <c r="P4" s="1">
        <v>1786314.5781360804</v>
      </c>
      <c r="Q4" s="1">
        <v>1893653.0095598262</v>
      </c>
      <c r="R4" s="1">
        <v>1991168.3622264531</v>
      </c>
      <c r="S4" s="1">
        <v>2325839.9682859038</v>
      </c>
      <c r="T4" s="1">
        <v>2741031.8314549299</v>
      </c>
      <c r="U4" s="1">
        <v>2964154.6358443312</v>
      </c>
      <c r="V4" s="1">
        <v>3810046.7783651007</v>
      </c>
      <c r="W4" s="1">
        <v>5261347.6294043325</v>
      </c>
      <c r="X4" s="1">
        <v>4908672.4801842719</v>
      </c>
      <c r="Y4" s="1">
        <v>4694252.6929134279</v>
      </c>
      <c r="Z4" s="1">
        <v>4625439.6440031519</v>
      </c>
      <c r="AA4" s="1">
        <v>4697980.9180367421</v>
      </c>
      <c r="AB4" s="1">
        <v>4959508.7922125515</v>
      </c>
      <c r="AC4" s="1">
        <v>4983417.7381201172</v>
      </c>
      <c r="AD4" s="1">
        <v>4853493.4552947572</v>
      </c>
      <c r="AE4" s="1">
        <v>4905292.1416780706</v>
      </c>
      <c r="AF4" s="1">
        <v>4872516.3972313767</v>
      </c>
      <c r="AG4" s="1">
        <v>5489123.559839204</v>
      </c>
      <c r="AH4" s="1">
        <v>5566032.8656941196</v>
      </c>
      <c r="AI4" s="1">
        <v>5853067.4064435437</v>
      </c>
      <c r="AJ4" s="1">
        <v>6051371.5913985083</v>
      </c>
      <c r="AK4" s="1">
        <v>6332423.7787027266</v>
      </c>
      <c r="AL4" s="1">
        <v>6268396.4392402787</v>
      </c>
      <c r="AM4" s="1">
        <v>6337260.3185701538</v>
      </c>
      <c r="AN4" s="1">
        <v>6070538.3514593197</v>
      </c>
      <c r="AO4" s="1">
        <v>6185382.9452322498</v>
      </c>
      <c r="AP4" s="1">
        <v>5876363.4857498128</v>
      </c>
      <c r="AQ4" s="1">
        <v>5577456.7316047335</v>
      </c>
      <c r="AR4" s="1">
        <v>5428256.5907458821</v>
      </c>
      <c r="AS4" s="1">
        <v>5444042.5559625821</v>
      </c>
      <c r="AT4" s="1">
        <v>5329297.6630869983</v>
      </c>
      <c r="AU4" s="1">
        <v>5049533.9708223445</v>
      </c>
      <c r="AV4" s="1">
        <v>5010747.4307798445</v>
      </c>
      <c r="AW4" s="1">
        <v>4766973.0258890921</v>
      </c>
      <c r="AX4" s="1">
        <v>4520293.5249871146</v>
      </c>
      <c r="AY4" s="1">
        <v>4381045.9000978731</v>
      </c>
      <c r="AZ4" s="1">
        <v>4431465.9694692614</v>
      </c>
      <c r="BA4" s="1">
        <v>4285535.9016653188</v>
      </c>
      <c r="BB4" s="1">
        <v>4015903.465455879</v>
      </c>
      <c r="BC4" s="1">
        <v>3876810.8764149006</v>
      </c>
      <c r="BD4" s="1">
        <v>3643122.6726746978</v>
      </c>
      <c r="BE4" s="1">
        <v>3708353.8992964113</v>
      </c>
      <c r="BF4" s="1">
        <v>3630851.0028024074</v>
      </c>
      <c r="BG4" s="1">
        <v>3417797.2792218341</v>
      </c>
      <c r="BH4" s="1">
        <v>3291678.4901857283</v>
      </c>
      <c r="BI4" s="1">
        <v>3375115.8170602224</v>
      </c>
      <c r="BJ4" s="1">
        <v>3098082.2596104117</v>
      </c>
      <c r="BK4" s="1">
        <v>2988328.0638306122</v>
      </c>
      <c r="BL4" s="1">
        <v>3219365.3249422591</v>
      </c>
      <c r="BM4" s="1">
        <v>3413927.4709267793</v>
      </c>
      <c r="BN4" s="1">
        <v>3082366.2396967206</v>
      </c>
      <c r="BO4" s="1">
        <v>3148679.4769085776</v>
      </c>
      <c r="BP4" s="1">
        <v>3544354.0722100297</v>
      </c>
      <c r="BQ4" s="1">
        <v>4259438.3506689453</v>
      </c>
      <c r="BR4" s="1">
        <v>3791346.7147098817</v>
      </c>
      <c r="BS4" s="1" t="s">
        <v>10</v>
      </c>
      <c r="BT4" s="1" t="s">
        <v>10</v>
      </c>
      <c r="BU4" s="1" t="s">
        <v>10</v>
      </c>
      <c r="BV4" s="1" t="s">
        <v>10</v>
      </c>
      <c r="BW4" s="1" t="s">
        <v>10</v>
      </c>
      <c r="BX4" s="1" t="s">
        <v>10</v>
      </c>
      <c r="BY4" s="1" t="s">
        <v>10</v>
      </c>
      <c r="BZ4" s="1" t="s">
        <v>10</v>
      </c>
      <c r="CA4" s="1" t="s">
        <v>10</v>
      </c>
      <c r="CB4" s="1" t="s">
        <v>10</v>
      </c>
      <c r="CC4" s="1" t="s">
        <v>10</v>
      </c>
      <c r="CD4" s="1" t="s">
        <v>10</v>
      </c>
      <c r="CE4" s="1" t="s">
        <v>10</v>
      </c>
      <c r="CF4" s="1" t="s">
        <v>10</v>
      </c>
      <c r="CG4" s="1" t="s">
        <v>10</v>
      </c>
      <c r="CH4" s="1" t="s">
        <v>10</v>
      </c>
      <c r="CI4" s="1" t="s">
        <v>10</v>
      </c>
      <c r="CJ4" s="1" t="s">
        <v>10</v>
      </c>
      <c r="CK4" s="1" t="s">
        <v>10</v>
      </c>
      <c r="CL4" s="1" t="s">
        <v>10</v>
      </c>
      <c r="CM4" s="1" t="s">
        <v>10</v>
      </c>
      <c r="CN4" s="1" t="s">
        <v>10</v>
      </c>
      <c r="CO4" s="1" t="s">
        <v>10</v>
      </c>
      <c r="CP4" s="1" t="s">
        <v>10</v>
      </c>
      <c r="CQ4" s="1" t="s">
        <v>10</v>
      </c>
      <c r="CR4" s="1" t="s">
        <v>10</v>
      </c>
      <c r="CS4" s="1" t="s">
        <v>10</v>
      </c>
      <c r="CT4" s="1" t="s">
        <v>10</v>
      </c>
      <c r="CU4" s="1" t="s">
        <v>10</v>
      </c>
      <c r="CV4" s="1" t="s">
        <v>10</v>
      </c>
      <c r="CW4" s="1" t="s">
        <v>10</v>
      </c>
      <c r="CX4" s="1" t="s">
        <v>10</v>
      </c>
      <c r="CY4" s="1" t="s">
        <v>10</v>
      </c>
      <c r="CZ4" s="1" t="s">
        <v>10</v>
      </c>
      <c r="DA4" s="1" t="s">
        <v>10</v>
      </c>
      <c r="DB4" s="1" t="s">
        <v>10</v>
      </c>
      <c r="DC4" s="1" t="s">
        <v>10</v>
      </c>
      <c r="DD4" s="1" t="s">
        <v>10</v>
      </c>
      <c r="DE4" s="1" t="s">
        <v>10</v>
      </c>
      <c r="DF4" s="1" t="s">
        <v>10</v>
      </c>
      <c r="DG4" s="1" t="s">
        <v>10</v>
      </c>
      <c r="DH4" s="1" t="s">
        <v>10</v>
      </c>
      <c r="DI4" s="1" t="s">
        <v>10</v>
      </c>
      <c r="DJ4" s="1" t="s">
        <v>10</v>
      </c>
      <c r="DK4" s="1" t="s">
        <v>10</v>
      </c>
      <c r="DL4" s="1" t="s">
        <v>10</v>
      </c>
      <c r="DM4" s="1" t="s">
        <v>10</v>
      </c>
      <c r="DN4" s="1" t="s">
        <v>10</v>
      </c>
      <c r="DO4" s="1" t="s">
        <v>10</v>
      </c>
      <c r="DP4" s="1" t="s">
        <v>10</v>
      </c>
      <c r="DQ4" s="1" t="s">
        <v>10</v>
      </c>
      <c r="DR4" s="1" t="s">
        <v>10</v>
      </c>
      <c r="GI4" s="1"/>
    </row>
    <row r="5" spans="1:191" x14ac:dyDescent="0.25">
      <c r="A5" s="5">
        <v>3</v>
      </c>
      <c r="B5" s="1">
        <v>2277702.7930831257</v>
      </c>
      <c r="C5" s="1">
        <v>2287717.489352203</v>
      </c>
      <c r="D5" s="1">
        <v>2345240.2576420293</v>
      </c>
      <c r="E5" s="1">
        <v>2129529.7758606821</v>
      </c>
      <c r="F5" s="1">
        <v>2087843.0760204117</v>
      </c>
      <c r="G5" s="1">
        <v>1989751.5133882225</v>
      </c>
      <c r="H5" s="1">
        <v>1878457.5080308043</v>
      </c>
      <c r="I5" s="1">
        <v>1475221.7101417889</v>
      </c>
      <c r="J5" s="1">
        <v>1728620.4246178514</v>
      </c>
      <c r="K5" s="1">
        <v>1973225.0649709888</v>
      </c>
      <c r="L5" s="1">
        <v>1903605.0276455926</v>
      </c>
      <c r="M5" s="1">
        <v>1709871.302203469</v>
      </c>
      <c r="N5" s="1">
        <v>1764467.8236317351</v>
      </c>
      <c r="O5" s="1">
        <v>1835056.4672927987</v>
      </c>
      <c r="P5" s="1">
        <v>1823838.6716999812</v>
      </c>
      <c r="Q5" s="1">
        <v>1830597.0306744622</v>
      </c>
      <c r="R5" s="1">
        <v>1999714.4344001263</v>
      </c>
      <c r="S5" s="1">
        <v>2443004.9124340774</v>
      </c>
      <c r="T5" s="1">
        <v>2887227.2654561209</v>
      </c>
      <c r="U5" s="1">
        <v>3002457.2544923304</v>
      </c>
      <c r="V5" s="1">
        <v>4079131.5446581552</v>
      </c>
      <c r="W5" s="1">
        <v>6013718.5025654398</v>
      </c>
      <c r="X5" s="1">
        <v>5265348.0320312865</v>
      </c>
      <c r="Y5" s="1">
        <v>4694845.6823273404</v>
      </c>
      <c r="Z5" s="1">
        <v>4655873.5199585836</v>
      </c>
      <c r="AA5" s="1">
        <v>4909925.7367615048</v>
      </c>
      <c r="AB5" s="1">
        <v>5284430.178463323</v>
      </c>
      <c r="AC5" s="1">
        <v>4961296.8213767456</v>
      </c>
      <c r="AD5" s="1">
        <v>4834762.1553169433</v>
      </c>
      <c r="AE5" s="1">
        <v>5068506.9830195839</v>
      </c>
      <c r="AF5" s="1">
        <v>5054791.426341977</v>
      </c>
      <c r="AG5" s="1">
        <v>5521744.6596723106</v>
      </c>
      <c r="AH5" s="1">
        <v>5641965.5015915837</v>
      </c>
      <c r="AI5" s="1">
        <v>6150748.610056621</v>
      </c>
      <c r="AJ5" s="1">
        <v>6321902.4719157368</v>
      </c>
      <c r="AK5" s="1">
        <v>6345112.8275969662</v>
      </c>
      <c r="AL5" s="1">
        <v>6325574.3939382993</v>
      </c>
      <c r="AM5" s="1">
        <v>6553469.524894272</v>
      </c>
      <c r="AN5" s="1">
        <v>6245041.0289789028</v>
      </c>
      <c r="AO5" s="1">
        <v>6055018.3898543045</v>
      </c>
      <c r="AP5" s="1">
        <v>5828082.5215221038</v>
      </c>
      <c r="AQ5" s="1">
        <v>5615903.9836483672</v>
      </c>
      <c r="AR5" s="1">
        <v>5473220.5917904144</v>
      </c>
      <c r="AS5" s="1">
        <v>5231804.1691342387</v>
      </c>
      <c r="AT5" s="1">
        <v>5237066.2756706588</v>
      </c>
      <c r="AU5" s="1">
        <v>5090310.4116509426</v>
      </c>
      <c r="AV5" s="1">
        <v>5028191.9459137432</v>
      </c>
      <c r="AW5" s="1">
        <v>4516280.6597110219</v>
      </c>
      <c r="AX5" s="1">
        <v>4335655.6286730897</v>
      </c>
      <c r="AY5" s="1">
        <v>4380773.30190886</v>
      </c>
      <c r="AZ5" s="1">
        <v>4469618.4676682204</v>
      </c>
      <c r="BA5" s="1">
        <v>4085147.1966202767</v>
      </c>
      <c r="BB5" s="1">
        <v>3826864.1760410578</v>
      </c>
      <c r="BC5" s="1">
        <v>3853255.902819383</v>
      </c>
      <c r="BD5" s="1">
        <v>3574584.4906969294</v>
      </c>
      <c r="BE5" s="1">
        <v>3471077.8896045587</v>
      </c>
      <c r="BF5" s="1">
        <v>3524087.9830900664</v>
      </c>
      <c r="BG5" s="1">
        <v>3448908.2237016987</v>
      </c>
      <c r="BH5" s="1">
        <v>3284000.4549571928</v>
      </c>
      <c r="BI5" s="1">
        <v>3138392.1086466145</v>
      </c>
      <c r="BJ5" s="1">
        <v>2960583.0544555122</v>
      </c>
      <c r="BK5" s="1">
        <v>3010099.6799879475</v>
      </c>
      <c r="BL5" s="1">
        <v>3298379.7146543763</v>
      </c>
      <c r="BM5" s="1">
        <v>3284175.1620291467</v>
      </c>
      <c r="BN5" s="1">
        <v>3007932.2241036883</v>
      </c>
      <c r="BO5" s="1">
        <v>3168317.783833466</v>
      </c>
      <c r="BP5" s="1">
        <v>3692150.6793940635</v>
      </c>
      <c r="BQ5" s="1">
        <v>4293026.3611304639</v>
      </c>
      <c r="BR5" s="1">
        <v>3809561.5637208018</v>
      </c>
      <c r="BS5" s="1" t="s">
        <v>10</v>
      </c>
      <c r="BT5" s="1" t="s">
        <v>10</v>
      </c>
      <c r="BU5" s="1" t="s">
        <v>10</v>
      </c>
      <c r="BV5" s="1" t="s">
        <v>10</v>
      </c>
      <c r="BW5" s="1" t="s">
        <v>10</v>
      </c>
      <c r="BX5" s="1" t="s">
        <v>10</v>
      </c>
      <c r="BY5" s="1" t="s">
        <v>10</v>
      </c>
      <c r="BZ5" s="1" t="s">
        <v>10</v>
      </c>
      <c r="CA5" s="1" t="s">
        <v>10</v>
      </c>
      <c r="CB5" s="1" t="s">
        <v>10</v>
      </c>
      <c r="CC5" s="1" t="s">
        <v>10</v>
      </c>
      <c r="CD5" s="1" t="s">
        <v>10</v>
      </c>
      <c r="CE5" s="1" t="s">
        <v>10</v>
      </c>
      <c r="CF5" s="1" t="s">
        <v>10</v>
      </c>
      <c r="CG5" s="1" t="s">
        <v>10</v>
      </c>
      <c r="CH5" s="1" t="s">
        <v>10</v>
      </c>
      <c r="CI5" s="1" t="s">
        <v>10</v>
      </c>
      <c r="CJ5" s="1" t="s">
        <v>10</v>
      </c>
      <c r="CK5" s="1" t="s">
        <v>10</v>
      </c>
      <c r="CL5" s="1" t="s">
        <v>10</v>
      </c>
      <c r="CM5" s="1" t="s">
        <v>10</v>
      </c>
      <c r="CN5" s="1" t="s">
        <v>10</v>
      </c>
      <c r="CO5" s="1" t="s">
        <v>10</v>
      </c>
      <c r="CP5" s="1" t="s">
        <v>10</v>
      </c>
      <c r="CQ5" s="1" t="s">
        <v>10</v>
      </c>
      <c r="CR5" s="1" t="s">
        <v>10</v>
      </c>
      <c r="CS5" s="1" t="s">
        <v>10</v>
      </c>
      <c r="CT5" s="1" t="s">
        <v>10</v>
      </c>
      <c r="CU5" s="1" t="s">
        <v>10</v>
      </c>
      <c r="CV5" s="1" t="s">
        <v>10</v>
      </c>
      <c r="CW5" s="1" t="s">
        <v>10</v>
      </c>
      <c r="CX5" s="1" t="s">
        <v>10</v>
      </c>
      <c r="CY5" s="1" t="s">
        <v>10</v>
      </c>
      <c r="CZ5" s="1" t="s">
        <v>10</v>
      </c>
      <c r="DA5" s="1" t="s">
        <v>10</v>
      </c>
      <c r="DB5" s="1" t="s">
        <v>10</v>
      </c>
      <c r="DC5" s="1" t="s">
        <v>10</v>
      </c>
      <c r="DD5" s="1" t="s">
        <v>10</v>
      </c>
      <c r="DE5" s="1" t="s">
        <v>10</v>
      </c>
      <c r="DF5" s="1" t="s">
        <v>10</v>
      </c>
      <c r="DG5" s="1" t="s">
        <v>10</v>
      </c>
      <c r="DH5" s="1" t="s">
        <v>10</v>
      </c>
      <c r="DI5" s="1" t="s">
        <v>10</v>
      </c>
      <c r="DJ5" s="1" t="s">
        <v>10</v>
      </c>
      <c r="DK5" s="1" t="s">
        <v>10</v>
      </c>
      <c r="DL5" s="1" t="s">
        <v>10</v>
      </c>
      <c r="DM5" s="1" t="s">
        <v>10</v>
      </c>
      <c r="DN5" s="1" t="s">
        <v>10</v>
      </c>
      <c r="DO5" s="1" t="s">
        <v>10</v>
      </c>
      <c r="DP5" s="1" t="s">
        <v>10</v>
      </c>
      <c r="DQ5" s="1" t="s">
        <v>10</v>
      </c>
      <c r="DR5" s="1" t="s">
        <v>10</v>
      </c>
      <c r="GI5" s="1"/>
    </row>
    <row r="6" spans="1:191" x14ac:dyDescent="0.25">
      <c r="A6" s="5">
        <v>4</v>
      </c>
      <c r="B6" s="1">
        <v>2303122.1670218115</v>
      </c>
      <c r="C6" s="1">
        <v>2317318.57796745</v>
      </c>
      <c r="D6" s="1">
        <v>2277878.1475235815</v>
      </c>
      <c r="E6" s="1">
        <v>2116354.7580813412</v>
      </c>
      <c r="F6" s="1">
        <v>2087963.0982583212</v>
      </c>
      <c r="G6" s="1">
        <v>1962221.630356909</v>
      </c>
      <c r="H6" s="1">
        <v>1775432.7468877272</v>
      </c>
      <c r="I6" s="1">
        <v>1409871.3698718646</v>
      </c>
      <c r="J6" s="1">
        <v>1737268.6195569835</v>
      </c>
      <c r="K6" s="1">
        <v>2023182.6600743597</v>
      </c>
      <c r="L6" s="1">
        <v>1817916.2665004961</v>
      </c>
      <c r="M6" s="1">
        <v>1681728.7169244662</v>
      </c>
      <c r="N6" s="1">
        <v>1791528.5825139396</v>
      </c>
      <c r="O6" s="1">
        <v>1867471.6833847153</v>
      </c>
      <c r="P6" s="1">
        <v>1749509.5913883592</v>
      </c>
      <c r="Q6" s="1">
        <v>1838852.6328537501</v>
      </c>
      <c r="R6" s="1">
        <v>2067018.4382704161</v>
      </c>
      <c r="S6" s="1">
        <v>2537705.9172172556</v>
      </c>
      <c r="T6" s="1">
        <v>2918128.4694214449</v>
      </c>
      <c r="U6" s="1">
        <v>3092546.8841044516</v>
      </c>
      <c r="V6" s="1">
        <v>4367201.2659803666</v>
      </c>
      <c r="W6" s="1">
        <v>6755616.9195534419</v>
      </c>
      <c r="X6" s="1">
        <v>5376445.2139824089</v>
      </c>
      <c r="Y6" s="1">
        <v>4732900.8817733219</v>
      </c>
      <c r="Z6" s="1">
        <v>4964167.2042593472</v>
      </c>
      <c r="AA6" s="1">
        <v>5216600.9681567196</v>
      </c>
      <c r="AB6" s="1">
        <v>5306278.3942141291</v>
      </c>
      <c r="AC6" s="1">
        <v>4983184.1499394719</v>
      </c>
      <c r="AD6" s="1">
        <v>4965360.3301162943</v>
      </c>
      <c r="AE6" s="1">
        <v>5219867.693111334</v>
      </c>
      <c r="AF6" s="1">
        <v>5002286.9732101131</v>
      </c>
      <c r="AG6" s="1">
        <v>5547345.4731820151</v>
      </c>
      <c r="AH6" s="1">
        <v>5829706.4279330745</v>
      </c>
      <c r="AI6" s="1">
        <v>6384586.1380246924</v>
      </c>
      <c r="AJ6" s="1">
        <v>6355441.3276725989</v>
      </c>
      <c r="AK6" s="1">
        <v>6394187.4657457415</v>
      </c>
      <c r="AL6" s="1">
        <v>6463645.6072335877</v>
      </c>
      <c r="AM6" s="1">
        <v>6804262.757153864</v>
      </c>
      <c r="AN6" s="1">
        <v>6141839.1576515231</v>
      </c>
      <c r="AO6" s="1">
        <v>6019267.0334422216</v>
      </c>
      <c r="AP6" s="1">
        <v>5853218.5758929169</v>
      </c>
      <c r="AQ6" s="1">
        <v>5695341.9061710425</v>
      </c>
      <c r="AR6" s="1">
        <v>5245068.7137507619</v>
      </c>
      <c r="AS6" s="1">
        <v>5101358.2198127238</v>
      </c>
      <c r="AT6" s="1">
        <v>5274407.7642523376</v>
      </c>
      <c r="AU6" s="1">
        <v>5147060.9736335911</v>
      </c>
      <c r="AV6" s="1">
        <v>4808900.9413990686</v>
      </c>
      <c r="AW6" s="1">
        <v>4346783.3353867345</v>
      </c>
      <c r="AX6" s="1">
        <v>4338481.8817102406</v>
      </c>
      <c r="AY6" s="1">
        <v>4430344.2115531769</v>
      </c>
      <c r="AZ6" s="1">
        <v>4291164.9129236825</v>
      </c>
      <c r="BA6" s="1">
        <v>3925960.2281117849</v>
      </c>
      <c r="BB6" s="1">
        <v>3822582.9173449911</v>
      </c>
      <c r="BC6" s="1">
        <v>3897692.7595049348</v>
      </c>
      <c r="BD6" s="1">
        <v>3387975.3486561007</v>
      </c>
      <c r="BE6" s="1">
        <v>3351129.5445311205</v>
      </c>
      <c r="BF6" s="1">
        <v>3520211.1487701014</v>
      </c>
      <c r="BG6" s="1">
        <v>3522347.6521545136</v>
      </c>
      <c r="BH6" s="1">
        <v>3109103.3853997737</v>
      </c>
      <c r="BI6" s="1">
        <v>3026592.2514764378</v>
      </c>
      <c r="BJ6" s="1">
        <v>2970473.2913380824</v>
      </c>
      <c r="BK6" s="1">
        <v>3092954.6131034456</v>
      </c>
      <c r="BL6" s="1">
        <v>3154853.0046765725</v>
      </c>
      <c r="BM6" s="1">
        <v>3231049.6115571549</v>
      </c>
      <c r="BN6" s="1">
        <v>3021502.2037097565</v>
      </c>
      <c r="BO6" s="1">
        <v>3288486.1372903446</v>
      </c>
      <c r="BP6" s="1">
        <v>3668056.8993669255</v>
      </c>
      <c r="BQ6" s="1">
        <v>4429415.4392890967</v>
      </c>
      <c r="BR6" s="1">
        <v>3864892.8892062195</v>
      </c>
      <c r="BS6" s="1" t="s">
        <v>10</v>
      </c>
      <c r="BT6" s="1" t="s">
        <v>10</v>
      </c>
      <c r="BU6" s="1" t="s">
        <v>10</v>
      </c>
      <c r="BV6" s="1" t="s">
        <v>10</v>
      </c>
      <c r="BW6" s="1" t="s">
        <v>10</v>
      </c>
      <c r="BX6" s="1" t="s">
        <v>10</v>
      </c>
      <c r="BY6" s="1" t="s">
        <v>10</v>
      </c>
      <c r="BZ6" s="1" t="s">
        <v>10</v>
      </c>
      <c r="CA6" s="1" t="s">
        <v>10</v>
      </c>
      <c r="CB6" s="1" t="s">
        <v>10</v>
      </c>
      <c r="CC6" s="1" t="s">
        <v>10</v>
      </c>
      <c r="CD6" s="1" t="s">
        <v>10</v>
      </c>
      <c r="CE6" s="1" t="s">
        <v>10</v>
      </c>
      <c r="CF6" s="1" t="s">
        <v>10</v>
      </c>
      <c r="CG6" s="1" t="s">
        <v>10</v>
      </c>
      <c r="CH6" s="1" t="s">
        <v>10</v>
      </c>
      <c r="CI6" s="1" t="s">
        <v>10</v>
      </c>
      <c r="CJ6" s="1" t="s">
        <v>10</v>
      </c>
      <c r="CK6" s="1" t="s">
        <v>10</v>
      </c>
      <c r="CL6" s="1" t="s">
        <v>10</v>
      </c>
      <c r="CM6" s="1" t="s">
        <v>10</v>
      </c>
      <c r="CN6" s="1" t="s">
        <v>10</v>
      </c>
      <c r="CO6" s="1" t="s">
        <v>10</v>
      </c>
      <c r="CP6" s="1" t="s">
        <v>10</v>
      </c>
      <c r="CQ6" s="1" t="s">
        <v>10</v>
      </c>
      <c r="CR6" s="1" t="s">
        <v>10</v>
      </c>
      <c r="CS6" s="1" t="s">
        <v>10</v>
      </c>
      <c r="CT6" s="1" t="s">
        <v>10</v>
      </c>
      <c r="CU6" s="1" t="s">
        <v>10</v>
      </c>
      <c r="CV6" s="1" t="s">
        <v>10</v>
      </c>
      <c r="CW6" s="1" t="s">
        <v>10</v>
      </c>
      <c r="CX6" s="1" t="s">
        <v>10</v>
      </c>
      <c r="CY6" s="1" t="s">
        <v>10</v>
      </c>
      <c r="CZ6" s="1" t="s">
        <v>10</v>
      </c>
      <c r="DA6" s="1" t="s">
        <v>10</v>
      </c>
      <c r="DB6" s="1" t="s">
        <v>10</v>
      </c>
      <c r="DC6" s="1" t="s">
        <v>10</v>
      </c>
      <c r="DD6" s="1" t="s">
        <v>10</v>
      </c>
      <c r="DE6" s="1" t="s">
        <v>10</v>
      </c>
      <c r="DF6" s="1" t="s">
        <v>10</v>
      </c>
      <c r="DG6" s="1" t="s">
        <v>10</v>
      </c>
      <c r="DH6" s="1" t="s">
        <v>10</v>
      </c>
      <c r="DI6" s="1" t="s">
        <v>10</v>
      </c>
      <c r="DJ6" s="1" t="s">
        <v>10</v>
      </c>
      <c r="DK6" s="1" t="s">
        <v>10</v>
      </c>
      <c r="DL6" s="1" t="s">
        <v>10</v>
      </c>
      <c r="DM6" s="1" t="s">
        <v>10</v>
      </c>
      <c r="DN6" s="1" t="s">
        <v>10</v>
      </c>
      <c r="DO6" s="1" t="s">
        <v>10</v>
      </c>
      <c r="DP6" s="1" t="s">
        <v>10</v>
      </c>
      <c r="DQ6" s="1" t="s">
        <v>10</v>
      </c>
      <c r="DR6" s="1" t="s">
        <v>10</v>
      </c>
      <c r="GI6" s="1"/>
    </row>
    <row r="7" spans="1:191" hidden="1" x14ac:dyDescent="0.25">
      <c r="A7" s="5"/>
      <c r="GI7" s="1"/>
    </row>
    <row r="8" spans="1:191" hidden="1" x14ac:dyDescent="0.25">
      <c r="A8" s="5"/>
      <c r="GI8" s="1"/>
    </row>
    <row r="9" spans="1:191" hidden="1" x14ac:dyDescent="0.25">
      <c r="A9" s="4"/>
      <c r="GI9" s="1"/>
    </row>
    <row r="10" spans="1:191" hidden="1" x14ac:dyDescent="0.25">
      <c r="A10" s="4"/>
      <c r="GI10" s="1"/>
    </row>
    <row r="11" spans="1:191" x14ac:dyDescent="0.25">
      <c r="A11" s="5"/>
      <c r="B11" s="1">
        <f>IF(OR(B3="",C3=""),0,MIN(8,C11+1))</f>
        <v>8</v>
      </c>
      <c r="C11" s="1">
        <f t="shared" ref="C11:BN11" si="0">IF(OR(C3="",D3=""),0,MIN(8,D11+1))</f>
        <v>8</v>
      </c>
      <c r="D11" s="1">
        <f t="shared" si="0"/>
        <v>8</v>
      </c>
      <c r="E11" s="1">
        <f t="shared" si="0"/>
        <v>8</v>
      </c>
      <c r="F11" s="1">
        <f t="shared" si="0"/>
        <v>8</v>
      </c>
      <c r="G11" s="1">
        <f t="shared" si="0"/>
        <v>8</v>
      </c>
      <c r="H11" s="1">
        <f t="shared" si="0"/>
        <v>8</v>
      </c>
      <c r="I11" s="1">
        <f t="shared" si="0"/>
        <v>8</v>
      </c>
      <c r="J11" s="1">
        <f t="shared" si="0"/>
        <v>8</v>
      </c>
      <c r="K11" s="1">
        <f t="shared" si="0"/>
        <v>8</v>
      </c>
      <c r="L11" s="1">
        <f t="shared" si="0"/>
        <v>8</v>
      </c>
      <c r="M11" s="1">
        <f t="shared" si="0"/>
        <v>8</v>
      </c>
      <c r="N11" s="1">
        <f t="shared" si="0"/>
        <v>8</v>
      </c>
      <c r="O11" s="1">
        <f t="shared" si="0"/>
        <v>8</v>
      </c>
      <c r="P11" s="1">
        <f t="shared" si="0"/>
        <v>8</v>
      </c>
      <c r="Q11" s="1">
        <f t="shared" si="0"/>
        <v>8</v>
      </c>
      <c r="R11" s="1">
        <f t="shared" si="0"/>
        <v>8</v>
      </c>
      <c r="S11" s="1">
        <f t="shared" si="0"/>
        <v>8</v>
      </c>
      <c r="T11" s="1">
        <f t="shared" si="0"/>
        <v>8</v>
      </c>
      <c r="U11" s="1">
        <f t="shared" si="0"/>
        <v>8</v>
      </c>
      <c r="V11" s="1">
        <f t="shared" si="0"/>
        <v>8</v>
      </c>
      <c r="W11" s="1">
        <f t="shared" si="0"/>
        <v>8</v>
      </c>
      <c r="X11" s="1">
        <f t="shared" si="0"/>
        <v>8</v>
      </c>
      <c r="Y11" s="1">
        <f t="shared" si="0"/>
        <v>8</v>
      </c>
      <c r="Z11" s="1">
        <f t="shared" si="0"/>
        <v>8</v>
      </c>
      <c r="AA11" s="1">
        <f t="shared" si="0"/>
        <v>8</v>
      </c>
      <c r="AB11" s="1">
        <f t="shared" si="0"/>
        <v>8</v>
      </c>
      <c r="AC11" s="1">
        <f t="shared" si="0"/>
        <v>8</v>
      </c>
      <c r="AD11" s="1">
        <f t="shared" si="0"/>
        <v>8</v>
      </c>
      <c r="AE11" s="1">
        <f t="shared" si="0"/>
        <v>8</v>
      </c>
      <c r="AF11" s="1">
        <f t="shared" si="0"/>
        <v>8</v>
      </c>
      <c r="AG11" s="1">
        <f t="shared" si="0"/>
        <v>8</v>
      </c>
      <c r="AH11" s="1">
        <f t="shared" si="0"/>
        <v>8</v>
      </c>
      <c r="AI11" s="1">
        <f t="shared" si="0"/>
        <v>8</v>
      </c>
      <c r="AJ11" s="1">
        <f t="shared" si="0"/>
        <v>8</v>
      </c>
      <c r="AK11" s="1">
        <f t="shared" si="0"/>
        <v>8</v>
      </c>
      <c r="AL11" s="1">
        <f t="shared" si="0"/>
        <v>8</v>
      </c>
      <c r="AM11" s="1">
        <f t="shared" si="0"/>
        <v>8</v>
      </c>
      <c r="AN11" s="1">
        <f t="shared" si="0"/>
        <v>8</v>
      </c>
      <c r="AO11" s="1">
        <f t="shared" si="0"/>
        <v>8</v>
      </c>
      <c r="AP11" s="1">
        <f t="shared" si="0"/>
        <v>8</v>
      </c>
      <c r="AQ11" s="1">
        <f t="shared" si="0"/>
        <v>8</v>
      </c>
      <c r="AR11" s="1">
        <f t="shared" si="0"/>
        <v>8</v>
      </c>
      <c r="AS11" s="1">
        <f t="shared" si="0"/>
        <v>8</v>
      </c>
      <c r="AT11" s="1">
        <f t="shared" si="0"/>
        <v>8</v>
      </c>
      <c r="AU11" s="1">
        <f t="shared" si="0"/>
        <v>8</v>
      </c>
      <c r="AV11" s="1">
        <f t="shared" si="0"/>
        <v>8</v>
      </c>
      <c r="AW11" s="1">
        <f t="shared" si="0"/>
        <v>8</v>
      </c>
      <c r="AX11" s="1">
        <f t="shared" si="0"/>
        <v>8</v>
      </c>
      <c r="AY11" s="1">
        <f t="shared" si="0"/>
        <v>8</v>
      </c>
      <c r="AZ11" s="1">
        <f t="shared" si="0"/>
        <v>8</v>
      </c>
      <c r="BA11" s="1">
        <f t="shared" si="0"/>
        <v>8</v>
      </c>
      <c r="BB11" s="1">
        <f t="shared" si="0"/>
        <v>8</v>
      </c>
      <c r="BC11" s="1">
        <f t="shared" si="0"/>
        <v>8</v>
      </c>
      <c r="BD11" s="1">
        <f t="shared" si="0"/>
        <v>8</v>
      </c>
      <c r="BE11" s="1">
        <f t="shared" si="0"/>
        <v>8</v>
      </c>
      <c r="BF11" s="1">
        <f t="shared" si="0"/>
        <v>8</v>
      </c>
      <c r="BG11" s="1">
        <f t="shared" si="0"/>
        <v>8</v>
      </c>
      <c r="BH11" s="1">
        <f t="shared" si="0"/>
        <v>8</v>
      </c>
      <c r="BI11" s="1">
        <f t="shared" si="0"/>
        <v>8</v>
      </c>
      <c r="BJ11" s="1">
        <f t="shared" si="0"/>
        <v>8</v>
      </c>
      <c r="BK11" s="1">
        <f t="shared" si="0"/>
        <v>7</v>
      </c>
      <c r="BL11" s="1">
        <f t="shared" si="0"/>
        <v>6</v>
      </c>
      <c r="BM11" s="1">
        <f t="shared" si="0"/>
        <v>5</v>
      </c>
      <c r="BN11" s="1">
        <f t="shared" si="0"/>
        <v>4</v>
      </c>
      <c r="BO11" s="1">
        <f t="shared" ref="BO11:BT11" si="1">IF(OR(BO3="",BP3=""),0,MIN(8,BP11+1))</f>
        <v>3</v>
      </c>
      <c r="BP11" s="1">
        <f t="shared" si="1"/>
        <v>2</v>
      </c>
      <c r="BQ11" s="1">
        <f t="shared" si="1"/>
        <v>1</v>
      </c>
      <c r="BR11" s="1">
        <f t="shared" si="1"/>
        <v>0</v>
      </c>
      <c r="BS11" s="1">
        <f t="shared" si="1"/>
        <v>0</v>
      </c>
      <c r="BT11" s="1">
        <f t="shared" si="1"/>
        <v>0</v>
      </c>
      <c r="BU11" s="1">
        <f>IF(OR(BU3="",DR3=""),0,MIN(8,DR11+1))</f>
        <v>0</v>
      </c>
      <c r="BV11" s="1">
        <f t="shared" ref="BV11" si="2">IF(OR(BV3="",BW3=""),0,MIN(8,BW11+1))</f>
        <v>0</v>
      </c>
      <c r="BW11" s="1">
        <f t="shared" ref="BW11" si="3">IF(OR(BW3="",BX3=""),0,MIN(8,BX11+1))</f>
        <v>0</v>
      </c>
      <c r="BX11" s="1">
        <f t="shared" ref="BX11" si="4">IF(OR(BX3="",BY3=""),0,MIN(8,BY11+1))</f>
        <v>0</v>
      </c>
      <c r="BY11" s="1">
        <f t="shared" ref="BY11" si="5">IF(OR(BY3="",BZ3=""),0,MIN(8,BZ11+1))</f>
        <v>0</v>
      </c>
      <c r="BZ11" s="1">
        <f t="shared" ref="BZ11" si="6">IF(OR(BZ3="",CA3=""),0,MIN(8,CA11+1))</f>
        <v>0</v>
      </c>
      <c r="CA11" s="1">
        <f t="shared" ref="CA11" si="7">IF(OR(CA3="",DX3=""),0,MIN(8,DX11+1))</f>
        <v>0</v>
      </c>
      <c r="CB11" s="1">
        <f t="shared" ref="CB11" si="8">IF(OR(CB3="",CC3=""),0,MIN(8,CC11+1))</f>
        <v>0</v>
      </c>
      <c r="CC11" s="1">
        <f t="shared" ref="CC11" si="9">IF(OR(CC3="",CD3=""),0,MIN(8,CD11+1))</f>
        <v>0</v>
      </c>
      <c r="CD11" s="1">
        <f t="shared" ref="CD11" si="10">IF(OR(CD3="",CE3=""),0,MIN(8,CE11+1))</f>
        <v>0</v>
      </c>
      <c r="CE11" s="1">
        <f t="shared" ref="CE11" si="11">IF(OR(CE3="",CF3=""),0,MIN(8,CF11+1))</f>
        <v>0</v>
      </c>
      <c r="CF11" s="1">
        <f t="shared" ref="CF11" si="12">IF(OR(CF3="",CG3=""),0,MIN(8,CG11+1))</f>
        <v>0</v>
      </c>
      <c r="CG11" s="1">
        <f t="shared" ref="CG11" si="13">IF(OR(CG3="",ED3=""),0,MIN(8,ED11+1))</f>
        <v>0</v>
      </c>
      <c r="CH11" s="1">
        <f t="shared" ref="CH11" si="14">IF(OR(CH3="",CI3=""),0,MIN(8,CI11+1))</f>
        <v>0</v>
      </c>
      <c r="CI11" s="1">
        <f t="shared" ref="CI11" si="15">IF(OR(CI3="",CJ3=""),0,MIN(8,CJ11+1))</f>
        <v>0</v>
      </c>
      <c r="CJ11" s="1">
        <f t="shared" ref="CJ11" si="16">IF(OR(CJ3="",CK3=""),0,MIN(8,CK11+1))</f>
        <v>0</v>
      </c>
      <c r="CK11" s="1">
        <f t="shared" ref="CK11" si="17">IF(OR(CK3="",CL3=""),0,MIN(8,CL11+1))</f>
        <v>0</v>
      </c>
      <c r="CL11" s="1">
        <f t="shared" ref="CL11" si="18">IF(OR(CL3="",CM3=""),0,MIN(8,CM11+1))</f>
        <v>0</v>
      </c>
      <c r="CM11" s="1">
        <f t="shared" ref="CM11" si="19">IF(OR(CM3="",EJ3=""),0,MIN(8,EJ11+1))</f>
        <v>0</v>
      </c>
      <c r="CN11" s="1">
        <f t="shared" ref="CN11" si="20">IF(OR(CN3="",CO3=""),0,MIN(8,CO11+1))</f>
        <v>0</v>
      </c>
      <c r="CO11" s="1">
        <f t="shared" ref="CO11" si="21">IF(OR(CO3="",CP3=""),0,MIN(8,CP11+1))</f>
        <v>0</v>
      </c>
      <c r="CP11" s="1">
        <f t="shared" ref="CP11" si="22">IF(OR(CP3="",CQ3=""),0,MIN(8,CQ11+1))</f>
        <v>0</v>
      </c>
      <c r="CQ11" s="1">
        <f t="shared" ref="CQ11" si="23">IF(OR(CQ3="",CR3=""),0,MIN(8,CR11+1))</f>
        <v>0</v>
      </c>
      <c r="CR11" s="1">
        <f t="shared" ref="CR11" si="24">IF(OR(CR3="",CS3=""),0,MIN(8,CS11+1))</f>
        <v>0</v>
      </c>
      <c r="CS11" s="1">
        <f t="shared" ref="CS11" si="25">IF(OR(CS3="",EP3=""),0,MIN(8,EP11+1))</f>
        <v>0</v>
      </c>
      <c r="CT11" s="1">
        <f t="shared" ref="CT11" si="26">IF(OR(CT3="",CU3=""),0,MIN(8,CU11+1))</f>
        <v>0</v>
      </c>
      <c r="CU11" s="1">
        <f t="shared" ref="CU11" si="27">IF(OR(CU3="",CV3=""),0,MIN(8,CV11+1))</f>
        <v>0</v>
      </c>
      <c r="CV11" s="1">
        <f t="shared" ref="CV11" si="28">IF(OR(CV3="",CW3=""),0,MIN(8,CW11+1))</f>
        <v>0</v>
      </c>
      <c r="CW11" s="1">
        <f t="shared" ref="CW11" si="29">IF(OR(CW3="",CX3=""),0,MIN(8,CX11+1))</f>
        <v>0</v>
      </c>
      <c r="CX11" s="1">
        <f t="shared" ref="CX11" si="30">IF(OR(CX3="",CY3=""),0,MIN(8,CY11+1))</f>
        <v>0</v>
      </c>
      <c r="CY11" s="1">
        <f t="shared" ref="CY11" si="31">IF(OR(CY3="",EV3=""),0,MIN(8,EV11+1))</f>
        <v>0</v>
      </c>
      <c r="CZ11" s="1">
        <f t="shared" ref="CZ11" si="32">IF(OR(CZ3="",DA3=""),0,MIN(8,DA11+1))</f>
        <v>0</v>
      </c>
      <c r="DA11" s="1">
        <f t="shared" ref="DA11" si="33">IF(OR(DA3="",DB3=""),0,MIN(8,DB11+1))</f>
        <v>0</v>
      </c>
      <c r="DB11" s="1">
        <f t="shared" ref="DB11" si="34">IF(OR(DB3="",DC3=""),0,MIN(8,DC11+1))</f>
        <v>0</v>
      </c>
      <c r="DC11" s="1">
        <f t="shared" ref="DC11" si="35">IF(OR(DC3="",DD3=""),0,MIN(8,DD11+1))</f>
        <v>0</v>
      </c>
      <c r="DD11" s="1">
        <f t="shared" ref="DD11" si="36">IF(OR(DD3="",DE3=""),0,MIN(8,DE11+1))</f>
        <v>0</v>
      </c>
      <c r="DE11" s="1">
        <f t="shared" ref="DE11" si="37">IF(OR(DE3="",FB3=""),0,MIN(8,FB11+1))</f>
        <v>0</v>
      </c>
      <c r="DF11" s="1">
        <f t="shared" ref="DF11" si="38">IF(OR(DF3="",DG3=""),0,MIN(8,DG11+1))</f>
        <v>0</v>
      </c>
      <c r="DG11" s="1">
        <f t="shared" ref="DG11" si="39">IF(OR(DG3="",DH3=""),0,MIN(8,DH11+1))</f>
        <v>0</v>
      </c>
      <c r="DH11" s="1">
        <f t="shared" ref="DH11" si="40">IF(OR(DH3="",DI3=""),0,MIN(8,DI11+1))</f>
        <v>0</v>
      </c>
      <c r="DI11" s="1">
        <f t="shared" ref="DI11" si="41">IF(OR(DI3="",DJ3=""),0,MIN(8,DJ11+1))</f>
        <v>0</v>
      </c>
      <c r="DJ11" s="1">
        <f t="shared" ref="DJ11" si="42">IF(OR(DJ3="",DK3=""),0,MIN(8,DK11+1))</f>
        <v>0</v>
      </c>
      <c r="DK11" s="1">
        <f t="shared" ref="DK11" si="43">IF(OR(DK3="",FH3=""),0,MIN(8,FH11+1))</f>
        <v>0</v>
      </c>
      <c r="DL11" s="1">
        <f t="shared" ref="DL11" si="44">IF(OR(DL3="",DM3=""),0,MIN(8,DM11+1))</f>
        <v>0</v>
      </c>
      <c r="DM11" s="1">
        <f t="shared" ref="DM11" si="45">IF(OR(DM3="",DN3=""),0,MIN(8,DN11+1))</f>
        <v>0</v>
      </c>
      <c r="DN11" s="1">
        <f t="shared" ref="DN11" si="46">IF(OR(DN3="",DO3=""),0,MIN(8,DO11+1))</f>
        <v>0</v>
      </c>
      <c r="DO11" s="1">
        <f t="shared" ref="DO11" si="47">IF(OR(DO3="",DP3=""),0,MIN(8,DP11+1))</f>
        <v>0</v>
      </c>
      <c r="DP11" s="1">
        <f t="shared" ref="DP11" si="48">IF(OR(DP3="",DQ3=""),0,MIN(8,DQ11+1))</f>
        <v>0</v>
      </c>
      <c r="DQ11" s="1">
        <f t="shared" ref="DQ11" si="49">IF(OR(DQ3="",FN3=""),0,MIN(8,FN11+1))</f>
        <v>0</v>
      </c>
      <c r="DR11" s="1">
        <f t="shared" ref="DR11" si="50">IF(OR(DR3="",DS3=""),0,MIN(8,DS11+1))</f>
        <v>0</v>
      </c>
      <c r="GI11" s="1"/>
    </row>
    <row r="12" spans="1:191" ht="15.75" x14ac:dyDescent="0.25">
      <c r="A12" s="3" t="s">
        <v>1</v>
      </c>
      <c r="B12" s="7">
        <v>37986</v>
      </c>
      <c r="C12" s="7">
        <v>38077</v>
      </c>
      <c r="D12" s="7">
        <v>38168</v>
      </c>
      <c r="E12" s="7">
        <v>38260</v>
      </c>
      <c r="F12" s="7">
        <v>38352</v>
      </c>
      <c r="G12" s="7">
        <v>38442</v>
      </c>
      <c r="H12" s="7">
        <v>38533</v>
      </c>
      <c r="I12" s="7">
        <v>38625</v>
      </c>
      <c r="J12" s="7">
        <v>38717</v>
      </c>
      <c r="K12" s="7">
        <v>38807</v>
      </c>
      <c r="L12" s="7">
        <v>38898</v>
      </c>
      <c r="M12" s="7">
        <v>38990</v>
      </c>
      <c r="N12" s="7">
        <v>39082</v>
      </c>
      <c r="O12" s="7">
        <v>39172</v>
      </c>
      <c r="P12" s="7">
        <v>39263</v>
      </c>
      <c r="Q12" s="7">
        <v>39355</v>
      </c>
      <c r="R12" s="7">
        <v>39447</v>
      </c>
      <c r="S12" s="7">
        <v>39538</v>
      </c>
      <c r="T12" s="7">
        <v>39629</v>
      </c>
      <c r="U12" s="7">
        <v>39721</v>
      </c>
      <c r="V12" s="7">
        <v>39813</v>
      </c>
      <c r="W12" s="7">
        <v>39903</v>
      </c>
      <c r="X12" s="7">
        <v>39994</v>
      </c>
      <c r="Y12" s="7">
        <v>40086</v>
      </c>
      <c r="Z12" s="7">
        <v>40178</v>
      </c>
      <c r="AA12" s="7">
        <v>40268</v>
      </c>
      <c r="AB12" s="7">
        <v>40359</v>
      </c>
      <c r="AC12" s="7">
        <v>40451</v>
      </c>
      <c r="AD12" s="7">
        <v>40543</v>
      </c>
      <c r="AE12" s="7">
        <v>40633</v>
      </c>
      <c r="AF12" s="7">
        <v>40724</v>
      </c>
      <c r="AG12" s="7">
        <v>40816</v>
      </c>
      <c r="AH12" s="7">
        <v>40908</v>
      </c>
      <c r="AI12" s="7">
        <v>40999</v>
      </c>
      <c r="AJ12" s="7">
        <v>41090</v>
      </c>
      <c r="AK12" s="7">
        <v>41182</v>
      </c>
      <c r="AL12" s="7">
        <v>41274</v>
      </c>
      <c r="AM12" s="7">
        <v>41364</v>
      </c>
      <c r="AN12" s="7">
        <v>41455</v>
      </c>
      <c r="AO12" s="7">
        <v>41547</v>
      </c>
      <c r="AP12" s="7">
        <v>41639</v>
      </c>
      <c r="AQ12" s="7">
        <v>41729</v>
      </c>
      <c r="AR12" s="7">
        <v>41820</v>
      </c>
      <c r="AS12" s="7">
        <v>41912</v>
      </c>
      <c r="AT12" s="7">
        <v>42004</v>
      </c>
      <c r="AU12" s="7">
        <v>42094</v>
      </c>
      <c r="AV12" s="7">
        <v>42185</v>
      </c>
      <c r="AW12" s="7">
        <v>42277</v>
      </c>
      <c r="AX12" s="7">
        <v>42369</v>
      </c>
      <c r="AY12" s="7">
        <v>42460</v>
      </c>
      <c r="AZ12" s="7">
        <v>42551</v>
      </c>
      <c r="BA12" s="7">
        <v>42643</v>
      </c>
      <c r="BB12" s="7">
        <v>42735</v>
      </c>
      <c r="BC12" s="7">
        <v>42825</v>
      </c>
      <c r="BD12" s="7">
        <v>42916</v>
      </c>
      <c r="BE12" s="7">
        <v>43008</v>
      </c>
      <c r="BF12" s="7">
        <v>43100</v>
      </c>
      <c r="BG12" s="7">
        <v>43190</v>
      </c>
      <c r="BH12" s="7">
        <v>43281</v>
      </c>
      <c r="BI12" s="7">
        <v>43373</v>
      </c>
      <c r="BJ12" s="7">
        <v>43465</v>
      </c>
      <c r="BK12" s="7">
        <v>43555</v>
      </c>
      <c r="BL12" s="7">
        <v>43646</v>
      </c>
      <c r="BM12" s="7">
        <v>43738</v>
      </c>
      <c r="BN12" s="7">
        <v>43830</v>
      </c>
      <c r="BO12" s="7">
        <v>43921</v>
      </c>
      <c r="BP12" s="7">
        <v>44012</v>
      </c>
      <c r="BQ12" s="7">
        <v>44104</v>
      </c>
      <c r="BR12" s="7">
        <v>44196</v>
      </c>
      <c r="BS12" s="7">
        <v>44286</v>
      </c>
      <c r="BT12" s="7">
        <v>44377</v>
      </c>
      <c r="BU12" s="7">
        <v>44469</v>
      </c>
      <c r="BV12" s="7">
        <v>44561</v>
      </c>
      <c r="BW12" s="7">
        <v>44651</v>
      </c>
      <c r="BX12" s="7">
        <v>44742</v>
      </c>
      <c r="BY12" s="7">
        <v>44834</v>
      </c>
      <c r="BZ12" s="7">
        <v>44926</v>
      </c>
      <c r="CA12" s="7">
        <v>45016</v>
      </c>
      <c r="CB12" s="7">
        <v>45107</v>
      </c>
      <c r="CC12" s="7">
        <v>45199</v>
      </c>
      <c r="CD12" s="7">
        <v>45291</v>
      </c>
      <c r="CE12" s="7">
        <v>45382</v>
      </c>
      <c r="CF12" s="7">
        <v>45473</v>
      </c>
      <c r="CG12" s="7">
        <v>45565</v>
      </c>
      <c r="CH12" s="7">
        <v>45657</v>
      </c>
      <c r="CI12" s="7">
        <v>45747</v>
      </c>
      <c r="CJ12" s="7">
        <v>45838</v>
      </c>
      <c r="CK12" s="7">
        <v>45930</v>
      </c>
      <c r="CL12" s="7">
        <v>46022</v>
      </c>
      <c r="CM12" s="7">
        <v>46112</v>
      </c>
      <c r="CN12" s="7">
        <v>46203</v>
      </c>
      <c r="CO12" s="7">
        <v>46295</v>
      </c>
      <c r="CP12" s="7">
        <v>46387</v>
      </c>
      <c r="CQ12" s="7">
        <v>46477</v>
      </c>
      <c r="CR12" s="7">
        <v>46568</v>
      </c>
      <c r="CS12" s="7">
        <v>46660</v>
      </c>
      <c r="CT12" s="7">
        <v>46752</v>
      </c>
      <c r="CU12" s="7">
        <v>46843</v>
      </c>
      <c r="CV12" s="7">
        <v>46934</v>
      </c>
      <c r="CW12" s="7">
        <v>47026</v>
      </c>
      <c r="CX12" s="7">
        <v>47118</v>
      </c>
      <c r="CY12" s="7">
        <v>47208</v>
      </c>
      <c r="CZ12" s="7">
        <v>47299</v>
      </c>
      <c r="DA12" s="7">
        <v>47391</v>
      </c>
      <c r="DB12" s="7">
        <v>47483</v>
      </c>
      <c r="DC12" s="7">
        <v>47573</v>
      </c>
      <c r="DD12" s="7">
        <v>47664</v>
      </c>
      <c r="DE12" s="7">
        <v>47756</v>
      </c>
      <c r="DF12" s="7">
        <v>47848</v>
      </c>
      <c r="DG12" s="7">
        <v>47938</v>
      </c>
      <c r="DH12" s="7">
        <v>48029</v>
      </c>
      <c r="DI12" s="7">
        <v>48121</v>
      </c>
      <c r="DJ12" s="7">
        <v>48213</v>
      </c>
      <c r="DK12" s="7">
        <v>48304</v>
      </c>
      <c r="DL12" s="7">
        <v>48395</v>
      </c>
      <c r="DM12" s="7">
        <v>48487</v>
      </c>
      <c r="DN12" s="7">
        <v>48579</v>
      </c>
      <c r="DO12" s="7">
        <v>48669</v>
      </c>
      <c r="DP12" s="7">
        <v>48760</v>
      </c>
      <c r="DQ12" s="7">
        <v>48852</v>
      </c>
      <c r="DR12" s="7">
        <v>48944</v>
      </c>
      <c r="DS12" s="9" t="s">
        <v>2</v>
      </c>
      <c r="DT12" s="10" t="s">
        <v>3</v>
      </c>
      <c r="DU12" s="9" t="s">
        <v>4</v>
      </c>
      <c r="DV12" s="11" t="s">
        <v>5</v>
      </c>
      <c r="DW12" s="9" t="s">
        <v>6</v>
      </c>
      <c r="DX12" s="16">
        <v>1.28</v>
      </c>
      <c r="GI12" s="1"/>
    </row>
    <row r="13" spans="1:191" x14ac:dyDescent="0.25">
      <c r="A13" s="4">
        <v>1</v>
      </c>
      <c r="B13" s="8">
        <f ca="1">IF(OR(B3="",B$11&lt;$A13),"",B3/OFFSET(ParoEPAESP!$A$80,MATCH(B$12,ParoEPAESP!$A$80:$A$273)+$A13-1,1)-1)</f>
        <v>-1.5144089010564743E-3</v>
      </c>
      <c r="C13" s="8">
        <f ca="1">IF(OR(C3="",C$11&lt;$A13),"",C3/OFFSET(ParoEPAESP!$A$80,MATCH(C$12,ParoEPAESP!$A$80:$A$273)+$A13-1,1)-1)</f>
        <v>2.3806159884387501E-3</v>
      </c>
      <c r="D13" s="8">
        <f ca="1">IF(OR(D3="",D$11&lt;$A13),"",D3/OFFSET(ParoEPAESP!$A$80,MATCH(D$12,ParoEPAESP!$A$80:$A$273)+$A13-1,1)-1)</f>
        <v>3.231751301281327E-2</v>
      </c>
      <c r="E13" s="8">
        <f ca="1">IF(OR(E3="",E$11&lt;$A13),"",E3/OFFSET(ParoEPAESP!$A$80,MATCH(E$12,ParoEPAESP!$A$80:$A$273)+$A13-1,1)-1)</f>
        <v>1.2012576306235756E-2</v>
      </c>
      <c r="F13" s="8">
        <f ca="1">IF(OR(F3="",F$11&lt;$A13),"",F3/OFFSET(ParoEPAESP!$A$80,MATCH(F$12,ParoEPAESP!$A$80:$A$273)+$A13-1,1)-1)</f>
        <v>2.2783021058249808E-2</v>
      </c>
      <c r="G13" s="8">
        <f ca="1">IF(OR(G3="",G$11&lt;$A13),"",G3/OFFSET(ParoEPAESP!$A$80,MATCH(G$12,ParoEPAESP!$A$80:$A$273)+$A13-1,1)-1)</f>
        <v>2.5645355974750483E-2</v>
      </c>
      <c r="H13" s="8">
        <f ca="1">IF(OR(H3="",H$11&lt;$A13),"",H3/OFFSET(ParoEPAESP!$A$80,MATCH(H$12,ParoEPAESP!$A$80:$A$273)+$A13-1,1)-1)</f>
        <v>7.1185960545460558E-2</v>
      </c>
      <c r="I13" s="8">
        <f ca="1">IF(OR(I3="",I$11&lt;$A13),"",I3/OFFSET(ParoEPAESP!$A$80,MATCH(I$12,ParoEPAESP!$A$80:$A$273)+$A13-1,1)-1)</f>
        <v>-8.6730717663521251E-2</v>
      </c>
      <c r="J13" s="8">
        <f ca="1">IF(OR(J3="",J$11&lt;$A13),"",J3/OFFSET(ParoEPAESP!$A$80,MATCH(J$12,ParoEPAESP!$A$80:$A$273)+$A13-1,1)-1)</f>
        <v>-6.0622831323625004E-2</v>
      </c>
      <c r="K13" s="8">
        <f ca="1">IF(OR(K3="",K$11&lt;$A13),"",K3/OFFSET(ParoEPAESP!$A$80,MATCH(K$12,ParoEPAESP!$A$80:$A$273)+$A13-1,1)-1)</f>
        <v>3.1698975344142344E-2</v>
      </c>
      <c r="L13" s="8">
        <f ca="1">IF(OR(L3="",L$11&lt;$A13),"",L3/OFFSET(ParoEPAESP!$A$80,MATCH(L$12,ParoEPAESP!$A$80:$A$273)+$A13-1,1)-1)</f>
        <v>3.3838782720857052E-2</v>
      </c>
      <c r="M13" s="8">
        <f ca="1">IF(OR(M3="",M$11&lt;$A13),"",M3/OFFSET(ParoEPAESP!$A$80,MATCH(M$12,ParoEPAESP!$A$80:$A$273)+$A13-1,1)-1)</f>
        <v>-9.5271361126284537E-3</v>
      </c>
      <c r="N13" s="8">
        <f ca="1">IF(OR(N3="",N$11&lt;$A13),"",N3/OFFSET(ParoEPAESP!$A$80,MATCH(N$12,ParoEPAESP!$A$80:$A$273)+$A13-1,1)-1)</f>
        <v>-1.8103423921847828E-2</v>
      </c>
      <c r="O13" s="8">
        <f ca="1">IF(OR(O3="",O$11&lt;$A13),"",O3/OFFSET(ParoEPAESP!$A$80,MATCH(O$12,ParoEPAESP!$A$80:$A$273)+$A13-1,1)-1)</f>
        <v>1.6536249641926792E-2</v>
      </c>
      <c r="P13" s="8">
        <f ca="1">IF(OR(P3="",P$11&lt;$A13),"",P3/OFFSET(ParoEPAESP!$A$80,MATCH(P$12,ParoEPAESP!$A$80:$A$273)+$A13-1,1)-1)</f>
        <v>-3.2835473356982336E-2</v>
      </c>
      <c r="Q13" s="8">
        <f ca="1">IF(OR(Q3="",Q$11&lt;$A13),"",Q3/OFFSET(ParoEPAESP!$A$80,MATCH(Q$12,ParoEPAESP!$A$80:$A$273)+$A13-1,1)-1)</f>
        <v>-3.7303191962509641E-2</v>
      </c>
      <c r="R13" s="8">
        <f ca="1">IF(OR(R3="",R$11&lt;$A13),"",R3/OFFSET(ParoEPAESP!$A$80,MATCH(R$12,ParoEPAESP!$A$80:$A$273)+$A13-1,1)-1)</f>
        <v>-8.5298675845160266E-2</v>
      </c>
      <c r="S13" s="8">
        <f ca="1">IF(OR(S3="",S$11&lt;$A13),"",S3/OFFSET(ParoEPAESP!$A$80,MATCH(S$12,ParoEPAESP!$A$80:$A$273)+$A13-1,1)-1)</f>
        <v>-6.1074695253662936E-2</v>
      </c>
      <c r="T13" s="8">
        <f ca="1">IF(OR(T3="",T$11&lt;$A13),"",T3/OFFSET(ParoEPAESP!$A$80,MATCH(T$12,ParoEPAESP!$A$80:$A$273)+$A13-1,1)-1)</f>
        <v>-2.0344806958638717E-2</v>
      </c>
      <c r="U13" s="8">
        <f ca="1">IF(OR(U3="",U$11&lt;$A13),"",U3/OFFSET(ParoEPAESP!$A$80,MATCH(U$12,ParoEPAESP!$A$80:$A$273)+$A13-1,1)-1)</f>
        <v>-0.12510039850245658</v>
      </c>
      <c r="V13" s="8">
        <f ca="1">IF(OR(V3="",V$11&lt;$A13),"",V3/OFFSET(ParoEPAESP!$A$80,MATCH(V$12,ParoEPAESP!$A$80:$A$273)+$A13-1,1)-1)</f>
        <v>-0.11950280316034945</v>
      </c>
      <c r="W13" s="8">
        <f ca="1">IF(OR(W3="",W$11&lt;$A13),"",W3/OFFSET(ParoEPAESP!$A$80,MATCH(W$12,ParoEPAESP!$A$80:$A$273)+$A13-1,1)-1)</f>
        <v>0.11052084576928234</v>
      </c>
      <c r="X13" s="8">
        <f ca="1">IF(OR(X3="",X$11&lt;$A13),"",X3/OFFSET(ParoEPAESP!$A$80,MATCH(X$12,ParoEPAESP!$A$80:$A$273)+$A13-1,1)-1)</f>
        <v>8.6690429263986513E-2</v>
      </c>
      <c r="Y13" s="8">
        <f ca="1">IF(OR(Y3="",Y$11&lt;$A13),"",Y3/OFFSET(ParoEPAESP!$A$80,MATCH(Y$12,ParoEPAESP!$A$80:$A$273)+$A13-1,1)-1)</f>
        <v>1.8248916085104705E-2</v>
      </c>
      <c r="Z13" s="8">
        <f ca="1">IF(OR(Z3="",Z$11&lt;$A13),"",Z3/OFFSET(ParoEPAESP!$A$80,MATCH(Z$12,ParoEPAESP!$A$80:$A$273)+$A13-1,1)-1)</f>
        <v>-1.4271635450651021E-2</v>
      </c>
      <c r="AA13" s="8">
        <f ca="1">IF(OR(AA3="",AA$11&lt;$A13),"",AA3/OFFSET(ParoEPAESP!$A$80,MATCH(AA$12,ParoEPAESP!$A$80:$A$273)+$A13-1,1)-1)</f>
        <v>-4.8536602488732372E-3</v>
      </c>
      <c r="AB13" s="8">
        <f ca="1">IF(OR(AB3="",AB$11&lt;$A13),"",AB3/OFFSET(ParoEPAESP!$A$80,MATCH(AB$12,ParoEPAESP!$A$80:$A$273)+$A13-1,1)-1)</f>
        <v>2.7702350620310456E-2</v>
      </c>
      <c r="AC13" s="8">
        <f ca="1">IF(OR(AC3="",AC$11&lt;$A13),"",AC3/OFFSET(ParoEPAESP!$A$80,MATCH(AC$12,ParoEPAESP!$A$80:$A$273)+$A13-1,1)-1)</f>
        <v>1.1730221503886362E-2</v>
      </c>
      <c r="AD13" s="8">
        <f ca="1">IF(OR(AD3="",AD$11&lt;$A13),"",AD3/OFFSET(ParoEPAESP!$A$80,MATCH(AD$12,ParoEPAESP!$A$80:$A$273)+$A13-1,1)-1)</f>
        <v>-7.9517392307887347E-3</v>
      </c>
      <c r="AE13" s="8">
        <f ca="1">IF(OR(AE3="",AE$11&lt;$A13),"",AE3/OFFSET(ParoEPAESP!$A$80,MATCH(AE$12,ParoEPAESP!$A$80:$A$273)+$A13-1,1)-1)</f>
        <v>1.5791099218093407E-2</v>
      </c>
      <c r="AF13" s="8">
        <f ca="1">IF(OR(AF3="",AF$11&lt;$A13),"",AF3/OFFSET(ParoEPAESP!$A$80,MATCH(AF$12,ParoEPAESP!$A$80:$A$273)+$A13-1,1)-1)</f>
        <v>-4.4712872757763811E-2</v>
      </c>
      <c r="AG13" s="8">
        <f ca="1">IF(OR(AG3="",AG$11&lt;$A13),"",AG3/OFFSET(ParoEPAESP!$A$80,MATCH(AG$12,ParoEPAESP!$A$80:$A$273)+$A13-1,1)-1)</f>
        <v>-1.0224129518664582E-2</v>
      </c>
      <c r="AH13" s="8">
        <f ca="1">IF(OR(AH3="",AH$11&lt;$A13),"",AH3/OFFSET(ParoEPAESP!$A$80,MATCH(AH$12,ParoEPAESP!$A$80:$A$273)+$A13-1,1)-1)</f>
        <v>-2.115923569217526E-2</v>
      </c>
      <c r="AI13" s="8">
        <f ca="1">IF(OR(AI3="",AI$11&lt;$A13),"",AI3/OFFSET(ParoEPAESP!$A$80,MATCH(AI$12,ParoEPAESP!$A$80:$A$273)+$A13-1,1)-1)</f>
        <v>3.6448465957035214E-3</v>
      </c>
      <c r="AJ13" s="8">
        <f ca="1">IF(OR(AJ3="",AJ$11&lt;$A13),"",AJ3/OFFSET(ParoEPAESP!$A$80,MATCH(AJ$12,ParoEPAESP!$A$80:$A$273)+$A13-1,1)-1)</f>
        <v>-2.4542334298627289E-4</v>
      </c>
      <c r="AK13" s="8">
        <f ca="1">IF(OR(AK3="",AK$11&lt;$A13),"",AK3/OFFSET(ParoEPAESP!$A$80,MATCH(AK$12,ParoEPAESP!$A$80:$A$273)+$A13-1,1)-1)</f>
        <v>8.215547867455042E-3</v>
      </c>
      <c r="AL13" s="8">
        <f ca="1">IF(OR(AL3="",AL$11&lt;$A13),"",AL3/OFFSET(ParoEPAESP!$A$80,MATCH(AL$12,ParoEPAESP!$A$80:$A$273)+$A13-1,1)-1)</f>
        <v>-2.9213449430999239E-3</v>
      </c>
      <c r="AM13" s="8">
        <f ca="1">IF(OR(AM3="",AM$11&lt;$A13),"",AM3/OFFSET(ParoEPAESP!$A$80,MATCH(AM$12,ParoEPAESP!$A$80:$A$273)+$A13-1,1)-1)</f>
        <v>3.4736114737569102E-2</v>
      </c>
      <c r="AN13" s="8">
        <f ca="1">IF(OR(AN3="",AN$11&lt;$A13),"",AN3/OFFSET(ParoEPAESP!$A$80,MATCH(AN$12,ParoEPAESP!$A$80:$A$273)+$A13-1,1)-1)</f>
        <v>3.6688841423189178E-3</v>
      </c>
      <c r="AO13" s="8">
        <f ca="1">IF(OR(AO3="",AO$11&lt;$A13),"",AO3/OFFSET(ParoEPAESP!$A$80,MATCH(AO$12,ParoEPAESP!$A$80:$A$273)+$A13-1,1)-1)</f>
        <v>1.6248390535104296E-2</v>
      </c>
      <c r="AP13" s="8">
        <f ca="1">IF(OR(AP3="",AP$11&lt;$A13),"",AP3/OFFSET(ParoEPAESP!$A$80,MATCH(AP$12,ParoEPAESP!$A$80:$A$273)+$A13-1,1)-1)</f>
        <v>1.9170344875868883E-2</v>
      </c>
      <c r="AQ13" s="8">
        <f ca="1">IF(OR(AQ3="",AQ$11&lt;$A13),"",AQ3/OFFSET(ParoEPAESP!$A$80,MATCH(AQ$12,ParoEPAESP!$A$80:$A$273)+$A13-1,1)-1)</f>
        <v>9.358301174433814E-3</v>
      </c>
      <c r="AR13" s="8">
        <f ca="1">IF(OR(AR3="",AR$11&lt;$A13),"",AR3/OFFSET(ParoEPAESP!$A$80,MATCH(AR$12,ParoEPAESP!$A$80:$A$273)+$A13-1,1)-1)</f>
        <v>4.4557098850119825E-3</v>
      </c>
      <c r="AS13" s="8">
        <f ca="1">IF(OR(AS3="",AS$11&lt;$A13),"",AS3/OFFSET(ParoEPAESP!$A$80,MATCH(AS$12,ParoEPAESP!$A$80:$A$273)+$A13-1,1)-1)</f>
        <v>-1.07322301709597E-2</v>
      </c>
      <c r="AT13" s="8">
        <f ca="1">IF(OR(AT3="",AT$11&lt;$A13),"",AT3/OFFSET(ParoEPAESP!$A$80,MATCH(AT$12,ParoEPAESP!$A$80:$A$273)+$A13-1,1)-1)</f>
        <v>1.6671660915855258E-2</v>
      </c>
      <c r="AU13" s="8">
        <f ca="1">IF(OR(AU3="",AU$11&lt;$A13),"",AU3/OFFSET(ParoEPAESP!$A$80,MATCH(AU$12,ParoEPAESP!$A$80:$A$273)+$A13-1,1)-1)</f>
        <v>5.8575875599702343E-3</v>
      </c>
      <c r="AV13" s="8">
        <f ca="1">IF(OR(AV3="",AV$11&lt;$A13),"",AV3/OFFSET(ParoEPAESP!$A$80,MATCH(AV$12,ParoEPAESP!$A$80:$A$273)+$A13-1,1)-1)</f>
        <v>2.8014147313055071E-2</v>
      </c>
      <c r="AW13" s="8">
        <f ca="1">IF(OR(AW3="",AW$11&lt;$A13),"",AW3/OFFSET(ParoEPAESP!$A$80,MATCH(AW$12,ParoEPAESP!$A$80:$A$273)+$A13-1,1)-1)</f>
        <v>9.1446886411161721E-4</v>
      </c>
      <c r="AX13" s="8">
        <f ca="1">IF(OR(AX3="",AX$11&lt;$A13),"",AX3/OFFSET(ParoEPAESP!$A$80,MATCH(AX$12,ParoEPAESP!$A$80:$A$273)+$A13-1,1)-1)</f>
        <v>-6.6422042817773086E-3</v>
      </c>
      <c r="AY13" s="8">
        <f ca="1">IF(OR(AY3="",AY$11&lt;$A13),"",AY3/OFFSET(ParoEPAESP!$A$80,MATCH(AY$12,ParoEPAESP!$A$80:$A$273)+$A13-1,1)-1)</f>
        <v>-6.476439667225331E-3</v>
      </c>
      <c r="AZ13" s="8">
        <f ca="1">IF(OR(AZ3="",AZ$11&lt;$A13),"",AZ3/OFFSET(ParoEPAESP!$A$80,MATCH(AZ$12,ParoEPAESP!$A$80:$A$273)+$A13-1,1)-1)</f>
        <v>2.2995569203871025E-2</v>
      </c>
      <c r="BA13" s="8">
        <f ca="1">IF(OR(BA3="",BA$11&lt;$A13),"",BA3/OFFSET(ParoEPAESP!$A$80,MATCH(BA$12,ParoEPAESP!$A$80:$A$273)+$A13-1,1)-1)</f>
        <v>7.5003815860823497E-3</v>
      </c>
      <c r="BB13" s="8">
        <f ca="1">IF(OR(BB3="",BB$11&lt;$A13),"",BB3/OFFSET(ParoEPAESP!$A$80,MATCH(BB$12,ParoEPAESP!$A$80:$A$273)+$A13-1,1)-1)</f>
        <v>-5.4008174701207778E-3</v>
      </c>
      <c r="BC13" s="8">
        <f ca="1">IF(OR(BC3="",BC$11&lt;$A13),"",BC3/OFFSET(ParoEPAESP!$A$80,MATCH(BC$12,ParoEPAESP!$A$80:$A$273)+$A13-1,1)-1)</f>
        <v>3.1371141843662631E-2</v>
      </c>
      <c r="BD13" s="8">
        <f ca="1">IF(OR(BD3="",BD$11&lt;$A13),"",BD3/OFFSET(ParoEPAESP!$A$80,MATCH(BD$12,ParoEPAESP!$A$80:$A$273)+$A13-1,1)-1)</f>
        <v>-1.7712240719114591E-2</v>
      </c>
      <c r="BE13" s="8">
        <f ca="1">IF(OR(BE3="",BE$11&lt;$A13),"",BE3/OFFSET(ParoEPAESP!$A$80,MATCH(BE$12,ParoEPAESP!$A$80:$A$273)+$A13-1,1)-1)</f>
        <v>-1.9999798362400956E-2</v>
      </c>
      <c r="BF13" s="8">
        <f ca="1">IF(OR(BF3="",BF$11&lt;$A13),"",BF3/OFFSET(ParoEPAESP!$A$80,MATCH(BF$12,ParoEPAESP!$A$80:$A$273)+$A13-1,1)-1)</f>
        <v>1.0291711834018002E-2</v>
      </c>
      <c r="BG13" s="8">
        <f ca="1">IF(OR(BG3="",BG$11&lt;$A13),"",BG3/OFFSET(ParoEPAESP!$A$80,MATCH(BG$12,ParoEPAESP!$A$80:$A$273)+$A13-1,1)-1)</f>
        <v>2.3023597474453705E-2</v>
      </c>
      <c r="BH13" s="8">
        <f ca="1">IF(OR(BH3="",BH$11&lt;$A13),"",BH3/OFFSET(ParoEPAESP!$A$80,MATCH(BH$12,ParoEPAESP!$A$80:$A$273)+$A13-1,1)-1)</f>
        <v>-6.3102875468675768E-3</v>
      </c>
      <c r="BI13" s="8">
        <f ca="1">IF(OR(BI3="",BI$11&lt;$A13),"",BI3/OFFSET(ParoEPAESP!$A$80,MATCH(BI$12,ParoEPAESP!$A$80:$A$273)+$A13-1,1)-1)</f>
        <v>9.8207954782569828E-3</v>
      </c>
      <c r="BJ13" s="8">
        <f ca="1">IF(OR(BJ3="",BJ$11&lt;$A13),"",BJ3/OFFSET(ParoEPAESP!$A$80,MATCH(BJ$12,ParoEPAESP!$A$80:$A$273)+$A13-1,1)-1)</f>
        <v>-8.6016349065936026E-3</v>
      </c>
      <c r="BK13" s="8">
        <f ca="1">IF(OR(BK3="",BK$11&lt;$A13),"",BK3/OFFSET(ParoEPAESP!$A$80,MATCH(BK$12,ParoEPAESP!$A$80:$A$273)+$A13-1,1)-1)</f>
        <v>-3.0741344934298032E-2</v>
      </c>
      <c r="BL13" s="8">
        <f ca="1">IF(OR(BL3="",BL$11&lt;$A13),"",BL3/OFFSET(ParoEPAESP!$A$80,MATCH(BL$12,ParoEPAESP!$A$80:$A$273)+$A13-1,1)-1)</f>
        <v>-1.7692629844450747E-2</v>
      </c>
      <c r="BM13" s="8">
        <f ca="1">IF(OR(BM3="",BM$11&lt;$A13),"",BM3/OFFSET(ParoEPAESP!$A$80,MATCH(BM$12,ParoEPAESP!$A$80:$A$273)+$A13-1,1)-1)</f>
        <v>3.4676484096499705E-2</v>
      </c>
      <c r="BN13" s="8">
        <f ca="1">IF(OR(BN3="",BN$11&lt;$A13),"",BN3/OFFSET(ParoEPAESP!$A$80,MATCH(BN$12,ParoEPAESP!$A$80:$A$273)+$A13-1,1)-1)</f>
        <v>-2.5959902260598078E-2</v>
      </c>
      <c r="BO13" s="8">
        <f ca="1">IF(OR(BO3="",BO$11&lt;$A13),"",BO3/OFFSET(ParoEPAESP!$A$80,MATCH(BO$12,ParoEPAESP!$A$80:$A$273)+$A13-1,1)-1)</f>
        <v>-5.1547339127525627E-2</v>
      </c>
      <c r="BP13" s="8">
        <f ca="1">IF(OR(BP3="",BP$11&lt;$A13),"",BP3/OFFSET(ParoEPAESP!$A$80,MATCH(BP$12,ParoEPAESP!$A$80:$A$273)+$A13-1,1)-1)</f>
        <v>-8.2268532832631802E-2</v>
      </c>
      <c r="BQ13" s="8">
        <f ca="1">IF(OR(BQ3="",BQ$11&lt;$A13),"",BQ3/OFFSET(ParoEPAESP!$A$80,MATCH(BQ$12,ParoEPAESP!$A$80:$A$273)+$A13-1,1)-1)</f>
        <v>7.6229772960979547E-2</v>
      </c>
      <c r="BR13" s="8" t="str">
        <f ca="1">IF(OR(BR3="",BR$11&lt;$A13),"",BR3/OFFSET(ParoEPAESP!$A$80,MATCH(BR$12,ParoEPAESP!$A$80:$A$273)+$A13-1,1)-1)</f>
        <v/>
      </c>
      <c r="BS13" s="8" t="str">
        <f ca="1">IF(OR(BS3="",BS$11&lt;$A13),"",BS3/OFFSET(ParoEPAESP!$A$80,MATCH(BS$12,ParoEPAESP!$A$80:$A$273)+$A13-1,1)-1)</f>
        <v/>
      </c>
      <c r="BT13" s="8" t="str">
        <f ca="1">IF(OR(BT3="",BT$11&lt;$A13),"",BT3/OFFSET(ParoEPAESP!$A$80,MATCH(BT$12,ParoEPAESP!$A$80:$A$273)+$A13-1,1)-1)</f>
        <v/>
      </c>
      <c r="BU13" s="8" t="str">
        <f ca="1">IF(OR(BU3="",BU$11&lt;$A13),"",BU3/OFFSET(ParoEPAESP!$A$80,MATCH(BU$12,ParoEPAESP!$A$80:$A$273)+$A13-1,1)-1)</f>
        <v/>
      </c>
      <c r="BV13" s="8" t="str">
        <f ca="1">IF(OR(BV3="",BV$11&lt;$A13),"",BV3/OFFSET(ParoEPAESP!$A$80,MATCH(BV$12,ParoEPAESP!$A$80:$A$273)+$A13-1,1)-1)</f>
        <v/>
      </c>
      <c r="BW13" s="8" t="str">
        <f ca="1">IF(OR(BW3="",BW$11&lt;$A13),"",BW3/OFFSET(ParoEPAESP!$A$80,MATCH(BW$12,ParoEPAESP!$A$80:$A$273)+$A13-1,1)-1)</f>
        <v/>
      </c>
      <c r="BX13" s="8" t="str">
        <f ca="1">IF(OR(BX3="",BX$11&lt;$A13),"",BX3/OFFSET(ParoEPAESP!$A$80,MATCH(BX$12,ParoEPAESP!$A$80:$A$273)+$A13-1,1)-1)</f>
        <v/>
      </c>
      <c r="BY13" s="8" t="str">
        <f ca="1">IF(OR(BY3="",BY$11&lt;$A13),"",BY3/OFFSET(ParoEPAESP!$A$80,MATCH(BY$12,ParoEPAESP!$A$80:$A$273)+$A13-1,1)-1)</f>
        <v/>
      </c>
      <c r="BZ13" s="8" t="str">
        <f ca="1">IF(OR(BZ3="",BZ$11&lt;$A13),"",BZ3/OFFSET(ParoEPAESP!$A$80,MATCH(BZ$12,ParoEPAESP!$A$80:$A$273)+$A13-1,1)-1)</f>
        <v/>
      </c>
      <c r="CA13" s="8" t="str">
        <f ca="1">IF(OR(CA3="",CA$11&lt;$A13),"",CA3/OFFSET(ParoEPAESP!$A$80,MATCH(CA$12,ParoEPAESP!$A$80:$A$273)+$A13-1,1)-1)</f>
        <v/>
      </c>
      <c r="CB13" s="8" t="str">
        <f ca="1">IF(OR(CB3="",CB$11&lt;$A13),"",CB3/OFFSET(ParoEPAESP!$A$80,MATCH(CB$12,ParoEPAESP!$A$80:$A$273)+$A13-1,1)-1)</f>
        <v/>
      </c>
      <c r="CC13" s="8" t="str">
        <f ca="1">IF(OR(CC3="",CC$11&lt;$A13),"",CC3/OFFSET(ParoEPAESP!$A$80,MATCH(CC$12,ParoEPAESP!$A$80:$A$273)+$A13-1,1)-1)</f>
        <v/>
      </c>
      <c r="CD13" s="8" t="str">
        <f ca="1">IF(OR(CD3="",CD$11&lt;$A13),"",CD3/OFFSET(ParoEPAESP!$A$80,MATCH(CD$12,ParoEPAESP!$A$80:$A$273)+$A13-1,1)-1)</f>
        <v/>
      </c>
      <c r="CE13" s="8" t="str">
        <f ca="1">IF(OR(CE3="",CE$11&lt;$A13),"",CE3/OFFSET(ParoEPAESP!$A$80,MATCH(CE$12,ParoEPAESP!$A$80:$A$273)+$A13-1,1)-1)</f>
        <v/>
      </c>
      <c r="CF13" s="8" t="str">
        <f ca="1">IF(OR(CF3="",CF$11&lt;$A13),"",CF3/OFFSET(ParoEPAESP!$A$80,MATCH(CF$12,ParoEPAESP!$A$80:$A$273)+$A13-1,1)-1)</f>
        <v/>
      </c>
      <c r="CG13" s="8" t="str">
        <f ca="1">IF(OR(CG3="",CG$11&lt;$A13),"",CG3/OFFSET(ParoEPAESP!$A$80,MATCH(CG$12,ParoEPAESP!$A$80:$A$273)+$A13-1,1)-1)</f>
        <v/>
      </c>
      <c r="CH13" s="8" t="str">
        <f ca="1">IF(OR(CH3="",CH$11&lt;$A13),"",CH3/OFFSET(ParoEPAESP!$A$80,MATCH(CH$12,ParoEPAESP!$A$80:$A$273)+$A13-1,1)-1)</f>
        <v/>
      </c>
      <c r="CI13" s="8" t="str">
        <f ca="1">IF(OR(CI3="",CI$11&lt;$A13),"",CI3/OFFSET(ParoEPAESP!$A$80,MATCH(CI$12,ParoEPAESP!$A$80:$A$273)+$A13-1,1)-1)</f>
        <v/>
      </c>
      <c r="CJ13" s="8" t="str">
        <f ca="1">IF(OR(CJ3="",CJ$11&lt;$A13),"",CJ3/OFFSET(ParoEPAESP!$A$80,MATCH(CJ$12,ParoEPAESP!$A$80:$A$273)+$A13-1,1)-1)</f>
        <v/>
      </c>
      <c r="CK13" s="8" t="str">
        <f ca="1">IF(OR(CK3="",CK$11&lt;$A13),"",CK3/OFFSET(ParoEPAESP!$A$80,MATCH(CK$12,ParoEPAESP!$A$80:$A$273)+$A13-1,1)-1)</f>
        <v/>
      </c>
      <c r="CL13" s="8" t="str">
        <f ca="1">IF(OR(CL3="",CL$11&lt;$A13),"",CL3/OFFSET(ParoEPAESP!$A$80,MATCH(CL$12,ParoEPAESP!$A$80:$A$273)+$A13-1,1)-1)</f>
        <v/>
      </c>
      <c r="CM13" s="8" t="str">
        <f ca="1">IF(OR(CM3="",CM$11&lt;$A13),"",CM3/OFFSET(ParoEPAESP!$A$80,MATCH(CM$12,ParoEPAESP!$A$80:$A$273)+$A13-1,1)-1)</f>
        <v/>
      </c>
      <c r="CN13" s="8" t="str">
        <f ca="1">IF(OR(CN3="",CN$11&lt;$A13),"",CN3/OFFSET(ParoEPAESP!$A$80,MATCH(CN$12,ParoEPAESP!$A$80:$A$273)+$A13-1,1)-1)</f>
        <v/>
      </c>
      <c r="CO13" s="8" t="str">
        <f ca="1">IF(OR(CO3="",CO$11&lt;$A13),"",CO3/OFFSET(ParoEPAESP!$A$80,MATCH(CO$12,ParoEPAESP!$A$80:$A$273)+$A13-1,1)-1)</f>
        <v/>
      </c>
      <c r="CP13" s="8" t="str">
        <f ca="1">IF(OR(CP3="",CP$11&lt;$A13),"",CP3/OFFSET(ParoEPAESP!$A$80,MATCH(CP$12,ParoEPAESP!$A$80:$A$273)+$A13-1,1)-1)</f>
        <v/>
      </c>
      <c r="CQ13" s="8" t="str">
        <f ca="1">IF(OR(CQ3="",CQ$11&lt;$A13),"",CQ3/OFFSET(ParoEPAESP!$A$80,MATCH(CQ$12,ParoEPAESP!$A$80:$A$273)+$A13-1,1)-1)</f>
        <v/>
      </c>
      <c r="CR13" s="8" t="str">
        <f ca="1">IF(OR(CR3="",CR$11&lt;$A13),"",CR3/OFFSET(ParoEPAESP!$A$80,MATCH(CR$12,ParoEPAESP!$A$80:$A$273)+$A13-1,1)-1)</f>
        <v/>
      </c>
      <c r="CS13" s="8" t="str">
        <f ca="1">IF(OR(CS3="",CS$11&lt;$A13),"",CS3/OFFSET(ParoEPAESP!$A$80,MATCH(CS$12,ParoEPAESP!$A$80:$A$273)+$A13-1,1)-1)</f>
        <v/>
      </c>
      <c r="CT13" s="8" t="str">
        <f ca="1">IF(OR(CT3="",CT$11&lt;$A13),"",CT3/OFFSET(ParoEPAESP!$A$80,MATCH(CT$12,ParoEPAESP!$A$80:$A$273)+$A13-1,1)-1)</f>
        <v/>
      </c>
      <c r="CU13" s="8" t="str">
        <f ca="1">IF(OR(CU3="",CU$11&lt;$A13),"",CU3/OFFSET(ParoEPAESP!$A$80,MATCH(CU$12,ParoEPAESP!$A$80:$A$273)+$A13-1,1)-1)</f>
        <v/>
      </c>
      <c r="CV13" s="8" t="str">
        <f ca="1">IF(OR(CV3="",CV$11&lt;$A13),"",CV3/OFFSET(ParoEPAESP!$A$80,MATCH(CV$12,ParoEPAESP!$A$80:$A$273)+$A13-1,1)-1)</f>
        <v/>
      </c>
      <c r="CW13" s="8" t="str">
        <f ca="1">IF(OR(CW3="",CW$11&lt;$A13),"",CW3/OFFSET(ParoEPAESP!$A$80,MATCH(CW$12,ParoEPAESP!$A$80:$A$273)+$A13-1,1)-1)</f>
        <v/>
      </c>
      <c r="CX13" s="8" t="str">
        <f ca="1">IF(OR(CX3="",CX$11&lt;$A13),"",CX3/OFFSET(ParoEPAESP!$A$80,MATCH(CX$12,ParoEPAESP!$A$80:$A$273)+$A13-1,1)-1)</f>
        <v/>
      </c>
      <c r="CY13" s="8" t="str">
        <f ca="1">IF(OR(CY3="",CY$11&lt;$A13),"",CY3/OFFSET(ParoEPAESP!$A$80,MATCH(CY$12,ParoEPAESP!$A$80:$A$273)+$A13-1,1)-1)</f>
        <v/>
      </c>
      <c r="CZ13" s="8" t="str">
        <f ca="1">IF(OR(CZ3="",CZ$11&lt;$A13),"",CZ3/OFFSET(ParoEPAESP!$A$80,MATCH(CZ$12,ParoEPAESP!$A$80:$A$273)+$A13-1,1)-1)</f>
        <v/>
      </c>
      <c r="DA13" s="8" t="str">
        <f ca="1">IF(OR(DA3="",DA$11&lt;$A13),"",DA3/OFFSET(ParoEPAESP!$A$80,MATCH(DA$12,ParoEPAESP!$A$80:$A$273)+$A13-1,1)-1)</f>
        <v/>
      </c>
      <c r="DB13" s="8" t="str">
        <f ca="1">IF(OR(DB3="",DB$11&lt;$A13),"",DB3/OFFSET(ParoEPAESP!$A$80,MATCH(DB$12,ParoEPAESP!$A$80:$A$273)+$A13-1,1)-1)</f>
        <v/>
      </c>
      <c r="DC13" s="8" t="str">
        <f ca="1">IF(OR(DC3="",DC$11&lt;$A13),"",DC3/OFFSET(ParoEPAESP!$A$80,MATCH(DC$12,ParoEPAESP!$A$80:$A$273)+$A13-1,1)-1)</f>
        <v/>
      </c>
      <c r="DD13" s="8" t="str">
        <f ca="1">IF(OR(DD3="",DD$11&lt;$A13),"",DD3/OFFSET(ParoEPAESP!$A$80,MATCH(DD$12,ParoEPAESP!$A$80:$A$273)+$A13-1,1)-1)</f>
        <v/>
      </c>
      <c r="DE13" s="8" t="str">
        <f ca="1">IF(OR(DE3="",DE$11&lt;$A13),"",DE3/OFFSET(ParoEPAESP!$A$80,MATCH(DE$12,ParoEPAESP!$A$80:$A$273)+$A13-1,1)-1)</f>
        <v/>
      </c>
      <c r="DF13" s="8" t="str">
        <f ca="1">IF(OR(DF3="",DF$11&lt;$A13),"",DF3/OFFSET(ParoEPAESP!$A$80,MATCH(DF$12,ParoEPAESP!$A$80:$A$273)+$A13-1,1)-1)</f>
        <v/>
      </c>
      <c r="DG13" s="8" t="str">
        <f ca="1">IF(OR(DG3="",DG$11&lt;$A13),"",DG3/OFFSET(ParoEPAESP!$A$80,MATCH(DG$12,ParoEPAESP!$A$80:$A$273)+$A13-1,1)-1)</f>
        <v/>
      </c>
      <c r="DH13" s="8" t="str">
        <f ca="1">IF(OR(DH3="",DH$11&lt;$A13),"",DH3/OFFSET(ParoEPAESP!$A$80,MATCH(DH$12,ParoEPAESP!$A$80:$A$273)+$A13-1,1)-1)</f>
        <v/>
      </c>
      <c r="DI13" s="8" t="str">
        <f ca="1">IF(OR(DI3="",DI$11&lt;$A13),"",DI3/OFFSET(ParoEPAESP!$A$80,MATCH(DI$12,ParoEPAESP!$A$80:$A$273)+$A13-1,1)-1)</f>
        <v/>
      </c>
      <c r="DJ13" s="8" t="str">
        <f ca="1">IF(OR(DJ3="",DJ$11&lt;$A13),"",DJ3/OFFSET(ParoEPAESP!$A$80,MATCH(DJ$12,ParoEPAESP!$A$80:$A$273)+$A13-1,1)-1)</f>
        <v/>
      </c>
      <c r="DK13" s="8" t="str">
        <f ca="1">IF(OR(DK3="",DK$11&lt;$A13),"",DK3/OFFSET(ParoEPAESP!$A$80,MATCH(DK$12,ParoEPAESP!$A$80:$A$273)+$A13-1,1)-1)</f>
        <v/>
      </c>
      <c r="DL13" s="8" t="str">
        <f ca="1">IF(OR(DL3="",DL$11&lt;$A13),"",DL3/OFFSET(ParoEPAESP!$A$80,MATCH(DL$12,ParoEPAESP!$A$80:$A$273)+$A13-1,1)-1)</f>
        <v/>
      </c>
      <c r="DM13" s="8" t="str">
        <f ca="1">IF(OR(DM3="",DM$11&lt;$A13),"",DM3/OFFSET(ParoEPAESP!$A$80,MATCH(DM$12,ParoEPAESP!$A$80:$A$273)+$A13-1,1)-1)</f>
        <v/>
      </c>
      <c r="DN13" s="8" t="str">
        <f ca="1">IF(OR(DN3="",DN$11&lt;$A13),"",DN3/OFFSET(ParoEPAESP!$A$80,MATCH(DN$12,ParoEPAESP!$A$80:$A$273)+$A13-1,1)-1)</f>
        <v/>
      </c>
      <c r="DO13" s="8" t="str">
        <f ca="1">IF(OR(DO3="",DO$11&lt;$A13),"",DO3/OFFSET(ParoEPAESP!$A$80,MATCH(DO$12,ParoEPAESP!$A$80:$A$273)+$A13-1,1)-1)</f>
        <v/>
      </c>
      <c r="DP13" s="8" t="str">
        <f ca="1">IF(OR(DP3="",DP$11&lt;$A13),"",DP3/OFFSET(ParoEPAESP!$A$80,MATCH(DP$12,ParoEPAESP!$A$80:$A$273)+$A13-1,1)-1)</f>
        <v/>
      </c>
      <c r="DQ13" s="8" t="str">
        <f ca="1">IF(OR(DQ3="",DQ$11&lt;$A13),"",DQ3/OFFSET(ParoEPAESP!$A$80,MATCH(DQ$12,ParoEPAESP!$A$80:$A$273)+$A13-1,1)-1)</f>
        <v/>
      </c>
      <c r="DR13" s="8" t="str">
        <f ca="1">IF(OR(DR3="",DR$11&lt;$A13),"",DR3/OFFSET(ParoEPAESP!$A$80,MATCH(DR$12,ParoEPAESP!$A$80:$A$273)+$A13-1,1)-1)</f>
        <v/>
      </c>
      <c r="DS13" s="12">
        <f t="shared" ref="DS13:DS16" ca="1" si="51">AVERAGE(OFFSET($B13,0,Inicio-1,1,Amplitud))</f>
        <v>2.0941826566631934E-3</v>
      </c>
      <c r="DT13" s="12">
        <f t="shared" ref="DT13:DT16" ca="1" si="52">MEDIAN(OFFSET($B13,0,Inicio-1,1,Amplitud))</f>
        <v>4.4557098850119825E-3</v>
      </c>
      <c r="DU13" s="13">
        <f t="shared" ref="DU13:DU16" ca="1" si="53">VARP(OFFSET($B13,0,Inicio-1,1,Amplitud))</f>
        <v>7.9519918898054629E-4</v>
      </c>
      <c r="DV13" s="15">
        <f ca="1">SQRT(DU13)</f>
        <v>2.8199276391080434E-2</v>
      </c>
      <c r="DW13" s="14" t="str">
        <f t="shared" ref="DW13:DW16" ca="1" si="54">CONCATENATE("[ ",TEXT(DS13-2*DV13,"0,00%")," ; ",TEXT(DS13+2*DV13,"0,00%")," ]")</f>
        <v>[ -5,43% ; 5,85% ]</v>
      </c>
      <c r="DX13" s="15">
        <f t="shared" ref="DX13:DX16" ca="1" si="55">DV13*DX$12</f>
        <v>3.6095073780582958E-2</v>
      </c>
      <c r="GI13" s="1"/>
    </row>
    <row r="14" spans="1:191" x14ac:dyDescent="0.25">
      <c r="A14" s="4">
        <v>2</v>
      </c>
      <c r="B14" s="8">
        <f ca="1">IF(OR(B4="",B$11&lt;$A14),"",B4/OFFSET(ParoEPAESP!$A$80,MATCH(B$12,ParoEPAESP!$A$80:$A$273)+$A14-1,1)-1)</f>
        <v>1.3105123404215657E-3</v>
      </c>
      <c r="C14" s="8">
        <f ca="1">IF(OR(C4="",C$11&lt;$A14),"",C4/OFFSET(ParoEPAESP!$A$80,MATCH(C$12,ParoEPAESP!$A$80:$A$273)+$A14-1,1)-1)</f>
        <v>2.8366972630605725E-2</v>
      </c>
      <c r="D14" s="8">
        <f ca="1">IF(OR(D4="",D$11&lt;$A14),"",D4/OFFSET(ParoEPAESP!$A$80,MATCH(D$12,ParoEPAESP!$A$80:$A$273)+$A14-1,1)-1)</f>
        <v>6.5488346457851065E-2</v>
      </c>
      <c r="E14" s="8">
        <f ca="1">IF(OR(E4="",E$11&lt;$A14),"",E4/OFFSET(ParoEPAESP!$A$80,MATCH(E$12,ParoEPAESP!$A$80:$A$273)+$A14-1,1)-1)</f>
        <v>3.3763906627329643E-2</v>
      </c>
      <c r="F14" s="8">
        <f ca="1">IF(OR(F4="",F$11&lt;$A14),"",F4/OFFSET(ParoEPAESP!$A$80,MATCH(F$12,ParoEPAESP!$A$80:$A$273)+$A14-1,1)-1)</f>
        <v>7.479515881266896E-2</v>
      </c>
      <c r="G14" s="8">
        <f ca="1">IF(OR(G4="",G$11&lt;$A14),"",G4/OFFSET(ParoEPAESP!$A$80,MATCH(G$12,ParoEPAESP!$A$80:$A$273)+$A14-1,1)-1)</f>
        <v>0.12096129199609051</v>
      </c>
      <c r="H14" s="8">
        <f ca="1">IF(OR(H4="",H$11&lt;$A14),"",H4/OFFSET(ParoEPAESP!$A$80,MATCH(H$12,ParoEPAESP!$A$80:$A$273)+$A14-1,1)-1)</f>
        <v>2.0790918646884871E-2</v>
      </c>
      <c r="I14" s="8">
        <f ca="1">IF(OR(I4="",I$11&lt;$A14),"",I4/OFFSET(ParoEPAESP!$A$80,MATCH(I$12,ParoEPAESP!$A$80:$A$273)+$A14-1,1)-1)</f>
        <v>-0.1708561285512824</v>
      </c>
      <c r="J14" s="8">
        <f ca="1">IF(OR(J4="",J$11&lt;$A14),"",J4/OFFSET(ParoEPAESP!$A$80,MATCH(J$12,ParoEPAESP!$A$80:$A$273)+$A14-1,1)-1)</f>
        <v>-4.4038619996308648E-2</v>
      </c>
      <c r="K14" s="8">
        <f ca="1">IF(OR(K4="",K$11&lt;$A14),"",K4/OFFSET(ParoEPAESP!$A$80,MATCH(K$12,ParoEPAESP!$A$80:$A$273)+$A14-1,1)-1)</f>
        <v>7.2629003424299121E-2</v>
      </c>
      <c r="L14" s="8">
        <f ca="1">IF(OR(L4="",L$11&lt;$A14),"",L4/OFFSET(ParoEPAESP!$A$80,MATCH(L$12,ParoEPAESP!$A$80:$A$273)+$A14-1,1)-1)</f>
        <v>2.2245691053801586E-2</v>
      </c>
      <c r="M14" s="8">
        <f ca="1">IF(OR(M4="",M$11&lt;$A14),"",M4/OFFSET(ParoEPAESP!$A$80,MATCH(M$12,ParoEPAESP!$A$80:$A$273)+$A14-1,1)-1)</f>
        <v>-4.3506542093091349E-2</v>
      </c>
      <c r="N14" s="8">
        <f ca="1">IF(OR(N4="",N$11&lt;$A14),"",N4/OFFSET(ParoEPAESP!$A$80,MATCH(N$12,ParoEPAESP!$A$80:$A$273)+$A14-1,1)-1)</f>
        <v>1.333338301384579E-2</v>
      </c>
      <c r="O14" s="8">
        <f ca="1">IF(OR(O4="",O$11&lt;$A14),"",O4/OFFSET(ParoEPAESP!$A$80,MATCH(O$12,ParoEPAESP!$A$80:$A$273)+$A14-1,1)-1)</f>
        <v>-2.8985728858699211E-3</v>
      </c>
      <c r="P14" s="8">
        <f ca="1">IF(OR(P4="",P$11&lt;$A14),"",P4/OFFSET(ParoEPAESP!$A$80,MATCH(P$12,ParoEPAESP!$A$80:$A$273)+$A14-1,1)-1)</f>
        <v>-8.1066629900673703E-2</v>
      </c>
      <c r="Q14" s="8">
        <f ca="1">IF(OR(Q4="",Q$11&lt;$A14),"",Q4/OFFSET(ParoEPAESP!$A$80,MATCH(Q$12,ParoEPAESP!$A$80:$A$273)+$A14-1,1)-1)</f>
        <v>-0.13551563133539091</v>
      </c>
      <c r="R14" s="8">
        <f ca="1">IF(OR(R4="",R$11&lt;$A14),"",R4/OFFSET(ParoEPAESP!$A$80,MATCH(R$12,ParoEPAESP!$A$80:$A$273)+$A14-1,1)-1)</f>
        <v>-0.1653735330400079</v>
      </c>
      <c r="S14" s="8">
        <f ca="1">IF(OR(S4="",S$11&lt;$A14),"",S4/OFFSET(ParoEPAESP!$A$80,MATCH(S$12,ParoEPAESP!$A$80:$A$273)+$A14-1,1)-1)</f>
        <v>-0.10568694263625034</v>
      </c>
      <c r="T14" s="8">
        <f ca="1">IF(OR(T4="",T$11&lt;$A14),"",T4/OFFSET(ParoEPAESP!$A$80,MATCH(T$12,ParoEPAESP!$A$80:$A$273)+$A14-1,1)-1)</f>
        <v>-0.14524390936293818</v>
      </c>
      <c r="U14" s="8">
        <f ca="1">IF(OR(U4="",U$11&lt;$A14),"",U4/OFFSET(ParoEPAESP!$A$80,MATCH(U$12,ParoEPAESP!$A$80:$A$273)+$A14-1,1)-1)</f>
        <v>-0.26231779507134256</v>
      </c>
      <c r="V14" s="8">
        <f ca="1">IF(OR(V4="",V$11&lt;$A14),"",V4/OFFSET(ParoEPAESP!$A$80,MATCH(V$12,ParoEPAESP!$A$80:$A$273)+$A14-1,1)-1)</f>
        <v>-7.9609919227678794E-2</v>
      </c>
      <c r="W14" s="8">
        <f ca="1">IF(OR(W4="",W$11&lt;$A14),"",W4/OFFSET(ParoEPAESP!$A$80,MATCH(W$12,ParoEPAESP!$A$80:$A$273)+$A14-1,1)-1)</f>
        <v>0.27659233013158935</v>
      </c>
      <c r="X14" s="8">
        <f ca="1">IF(OR(X4="",X$11&lt;$A14),"",X4/OFFSET(ParoEPAESP!$A$80,MATCH(X$12,ParoEPAESP!$A$80:$A$273)+$A14-1,1)-1)</f>
        <v>0.13233505886603725</v>
      </c>
      <c r="Y14" s="8">
        <f ca="1">IF(OR(Y4="",Y$11&lt;$A14),"",Y4/OFFSET(ParoEPAESP!$A$80,MATCH(Y$12,ParoEPAESP!$A$80:$A$273)+$A14-1,1)-1)</f>
        <v>1.6578100117683681E-2</v>
      </c>
      <c r="Z14" s="8">
        <f ca="1">IF(OR(Z4="",Z$11&lt;$A14),"",Z4/OFFSET(ParoEPAESP!$A$80,MATCH(Z$12,ParoEPAESP!$A$80:$A$273)+$A14-1,1)-1)</f>
        <v>-6.4142710452276264E-3</v>
      </c>
      <c r="AA14" s="8">
        <f ca="1">IF(OR(AA4="",AA$11&lt;$A14),"",AA4/OFFSET(ParoEPAESP!$A$80,MATCH(AA$12,ParoEPAESP!$A$80:$A$273)+$A14-1,1)-1)</f>
        <v>2.455203865240585E-2</v>
      </c>
      <c r="AB14" s="8">
        <f ca="1">IF(OR(AB4="",AB$11&lt;$A14),"",AB4/OFFSET(ParoEPAESP!$A$80,MATCH(AB$12,ParoEPAESP!$A$80:$A$273)+$A14-1,1)-1)</f>
        <v>5.4720937478744291E-2</v>
      </c>
      <c r="AC14" s="8">
        <f ca="1">IF(OR(AC4="",AC$11&lt;$A14),"",AC4/OFFSET(ParoEPAESP!$A$80,MATCH(AC$12,ParoEPAESP!$A$80:$A$273)+$A14-1,1)-1)</f>
        <v>1.2642798122433074E-2</v>
      </c>
      <c r="AD14" s="8">
        <f ca="1">IF(OR(AD4="",AD$11&lt;$A14),"",AD4/OFFSET(ParoEPAESP!$A$80,MATCH(AD$12,ParoEPAESP!$A$80:$A$273)+$A14-1,1)-1)</f>
        <v>1.9184706029389265E-3</v>
      </c>
      <c r="AE14" s="8">
        <f ca="1">IF(OR(AE4="",AE$11&lt;$A14),"",AE4/OFFSET(ParoEPAESP!$A$80,MATCH(AE$12,ParoEPAESP!$A$80:$A$273)+$A14-1,1)-1)</f>
        <v>-1.8548991260890269E-2</v>
      </c>
      <c r="AF14" s="8">
        <f ca="1">IF(OR(AF4="",AF$11&lt;$A14),"",AF4/OFFSET(ParoEPAESP!$A$80,MATCH(AF$12,ParoEPAESP!$A$80:$A$273)+$A14-1,1)-1)</f>
        <v>-7.8449038785130987E-2</v>
      </c>
      <c r="AG14" s="8">
        <f ca="1">IF(OR(AG4="",AG$11&lt;$A14),"",AG4/OFFSET(ParoEPAESP!$A$80,MATCH(AG$12,ParoEPAESP!$A$80:$A$273)+$A14-1,1)-1)</f>
        <v>-3.1541918551985071E-2</v>
      </c>
      <c r="AH14" s="8">
        <f ca="1">IF(OR(AH4="",AH$11&lt;$A14),"",AH4/OFFSET(ParoEPAESP!$A$80,MATCH(AH$12,ParoEPAESP!$A$80:$A$273)+$A14-1,1)-1)</f>
        <v>-2.8785052225768659E-2</v>
      </c>
      <c r="AI14" s="8">
        <f ca="1">IF(OR(AI4="",AI$11&lt;$A14),"",AI4/OFFSET(ParoEPAESP!$A$80,MATCH(AI$12,ParoEPAESP!$A$80:$A$273)+$A14-1,1)-1)</f>
        <v>4.9564586455725923E-3</v>
      </c>
      <c r="AJ14" s="8">
        <f ca="1">IF(OR(AJ4="",AJ$11&lt;$A14),"",AJ4/OFFSET(ParoEPAESP!$A$80,MATCH(AJ$12,ParoEPAESP!$A$80:$A$273)+$A14-1,1)-1)</f>
        <v>5.0442769304945845E-3</v>
      </c>
      <c r="AK14" s="8">
        <f ca="1">IF(OR(AK4="",AK$11&lt;$A14),"",AK4/OFFSET(ParoEPAESP!$A$80,MATCH(AK$12,ParoEPAESP!$A$80:$A$273)+$A14-1,1)-1)</f>
        <v>8.6368351920498299E-3</v>
      </c>
      <c r="AL14" s="8">
        <f ca="1">IF(OR(AL4="",AL$11&lt;$A14),"",AL4/OFFSET(ParoEPAESP!$A$80,MATCH(AL$12,ParoEPAESP!$A$80:$A$273)+$A14-1,1)-1)</f>
        <v>3.6561182550936655E-2</v>
      </c>
      <c r="AM14" s="8">
        <f ca="1">IF(OR(AM4="",AM$11&lt;$A14),"",AM4/OFFSET(ParoEPAESP!$A$80,MATCH(AM$12,ParoEPAESP!$A$80:$A$273)+$A14-1,1)-1)</f>
        <v>6.6268519461950115E-2</v>
      </c>
      <c r="AN14" s="8">
        <f ca="1">IF(OR(AN4="",AN$11&lt;$A14),"",AN4/OFFSET(ParoEPAESP!$A$80,MATCH(AN$12,ParoEPAESP!$A$80:$A$273)+$A14-1,1)-1)</f>
        <v>2.2733733988024696E-2</v>
      </c>
      <c r="AO14" s="8">
        <f ca="1">IF(OR(AO4="",AO$11&lt;$A14),"",AO4/OFFSET(ParoEPAESP!$A$80,MATCH(AO$12,ParoEPAESP!$A$80:$A$273)+$A14-1,1)-1)</f>
        <v>4.2486128331999051E-2</v>
      </c>
      <c r="AP14" s="8">
        <f ca="1">IF(OR(AP4="",AP$11&lt;$A14),"",AP4/OFFSET(ParoEPAESP!$A$80,MATCH(AP$12,ParoEPAESP!$A$80:$A$273)+$A14-1,1)-1)</f>
        <v>4.507700399256831E-2</v>
      </c>
      <c r="AQ14" s="8">
        <f ca="1">IF(OR(AQ4="",AQ$11&lt;$A14),"",AQ4/OFFSET(ParoEPAESP!$A$80,MATCH(AQ$12,ParoEPAESP!$A$80:$A$273)+$A14-1,1)-1)</f>
        <v>2.7591195461196039E-2</v>
      </c>
      <c r="AR14" s="8">
        <f ca="1">IF(OR(AR4="",AR$11&lt;$A14),"",AR4/OFFSET(ParoEPAESP!$A$80,MATCH(AR$12,ParoEPAESP!$A$80:$A$273)+$A14-1,1)-1)</f>
        <v>-5.394838348410147E-3</v>
      </c>
      <c r="AS14" s="8">
        <f ca="1">IF(OR(AS4="",AS$11&lt;$A14),"",AS4/OFFSET(ParoEPAESP!$A$80,MATCH(AS$12,ParoEPAESP!$A$80:$A$273)+$A14-1,1)-1)</f>
        <v>-1.0238475506330058E-4</v>
      </c>
      <c r="AT14" s="8">
        <f ca="1">IF(OR(AT4="",AT$11&lt;$A14),"",AT4/OFFSET(ParoEPAESP!$A$80,MATCH(AT$12,ParoEPAESP!$A$80:$A$273)+$A14-1,1)-1)</f>
        <v>3.5016054202174907E-2</v>
      </c>
      <c r="AU14" s="8">
        <f ca="1">IF(OR(AU4="",AU$11&lt;$A14),"",AU4/OFFSET(ParoEPAESP!$A$80,MATCH(AU$12,ParoEPAESP!$A$80:$A$273)+$A14-1,1)-1)</f>
        <v>4.096931863246156E-2</v>
      </c>
      <c r="AV14" s="8">
        <f ca="1">IF(OR(AV4="",AV$11&lt;$A14),"",AV4/OFFSET(ParoEPAESP!$A$80,MATCH(AV$12,ParoEPAESP!$A$80:$A$273)+$A14-1,1)-1)</f>
        <v>4.8383184596682671E-2</v>
      </c>
      <c r="AW14" s="8">
        <f ca="1">IF(OR(AW4="",AW$11&lt;$A14),"",AW4/OFFSET(ParoEPAESP!$A$80,MATCH(AW$12,ParoEPAESP!$A$80:$A$273)+$A14-1,1)-1)</f>
        <v>-5.098087012336272E-3</v>
      </c>
      <c r="AX14" s="8">
        <f ca="1">IF(OR(AX4="",AX$11&lt;$A14),"",AX4/OFFSET(ParoEPAESP!$A$80,MATCH(AX$12,ParoEPAESP!$A$80:$A$273)+$A14-1,1)-1)</f>
        <v>-1.1892905548535504E-2</v>
      </c>
      <c r="AY14" s="8">
        <f ca="1">IF(OR(AY4="",AY$11&lt;$A14),"",AY4/OFFSET(ParoEPAESP!$A$80,MATCH(AY$12,ParoEPAESP!$A$80:$A$273)+$A14-1,1)-1)</f>
        <v>1.3943228128557861E-2</v>
      </c>
      <c r="AZ14" s="8">
        <f ca="1">IF(OR(AZ4="",AZ$11&lt;$A14),"",AZ4/OFFSET(ParoEPAESP!$A$80,MATCH(AZ$12,ParoEPAESP!$A$80:$A$273)+$A14-1,1)-1)</f>
        <v>4.5699648277233829E-2</v>
      </c>
      <c r="BA14" s="8">
        <f ca="1">IF(OR(BA4="",BA$11&lt;$A14),"",BA4/OFFSET(ParoEPAESP!$A$80,MATCH(BA$12,ParoEPAESP!$A$80:$A$273)+$A14-1,1)-1)</f>
        <v>7.176475126984494E-3</v>
      </c>
      <c r="BB14" s="8">
        <f ca="1">IF(OR(BB4="",BB$11&lt;$A14),"",BB4/OFFSET(ParoEPAESP!$A$80,MATCH(BB$12,ParoEPAESP!$A$80:$A$273)+$A14-1,1)-1)</f>
        <v>2.5956958286770249E-2</v>
      </c>
      <c r="BC14" s="8">
        <f ca="1">IF(OR(BC4="",BC$11&lt;$A14),"",BC4/OFFSET(ParoEPAESP!$A$80,MATCH(BC$12,ParoEPAESP!$A$80:$A$273)+$A14-1,1)-1)</f>
        <v>3.8877339370701369E-2</v>
      </c>
      <c r="BD14" s="8">
        <f ca="1">IF(OR(BD4="",BD$11&lt;$A14),"",BD4/OFFSET(ParoEPAESP!$A$80,MATCH(BD$12,ParoEPAESP!$A$80:$A$273)+$A14-1,1)-1)</f>
        <v>-3.280074209516104E-2</v>
      </c>
      <c r="BE14" s="8">
        <f ca="1">IF(OR(BE4="",BE$11&lt;$A14),"",BE4/OFFSET(ParoEPAESP!$A$80,MATCH(BE$12,ParoEPAESP!$A$80:$A$273)+$A14-1,1)-1)</f>
        <v>-2.3109367185644047E-2</v>
      </c>
      <c r="BF14" s="8">
        <f ca="1">IF(OR(BF4="",BF$11&lt;$A14),"",BF4/OFFSET(ParoEPAESP!$A$80,MATCH(BF$12,ParoEPAESP!$A$80:$A$273)+$A14-1,1)-1)</f>
        <v>4.0328436025472536E-2</v>
      </c>
      <c r="BG14" s="8">
        <f ca="1">IF(OR(BG4="",BG$11&lt;$A14),"",BG4/OFFSET(ParoEPAESP!$A$80,MATCH(BG$12,ParoEPAESP!$A$80:$A$273)+$A14-1,1)-1)</f>
        <v>2.760760597698475E-2</v>
      </c>
      <c r="BH14" s="8">
        <f ca="1">IF(OR(BH4="",BH$11&lt;$A14),"",BH4/OFFSET(ParoEPAESP!$A$80,MATCH(BH$12,ParoEPAESP!$A$80:$A$273)+$A14-1,1)-1)</f>
        <v>-3.8174013280457553E-3</v>
      </c>
      <c r="BI14" s="8">
        <f ca="1">IF(OR(BI4="",BI$11&lt;$A14),"",BI4/OFFSET(ParoEPAESP!$A$80,MATCH(BI$12,ParoEPAESP!$A$80:$A$273)+$A14-1,1)-1)</f>
        <v>6.2357095761202963E-3</v>
      </c>
      <c r="BJ14" s="8">
        <f ca="1">IF(OR(BJ4="",BJ$11&lt;$A14),"",BJ4/OFFSET(ParoEPAESP!$A$80,MATCH(BJ$12,ParoEPAESP!$A$80:$A$273)+$A14-1,1)-1)</f>
        <v>-4.1027772890399272E-2</v>
      </c>
      <c r="BK14" s="8">
        <f ca="1">IF(OR(BK4="",BK$11&lt;$A14),"",BK4/OFFSET(ParoEPAESP!$A$80,MATCH(BK$12,ParoEPAESP!$A$80:$A$273)+$A14-1,1)-1)</f>
        <v>-7.0325394153112453E-2</v>
      </c>
      <c r="BL14" s="8">
        <f ca="1">IF(OR(BL4="",BL$11&lt;$A14),"",BL4/OFFSET(ParoEPAESP!$A$80,MATCH(BL$12,ParoEPAESP!$A$80:$A$273)+$A14-1,1)-1)</f>
        <v>8.5957712327076052E-3</v>
      </c>
      <c r="BM14" s="8">
        <f ca="1">IF(OR(BM4="",BM$11&lt;$A14),"",BM4/OFFSET(ParoEPAESP!$A$80,MATCH(BM$12,ParoEPAESP!$A$80:$A$273)+$A14-1,1)-1)</f>
        <v>3.0476156029411783E-2</v>
      </c>
      <c r="BN14" s="8">
        <f ca="1">IF(OR(BN4="",BN$11&lt;$A14),"",BN4/OFFSET(ParoEPAESP!$A$80,MATCH(BN$12,ParoEPAESP!$A$80:$A$273)+$A14-1,1)-1)</f>
        <v>-8.4796583020831373E-2</v>
      </c>
      <c r="BO14" s="8">
        <f ca="1">IF(OR(BO4="",BO$11&lt;$A14),"",BO4/OFFSET(ParoEPAESP!$A$80,MATCH(BO$12,ParoEPAESP!$A$80:$A$273)+$A14-1,1)-1)</f>
        <v>-0.154246273462878</v>
      </c>
      <c r="BP14" s="8">
        <f ca="1">IF(OR(BP4="",BP$11&lt;$A14),"",BP4/OFFSET(ParoEPAESP!$A$80,MATCH(BP$12,ParoEPAESP!$A$80:$A$273)+$A14-1,1)-1)</f>
        <v>-4.7161023999446772E-2</v>
      </c>
      <c r="BQ14" s="8" t="str">
        <f ca="1">IF(OR(BQ4="",BQ$11&lt;$A14),"",BQ4/OFFSET(ParoEPAESP!$A$80,MATCH(BQ$12,ParoEPAESP!$A$80:$A$273)+$A14-1,1)-1)</f>
        <v/>
      </c>
      <c r="BR14" s="8" t="str">
        <f ca="1">IF(OR(BR4="",BR$11&lt;$A14),"",BR4/OFFSET(ParoEPAESP!$A$80,MATCH(BR$12,ParoEPAESP!$A$80:$A$273)+$A14-1,1)-1)</f>
        <v/>
      </c>
      <c r="BS14" s="8" t="str">
        <f ca="1">IF(OR(BS4="",BS$11&lt;$A14),"",BS4/OFFSET(ParoEPAESP!$A$80,MATCH(BS$12,ParoEPAESP!$A$80:$A$273)+$A14-1,1)-1)</f>
        <v/>
      </c>
      <c r="BT14" s="8" t="str">
        <f ca="1">IF(OR(BT4="",BT$11&lt;$A14),"",BT4/OFFSET(ParoEPAESP!$A$80,MATCH(BT$12,ParoEPAESP!$A$80:$A$273)+$A14-1,1)-1)</f>
        <v/>
      </c>
      <c r="BU14" s="8" t="str">
        <f ca="1">IF(OR(BU4="",BU$11&lt;$A14),"",BU4/OFFSET(ParoEPAESP!$A$80,MATCH(BU$12,ParoEPAESP!$A$80:$A$273)+$A14-1,1)-1)</f>
        <v/>
      </c>
      <c r="BV14" s="8" t="str">
        <f ca="1">IF(OR(BV4="",BV$11&lt;$A14),"",BV4/OFFSET(ParoEPAESP!$A$80,MATCH(BV$12,ParoEPAESP!$A$80:$A$273)+$A14-1,1)-1)</f>
        <v/>
      </c>
      <c r="BW14" s="8" t="str">
        <f ca="1">IF(OR(BW4="",BW$11&lt;$A14),"",BW4/OFFSET(ParoEPAESP!$A$80,MATCH(BW$12,ParoEPAESP!$A$80:$A$273)+$A14-1,1)-1)</f>
        <v/>
      </c>
      <c r="BX14" s="8" t="str">
        <f ca="1">IF(OR(BX4="",BX$11&lt;$A14),"",BX4/OFFSET(ParoEPAESP!$A$80,MATCH(BX$12,ParoEPAESP!$A$80:$A$273)+$A14-1,1)-1)</f>
        <v/>
      </c>
      <c r="BY14" s="8" t="str">
        <f ca="1">IF(OR(BY4="",BY$11&lt;$A14),"",BY4/OFFSET(ParoEPAESP!$A$80,MATCH(BY$12,ParoEPAESP!$A$80:$A$273)+$A14-1,1)-1)</f>
        <v/>
      </c>
      <c r="BZ14" s="8" t="str">
        <f ca="1">IF(OR(BZ4="",BZ$11&lt;$A14),"",BZ4/OFFSET(ParoEPAESP!$A$80,MATCH(BZ$12,ParoEPAESP!$A$80:$A$273)+$A14-1,1)-1)</f>
        <v/>
      </c>
      <c r="CA14" s="8" t="str">
        <f ca="1">IF(OR(CA4="",CA$11&lt;$A14),"",CA4/OFFSET(ParoEPAESP!$A$80,MATCH(CA$12,ParoEPAESP!$A$80:$A$273)+$A14-1,1)-1)</f>
        <v/>
      </c>
      <c r="CB14" s="8" t="str">
        <f ca="1">IF(OR(CB4="",CB$11&lt;$A14),"",CB4/OFFSET(ParoEPAESP!$A$80,MATCH(CB$12,ParoEPAESP!$A$80:$A$273)+$A14-1,1)-1)</f>
        <v/>
      </c>
      <c r="CC14" s="8" t="str">
        <f ca="1">IF(OR(CC4="",CC$11&lt;$A14),"",CC4/OFFSET(ParoEPAESP!$A$80,MATCH(CC$12,ParoEPAESP!$A$80:$A$273)+$A14-1,1)-1)</f>
        <v/>
      </c>
      <c r="CD14" s="8" t="str">
        <f ca="1">IF(OR(CD4="",CD$11&lt;$A14),"",CD4/OFFSET(ParoEPAESP!$A$80,MATCH(CD$12,ParoEPAESP!$A$80:$A$273)+$A14-1,1)-1)</f>
        <v/>
      </c>
      <c r="CE14" s="8" t="str">
        <f ca="1">IF(OR(CE4="",CE$11&lt;$A14),"",CE4/OFFSET(ParoEPAESP!$A$80,MATCH(CE$12,ParoEPAESP!$A$80:$A$273)+$A14-1,1)-1)</f>
        <v/>
      </c>
      <c r="CF14" s="8" t="str">
        <f ca="1">IF(OR(CF4="",CF$11&lt;$A14),"",CF4/OFFSET(ParoEPAESP!$A$80,MATCH(CF$12,ParoEPAESP!$A$80:$A$273)+$A14-1,1)-1)</f>
        <v/>
      </c>
      <c r="CG14" s="8" t="str">
        <f ca="1">IF(OR(CG4="",CG$11&lt;$A14),"",CG4/OFFSET(ParoEPAESP!$A$80,MATCH(CG$12,ParoEPAESP!$A$80:$A$273)+$A14-1,1)-1)</f>
        <v/>
      </c>
      <c r="CH14" s="8" t="str">
        <f ca="1">IF(OR(CH4="",CH$11&lt;$A14),"",CH4/OFFSET(ParoEPAESP!$A$80,MATCH(CH$12,ParoEPAESP!$A$80:$A$273)+$A14-1,1)-1)</f>
        <v/>
      </c>
      <c r="CI14" s="8" t="str">
        <f ca="1">IF(OR(CI4="",CI$11&lt;$A14),"",CI4/OFFSET(ParoEPAESP!$A$80,MATCH(CI$12,ParoEPAESP!$A$80:$A$273)+$A14-1,1)-1)</f>
        <v/>
      </c>
      <c r="CJ14" s="8" t="str">
        <f ca="1">IF(OR(CJ4="",CJ$11&lt;$A14),"",CJ4/OFFSET(ParoEPAESP!$A$80,MATCH(CJ$12,ParoEPAESP!$A$80:$A$273)+$A14-1,1)-1)</f>
        <v/>
      </c>
      <c r="CK14" s="8" t="str">
        <f ca="1">IF(OR(CK4="",CK$11&lt;$A14),"",CK4/OFFSET(ParoEPAESP!$A$80,MATCH(CK$12,ParoEPAESP!$A$80:$A$273)+$A14-1,1)-1)</f>
        <v/>
      </c>
      <c r="CL14" s="8" t="str">
        <f ca="1">IF(OR(CL4="",CL$11&lt;$A14),"",CL4/OFFSET(ParoEPAESP!$A$80,MATCH(CL$12,ParoEPAESP!$A$80:$A$273)+$A14-1,1)-1)</f>
        <v/>
      </c>
      <c r="CM14" s="8" t="str">
        <f ca="1">IF(OR(CM4="",CM$11&lt;$A14),"",CM4/OFFSET(ParoEPAESP!$A$80,MATCH(CM$12,ParoEPAESP!$A$80:$A$273)+$A14-1,1)-1)</f>
        <v/>
      </c>
      <c r="CN14" s="8" t="str">
        <f ca="1">IF(OR(CN4="",CN$11&lt;$A14),"",CN4/OFFSET(ParoEPAESP!$A$80,MATCH(CN$12,ParoEPAESP!$A$80:$A$273)+$A14-1,1)-1)</f>
        <v/>
      </c>
      <c r="CO14" s="8" t="str">
        <f ca="1">IF(OR(CO4="",CO$11&lt;$A14),"",CO4/OFFSET(ParoEPAESP!$A$80,MATCH(CO$12,ParoEPAESP!$A$80:$A$273)+$A14-1,1)-1)</f>
        <v/>
      </c>
      <c r="CP14" s="8" t="str">
        <f ca="1">IF(OR(CP4="",CP$11&lt;$A14),"",CP4/OFFSET(ParoEPAESP!$A$80,MATCH(CP$12,ParoEPAESP!$A$80:$A$273)+$A14-1,1)-1)</f>
        <v/>
      </c>
      <c r="CQ14" s="8" t="str">
        <f ca="1">IF(OR(CQ4="",CQ$11&lt;$A14),"",CQ4/OFFSET(ParoEPAESP!$A$80,MATCH(CQ$12,ParoEPAESP!$A$80:$A$273)+$A14-1,1)-1)</f>
        <v/>
      </c>
      <c r="CR14" s="8" t="str">
        <f ca="1">IF(OR(CR4="",CR$11&lt;$A14),"",CR4/OFFSET(ParoEPAESP!$A$80,MATCH(CR$12,ParoEPAESP!$A$80:$A$273)+$A14-1,1)-1)</f>
        <v/>
      </c>
      <c r="CS14" s="8" t="str">
        <f ca="1">IF(OR(CS4="",CS$11&lt;$A14),"",CS4/OFFSET(ParoEPAESP!$A$80,MATCH(CS$12,ParoEPAESP!$A$80:$A$273)+$A14-1,1)-1)</f>
        <v/>
      </c>
      <c r="CT14" s="8" t="str">
        <f ca="1">IF(OR(CT4="",CT$11&lt;$A14),"",CT4/OFFSET(ParoEPAESP!$A$80,MATCH(CT$12,ParoEPAESP!$A$80:$A$273)+$A14-1,1)-1)</f>
        <v/>
      </c>
      <c r="CU14" s="8" t="str">
        <f ca="1">IF(OR(CU4="",CU$11&lt;$A14),"",CU4/OFFSET(ParoEPAESP!$A$80,MATCH(CU$12,ParoEPAESP!$A$80:$A$273)+$A14-1,1)-1)</f>
        <v/>
      </c>
      <c r="CV14" s="8" t="str">
        <f ca="1">IF(OR(CV4="",CV$11&lt;$A14),"",CV4/OFFSET(ParoEPAESP!$A$80,MATCH(CV$12,ParoEPAESP!$A$80:$A$273)+$A14-1,1)-1)</f>
        <v/>
      </c>
      <c r="CW14" s="8" t="str">
        <f ca="1">IF(OR(CW4="",CW$11&lt;$A14),"",CW4/OFFSET(ParoEPAESP!$A$80,MATCH(CW$12,ParoEPAESP!$A$80:$A$273)+$A14-1,1)-1)</f>
        <v/>
      </c>
      <c r="CX14" s="8" t="str">
        <f ca="1">IF(OR(CX4="",CX$11&lt;$A14),"",CX4/OFFSET(ParoEPAESP!$A$80,MATCH(CX$12,ParoEPAESP!$A$80:$A$273)+$A14-1,1)-1)</f>
        <v/>
      </c>
      <c r="CY14" s="8" t="str">
        <f ca="1">IF(OR(CY4="",CY$11&lt;$A14),"",CY4/OFFSET(ParoEPAESP!$A$80,MATCH(CY$12,ParoEPAESP!$A$80:$A$273)+$A14-1,1)-1)</f>
        <v/>
      </c>
      <c r="CZ14" s="8" t="str">
        <f ca="1">IF(OR(CZ4="",CZ$11&lt;$A14),"",CZ4/OFFSET(ParoEPAESP!$A$80,MATCH(CZ$12,ParoEPAESP!$A$80:$A$273)+$A14-1,1)-1)</f>
        <v/>
      </c>
      <c r="DA14" s="8" t="str">
        <f ca="1">IF(OR(DA4="",DA$11&lt;$A14),"",DA4/OFFSET(ParoEPAESP!$A$80,MATCH(DA$12,ParoEPAESP!$A$80:$A$273)+$A14-1,1)-1)</f>
        <v/>
      </c>
      <c r="DB14" s="8" t="str">
        <f ca="1">IF(OR(DB4="",DB$11&lt;$A14),"",DB4/OFFSET(ParoEPAESP!$A$80,MATCH(DB$12,ParoEPAESP!$A$80:$A$273)+$A14-1,1)-1)</f>
        <v/>
      </c>
      <c r="DC14" s="8" t="str">
        <f ca="1">IF(OR(DC4="",DC$11&lt;$A14),"",DC4/OFFSET(ParoEPAESP!$A$80,MATCH(DC$12,ParoEPAESP!$A$80:$A$273)+$A14-1,1)-1)</f>
        <v/>
      </c>
      <c r="DD14" s="8" t="str">
        <f ca="1">IF(OR(DD4="",DD$11&lt;$A14),"",DD4/OFFSET(ParoEPAESP!$A$80,MATCH(DD$12,ParoEPAESP!$A$80:$A$273)+$A14-1,1)-1)</f>
        <v/>
      </c>
      <c r="DE14" s="8" t="str">
        <f ca="1">IF(OR(DE4="",DE$11&lt;$A14),"",DE4/OFFSET(ParoEPAESP!$A$80,MATCH(DE$12,ParoEPAESP!$A$80:$A$273)+$A14-1,1)-1)</f>
        <v/>
      </c>
      <c r="DF14" s="8" t="str">
        <f ca="1">IF(OR(DF4="",DF$11&lt;$A14),"",DF4/OFFSET(ParoEPAESP!$A$80,MATCH(DF$12,ParoEPAESP!$A$80:$A$273)+$A14-1,1)-1)</f>
        <v/>
      </c>
      <c r="DG14" s="8" t="str">
        <f ca="1">IF(OR(DG4="",DG$11&lt;$A14),"",DG4/OFFSET(ParoEPAESP!$A$80,MATCH(DG$12,ParoEPAESP!$A$80:$A$273)+$A14-1,1)-1)</f>
        <v/>
      </c>
      <c r="DH14" s="8" t="str">
        <f ca="1">IF(OR(DH4="",DH$11&lt;$A14),"",DH4/OFFSET(ParoEPAESP!$A$80,MATCH(DH$12,ParoEPAESP!$A$80:$A$273)+$A14-1,1)-1)</f>
        <v/>
      </c>
      <c r="DI14" s="8" t="str">
        <f ca="1">IF(OR(DI4="",DI$11&lt;$A14),"",DI4/OFFSET(ParoEPAESP!$A$80,MATCH(DI$12,ParoEPAESP!$A$80:$A$273)+$A14-1,1)-1)</f>
        <v/>
      </c>
      <c r="DJ14" s="8" t="str">
        <f ca="1">IF(OR(DJ4="",DJ$11&lt;$A14),"",DJ4/OFFSET(ParoEPAESP!$A$80,MATCH(DJ$12,ParoEPAESP!$A$80:$A$273)+$A14-1,1)-1)</f>
        <v/>
      </c>
      <c r="DK14" s="8" t="str">
        <f ca="1">IF(OR(DK4="",DK$11&lt;$A14),"",DK4/OFFSET(ParoEPAESP!$A$80,MATCH(DK$12,ParoEPAESP!$A$80:$A$273)+$A14-1,1)-1)</f>
        <v/>
      </c>
      <c r="DL14" s="8" t="str">
        <f ca="1">IF(OR(DL4="",DL$11&lt;$A14),"",DL4/OFFSET(ParoEPAESP!$A$80,MATCH(DL$12,ParoEPAESP!$A$80:$A$273)+$A14-1,1)-1)</f>
        <v/>
      </c>
      <c r="DM14" s="8" t="str">
        <f ca="1">IF(OR(DM4="",DM$11&lt;$A14),"",DM4/OFFSET(ParoEPAESP!$A$80,MATCH(DM$12,ParoEPAESP!$A$80:$A$273)+$A14-1,1)-1)</f>
        <v/>
      </c>
      <c r="DN14" s="8" t="str">
        <f ca="1">IF(OR(DN4="",DN$11&lt;$A14),"",DN4/OFFSET(ParoEPAESP!$A$80,MATCH(DN$12,ParoEPAESP!$A$80:$A$273)+$A14-1,1)-1)</f>
        <v/>
      </c>
      <c r="DO14" s="8" t="str">
        <f ca="1">IF(OR(DO4="",DO$11&lt;$A14),"",DO4/OFFSET(ParoEPAESP!$A$80,MATCH(DO$12,ParoEPAESP!$A$80:$A$273)+$A14-1,1)-1)</f>
        <v/>
      </c>
      <c r="DP14" s="8" t="str">
        <f ca="1">IF(OR(DP4="",DP$11&lt;$A14),"",DP4/OFFSET(ParoEPAESP!$A$80,MATCH(DP$12,ParoEPAESP!$A$80:$A$273)+$A14-1,1)-1)</f>
        <v/>
      </c>
      <c r="DQ14" s="8" t="str">
        <f ca="1">IF(OR(DQ4="",DQ$11&lt;$A14),"",DQ4/OFFSET(ParoEPAESP!$A$80,MATCH(DQ$12,ParoEPAESP!$A$80:$A$273)+$A14-1,1)-1)</f>
        <v/>
      </c>
      <c r="DR14" s="8" t="str">
        <f ca="1">IF(OR(DR4="",DR$11&lt;$A14),"",DR4/OFFSET(ParoEPAESP!$A$80,MATCH(DR$12,ParoEPAESP!$A$80:$A$273)+$A14-1,1)-1)</f>
        <v/>
      </c>
      <c r="DS14" s="12">
        <f t="shared" ca="1" si="51"/>
        <v>3.1216564299379394E-3</v>
      </c>
      <c r="DT14" s="12">
        <f t="shared" ca="1" si="52"/>
        <v>1.1269499680632733E-2</v>
      </c>
      <c r="DU14" s="13">
        <f t="shared" ca="1" si="53"/>
        <v>2.1355353388904006E-3</v>
      </c>
      <c r="DV14" s="15">
        <f t="shared" ref="DV14:DV16" ca="1" si="56">SQRT(DU14)</f>
        <v>4.6211852796554272E-2</v>
      </c>
      <c r="DW14" s="14" t="str">
        <f t="shared" ca="1" si="54"/>
        <v>[ -8,93% ; 9,55% ]</v>
      </c>
      <c r="DX14" s="15">
        <f t="shared" ca="1" si="55"/>
        <v>5.9151171579589469E-2</v>
      </c>
      <c r="GI14" s="1"/>
    </row>
    <row r="15" spans="1:191" x14ac:dyDescent="0.25">
      <c r="A15" s="4">
        <v>3</v>
      </c>
      <c r="B15" s="8">
        <f ca="1">IF(OR(B5="",B$11&lt;$A15),"",B5/OFFSET(ParoEPAESP!$A$80,MATCH(B$12,ParoEPAESP!$A$80:$A$273)+$A15-1,1)-1)</f>
        <v>3.6638809886731183E-2</v>
      </c>
      <c r="C15" s="8">
        <f ca="1">IF(OR(C5="",C$11&lt;$A15),"",C5/OFFSET(ParoEPAESP!$A$80,MATCH(C$12,ParoEPAESP!$A$80:$A$273)+$A15-1,1)-1)</f>
        <v>5.1485723837019437E-2</v>
      </c>
      <c r="D15" s="8">
        <f ca="1">IF(OR(D5="",D$11&lt;$A15),"",D5/OFFSET(ParoEPAESP!$A$80,MATCH(D$12,ParoEPAESP!$A$80:$A$273)+$A15-1,1)-1)</f>
        <v>0.10870337902048366</v>
      </c>
      <c r="E15" s="8">
        <f ca="1">IF(OR(E5="",E$11&lt;$A15),"",E5/OFFSET(ParoEPAESP!$A$80,MATCH(E$12,ParoEPAESP!$A$80:$A$273)+$A15-1,1)-1)</f>
        <v>8.5940732208404924E-2</v>
      </c>
      <c r="F15" s="8">
        <f ca="1">IF(OR(F5="",F$11&lt;$A15),"",F5/OFFSET(ParoEPAESP!$A$80,MATCH(F$12,ParoEPAESP!$A$80:$A$273)+$A15-1,1)-1)</f>
        <v>0.1720895278843606</v>
      </c>
      <c r="G15" s="8">
        <f ca="1">IF(OR(G5="",G$11&lt;$A15),"",G5/OFFSET(ParoEPAESP!$A$80,MATCH(G$12,ParoEPAESP!$A$80:$A$273)+$A15-1,1)-1)</f>
        <v>7.1140995579361821E-2</v>
      </c>
      <c r="H15" s="8">
        <f ca="1">IF(OR(H5="",H$11&lt;$A15),"",H5/OFFSET(ParoEPAESP!$A$80,MATCH(H$12,ParoEPAESP!$A$80:$A$273)+$A15-1,1)-1)</f>
        <v>-3.7724753839042946E-2</v>
      </c>
      <c r="I15" s="8">
        <f ca="1">IF(OR(I5="",I$11&lt;$A15),"",I5/OFFSET(ParoEPAESP!$A$80,MATCH(I$12,ParoEPAESP!$A$80:$A$273)+$A15-1,1)-1)</f>
        <v>-0.2040027463757681</v>
      </c>
      <c r="J15" s="8">
        <f ca="1">IF(OR(J5="",J$11&lt;$A15),"",J5/OFFSET(ParoEPAESP!$A$80,MATCH(J$12,ParoEPAESP!$A$80:$A$273)+$A15-1,1)-1)</f>
        <v>-2.9573668322095403E-2</v>
      </c>
      <c r="K15" s="8">
        <f ca="1">IF(OR(K5="",K$11&lt;$A15),"",K5/OFFSET(ParoEPAESP!$A$80,MATCH(K$12,ParoEPAESP!$A$80:$A$273)+$A15-1,1)-1)</f>
        <v>8.0094731496518135E-2</v>
      </c>
      <c r="L15" s="8">
        <f ca="1">IF(OR(L5="",L$11&lt;$A15),"",L5/OFFSET(ParoEPAESP!$A$80,MATCH(L$12,ParoEPAESP!$A$80:$A$273)+$A15-1,1)-1)</f>
        <v>1.6665791308263511E-2</v>
      </c>
      <c r="M15" s="8">
        <f ca="1">IF(OR(M5="",M$11&lt;$A15),"",M5/OFFSET(ParoEPAESP!$A$80,MATCH(M$12,ParoEPAESP!$A$80:$A$273)+$A15-1,1)-1)</f>
        <v>-3.7397228957119277E-2</v>
      </c>
      <c r="N15" s="8">
        <f ca="1">IF(OR(N5="",N$11&lt;$A15),"",N5/OFFSET(ParoEPAESP!$A$80,MATCH(N$12,ParoEPAESP!$A$80:$A$273)+$A15-1,1)-1)</f>
        <v>-2.4185475261732647E-2</v>
      </c>
      <c r="O15" s="8">
        <f ca="1">IF(OR(O5="",O$11&lt;$A15),"",O5/OFFSET(ParoEPAESP!$A$80,MATCH(O$12,ParoEPAESP!$A$80:$A$273)+$A15-1,1)-1)</f>
        <v>-5.5992351822213737E-2</v>
      </c>
      <c r="P15" s="8">
        <f ca="1">IF(OR(P5="",P$11&lt;$A15),"",P5/OFFSET(ParoEPAESP!$A$80,MATCH(P$12,ParoEPAESP!$A$80:$A$273)+$A15-1,1)-1)</f>
        <v>-0.16738704784296676</v>
      </c>
      <c r="Q15" s="8">
        <f ca="1">IF(OR(Q5="",Q$11&lt;$A15),"",Q5/OFFSET(ParoEPAESP!$A$80,MATCH(Q$12,ParoEPAESP!$A$80:$A$273)+$A15-1,1)-1)</f>
        <v>-0.23267928462318721</v>
      </c>
      <c r="R15" s="8">
        <f ca="1">IF(OR(R5="",R$11&lt;$A15),"",R5/OFFSET(ParoEPAESP!$A$80,MATCH(R$12,ParoEPAESP!$A$80:$A$273)+$A15-1,1)-1)</f>
        <v>-0.23108607897868794</v>
      </c>
      <c r="S15" s="8">
        <f ca="1">IF(OR(S5="",S$11&lt;$A15),"",S5/OFFSET(ParoEPAESP!$A$80,MATCH(S$12,ParoEPAESP!$A$80:$A$273)+$A15-1,1)-1)</f>
        <v>-0.23817983271982124</v>
      </c>
      <c r="T15" s="8">
        <f ca="1">IF(OR(T5="",T$11&lt;$A15),"",T5/OFFSET(ParoEPAESP!$A$80,MATCH(T$12,ParoEPAESP!$A$80:$A$273)+$A15-1,1)-1)</f>
        <v>-0.28146252912843539</v>
      </c>
      <c r="U15" s="8">
        <f ca="1">IF(OR(U5="",U$11&lt;$A15),"",U5/OFFSET(ParoEPAESP!$A$80,MATCH(U$12,ParoEPAESP!$A$80:$A$273)+$A15-1,1)-1)</f>
        <v>-0.27469870168800603</v>
      </c>
      <c r="V15" s="8">
        <f ca="1">IF(OR(V5="",V$11&lt;$A15),"",V5/OFFSET(ParoEPAESP!$A$80,MATCH(V$12,ParoEPAESP!$A$80:$A$273)+$A15-1,1)-1)</f>
        <v>-1.0255848823663039E-2</v>
      </c>
      <c r="W15" s="8">
        <f ca="1">IF(OR(W5="",W$11&lt;$A15),"",W5/OFFSET(ParoEPAESP!$A$80,MATCH(W$12,ParoEPAESP!$A$80:$A$273)+$A15-1,1)-1)</f>
        <v>0.38724763611659507</v>
      </c>
      <c r="X15" s="8">
        <f ca="1">IF(OR(X5="",X$11&lt;$A15),"",X5/OFFSET(ParoEPAESP!$A$80,MATCH(X$12,ParoEPAESP!$A$80:$A$273)+$A15-1,1)-1)</f>
        <v>0.14025337982789843</v>
      </c>
      <c r="Y15" s="8">
        <f ca="1">IF(OR(Y5="",Y$11&lt;$A15),"",Y5/OFFSET(ParoEPAESP!$A$80,MATCH(Y$12,ParoEPAESP!$A$80:$A$273)+$A15-1,1)-1)</f>
        <v>8.4947656063714128E-3</v>
      </c>
      <c r="Z15" s="8">
        <f ca="1">IF(OR(Z5="",Z$11&lt;$A15),"",Z5/OFFSET(ParoEPAESP!$A$80,MATCH(Z$12,ParoEPAESP!$A$80:$A$273)+$A15-1,1)-1)</f>
        <v>1.5369110646526796E-2</v>
      </c>
      <c r="AA15" s="8">
        <f ca="1">IF(OR(AA5="",AA$11&lt;$A15),"",AA5/OFFSET(ParoEPAESP!$A$80,MATCH(AA$12,ParoEPAESP!$A$80:$A$273)+$A15-1,1)-1)</f>
        <v>4.4176287006402193E-2</v>
      </c>
      <c r="AB15" s="8">
        <f ca="1">IF(OR(AB5="",AB$11&lt;$A15),"",AB5/OFFSET(ParoEPAESP!$A$80,MATCH(AB$12,ParoEPAESP!$A$80:$A$273)+$A15-1,1)-1)</f>
        <v>7.380926978446789E-2</v>
      </c>
      <c r="AC15" s="8">
        <f ca="1">IF(OR(AC5="",AC$11&lt;$A15),"",AC5/OFFSET(ParoEPAESP!$A$80,MATCH(AC$12,ParoEPAESP!$A$80:$A$273)+$A15-1,1)-1)</f>
        <v>2.4172581928232795E-2</v>
      </c>
      <c r="AD15" s="8">
        <f ca="1">IF(OR(AD5="",AD$11&lt;$A15),"",AD5/OFFSET(ParoEPAESP!$A$80,MATCH(AD$12,ParoEPAESP!$A$80:$A$273)+$A15-1,1)-1)</f>
        <v>-3.2660633189887323E-2</v>
      </c>
      <c r="AE15" s="8">
        <f ca="1">IF(OR(AE5="",AE$11&lt;$A15),"",AE5/OFFSET(ParoEPAESP!$A$80,MATCH(AE$12,ParoEPAESP!$A$80:$A$273)+$A15-1,1)-1)</f>
        <v>-4.1380859225013888E-2</v>
      </c>
      <c r="AF15" s="8">
        <f ca="1">IF(OR(AF5="",AF$11&lt;$A15),"",AF5/OFFSET(ParoEPAESP!$A$80,MATCH(AF$12,ParoEPAESP!$A$80:$A$273)+$A15-1,1)-1)</f>
        <v>-0.10817208730888395</v>
      </c>
      <c r="AG15" s="8">
        <f ca="1">IF(OR(AG5="",AG$11&lt;$A15),"",AG5/OFFSET(ParoEPAESP!$A$80,MATCH(AG$12,ParoEPAESP!$A$80:$A$273)+$A15-1,1)-1)</f>
        <v>-3.6512884370561771E-2</v>
      </c>
      <c r="AH15" s="8">
        <f ca="1">IF(OR(AH5="",AH$11&lt;$A15),"",AH5/OFFSET(ParoEPAESP!$A$80,MATCH(AH$12,ParoEPAESP!$A$80:$A$273)+$A15-1,1)-1)</f>
        <v>-3.1289189658393668E-2</v>
      </c>
      <c r="AI15" s="8">
        <f ca="1">IF(OR(AI5="",AI$11&lt;$A15),"",AI5/OFFSET(ParoEPAESP!$A$80,MATCH(AI$12,ParoEPAESP!$A$80:$A$273)+$A15-1,1)-1)</f>
        <v>2.154934563305444E-2</v>
      </c>
      <c r="AJ15" s="8">
        <f ca="1">IF(OR(AJ5="",AJ$11&lt;$A15),"",AJ5/OFFSET(ParoEPAESP!$A$80,MATCH(AJ$12,ParoEPAESP!$A$80:$A$273)+$A15-1,1)-1)</f>
        <v>6.9609875307790059E-3</v>
      </c>
      <c r="AK15" s="8">
        <f ca="1">IF(OR(AK5="",AK$11&lt;$A15),"",AK5/OFFSET(ParoEPAESP!$A$80,MATCH(AK$12,ParoEPAESP!$A$80:$A$273)+$A15-1,1)-1)</f>
        <v>4.9247238866430676E-2</v>
      </c>
      <c r="AL15" s="8">
        <f ca="1">IF(OR(AL5="",AL$11&lt;$A15),"",AL5/OFFSET(ParoEPAESP!$A$80,MATCH(AL$12,ParoEPAESP!$A$80:$A$273)+$A15-1,1)-1)</f>
        <v>6.4302317518305951E-2</v>
      </c>
      <c r="AM15" s="8">
        <f ca="1">IF(OR(AM5="",AM$11&lt;$A15),"",AM5/OFFSET(ParoEPAESP!$A$80,MATCH(AM$12,ParoEPAESP!$A$80:$A$273)+$A15-1,1)-1)</f>
        <v>0.10409554634649765</v>
      </c>
      <c r="AN15" s="8">
        <f ca="1">IF(OR(AN5="",AN$11&lt;$A15),"",AN5/OFFSET(ParoEPAESP!$A$80,MATCH(AN$12,ParoEPAESP!$A$80:$A$273)+$A15-1,1)-1)</f>
        <v>5.2540918035309581E-2</v>
      </c>
      <c r="AO15" s="8">
        <f ca="1">IF(OR(AO5="",AO$11&lt;$A15),"",AO5/OFFSET(ParoEPAESP!$A$80,MATCH(AO$12,ParoEPAESP!$A$80:$A$273)+$A15-1,1)-1)</f>
        <v>7.6849737653933881E-2</v>
      </c>
      <c r="AP15" s="8">
        <f ca="1">IF(OR(AP5="",AP$11&lt;$A15),"",AP5/OFFSET(ParoEPAESP!$A$80,MATCH(AP$12,ParoEPAESP!$A$80:$A$273)+$A15-1,1)-1)</f>
        <v>7.3766516484349509E-2</v>
      </c>
      <c r="AQ15" s="8">
        <f ca="1">IF(OR(AQ5="",AQ$11&lt;$A15),"",AQ5/OFFSET(ParoEPAESP!$A$80,MATCH(AQ$12,ParoEPAESP!$A$80:$A$273)+$A15-1,1)-1)</f>
        <v>2.8987299347411399E-2</v>
      </c>
      <c r="AR15" s="8">
        <f ca="1">IF(OR(AR5="",AR$11&lt;$A15),"",AR5/OFFSET(ParoEPAESP!$A$80,MATCH(AR$12,ParoEPAESP!$A$80:$A$273)+$A15-1,1)-1)</f>
        <v>5.2566931988418109E-3</v>
      </c>
      <c r="AS15" s="8">
        <f ca="1">IF(OR(AS5="",AS$11&lt;$A15),"",AS5/OFFSET(ParoEPAESP!$A$80,MATCH(AS$12,ParoEPAESP!$A$80:$A$273)+$A15-1,1)-1)</f>
        <v>1.6081602084722979E-2</v>
      </c>
      <c r="AT15" s="8">
        <f ca="1">IF(OR(AT5="",AT$11&lt;$A15),"",AT5/OFFSET(ParoEPAESP!$A$80,MATCH(AT$12,ParoEPAESP!$A$80:$A$273)+$A15-1,1)-1)</f>
        <v>7.9629396320330503E-2</v>
      </c>
      <c r="AU15" s="8">
        <f ca="1">IF(OR(AU5="",AU$11&lt;$A15),"",AU5/OFFSET(ParoEPAESP!$A$80,MATCH(AU$12,ParoEPAESP!$A$80:$A$273)+$A15-1,1)-1)</f>
        <v>6.5029900962640941E-2</v>
      </c>
      <c r="AV15" s="8">
        <f ca="1">IF(OR(AV5="",AV$11&lt;$A15),"",AV5/OFFSET(ParoEPAESP!$A$80,MATCH(AV$12,ParoEPAESP!$A$80:$A$273)+$A15-1,1)-1)</f>
        <v>4.9420199923559505E-2</v>
      </c>
      <c r="AW15" s="8">
        <f ca="1">IF(OR(AW5="",AW$11&lt;$A15),"",AW5/OFFSET(ParoEPAESP!$A$80,MATCH(AW$12,ParoEPAESP!$A$80:$A$273)+$A15-1,1)-1)</f>
        <v>-1.277009209106128E-2</v>
      </c>
      <c r="AX15" s="8">
        <f ca="1">IF(OR(AX5="",AX$11&lt;$A15),"",AX5/OFFSET(ParoEPAESP!$A$80,MATCH(AX$12,ParoEPAESP!$A$80:$A$273)+$A15-1,1)-1)</f>
        <v>3.4381662361344656E-3</v>
      </c>
      <c r="AY15" s="8">
        <f ca="1">IF(OR(AY5="",AY$11&lt;$A15),"",AY5/OFFSET(ParoEPAESP!$A$80,MATCH(AY$12,ParoEPAESP!$A$80:$A$273)+$A15-1,1)-1)</f>
        <v>3.3737623745542455E-2</v>
      </c>
      <c r="AZ15" s="8">
        <f ca="1">IF(OR(AZ5="",AZ$11&lt;$A15),"",AZ5/OFFSET(ParoEPAESP!$A$80,MATCH(AZ$12,ParoEPAESP!$A$80:$A$273)+$A15-1,1)-1)</f>
        <v>5.043912283624441E-2</v>
      </c>
      <c r="BA15" s="8">
        <f ca="1">IF(OR(BA5="",BA$11&lt;$A15),"",BA5/OFFSET(ParoEPAESP!$A$80,MATCH(BA$12,ParoEPAESP!$A$80:$A$273)+$A15-1,1)-1)</f>
        <v>4.3646897404315155E-2</v>
      </c>
      <c r="BB15" s="8">
        <f ca="1">IF(OR(BB5="",BB$11&lt;$A15),"",BB5/OFFSET(ParoEPAESP!$A$80,MATCH(BB$12,ParoEPAESP!$A$80:$A$273)+$A15-1,1)-1)</f>
        <v>2.5493014767612232E-2</v>
      </c>
      <c r="BC15" s="8">
        <f ca="1">IF(OR(BC5="",BC$11&lt;$A15),"",BC5/OFFSET(ParoEPAESP!$A$80,MATCH(BC$12,ParoEPAESP!$A$80:$A$273)+$A15-1,1)-1)</f>
        <v>2.2986757398473001E-2</v>
      </c>
      <c r="BD15" s="8">
        <f ca="1">IF(OR(BD5="",BD$11&lt;$A15),"",BD5/OFFSET(ParoEPAESP!$A$80,MATCH(BD$12,ParoEPAESP!$A$80:$A$273)+$A15-1,1)-1)</f>
        <v>-5.8348205162446543E-2</v>
      </c>
      <c r="BE15" s="8">
        <f ca="1">IF(OR(BE5="",BE$11&lt;$A15),"",BE5/OFFSET(ParoEPAESP!$A$80,MATCH(BE$12,ParoEPAESP!$A$80:$A$273)+$A15-1,1)-1)</f>
        <v>-5.4505047362792824E-3</v>
      </c>
      <c r="BF15" s="8">
        <f ca="1">IF(OR(BF5="",BF$11&lt;$A15),"",BF5/OFFSET(ParoEPAESP!$A$80,MATCH(BF$12,ParoEPAESP!$A$80:$A$273)+$A15-1,1)-1)</f>
        <v>5.9565363215445366E-2</v>
      </c>
      <c r="BG15" s="8">
        <f ca="1">IF(OR(BG5="",BG$11&lt;$A15),"",BG5/OFFSET(ParoEPAESP!$A$80,MATCH(BG$12,ParoEPAESP!$A$80:$A$273)+$A15-1,1)-1)</f>
        <v>4.3766080773695037E-2</v>
      </c>
      <c r="BH15" s="8">
        <f ca="1">IF(OR(BH5="",BH$11&lt;$A15),"",BH5/OFFSET(ParoEPAESP!$A$80,MATCH(BH$12,ParoEPAESP!$A$80:$A$273)+$A15-1,1)-1)</f>
        <v>-2.0928848918611687E-2</v>
      </c>
      <c r="BI15" s="8">
        <f ca="1">IF(OR(BI5="",BI$11&lt;$A15),"",BI5/OFFSET(ParoEPAESP!$A$80,MATCH(BI$12,ParoEPAESP!$A$80:$A$273)+$A15-1,1)-1)</f>
        <v>-2.8550368333181253E-2</v>
      </c>
      <c r="BJ15" s="8">
        <f ca="1">IF(OR(BJ5="",BJ$11&lt;$A15),"",BJ5/OFFSET(ParoEPAESP!$A$80,MATCH(BJ$12,ParoEPAESP!$A$80:$A$273)+$A15-1,1)-1)</f>
        <v>-7.8956919910679435E-2</v>
      </c>
      <c r="BK15" s="8">
        <f ca="1">IF(OR(BK5="",BK$11&lt;$A15),"",BK5/OFFSET(ParoEPAESP!$A$80,MATCH(BK$12,ParoEPAESP!$A$80:$A$273)+$A15-1,1)-1)</f>
        <v>-5.6965115234562047E-2</v>
      </c>
      <c r="BL15" s="8">
        <f ca="1">IF(OR(BL5="",BL$11&lt;$A15),"",BL5/OFFSET(ParoEPAESP!$A$80,MATCH(BL$12,ParoEPAESP!$A$80:$A$273)+$A15-1,1)-1)</f>
        <v>-4.4013300142754508E-3</v>
      </c>
      <c r="BM15" s="8">
        <f ca="1">IF(OR(BM5="",BM$11&lt;$A15),"",BM5/OFFSET(ParoEPAESP!$A$80,MATCH(BM$12,ParoEPAESP!$A$80:$A$273)+$A15-1,1)-1)</f>
        <v>-2.4876313678116047E-2</v>
      </c>
      <c r="BN15" s="8">
        <f ca="1">IF(OR(BN5="",BN$11&lt;$A15),"",BN5/OFFSET(ParoEPAESP!$A$80,MATCH(BN$12,ParoEPAESP!$A$80:$A$273)+$A15-1,1)-1)</f>
        <v>-0.19205180890482476</v>
      </c>
      <c r="BO15" s="8">
        <f ca="1">IF(OR(BO5="",BO$11&lt;$A15),"",BO5/OFFSET(ParoEPAESP!$A$80,MATCH(BO$12,ParoEPAESP!$A$80:$A$273)+$A15-1,1)-1)</f>
        <v>-0.14825194907521377</v>
      </c>
      <c r="BP15" s="8" t="str">
        <f ca="1">IF(OR(BP5="",BP$11&lt;$A15),"",BP5/OFFSET(ParoEPAESP!$A$80,MATCH(BP$12,ParoEPAESP!$A$80:$A$273)+$A15-1,1)-1)</f>
        <v/>
      </c>
      <c r="BQ15" s="8" t="str">
        <f ca="1">IF(OR(BQ5="",BQ$11&lt;$A15),"",BQ5/OFFSET(ParoEPAESP!$A$80,MATCH(BQ$12,ParoEPAESP!$A$80:$A$273)+$A15-1,1)-1)</f>
        <v/>
      </c>
      <c r="BR15" s="8" t="str">
        <f ca="1">IF(OR(BR5="",BR$11&lt;$A15),"",BR5/OFFSET(ParoEPAESP!$A$80,MATCH(BR$12,ParoEPAESP!$A$80:$A$273)+$A15-1,1)-1)</f>
        <v/>
      </c>
      <c r="BS15" s="8" t="str">
        <f ca="1">IF(OR(BS5="",BS$11&lt;$A15),"",BS5/OFFSET(ParoEPAESP!$A$80,MATCH(BS$12,ParoEPAESP!$A$80:$A$273)+$A15-1,1)-1)</f>
        <v/>
      </c>
      <c r="BT15" s="8" t="str">
        <f ca="1">IF(OR(BT5="",BT$11&lt;$A15),"",BT5/OFFSET(ParoEPAESP!$A$80,MATCH(BT$12,ParoEPAESP!$A$80:$A$273)+$A15-1,1)-1)</f>
        <v/>
      </c>
      <c r="BU15" s="8" t="str">
        <f ca="1">IF(OR(BU5="",BU$11&lt;$A15),"",BU5/OFFSET(ParoEPAESP!$A$80,MATCH(BU$12,ParoEPAESP!$A$80:$A$273)+$A15-1,1)-1)</f>
        <v/>
      </c>
      <c r="BV15" s="8" t="str">
        <f ca="1">IF(OR(BV5="",BV$11&lt;$A15),"",BV5/OFFSET(ParoEPAESP!$A$80,MATCH(BV$12,ParoEPAESP!$A$80:$A$273)+$A15-1,1)-1)</f>
        <v/>
      </c>
      <c r="BW15" s="8" t="str">
        <f ca="1">IF(OR(BW5="",BW$11&lt;$A15),"",BW5/OFFSET(ParoEPAESP!$A$80,MATCH(BW$12,ParoEPAESP!$A$80:$A$273)+$A15-1,1)-1)</f>
        <v/>
      </c>
      <c r="BX15" s="8" t="str">
        <f ca="1">IF(OR(BX5="",BX$11&lt;$A15),"",BX5/OFFSET(ParoEPAESP!$A$80,MATCH(BX$12,ParoEPAESP!$A$80:$A$273)+$A15-1,1)-1)</f>
        <v/>
      </c>
      <c r="BY15" s="8" t="str">
        <f ca="1">IF(OR(BY5="",BY$11&lt;$A15),"",BY5/OFFSET(ParoEPAESP!$A$80,MATCH(BY$12,ParoEPAESP!$A$80:$A$273)+$A15-1,1)-1)</f>
        <v/>
      </c>
      <c r="BZ15" s="8" t="str">
        <f ca="1">IF(OR(BZ5="",BZ$11&lt;$A15),"",BZ5/OFFSET(ParoEPAESP!$A$80,MATCH(BZ$12,ParoEPAESP!$A$80:$A$273)+$A15-1,1)-1)</f>
        <v/>
      </c>
      <c r="CA15" s="8" t="str">
        <f ca="1">IF(OR(CA5="",CA$11&lt;$A15),"",CA5/OFFSET(ParoEPAESP!$A$80,MATCH(CA$12,ParoEPAESP!$A$80:$A$273)+$A15-1,1)-1)</f>
        <v/>
      </c>
      <c r="CB15" s="8" t="str">
        <f ca="1">IF(OR(CB5="",CB$11&lt;$A15),"",CB5/OFFSET(ParoEPAESP!$A$80,MATCH(CB$12,ParoEPAESP!$A$80:$A$273)+$A15-1,1)-1)</f>
        <v/>
      </c>
      <c r="CC15" s="8" t="str">
        <f ca="1">IF(OR(CC5="",CC$11&lt;$A15),"",CC5/OFFSET(ParoEPAESP!$A$80,MATCH(CC$12,ParoEPAESP!$A$80:$A$273)+$A15-1,1)-1)</f>
        <v/>
      </c>
      <c r="CD15" s="8" t="str">
        <f ca="1">IF(OR(CD5="",CD$11&lt;$A15),"",CD5/OFFSET(ParoEPAESP!$A$80,MATCH(CD$12,ParoEPAESP!$A$80:$A$273)+$A15-1,1)-1)</f>
        <v/>
      </c>
      <c r="CE15" s="8" t="str">
        <f ca="1">IF(OR(CE5="",CE$11&lt;$A15),"",CE5/OFFSET(ParoEPAESP!$A$80,MATCH(CE$12,ParoEPAESP!$A$80:$A$273)+$A15-1,1)-1)</f>
        <v/>
      </c>
      <c r="CF15" s="8" t="str">
        <f ca="1">IF(OR(CF5="",CF$11&lt;$A15),"",CF5/OFFSET(ParoEPAESP!$A$80,MATCH(CF$12,ParoEPAESP!$A$80:$A$273)+$A15-1,1)-1)</f>
        <v/>
      </c>
      <c r="CG15" s="8" t="str">
        <f ca="1">IF(OR(CG5="",CG$11&lt;$A15),"",CG5/OFFSET(ParoEPAESP!$A$80,MATCH(CG$12,ParoEPAESP!$A$80:$A$273)+$A15-1,1)-1)</f>
        <v/>
      </c>
      <c r="CH15" s="8" t="str">
        <f ca="1">IF(OR(CH5="",CH$11&lt;$A15),"",CH5/OFFSET(ParoEPAESP!$A$80,MATCH(CH$12,ParoEPAESP!$A$80:$A$273)+$A15-1,1)-1)</f>
        <v/>
      </c>
      <c r="CI15" s="8" t="str">
        <f ca="1">IF(OR(CI5="",CI$11&lt;$A15),"",CI5/OFFSET(ParoEPAESP!$A$80,MATCH(CI$12,ParoEPAESP!$A$80:$A$273)+$A15-1,1)-1)</f>
        <v/>
      </c>
      <c r="CJ15" s="8" t="str">
        <f ca="1">IF(OR(CJ5="",CJ$11&lt;$A15),"",CJ5/OFFSET(ParoEPAESP!$A$80,MATCH(CJ$12,ParoEPAESP!$A$80:$A$273)+$A15-1,1)-1)</f>
        <v/>
      </c>
      <c r="CK15" s="8" t="str">
        <f ca="1">IF(OR(CK5="",CK$11&lt;$A15),"",CK5/OFFSET(ParoEPAESP!$A$80,MATCH(CK$12,ParoEPAESP!$A$80:$A$273)+$A15-1,1)-1)</f>
        <v/>
      </c>
      <c r="CL15" s="8" t="str">
        <f ca="1">IF(OR(CL5="",CL$11&lt;$A15),"",CL5/OFFSET(ParoEPAESP!$A$80,MATCH(CL$12,ParoEPAESP!$A$80:$A$273)+$A15-1,1)-1)</f>
        <v/>
      </c>
      <c r="CM15" s="8" t="str">
        <f ca="1">IF(OR(CM5="",CM$11&lt;$A15),"",CM5/OFFSET(ParoEPAESP!$A$80,MATCH(CM$12,ParoEPAESP!$A$80:$A$273)+$A15-1,1)-1)</f>
        <v/>
      </c>
      <c r="CN15" s="8" t="str">
        <f ca="1">IF(OR(CN5="",CN$11&lt;$A15),"",CN5/OFFSET(ParoEPAESP!$A$80,MATCH(CN$12,ParoEPAESP!$A$80:$A$273)+$A15-1,1)-1)</f>
        <v/>
      </c>
      <c r="CO15" s="8" t="str">
        <f ca="1">IF(OR(CO5="",CO$11&lt;$A15),"",CO5/OFFSET(ParoEPAESP!$A$80,MATCH(CO$12,ParoEPAESP!$A$80:$A$273)+$A15-1,1)-1)</f>
        <v/>
      </c>
      <c r="CP15" s="8" t="str">
        <f ca="1">IF(OR(CP5="",CP$11&lt;$A15),"",CP5/OFFSET(ParoEPAESP!$A$80,MATCH(CP$12,ParoEPAESP!$A$80:$A$273)+$A15-1,1)-1)</f>
        <v/>
      </c>
      <c r="CQ15" s="8" t="str">
        <f ca="1">IF(OR(CQ5="",CQ$11&lt;$A15),"",CQ5/OFFSET(ParoEPAESP!$A$80,MATCH(CQ$12,ParoEPAESP!$A$80:$A$273)+$A15-1,1)-1)</f>
        <v/>
      </c>
      <c r="CR15" s="8" t="str">
        <f ca="1">IF(OR(CR5="",CR$11&lt;$A15),"",CR5/OFFSET(ParoEPAESP!$A$80,MATCH(CR$12,ParoEPAESP!$A$80:$A$273)+$A15-1,1)-1)</f>
        <v/>
      </c>
      <c r="CS15" s="8" t="str">
        <f ca="1">IF(OR(CS5="",CS$11&lt;$A15),"",CS5/OFFSET(ParoEPAESP!$A$80,MATCH(CS$12,ParoEPAESP!$A$80:$A$273)+$A15-1,1)-1)</f>
        <v/>
      </c>
      <c r="CT15" s="8" t="str">
        <f ca="1">IF(OR(CT5="",CT$11&lt;$A15),"",CT5/OFFSET(ParoEPAESP!$A$80,MATCH(CT$12,ParoEPAESP!$A$80:$A$273)+$A15-1,1)-1)</f>
        <v/>
      </c>
      <c r="CU15" s="8" t="str">
        <f ca="1">IF(OR(CU5="",CU$11&lt;$A15),"",CU5/OFFSET(ParoEPAESP!$A$80,MATCH(CU$12,ParoEPAESP!$A$80:$A$273)+$A15-1,1)-1)</f>
        <v/>
      </c>
      <c r="CV15" s="8" t="str">
        <f ca="1">IF(OR(CV5="",CV$11&lt;$A15),"",CV5/OFFSET(ParoEPAESP!$A$80,MATCH(CV$12,ParoEPAESP!$A$80:$A$273)+$A15-1,1)-1)</f>
        <v/>
      </c>
      <c r="CW15" s="8" t="str">
        <f ca="1">IF(OR(CW5="",CW$11&lt;$A15),"",CW5/OFFSET(ParoEPAESP!$A$80,MATCH(CW$12,ParoEPAESP!$A$80:$A$273)+$A15-1,1)-1)</f>
        <v/>
      </c>
      <c r="CX15" s="8" t="str">
        <f ca="1">IF(OR(CX5="",CX$11&lt;$A15),"",CX5/OFFSET(ParoEPAESP!$A$80,MATCH(CX$12,ParoEPAESP!$A$80:$A$273)+$A15-1,1)-1)</f>
        <v/>
      </c>
      <c r="CY15" s="8" t="str">
        <f ca="1">IF(OR(CY5="",CY$11&lt;$A15),"",CY5/OFFSET(ParoEPAESP!$A$80,MATCH(CY$12,ParoEPAESP!$A$80:$A$273)+$A15-1,1)-1)</f>
        <v/>
      </c>
      <c r="CZ15" s="8" t="str">
        <f ca="1">IF(OR(CZ5="",CZ$11&lt;$A15),"",CZ5/OFFSET(ParoEPAESP!$A$80,MATCH(CZ$12,ParoEPAESP!$A$80:$A$273)+$A15-1,1)-1)</f>
        <v/>
      </c>
      <c r="DA15" s="8" t="str">
        <f ca="1">IF(OR(DA5="",DA$11&lt;$A15),"",DA5/OFFSET(ParoEPAESP!$A$80,MATCH(DA$12,ParoEPAESP!$A$80:$A$273)+$A15-1,1)-1)</f>
        <v/>
      </c>
      <c r="DB15" s="8" t="str">
        <f ca="1">IF(OR(DB5="",DB$11&lt;$A15),"",DB5/OFFSET(ParoEPAESP!$A$80,MATCH(DB$12,ParoEPAESP!$A$80:$A$273)+$A15-1,1)-1)</f>
        <v/>
      </c>
      <c r="DC15" s="8" t="str">
        <f ca="1">IF(OR(DC5="",DC$11&lt;$A15),"",DC5/OFFSET(ParoEPAESP!$A$80,MATCH(DC$12,ParoEPAESP!$A$80:$A$273)+$A15-1,1)-1)</f>
        <v/>
      </c>
      <c r="DD15" s="8" t="str">
        <f ca="1">IF(OR(DD5="",DD$11&lt;$A15),"",DD5/OFFSET(ParoEPAESP!$A$80,MATCH(DD$12,ParoEPAESP!$A$80:$A$273)+$A15-1,1)-1)</f>
        <v/>
      </c>
      <c r="DE15" s="8" t="str">
        <f ca="1">IF(OR(DE5="",DE$11&lt;$A15),"",DE5/OFFSET(ParoEPAESP!$A$80,MATCH(DE$12,ParoEPAESP!$A$80:$A$273)+$A15-1,1)-1)</f>
        <v/>
      </c>
      <c r="DF15" s="8" t="str">
        <f ca="1">IF(OR(DF5="",DF$11&lt;$A15),"",DF5/OFFSET(ParoEPAESP!$A$80,MATCH(DF$12,ParoEPAESP!$A$80:$A$273)+$A15-1,1)-1)</f>
        <v/>
      </c>
      <c r="DG15" s="8" t="str">
        <f ca="1">IF(OR(DG5="",DG$11&lt;$A15),"",DG5/OFFSET(ParoEPAESP!$A$80,MATCH(DG$12,ParoEPAESP!$A$80:$A$273)+$A15-1,1)-1)</f>
        <v/>
      </c>
      <c r="DH15" s="8" t="str">
        <f ca="1">IF(OR(DH5="",DH$11&lt;$A15),"",DH5/OFFSET(ParoEPAESP!$A$80,MATCH(DH$12,ParoEPAESP!$A$80:$A$273)+$A15-1,1)-1)</f>
        <v/>
      </c>
      <c r="DI15" s="8" t="str">
        <f ca="1">IF(OR(DI5="",DI$11&lt;$A15),"",DI5/OFFSET(ParoEPAESP!$A$80,MATCH(DI$12,ParoEPAESP!$A$80:$A$273)+$A15-1,1)-1)</f>
        <v/>
      </c>
      <c r="DJ15" s="8" t="str">
        <f ca="1">IF(OR(DJ5="",DJ$11&lt;$A15),"",DJ5/OFFSET(ParoEPAESP!$A$80,MATCH(DJ$12,ParoEPAESP!$A$80:$A$273)+$A15-1,1)-1)</f>
        <v/>
      </c>
      <c r="DK15" s="8" t="str">
        <f ca="1">IF(OR(DK5="",DK$11&lt;$A15),"",DK5/OFFSET(ParoEPAESP!$A$80,MATCH(DK$12,ParoEPAESP!$A$80:$A$273)+$A15-1,1)-1)</f>
        <v/>
      </c>
      <c r="DL15" s="8" t="str">
        <f ca="1">IF(OR(DL5="",DL$11&lt;$A15),"",DL5/OFFSET(ParoEPAESP!$A$80,MATCH(DL$12,ParoEPAESP!$A$80:$A$273)+$A15-1,1)-1)</f>
        <v/>
      </c>
      <c r="DM15" s="8" t="str">
        <f ca="1">IF(OR(DM5="",DM$11&lt;$A15),"",DM5/OFFSET(ParoEPAESP!$A$80,MATCH(DM$12,ParoEPAESP!$A$80:$A$273)+$A15-1,1)-1)</f>
        <v/>
      </c>
      <c r="DN15" s="8" t="str">
        <f ca="1">IF(OR(DN5="",DN$11&lt;$A15),"",DN5/OFFSET(ParoEPAESP!$A$80,MATCH(DN$12,ParoEPAESP!$A$80:$A$273)+$A15-1,1)-1)</f>
        <v/>
      </c>
      <c r="DO15" s="8" t="str">
        <f ca="1">IF(OR(DO5="",DO$11&lt;$A15),"",DO5/OFFSET(ParoEPAESP!$A$80,MATCH(DO$12,ParoEPAESP!$A$80:$A$273)+$A15-1,1)-1)</f>
        <v/>
      </c>
      <c r="DP15" s="8" t="str">
        <f ca="1">IF(OR(DP5="",DP$11&lt;$A15),"",DP5/OFFSET(ParoEPAESP!$A$80,MATCH(DP$12,ParoEPAESP!$A$80:$A$273)+$A15-1,1)-1)</f>
        <v/>
      </c>
      <c r="DQ15" s="8" t="str">
        <f ca="1">IF(OR(DQ5="",DQ$11&lt;$A15),"",DQ5/OFFSET(ParoEPAESP!$A$80,MATCH(DQ$12,ParoEPAESP!$A$80:$A$273)+$A15-1,1)-1)</f>
        <v/>
      </c>
      <c r="DR15" s="8" t="str">
        <f ca="1">IF(OR(DR5="",DR$11&lt;$A15),"",DR5/OFFSET(ParoEPAESP!$A$80,MATCH(DR$12,ParoEPAESP!$A$80:$A$273)+$A15-1,1)-1)</f>
        <v/>
      </c>
      <c r="DS15" s="12">
        <f t="shared" ca="1" si="51"/>
        <v>7.0061855405451146E-3</v>
      </c>
      <c r="DT15" s="12">
        <f t="shared" ca="1" si="52"/>
        <v>2.2986757398473001E-2</v>
      </c>
      <c r="DU15" s="13">
        <f t="shared" ca="1" si="53"/>
        <v>4.2665616340765069E-3</v>
      </c>
      <c r="DV15" s="15">
        <f t="shared" ca="1" si="56"/>
        <v>6.5318922480981784E-2</v>
      </c>
      <c r="DW15" s="14" t="str">
        <f t="shared" ca="1" si="54"/>
        <v>[ -12,36% ; 13,76% ]</v>
      </c>
      <c r="DX15" s="15">
        <f t="shared" ca="1" si="55"/>
        <v>8.3608220775656689E-2</v>
      </c>
      <c r="GI15" s="1"/>
    </row>
    <row r="16" spans="1:191" x14ac:dyDescent="0.25">
      <c r="A16" s="4">
        <v>4</v>
      </c>
      <c r="B16" s="8">
        <f ca="1">IF(OR(B6="",B$11&lt;$A16),"",B6/OFFSET(ParoEPAESP!$A$80,MATCH(B$12,ParoEPAESP!$A$80:$A$273)+$A16-1,1)-1)</f>
        <v>5.8566055532385697E-2</v>
      </c>
      <c r="C16" s="8">
        <f ca="1">IF(OR(C6="",C$11&lt;$A16),"",C6/OFFSET(ParoEPAESP!$A$80,MATCH(C$12,ParoEPAESP!$A$80:$A$273)+$A16-1,1)-1)</f>
        <v>9.5503511543256314E-2</v>
      </c>
      <c r="D16" s="8">
        <f ca="1">IF(OR(D6="",D$11&lt;$A16),"",D6/OFFSET(ParoEPAESP!$A$80,MATCH(D$12,ParoEPAESP!$A$80:$A$273)+$A16-1,1)-1)</f>
        <v>0.16159008032819044</v>
      </c>
      <c r="E16" s="8">
        <f ca="1">IF(OR(E6="",E$11&lt;$A16),"",E6/OFFSET(ParoEPAESP!$A$80,MATCH(E$12,ParoEPAESP!$A$80:$A$273)+$A16-1,1)-1)</f>
        <v>0.18809563694006681</v>
      </c>
      <c r="F16" s="8">
        <f ca="1">IF(OR(F6="",F$11&lt;$A16),"",F6/OFFSET(ParoEPAESP!$A$80,MATCH(F$12,ParoEPAESP!$A$80:$A$273)+$A16-1,1)-1)</f>
        <v>0.1240111424732564</v>
      </c>
      <c r="G16" s="8">
        <f ca="1">IF(OR(G6="",G$11&lt;$A16),"",G6/OFFSET(ParoEPAESP!$A$80,MATCH(G$12,ParoEPAESP!$A$80:$A$273)+$A16-1,1)-1)</f>
        <v>5.1849958285481446E-3</v>
      </c>
      <c r="H16" s="8">
        <f ca="1">IF(OR(H6="",H$11&lt;$A16),"",H6/OFFSET(ParoEPAESP!$A$80,MATCH(H$12,ParoEPAESP!$A$80:$A$273)+$A16-1,1)-1)</f>
        <v>-4.2015460590445586E-2</v>
      </c>
      <c r="I16" s="8">
        <f ca="1">IF(OR(I6="",I$11&lt;$A16),"",I6/OFFSET(ParoEPAESP!$A$80,MATCH(I$12,ParoEPAESP!$A$80:$A$273)+$A16-1,1)-1)</f>
        <v>-0.20851548314609303</v>
      </c>
      <c r="J16" s="8">
        <f ca="1">IF(OR(J6="",J$11&lt;$A16),"",J6/OFFSET(ParoEPAESP!$A$80,MATCH(J$12,ParoEPAESP!$A$80:$A$273)+$A16-1,1)-1)</f>
        <v>-4.9062006920475465E-2</v>
      </c>
      <c r="K16" s="8">
        <f ca="1">IF(OR(K6="",K$11&lt;$A16),"",K6/OFFSET(ParoEPAESP!$A$80,MATCH(K$12,ParoEPAESP!$A$80:$A$273)+$A16-1,1)-1)</f>
        <v>8.0529085705169701E-2</v>
      </c>
      <c r="L16" s="8">
        <f ca="1">IF(OR(L6="",L$11&lt;$A16),"",L6/OFFSET(ParoEPAESP!$A$80,MATCH(L$12,ParoEPAESP!$A$80:$A$273)+$A16-1,1)-1)</f>
        <v>2.3428624951019605E-2</v>
      </c>
      <c r="M16" s="8">
        <f ca="1">IF(OR(M6="",M$11&lt;$A16),"",M6/OFFSET(ParoEPAESP!$A$80,MATCH(M$12,ParoEPAESP!$A$80:$A$273)+$A16-1,1)-1)</f>
        <v>-6.9943193825646399E-2</v>
      </c>
      <c r="N16" s="8">
        <f ca="1">IF(OR(N6="",N$11&lt;$A16),"",N6/OFFSET(ParoEPAESP!$A$80,MATCH(N$12,ParoEPAESP!$A$80:$A$273)+$A16-1,1)-1)</f>
        <v>-7.8384390907999646E-2</v>
      </c>
      <c r="O16" s="8">
        <f ca="1">IF(OR(O6="",O$11&lt;$A16),"",O6/OFFSET(ParoEPAESP!$A$80,MATCH(O$12,ParoEPAESP!$A$80:$A$273)+$A16-1,1)-1)</f>
        <v>-0.14746784597821716</v>
      </c>
      <c r="P16" s="8">
        <f ca="1">IF(OR(P6="",P$11&lt;$A16),"",P6/OFFSET(ParoEPAESP!$A$80,MATCH(P$12,ParoEPAESP!$A$80:$A$273)+$A16-1,1)-1)</f>
        <v>-0.26666823515598814</v>
      </c>
      <c r="Q16" s="8">
        <f ca="1">IF(OR(Q6="",Q$11&lt;$A16),"",Q6/OFFSET(ParoEPAESP!$A$80,MATCH(Q$12,ParoEPAESP!$A$80:$A$273)+$A16-1,1)-1)</f>
        <v>-0.2929393498466758</v>
      </c>
      <c r="R16" s="8">
        <f ca="1">IF(OR(R6="",R$11&lt;$A16),"",R6/OFFSET(ParoEPAESP!$A$80,MATCH(R$12,ParoEPAESP!$A$80:$A$273)+$A16-1,1)-1)</f>
        <v>-0.35542645681975304</v>
      </c>
      <c r="S16" s="8">
        <f ca="1">IF(OR(S6="",S$11&lt;$A16),"",S6/OFFSET(ParoEPAESP!$A$80,MATCH(S$12,ParoEPAESP!$A$80:$A$273)+$A16-1,1)-1)</f>
        <v>-0.36844708645232804</v>
      </c>
      <c r="T16" s="8">
        <f ca="1">IF(OR(T6="",T$11&lt;$A16),"",T6/OFFSET(ParoEPAESP!$A$80,MATCH(T$12,ParoEPAESP!$A$80:$A$273)+$A16-1,1)-1)</f>
        <v>-0.29506994168000655</v>
      </c>
      <c r="U16" s="8">
        <f ca="1">IF(OR(U6="",U$11&lt;$A16),"",U6/OFFSET(ParoEPAESP!$A$80,MATCH(U$12,ParoEPAESP!$A$80:$A$273)+$A16-1,1)-1)</f>
        <v>-0.2496368020322095</v>
      </c>
      <c r="V16" s="8">
        <f ca="1">IF(OR(V6="",V$11&lt;$A16),"",V6/OFFSET(ParoEPAESP!$A$80,MATCH(V$12,ParoEPAESP!$A$80:$A$273)+$A16-1,1)-1)</f>
        <v>7.428204378400638E-3</v>
      </c>
      <c r="W16" s="8">
        <f ca="1">IF(OR(W6="",W$11&lt;$A16),"",W6/OFFSET(ParoEPAESP!$A$80,MATCH(W$12,ParoEPAESP!$A$80:$A$273)+$A16-1,1)-1)</f>
        <v>0.46298306939676515</v>
      </c>
      <c r="X16" s="8">
        <f ca="1">IF(OR(X6="",X$11&lt;$A16),"",X6/OFFSET(ParoEPAESP!$A$80,MATCH(X$12,ParoEPAESP!$A$80:$A$273)+$A16-1,1)-1)</f>
        <v>0.15490842995777054</v>
      </c>
      <c r="Y16" s="8">
        <f ca="1">IF(OR(Y6="",Y$11&lt;$A16),"",Y6/OFFSET(ParoEPAESP!$A$80,MATCH(Y$12,ParoEPAESP!$A$80:$A$273)+$A16-1,1)-1)</f>
        <v>3.2167505947860997E-2</v>
      </c>
      <c r="Z16" s="8">
        <f ca="1">IF(OR(Z6="",Z$11&lt;$A16),"",Z6/OFFSET(ParoEPAESP!$A$80,MATCH(Z$12,ParoEPAESP!$A$80:$A$273)+$A16-1,1)-1)</f>
        <v>5.5711625251870789E-2</v>
      </c>
      <c r="AA16" s="8">
        <f ca="1">IF(OR(AA6="",AA$11&lt;$A16),"",AA6/OFFSET(ParoEPAESP!$A$80,MATCH(AA$12,ParoEPAESP!$A$80:$A$273)+$A16-1,1)-1)</f>
        <v>6.0026206648118308E-2</v>
      </c>
      <c r="AB16" s="8">
        <f ca="1">IF(OR(AB6="",AB$11&lt;$A16),"",AB6/OFFSET(ParoEPAESP!$A$80,MATCH(AB$12,ParoEPAESP!$A$80:$A$273)+$A16-1,1)-1)</f>
        <v>9.5387967923316275E-2</v>
      </c>
      <c r="AC16" s="8">
        <f ca="1">IF(OR(AC6="",AC$11&lt;$A16),"",AC6/OFFSET(ParoEPAESP!$A$80,MATCH(AC$12,ParoEPAESP!$A$80:$A$273)+$A16-1,1)-1)</f>
        <v>-2.964355754407344E-3</v>
      </c>
      <c r="AD16" s="8">
        <f ca="1">IF(OR(AD6="",AD$11&lt;$A16),"",AD6/OFFSET(ParoEPAESP!$A$80,MATCH(AD$12,ParoEPAESP!$A$80:$A$273)+$A16-1,1)-1)</f>
        <v>-6.0889238341631069E-2</v>
      </c>
      <c r="AE16" s="8">
        <f ca="1">IF(OR(AE6="",AE$11&lt;$A16),"",AE6/OFFSET(ParoEPAESP!$A$80,MATCH(AE$12,ParoEPAESP!$A$80:$A$273)+$A16-1,1)-1)</f>
        <v>-7.9047320328281323E-2</v>
      </c>
      <c r="AF16" s="8">
        <f ca="1">IF(OR(AF6="",AF$11&lt;$A16),"",AF6/OFFSET(ParoEPAESP!$A$80,MATCH(AF$12,ParoEPAESP!$A$80:$A$273)+$A16-1,1)-1)</f>
        <v>-0.12715285757980921</v>
      </c>
      <c r="AG16" s="8">
        <f ca="1">IF(OR(AG6="",AG$11&lt;$A16),"",AG6/OFFSET(ParoEPAESP!$A$80,MATCH(AG$12,ParoEPAESP!$A$80:$A$273)+$A16-1,1)-1)</f>
        <v>-4.753520257168109E-2</v>
      </c>
      <c r="AH16" s="8">
        <f ca="1">IF(OR(AH6="",AH$11&lt;$A16),"",AH6/OFFSET(ParoEPAESP!$A$80,MATCH(AH$12,ParoEPAESP!$A$80:$A$273)+$A16-1,1)-1)</f>
        <v>-3.1771063289640522E-2</v>
      </c>
      <c r="AI16" s="8">
        <f ca="1">IF(OR(AI6="",AI$11&lt;$A16),"",AI6/OFFSET(ParoEPAESP!$A$80,MATCH(AI$12,ParoEPAESP!$A$80:$A$273)+$A16-1,1)-1)</f>
        <v>1.6945324778550042E-2</v>
      </c>
      <c r="AJ16" s="8">
        <f ca="1">IF(OR(AJ6="",AJ$11&lt;$A16),"",AJ6/OFFSET(ParoEPAESP!$A$80,MATCH(AJ$12,ParoEPAESP!$A$80:$A$273)+$A16-1,1)-1)</f>
        <v>5.0955191188232662E-2</v>
      </c>
      <c r="AK16" s="8">
        <f ca="1">IF(OR(AK6="",AK$11&lt;$A16),"",AK6/OFFSET(ParoEPAESP!$A$80,MATCH(AK$12,ParoEPAESP!$A$80:$A$273)+$A16-1,1)-1)</f>
        <v>7.5846731794215749E-2</v>
      </c>
      <c r="AL16" s="8">
        <f ca="1">IF(OR(AL6="",AL$11&lt;$A16),"",AL6/OFFSET(ParoEPAESP!$A$80,MATCH(AL$12,ParoEPAESP!$A$80:$A$273)+$A16-1,1)-1)</f>
        <v>8.8962464996561019E-2</v>
      </c>
      <c r="AM16" s="8">
        <f ca="1">IF(OR(AM6="",AM$11&lt;$A16),"",AM6/OFFSET(ParoEPAESP!$A$80,MATCH(AM$12,ParoEPAESP!$A$80:$A$273)+$A16-1,1)-1)</f>
        <v>0.14679230060065462</v>
      </c>
      <c r="AN16" s="8">
        <f ca="1">IF(OR(AN6="",AN$11&lt;$A16),"",AN6/OFFSET(ParoEPAESP!$A$80,MATCH(AN$12,ParoEPAESP!$A$80:$A$273)+$A16-1,1)-1)</f>
        <v>9.229030529647031E-2</v>
      </c>
      <c r="AO16" s="8">
        <f ca="1">IF(OR(AO6="",AO$11&lt;$A16),"",AO6/OFFSET(ParoEPAESP!$A$80,MATCH(AO$12,ParoEPAESP!$A$80:$A$273)+$A16-1,1)-1)</f>
        <v>0.10899037040407933</v>
      </c>
      <c r="AP16" s="8">
        <f ca="1">IF(OR(AP6="",AP$11&lt;$A16),"",AP6/OFFSET(ParoEPAESP!$A$80,MATCH(AP$12,ParoEPAESP!$A$80:$A$273)+$A16-1,1)-1)</f>
        <v>7.2469827196972592E-2</v>
      </c>
      <c r="AQ16" s="8">
        <f ca="1">IF(OR(AQ6="",AQ$11&lt;$A16),"",AQ6/OFFSET(ParoEPAESP!$A$80,MATCH(AQ$12,ParoEPAESP!$A$80:$A$273)+$A16-1,1)-1)</f>
        <v>4.6053320018190957E-2</v>
      </c>
      <c r="AR16" s="8">
        <f ca="1">IF(OR(AR6="",AR$11&lt;$A16),"",AR6/OFFSET(ParoEPAESP!$A$80,MATCH(AR$12,ParoEPAESP!$A$80:$A$273)+$A16-1,1)-1)</f>
        <v>1.8657742037436753E-2</v>
      </c>
      <c r="AS16" s="8">
        <f ca="1">IF(OR(AS6="",AS$11&lt;$A16),"",AS6/OFFSET(ParoEPAESP!$A$80,MATCH(AS$12,ParoEPAESP!$A$80:$A$273)+$A16-1,1)-1)</f>
        <v>5.1652968543894673E-2</v>
      </c>
      <c r="AT16" s="8">
        <f ca="1">IF(OR(AT6="",AT$11&lt;$A16),"",AT6/OFFSET(ParoEPAESP!$A$80,MATCH(AT$12,ParoEPAESP!$A$80:$A$273)+$A16-1,1)-1)</f>
        <v>0.10354802055703272</v>
      </c>
      <c r="AU16" s="8">
        <f ca="1">IF(OR(AU6="",AU$11&lt;$A16),"",AU6/OFFSET(ParoEPAESP!$A$80,MATCH(AU$12,ParoEPAESP!$A$80:$A$273)+$A16-1,1)-1)</f>
        <v>7.4229029852149964E-2</v>
      </c>
      <c r="AV16" s="8">
        <f ca="1">IF(OR(AV6="",AV$11&lt;$A16),"",AV6/OFFSET(ParoEPAESP!$A$80,MATCH(AV$12,ParoEPAESP!$A$80:$A$273)+$A16-1,1)-1)</f>
        <v>5.1194819638242572E-2</v>
      </c>
      <c r="AW16" s="8">
        <f ca="1">IF(OR(AW6="",AW$11&lt;$A16),"",AW6/OFFSET(ParoEPAESP!$A$80,MATCH(AW$12,ParoEPAESP!$A$80:$A$273)+$A16-1,1)-1)</f>
        <v>6.0135473492719527E-3</v>
      </c>
      <c r="AX16" s="8">
        <f ca="1">IF(OR(AX6="",AX$11&lt;$A16),"",AX6/OFFSET(ParoEPAESP!$A$80,MATCH(AX$12,ParoEPAESP!$A$80:$A$273)+$A16-1,1)-1)</f>
        <v>2.3758054110680105E-2</v>
      </c>
      <c r="AY16" s="8">
        <f ca="1">IF(OR(AY6="",AY$11&lt;$A16),"",AY6/OFFSET(ParoEPAESP!$A$80,MATCH(AY$12,ParoEPAESP!$A$80:$A$273)+$A16-1,1)-1)</f>
        <v>4.1208980388525607E-2</v>
      </c>
      <c r="AZ16" s="8">
        <f ca="1">IF(OR(AZ6="",AZ$11&lt;$A16),"",AZ6/OFFSET(ParoEPAESP!$A$80,MATCH(AZ$12,ParoEPAESP!$A$80:$A$273)+$A16-1,1)-1)</f>
        <v>9.6278966723201354E-2</v>
      </c>
      <c r="BA16" s="8">
        <f ca="1">IF(OR(BA6="",BA$11&lt;$A16),"",BA6/OFFSET(ParoEPAESP!$A$80,MATCH(BA$12,ParoEPAESP!$A$80:$A$273)+$A16-1,1)-1)</f>
        <v>5.2047996735827162E-2</v>
      </c>
      <c r="BB16" s="8">
        <f ca="1">IF(OR(BB6="",BB$11&lt;$A16),"",BB6/OFFSET(ParoEPAESP!$A$80,MATCH(BB$12,ParoEPAESP!$A$80:$A$273)+$A16-1,1)-1)</f>
        <v>1.4843499140639649E-2</v>
      </c>
      <c r="BC16" s="8">
        <f ca="1">IF(OR(BC6="",BC$11&lt;$A16),"",BC6/OFFSET(ParoEPAESP!$A$80,MATCH(BC$12,ParoEPAESP!$A$80:$A$273)+$A16-1,1)-1)</f>
        <v>2.6768115920956514E-2</v>
      </c>
      <c r="BD16" s="8">
        <f ca="1">IF(OR(BD6="",BD$11&lt;$A16),"",BD6/OFFSET(ParoEPAESP!$A$80,MATCH(BD$12,ParoEPAESP!$A$80:$A$273)+$A16-1,1)-1)</f>
        <v>-2.9261434016473964E-2</v>
      </c>
      <c r="BE16" s="8">
        <f ca="1">IF(OR(BE6="",BE$11&lt;$A16),"",BE6/OFFSET(ParoEPAESP!$A$80,MATCH(BE$12,ParoEPAESP!$A$80:$A$273)+$A16-1,1)-1)</f>
        <v>7.5630376060276117E-3</v>
      </c>
      <c r="BF16" s="8">
        <f ca="1">IF(OR(BF6="",BF$11&lt;$A16),"",BF6/OFFSET(ParoEPAESP!$A$80,MATCH(BF$12,ParoEPAESP!$A$80:$A$273)+$A16-1,1)-1)</f>
        <v>6.5344960181065614E-2</v>
      </c>
      <c r="BG16" s="8">
        <f ca="1">IF(OR(BG6="",BG$11&lt;$A16),"",BG6/OFFSET(ParoEPAESP!$A$80,MATCH(BG$12,ParoEPAESP!$A$80:$A$273)+$A16-1,1)-1)</f>
        <v>5.0130478848760873E-2</v>
      </c>
      <c r="BH16" s="8">
        <f ca="1">IF(OR(BH6="",BH$11&lt;$A16),"",BH6/OFFSET(ParoEPAESP!$A$80,MATCH(BH$12,ParoEPAESP!$A$80:$A$273)+$A16-1,1)-1)</f>
        <v>-3.7616322626064291E-2</v>
      </c>
      <c r="BI16" s="8">
        <f ca="1">IF(OR(BI6="",BI$11&lt;$A16),"",BI6/OFFSET(ParoEPAESP!$A$80,MATCH(BI$12,ParoEPAESP!$A$80:$A$273)+$A16-1,1)-1)</f>
        <v>-5.8421331811950195E-2</v>
      </c>
      <c r="BJ16" s="8">
        <f ca="1">IF(OR(BJ6="",BJ$11&lt;$A16),"",BJ6/OFFSET(ParoEPAESP!$A$80,MATCH(BJ$12,ParoEPAESP!$A$80:$A$273)+$A16-1,1)-1)</f>
        <v>-6.9379676487312802E-2</v>
      </c>
      <c r="BK16" s="8">
        <f ca="1">IF(OR(BK6="",BK$11&lt;$A16),"",BK6/OFFSET(ParoEPAESP!$A$80,MATCH(BK$12,ParoEPAESP!$A$80:$A$273)+$A16-1,1)-1)</f>
        <v>-6.6407822771044067E-2</v>
      </c>
      <c r="BL16" s="8">
        <f ca="1">IF(OR(BL6="",BL$11&lt;$A16),"",BL6/OFFSET(ParoEPAESP!$A$80,MATCH(BL$12,ParoEPAESP!$A$80:$A$273)+$A16-1,1)-1)</f>
        <v>-6.3274112997329657E-2</v>
      </c>
      <c r="BM16" s="8">
        <f ca="1">IF(OR(BM6="",BM$11&lt;$A16),"",BM6/OFFSET(ParoEPAESP!$A$80,MATCH(BM$12,ParoEPAESP!$A$80:$A$273)+$A16-1,1)-1)</f>
        <v>-0.13212117345022234</v>
      </c>
      <c r="BN16" s="8">
        <f ca="1">IF(OR(BN6="",BN$11&lt;$A16),"",BN6/OFFSET(ParoEPAESP!$A$80,MATCH(BN$12,ParoEPAESP!$A$80:$A$273)+$A16-1,1)-1)</f>
        <v>-0.18772080691953608</v>
      </c>
      <c r="BO16" s="8" t="str">
        <f ca="1">IF(OR(BO6="",BO$11&lt;$A16),"",BO6/OFFSET(ParoEPAESP!$A$80,MATCH(BO$12,ParoEPAESP!$A$80:$A$273)+$A16-1,1)-1)</f>
        <v/>
      </c>
      <c r="BP16" s="8" t="str">
        <f ca="1">IF(OR(BP6="",BP$11&lt;$A16),"",BP6/OFFSET(ParoEPAESP!$A$80,MATCH(BP$12,ParoEPAESP!$A$80:$A$273)+$A16-1,1)-1)</f>
        <v/>
      </c>
      <c r="BQ16" s="8" t="str">
        <f ca="1">IF(OR(BQ6="",BQ$11&lt;$A16),"",BQ6/OFFSET(ParoEPAESP!$A$80,MATCH(BQ$12,ParoEPAESP!$A$80:$A$273)+$A16-1,1)-1)</f>
        <v/>
      </c>
      <c r="BR16" s="8" t="str">
        <f ca="1">IF(OR(BR6="",BR$11&lt;$A16),"",BR6/OFFSET(ParoEPAESP!$A$80,MATCH(BR$12,ParoEPAESP!$A$80:$A$273)+$A16-1,1)-1)</f>
        <v/>
      </c>
      <c r="BS16" s="8" t="str">
        <f ca="1">IF(OR(BS6="",BS$11&lt;$A16),"",BS6/OFFSET(ParoEPAESP!$A$80,MATCH(BS$12,ParoEPAESP!$A$80:$A$273)+$A16-1,1)-1)</f>
        <v/>
      </c>
      <c r="BT16" s="8" t="str">
        <f ca="1">IF(OR(BT6="",BT$11&lt;$A16),"",BT6/OFFSET(ParoEPAESP!$A$80,MATCH(BT$12,ParoEPAESP!$A$80:$A$273)+$A16-1,1)-1)</f>
        <v/>
      </c>
      <c r="BU16" s="8" t="str">
        <f ca="1">IF(OR(BU6="",BU$11&lt;$A16),"",BU6/OFFSET(ParoEPAESP!$A$80,MATCH(BU$12,ParoEPAESP!$A$80:$A$273)+$A16-1,1)-1)</f>
        <v/>
      </c>
      <c r="BV16" s="8" t="str">
        <f ca="1">IF(OR(BV6="",BV$11&lt;$A16),"",BV6/OFFSET(ParoEPAESP!$A$80,MATCH(BV$12,ParoEPAESP!$A$80:$A$273)+$A16-1,1)-1)</f>
        <v/>
      </c>
      <c r="BW16" s="8" t="str">
        <f ca="1">IF(OR(BW6="",BW$11&lt;$A16),"",BW6/OFFSET(ParoEPAESP!$A$80,MATCH(BW$12,ParoEPAESP!$A$80:$A$273)+$A16-1,1)-1)</f>
        <v/>
      </c>
      <c r="BX16" s="8" t="str">
        <f ca="1">IF(OR(BX6="",BX$11&lt;$A16),"",BX6/OFFSET(ParoEPAESP!$A$80,MATCH(BX$12,ParoEPAESP!$A$80:$A$273)+$A16-1,1)-1)</f>
        <v/>
      </c>
      <c r="BY16" s="8" t="str">
        <f ca="1">IF(OR(BY6="",BY$11&lt;$A16),"",BY6/OFFSET(ParoEPAESP!$A$80,MATCH(BY$12,ParoEPAESP!$A$80:$A$273)+$A16-1,1)-1)</f>
        <v/>
      </c>
      <c r="BZ16" s="8" t="str">
        <f ca="1">IF(OR(BZ6="",BZ$11&lt;$A16),"",BZ6/OFFSET(ParoEPAESP!$A$80,MATCH(BZ$12,ParoEPAESP!$A$80:$A$273)+$A16-1,1)-1)</f>
        <v/>
      </c>
      <c r="CA16" s="8" t="str">
        <f ca="1">IF(OR(CA6="",CA$11&lt;$A16),"",CA6/OFFSET(ParoEPAESP!$A$80,MATCH(CA$12,ParoEPAESP!$A$80:$A$273)+$A16-1,1)-1)</f>
        <v/>
      </c>
      <c r="CB16" s="8" t="str">
        <f ca="1">IF(OR(CB6="",CB$11&lt;$A16),"",CB6/OFFSET(ParoEPAESP!$A$80,MATCH(CB$12,ParoEPAESP!$A$80:$A$273)+$A16-1,1)-1)</f>
        <v/>
      </c>
      <c r="CC16" s="8" t="str">
        <f ca="1">IF(OR(CC6="",CC$11&lt;$A16),"",CC6/OFFSET(ParoEPAESP!$A$80,MATCH(CC$12,ParoEPAESP!$A$80:$A$273)+$A16-1,1)-1)</f>
        <v/>
      </c>
      <c r="CD16" s="8" t="str">
        <f ca="1">IF(OR(CD6="",CD$11&lt;$A16),"",CD6/OFFSET(ParoEPAESP!$A$80,MATCH(CD$12,ParoEPAESP!$A$80:$A$273)+$A16-1,1)-1)</f>
        <v/>
      </c>
      <c r="CE16" s="8" t="str">
        <f ca="1">IF(OR(CE6="",CE$11&lt;$A16),"",CE6/OFFSET(ParoEPAESP!$A$80,MATCH(CE$12,ParoEPAESP!$A$80:$A$273)+$A16-1,1)-1)</f>
        <v/>
      </c>
      <c r="CF16" s="8" t="str">
        <f ca="1">IF(OR(CF6="",CF$11&lt;$A16),"",CF6/OFFSET(ParoEPAESP!$A$80,MATCH(CF$12,ParoEPAESP!$A$80:$A$273)+$A16-1,1)-1)</f>
        <v/>
      </c>
      <c r="CG16" s="8" t="str">
        <f ca="1">IF(OR(CG6="",CG$11&lt;$A16),"",CG6/OFFSET(ParoEPAESP!$A$80,MATCH(CG$12,ParoEPAESP!$A$80:$A$273)+$A16-1,1)-1)</f>
        <v/>
      </c>
      <c r="CH16" s="8" t="str">
        <f ca="1">IF(OR(CH6="",CH$11&lt;$A16),"",CH6/OFFSET(ParoEPAESP!$A$80,MATCH(CH$12,ParoEPAESP!$A$80:$A$273)+$A16-1,1)-1)</f>
        <v/>
      </c>
      <c r="CI16" s="8" t="str">
        <f ca="1">IF(OR(CI6="",CI$11&lt;$A16),"",CI6/OFFSET(ParoEPAESP!$A$80,MATCH(CI$12,ParoEPAESP!$A$80:$A$273)+$A16-1,1)-1)</f>
        <v/>
      </c>
      <c r="CJ16" s="8" t="str">
        <f ca="1">IF(OR(CJ6="",CJ$11&lt;$A16),"",CJ6/OFFSET(ParoEPAESP!$A$80,MATCH(CJ$12,ParoEPAESP!$A$80:$A$273)+$A16-1,1)-1)</f>
        <v/>
      </c>
      <c r="CK16" s="8" t="str">
        <f ca="1">IF(OR(CK6="",CK$11&lt;$A16),"",CK6/OFFSET(ParoEPAESP!$A$80,MATCH(CK$12,ParoEPAESP!$A$80:$A$273)+$A16-1,1)-1)</f>
        <v/>
      </c>
      <c r="CL16" s="8" t="str">
        <f ca="1">IF(OR(CL6="",CL$11&lt;$A16),"",CL6/OFFSET(ParoEPAESP!$A$80,MATCH(CL$12,ParoEPAESP!$A$80:$A$273)+$A16-1,1)-1)</f>
        <v/>
      </c>
      <c r="CM16" s="8" t="str">
        <f ca="1">IF(OR(CM6="",CM$11&lt;$A16),"",CM6/OFFSET(ParoEPAESP!$A$80,MATCH(CM$12,ParoEPAESP!$A$80:$A$273)+$A16-1,1)-1)</f>
        <v/>
      </c>
      <c r="CN16" s="8" t="str">
        <f ca="1">IF(OR(CN6="",CN$11&lt;$A16),"",CN6/OFFSET(ParoEPAESP!$A$80,MATCH(CN$12,ParoEPAESP!$A$80:$A$273)+$A16-1,1)-1)</f>
        <v/>
      </c>
      <c r="CO16" s="8" t="str">
        <f ca="1">IF(OR(CO6="",CO$11&lt;$A16),"",CO6/OFFSET(ParoEPAESP!$A$80,MATCH(CO$12,ParoEPAESP!$A$80:$A$273)+$A16-1,1)-1)</f>
        <v/>
      </c>
      <c r="CP16" s="8" t="str">
        <f ca="1">IF(OR(CP6="",CP$11&lt;$A16),"",CP6/OFFSET(ParoEPAESP!$A$80,MATCH(CP$12,ParoEPAESP!$A$80:$A$273)+$A16-1,1)-1)</f>
        <v/>
      </c>
      <c r="CQ16" s="8" t="str">
        <f ca="1">IF(OR(CQ6="",CQ$11&lt;$A16),"",CQ6/OFFSET(ParoEPAESP!$A$80,MATCH(CQ$12,ParoEPAESP!$A$80:$A$273)+$A16-1,1)-1)</f>
        <v/>
      </c>
      <c r="CR16" s="8" t="str">
        <f ca="1">IF(OR(CR6="",CR$11&lt;$A16),"",CR6/OFFSET(ParoEPAESP!$A$80,MATCH(CR$12,ParoEPAESP!$A$80:$A$273)+$A16-1,1)-1)</f>
        <v/>
      </c>
      <c r="CS16" s="8" t="str">
        <f ca="1">IF(OR(CS6="",CS$11&lt;$A16),"",CS6/OFFSET(ParoEPAESP!$A$80,MATCH(CS$12,ParoEPAESP!$A$80:$A$273)+$A16-1,1)-1)</f>
        <v/>
      </c>
      <c r="CT16" s="8" t="str">
        <f ca="1">IF(OR(CT6="",CT$11&lt;$A16),"",CT6/OFFSET(ParoEPAESP!$A$80,MATCH(CT$12,ParoEPAESP!$A$80:$A$273)+$A16-1,1)-1)</f>
        <v/>
      </c>
      <c r="CU16" s="8" t="str">
        <f ca="1">IF(OR(CU6="",CU$11&lt;$A16),"",CU6/OFFSET(ParoEPAESP!$A$80,MATCH(CU$12,ParoEPAESP!$A$80:$A$273)+$A16-1,1)-1)</f>
        <v/>
      </c>
      <c r="CV16" s="8" t="str">
        <f ca="1">IF(OR(CV6="",CV$11&lt;$A16),"",CV6/OFFSET(ParoEPAESP!$A$80,MATCH(CV$12,ParoEPAESP!$A$80:$A$273)+$A16-1,1)-1)</f>
        <v/>
      </c>
      <c r="CW16" s="8" t="str">
        <f ca="1">IF(OR(CW6="",CW$11&lt;$A16),"",CW6/OFFSET(ParoEPAESP!$A$80,MATCH(CW$12,ParoEPAESP!$A$80:$A$273)+$A16-1,1)-1)</f>
        <v/>
      </c>
      <c r="CX16" s="8" t="str">
        <f ca="1">IF(OR(CX6="",CX$11&lt;$A16),"",CX6/OFFSET(ParoEPAESP!$A$80,MATCH(CX$12,ParoEPAESP!$A$80:$A$273)+$A16-1,1)-1)</f>
        <v/>
      </c>
      <c r="CY16" s="8" t="str">
        <f ca="1">IF(OR(CY6="",CY$11&lt;$A16),"",CY6/OFFSET(ParoEPAESP!$A$80,MATCH(CY$12,ParoEPAESP!$A$80:$A$273)+$A16-1,1)-1)</f>
        <v/>
      </c>
      <c r="CZ16" s="8" t="str">
        <f ca="1">IF(OR(CZ6="",CZ$11&lt;$A16),"",CZ6/OFFSET(ParoEPAESP!$A$80,MATCH(CZ$12,ParoEPAESP!$A$80:$A$273)+$A16-1,1)-1)</f>
        <v/>
      </c>
      <c r="DA16" s="8" t="str">
        <f ca="1">IF(OR(DA6="",DA$11&lt;$A16),"",DA6/OFFSET(ParoEPAESP!$A$80,MATCH(DA$12,ParoEPAESP!$A$80:$A$273)+$A16-1,1)-1)</f>
        <v/>
      </c>
      <c r="DB16" s="8" t="str">
        <f ca="1">IF(OR(DB6="",DB$11&lt;$A16),"",DB6/OFFSET(ParoEPAESP!$A$80,MATCH(DB$12,ParoEPAESP!$A$80:$A$273)+$A16-1,1)-1)</f>
        <v/>
      </c>
      <c r="DC16" s="8" t="str">
        <f ca="1">IF(OR(DC6="",DC$11&lt;$A16),"",DC6/OFFSET(ParoEPAESP!$A$80,MATCH(DC$12,ParoEPAESP!$A$80:$A$273)+$A16-1,1)-1)</f>
        <v/>
      </c>
      <c r="DD16" s="8" t="str">
        <f ca="1">IF(OR(DD6="",DD$11&lt;$A16),"",DD6/OFFSET(ParoEPAESP!$A$80,MATCH(DD$12,ParoEPAESP!$A$80:$A$273)+$A16-1,1)-1)</f>
        <v/>
      </c>
      <c r="DE16" s="8" t="str">
        <f ca="1">IF(OR(DE6="",DE$11&lt;$A16),"",DE6/OFFSET(ParoEPAESP!$A$80,MATCH(DE$12,ParoEPAESP!$A$80:$A$273)+$A16-1,1)-1)</f>
        <v/>
      </c>
      <c r="DF16" s="8" t="str">
        <f ca="1">IF(OR(DF6="",DF$11&lt;$A16),"",DF6/OFFSET(ParoEPAESP!$A$80,MATCH(DF$12,ParoEPAESP!$A$80:$A$273)+$A16-1,1)-1)</f>
        <v/>
      </c>
      <c r="DG16" s="8" t="str">
        <f ca="1">IF(OR(DG6="",DG$11&lt;$A16),"",DG6/OFFSET(ParoEPAESP!$A$80,MATCH(DG$12,ParoEPAESP!$A$80:$A$273)+$A16-1,1)-1)</f>
        <v/>
      </c>
      <c r="DH16" s="8" t="str">
        <f ca="1">IF(OR(DH6="",DH$11&lt;$A16),"",DH6/OFFSET(ParoEPAESP!$A$80,MATCH(DH$12,ParoEPAESP!$A$80:$A$273)+$A16-1,1)-1)</f>
        <v/>
      </c>
      <c r="DI16" s="8" t="str">
        <f ca="1">IF(OR(DI6="",DI$11&lt;$A16),"",DI6/OFFSET(ParoEPAESP!$A$80,MATCH(DI$12,ParoEPAESP!$A$80:$A$273)+$A16-1,1)-1)</f>
        <v/>
      </c>
      <c r="DJ16" s="8" t="str">
        <f ca="1">IF(OR(DJ6="",DJ$11&lt;$A16),"",DJ6/OFFSET(ParoEPAESP!$A$80,MATCH(DJ$12,ParoEPAESP!$A$80:$A$273)+$A16-1,1)-1)</f>
        <v/>
      </c>
      <c r="DK16" s="8" t="str">
        <f ca="1">IF(OR(DK6="",DK$11&lt;$A16),"",DK6/OFFSET(ParoEPAESP!$A$80,MATCH(DK$12,ParoEPAESP!$A$80:$A$273)+$A16-1,1)-1)</f>
        <v/>
      </c>
      <c r="DL16" s="8" t="str">
        <f ca="1">IF(OR(DL6="",DL$11&lt;$A16),"",DL6/OFFSET(ParoEPAESP!$A$80,MATCH(DL$12,ParoEPAESP!$A$80:$A$273)+$A16-1,1)-1)</f>
        <v/>
      </c>
      <c r="DM16" s="8" t="str">
        <f ca="1">IF(OR(DM6="",DM$11&lt;$A16),"",DM6/OFFSET(ParoEPAESP!$A$80,MATCH(DM$12,ParoEPAESP!$A$80:$A$273)+$A16-1,1)-1)</f>
        <v/>
      </c>
      <c r="DN16" s="8" t="str">
        <f ca="1">IF(OR(DN6="",DN$11&lt;$A16),"",DN6/OFFSET(ParoEPAESP!$A$80,MATCH(DN$12,ParoEPAESP!$A$80:$A$273)+$A16-1,1)-1)</f>
        <v/>
      </c>
      <c r="DO16" s="8" t="str">
        <f ca="1">IF(OR(DO6="",DO$11&lt;$A16),"",DO6/OFFSET(ParoEPAESP!$A$80,MATCH(DO$12,ParoEPAESP!$A$80:$A$273)+$A16-1,1)-1)</f>
        <v/>
      </c>
      <c r="DP16" s="8" t="str">
        <f ca="1">IF(OR(DP6="",DP$11&lt;$A16),"",DP6/OFFSET(ParoEPAESP!$A$80,MATCH(DP$12,ParoEPAESP!$A$80:$A$273)+$A16-1,1)-1)</f>
        <v/>
      </c>
      <c r="DQ16" s="8" t="str">
        <f ca="1">IF(OR(DQ6="",DQ$11&lt;$A16),"",DQ6/OFFSET(ParoEPAESP!$A$80,MATCH(DQ$12,ParoEPAESP!$A$80:$A$273)+$A16-1,1)-1)</f>
        <v/>
      </c>
      <c r="DR16" s="8" t="str">
        <f ca="1">IF(OR(DR6="",DR$11&lt;$A16),"",DR6/OFFSET(ParoEPAESP!$A$80,MATCH(DR$12,ParoEPAESP!$A$80:$A$273)+$A16-1,1)-1)</f>
        <v/>
      </c>
      <c r="DS16" s="12">
        <f t="shared" ca="1" si="51"/>
        <v>1.8058345002505277E-2</v>
      </c>
      <c r="DT16" s="12">
        <f t="shared" ca="1" si="52"/>
        <v>3.3988548154741061E-2</v>
      </c>
      <c r="DU16" s="13">
        <f t="shared" ca="1" si="53"/>
        <v>5.5613031916339189E-3</v>
      </c>
      <c r="DV16" s="15">
        <f t="shared" ca="1" si="56"/>
        <v>7.4574145597746666E-2</v>
      </c>
      <c r="DW16" s="14" t="str">
        <f t="shared" ca="1" si="54"/>
        <v>[ -13,11% ; 16,72% ]</v>
      </c>
      <c r="DX16" s="15">
        <f t="shared" ca="1" si="55"/>
        <v>9.5454906365115735E-2</v>
      </c>
      <c r="GI16" s="1"/>
    </row>
    <row r="17" spans="1:191" hidden="1" x14ac:dyDescent="0.25">
      <c r="A17" s="4"/>
      <c r="B17" s="8"/>
      <c r="C17" s="8"/>
      <c r="D17" s="8"/>
      <c r="E17" s="8"/>
      <c r="F17" s="8"/>
      <c r="G17" s="8"/>
      <c r="H17" s="8"/>
      <c r="I17" s="8"/>
      <c r="J17" s="8"/>
      <c r="K17" s="8"/>
      <c r="L17" s="8"/>
      <c r="M17" s="8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 s="8"/>
      <c r="AB17" s="8"/>
      <c r="AC17" s="8"/>
      <c r="AD17" s="8"/>
      <c r="AE17" s="8"/>
      <c r="AF17" s="8"/>
      <c r="AG17" s="8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CU17" s="8"/>
      <c r="CV17" s="8"/>
      <c r="CW17" s="8"/>
      <c r="CX17" s="8"/>
      <c r="CY17" s="8"/>
      <c r="CZ17" s="8"/>
      <c r="DA17" s="8"/>
      <c r="DB17" s="8"/>
      <c r="DC17" s="8"/>
      <c r="DD17" s="8"/>
      <c r="DE17" s="8"/>
      <c r="DF17" s="8"/>
      <c r="DG17" s="8"/>
      <c r="DH17" s="8"/>
      <c r="DI17" s="8"/>
      <c r="DJ17" s="8"/>
      <c r="DK17" s="8"/>
      <c r="DL17" s="8"/>
      <c r="DM17" s="8"/>
      <c r="DN17" s="8"/>
      <c r="DO17" s="8"/>
      <c r="DP17" s="8"/>
      <c r="DQ17" s="8"/>
      <c r="DR17" s="8"/>
      <c r="DS17" s="12"/>
      <c r="DT17" s="12"/>
      <c r="DU17" s="13"/>
      <c r="DV17" s="15"/>
      <c r="DW17" s="14"/>
      <c r="DX17" s="15"/>
      <c r="GI17" s="1"/>
    </row>
    <row r="18" spans="1:191" hidden="1" x14ac:dyDescent="0.25">
      <c r="A18" s="4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CU18" s="8"/>
      <c r="CV18" s="8"/>
      <c r="CW18" s="8"/>
      <c r="CX18" s="8"/>
      <c r="CY18" s="8"/>
      <c r="CZ18" s="8"/>
      <c r="DA18" s="8"/>
      <c r="DB18" s="8"/>
      <c r="DC18" s="8"/>
      <c r="DD18" s="8"/>
      <c r="DE18" s="8"/>
      <c r="DF18" s="8"/>
      <c r="DG18" s="8"/>
      <c r="DH18" s="8"/>
      <c r="DI18" s="8"/>
      <c r="DJ18" s="8"/>
      <c r="DK18" s="8"/>
      <c r="DL18" s="8"/>
      <c r="DM18" s="8"/>
      <c r="DN18" s="8"/>
      <c r="DO18" s="8"/>
      <c r="DP18" s="8"/>
      <c r="DQ18" s="8"/>
      <c r="DR18" s="8"/>
      <c r="DS18" s="12"/>
      <c r="DT18" s="12"/>
      <c r="DU18" s="13"/>
      <c r="DV18" s="15"/>
      <c r="DW18" s="14"/>
      <c r="DX18" s="15"/>
      <c r="GI18" s="1"/>
    </row>
    <row r="19" spans="1:191" hidden="1" x14ac:dyDescent="0.25">
      <c r="A19" s="4"/>
      <c r="B19" s="8"/>
      <c r="C19" s="8"/>
      <c r="D19" s="8"/>
      <c r="E19" s="8"/>
      <c r="F19" s="8"/>
      <c r="G19" s="8"/>
      <c r="H19" s="8"/>
      <c r="I19" s="8"/>
      <c r="J19" s="8"/>
      <c r="K19" s="8"/>
      <c r="L19" s="8"/>
      <c r="M19" s="8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CU19" s="8"/>
      <c r="CV19" s="8"/>
      <c r="CW19" s="8"/>
      <c r="CX19" s="8"/>
      <c r="CY19" s="8"/>
      <c r="CZ19" s="8"/>
      <c r="DA19" s="8"/>
      <c r="DB19" s="8"/>
      <c r="DC19" s="8"/>
      <c r="DD19" s="8"/>
      <c r="DE19" s="8"/>
      <c r="DF19" s="8"/>
      <c r="DG19" s="8"/>
      <c r="DH19" s="8"/>
      <c r="DI19" s="8"/>
      <c r="DJ19" s="8"/>
      <c r="DK19" s="8"/>
      <c r="DL19" s="8"/>
      <c r="DM19" s="8"/>
      <c r="DN19" s="8"/>
      <c r="DO19" s="8"/>
      <c r="DP19" s="8"/>
      <c r="DQ19" s="8"/>
      <c r="DR19" s="8"/>
      <c r="DS19" s="12"/>
      <c r="DT19" s="12"/>
      <c r="DU19" s="13"/>
      <c r="DV19" s="15"/>
      <c r="DW19" s="14"/>
      <c r="DX19" s="15"/>
      <c r="GI19" s="1"/>
    </row>
    <row r="20" spans="1:191" hidden="1" x14ac:dyDescent="0.25">
      <c r="A20" s="4"/>
      <c r="B20" s="8"/>
      <c r="C20" s="8"/>
      <c r="D20" s="8"/>
      <c r="E20" s="8"/>
      <c r="F20" s="8"/>
      <c r="G20" s="8"/>
      <c r="H20" s="8"/>
      <c r="I20" s="8"/>
      <c r="J20" s="8"/>
      <c r="K20" s="8"/>
      <c r="L20" s="8"/>
      <c r="M20" s="8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 s="8"/>
      <c r="AB20" s="8"/>
      <c r="AC20" s="8"/>
      <c r="AD20" s="8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CU20" s="8"/>
      <c r="CV20" s="8"/>
      <c r="CW20" s="8"/>
      <c r="CX20" s="8"/>
      <c r="CY20" s="8"/>
      <c r="CZ20" s="8"/>
      <c r="DA20" s="8"/>
      <c r="DB20" s="8"/>
      <c r="DC20" s="8"/>
      <c r="DD20" s="8"/>
      <c r="DE20" s="8"/>
      <c r="DF20" s="8"/>
      <c r="DG20" s="8"/>
      <c r="DH20" s="8"/>
      <c r="DI20" s="8"/>
      <c r="DJ20" s="8"/>
      <c r="DK20" s="8"/>
      <c r="DL20" s="8"/>
      <c r="DM20" s="8"/>
      <c r="DN20" s="8"/>
      <c r="DO20" s="8"/>
      <c r="DP20" s="8"/>
      <c r="DQ20" s="8"/>
      <c r="DR20" s="8"/>
      <c r="DS20" s="12"/>
      <c r="DT20" s="12"/>
      <c r="DU20" s="13"/>
      <c r="DV20" s="15"/>
      <c r="DW20" s="14"/>
      <c r="DX20" s="15"/>
      <c r="GI20" s="1"/>
    </row>
    <row r="21" spans="1:191" ht="15.75" x14ac:dyDescent="0.25">
      <c r="A21" s="3" t="s">
        <v>1</v>
      </c>
      <c r="B21" s="7">
        <v>37986</v>
      </c>
      <c r="C21" s="7">
        <v>38077</v>
      </c>
      <c r="D21" s="7">
        <v>38168</v>
      </c>
      <c r="E21" s="7">
        <v>38260</v>
      </c>
      <c r="F21" s="7">
        <v>38352</v>
      </c>
      <c r="G21" s="7">
        <v>38442</v>
      </c>
      <c r="H21" s="7">
        <v>38533</v>
      </c>
      <c r="I21" s="7">
        <v>38625</v>
      </c>
      <c r="J21" s="7">
        <v>38717</v>
      </c>
      <c r="K21" s="7">
        <v>38807</v>
      </c>
      <c r="L21" s="7">
        <v>38898</v>
      </c>
      <c r="M21" s="7">
        <v>38990</v>
      </c>
      <c r="N21" s="7">
        <v>39082</v>
      </c>
      <c r="O21" s="7">
        <v>39172</v>
      </c>
      <c r="P21" s="7">
        <v>39263</v>
      </c>
      <c r="Q21" s="7">
        <v>39355</v>
      </c>
      <c r="R21" s="7">
        <v>39447</v>
      </c>
      <c r="S21" s="7">
        <v>39538</v>
      </c>
      <c r="T21" s="7">
        <v>39629</v>
      </c>
      <c r="U21" s="7">
        <v>39721</v>
      </c>
      <c r="V21" s="7">
        <v>39813</v>
      </c>
      <c r="W21" s="7">
        <v>39903</v>
      </c>
      <c r="X21" s="7">
        <v>39994</v>
      </c>
      <c r="Y21" s="7">
        <v>40086</v>
      </c>
      <c r="Z21" s="7">
        <v>40178</v>
      </c>
      <c r="AA21" s="7">
        <v>40268</v>
      </c>
      <c r="AB21" s="7">
        <v>40359</v>
      </c>
      <c r="AC21" s="7">
        <v>40451</v>
      </c>
      <c r="AD21" s="7">
        <v>40543</v>
      </c>
      <c r="AE21" s="7">
        <v>40633</v>
      </c>
      <c r="AF21" s="7">
        <v>40724</v>
      </c>
      <c r="AG21" s="7">
        <v>40816</v>
      </c>
      <c r="AH21" s="7">
        <v>40908</v>
      </c>
      <c r="AI21" s="7">
        <v>40999</v>
      </c>
      <c r="AJ21" s="7">
        <v>41090</v>
      </c>
      <c r="AK21" s="7">
        <v>41182</v>
      </c>
      <c r="AL21" s="7">
        <v>41274</v>
      </c>
      <c r="AM21" s="7">
        <v>41364</v>
      </c>
      <c r="AN21" s="7">
        <v>41455</v>
      </c>
      <c r="AO21" s="7">
        <v>41547</v>
      </c>
      <c r="AP21" s="7">
        <v>41639</v>
      </c>
      <c r="AQ21" s="7">
        <v>41729</v>
      </c>
      <c r="AR21" s="7">
        <v>41820</v>
      </c>
      <c r="AS21" s="7">
        <v>41912</v>
      </c>
      <c r="AT21" s="7">
        <v>42004</v>
      </c>
      <c r="AU21" s="7">
        <v>42094</v>
      </c>
      <c r="AV21" s="7">
        <v>42185</v>
      </c>
      <c r="AW21" s="7">
        <v>42277</v>
      </c>
      <c r="AX21" s="7">
        <v>42369</v>
      </c>
      <c r="AY21" s="7">
        <v>42460</v>
      </c>
      <c r="AZ21" s="7">
        <v>42551</v>
      </c>
      <c r="BA21" s="7">
        <v>42643</v>
      </c>
      <c r="BB21" s="7">
        <v>42735</v>
      </c>
      <c r="BC21" s="7">
        <v>42825</v>
      </c>
      <c r="BD21" s="7">
        <v>42916</v>
      </c>
      <c r="BE21" s="7">
        <v>43008</v>
      </c>
      <c r="BF21" s="7">
        <v>43100</v>
      </c>
      <c r="BG21" s="7">
        <v>43190</v>
      </c>
      <c r="BH21" s="7">
        <v>43281</v>
      </c>
      <c r="BI21" s="7">
        <v>43373</v>
      </c>
      <c r="BJ21" s="7">
        <v>43465</v>
      </c>
      <c r="BK21" s="7">
        <v>43555</v>
      </c>
      <c r="BL21" s="7">
        <v>43646</v>
      </c>
      <c r="BM21" s="7">
        <v>43738</v>
      </c>
      <c r="BN21" s="7">
        <v>43830</v>
      </c>
      <c r="BO21" s="7">
        <v>43921</v>
      </c>
      <c r="BP21" s="7">
        <v>44012</v>
      </c>
      <c r="BQ21" s="7">
        <v>44104</v>
      </c>
      <c r="BR21" s="7">
        <v>44196</v>
      </c>
      <c r="BS21" s="7">
        <v>44286</v>
      </c>
      <c r="BT21" s="7">
        <v>44377</v>
      </c>
      <c r="BU21" s="7">
        <v>44469</v>
      </c>
      <c r="BV21" s="7">
        <v>44561</v>
      </c>
      <c r="BW21" s="7">
        <v>44651</v>
      </c>
      <c r="BX21" s="7">
        <v>44742</v>
      </c>
      <c r="BY21" s="7">
        <v>44834</v>
      </c>
      <c r="BZ21" s="7">
        <v>44926</v>
      </c>
      <c r="CA21" s="7">
        <v>45016</v>
      </c>
      <c r="CB21" s="7">
        <v>45107</v>
      </c>
      <c r="CC21" s="7">
        <v>45199</v>
      </c>
      <c r="CD21" s="7">
        <v>45291</v>
      </c>
      <c r="CE21" s="7">
        <v>45382</v>
      </c>
      <c r="CF21" s="7">
        <v>45473</v>
      </c>
      <c r="CG21" s="7">
        <v>45565</v>
      </c>
      <c r="CH21" s="7">
        <v>45657</v>
      </c>
      <c r="CI21" s="7">
        <v>45747</v>
      </c>
      <c r="CJ21" s="7">
        <v>45838</v>
      </c>
      <c r="CK21" s="7">
        <v>45930</v>
      </c>
      <c r="CL21" s="7">
        <v>46022</v>
      </c>
      <c r="CM21" s="7">
        <v>46112</v>
      </c>
      <c r="CN21" s="7">
        <v>46203</v>
      </c>
      <c r="CO21" s="7">
        <v>46295</v>
      </c>
      <c r="CP21" s="7">
        <v>46387</v>
      </c>
      <c r="CQ21" s="7">
        <v>46477</v>
      </c>
      <c r="CR21" s="7">
        <v>46568</v>
      </c>
      <c r="CS21" s="7">
        <v>46660</v>
      </c>
      <c r="CT21" s="7">
        <v>46752</v>
      </c>
      <c r="CU21" s="7">
        <v>46843</v>
      </c>
      <c r="CV21" s="7">
        <v>46934</v>
      </c>
      <c r="CW21" s="7">
        <v>47026</v>
      </c>
      <c r="CX21" s="7">
        <v>47118</v>
      </c>
      <c r="CY21" s="7">
        <v>47208</v>
      </c>
      <c r="CZ21" s="7">
        <v>47299</v>
      </c>
      <c r="DA21" s="7">
        <v>47391</v>
      </c>
      <c r="DB21" s="7">
        <v>47483</v>
      </c>
      <c r="DC21" s="7">
        <v>47573</v>
      </c>
      <c r="DD21" s="7">
        <v>47664</v>
      </c>
      <c r="DE21" s="7">
        <v>47756</v>
      </c>
      <c r="DF21" s="7">
        <v>47848</v>
      </c>
      <c r="DG21" s="7">
        <v>47938</v>
      </c>
      <c r="DH21" s="7">
        <v>48029</v>
      </c>
      <c r="DI21" s="7">
        <v>48121</v>
      </c>
      <c r="DJ21" s="7">
        <v>48213</v>
      </c>
      <c r="DK21" s="7">
        <v>48304</v>
      </c>
      <c r="DL21" s="7">
        <v>48395</v>
      </c>
      <c r="DM21" s="7">
        <v>48487</v>
      </c>
      <c r="DN21" s="7">
        <v>48579</v>
      </c>
      <c r="DO21" s="7">
        <v>48669</v>
      </c>
      <c r="DP21" s="7">
        <v>48760</v>
      </c>
      <c r="DQ21" s="7">
        <v>48852</v>
      </c>
      <c r="DR21" s="7">
        <v>48944</v>
      </c>
      <c r="DS21" s="9" t="s">
        <v>2</v>
      </c>
      <c r="DT21" s="10" t="s">
        <v>3</v>
      </c>
      <c r="DU21" s="9" t="s">
        <v>4</v>
      </c>
      <c r="DV21" s="11" t="s">
        <v>5</v>
      </c>
      <c r="DW21" s="9" t="s">
        <v>6</v>
      </c>
      <c r="DX21" s="16"/>
      <c r="GI21" s="1"/>
    </row>
    <row r="22" spans="1:191" x14ac:dyDescent="0.25">
      <c r="A22" s="4">
        <v>1</v>
      </c>
      <c r="B22" s="8">
        <f t="shared" ref="B22:BM25" ca="1" si="57">IF(B13="","",ABS(B13))</f>
        <v>1.5144089010564743E-3</v>
      </c>
      <c r="C22" s="8">
        <f t="shared" ca="1" si="57"/>
        <v>2.3806159884387501E-3</v>
      </c>
      <c r="D22" s="8">
        <f t="shared" ca="1" si="57"/>
        <v>3.231751301281327E-2</v>
      </c>
      <c r="E22" s="8">
        <f t="shared" ca="1" si="57"/>
        <v>1.2012576306235756E-2</v>
      </c>
      <c r="F22" s="8">
        <f t="shared" ca="1" si="57"/>
        <v>2.2783021058249808E-2</v>
      </c>
      <c r="G22" s="8">
        <f t="shared" ca="1" si="57"/>
        <v>2.5645355974750483E-2</v>
      </c>
      <c r="H22" s="8">
        <f t="shared" ca="1" si="57"/>
        <v>7.1185960545460558E-2</v>
      </c>
      <c r="I22" s="8">
        <f t="shared" ca="1" si="57"/>
        <v>8.6730717663521251E-2</v>
      </c>
      <c r="J22" s="8">
        <f t="shared" ca="1" si="57"/>
        <v>6.0622831323625004E-2</v>
      </c>
      <c r="K22" s="8">
        <f t="shared" ca="1" si="57"/>
        <v>3.1698975344142344E-2</v>
      </c>
      <c r="L22" s="8">
        <f t="shared" ca="1" si="57"/>
        <v>3.3838782720857052E-2</v>
      </c>
      <c r="M22" s="8">
        <f t="shared" ca="1" si="57"/>
        <v>9.5271361126284537E-3</v>
      </c>
      <c r="N22" s="8">
        <f t="shared" ca="1" si="57"/>
        <v>1.8103423921847828E-2</v>
      </c>
      <c r="O22" s="8">
        <f t="shared" ca="1" si="57"/>
        <v>1.6536249641926792E-2</v>
      </c>
      <c r="P22" s="8">
        <f t="shared" ca="1" si="57"/>
        <v>3.2835473356982336E-2</v>
      </c>
      <c r="Q22" s="8">
        <f t="shared" ca="1" si="57"/>
        <v>3.7303191962509641E-2</v>
      </c>
      <c r="R22" s="8">
        <f t="shared" ca="1" si="57"/>
        <v>8.5298675845160266E-2</v>
      </c>
      <c r="S22" s="8">
        <f t="shared" ca="1" si="57"/>
        <v>6.1074695253662936E-2</v>
      </c>
      <c r="T22" s="8">
        <f t="shared" ca="1" si="57"/>
        <v>2.0344806958638717E-2</v>
      </c>
      <c r="U22" s="8">
        <f t="shared" ca="1" si="57"/>
        <v>0.12510039850245658</v>
      </c>
      <c r="V22" s="8">
        <f t="shared" ca="1" si="57"/>
        <v>0.11950280316034945</v>
      </c>
      <c r="W22" s="8">
        <f t="shared" ca="1" si="57"/>
        <v>0.11052084576928234</v>
      </c>
      <c r="X22" s="8">
        <f t="shared" ca="1" si="57"/>
        <v>8.6690429263986513E-2</v>
      </c>
      <c r="Y22" s="8">
        <f t="shared" ca="1" si="57"/>
        <v>1.8248916085104705E-2</v>
      </c>
      <c r="Z22" s="8">
        <f t="shared" ca="1" si="57"/>
        <v>1.4271635450651021E-2</v>
      </c>
      <c r="AA22" s="8">
        <f t="shared" ca="1" si="57"/>
        <v>4.8536602488732372E-3</v>
      </c>
      <c r="AB22" s="8">
        <f t="shared" ca="1" si="57"/>
        <v>2.7702350620310456E-2</v>
      </c>
      <c r="AC22" s="8">
        <f t="shared" ca="1" si="57"/>
        <v>1.1730221503886362E-2</v>
      </c>
      <c r="AD22" s="8">
        <f t="shared" ca="1" si="57"/>
        <v>7.9517392307887347E-3</v>
      </c>
      <c r="AE22" s="8">
        <f t="shared" ca="1" si="57"/>
        <v>1.5791099218093407E-2</v>
      </c>
      <c r="AF22" s="8">
        <f t="shared" ca="1" si="57"/>
        <v>4.4712872757763811E-2</v>
      </c>
      <c r="AG22" s="8">
        <f t="shared" ca="1" si="57"/>
        <v>1.0224129518664582E-2</v>
      </c>
      <c r="AH22" s="8">
        <f t="shared" ca="1" si="57"/>
        <v>2.115923569217526E-2</v>
      </c>
      <c r="AI22" s="8">
        <f t="shared" ca="1" si="57"/>
        <v>3.6448465957035214E-3</v>
      </c>
      <c r="AJ22" s="8">
        <f t="shared" ca="1" si="57"/>
        <v>2.4542334298627289E-4</v>
      </c>
      <c r="AK22" s="8">
        <f t="shared" ca="1" si="57"/>
        <v>8.215547867455042E-3</v>
      </c>
      <c r="AL22" s="8">
        <f t="shared" ca="1" si="57"/>
        <v>2.9213449430999239E-3</v>
      </c>
      <c r="AM22" s="8">
        <f t="shared" ca="1" si="57"/>
        <v>3.4736114737569102E-2</v>
      </c>
      <c r="AN22" s="8">
        <f t="shared" ca="1" si="57"/>
        <v>3.6688841423189178E-3</v>
      </c>
      <c r="AO22" s="8">
        <f t="shared" ca="1" si="57"/>
        <v>1.6248390535104296E-2</v>
      </c>
      <c r="AP22" s="8">
        <f t="shared" ca="1" si="57"/>
        <v>1.9170344875868883E-2</v>
      </c>
      <c r="AQ22" s="8">
        <f t="shared" ca="1" si="57"/>
        <v>9.358301174433814E-3</v>
      </c>
      <c r="AR22" s="8">
        <f t="shared" ca="1" si="57"/>
        <v>4.4557098850119825E-3</v>
      </c>
      <c r="AS22" s="8">
        <f t="shared" ca="1" si="57"/>
        <v>1.07322301709597E-2</v>
      </c>
      <c r="AT22" s="8">
        <f t="shared" ca="1" si="57"/>
        <v>1.6671660915855258E-2</v>
      </c>
      <c r="AU22" s="8">
        <f t="shared" ca="1" si="57"/>
        <v>5.8575875599702343E-3</v>
      </c>
      <c r="AV22" s="8">
        <f t="shared" ca="1" si="57"/>
        <v>2.8014147313055071E-2</v>
      </c>
      <c r="AW22" s="8">
        <f t="shared" ca="1" si="57"/>
        <v>9.1446886411161721E-4</v>
      </c>
      <c r="AX22" s="8">
        <f t="shared" ca="1" si="57"/>
        <v>6.6422042817773086E-3</v>
      </c>
      <c r="AY22" s="8">
        <f t="shared" ca="1" si="57"/>
        <v>6.476439667225331E-3</v>
      </c>
      <c r="AZ22" s="8">
        <f t="shared" ca="1" si="57"/>
        <v>2.2995569203871025E-2</v>
      </c>
      <c r="BA22" s="8">
        <f t="shared" ca="1" si="57"/>
        <v>7.5003815860823497E-3</v>
      </c>
      <c r="BB22" s="8">
        <f t="shared" ca="1" si="57"/>
        <v>5.4008174701207778E-3</v>
      </c>
      <c r="BC22" s="8">
        <f t="shared" ca="1" si="57"/>
        <v>3.1371141843662631E-2</v>
      </c>
      <c r="BD22" s="8">
        <f t="shared" ca="1" si="57"/>
        <v>1.7712240719114591E-2</v>
      </c>
      <c r="BE22" s="8">
        <f t="shared" ca="1" si="57"/>
        <v>1.9999798362400956E-2</v>
      </c>
      <c r="BF22" s="8">
        <f t="shared" ca="1" si="57"/>
        <v>1.0291711834018002E-2</v>
      </c>
      <c r="BG22" s="8">
        <f t="shared" ca="1" si="57"/>
        <v>2.3023597474453705E-2</v>
      </c>
      <c r="BH22" s="8">
        <f t="shared" ca="1" si="57"/>
        <v>6.3102875468675768E-3</v>
      </c>
      <c r="BI22" s="8">
        <f t="shared" ca="1" si="57"/>
        <v>9.8207954782569828E-3</v>
      </c>
      <c r="BJ22" s="8">
        <f t="shared" ca="1" si="57"/>
        <v>8.6016349065936026E-3</v>
      </c>
      <c r="BK22" s="8">
        <f t="shared" ca="1" si="57"/>
        <v>3.0741344934298032E-2</v>
      </c>
      <c r="BL22" s="8">
        <f t="shared" ca="1" si="57"/>
        <v>1.7692629844450747E-2</v>
      </c>
      <c r="BM22" s="8">
        <f t="shared" ca="1" si="57"/>
        <v>3.4676484096499705E-2</v>
      </c>
      <c r="BN22" s="8">
        <f t="shared" ref="BN22:BU24" ca="1" si="58">IF(BN13="","",ABS(BN13))</f>
        <v>2.5959902260598078E-2</v>
      </c>
      <c r="BO22" s="8">
        <f t="shared" ca="1" si="58"/>
        <v>5.1547339127525627E-2</v>
      </c>
      <c r="BP22" s="8">
        <f t="shared" ca="1" si="58"/>
        <v>8.2268532832631802E-2</v>
      </c>
      <c r="BQ22" s="8">
        <f t="shared" ca="1" si="58"/>
        <v>7.6229772960979547E-2</v>
      </c>
      <c r="BR22" s="8" t="str">
        <f t="shared" ca="1" si="58"/>
        <v/>
      </c>
      <c r="BS22" s="8" t="str">
        <f t="shared" ca="1" si="58"/>
        <v/>
      </c>
      <c r="BT22" s="8" t="str">
        <f t="shared" ca="1" si="58"/>
        <v/>
      </c>
      <c r="BU22" s="8" t="str">
        <f t="shared" ca="1" si="58"/>
        <v/>
      </c>
      <c r="BV22" s="8" t="str">
        <f t="shared" ref="BV22:DR22" ca="1" si="59">IF(BV13="","",ABS(BV13))</f>
        <v/>
      </c>
      <c r="BW22" s="8" t="str">
        <f t="shared" ca="1" si="59"/>
        <v/>
      </c>
      <c r="BX22" s="8" t="str">
        <f t="shared" ca="1" si="59"/>
        <v/>
      </c>
      <c r="BY22" s="8" t="str">
        <f t="shared" ca="1" si="59"/>
        <v/>
      </c>
      <c r="BZ22" s="8" t="str">
        <f t="shared" ca="1" si="59"/>
        <v/>
      </c>
      <c r="CA22" s="8" t="str">
        <f t="shared" ca="1" si="59"/>
        <v/>
      </c>
      <c r="CB22" s="8" t="str">
        <f t="shared" ca="1" si="59"/>
        <v/>
      </c>
      <c r="CC22" s="8" t="str">
        <f t="shared" ca="1" si="59"/>
        <v/>
      </c>
      <c r="CD22" s="8" t="str">
        <f t="shared" ca="1" si="59"/>
        <v/>
      </c>
      <c r="CE22" s="8" t="str">
        <f t="shared" ca="1" si="59"/>
        <v/>
      </c>
      <c r="CF22" s="8" t="str">
        <f t="shared" ca="1" si="59"/>
        <v/>
      </c>
      <c r="CG22" s="8" t="str">
        <f t="shared" ca="1" si="59"/>
        <v/>
      </c>
      <c r="CH22" s="8" t="str">
        <f t="shared" ca="1" si="59"/>
        <v/>
      </c>
      <c r="CI22" s="8" t="str">
        <f t="shared" ca="1" si="59"/>
        <v/>
      </c>
      <c r="CJ22" s="8" t="str">
        <f t="shared" ca="1" si="59"/>
        <v/>
      </c>
      <c r="CK22" s="8" t="str">
        <f t="shared" ca="1" si="59"/>
        <v/>
      </c>
      <c r="CL22" s="8" t="str">
        <f t="shared" ca="1" si="59"/>
        <v/>
      </c>
      <c r="CM22" s="8" t="str">
        <f t="shared" ca="1" si="59"/>
        <v/>
      </c>
      <c r="CN22" s="8" t="str">
        <f t="shared" ca="1" si="59"/>
        <v/>
      </c>
      <c r="CO22" s="8" t="str">
        <f t="shared" ca="1" si="59"/>
        <v/>
      </c>
      <c r="CP22" s="8" t="str">
        <f t="shared" ca="1" si="59"/>
        <v/>
      </c>
      <c r="CQ22" s="8" t="str">
        <f t="shared" ca="1" si="59"/>
        <v/>
      </c>
      <c r="CR22" s="8" t="str">
        <f t="shared" ca="1" si="59"/>
        <v/>
      </c>
      <c r="CS22" s="8" t="str">
        <f t="shared" ca="1" si="59"/>
        <v/>
      </c>
      <c r="CT22" s="8" t="str">
        <f t="shared" ca="1" si="59"/>
        <v/>
      </c>
      <c r="CU22" s="8" t="str">
        <f t="shared" ca="1" si="59"/>
        <v/>
      </c>
      <c r="CV22" s="8" t="str">
        <f t="shared" ca="1" si="59"/>
        <v/>
      </c>
      <c r="CW22" s="8" t="str">
        <f t="shared" ca="1" si="59"/>
        <v/>
      </c>
      <c r="CX22" s="8" t="str">
        <f t="shared" ca="1" si="59"/>
        <v/>
      </c>
      <c r="CY22" s="8" t="str">
        <f t="shared" ca="1" si="59"/>
        <v/>
      </c>
      <c r="CZ22" s="8" t="str">
        <f t="shared" ca="1" si="59"/>
        <v/>
      </c>
      <c r="DA22" s="8" t="str">
        <f t="shared" ca="1" si="59"/>
        <v/>
      </c>
      <c r="DB22" s="8" t="str">
        <f t="shared" ca="1" si="59"/>
        <v/>
      </c>
      <c r="DC22" s="8" t="str">
        <f t="shared" ca="1" si="59"/>
        <v/>
      </c>
      <c r="DD22" s="8" t="str">
        <f t="shared" ca="1" si="59"/>
        <v/>
      </c>
      <c r="DE22" s="8" t="str">
        <f t="shared" ca="1" si="59"/>
        <v/>
      </c>
      <c r="DF22" s="8" t="str">
        <f t="shared" ca="1" si="59"/>
        <v/>
      </c>
      <c r="DG22" s="8" t="str">
        <f t="shared" ca="1" si="59"/>
        <v/>
      </c>
      <c r="DH22" s="8" t="str">
        <f t="shared" ca="1" si="59"/>
        <v/>
      </c>
      <c r="DI22" s="8" t="str">
        <f t="shared" ca="1" si="59"/>
        <v/>
      </c>
      <c r="DJ22" s="8" t="str">
        <f t="shared" ca="1" si="59"/>
        <v/>
      </c>
      <c r="DK22" s="8" t="str">
        <f t="shared" ca="1" si="59"/>
        <v/>
      </c>
      <c r="DL22" s="8" t="str">
        <f t="shared" ca="1" si="59"/>
        <v/>
      </c>
      <c r="DM22" s="8" t="str">
        <f t="shared" ca="1" si="59"/>
        <v/>
      </c>
      <c r="DN22" s="8" t="str">
        <f t="shared" ca="1" si="59"/>
        <v/>
      </c>
      <c r="DO22" s="8" t="str">
        <f t="shared" ca="1" si="59"/>
        <v/>
      </c>
      <c r="DP22" s="8" t="str">
        <f t="shared" ca="1" si="59"/>
        <v/>
      </c>
      <c r="DQ22" s="8" t="str">
        <f t="shared" ca="1" si="59"/>
        <v/>
      </c>
      <c r="DR22" s="8" t="str">
        <f t="shared" ca="1" si="59"/>
        <v/>
      </c>
      <c r="DS22" s="12">
        <f t="shared" ref="DS22:DS25" ca="1" si="60">AVERAGE(OFFSET($B22,0,Inicio-1,1,Amplitud))</f>
        <v>2.0809369890506042E-2</v>
      </c>
      <c r="DT22" s="12">
        <f t="shared" ref="DT22:DT25" ca="1" si="61">MEDIAN(OFFSET($B22,0,Inicio-1,1,Amplitud))</f>
        <v>1.6671660915855258E-2</v>
      </c>
      <c r="DU22" s="13">
        <f t="shared" ref="DU22:DU25" ca="1" si="62">VARP(OFFSET($B22,0,Inicio-1,1,Amplitud))</f>
        <v>3.6655491474011574E-4</v>
      </c>
      <c r="DV22" s="15">
        <f ca="1">SQRT(DU22)</f>
        <v>1.9145623905741899E-2</v>
      </c>
      <c r="DW22" s="14" t="str">
        <f t="shared" ref="DW22:DW25" ca="1" si="63">CONCATENATE("[ ",TEXT(DS22-2*DV22,"0,00%")," ; ",TEXT(DS22+2*DV22,"0,00%")," ]")</f>
        <v>[ -1,75% ; 5,91% ]</v>
      </c>
      <c r="DX22" s="15">
        <f t="shared" ref="DX22:DX25" ca="1" si="64">DV22*DX$12</f>
        <v>2.4506398599349631E-2</v>
      </c>
      <c r="GI22" s="1"/>
    </row>
    <row r="23" spans="1:191" x14ac:dyDescent="0.25">
      <c r="A23" s="4">
        <v>2</v>
      </c>
      <c r="B23" s="8">
        <f t="shared" ca="1" si="57"/>
        <v>1.3105123404215657E-3</v>
      </c>
      <c r="C23" s="8">
        <f t="shared" ca="1" si="57"/>
        <v>2.8366972630605725E-2</v>
      </c>
      <c r="D23" s="8">
        <f t="shared" ca="1" si="57"/>
        <v>6.5488346457851065E-2</v>
      </c>
      <c r="E23" s="8">
        <f t="shared" ca="1" si="57"/>
        <v>3.3763906627329643E-2</v>
      </c>
      <c r="F23" s="8">
        <f t="shared" ca="1" si="57"/>
        <v>7.479515881266896E-2</v>
      </c>
      <c r="G23" s="8">
        <f t="shared" ca="1" si="57"/>
        <v>0.12096129199609051</v>
      </c>
      <c r="H23" s="8">
        <f t="shared" ca="1" si="57"/>
        <v>2.0790918646884871E-2</v>
      </c>
      <c r="I23" s="8">
        <f t="shared" ca="1" si="57"/>
        <v>0.1708561285512824</v>
      </c>
      <c r="J23" s="8">
        <f t="shared" ca="1" si="57"/>
        <v>4.4038619996308648E-2</v>
      </c>
      <c r="K23" s="8">
        <f t="shared" ca="1" si="57"/>
        <v>7.2629003424299121E-2</v>
      </c>
      <c r="L23" s="8">
        <f t="shared" ca="1" si="57"/>
        <v>2.2245691053801586E-2</v>
      </c>
      <c r="M23" s="8">
        <f t="shared" ca="1" si="57"/>
        <v>4.3506542093091349E-2</v>
      </c>
      <c r="N23" s="8">
        <f t="shared" ca="1" si="57"/>
        <v>1.333338301384579E-2</v>
      </c>
      <c r="O23" s="8">
        <f t="shared" ca="1" si="57"/>
        <v>2.8985728858699211E-3</v>
      </c>
      <c r="P23" s="8">
        <f t="shared" ca="1" si="57"/>
        <v>8.1066629900673703E-2</v>
      </c>
      <c r="Q23" s="8">
        <f t="shared" ca="1" si="57"/>
        <v>0.13551563133539091</v>
      </c>
      <c r="R23" s="8">
        <f t="shared" ca="1" si="57"/>
        <v>0.1653735330400079</v>
      </c>
      <c r="S23" s="8">
        <f t="shared" ca="1" si="57"/>
        <v>0.10568694263625034</v>
      </c>
      <c r="T23" s="8">
        <f t="shared" ca="1" si="57"/>
        <v>0.14524390936293818</v>
      </c>
      <c r="U23" s="8">
        <f t="shared" ca="1" si="57"/>
        <v>0.26231779507134256</v>
      </c>
      <c r="V23" s="8">
        <f t="shared" ca="1" si="57"/>
        <v>7.9609919227678794E-2</v>
      </c>
      <c r="W23" s="8">
        <f t="shared" ca="1" si="57"/>
        <v>0.27659233013158935</v>
      </c>
      <c r="X23" s="8">
        <f t="shared" ca="1" si="57"/>
        <v>0.13233505886603725</v>
      </c>
      <c r="Y23" s="8">
        <f t="shared" ca="1" si="57"/>
        <v>1.6578100117683681E-2</v>
      </c>
      <c r="Z23" s="8">
        <f t="shared" ca="1" si="57"/>
        <v>6.4142710452276264E-3</v>
      </c>
      <c r="AA23" s="8">
        <f t="shared" ca="1" si="57"/>
        <v>2.455203865240585E-2</v>
      </c>
      <c r="AB23" s="8">
        <f t="shared" ca="1" si="57"/>
        <v>5.4720937478744291E-2</v>
      </c>
      <c r="AC23" s="8">
        <f t="shared" ca="1" si="57"/>
        <v>1.2642798122433074E-2</v>
      </c>
      <c r="AD23" s="8">
        <f t="shared" ca="1" si="57"/>
        <v>1.9184706029389265E-3</v>
      </c>
      <c r="AE23" s="8">
        <f t="shared" ca="1" si="57"/>
        <v>1.8548991260890269E-2</v>
      </c>
      <c r="AF23" s="8">
        <f t="shared" ca="1" si="57"/>
        <v>7.8449038785130987E-2</v>
      </c>
      <c r="AG23" s="8">
        <f t="shared" ca="1" si="57"/>
        <v>3.1541918551985071E-2</v>
      </c>
      <c r="AH23" s="8">
        <f t="shared" ca="1" si="57"/>
        <v>2.8785052225768659E-2</v>
      </c>
      <c r="AI23" s="8">
        <f t="shared" ca="1" si="57"/>
        <v>4.9564586455725923E-3</v>
      </c>
      <c r="AJ23" s="8">
        <f t="shared" ca="1" si="57"/>
        <v>5.0442769304945845E-3</v>
      </c>
      <c r="AK23" s="8">
        <f t="shared" ca="1" si="57"/>
        <v>8.6368351920498299E-3</v>
      </c>
      <c r="AL23" s="8">
        <f t="shared" ca="1" si="57"/>
        <v>3.6561182550936655E-2</v>
      </c>
      <c r="AM23" s="8">
        <f t="shared" ca="1" si="57"/>
        <v>6.6268519461950115E-2</v>
      </c>
      <c r="AN23" s="8">
        <f t="shared" ca="1" si="57"/>
        <v>2.2733733988024696E-2</v>
      </c>
      <c r="AO23" s="8">
        <f t="shared" ca="1" si="57"/>
        <v>4.2486128331999051E-2</v>
      </c>
      <c r="AP23" s="8">
        <f t="shared" ca="1" si="57"/>
        <v>4.507700399256831E-2</v>
      </c>
      <c r="AQ23" s="8">
        <f t="shared" ca="1" si="57"/>
        <v>2.7591195461196039E-2</v>
      </c>
      <c r="AR23" s="8">
        <f t="shared" ca="1" si="57"/>
        <v>5.394838348410147E-3</v>
      </c>
      <c r="AS23" s="8">
        <f t="shared" ca="1" si="57"/>
        <v>1.0238475506330058E-4</v>
      </c>
      <c r="AT23" s="8">
        <f t="shared" ca="1" si="57"/>
        <v>3.5016054202174907E-2</v>
      </c>
      <c r="AU23" s="8">
        <f t="shared" ca="1" si="57"/>
        <v>4.096931863246156E-2</v>
      </c>
      <c r="AV23" s="8">
        <f t="shared" ca="1" si="57"/>
        <v>4.8383184596682671E-2</v>
      </c>
      <c r="AW23" s="8">
        <f t="shared" ca="1" si="57"/>
        <v>5.098087012336272E-3</v>
      </c>
      <c r="AX23" s="8">
        <f t="shared" ca="1" si="57"/>
        <v>1.1892905548535504E-2</v>
      </c>
      <c r="AY23" s="8">
        <f t="shared" ca="1" si="57"/>
        <v>1.3943228128557861E-2</v>
      </c>
      <c r="AZ23" s="8">
        <f t="shared" ca="1" si="57"/>
        <v>4.5699648277233829E-2</v>
      </c>
      <c r="BA23" s="8">
        <f t="shared" ca="1" si="57"/>
        <v>7.176475126984494E-3</v>
      </c>
      <c r="BB23" s="8">
        <f t="shared" ca="1" si="57"/>
        <v>2.5956958286770249E-2</v>
      </c>
      <c r="BC23" s="8">
        <f t="shared" ca="1" si="57"/>
        <v>3.8877339370701369E-2</v>
      </c>
      <c r="BD23" s="8">
        <f t="shared" ca="1" si="57"/>
        <v>3.280074209516104E-2</v>
      </c>
      <c r="BE23" s="8">
        <f t="shared" ca="1" si="57"/>
        <v>2.3109367185644047E-2</v>
      </c>
      <c r="BF23" s="8">
        <f t="shared" ca="1" si="57"/>
        <v>4.0328436025472536E-2</v>
      </c>
      <c r="BG23" s="8">
        <f t="shared" ca="1" si="57"/>
        <v>2.760760597698475E-2</v>
      </c>
      <c r="BH23" s="8">
        <f t="shared" ca="1" si="57"/>
        <v>3.8174013280457553E-3</v>
      </c>
      <c r="BI23" s="8">
        <f t="shared" ca="1" si="57"/>
        <v>6.2357095761202963E-3</v>
      </c>
      <c r="BJ23" s="8">
        <f t="shared" ca="1" si="57"/>
        <v>4.1027772890399272E-2</v>
      </c>
      <c r="BK23" s="8">
        <f t="shared" ca="1" si="57"/>
        <v>7.0325394153112453E-2</v>
      </c>
      <c r="BL23" s="8">
        <f t="shared" ca="1" si="57"/>
        <v>8.5957712327076052E-3</v>
      </c>
      <c r="BM23" s="8">
        <f t="shared" ca="1" si="57"/>
        <v>3.0476156029411783E-2</v>
      </c>
      <c r="BN23" s="8">
        <f t="shared" ca="1" si="58"/>
        <v>8.4796583020831373E-2</v>
      </c>
      <c r="BO23" s="8">
        <f t="shared" ca="1" si="58"/>
        <v>0.154246273462878</v>
      </c>
      <c r="BP23" s="8">
        <f t="shared" ca="1" si="58"/>
        <v>4.7161023999446772E-2</v>
      </c>
      <c r="BQ23" s="8" t="str">
        <f t="shared" ca="1" si="58"/>
        <v/>
      </c>
      <c r="BR23" s="8" t="str">
        <f t="shared" ca="1" si="58"/>
        <v/>
      </c>
      <c r="BS23" s="8" t="str">
        <f t="shared" ca="1" si="58"/>
        <v/>
      </c>
      <c r="BT23" s="8" t="str">
        <f t="shared" ca="1" si="58"/>
        <v/>
      </c>
      <c r="BU23" s="8" t="str">
        <f t="shared" ca="1" si="58"/>
        <v/>
      </c>
      <c r="BV23" s="8" t="str">
        <f t="shared" ref="BV23:DR23" ca="1" si="65">IF(BV14="","",ABS(BV14))</f>
        <v/>
      </c>
      <c r="BW23" s="8" t="str">
        <f t="shared" ca="1" si="65"/>
        <v/>
      </c>
      <c r="BX23" s="8" t="str">
        <f t="shared" ca="1" si="65"/>
        <v/>
      </c>
      <c r="BY23" s="8" t="str">
        <f t="shared" ca="1" si="65"/>
        <v/>
      </c>
      <c r="BZ23" s="8" t="str">
        <f t="shared" ca="1" si="65"/>
        <v/>
      </c>
      <c r="CA23" s="8" t="str">
        <f t="shared" ca="1" si="65"/>
        <v/>
      </c>
      <c r="CB23" s="8" t="str">
        <f t="shared" ca="1" si="65"/>
        <v/>
      </c>
      <c r="CC23" s="8" t="str">
        <f t="shared" ca="1" si="65"/>
        <v/>
      </c>
      <c r="CD23" s="8" t="str">
        <f t="shared" ca="1" si="65"/>
        <v/>
      </c>
      <c r="CE23" s="8" t="str">
        <f t="shared" ca="1" si="65"/>
        <v/>
      </c>
      <c r="CF23" s="8" t="str">
        <f t="shared" ca="1" si="65"/>
        <v/>
      </c>
      <c r="CG23" s="8" t="str">
        <f t="shared" ca="1" si="65"/>
        <v/>
      </c>
      <c r="CH23" s="8" t="str">
        <f t="shared" ca="1" si="65"/>
        <v/>
      </c>
      <c r="CI23" s="8" t="str">
        <f t="shared" ca="1" si="65"/>
        <v/>
      </c>
      <c r="CJ23" s="8" t="str">
        <f t="shared" ca="1" si="65"/>
        <v/>
      </c>
      <c r="CK23" s="8" t="str">
        <f t="shared" ca="1" si="65"/>
        <v/>
      </c>
      <c r="CL23" s="8" t="str">
        <f t="shared" ca="1" si="65"/>
        <v/>
      </c>
      <c r="CM23" s="8" t="str">
        <f t="shared" ca="1" si="65"/>
        <v/>
      </c>
      <c r="CN23" s="8" t="str">
        <f t="shared" ca="1" si="65"/>
        <v/>
      </c>
      <c r="CO23" s="8" t="str">
        <f t="shared" ca="1" si="65"/>
        <v/>
      </c>
      <c r="CP23" s="8" t="str">
        <f t="shared" ca="1" si="65"/>
        <v/>
      </c>
      <c r="CQ23" s="8" t="str">
        <f t="shared" ca="1" si="65"/>
        <v/>
      </c>
      <c r="CR23" s="8" t="str">
        <f t="shared" ca="1" si="65"/>
        <v/>
      </c>
      <c r="CS23" s="8" t="str">
        <f t="shared" ca="1" si="65"/>
        <v/>
      </c>
      <c r="CT23" s="8" t="str">
        <f t="shared" ca="1" si="65"/>
        <v/>
      </c>
      <c r="CU23" s="8" t="str">
        <f t="shared" ca="1" si="65"/>
        <v/>
      </c>
      <c r="CV23" s="8" t="str">
        <f t="shared" ca="1" si="65"/>
        <v/>
      </c>
      <c r="CW23" s="8" t="str">
        <f t="shared" ca="1" si="65"/>
        <v/>
      </c>
      <c r="CX23" s="8" t="str">
        <f t="shared" ca="1" si="65"/>
        <v/>
      </c>
      <c r="CY23" s="8" t="str">
        <f t="shared" ca="1" si="65"/>
        <v/>
      </c>
      <c r="CZ23" s="8" t="str">
        <f t="shared" ca="1" si="65"/>
        <v/>
      </c>
      <c r="DA23" s="8" t="str">
        <f t="shared" ca="1" si="65"/>
        <v/>
      </c>
      <c r="DB23" s="8" t="str">
        <f t="shared" ca="1" si="65"/>
        <v/>
      </c>
      <c r="DC23" s="8" t="str">
        <f t="shared" ca="1" si="65"/>
        <v/>
      </c>
      <c r="DD23" s="8" t="str">
        <f t="shared" ca="1" si="65"/>
        <v/>
      </c>
      <c r="DE23" s="8" t="str">
        <f t="shared" ca="1" si="65"/>
        <v/>
      </c>
      <c r="DF23" s="8" t="str">
        <f t="shared" ca="1" si="65"/>
        <v/>
      </c>
      <c r="DG23" s="8" t="str">
        <f t="shared" ca="1" si="65"/>
        <v/>
      </c>
      <c r="DH23" s="8" t="str">
        <f t="shared" ca="1" si="65"/>
        <v/>
      </c>
      <c r="DI23" s="8" t="str">
        <f t="shared" ca="1" si="65"/>
        <v/>
      </c>
      <c r="DJ23" s="8" t="str">
        <f t="shared" ca="1" si="65"/>
        <v/>
      </c>
      <c r="DK23" s="8" t="str">
        <f t="shared" ca="1" si="65"/>
        <v/>
      </c>
      <c r="DL23" s="8" t="str">
        <f t="shared" ca="1" si="65"/>
        <v/>
      </c>
      <c r="DM23" s="8" t="str">
        <f t="shared" ca="1" si="65"/>
        <v/>
      </c>
      <c r="DN23" s="8" t="str">
        <f t="shared" ca="1" si="65"/>
        <v/>
      </c>
      <c r="DO23" s="8" t="str">
        <f t="shared" ca="1" si="65"/>
        <v/>
      </c>
      <c r="DP23" s="8" t="str">
        <f t="shared" ca="1" si="65"/>
        <v/>
      </c>
      <c r="DQ23" s="8" t="str">
        <f t="shared" ca="1" si="65"/>
        <v/>
      </c>
      <c r="DR23" s="8" t="str">
        <f t="shared" ca="1" si="65"/>
        <v/>
      </c>
      <c r="DS23" s="12">
        <f t="shared" ca="1" si="60"/>
        <v>3.5106508016595539E-2</v>
      </c>
      <c r="DT23" s="12">
        <f t="shared" ca="1" si="61"/>
        <v>3.1638449062286411E-2</v>
      </c>
      <c r="DU23" s="13">
        <f t="shared" ca="1" si="62"/>
        <v>9.1281317263768654E-4</v>
      </c>
      <c r="DV23" s="15">
        <f t="shared" ref="DV23:DV25" ca="1" si="66">SQRT(DU23)</f>
        <v>3.0212798159682041E-2</v>
      </c>
      <c r="DW23" s="14" t="str">
        <f t="shared" ca="1" si="63"/>
        <v>[ -2,53% ; 9,55% ]</v>
      </c>
      <c r="DX23" s="15">
        <f t="shared" ca="1" si="64"/>
        <v>3.867238164439301E-2</v>
      </c>
      <c r="GI23" s="1"/>
    </row>
    <row r="24" spans="1:191" x14ac:dyDescent="0.25">
      <c r="A24" s="4">
        <v>3</v>
      </c>
      <c r="B24" s="8">
        <f t="shared" ca="1" si="57"/>
        <v>3.6638809886731183E-2</v>
      </c>
      <c r="C24" s="8">
        <f t="shared" ca="1" si="57"/>
        <v>5.1485723837019437E-2</v>
      </c>
      <c r="D24" s="8">
        <f t="shared" ca="1" si="57"/>
        <v>0.10870337902048366</v>
      </c>
      <c r="E24" s="8">
        <f t="shared" ca="1" si="57"/>
        <v>8.5940732208404924E-2</v>
      </c>
      <c r="F24" s="8">
        <f t="shared" ca="1" si="57"/>
        <v>0.1720895278843606</v>
      </c>
      <c r="G24" s="8">
        <f t="shared" ca="1" si="57"/>
        <v>7.1140995579361821E-2</v>
      </c>
      <c r="H24" s="8">
        <f t="shared" ca="1" si="57"/>
        <v>3.7724753839042946E-2</v>
      </c>
      <c r="I24" s="8">
        <f t="shared" ca="1" si="57"/>
        <v>0.2040027463757681</v>
      </c>
      <c r="J24" s="8">
        <f t="shared" ca="1" si="57"/>
        <v>2.9573668322095403E-2</v>
      </c>
      <c r="K24" s="8">
        <f t="shared" ca="1" si="57"/>
        <v>8.0094731496518135E-2</v>
      </c>
      <c r="L24" s="8">
        <f t="shared" ca="1" si="57"/>
        <v>1.6665791308263511E-2</v>
      </c>
      <c r="M24" s="8">
        <f t="shared" ca="1" si="57"/>
        <v>3.7397228957119277E-2</v>
      </c>
      <c r="N24" s="8">
        <f t="shared" ca="1" si="57"/>
        <v>2.4185475261732647E-2</v>
      </c>
      <c r="O24" s="8">
        <f t="shared" ca="1" si="57"/>
        <v>5.5992351822213737E-2</v>
      </c>
      <c r="P24" s="8">
        <f t="shared" ca="1" si="57"/>
        <v>0.16738704784296676</v>
      </c>
      <c r="Q24" s="8">
        <f t="shared" ca="1" si="57"/>
        <v>0.23267928462318721</v>
      </c>
      <c r="R24" s="8">
        <f t="shared" ca="1" si="57"/>
        <v>0.23108607897868794</v>
      </c>
      <c r="S24" s="8">
        <f t="shared" ca="1" si="57"/>
        <v>0.23817983271982124</v>
      </c>
      <c r="T24" s="8">
        <f t="shared" ca="1" si="57"/>
        <v>0.28146252912843539</v>
      </c>
      <c r="U24" s="8">
        <f t="shared" ca="1" si="57"/>
        <v>0.27469870168800603</v>
      </c>
      <c r="V24" s="8">
        <f t="shared" ca="1" si="57"/>
        <v>1.0255848823663039E-2</v>
      </c>
      <c r="W24" s="8">
        <f t="shared" ca="1" si="57"/>
        <v>0.38724763611659507</v>
      </c>
      <c r="X24" s="8">
        <f t="shared" ca="1" si="57"/>
        <v>0.14025337982789843</v>
      </c>
      <c r="Y24" s="8">
        <f t="shared" ca="1" si="57"/>
        <v>8.4947656063714128E-3</v>
      </c>
      <c r="Z24" s="8">
        <f t="shared" ca="1" si="57"/>
        <v>1.5369110646526796E-2</v>
      </c>
      <c r="AA24" s="8">
        <f t="shared" ca="1" si="57"/>
        <v>4.4176287006402193E-2</v>
      </c>
      <c r="AB24" s="8">
        <f t="shared" ca="1" si="57"/>
        <v>7.380926978446789E-2</v>
      </c>
      <c r="AC24" s="8">
        <f t="shared" ca="1" si="57"/>
        <v>2.4172581928232795E-2</v>
      </c>
      <c r="AD24" s="8">
        <f t="shared" ca="1" si="57"/>
        <v>3.2660633189887323E-2</v>
      </c>
      <c r="AE24" s="8">
        <f t="shared" ca="1" si="57"/>
        <v>4.1380859225013888E-2</v>
      </c>
      <c r="AF24" s="8">
        <f t="shared" ca="1" si="57"/>
        <v>0.10817208730888395</v>
      </c>
      <c r="AG24" s="8">
        <f t="shared" ca="1" si="57"/>
        <v>3.6512884370561771E-2</v>
      </c>
      <c r="AH24" s="8">
        <f t="shared" ca="1" si="57"/>
        <v>3.1289189658393668E-2</v>
      </c>
      <c r="AI24" s="8">
        <f t="shared" ca="1" si="57"/>
        <v>2.154934563305444E-2</v>
      </c>
      <c r="AJ24" s="8">
        <f t="shared" ca="1" si="57"/>
        <v>6.9609875307790059E-3</v>
      </c>
      <c r="AK24" s="8">
        <f t="shared" ca="1" si="57"/>
        <v>4.9247238866430676E-2</v>
      </c>
      <c r="AL24" s="8">
        <f t="shared" ca="1" si="57"/>
        <v>6.4302317518305951E-2</v>
      </c>
      <c r="AM24" s="8">
        <f t="shared" ca="1" si="57"/>
        <v>0.10409554634649765</v>
      </c>
      <c r="AN24" s="8">
        <f t="shared" ca="1" si="57"/>
        <v>5.2540918035309581E-2</v>
      </c>
      <c r="AO24" s="8">
        <f t="shared" ca="1" si="57"/>
        <v>7.6849737653933881E-2</v>
      </c>
      <c r="AP24" s="8">
        <f t="shared" ca="1" si="57"/>
        <v>7.3766516484349509E-2</v>
      </c>
      <c r="AQ24" s="8">
        <f t="shared" ca="1" si="57"/>
        <v>2.8987299347411399E-2</v>
      </c>
      <c r="AR24" s="8">
        <f t="shared" ca="1" si="57"/>
        <v>5.2566931988418109E-3</v>
      </c>
      <c r="AS24" s="8">
        <f t="shared" ca="1" si="57"/>
        <v>1.6081602084722979E-2</v>
      </c>
      <c r="AT24" s="8">
        <f t="shared" ca="1" si="57"/>
        <v>7.9629396320330503E-2</v>
      </c>
      <c r="AU24" s="8">
        <f t="shared" ca="1" si="57"/>
        <v>6.5029900962640941E-2</v>
      </c>
      <c r="AV24" s="8">
        <f t="shared" ca="1" si="57"/>
        <v>4.9420199923559505E-2</v>
      </c>
      <c r="AW24" s="8">
        <f t="shared" ca="1" si="57"/>
        <v>1.277009209106128E-2</v>
      </c>
      <c r="AX24" s="8">
        <f t="shared" ca="1" si="57"/>
        <v>3.4381662361344656E-3</v>
      </c>
      <c r="AY24" s="8">
        <f t="shared" ca="1" si="57"/>
        <v>3.3737623745542455E-2</v>
      </c>
      <c r="AZ24" s="8">
        <f t="shared" ca="1" si="57"/>
        <v>5.043912283624441E-2</v>
      </c>
      <c r="BA24" s="8">
        <f t="shared" ca="1" si="57"/>
        <v>4.3646897404315155E-2</v>
      </c>
      <c r="BB24" s="8">
        <f t="shared" ca="1" si="57"/>
        <v>2.5493014767612232E-2</v>
      </c>
      <c r="BC24" s="8">
        <f t="shared" ca="1" si="57"/>
        <v>2.2986757398473001E-2</v>
      </c>
      <c r="BD24" s="8">
        <f t="shared" ca="1" si="57"/>
        <v>5.8348205162446543E-2</v>
      </c>
      <c r="BE24" s="8">
        <f t="shared" ca="1" si="57"/>
        <v>5.4505047362792824E-3</v>
      </c>
      <c r="BF24" s="8">
        <f t="shared" ca="1" si="57"/>
        <v>5.9565363215445366E-2</v>
      </c>
      <c r="BG24" s="8">
        <f t="shared" ca="1" si="57"/>
        <v>4.3766080773695037E-2</v>
      </c>
      <c r="BH24" s="8">
        <f t="shared" ca="1" si="57"/>
        <v>2.0928848918611687E-2</v>
      </c>
      <c r="BI24" s="8">
        <f t="shared" ca="1" si="57"/>
        <v>2.8550368333181253E-2</v>
      </c>
      <c r="BJ24" s="8">
        <f t="shared" ca="1" si="57"/>
        <v>7.8956919910679435E-2</v>
      </c>
      <c r="BK24" s="8">
        <f t="shared" ca="1" si="57"/>
        <v>5.6965115234562047E-2</v>
      </c>
      <c r="BL24" s="8">
        <f t="shared" ca="1" si="57"/>
        <v>4.4013300142754508E-3</v>
      </c>
      <c r="BM24" s="8">
        <f t="shared" ca="1" si="57"/>
        <v>2.4876313678116047E-2</v>
      </c>
      <c r="BN24" s="8">
        <f t="shared" ca="1" si="58"/>
        <v>0.19205180890482476</v>
      </c>
      <c r="BO24" s="8">
        <f t="shared" ca="1" si="58"/>
        <v>0.14825194907521377</v>
      </c>
      <c r="BP24" s="8" t="str">
        <f t="shared" ca="1" si="58"/>
        <v/>
      </c>
      <c r="BQ24" s="8" t="str">
        <f t="shared" ca="1" si="58"/>
        <v/>
      </c>
      <c r="BR24" s="8" t="str">
        <f t="shared" ca="1" si="58"/>
        <v/>
      </c>
      <c r="BS24" s="8" t="str">
        <f t="shared" ca="1" si="58"/>
        <v/>
      </c>
      <c r="BT24" s="8" t="str">
        <f t="shared" ca="1" si="58"/>
        <v/>
      </c>
      <c r="BU24" s="8" t="str">
        <f t="shared" ca="1" si="58"/>
        <v/>
      </c>
      <c r="BV24" s="8" t="str">
        <f t="shared" ref="BV24:DR24" ca="1" si="67">IF(BV15="","",ABS(BV15))</f>
        <v/>
      </c>
      <c r="BW24" s="8" t="str">
        <f t="shared" ca="1" si="67"/>
        <v/>
      </c>
      <c r="BX24" s="8" t="str">
        <f t="shared" ca="1" si="67"/>
        <v/>
      </c>
      <c r="BY24" s="8" t="str">
        <f t="shared" ca="1" si="67"/>
        <v/>
      </c>
      <c r="BZ24" s="8" t="str">
        <f t="shared" ca="1" si="67"/>
        <v/>
      </c>
      <c r="CA24" s="8" t="str">
        <f t="shared" ca="1" si="67"/>
        <v/>
      </c>
      <c r="CB24" s="8" t="str">
        <f t="shared" ca="1" si="67"/>
        <v/>
      </c>
      <c r="CC24" s="8" t="str">
        <f t="shared" ca="1" si="67"/>
        <v/>
      </c>
      <c r="CD24" s="8" t="str">
        <f t="shared" ca="1" si="67"/>
        <v/>
      </c>
      <c r="CE24" s="8" t="str">
        <f t="shared" ca="1" si="67"/>
        <v/>
      </c>
      <c r="CF24" s="8" t="str">
        <f t="shared" ca="1" si="67"/>
        <v/>
      </c>
      <c r="CG24" s="8" t="str">
        <f t="shared" ca="1" si="67"/>
        <v/>
      </c>
      <c r="CH24" s="8" t="str">
        <f t="shared" ca="1" si="67"/>
        <v/>
      </c>
      <c r="CI24" s="8" t="str">
        <f t="shared" ca="1" si="67"/>
        <v/>
      </c>
      <c r="CJ24" s="8" t="str">
        <f t="shared" ca="1" si="67"/>
        <v/>
      </c>
      <c r="CK24" s="8" t="str">
        <f t="shared" ca="1" si="67"/>
        <v/>
      </c>
      <c r="CL24" s="8" t="str">
        <f t="shared" ca="1" si="67"/>
        <v/>
      </c>
      <c r="CM24" s="8" t="str">
        <f t="shared" ca="1" si="67"/>
        <v/>
      </c>
      <c r="CN24" s="8" t="str">
        <f t="shared" ca="1" si="67"/>
        <v/>
      </c>
      <c r="CO24" s="8" t="str">
        <f t="shared" ca="1" si="67"/>
        <v/>
      </c>
      <c r="CP24" s="8" t="str">
        <f t="shared" ca="1" si="67"/>
        <v/>
      </c>
      <c r="CQ24" s="8" t="str">
        <f t="shared" ca="1" si="67"/>
        <v/>
      </c>
      <c r="CR24" s="8" t="str">
        <f t="shared" ca="1" si="67"/>
        <v/>
      </c>
      <c r="CS24" s="8" t="str">
        <f t="shared" ca="1" si="67"/>
        <v/>
      </c>
      <c r="CT24" s="8" t="str">
        <f t="shared" ca="1" si="67"/>
        <v/>
      </c>
      <c r="CU24" s="8" t="str">
        <f t="shared" ca="1" si="67"/>
        <v/>
      </c>
      <c r="CV24" s="8" t="str">
        <f t="shared" ca="1" si="67"/>
        <v/>
      </c>
      <c r="CW24" s="8" t="str">
        <f t="shared" ca="1" si="67"/>
        <v/>
      </c>
      <c r="CX24" s="8" t="str">
        <f t="shared" ca="1" si="67"/>
        <v/>
      </c>
      <c r="CY24" s="8" t="str">
        <f t="shared" ca="1" si="67"/>
        <v/>
      </c>
      <c r="CZ24" s="8" t="str">
        <f t="shared" ca="1" si="67"/>
        <v/>
      </c>
      <c r="DA24" s="8" t="str">
        <f t="shared" ca="1" si="67"/>
        <v/>
      </c>
      <c r="DB24" s="8" t="str">
        <f t="shared" ca="1" si="67"/>
        <v/>
      </c>
      <c r="DC24" s="8" t="str">
        <f t="shared" ca="1" si="67"/>
        <v/>
      </c>
      <c r="DD24" s="8" t="str">
        <f t="shared" ca="1" si="67"/>
        <v/>
      </c>
      <c r="DE24" s="8" t="str">
        <f t="shared" ca="1" si="67"/>
        <v/>
      </c>
      <c r="DF24" s="8" t="str">
        <f t="shared" ca="1" si="67"/>
        <v/>
      </c>
      <c r="DG24" s="8" t="str">
        <f t="shared" ca="1" si="67"/>
        <v/>
      </c>
      <c r="DH24" s="8" t="str">
        <f t="shared" ca="1" si="67"/>
        <v/>
      </c>
      <c r="DI24" s="8" t="str">
        <f t="shared" ca="1" si="67"/>
        <v/>
      </c>
      <c r="DJ24" s="8" t="str">
        <f t="shared" ca="1" si="67"/>
        <v/>
      </c>
      <c r="DK24" s="8" t="str">
        <f t="shared" ca="1" si="67"/>
        <v/>
      </c>
      <c r="DL24" s="8" t="str">
        <f t="shared" ca="1" si="67"/>
        <v/>
      </c>
      <c r="DM24" s="8" t="str">
        <f t="shared" ca="1" si="67"/>
        <v/>
      </c>
      <c r="DN24" s="8" t="str">
        <f t="shared" ca="1" si="67"/>
        <v/>
      </c>
      <c r="DO24" s="8" t="str">
        <f t="shared" ca="1" si="67"/>
        <v/>
      </c>
      <c r="DP24" s="8" t="str">
        <f t="shared" ca="1" si="67"/>
        <v/>
      </c>
      <c r="DQ24" s="8" t="str">
        <f t="shared" ca="1" si="67"/>
        <v/>
      </c>
      <c r="DR24" s="8" t="str">
        <f t="shared" ca="1" si="67"/>
        <v/>
      </c>
      <c r="DS24" s="12">
        <f t="shared" ca="1" si="60"/>
        <v>5.0561458372217642E-2</v>
      </c>
      <c r="DT24" s="12">
        <f t="shared" ca="1" si="61"/>
        <v>4.3766080773695037E-2</v>
      </c>
      <c r="DU24" s="13">
        <f t="shared" ca="1" si="62"/>
        <v>1.7591871971795526E-3</v>
      </c>
      <c r="DV24" s="15">
        <f t="shared" ca="1" si="66"/>
        <v>4.1942665594589389E-2</v>
      </c>
      <c r="DW24" s="14" t="str">
        <f t="shared" ca="1" si="63"/>
        <v>[ -3,33% ; 13,44% ]</v>
      </c>
      <c r="DX24" s="15">
        <f t="shared" ca="1" si="64"/>
        <v>5.3686611961074417E-2</v>
      </c>
      <c r="GI24" s="1"/>
    </row>
    <row r="25" spans="1:191" x14ac:dyDescent="0.25">
      <c r="A25" s="4">
        <v>4</v>
      </c>
      <c r="B25" s="8">
        <f t="shared" ca="1" si="57"/>
        <v>5.8566055532385697E-2</v>
      </c>
      <c r="C25" s="8">
        <f t="shared" ca="1" si="57"/>
        <v>9.5503511543256314E-2</v>
      </c>
      <c r="D25" s="8">
        <f t="shared" ca="1" si="57"/>
        <v>0.16159008032819044</v>
      </c>
      <c r="E25" s="8">
        <f t="shared" ca="1" si="57"/>
        <v>0.18809563694006681</v>
      </c>
      <c r="F25" s="8">
        <f t="shared" ca="1" si="57"/>
        <v>0.1240111424732564</v>
      </c>
      <c r="G25" s="8">
        <f t="shared" ca="1" si="57"/>
        <v>5.1849958285481446E-3</v>
      </c>
      <c r="H25" s="8">
        <f t="shared" ca="1" si="57"/>
        <v>4.2015460590445586E-2</v>
      </c>
      <c r="I25" s="8">
        <f t="shared" ca="1" si="57"/>
        <v>0.20851548314609303</v>
      </c>
      <c r="J25" s="8">
        <f t="shared" ca="1" si="57"/>
        <v>4.9062006920475465E-2</v>
      </c>
      <c r="K25" s="8">
        <f t="shared" ca="1" si="57"/>
        <v>8.0529085705169701E-2</v>
      </c>
      <c r="L25" s="8">
        <f t="shared" ca="1" si="57"/>
        <v>2.3428624951019605E-2</v>
      </c>
      <c r="M25" s="8">
        <f t="shared" ca="1" si="57"/>
        <v>6.9943193825646399E-2</v>
      </c>
      <c r="N25" s="8">
        <f t="shared" ca="1" si="57"/>
        <v>7.8384390907999646E-2</v>
      </c>
      <c r="O25" s="8">
        <f t="shared" ca="1" si="57"/>
        <v>0.14746784597821716</v>
      </c>
      <c r="P25" s="8">
        <f t="shared" ca="1" si="57"/>
        <v>0.26666823515598814</v>
      </c>
      <c r="Q25" s="8">
        <f t="shared" ca="1" si="57"/>
        <v>0.2929393498466758</v>
      </c>
      <c r="R25" s="8">
        <f t="shared" ca="1" si="57"/>
        <v>0.35542645681975304</v>
      </c>
      <c r="S25" s="8">
        <f t="shared" ca="1" si="57"/>
        <v>0.36844708645232804</v>
      </c>
      <c r="T25" s="8">
        <f t="shared" ca="1" si="57"/>
        <v>0.29506994168000655</v>
      </c>
      <c r="U25" s="8">
        <f t="shared" ca="1" si="57"/>
        <v>0.2496368020322095</v>
      </c>
      <c r="V25" s="8">
        <f t="shared" ca="1" si="57"/>
        <v>7.428204378400638E-3</v>
      </c>
      <c r="W25" s="8">
        <f t="shared" ca="1" si="57"/>
        <v>0.46298306939676515</v>
      </c>
      <c r="X25" s="8">
        <f t="shared" ca="1" si="57"/>
        <v>0.15490842995777054</v>
      </c>
      <c r="Y25" s="8">
        <f t="shared" ca="1" si="57"/>
        <v>3.2167505947860997E-2</v>
      </c>
      <c r="Z25" s="8">
        <f t="shared" ca="1" si="57"/>
        <v>5.5711625251870789E-2</v>
      </c>
      <c r="AA25" s="8">
        <f t="shared" ca="1" si="57"/>
        <v>6.0026206648118308E-2</v>
      </c>
      <c r="AB25" s="8">
        <f t="shared" ca="1" si="57"/>
        <v>9.5387967923316275E-2</v>
      </c>
      <c r="AC25" s="8">
        <f t="shared" ca="1" si="57"/>
        <v>2.964355754407344E-3</v>
      </c>
      <c r="AD25" s="8">
        <f t="shared" ca="1" si="57"/>
        <v>6.0889238341631069E-2</v>
      </c>
      <c r="AE25" s="8">
        <f t="shared" ca="1" si="57"/>
        <v>7.9047320328281323E-2</v>
      </c>
      <c r="AF25" s="8">
        <f t="shared" ca="1" si="57"/>
        <v>0.12715285757980921</v>
      </c>
      <c r="AG25" s="8">
        <f t="shared" ca="1" si="57"/>
        <v>4.753520257168109E-2</v>
      </c>
      <c r="AH25" s="8">
        <f t="shared" ca="1" si="57"/>
        <v>3.1771063289640522E-2</v>
      </c>
      <c r="AI25" s="8">
        <f t="shared" ca="1" si="57"/>
        <v>1.6945324778550042E-2</v>
      </c>
      <c r="AJ25" s="8">
        <f t="shared" ca="1" si="57"/>
        <v>5.0955191188232662E-2</v>
      </c>
      <c r="AK25" s="8">
        <f t="shared" ca="1" si="57"/>
        <v>7.5846731794215749E-2</v>
      </c>
      <c r="AL25" s="8">
        <f t="shared" ca="1" si="57"/>
        <v>8.8962464996561019E-2</v>
      </c>
      <c r="AM25" s="8">
        <f t="shared" ca="1" si="57"/>
        <v>0.14679230060065462</v>
      </c>
      <c r="AN25" s="8">
        <f t="shared" ca="1" si="57"/>
        <v>9.229030529647031E-2</v>
      </c>
      <c r="AO25" s="8">
        <f t="shared" ca="1" si="57"/>
        <v>0.10899037040407933</v>
      </c>
      <c r="AP25" s="8">
        <f t="shared" ca="1" si="57"/>
        <v>7.2469827196972592E-2</v>
      </c>
      <c r="AQ25" s="8">
        <f t="shared" ca="1" si="57"/>
        <v>4.6053320018190957E-2</v>
      </c>
      <c r="AR25" s="8">
        <f t="shared" ca="1" si="57"/>
        <v>1.8657742037436753E-2</v>
      </c>
      <c r="AS25" s="8">
        <f t="shared" ca="1" si="57"/>
        <v>5.1652968543894673E-2</v>
      </c>
      <c r="AT25" s="8">
        <f t="shared" ca="1" si="57"/>
        <v>0.10354802055703272</v>
      </c>
      <c r="AU25" s="8">
        <f t="shared" ca="1" si="57"/>
        <v>7.4229029852149964E-2</v>
      </c>
      <c r="AV25" s="8">
        <f t="shared" ca="1" si="57"/>
        <v>5.1194819638242572E-2</v>
      </c>
      <c r="AW25" s="8">
        <f t="shared" ca="1" si="57"/>
        <v>6.0135473492719527E-3</v>
      </c>
      <c r="AX25" s="8">
        <f t="shared" ca="1" si="57"/>
        <v>2.3758054110680105E-2</v>
      </c>
      <c r="AY25" s="8">
        <f t="shared" ca="1" si="57"/>
        <v>4.1208980388525607E-2</v>
      </c>
      <c r="AZ25" s="8">
        <f t="shared" ca="1" si="57"/>
        <v>9.6278966723201354E-2</v>
      </c>
      <c r="BA25" s="8">
        <f t="shared" ca="1" si="57"/>
        <v>5.2047996735827162E-2</v>
      </c>
      <c r="BB25" s="8">
        <f t="shared" ca="1" si="57"/>
        <v>1.4843499140639649E-2</v>
      </c>
      <c r="BC25" s="8">
        <f t="shared" ca="1" si="57"/>
        <v>2.6768115920956514E-2</v>
      </c>
      <c r="BD25" s="8">
        <f t="shared" ca="1" si="57"/>
        <v>2.9261434016473964E-2</v>
      </c>
      <c r="BE25" s="8">
        <f t="shared" ca="1" si="57"/>
        <v>7.5630376060276117E-3</v>
      </c>
      <c r="BF25" s="8">
        <f t="shared" ca="1" si="57"/>
        <v>6.5344960181065614E-2</v>
      </c>
      <c r="BG25" s="8">
        <f t="shared" ca="1" si="57"/>
        <v>5.0130478848760873E-2</v>
      </c>
      <c r="BH25" s="8">
        <f t="shared" ca="1" si="57"/>
        <v>3.7616322626064291E-2</v>
      </c>
      <c r="BI25" s="8">
        <f t="shared" ca="1" si="57"/>
        <v>5.8421331811950195E-2</v>
      </c>
      <c r="BJ25" s="8">
        <f t="shared" ca="1" si="57"/>
        <v>6.9379676487312802E-2</v>
      </c>
      <c r="BK25" s="8">
        <f t="shared" ca="1" si="57"/>
        <v>6.6407822771044067E-2</v>
      </c>
      <c r="BL25" s="8">
        <f t="shared" ca="1" si="57"/>
        <v>6.3274112997329657E-2</v>
      </c>
      <c r="BM25" s="8">
        <f t="shared" ref="BM25:BU25" ca="1" si="68">IF(BM16="","",ABS(BM16))</f>
        <v>0.13212117345022234</v>
      </c>
      <c r="BN25" s="8">
        <f t="shared" ca="1" si="68"/>
        <v>0.18772080691953608</v>
      </c>
      <c r="BO25" s="8" t="str">
        <f t="shared" ca="1" si="68"/>
        <v/>
      </c>
      <c r="BP25" s="8" t="str">
        <f t="shared" ca="1" si="68"/>
        <v/>
      </c>
      <c r="BQ25" s="8" t="str">
        <f t="shared" ca="1" si="68"/>
        <v/>
      </c>
      <c r="BR25" s="8" t="str">
        <f t="shared" ca="1" si="68"/>
        <v/>
      </c>
      <c r="BS25" s="8" t="str">
        <f t="shared" ca="1" si="68"/>
        <v/>
      </c>
      <c r="BT25" s="8" t="str">
        <f t="shared" ca="1" si="68"/>
        <v/>
      </c>
      <c r="BU25" s="8" t="str">
        <f t="shared" ca="1" si="68"/>
        <v/>
      </c>
      <c r="BV25" s="8" t="str">
        <f t="shared" ref="BV25:DR25" ca="1" si="69">IF(BV16="","",ABS(BV16))</f>
        <v/>
      </c>
      <c r="BW25" s="8" t="str">
        <f t="shared" ca="1" si="69"/>
        <v/>
      </c>
      <c r="BX25" s="8" t="str">
        <f t="shared" ca="1" si="69"/>
        <v/>
      </c>
      <c r="BY25" s="8" t="str">
        <f t="shared" ca="1" si="69"/>
        <v/>
      </c>
      <c r="BZ25" s="8" t="str">
        <f t="shared" ca="1" si="69"/>
        <v/>
      </c>
      <c r="CA25" s="8" t="str">
        <f t="shared" ca="1" si="69"/>
        <v/>
      </c>
      <c r="CB25" s="8" t="str">
        <f t="shared" ca="1" si="69"/>
        <v/>
      </c>
      <c r="CC25" s="8" t="str">
        <f t="shared" ca="1" si="69"/>
        <v/>
      </c>
      <c r="CD25" s="8" t="str">
        <f t="shared" ca="1" si="69"/>
        <v/>
      </c>
      <c r="CE25" s="8" t="str">
        <f t="shared" ca="1" si="69"/>
        <v/>
      </c>
      <c r="CF25" s="8" t="str">
        <f t="shared" ca="1" si="69"/>
        <v/>
      </c>
      <c r="CG25" s="8" t="str">
        <f t="shared" ca="1" si="69"/>
        <v/>
      </c>
      <c r="CH25" s="8" t="str">
        <f t="shared" ca="1" si="69"/>
        <v/>
      </c>
      <c r="CI25" s="8" t="str">
        <f t="shared" ca="1" si="69"/>
        <v/>
      </c>
      <c r="CJ25" s="8" t="str">
        <f t="shared" ca="1" si="69"/>
        <v/>
      </c>
      <c r="CK25" s="8" t="str">
        <f t="shared" ca="1" si="69"/>
        <v/>
      </c>
      <c r="CL25" s="8" t="str">
        <f t="shared" ca="1" si="69"/>
        <v/>
      </c>
      <c r="CM25" s="8" t="str">
        <f t="shared" ca="1" si="69"/>
        <v/>
      </c>
      <c r="CN25" s="8" t="str">
        <f t="shared" ca="1" si="69"/>
        <v/>
      </c>
      <c r="CO25" s="8" t="str">
        <f t="shared" ca="1" si="69"/>
        <v/>
      </c>
      <c r="CP25" s="8" t="str">
        <f t="shared" ca="1" si="69"/>
        <v/>
      </c>
      <c r="CQ25" s="8" t="str">
        <f t="shared" ca="1" si="69"/>
        <v/>
      </c>
      <c r="CR25" s="8" t="str">
        <f t="shared" ca="1" si="69"/>
        <v/>
      </c>
      <c r="CS25" s="8" t="str">
        <f t="shared" ca="1" si="69"/>
        <v/>
      </c>
      <c r="CT25" s="8" t="str">
        <f t="shared" ca="1" si="69"/>
        <v/>
      </c>
      <c r="CU25" s="8" t="str">
        <f t="shared" ca="1" si="69"/>
        <v/>
      </c>
      <c r="CV25" s="8" t="str">
        <f t="shared" ca="1" si="69"/>
        <v/>
      </c>
      <c r="CW25" s="8" t="str">
        <f t="shared" ca="1" si="69"/>
        <v/>
      </c>
      <c r="CX25" s="8" t="str">
        <f t="shared" ca="1" si="69"/>
        <v/>
      </c>
      <c r="CY25" s="8" t="str">
        <f t="shared" ca="1" si="69"/>
        <v/>
      </c>
      <c r="CZ25" s="8" t="str">
        <f t="shared" ca="1" si="69"/>
        <v/>
      </c>
      <c r="DA25" s="8" t="str">
        <f t="shared" ca="1" si="69"/>
        <v/>
      </c>
      <c r="DB25" s="8" t="str">
        <f t="shared" ca="1" si="69"/>
        <v/>
      </c>
      <c r="DC25" s="8" t="str">
        <f t="shared" ca="1" si="69"/>
        <v/>
      </c>
      <c r="DD25" s="8" t="str">
        <f t="shared" ca="1" si="69"/>
        <v/>
      </c>
      <c r="DE25" s="8" t="str">
        <f t="shared" ca="1" si="69"/>
        <v/>
      </c>
      <c r="DF25" s="8" t="str">
        <f t="shared" ca="1" si="69"/>
        <v/>
      </c>
      <c r="DG25" s="8" t="str">
        <f t="shared" ca="1" si="69"/>
        <v/>
      </c>
      <c r="DH25" s="8" t="str">
        <f t="shared" ca="1" si="69"/>
        <v/>
      </c>
      <c r="DI25" s="8" t="str">
        <f t="shared" ca="1" si="69"/>
        <v/>
      </c>
      <c r="DJ25" s="8" t="str">
        <f t="shared" ca="1" si="69"/>
        <v/>
      </c>
      <c r="DK25" s="8" t="str">
        <f t="shared" ca="1" si="69"/>
        <v/>
      </c>
      <c r="DL25" s="8" t="str">
        <f t="shared" ca="1" si="69"/>
        <v/>
      </c>
      <c r="DM25" s="8" t="str">
        <f t="shared" ca="1" si="69"/>
        <v/>
      </c>
      <c r="DN25" s="8" t="str">
        <f t="shared" ca="1" si="69"/>
        <v/>
      </c>
      <c r="DO25" s="8" t="str">
        <f t="shared" ca="1" si="69"/>
        <v/>
      </c>
      <c r="DP25" s="8" t="str">
        <f t="shared" ca="1" si="69"/>
        <v/>
      </c>
      <c r="DQ25" s="8" t="str">
        <f t="shared" ca="1" si="69"/>
        <v/>
      </c>
      <c r="DR25" s="8" t="str">
        <f t="shared" ca="1" si="69"/>
        <v/>
      </c>
      <c r="DS25" s="12">
        <f t="shared" ca="1" si="60"/>
        <v>6.407282222250052E-2</v>
      </c>
      <c r="DT25" s="12">
        <f t="shared" ca="1" si="61"/>
        <v>5.5234664273888678E-2</v>
      </c>
      <c r="DU25" s="13">
        <f t="shared" ca="1" si="62"/>
        <v>1.7820804683072698E-3</v>
      </c>
      <c r="DV25" s="15">
        <f t="shared" ca="1" si="66"/>
        <v>4.2214694933248892E-2</v>
      </c>
      <c r="DW25" s="14" t="str">
        <f t="shared" ca="1" si="63"/>
        <v>[ -2,04% ; 14,85% ]</v>
      </c>
      <c r="DX25" s="15">
        <f t="shared" ca="1" si="64"/>
        <v>5.4034809514558579E-2</v>
      </c>
      <c r="GI25" s="1"/>
    </row>
    <row r="26" spans="1:191" hidden="1" x14ac:dyDescent="0.25">
      <c r="A26" s="4"/>
      <c r="B26" s="8"/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CU26" s="8"/>
      <c r="CV26" s="8"/>
      <c r="CW26" s="8"/>
      <c r="CX26" s="8"/>
      <c r="CY26" s="8"/>
      <c r="CZ26" s="8"/>
      <c r="DA26" s="8"/>
      <c r="DB26" s="8"/>
      <c r="DC26" s="8"/>
      <c r="DD26" s="8"/>
      <c r="DE26" s="8"/>
      <c r="DF26" s="8"/>
      <c r="DG26" s="8"/>
      <c r="DH26" s="8"/>
      <c r="DI26" s="8"/>
      <c r="DJ26" s="8"/>
      <c r="DK26" s="8"/>
      <c r="DL26" s="8"/>
      <c r="DM26" s="8"/>
      <c r="DN26" s="8"/>
      <c r="DO26" s="8"/>
      <c r="DP26" s="8"/>
      <c r="DQ26" s="8"/>
      <c r="DR26" s="8"/>
      <c r="DS26" s="12"/>
      <c r="DT26" s="12"/>
      <c r="DU26" s="13"/>
      <c r="DV26" s="15"/>
      <c r="DW26" s="14"/>
      <c r="DX26" s="15"/>
      <c r="GI26" s="1"/>
    </row>
    <row r="27" spans="1:191" hidden="1" x14ac:dyDescent="0.25">
      <c r="A27" s="4"/>
      <c r="B27" s="8"/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CU27" s="8"/>
      <c r="CV27" s="8"/>
      <c r="CW27" s="8"/>
      <c r="CX27" s="8"/>
      <c r="CY27" s="8"/>
      <c r="CZ27" s="8"/>
      <c r="DA27" s="8"/>
      <c r="DB27" s="8"/>
      <c r="DC27" s="8"/>
      <c r="DD27" s="8"/>
      <c r="DE27" s="8"/>
      <c r="DF27" s="8"/>
      <c r="DG27" s="8"/>
      <c r="DH27" s="8"/>
      <c r="DI27" s="8"/>
      <c r="DJ27" s="8"/>
      <c r="DK27" s="8"/>
      <c r="DL27" s="8"/>
      <c r="DM27" s="8"/>
      <c r="DN27" s="8"/>
      <c r="DO27" s="8"/>
      <c r="DP27" s="8"/>
      <c r="DQ27" s="8"/>
      <c r="DR27" s="8"/>
      <c r="DS27" s="12"/>
      <c r="DT27" s="12"/>
      <c r="DU27" s="13"/>
      <c r="DV27" s="15"/>
      <c r="DW27" s="14"/>
      <c r="DX27" s="15"/>
      <c r="GI27" s="1"/>
    </row>
    <row r="28" spans="1:191" hidden="1" x14ac:dyDescent="0.25">
      <c r="A28" s="4"/>
      <c r="B28" s="8"/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CU28" s="8"/>
      <c r="CV28" s="8"/>
      <c r="CW28" s="8"/>
      <c r="CX28" s="8"/>
      <c r="CY28" s="8"/>
      <c r="CZ28" s="8"/>
      <c r="DA28" s="8"/>
      <c r="DB28" s="8"/>
      <c r="DC28" s="8"/>
      <c r="DD28" s="8"/>
      <c r="DE28" s="8"/>
      <c r="DF28" s="8"/>
      <c r="DG28" s="8"/>
      <c r="DH28" s="8"/>
      <c r="DI28" s="8"/>
      <c r="DJ28" s="8"/>
      <c r="DK28" s="8"/>
      <c r="DL28" s="8"/>
      <c r="DM28" s="8"/>
      <c r="DN28" s="8"/>
      <c r="DO28" s="8"/>
      <c r="DP28" s="8"/>
      <c r="DQ28" s="8"/>
      <c r="DR28" s="8"/>
      <c r="DS28" s="12"/>
      <c r="DT28" s="12"/>
      <c r="DU28" s="13"/>
      <c r="DV28" s="15"/>
      <c r="DW28" s="14"/>
      <c r="DX28" s="15"/>
      <c r="GI28" s="1"/>
    </row>
    <row r="29" spans="1:191" hidden="1" x14ac:dyDescent="0.25">
      <c r="A29" s="4"/>
      <c r="B29" s="8"/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CU29" s="8"/>
      <c r="CV29" s="8"/>
      <c r="CW29" s="8"/>
      <c r="CX29" s="8"/>
      <c r="CY29" s="8"/>
      <c r="CZ29" s="8"/>
      <c r="DA29" s="8"/>
      <c r="DB29" s="8"/>
      <c r="DC29" s="8"/>
      <c r="DD29" s="8"/>
      <c r="DE29" s="8"/>
      <c r="DF29" s="8"/>
      <c r="DG29" s="8"/>
      <c r="DH29" s="8"/>
      <c r="DI29" s="8"/>
      <c r="DJ29" s="8"/>
      <c r="DK29" s="8"/>
      <c r="DL29" s="8"/>
      <c r="DM29" s="8"/>
      <c r="DN29" s="8"/>
      <c r="DO29" s="8"/>
      <c r="DP29" s="8"/>
      <c r="DQ29" s="8"/>
      <c r="DR29" s="8"/>
      <c r="DS29" s="12"/>
      <c r="DT29" s="12"/>
      <c r="DU29" s="13"/>
      <c r="DV29" s="15"/>
      <c r="DW29" s="14"/>
      <c r="DX29" s="15"/>
      <c r="GI29" s="1"/>
    </row>
    <row r="30" spans="1:191" x14ac:dyDescent="0.25">
      <c r="A30" s="3" t="s">
        <v>1</v>
      </c>
      <c r="B30" s="7">
        <v>37986</v>
      </c>
      <c r="C30" s="7">
        <v>38077</v>
      </c>
      <c r="D30" s="7">
        <v>38168</v>
      </c>
      <c r="E30" s="7">
        <v>38260</v>
      </c>
      <c r="F30" s="7">
        <v>38352</v>
      </c>
      <c r="G30" s="7">
        <v>38442</v>
      </c>
      <c r="H30" s="7">
        <v>38533</v>
      </c>
      <c r="I30" s="7">
        <v>38625</v>
      </c>
      <c r="J30" s="7">
        <v>38717</v>
      </c>
      <c r="K30" s="7">
        <v>38807</v>
      </c>
      <c r="L30" s="7">
        <v>38898</v>
      </c>
      <c r="M30" s="7">
        <v>38990</v>
      </c>
      <c r="N30" s="7">
        <v>39082</v>
      </c>
      <c r="O30" s="7">
        <v>39172</v>
      </c>
      <c r="P30" s="7">
        <v>39263</v>
      </c>
      <c r="Q30" s="7">
        <v>39355</v>
      </c>
      <c r="R30" s="7">
        <v>39447</v>
      </c>
      <c r="S30" s="7">
        <v>39538</v>
      </c>
      <c r="T30" s="7">
        <v>39629</v>
      </c>
      <c r="U30" s="7">
        <v>39721</v>
      </c>
      <c r="V30" s="7">
        <v>39813</v>
      </c>
      <c r="W30" s="7">
        <v>39903</v>
      </c>
      <c r="X30" s="7">
        <v>39994</v>
      </c>
      <c r="Y30" s="7">
        <v>40086</v>
      </c>
      <c r="Z30" s="7">
        <v>40178</v>
      </c>
      <c r="AA30" s="7">
        <v>40268</v>
      </c>
      <c r="AB30" s="7">
        <v>40359</v>
      </c>
      <c r="AC30" s="7">
        <v>40451</v>
      </c>
      <c r="AD30" s="7">
        <v>40543</v>
      </c>
      <c r="AE30" s="7">
        <v>40633</v>
      </c>
      <c r="AF30" s="7">
        <v>40724</v>
      </c>
      <c r="AG30" s="7">
        <v>40816</v>
      </c>
      <c r="AH30" s="7">
        <v>40908</v>
      </c>
      <c r="AI30" s="7">
        <v>40999</v>
      </c>
      <c r="AJ30" s="7">
        <v>41090</v>
      </c>
      <c r="AK30" s="7">
        <v>41182</v>
      </c>
      <c r="AL30" s="7">
        <v>41274</v>
      </c>
      <c r="AM30" s="7">
        <v>41364</v>
      </c>
      <c r="AN30" s="7">
        <v>41455</v>
      </c>
      <c r="AO30" s="7">
        <v>41547</v>
      </c>
      <c r="AP30" s="7">
        <v>41639</v>
      </c>
      <c r="AQ30" s="7">
        <v>41729</v>
      </c>
      <c r="AR30" s="7">
        <v>41820</v>
      </c>
      <c r="AS30" s="7">
        <v>41912</v>
      </c>
      <c r="AT30" s="7">
        <v>42004</v>
      </c>
      <c r="AU30" s="7">
        <v>42094</v>
      </c>
      <c r="AV30" s="7">
        <v>42185</v>
      </c>
      <c r="AW30" s="7">
        <v>42277</v>
      </c>
      <c r="AX30" s="7">
        <v>42369</v>
      </c>
      <c r="AY30" s="7">
        <v>42460</v>
      </c>
      <c r="AZ30" s="7">
        <v>42551</v>
      </c>
      <c r="BA30" s="7">
        <v>42643</v>
      </c>
      <c r="BB30" s="7">
        <v>42735</v>
      </c>
      <c r="BC30" s="7">
        <v>42825</v>
      </c>
      <c r="BD30" s="7">
        <v>42916</v>
      </c>
      <c r="BE30" s="7">
        <v>43008</v>
      </c>
      <c r="BF30" s="7">
        <v>43100</v>
      </c>
      <c r="BG30" s="7">
        <v>43190</v>
      </c>
      <c r="BH30" s="7">
        <v>43281</v>
      </c>
      <c r="BI30" s="7">
        <v>43373</v>
      </c>
      <c r="BJ30" s="7">
        <v>43465</v>
      </c>
      <c r="BK30" s="7">
        <v>43555</v>
      </c>
      <c r="BL30" s="7">
        <v>43646</v>
      </c>
      <c r="BM30" s="7">
        <v>43738</v>
      </c>
      <c r="BN30" s="7">
        <v>43830</v>
      </c>
      <c r="BO30" s="7">
        <v>43921</v>
      </c>
      <c r="BP30" s="7">
        <v>44012</v>
      </c>
      <c r="BQ30" s="7">
        <v>44104</v>
      </c>
      <c r="BR30" s="7">
        <v>44196</v>
      </c>
      <c r="BS30" s="7">
        <v>44286</v>
      </c>
      <c r="BT30" s="7">
        <v>44377</v>
      </c>
      <c r="BU30" s="7">
        <v>44469</v>
      </c>
      <c r="BV30" s="7">
        <v>44561</v>
      </c>
      <c r="BW30" s="7">
        <v>44651</v>
      </c>
      <c r="BX30" s="7">
        <v>44742</v>
      </c>
      <c r="BY30" s="7">
        <v>44834</v>
      </c>
      <c r="BZ30" s="7">
        <v>44926</v>
      </c>
      <c r="CA30" s="7">
        <v>45016</v>
      </c>
      <c r="CB30" s="7">
        <v>45107</v>
      </c>
      <c r="CC30" s="7">
        <v>45199</v>
      </c>
      <c r="CD30" s="7">
        <v>45291</v>
      </c>
      <c r="CE30" s="7">
        <v>45382</v>
      </c>
      <c r="CF30" s="7">
        <v>45473</v>
      </c>
      <c r="CG30" s="7">
        <v>45565</v>
      </c>
      <c r="CH30" s="7">
        <v>45657</v>
      </c>
      <c r="CI30" s="7">
        <v>45747</v>
      </c>
      <c r="CJ30" s="7">
        <v>45838</v>
      </c>
      <c r="CK30" s="7">
        <v>45930</v>
      </c>
      <c r="CL30" s="7">
        <v>46022</v>
      </c>
      <c r="CM30" s="7">
        <v>46112</v>
      </c>
      <c r="CN30" s="7">
        <v>46203</v>
      </c>
      <c r="CO30" s="7">
        <v>46295</v>
      </c>
      <c r="CP30" s="7">
        <v>46387</v>
      </c>
      <c r="CQ30" s="7">
        <v>46477</v>
      </c>
      <c r="CR30" s="7">
        <v>46568</v>
      </c>
      <c r="CS30" s="7">
        <v>46660</v>
      </c>
      <c r="CT30" s="7">
        <v>46752</v>
      </c>
      <c r="CU30" s="7">
        <v>46843</v>
      </c>
      <c r="CV30" s="7">
        <v>46934</v>
      </c>
      <c r="CW30" s="7">
        <v>47026</v>
      </c>
      <c r="CX30" s="7">
        <v>47118</v>
      </c>
      <c r="CY30" s="7">
        <v>47208</v>
      </c>
      <c r="CZ30" s="7">
        <v>47299</v>
      </c>
      <c r="DA30" s="7">
        <v>47391</v>
      </c>
      <c r="DB30" s="7">
        <v>47483</v>
      </c>
      <c r="DC30" s="7">
        <v>47573</v>
      </c>
      <c r="DD30" s="7">
        <v>47664</v>
      </c>
      <c r="DE30" s="7">
        <v>47756</v>
      </c>
      <c r="DF30" s="7">
        <v>47848</v>
      </c>
      <c r="DG30" s="7">
        <v>47938</v>
      </c>
      <c r="DH30" s="7">
        <v>48029</v>
      </c>
      <c r="DI30" s="7">
        <v>48121</v>
      </c>
      <c r="DJ30" s="7">
        <v>48213</v>
      </c>
      <c r="DK30" s="7">
        <v>48304</v>
      </c>
      <c r="DL30" s="7">
        <v>48395</v>
      </c>
      <c r="DM30" s="7">
        <v>48487</v>
      </c>
      <c r="DN30" s="7">
        <v>48579</v>
      </c>
      <c r="DO30" s="7">
        <v>48669</v>
      </c>
      <c r="DP30" s="7">
        <v>48760</v>
      </c>
      <c r="DQ30" s="7">
        <v>48852</v>
      </c>
      <c r="DR30" s="7">
        <v>48944</v>
      </c>
      <c r="GI30" s="1"/>
    </row>
    <row r="31" spans="1:191" x14ac:dyDescent="0.25">
      <c r="A31" s="4">
        <v>1</v>
      </c>
      <c r="O31" s="17">
        <f t="shared" ref="O31:AJ31" ca="1" si="70">IF(O3="","",AVERAGE(N22)+CONFIDENCE(0.05,STDEV(B22:N22),COUNT(B22:N22)))</f>
        <v>3.2467635582932086E-2</v>
      </c>
      <c r="P31" s="17">
        <f t="shared" ca="1" si="70"/>
        <v>3.029636514789822E-2</v>
      </c>
      <c r="Q31" s="17">
        <f t="shared" ca="1" si="70"/>
        <v>4.5686379020236388E-2</v>
      </c>
      <c r="R31" s="17">
        <f t="shared" ca="1" si="70"/>
        <v>5.0151307501683416E-2</v>
      </c>
      <c r="S31" s="17">
        <f t="shared" ca="1" si="70"/>
        <v>9.9550911358519081E-2</v>
      </c>
      <c r="T31" s="17">
        <f t="shared" ca="1" si="70"/>
        <v>7.5295442295328807E-2</v>
      </c>
      <c r="U31" s="17">
        <f t="shared" ca="1" si="70"/>
        <v>3.4754097206087117E-2</v>
      </c>
      <c r="V31" s="17">
        <f t="shared" ca="1" si="70"/>
        <v>0.14373624696486942</v>
      </c>
      <c r="W31" s="17">
        <f t="shared" ca="1" si="70"/>
        <v>0.140355577565032</v>
      </c>
      <c r="X31" s="17">
        <f t="shared" ca="1" si="70"/>
        <v>0.13326288018391502</v>
      </c>
      <c r="Y31" s="17">
        <f t="shared" ca="1" si="70"/>
        <v>0.10961653369775801</v>
      </c>
      <c r="Z31" s="17">
        <f t="shared" ca="1" si="70"/>
        <v>4.1697576780046985E-2</v>
      </c>
      <c r="AA31" s="17">
        <f t="shared" ca="1" si="70"/>
        <v>3.7493545164179305E-2</v>
      </c>
      <c r="AB31" s="17">
        <f t="shared" ca="1" si="70"/>
        <v>2.8704694212028578E-2</v>
      </c>
      <c r="AC31" s="17">
        <f t="shared" ca="1" si="70"/>
        <v>5.1150378254154791E-2</v>
      </c>
      <c r="AD31" s="17">
        <f t="shared" ca="1" si="70"/>
        <v>3.5922611982302316E-2</v>
      </c>
      <c r="AE31" s="17">
        <f t="shared" ca="1" si="70"/>
        <v>3.3077137052453146E-2</v>
      </c>
      <c r="AF31" s="17">
        <f t="shared" ca="1" si="70"/>
        <v>4.0924114351031202E-2</v>
      </c>
      <c r="AG31" s="17">
        <f t="shared" ca="1" si="70"/>
        <v>6.9756923406373406E-2</v>
      </c>
      <c r="AH31" s="17">
        <f t="shared" ca="1" si="70"/>
        <v>3.5575292912221154E-2</v>
      </c>
      <c r="AI31" s="17">
        <f t="shared" ca="1" si="70"/>
        <v>4.313792658205183E-2</v>
      </c>
      <c r="AJ31" s="17">
        <f t="shared" ca="1" si="70"/>
        <v>2.1612731846206878E-2</v>
      </c>
      <c r="AK31" s="17">
        <f ca="1">IF(AK3="","",AVERAGE(AJ22)+CONFIDENCE(0.05,STDEV(X22:AJ22),COUNT(X22:AJ22)))</f>
        <v>1.2764719498644423E-2</v>
      </c>
      <c r="AL31" s="17">
        <f t="shared" ref="AL31:BU31" ca="1" si="71">IF(AL3="","",AK22+CONFIDENCE(0.05,STDEV(Y22:AK22),COUNT(Y22:AK22)))</f>
        <v>1.4627605794598271E-2</v>
      </c>
      <c r="AM31" s="17">
        <f t="shared" ca="1" si="71"/>
        <v>9.5273514619831374E-3</v>
      </c>
      <c r="AN31" s="17">
        <f t="shared" ca="1" si="71"/>
        <v>4.2091207854839177E-2</v>
      </c>
      <c r="AO31" s="17">
        <f t="shared" ca="1" si="71"/>
        <v>1.1065934082362866E-2</v>
      </c>
      <c r="AP31" s="17">
        <f t="shared" ca="1" si="71"/>
        <v>2.3350037254372506E-2</v>
      </c>
      <c r="AQ31" s="17">
        <f t="shared" ca="1" si="71"/>
        <v>2.6303443159663507E-2</v>
      </c>
      <c r="AR31" s="17">
        <f t="shared" ca="1" si="71"/>
        <v>1.6462626287699067E-2</v>
      </c>
      <c r="AS31" s="17">
        <f t="shared" ca="1" si="71"/>
        <v>1.1717933598765079E-2</v>
      </c>
      <c r="AT31" s="17">
        <f t="shared" ca="1" si="71"/>
        <v>1.594477729220414E-2</v>
      </c>
      <c r="AU31" s="17">
        <f t="shared" ca="1" si="71"/>
        <v>2.1946669159273326E-2</v>
      </c>
      <c r="AV31" s="17">
        <f t="shared" ca="1" si="71"/>
        <v>1.0953550485114313E-2</v>
      </c>
      <c r="AW31" s="17">
        <f t="shared" ca="1" si="71"/>
        <v>3.3608181962840745E-2</v>
      </c>
      <c r="AX31" s="17">
        <f t="shared" ca="1" si="71"/>
        <v>6.4737130080297555E-3</v>
      </c>
      <c r="AY31" s="17">
        <f t="shared" ca="1" si="71"/>
        <v>1.2235441126519439E-2</v>
      </c>
      <c r="AZ31" s="17">
        <f t="shared" ca="1" si="71"/>
        <v>1.1947852325751553E-2</v>
      </c>
      <c r="BA31" s="17">
        <f t="shared" ca="1" si="71"/>
        <v>2.7493583237252799E-2</v>
      </c>
      <c r="BB31" s="17">
        <f t="shared" ca="1" si="71"/>
        <v>1.1866539516565933E-2</v>
      </c>
      <c r="BC31" s="17">
        <f t="shared" ca="1" si="71"/>
        <v>9.8086318057978537E-3</v>
      </c>
      <c r="BD31" s="17">
        <f t="shared" ca="1" si="71"/>
        <v>3.6631075579380279E-2</v>
      </c>
      <c r="BE31" s="17">
        <f t="shared" ca="1" si="71"/>
        <v>2.3018274789652574E-2</v>
      </c>
      <c r="BF31" s="17">
        <f t="shared" ca="1" si="71"/>
        <v>2.5230068656003756E-2</v>
      </c>
      <c r="BG31" s="17">
        <f t="shared" ca="1" si="71"/>
        <v>1.5528903602987053E-2</v>
      </c>
      <c r="BH31" s="17">
        <f t="shared" ca="1" si="71"/>
        <v>2.84303380833692E-2</v>
      </c>
      <c r="BI31" s="17">
        <f t="shared" ca="1" si="71"/>
        <v>1.169997789829581E-2</v>
      </c>
      <c r="BJ31" s="17">
        <f t="shared" ca="1" si="71"/>
        <v>1.4753984538976646E-2</v>
      </c>
      <c r="BK31" s="17">
        <f t="shared" ca="1" si="71"/>
        <v>1.3197268998751503E-2</v>
      </c>
      <c r="BL31" s="17">
        <f t="shared" ca="1" si="71"/>
        <v>3.5852380165353553E-2</v>
      </c>
      <c r="BM31" s="17">
        <f t="shared" ca="1" si="71"/>
        <v>2.2596812225225443E-2</v>
      </c>
      <c r="BN31" s="17">
        <f t="shared" ca="1" si="71"/>
        <v>4.0246371685269434E-2</v>
      </c>
      <c r="BO31" s="17">
        <f t="shared" ca="1" si="71"/>
        <v>3.1435575596338104E-2</v>
      </c>
      <c r="BP31" s="17">
        <f t="shared" ca="1" si="71"/>
        <v>5.8506114797633527E-2</v>
      </c>
      <c r="BQ31" s="17">
        <f t="shared" ca="1" si="71"/>
        <v>9.3690534655719304E-2</v>
      </c>
      <c r="BR31" s="17">
        <f t="shared" ca="1" si="71"/>
        <v>8.9804383532153059E-2</v>
      </c>
      <c r="BS31" s="17" t="str">
        <f t="shared" si="71"/>
        <v/>
      </c>
      <c r="BT31" s="17" t="str">
        <f t="shared" si="71"/>
        <v/>
      </c>
      <c r="BU31" s="17" t="str">
        <f t="shared" si="71"/>
        <v/>
      </c>
      <c r="BV31" s="17" t="str">
        <f t="shared" ref="BV31" si="72">IF(BV3="","",BU22+CONFIDENCE(0.05,STDEV(BI22:BU22),COUNT(BI22:BU22)))</f>
        <v/>
      </c>
      <c r="BW31" s="17" t="str">
        <f t="shared" ref="BW31" si="73">IF(BW3="","",BV22+CONFIDENCE(0.05,STDEV(BJ22:BV22),COUNT(BJ22:BV22)))</f>
        <v/>
      </c>
      <c r="BX31" s="17" t="str">
        <f t="shared" ref="BX31" si="74">IF(BX3="","",BW22+CONFIDENCE(0.05,STDEV(BK22:BW22),COUNT(BK22:BW22)))</f>
        <v/>
      </c>
      <c r="BY31" s="17" t="str">
        <f t="shared" ref="BY31" si="75">IF(BY3="","",BX22+CONFIDENCE(0.05,STDEV(BL22:BX22),COUNT(BL22:BX22)))</f>
        <v/>
      </c>
      <c r="BZ31" s="17" t="str">
        <f t="shared" ref="BZ31" si="76">IF(BZ3="","",BY22+CONFIDENCE(0.05,STDEV(BM22:BY22),COUNT(BM22:BY22)))</f>
        <v/>
      </c>
      <c r="CA31" s="17" t="str">
        <f t="shared" ref="CA31" si="77">IF(CA3="","",BZ22+CONFIDENCE(0.05,STDEV(BN22:BZ22),COUNT(BN22:BZ22)))</f>
        <v/>
      </c>
      <c r="CB31" s="17" t="str">
        <f t="shared" ref="CB31" si="78">IF(CB3="","",CA22+CONFIDENCE(0.05,STDEV(BO22:CA22),COUNT(BO22:CA22)))</f>
        <v/>
      </c>
      <c r="CC31" s="17" t="str">
        <f t="shared" ref="CC31" si="79">IF(CC3="","",CB22+CONFIDENCE(0.05,STDEV(BP22:CB22),COUNT(BP22:CB22)))</f>
        <v/>
      </c>
      <c r="CD31" s="17" t="str">
        <f t="shared" ref="CD31" si="80">IF(CD3="","",CC22+CONFIDENCE(0.05,STDEV(BQ22:CC22),COUNT(BQ22:CC22)))</f>
        <v/>
      </c>
      <c r="CE31" s="17" t="str">
        <f t="shared" ref="CE31" si="81">IF(CE3="","",CD22+CONFIDENCE(0.05,STDEV(BR22:CD22),COUNT(BR22:CD22)))</f>
        <v/>
      </c>
      <c r="CF31" s="17" t="str">
        <f t="shared" ref="CF31" si="82">IF(CF3="","",CE22+CONFIDENCE(0.05,STDEV(BS22:CE22),COUNT(BS22:CE22)))</f>
        <v/>
      </c>
      <c r="CG31" s="17" t="str">
        <f t="shared" ref="CG31" si="83">IF(CG3="","",CF22+CONFIDENCE(0.05,STDEV(BT22:CF22),COUNT(BT22:CF22)))</f>
        <v/>
      </c>
      <c r="CH31" s="17" t="str">
        <f t="shared" ref="CH31" si="84">IF(CH3="","",CG22+CONFIDENCE(0.05,STDEV(BU22:CG22),COUNT(BU22:CG22)))</f>
        <v/>
      </c>
      <c r="CI31" s="17" t="str">
        <f t="shared" ref="CI31" si="85">IF(CI3="","",CH22+CONFIDENCE(0.05,STDEV(BV22:CH22),COUNT(BV22:CH22)))</f>
        <v/>
      </c>
      <c r="CJ31" s="17" t="str">
        <f t="shared" ref="CJ31" si="86">IF(CJ3="","",CI22+CONFIDENCE(0.05,STDEV(BW22:CI22),COUNT(BW22:CI22)))</f>
        <v/>
      </c>
      <c r="CK31" s="17" t="str">
        <f t="shared" ref="CK31" si="87">IF(CK3="","",CJ22+CONFIDENCE(0.05,STDEV(BX22:CJ22),COUNT(BX22:CJ22)))</f>
        <v/>
      </c>
      <c r="CL31" s="17" t="str">
        <f t="shared" ref="CL31" si="88">IF(CL3="","",CK22+CONFIDENCE(0.05,STDEV(BY22:CK22),COUNT(BY22:CK22)))</f>
        <v/>
      </c>
      <c r="CM31" s="17" t="str">
        <f t="shared" ref="CM31" si="89">IF(CM3="","",CL22+CONFIDENCE(0.05,STDEV(BZ22:CL22),COUNT(BZ22:CL22)))</f>
        <v/>
      </c>
      <c r="CN31" s="17" t="str">
        <f t="shared" ref="CN31" si="90">IF(CN3="","",CM22+CONFIDENCE(0.05,STDEV(CA22:CM22),COUNT(CA22:CM22)))</f>
        <v/>
      </c>
      <c r="CO31" s="17" t="str">
        <f t="shared" ref="CO31" si="91">IF(CO3="","",CN22+CONFIDENCE(0.05,STDEV(CB22:CN22),COUNT(CB22:CN22)))</f>
        <v/>
      </c>
      <c r="CP31" s="17" t="str">
        <f t="shared" ref="CP31" si="92">IF(CP3="","",CO22+CONFIDENCE(0.05,STDEV(CC22:CO22),COUNT(CC22:CO22)))</f>
        <v/>
      </c>
      <c r="CQ31" s="17" t="str">
        <f t="shared" ref="CQ31" si="93">IF(CQ3="","",CP22+CONFIDENCE(0.05,STDEV(CD22:CP22),COUNT(CD22:CP22)))</f>
        <v/>
      </c>
      <c r="CR31" s="17" t="str">
        <f t="shared" ref="CR31" si="94">IF(CR3="","",CQ22+CONFIDENCE(0.05,STDEV(CE22:CQ22),COUNT(CE22:CQ22)))</f>
        <v/>
      </c>
      <c r="CS31" s="17" t="str">
        <f t="shared" ref="CS31" si="95">IF(CS3="","",CR22+CONFIDENCE(0.05,STDEV(CF22:CR22),COUNT(CF22:CR22)))</f>
        <v/>
      </c>
      <c r="CT31" s="17" t="str">
        <f t="shared" ref="CT31" si="96">IF(CT3="","",CS22+CONFIDENCE(0.05,STDEV(CG22:CS22),COUNT(CG22:CS22)))</f>
        <v/>
      </c>
      <c r="CU31" s="17" t="str">
        <f t="shared" ref="CU31" si="97">IF(CU3="","",CT22+CONFIDENCE(0.05,STDEV(CH22:CT22),COUNT(CH22:CT22)))</f>
        <v/>
      </c>
      <c r="CV31" s="17" t="str">
        <f t="shared" ref="CV31" si="98">IF(CV3="","",CU22+CONFIDENCE(0.05,STDEV(CI22:CU22),COUNT(CI22:CU22)))</f>
        <v/>
      </c>
      <c r="CW31" s="17" t="str">
        <f t="shared" ref="CW31" si="99">IF(CW3="","",CV22+CONFIDENCE(0.05,STDEV(CJ22:CV22),COUNT(CJ22:CV22)))</f>
        <v/>
      </c>
      <c r="CX31" s="17" t="str">
        <f t="shared" ref="CX31" si="100">IF(CX3="","",CW22+CONFIDENCE(0.05,STDEV(CK22:CW22),COUNT(CK22:CW22)))</f>
        <v/>
      </c>
      <c r="CY31" s="17" t="str">
        <f t="shared" ref="CY31" si="101">IF(CY3="","",CX22+CONFIDENCE(0.05,STDEV(CL22:CX22),COUNT(CL22:CX22)))</f>
        <v/>
      </c>
      <c r="CZ31" s="17" t="str">
        <f t="shared" ref="CZ31" si="102">IF(CZ3="","",CY22+CONFIDENCE(0.05,STDEV(CM22:CY22),COUNT(CM22:CY22)))</f>
        <v/>
      </c>
      <c r="DA31" s="17" t="str">
        <f t="shared" ref="DA31" si="103">IF(DA3="","",CZ22+CONFIDENCE(0.05,STDEV(CN22:CZ22),COUNT(CN22:CZ22)))</f>
        <v/>
      </c>
      <c r="DB31" s="17" t="str">
        <f t="shared" ref="DB31" si="104">IF(DB3="","",DA22+CONFIDENCE(0.05,STDEV(CO22:DA22),COUNT(CO22:DA22)))</f>
        <v/>
      </c>
      <c r="DC31" s="17" t="str">
        <f t="shared" ref="DC31" si="105">IF(DC3="","",DB22+CONFIDENCE(0.05,STDEV(CP22:DB22),COUNT(CP22:DB22)))</f>
        <v/>
      </c>
      <c r="DD31" s="17" t="str">
        <f t="shared" ref="DD31" si="106">IF(DD3="","",DC22+CONFIDENCE(0.05,STDEV(CQ22:DC22),COUNT(CQ22:DC22)))</f>
        <v/>
      </c>
      <c r="DE31" s="17" t="str">
        <f t="shared" ref="DE31" si="107">IF(DE3="","",DD22+CONFIDENCE(0.05,STDEV(CR22:DD22),COUNT(CR22:DD22)))</f>
        <v/>
      </c>
      <c r="DF31" s="17" t="str">
        <f t="shared" ref="DF31" si="108">IF(DF3="","",DE22+CONFIDENCE(0.05,STDEV(CS22:DE22),COUNT(CS22:DE22)))</f>
        <v/>
      </c>
      <c r="DG31" s="17" t="str">
        <f t="shared" ref="DG31" si="109">IF(DG3="","",DF22+CONFIDENCE(0.05,STDEV(CT22:DF22),COUNT(CT22:DF22)))</f>
        <v/>
      </c>
      <c r="DH31" s="17" t="str">
        <f t="shared" ref="DH31" si="110">IF(DH3="","",DG22+CONFIDENCE(0.05,STDEV(CU22:DG22),COUNT(CU22:DG22)))</f>
        <v/>
      </c>
      <c r="DI31" s="17" t="str">
        <f t="shared" ref="DI31" si="111">IF(DI3="","",DH22+CONFIDENCE(0.05,STDEV(CV22:DH22),COUNT(CV22:DH22)))</f>
        <v/>
      </c>
      <c r="DJ31" s="17" t="str">
        <f t="shared" ref="DJ31" si="112">IF(DJ3="","",DI22+CONFIDENCE(0.05,STDEV(CW22:DI22),COUNT(CW22:DI22)))</f>
        <v/>
      </c>
      <c r="DK31" s="17" t="str">
        <f t="shared" ref="DK31" si="113">IF(DK3="","",DJ22+CONFIDENCE(0.05,STDEV(CX22:DJ22),COUNT(CX22:DJ22)))</f>
        <v/>
      </c>
      <c r="DL31" s="17" t="str">
        <f t="shared" ref="DL31" si="114">IF(DL3="","",DK22+CONFIDENCE(0.05,STDEV(CY22:DK22),COUNT(CY22:DK22)))</f>
        <v/>
      </c>
      <c r="DM31" s="17" t="str">
        <f t="shared" ref="DM31" si="115">IF(DM3="","",DL22+CONFIDENCE(0.05,STDEV(CZ22:DL22),COUNT(CZ22:DL22)))</f>
        <v/>
      </c>
      <c r="DN31" s="17" t="str">
        <f t="shared" ref="DN31" si="116">IF(DN3="","",DM22+CONFIDENCE(0.05,STDEV(DA22:DM22),COUNT(DA22:DM22)))</f>
        <v/>
      </c>
      <c r="DO31" s="17" t="str">
        <f t="shared" ref="DO31" si="117">IF(DO3="","",DN22+CONFIDENCE(0.05,STDEV(DB22:DN22),COUNT(DB22:DN22)))</f>
        <v/>
      </c>
      <c r="DP31" s="17" t="str">
        <f t="shared" ref="DP31" si="118">IF(DP3="","",DO22+CONFIDENCE(0.05,STDEV(DC22:DO22),COUNT(DC22:DO22)))</f>
        <v/>
      </c>
      <c r="DQ31" s="17" t="str">
        <f t="shared" ref="DQ31" si="119">IF(DQ3="","",DP22+CONFIDENCE(0.05,STDEV(DD22:DP22),COUNT(DD22:DP22)))</f>
        <v/>
      </c>
      <c r="DR31" s="17" t="str">
        <f t="shared" ref="DR31" si="120">IF(DR3="","",DQ22+CONFIDENCE(0.05,STDEV(DE22:DQ22),COUNT(DE22:DQ22)))</f>
        <v/>
      </c>
    </row>
    <row r="32" spans="1:191" x14ac:dyDescent="0.25">
      <c r="A32" s="4">
        <v>2</v>
      </c>
      <c r="O32" s="17">
        <f t="shared" ref="O32:AJ32" ca="1" si="121">IF(O4="","",AVERAGE(M23:N23)+CONFIDENCE(0.05,STDEV(B23:N23),COUNT(B23:N23)))</f>
        <v>5.4137977289597933E-2</v>
      </c>
      <c r="P32" s="17">
        <f t="shared" ca="1" si="121"/>
        <v>3.3753684929040934E-2</v>
      </c>
      <c r="Q32" s="17">
        <f t="shared" ca="1" si="121"/>
        <v>6.7508292766128922E-2</v>
      </c>
      <c r="R32" s="17">
        <f t="shared" ca="1" si="121"/>
        <v>0.13631915972538372</v>
      </c>
      <c r="S32" s="17">
        <f t="shared" ca="1" si="121"/>
        <v>0.18176728975610684</v>
      </c>
      <c r="T32" s="17">
        <f t="shared" ca="1" si="121"/>
        <v>0.16720530806965284</v>
      </c>
      <c r="U32" s="17">
        <f t="shared" ca="1" si="121"/>
        <v>0.15816832376345685</v>
      </c>
      <c r="V32" s="17">
        <f t="shared" ca="1" si="121"/>
        <v>0.24509137295805225</v>
      </c>
      <c r="W32" s="17">
        <f t="shared" ca="1" si="121"/>
        <v>0.2105264293894234</v>
      </c>
      <c r="X32" s="17">
        <f t="shared" ca="1" si="121"/>
        <v>0.22569351546034411</v>
      </c>
      <c r="Y32" s="17">
        <f t="shared" ca="1" si="121"/>
        <v>0.25180924055767723</v>
      </c>
      <c r="Z32" s="17">
        <f t="shared" ca="1" si="121"/>
        <v>0.1220758240127464</v>
      </c>
      <c r="AA32" s="17">
        <f t="shared" ca="1" si="121"/>
        <v>6.0735990021686746E-2</v>
      </c>
      <c r="AB32" s="17">
        <f t="shared" ca="1" si="121"/>
        <v>6.4210032073768603E-2</v>
      </c>
      <c r="AC32" s="17">
        <f t="shared" ca="1" si="121"/>
        <v>8.612502736811721E-2</v>
      </c>
      <c r="AD32" s="17">
        <f t="shared" ca="1" si="121"/>
        <v>8.2463251075072075E-2</v>
      </c>
      <c r="AE32" s="17">
        <f t="shared" ca="1" si="121"/>
        <v>5.838010189182722E-2</v>
      </c>
      <c r="AF32" s="17">
        <f t="shared" ca="1" si="121"/>
        <v>6.1415193844769699E-2</v>
      </c>
      <c r="AG32" s="17">
        <f t="shared" ca="1" si="121"/>
        <v>9.9606491577556688E-2</v>
      </c>
      <c r="AH32" s="17">
        <f t="shared" ca="1" si="121"/>
        <v>0.10569663145017477</v>
      </c>
      <c r="AI32" s="17">
        <f t="shared" ca="1" si="121"/>
        <v>7.1085837800512253E-2</v>
      </c>
      <c r="AJ32" s="17">
        <f t="shared" ca="1" si="121"/>
        <v>5.8395744667451482E-2</v>
      </c>
      <c r="AK32" s="17">
        <f ca="1">IF(AK4="","",AVERAGE(AI23:AJ23)+CONFIDENCE(0.05,STDEV(X23:AJ23),COUNT(X23:AJ23)))</f>
        <v>2.5229302998924574E-2</v>
      </c>
      <c r="AL32" s="17">
        <f ca="1">IF(AL4="","",OFFSET(AK23,0,-COUNTBLANK(AE23:AK23),1,1)+CONFIDENCE(0.05,STDEV(Y23:AK23),COUNT(Y23:AK23)))</f>
        <v>2.0719685585005952E-2</v>
      </c>
      <c r="AM32" s="17">
        <f t="shared" ref="AM32:BU34" ca="1" si="122">IF(AM4="","",OFFSET(AL23,0,-COUNTBLANK(AF23:AL23),1,1)+CONFIDENCE(0.05,STDEV(Z23:AL23),COUNT(Z23:AL23)))</f>
        <v>4.8776834025560503E-2</v>
      </c>
      <c r="AN32" s="17">
        <f t="shared" ca="1" si="122"/>
        <v>7.9634177010519822E-2</v>
      </c>
      <c r="AO32" s="17">
        <f t="shared" ca="1" si="122"/>
        <v>3.6115966414358602E-2</v>
      </c>
      <c r="AP32" s="17">
        <f t="shared" ca="1" si="122"/>
        <v>5.5397415750371812E-2</v>
      </c>
      <c r="AQ32" s="17">
        <f t="shared" ca="1" si="122"/>
        <v>5.7990138523290352E-2</v>
      </c>
      <c r="AR32" s="17">
        <f t="shared" ca="1" si="122"/>
        <v>3.9679499218738035E-2</v>
      </c>
      <c r="AS32" s="17">
        <f t="shared" ca="1" si="122"/>
        <v>1.7996748083742707E-2</v>
      </c>
      <c r="AT32" s="17">
        <f t="shared" ca="1" si="122"/>
        <v>1.0845064713858524E-2</v>
      </c>
      <c r="AU32" s="17">
        <f t="shared" ca="1" si="122"/>
        <v>4.5823296061130309E-2</v>
      </c>
      <c r="AV32" s="17">
        <f t="shared" ca="1" si="122"/>
        <v>5.2027058400457779E-2</v>
      </c>
      <c r="AW32" s="17">
        <f t="shared" ca="1" si="122"/>
        <v>5.9322427622892381E-2</v>
      </c>
      <c r="AX32" s="17">
        <f t="shared" ca="1" si="122"/>
        <v>1.6034363223604867E-2</v>
      </c>
      <c r="AY32" s="17">
        <f t="shared" ca="1" si="122"/>
        <v>2.2685839272729963E-2</v>
      </c>
      <c r="AZ32" s="17">
        <f t="shared" ca="1" si="122"/>
        <v>2.4924996609948992E-2</v>
      </c>
      <c r="BA32" s="17">
        <f t="shared" ca="1" si="122"/>
        <v>5.5266483357404153E-2</v>
      </c>
      <c r="BB32" s="17">
        <f t="shared" ca="1" si="122"/>
        <v>1.7171714455050544E-2</v>
      </c>
      <c r="BC32" s="17">
        <f t="shared" ca="1" si="122"/>
        <v>3.5554891512505814E-2</v>
      </c>
      <c r="BD32" s="17">
        <f t="shared" ca="1" si="122"/>
        <v>4.8181404032782718E-2</v>
      </c>
      <c r="BE32" s="17">
        <f t="shared" ca="1" si="122"/>
        <v>4.2193308596816671E-2</v>
      </c>
      <c r="BF32" s="17">
        <f t="shared" ca="1" si="122"/>
        <v>3.2006993378576903E-2</v>
      </c>
      <c r="BG32" s="17">
        <f t="shared" ca="1" si="122"/>
        <v>4.8453112513347371E-2</v>
      </c>
      <c r="BH32" s="17">
        <f t="shared" ca="1" si="122"/>
        <v>3.5660272600054228E-2</v>
      </c>
      <c r="BI32" s="17">
        <f t="shared" ca="1" si="122"/>
        <v>1.2313630838530631E-2</v>
      </c>
      <c r="BJ32" s="17">
        <f t="shared" ca="1" si="122"/>
        <v>1.4234330090501996E-2</v>
      </c>
      <c r="BK32" s="17">
        <f t="shared" ca="1" si="122"/>
        <v>4.9020514601538188E-2</v>
      </c>
      <c r="BL32" s="17">
        <f t="shared" ca="1" si="122"/>
        <v>8.0583052666959656E-2</v>
      </c>
      <c r="BM32" s="17">
        <f t="shared" ca="1" si="122"/>
        <v>1.9075894534290507E-2</v>
      </c>
      <c r="BN32" s="17">
        <f t="shared" ca="1" si="122"/>
        <v>4.0588847384966813E-2</v>
      </c>
      <c r="BO32" s="17">
        <f t="shared" ca="1" si="122"/>
        <v>9.7519241524347197E-2</v>
      </c>
      <c r="BP32" s="17">
        <f t="shared" ca="1" si="122"/>
        <v>0.17636099424332741</v>
      </c>
      <c r="BQ32" s="17">
        <f t="shared" ca="1" si="122"/>
        <v>6.9270680266207543E-2</v>
      </c>
      <c r="BR32" s="17">
        <f t="shared" ca="1" si="122"/>
        <v>7.1116015972163854E-2</v>
      </c>
      <c r="BS32" s="17" t="str">
        <f t="shared" ca="1" si="122"/>
        <v/>
      </c>
      <c r="BT32" s="17" t="str">
        <f t="shared" ca="1" si="122"/>
        <v/>
      </c>
      <c r="BU32" s="17" t="str">
        <f t="shared" ca="1" si="122"/>
        <v/>
      </c>
      <c r="BV32" s="17" t="str">
        <f t="shared" ref="BV32:BV34" ca="1" si="123">IF(BV4="","",OFFSET(BU23,0,-COUNTBLANK(BO23:BU23),1,1)+CONFIDENCE(0.05,STDEV(BI23:BU23),COUNT(BI23:BU23)))</f>
        <v/>
      </c>
      <c r="BW32" s="17" t="str">
        <f t="shared" ref="BW32:BW34" ca="1" si="124">IF(BW4="","",OFFSET(BV23,0,-COUNTBLANK(BP23:BV23),1,1)+CONFIDENCE(0.05,STDEV(BJ23:BV23),COUNT(BJ23:BV23)))</f>
        <v/>
      </c>
      <c r="BX32" s="17" t="str">
        <f t="shared" ref="BX32:BX34" ca="1" si="125">IF(BX4="","",OFFSET(BW23,0,-COUNTBLANK(BQ23:BW23),1,1)+CONFIDENCE(0.05,STDEV(BK23:BW23),COUNT(BK23:BW23)))</f>
        <v/>
      </c>
      <c r="BY32" s="17" t="str">
        <f t="shared" ref="BY32:BY34" ca="1" si="126">IF(BY4="","",OFFSET(BX23,0,-COUNTBLANK(BR23:BX23),1,1)+CONFIDENCE(0.05,STDEV(BL23:BX23),COUNT(BL23:BX23)))</f>
        <v/>
      </c>
      <c r="BZ32" s="17" t="str">
        <f t="shared" ref="BZ32:BZ34" ca="1" si="127">IF(BZ4="","",OFFSET(BY23,0,-COUNTBLANK(BS23:BY23),1,1)+CONFIDENCE(0.05,STDEV(BM23:BY23),COUNT(BM23:BY23)))</f>
        <v/>
      </c>
      <c r="CA32" s="17" t="str">
        <f t="shared" ref="CA32:CA34" ca="1" si="128">IF(CA4="","",OFFSET(BZ23,0,-COUNTBLANK(BT23:BZ23),1,1)+CONFIDENCE(0.05,STDEV(BN23:BZ23),COUNT(BN23:BZ23)))</f>
        <v/>
      </c>
      <c r="CB32" s="17" t="str">
        <f t="shared" ref="CB32:CB34" ca="1" si="129">IF(CB4="","",OFFSET(CA23,0,-COUNTBLANK(BU23:CA23),1,1)+CONFIDENCE(0.05,STDEV(BO23:CA23),COUNT(BO23:CA23)))</f>
        <v/>
      </c>
      <c r="CC32" s="17" t="str">
        <f t="shared" ref="CC32:CC34" ca="1" si="130">IF(CC4="","",OFFSET(CB23,0,-COUNTBLANK(BV23:CB23),1,1)+CONFIDENCE(0.05,STDEV(BP23:CB23),COUNT(BP23:CB23)))</f>
        <v/>
      </c>
      <c r="CD32" s="17" t="str">
        <f t="shared" ref="CD32:CD34" ca="1" si="131">IF(CD4="","",OFFSET(CC23,0,-COUNTBLANK(BW23:CC23),1,1)+CONFIDENCE(0.05,STDEV(BQ23:CC23),COUNT(BQ23:CC23)))</f>
        <v/>
      </c>
      <c r="CE32" s="17" t="str">
        <f t="shared" ref="CE32:CE34" ca="1" si="132">IF(CE4="","",OFFSET(CD23,0,-COUNTBLANK(BX23:CD23),1,1)+CONFIDENCE(0.05,STDEV(BR23:CD23),COUNT(BR23:CD23)))</f>
        <v/>
      </c>
      <c r="CF32" s="17" t="str">
        <f t="shared" ref="CF32:CF34" ca="1" si="133">IF(CF4="","",OFFSET(CE23,0,-COUNTBLANK(BY23:CE23),1,1)+CONFIDENCE(0.05,STDEV(BS23:CE23),COUNT(BS23:CE23)))</f>
        <v/>
      </c>
      <c r="CG32" s="17" t="str">
        <f t="shared" ref="CG32:CG34" ca="1" si="134">IF(CG4="","",OFFSET(CF23,0,-COUNTBLANK(BZ23:CF23),1,1)+CONFIDENCE(0.05,STDEV(BT23:CF23),COUNT(BT23:CF23)))</f>
        <v/>
      </c>
      <c r="CH32" s="17" t="str">
        <f t="shared" ref="CH32:CH34" ca="1" si="135">IF(CH4="","",OFFSET(CG23,0,-COUNTBLANK(CA23:CG23),1,1)+CONFIDENCE(0.05,STDEV(BU23:CG23),COUNT(BU23:CG23)))</f>
        <v/>
      </c>
      <c r="CI32" s="17" t="str">
        <f t="shared" ref="CI32:CI34" ca="1" si="136">IF(CI4="","",OFFSET(CH23,0,-COUNTBLANK(CB23:CH23),1,1)+CONFIDENCE(0.05,STDEV(BV23:CH23),COUNT(BV23:CH23)))</f>
        <v/>
      </c>
      <c r="CJ32" s="17" t="str">
        <f t="shared" ref="CJ32:CJ34" ca="1" si="137">IF(CJ4="","",OFFSET(CI23,0,-COUNTBLANK(CC23:CI23),1,1)+CONFIDENCE(0.05,STDEV(BW23:CI23),COUNT(BW23:CI23)))</f>
        <v/>
      </c>
      <c r="CK32" s="17" t="str">
        <f t="shared" ref="CK32:CK34" ca="1" si="138">IF(CK4="","",OFFSET(CJ23,0,-COUNTBLANK(CD23:CJ23),1,1)+CONFIDENCE(0.05,STDEV(BX23:CJ23),COUNT(BX23:CJ23)))</f>
        <v/>
      </c>
      <c r="CL32" s="17" t="str">
        <f t="shared" ref="CL32:CL34" ca="1" si="139">IF(CL4="","",OFFSET(CK23,0,-COUNTBLANK(CE23:CK23),1,1)+CONFIDENCE(0.05,STDEV(BY23:CK23),COUNT(BY23:CK23)))</f>
        <v/>
      </c>
      <c r="CM32" s="17" t="str">
        <f t="shared" ref="CM32:CM34" ca="1" si="140">IF(CM4="","",OFFSET(CL23,0,-COUNTBLANK(CF23:CL23),1,1)+CONFIDENCE(0.05,STDEV(BZ23:CL23),COUNT(BZ23:CL23)))</f>
        <v/>
      </c>
      <c r="CN32" s="17" t="str">
        <f t="shared" ref="CN32:CN34" ca="1" si="141">IF(CN4="","",OFFSET(CM23,0,-COUNTBLANK(CG23:CM23),1,1)+CONFIDENCE(0.05,STDEV(CA23:CM23),COUNT(CA23:CM23)))</f>
        <v/>
      </c>
      <c r="CO32" s="17" t="str">
        <f t="shared" ref="CO32:CO34" ca="1" si="142">IF(CO4="","",OFFSET(CN23,0,-COUNTBLANK(CH23:CN23),1,1)+CONFIDENCE(0.05,STDEV(CB23:CN23),COUNT(CB23:CN23)))</f>
        <v/>
      </c>
      <c r="CP32" s="17" t="str">
        <f t="shared" ref="CP32:CP34" ca="1" si="143">IF(CP4="","",OFFSET(CO23,0,-COUNTBLANK(CI23:CO23),1,1)+CONFIDENCE(0.05,STDEV(CC23:CO23),COUNT(CC23:CO23)))</f>
        <v/>
      </c>
      <c r="CQ32" s="17" t="str">
        <f t="shared" ref="CQ32:CQ34" ca="1" si="144">IF(CQ4="","",OFFSET(CP23,0,-COUNTBLANK(CJ23:CP23),1,1)+CONFIDENCE(0.05,STDEV(CD23:CP23),COUNT(CD23:CP23)))</f>
        <v/>
      </c>
      <c r="CR32" s="17" t="str">
        <f t="shared" ref="CR32:CR34" ca="1" si="145">IF(CR4="","",OFFSET(CQ23,0,-COUNTBLANK(CK23:CQ23),1,1)+CONFIDENCE(0.05,STDEV(CE23:CQ23),COUNT(CE23:CQ23)))</f>
        <v/>
      </c>
      <c r="CS32" s="17" t="str">
        <f t="shared" ref="CS32:CS34" ca="1" si="146">IF(CS4="","",OFFSET(CR23,0,-COUNTBLANK(CL23:CR23),1,1)+CONFIDENCE(0.05,STDEV(CF23:CR23),COUNT(CF23:CR23)))</f>
        <v/>
      </c>
      <c r="CT32" s="17" t="str">
        <f t="shared" ref="CT32:CT34" ca="1" si="147">IF(CT4="","",OFFSET(CS23,0,-COUNTBLANK(CM23:CS23),1,1)+CONFIDENCE(0.05,STDEV(CG23:CS23),COUNT(CG23:CS23)))</f>
        <v/>
      </c>
      <c r="CU32" s="17" t="str">
        <f t="shared" ref="CU32:CU34" ca="1" si="148">IF(CU4="","",OFFSET(CT23,0,-COUNTBLANK(CN23:CT23),1,1)+CONFIDENCE(0.05,STDEV(CH23:CT23),COUNT(CH23:CT23)))</f>
        <v/>
      </c>
      <c r="CV32" s="17" t="str">
        <f t="shared" ref="CV32:CV34" ca="1" si="149">IF(CV4="","",OFFSET(CU23,0,-COUNTBLANK(CO23:CU23),1,1)+CONFIDENCE(0.05,STDEV(CI23:CU23),COUNT(CI23:CU23)))</f>
        <v/>
      </c>
      <c r="CW32" s="17" t="str">
        <f t="shared" ref="CW32:CW34" ca="1" si="150">IF(CW4="","",OFFSET(CV23,0,-COUNTBLANK(CP23:CV23),1,1)+CONFIDENCE(0.05,STDEV(CJ23:CV23),COUNT(CJ23:CV23)))</f>
        <v/>
      </c>
      <c r="CX32" s="17" t="str">
        <f t="shared" ref="CX32:CX34" ca="1" si="151">IF(CX4="","",OFFSET(CW23,0,-COUNTBLANK(CQ23:CW23),1,1)+CONFIDENCE(0.05,STDEV(CK23:CW23),COUNT(CK23:CW23)))</f>
        <v/>
      </c>
      <c r="CY32" s="17" t="str">
        <f t="shared" ref="CY32:CY34" ca="1" si="152">IF(CY4="","",OFFSET(CX23,0,-COUNTBLANK(CR23:CX23),1,1)+CONFIDENCE(0.05,STDEV(CL23:CX23),COUNT(CL23:CX23)))</f>
        <v/>
      </c>
      <c r="CZ32" s="17" t="str">
        <f t="shared" ref="CZ32:CZ34" ca="1" si="153">IF(CZ4="","",OFFSET(CY23,0,-COUNTBLANK(CS23:CY23),1,1)+CONFIDENCE(0.05,STDEV(CM23:CY23),COUNT(CM23:CY23)))</f>
        <v/>
      </c>
      <c r="DA32" s="17" t="str">
        <f t="shared" ref="DA32:DA34" ca="1" si="154">IF(DA4="","",OFFSET(CZ23,0,-COUNTBLANK(CT23:CZ23),1,1)+CONFIDENCE(0.05,STDEV(CN23:CZ23),COUNT(CN23:CZ23)))</f>
        <v/>
      </c>
      <c r="DB32" s="17" t="str">
        <f t="shared" ref="DB32:DB34" ca="1" si="155">IF(DB4="","",OFFSET(DA23,0,-COUNTBLANK(CU23:DA23),1,1)+CONFIDENCE(0.05,STDEV(CO23:DA23),COUNT(CO23:DA23)))</f>
        <v/>
      </c>
      <c r="DC32" s="17" t="str">
        <f t="shared" ref="DC32:DC34" ca="1" si="156">IF(DC4="","",OFFSET(DB23,0,-COUNTBLANK(CV23:DB23),1,1)+CONFIDENCE(0.05,STDEV(CP23:DB23),COUNT(CP23:DB23)))</f>
        <v/>
      </c>
      <c r="DD32" s="17" t="str">
        <f t="shared" ref="DD32:DD34" ca="1" si="157">IF(DD4="","",OFFSET(DC23,0,-COUNTBLANK(CW23:DC23),1,1)+CONFIDENCE(0.05,STDEV(CQ23:DC23),COUNT(CQ23:DC23)))</f>
        <v/>
      </c>
      <c r="DE32" s="17" t="str">
        <f t="shared" ref="DE32:DE34" ca="1" si="158">IF(DE4="","",OFFSET(DD23,0,-COUNTBLANK(CX23:DD23),1,1)+CONFIDENCE(0.05,STDEV(CR23:DD23),COUNT(CR23:DD23)))</f>
        <v/>
      </c>
      <c r="DF32" s="17" t="str">
        <f t="shared" ref="DF32:DF34" ca="1" si="159">IF(DF4="","",OFFSET(DE23,0,-COUNTBLANK(CY23:DE23),1,1)+CONFIDENCE(0.05,STDEV(CS23:DE23),COUNT(CS23:DE23)))</f>
        <v/>
      </c>
      <c r="DG32" s="17" t="str">
        <f t="shared" ref="DG32:DG34" ca="1" si="160">IF(DG4="","",OFFSET(DF23,0,-COUNTBLANK(CZ23:DF23),1,1)+CONFIDENCE(0.05,STDEV(CT23:DF23),COUNT(CT23:DF23)))</f>
        <v/>
      </c>
      <c r="DH32" s="17" t="str">
        <f t="shared" ref="DH32:DH34" ca="1" si="161">IF(DH4="","",OFFSET(DG23,0,-COUNTBLANK(DA23:DG23),1,1)+CONFIDENCE(0.05,STDEV(CU23:DG23),COUNT(CU23:DG23)))</f>
        <v/>
      </c>
      <c r="DI32" s="17" t="str">
        <f t="shared" ref="DI32:DI34" ca="1" si="162">IF(DI4="","",OFFSET(DH23,0,-COUNTBLANK(DB23:DH23),1,1)+CONFIDENCE(0.05,STDEV(CV23:DH23),COUNT(CV23:DH23)))</f>
        <v/>
      </c>
      <c r="DJ32" s="17" t="str">
        <f t="shared" ref="DJ32:DJ34" ca="1" si="163">IF(DJ4="","",OFFSET(DI23,0,-COUNTBLANK(DC23:DI23),1,1)+CONFIDENCE(0.05,STDEV(CW23:DI23),COUNT(CW23:DI23)))</f>
        <v/>
      </c>
      <c r="DK32" s="17" t="str">
        <f t="shared" ref="DK32:DK34" ca="1" si="164">IF(DK4="","",OFFSET(DJ23,0,-COUNTBLANK(DD23:DJ23),1,1)+CONFIDENCE(0.05,STDEV(CX23:DJ23),COUNT(CX23:DJ23)))</f>
        <v/>
      </c>
      <c r="DL32" s="17" t="str">
        <f t="shared" ref="DL32:DL34" ca="1" si="165">IF(DL4="","",OFFSET(DK23,0,-COUNTBLANK(DE23:DK23),1,1)+CONFIDENCE(0.05,STDEV(CY23:DK23),COUNT(CY23:DK23)))</f>
        <v/>
      </c>
      <c r="DM32" s="17" t="str">
        <f t="shared" ref="DM32:DM34" ca="1" si="166">IF(DM4="","",OFFSET(DL23,0,-COUNTBLANK(DF23:DL23),1,1)+CONFIDENCE(0.05,STDEV(CZ23:DL23),COUNT(CZ23:DL23)))</f>
        <v/>
      </c>
      <c r="DN32" s="17" t="str">
        <f t="shared" ref="DN32:DN34" ca="1" si="167">IF(DN4="","",OFFSET(DM23,0,-COUNTBLANK(DG23:DM23),1,1)+CONFIDENCE(0.05,STDEV(DA23:DM23),COUNT(DA23:DM23)))</f>
        <v/>
      </c>
      <c r="DO32" s="17" t="str">
        <f t="shared" ref="DO32:DO34" ca="1" si="168">IF(DO4="","",OFFSET(DN23,0,-COUNTBLANK(DH23:DN23),1,1)+CONFIDENCE(0.05,STDEV(DB23:DN23),COUNT(DB23:DN23)))</f>
        <v/>
      </c>
      <c r="DP32" s="17" t="str">
        <f t="shared" ref="DP32:DP34" ca="1" si="169">IF(DP4="","",OFFSET(DO23,0,-COUNTBLANK(DI23:DO23),1,1)+CONFIDENCE(0.05,STDEV(DC23:DO23),COUNT(DC23:DO23)))</f>
        <v/>
      </c>
      <c r="DQ32" s="17" t="str">
        <f t="shared" ref="DQ32:DQ34" ca="1" si="170">IF(DQ4="","",OFFSET(DP23,0,-COUNTBLANK(DJ23:DP23),1,1)+CONFIDENCE(0.05,STDEV(DD23:DP23),COUNT(DD23:DP23)))</f>
        <v/>
      </c>
      <c r="DR32" s="17" t="str">
        <f t="shared" ref="DR32:DR34" ca="1" si="171">IF(DR4="","",OFFSET(DQ23,0,-COUNTBLANK(DK23:DQ23),1,1)+CONFIDENCE(0.05,STDEV(DE23:DQ23),COUNT(DE23:DQ23)))</f>
        <v/>
      </c>
    </row>
    <row r="33" spans="1:122" x14ac:dyDescent="0.25">
      <c r="A33" s="4">
        <v>3</v>
      </c>
      <c r="O33" s="17">
        <f t="shared" ref="O33:AJ33" ca="1" si="172">IF(O5="","",AVERAGE(L24:N24)+CONFIDENCE(0.05,STDEV(B24:N24),COUNT(B24:N24)))</f>
        <v>5.7550507366291456E-2</v>
      </c>
      <c r="P33" s="17">
        <f t="shared" ca="1" si="172"/>
        <v>7.0233330055878382E-2</v>
      </c>
      <c r="Q33" s="17">
        <f t="shared" ca="1" si="172"/>
        <v>0.11620701406128048</v>
      </c>
      <c r="R33" s="17">
        <f t="shared" ca="1" si="172"/>
        <v>0.19245993939651804</v>
      </c>
      <c r="S33" s="17">
        <f t="shared" ca="1" si="172"/>
        <v>0.25577796862779145</v>
      </c>
      <c r="T33" s="17">
        <f t="shared" ca="1" si="172"/>
        <v>0.28276187926712637</v>
      </c>
      <c r="U33" s="17">
        <f t="shared" ca="1" si="172"/>
        <v>0.30488327596079795</v>
      </c>
      <c r="V33" s="17">
        <f t="shared" ca="1" si="172"/>
        <v>0.32164169478473165</v>
      </c>
      <c r="W33" s="17">
        <f t="shared" ca="1" si="172"/>
        <v>0.24809276403743843</v>
      </c>
      <c r="X33" s="17">
        <f t="shared" ca="1" si="172"/>
        <v>0.29238917507551643</v>
      </c>
      <c r="Y33" s="17">
        <f t="shared" ca="1" si="172"/>
        <v>0.24650636679007465</v>
      </c>
      <c r="Z33" s="17">
        <f t="shared" ca="1" si="172"/>
        <v>0.24636201456704199</v>
      </c>
      <c r="AA33" s="17">
        <f t="shared" ca="1" si="172"/>
        <v>0.12346378041572753</v>
      </c>
      <c r="AB33" s="17">
        <f t="shared" ca="1" si="172"/>
        <v>9.0532823934849488E-2</v>
      </c>
      <c r="AC33" s="17">
        <f t="shared" ca="1" si="172"/>
        <v>0.1116784730597212</v>
      </c>
      <c r="AD33" s="17">
        <f t="shared" ca="1" si="172"/>
        <v>0.11772227904163066</v>
      </c>
      <c r="AE33" s="17">
        <f t="shared" ca="1" si="172"/>
        <v>0.11461875664458579</v>
      </c>
      <c r="AF33" s="17">
        <f t="shared" ca="1" si="172"/>
        <v>0.10328138769171613</v>
      </c>
      <c r="AG33" s="17">
        <f t="shared" ca="1" si="172"/>
        <v>0.12863384034985828</v>
      </c>
      <c r="AH33" s="17">
        <f t="shared" ca="1" si="172"/>
        <v>0.12460404256551597</v>
      </c>
      <c r="AI33" s="17">
        <f t="shared" ca="1" si="172"/>
        <v>0.11410368706228058</v>
      </c>
      <c r="AJ33" s="17">
        <f t="shared" ca="1" si="172"/>
        <v>8.4938262589342672E-2</v>
      </c>
      <c r="AK33" s="17">
        <f ca="1">IF(AK5="","",AVERAGE(AH24:AJ24)+CONFIDENCE(0.05,STDEV(X24:AJ24),COUNT(X24:AJ24)))</f>
        <v>4.1541406454115165E-2</v>
      </c>
      <c r="AL33" s="17">
        <f t="shared" ref="AL33:AL34" ca="1" si="173">IF(AL5="","",OFFSET(AK24,0,-COUNTBLANK(AE24:AK24),1,1)+CONFIDENCE(0.05,STDEV(Y24:AK24),COUNT(Y24:AK24)))</f>
        <v>6.435280211923855E-2</v>
      </c>
      <c r="AM33" s="17">
        <f t="shared" ca="1" si="122"/>
        <v>7.9064439636622574E-2</v>
      </c>
      <c r="AN33" s="17">
        <f t="shared" ca="1" si="122"/>
        <v>0.1208073019743004</v>
      </c>
      <c r="AO33" s="17">
        <f t="shared" ca="1" si="122"/>
        <v>6.9239537625684175E-2</v>
      </c>
      <c r="AP33" s="17">
        <f t="shared" ca="1" si="122"/>
        <v>9.3662154006558695E-2</v>
      </c>
      <c r="AQ33" s="17">
        <f t="shared" ca="1" si="122"/>
        <v>9.036565764803621E-2</v>
      </c>
      <c r="AR33" s="17">
        <f t="shared" ca="1" si="122"/>
        <v>4.5710382745033515E-2</v>
      </c>
      <c r="AS33" s="17">
        <f t="shared" ca="1" si="122"/>
        <v>2.3447519412790822E-2</v>
      </c>
      <c r="AT33" s="17">
        <f t="shared" ca="1" si="122"/>
        <v>3.2304021480817131E-2</v>
      </c>
      <c r="AU33" s="17">
        <f t="shared" ca="1" si="122"/>
        <v>9.6666704548887261E-2</v>
      </c>
      <c r="AV33" s="17">
        <f t="shared" ca="1" si="122"/>
        <v>8.2062132722226039E-2</v>
      </c>
      <c r="AW33" s="17">
        <f t="shared" ca="1" si="122"/>
        <v>6.5830674346803467E-2</v>
      </c>
      <c r="AX33" s="17">
        <f t="shared" ca="1" si="122"/>
        <v>2.8809718060607968E-2</v>
      </c>
      <c r="AY33" s="17">
        <f t="shared" ca="1" si="122"/>
        <v>2.1088167888579999E-2</v>
      </c>
      <c r="AZ33" s="17">
        <f t="shared" ca="1" si="122"/>
        <v>5.1320668487583092E-2</v>
      </c>
      <c r="BA33" s="17">
        <f t="shared" ca="1" si="122"/>
        <v>6.5332645936482581E-2</v>
      </c>
      <c r="BB33" s="17">
        <f t="shared" ca="1" si="122"/>
        <v>5.8447691787950812E-2</v>
      </c>
      <c r="BC33" s="17">
        <f t="shared" ca="1" si="122"/>
        <v>3.9259599665373381E-2</v>
      </c>
      <c r="BD33" s="17">
        <f t="shared" ca="1" si="122"/>
        <v>3.5535508803988258E-2</v>
      </c>
      <c r="BE33" s="17">
        <f t="shared" ca="1" si="122"/>
        <v>7.140130084409918E-2</v>
      </c>
      <c r="BF33" s="17">
        <f t="shared" ca="1" si="122"/>
        <v>1.8492436221840693E-2</v>
      </c>
      <c r="BG33" s="17">
        <f t="shared" ca="1" si="122"/>
        <v>7.2629329534012466E-2</v>
      </c>
      <c r="BH33" s="17">
        <f t="shared" ca="1" si="122"/>
        <v>5.5103742547210857E-2</v>
      </c>
      <c r="BI33" s="17">
        <f t="shared" ca="1" si="122"/>
        <v>3.1451084434339818E-2</v>
      </c>
      <c r="BJ33" s="17">
        <f t="shared" ca="1" si="122"/>
        <v>3.8739525109476744E-2</v>
      </c>
      <c r="BK33" s="17">
        <f t="shared" ca="1" si="122"/>
        <v>9.0891584233650347E-2</v>
      </c>
      <c r="BL33" s="17">
        <f t="shared" ca="1" si="122"/>
        <v>6.7930590677822852E-2</v>
      </c>
      <c r="BM33" s="17">
        <f t="shared" ca="1" si="122"/>
        <v>1.6641987795276186E-2</v>
      </c>
      <c r="BN33" s="17">
        <f t="shared" ca="1" si="122"/>
        <v>3.7105758757403538E-2</v>
      </c>
      <c r="BO33" s="17">
        <f t="shared" ca="1" si="122"/>
        <v>0.21856085968838099</v>
      </c>
      <c r="BP33" s="17">
        <f t="shared" ca="1" si="122"/>
        <v>0.17841769023003506</v>
      </c>
      <c r="BQ33" s="17">
        <f t="shared" ca="1" si="122"/>
        <v>0.18047411798671087</v>
      </c>
      <c r="BR33" s="17">
        <f t="shared" ca="1" si="122"/>
        <v>0.18354776352578958</v>
      </c>
      <c r="BS33" s="17" t="str">
        <f t="shared" ca="1" si="122"/>
        <v/>
      </c>
      <c r="BT33" s="17" t="str">
        <f t="shared" ca="1" si="122"/>
        <v/>
      </c>
      <c r="BU33" s="17" t="str">
        <f t="shared" ca="1" si="122"/>
        <v/>
      </c>
      <c r="BV33" s="17" t="str">
        <f t="shared" ca="1" si="123"/>
        <v/>
      </c>
      <c r="BW33" s="17" t="str">
        <f t="shared" ca="1" si="124"/>
        <v/>
      </c>
      <c r="BX33" s="17" t="str">
        <f t="shared" ca="1" si="125"/>
        <v/>
      </c>
      <c r="BY33" s="17" t="str">
        <f t="shared" ca="1" si="126"/>
        <v/>
      </c>
      <c r="BZ33" s="17" t="str">
        <f t="shared" ca="1" si="127"/>
        <v/>
      </c>
      <c r="CA33" s="17" t="str">
        <f t="shared" ca="1" si="128"/>
        <v/>
      </c>
      <c r="CB33" s="17" t="str">
        <f t="shared" ca="1" si="129"/>
        <v/>
      </c>
      <c r="CC33" s="17" t="str">
        <f t="shared" ca="1" si="130"/>
        <v/>
      </c>
      <c r="CD33" s="17" t="str">
        <f t="shared" ca="1" si="131"/>
        <v/>
      </c>
      <c r="CE33" s="17" t="str">
        <f t="shared" ca="1" si="132"/>
        <v/>
      </c>
      <c r="CF33" s="17" t="str">
        <f t="shared" ca="1" si="133"/>
        <v/>
      </c>
      <c r="CG33" s="17" t="str">
        <f t="shared" ca="1" si="134"/>
        <v/>
      </c>
      <c r="CH33" s="17" t="str">
        <f t="shared" ca="1" si="135"/>
        <v/>
      </c>
      <c r="CI33" s="17" t="str">
        <f t="shared" ca="1" si="136"/>
        <v/>
      </c>
      <c r="CJ33" s="17" t="str">
        <f t="shared" ca="1" si="137"/>
        <v/>
      </c>
      <c r="CK33" s="17" t="str">
        <f t="shared" ca="1" si="138"/>
        <v/>
      </c>
      <c r="CL33" s="17" t="str">
        <f t="shared" ca="1" si="139"/>
        <v/>
      </c>
      <c r="CM33" s="17" t="str">
        <f t="shared" ca="1" si="140"/>
        <v/>
      </c>
      <c r="CN33" s="17" t="str">
        <f t="shared" ca="1" si="141"/>
        <v/>
      </c>
      <c r="CO33" s="17" t="str">
        <f t="shared" ca="1" si="142"/>
        <v/>
      </c>
      <c r="CP33" s="17" t="str">
        <f t="shared" ca="1" si="143"/>
        <v/>
      </c>
      <c r="CQ33" s="17" t="str">
        <f t="shared" ca="1" si="144"/>
        <v/>
      </c>
      <c r="CR33" s="17" t="str">
        <f t="shared" ca="1" si="145"/>
        <v/>
      </c>
      <c r="CS33" s="17" t="str">
        <f t="shared" ca="1" si="146"/>
        <v/>
      </c>
      <c r="CT33" s="17" t="str">
        <f t="shared" ca="1" si="147"/>
        <v/>
      </c>
      <c r="CU33" s="17" t="str">
        <f t="shared" ca="1" si="148"/>
        <v/>
      </c>
      <c r="CV33" s="17" t="str">
        <f t="shared" ca="1" si="149"/>
        <v/>
      </c>
      <c r="CW33" s="17" t="str">
        <f t="shared" ca="1" si="150"/>
        <v/>
      </c>
      <c r="CX33" s="17" t="str">
        <f t="shared" ca="1" si="151"/>
        <v/>
      </c>
      <c r="CY33" s="17" t="str">
        <f t="shared" ca="1" si="152"/>
        <v/>
      </c>
      <c r="CZ33" s="17" t="str">
        <f t="shared" ca="1" si="153"/>
        <v/>
      </c>
      <c r="DA33" s="17" t="str">
        <f t="shared" ca="1" si="154"/>
        <v/>
      </c>
      <c r="DB33" s="17" t="str">
        <f t="shared" ca="1" si="155"/>
        <v/>
      </c>
      <c r="DC33" s="17" t="str">
        <f t="shared" ca="1" si="156"/>
        <v/>
      </c>
      <c r="DD33" s="17" t="str">
        <f t="shared" ca="1" si="157"/>
        <v/>
      </c>
      <c r="DE33" s="17" t="str">
        <f t="shared" ca="1" si="158"/>
        <v/>
      </c>
      <c r="DF33" s="17" t="str">
        <f t="shared" ca="1" si="159"/>
        <v/>
      </c>
      <c r="DG33" s="17" t="str">
        <f t="shared" ca="1" si="160"/>
        <v/>
      </c>
      <c r="DH33" s="17" t="str">
        <f t="shared" ca="1" si="161"/>
        <v/>
      </c>
      <c r="DI33" s="17" t="str">
        <f t="shared" ca="1" si="162"/>
        <v/>
      </c>
      <c r="DJ33" s="17" t="str">
        <f t="shared" ca="1" si="163"/>
        <v/>
      </c>
      <c r="DK33" s="17" t="str">
        <f t="shared" ca="1" si="164"/>
        <v/>
      </c>
      <c r="DL33" s="17" t="str">
        <f t="shared" ca="1" si="165"/>
        <v/>
      </c>
      <c r="DM33" s="17" t="str">
        <f t="shared" ca="1" si="166"/>
        <v/>
      </c>
      <c r="DN33" s="17" t="str">
        <f t="shared" ca="1" si="167"/>
        <v/>
      </c>
      <c r="DO33" s="17" t="str">
        <f t="shared" ca="1" si="168"/>
        <v/>
      </c>
      <c r="DP33" s="17" t="str">
        <f t="shared" ca="1" si="169"/>
        <v/>
      </c>
      <c r="DQ33" s="17" t="str">
        <f t="shared" ca="1" si="170"/>
        <v/>
      </c>
      <c r="DR33" s="17" t="str">
        <f t="shared" ca="1" si="171"/>
        <v/>
      </c>
    </row>
    <row r="34" spans="1:122" x14ac:dyDescent="0.25">
      <c r="A34" s="4">
        <v>4</v>
      </c>
      <c r="O34" s="17">
        <f t="shared" ref="O34:AJ34" ca="1" si="174">IF(O6="","",AVERAGE(K25:N25)+CONFIDENCE(0.05,STDEV(B25:N25),COUNT(B25:N25)))</f>
        <v>9.7157413891184624E-2</v>
      </c>
      <c r="P34" s="17">
        <f t="shared" ca="1" si="174"/>
        <v>0.11443099004948137</v>
      </c>
      <c r="Q34" s="17">
        <f t="shared" ca="1" si="174"/>
        <v>0.18355730357338115</v>
      </c>
      <c r="R34" s="17">
        <f t="shared" ca="1" si="174"/>
        <v>0.24698552248000899</v>
      </c>
      <c r="S34" s="17">
        <f t="shared" ca="1" si="174"/>
        <v>0.32686077419029413</v>
      </c>
      <c r="T34" s="17">
        <f t="shared" ca="1" si="174"/>
        <v>0.39148315549170254</v>
      </c>
      <c r="U34" s="17">
        <f t="shared" ca="1" si="174"/>
        <v>0.39715940539738476</v>
      </c>
      <c r="V34" s="17">
        <f t="shared" ca="1" si="174"/>
        <v>0.38351399597065522</v>
      </c>
      <c r="W34" s="17">
        <f t="shared" ca="1" si="174"/>
        <v>0.30192588750822041</v>
      </c>
      <c r="X34" s="17">
        <f t="shared" ca="1" si="174"/>
        <v>0.33418332060249401</v>
      </c>
      <c r="Y34" s="17">
        <f t="shared" ca="1" si="174"/>
        <v>0.29700260849476068</v>
      </c>
      <c r="Z34" s="17">
        <f t="shared" ca="1" si="174"/>
        <v>0.24212266247262548</v>
      </c>
      <c r="AA34" s="17">
        <f t="shared" ca="1" si="174"/>
        <v>0.25486931442045452</v>
      </c>
      <c r="AB34" s="17">
        <f t="shared" ca="1" si="174"/>
        <v>0.15494982264422558</v>
      </c>
      <c r="AC34" s="17">
        <f t="shared" ca="1" si="174"/>
        <v>0.14148159000162969</v>
      </c>
      <c r="AD34" s="17">
        <f t="shared" ca="1" si="174"/>
        <v>0.13906374266884711</v>
      </c>
      <c r="AE34" s="17">
        <f t="shared" ca="1" si="174"/>
        <v>0.14044641095030985</v>
      </c>
      <c r="AF34" s="17">
        <f t="shared" ca="1" si="174"/>
        <v>0.14041388940435845</v>
      </c>
      <c r="AG34" s="17">
        <f t="shared" ca="1" si="174"/>
        <v>0.13989931944487527</v>
      </c>
      <c r="AH34" s="17">
        <f t="shared" ca="1" si="174"/>
        <v>0.14658198495766533</v>
      </c>
      <c r="AI34" s="17">
        <f t="shared" ca="1" si="174"/>
        <v>0.13617924771492504</v>
      </c>
      <c r="AJ34" s="17">
        <f t="shared" ca="1" si="174"/>
        <v>0.12035699097270519</v>
      </c>
      <c r="AK34" s="17">
        <f ca="1">IF(AK6="","",AVERAGE(AG25:AJ25)+CONFIDENCE(0.05,STDEV(X25:AJ25),COUNT(X25:AJ25)))</f>
        <v>6.0061293582294804E-2</v>
      </c>
      <c r="AL34" s="17">
        <f t="shared" ca="1" si="173"/>
        <v>9.38512870658402E-2</v>
      </c>
      <c r="AM34" s="17">
        <f t="shared" ca="1" si="122"/>
        <v>0.10710124223103061</v>
      </c>
      <c r="AN34" s="17">
        <f t="shared" ca="1" si="122"/>
        <v>0.16901371400461149</v>
      </c>
      <c r="AO34" s="17">
        <f t="shared" ca="1" si="122"/>
        <v>0.11475692533936588</v>
      </c>
      <c r="AP34" s="17">
        <f t="shared" ca="1" si="122"/>
        <v>0.13191689191688172</v>
      </c>
      <c r="AQ34" s="17">
        <f t="shared" ca="1" si="122"/>
        <v>9.2486386862866657E-2</v>
      </c>
      <c r="AR34" s="17">
        <f t="shared" ca="1" si="122"/>
        <v>6.648274196662618E-2</v>
      </c>
      <c r="AS34" s="17">
        <f t="shared" ca="1" si="122"/>
        <v>4.0804181222980934E-2</v>
      </c>
      <c r="AT34" s="17">
        <f t="shared" ca="1" si="122"/>
        <v>7.1942033533826721E-2</v>
      </c>
      <c r="AU34" s="17">
        <f t="shared" ca="1" si="122"/>
        <v>0.12437950828215881</v>
      </c>
      <c r="AV34" s="17">
        <f t="shared" ca="1" si="122"/>
        <v>9.4123837477662578E-2</v>
      </c>
      <c r="AW34" s="17">
        <f t="shared" ca="1" si="122"/>
        <v>6.9309013672391534E-2</v>
      </c>
      <c r="AX34" s="17">
        <f t="shared" ca="1" si="122"/>
        <v>2.671100383958231E-2</v>
      </c>
      <c r="AY34" s="17">
        <f t="shared" ca="1" si="122"/>
        <v>4.5674442997978473E-2</v>
      </c>
      <c r="AZ34" s="17">
        <f t="shared" ca="1" si="122"/>
        <v>6.3185634044890804E-2</v>
      </c>
      <c r="BA34" s="17">
        <f t="shared" ca="1" si="122"/>
        <v>0.11460750686177452</v>
      </c>
      <c r="BB34" s="17">
        <f t="shared" ca="1" si="122"/>
        <v>6.9646777828507769E-2</v>
      </c>
      <c r="BC34" s="17">
        <f t="shared" ca="1" si="122"/>
        <v>3.13343918925751E-2</v>
      </c>
      <c r="BD34" s="17">
        <f t="shared" ca="1" si="122"/>
        <v>4.317511477300652E-2</v>
      </c>
      <c r="BE34" s="17">
        <f t="shared" ca="1" si="122"/>
        <v>4.587708710705804E-2</v>
      </c>
      <c r="BF34" s="17">
        <f t="shared" ca="1" si="122"/>
        <v>2.4693685782907159E-2</v>
      </c>
      <c r="BG34" s="17">
        <f t="shared" ca="1" si="122"/>
        <v>8.2738943317977695E-2</v>
      </c>
      <c r="BH34" s="17">
        <f t="shared" ca="1" si="122"/>
        <v>6.4786952303485149E-2</v>
      </c>
      <c r="BI34" s="17">
        <f t="shared" ca="1" si="122"/>
        <v>5.1259922599591515E-2</v>
      </c>
      <c r="BJ34" s="17">
        <f t="shared" ca="1" si="122"/>
        <v>7.2270919618303162E-2</v>
      </c>
      <c r="BK34" s="17">
        <f t="shared" ca="1" si="122"/>
        <v>8.2781020920437987E-2</v>
      </c>
      <c r="BL34" s="17">
        <f t="shared" ca="1" si="122"/>
        <v>7.9761642810507558E-2</v>
      </c>
      <c r="BM34" s="17">
        <f t="shared" ca="1" si="122"/>
        <v>7.6792289153959109E-2</v>
      </c>
      <c r="BN34" s="17">
        <f t="shared" ca="1" si="122"/>
        <v>0.14930702811931906</v>
      </c>
      <c r="BO34" s="17">
        <f t="shared" ca="1" si="122"/>
        <v>0.2144701448875013</v>
      </c>
      <c r="BP34" s="17">
        <f t="shared" ca="1" si="122"/>
        <v>0.21555713049471309</v>
      </c>
      <c r="BQ34" s="17">
        <f t="shared" ca="1" si="122"/>
        <v>0.21722834307112673</v>
      </c>
      <c r="BR34" s="17">
        <f t="shared" ca="1" si="122"/>
        <v>0.2191408210340017</v>
      </c>
      <c r="BS34" s="17" t="str">
        <f t="shared" ca="1" si="122"/>
        <v/>
      </c>
      <c r="BT34" s="17" t="str">
        <f t="shared" ca="1" si="122"/>
        <v/>
      </c>
      <c r="BU34" s="17" t="str">
        <f t="shared" ca="1" si="122"/>
        <v/>
      </c>
      <c r="BV34" s="17" t="str">
        <f t="shared" ca="1" si="123"/>
        <v/>
      </c>
      <c r="BW34" s="17" t="str">
        <f t="shared" ca="1" si="124"/>
        <v/>
      </c>
      <c r="BX34" s="17" t="str">
        <f t="shared" ca="1" si="125"/>
        <v/>
      </c>
      <c r="BY34" s="17" t="str">
        <f t="shared" ca="1" si="126"/>
        <v/>
      </c>
      <c r="BZ34" s="17" t="str">
        <f t="shared" ca="1" si="127"/>
        <v/>
      </c>
      <c r="CA34" s="17" t="str">
        <f t="shared" ca="1" si="128"/>
        <v/>
      </c>
      <c r="CB34" s="17" t="str">
        <f t="shared" ca="1" si="129"/>
        <v/>
      </c>
      <c r="CC34" s="17" t="str">
        <f t="shared" ca="1" si="130"/>
        <v/>
      </c>
      <c r="CD34" s="17" t="str">
        <f t="shared" ca="1" si="131"/>
        <v/>
      </c>
      <c r="CE34" s="17" t="str">
        <f t="shared" ca="1" si="132"/>
        <v/>
      </c>
      <c r="CF34" s="17" t="str">
        <f t="shared" ca="1" si="133"/>
        <v/>
      </c>
      <c r="CG34" s="17" t="str">
        <f t="shared" ca="1" si="134"/>
        <v/>
      </c>
      <c r="CH34" s="17" t="str">
        <f t="shared" ca="1" si="135"/>
        <v/>
      </c>
      <c r="CI34" s="17" t="str">
        <f t="shared" ca="1" si="136"/>
        <v/>
      </c>
      <c r="CJ34" s="17" t="str">
        <f t="shared" ca="1" si="137"/>
        <v/>
      </c>
      <c r="CK34" s="17" t="str">
        <f t="shared" ca="1" si="138"/>
        <v/>
      </c>
      <c r="CL34" s="17" t="str">
        <f t="shared" ca="1" si="139"/>
        <v/>
      </c>
      <c r="CM34" s="17" t="str">
        <f t="shared" ca="1" si="140"/>
        <v/>
      </c>
      <c r="CN34" s="17" t="str">
        <f t="shared" ca="1" si="141"/>
        <v/>
      </c>
      <c r="CO34" s="17" t="str">
        <f t="shared" ca="1" si="142"/>
        <v/>
      </c>
      <c r="CP34" s="17" t="str">
        <f t="shared" ca="1" si="143"/>
        <v/>
      </c>
      <c r="CQ34" s="17" t="str">
        <f t="shared" ca="1" si="144"/>
        <v/>
      </c>
      <c r="CR34" s="17" t="str">
        <f t="shared" ca="1" si="145"/>
        <v/>
      </c>
      <c r="CS34" s="17" t="str">
        <f t="shared" ca="1" si="146"/>
        <v/>
      </c>
      <c r="CT34" s="17" t="str">
        <f t="shared" ca="1" si="147"/>
        <v/>
      </c>
      <c r="CU34" s="17" t="str">
        <f t="shared" ca="1" si="148"/>
        <v/>
      </c>
      <c r="CV34" s="17" t="str">
        <f t="shared" ca="1" si="149"/>
        <v/>
      </c>
      <c r="CW34" s="17" t="str">
        <f t="shared" ca="1" si="150"/>
        <v/>
      </c>
      <c r="CX34" s="17" t="str">
        <f t="shared" ca="1" si="151"/>
        <v/>
      </c>
      <c r="CY34" s="17" t="str">
        <f t="shared" ca="1" si="152"/>
        <v/>
      </c>
      <c r="CZ34" s="17" t="str">
        <f t="shared" ca="1" si="153"/>
        <v/>
      </c>
      <c r="DA34" s="17" t="str">
        <f t="shared" ca="1" si="154"/>
        <v/>
      </c>
      <c r="DB34" s="17" t="str">
        <f t="shared" ca="1" si="155"/>
        <v/>
      </c>
      <c r="DC34" s="17" t="str">
        <f t="shared" ca="1" si="156"/>
        <v/>
      </c>
      <c r="DD34" s="17" t="str">
        <f t="shared" ca="1" si="157"/>
        <v/>
      </c>
      <c r="DE34" s="17" t="str">
        <f t="shared" ca="1" si="158"/>
        <v/>
      </c>
      <c r="DF34" s="17" t="str">
        <f t="shared" ca="1" si="159"/>
        <v/>
      </c>
      <c r="DG34" s="17" t="str">
        <f t="shared" ca="1" si="160"/>
        <v/>
      </c>
      <c r="DH34" s="17" t="str">
        <f t="shared" ca="1" si="161"/>
        <v/>
      </c>
      <c r="DI34" s="17" t="str">
        <f t="shared" ca="1" si="162"/>
        <v/>
      </c>
      <c r="DJ34" s="17" t="str">
        <f t="shared" ca="1" si="163"/>
        <v/>
      </c>
      <c r="DK34" s="17" t="str">
        <f t="shared" ca="1" si="164"/>
        <v/>
      </c>
      <c r="DL34" s="17" t="str">
        <f t="shared" ca="1" si="165"/>
        <v/>
      </c>
      <c r="DM34" s="17" t="str">
        <f t="shared" ca="1" si="166"/>
        <v/>
      </c>
      <c r="DN34" s="17" t="str">
        <f t="shared" ca="1" si="167"/>
        <v/>
      </c>
      <c r="DO34" s="17" t="str">
        <f t="shared" ca="1" si="168"/>
        <v/>
      </c>
      <c r="DP34" s="17" t="str">
        <f t="shared" ca="1" si="169"/>
        <v/>
      </c>
      <c r="DQ34" s="17" t="str">
        <f t="shared" ca="1" si="170"/>
        <v/>
      </c>
      <c r="DR34" s="17" t="str">
        <f t="shared" ca="1" si="171"/>
        <v/>
      </c>
    </row>
    <row r="35" spans="1:122" x14ac:dyDescent="0.25">
      <c r="A35" s="4"/>
      <c r="O35" s="17"/>
      <c r="P35" s="17"/>
      <c r="Q35" s="17"/>
      <c r="R35" s="17"/>
      <c r="S35" s="17"/>
      <c r="T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  <c r="AR35" s="17"/>
      <c r="AS35" s="17"/>
      <c r="AT35" s="17"/>
      <c r="AU35" s="17"/>
      <c r="AV35" s="17"/>
      <c r="AW35" s="17"/>
      <c r="AX35" s="17"/>
      <c r="AY35" s="17"/>
      <c r="AZ35" s="17"/>
      <c r="BA35" s="17"/>
      <c r="BB35" s="17"/>
      <c r="BC35" s="17"/>
      <c r="BD35" s="17"/>
      <c r="BE35" s="17"/>
      <c r="BF35" s="17"/>
      <c r="BG35" s="17"/>
      <c r="BH35" s="17"/>
      <c r="BI35" s="17"/>
      <c r="BJ35" s="17"/>
      <c r="BK35" s="17"/>
      <c r="BL35" s="17"/>
      <c r="BM35" s="17"/>
      <c r="BN35" s="17"/>
      <c r="BO35" s="17"/>
      <c r="BP35" s="17"/>
      <c r="BQ35" s="17"/>
      <c r="BR35" s="17"/>
      <c r="BS35" s="17"/>
      <c r="BT35" s="17"/>
      <c r="BU35" s="17"/>
      <c r="BV35" s="17"/>
      <c r="BW35" s="17"/>
      <c r="BX35" s="17"/>
      <c r="BY35" s="17"/>
      <c r="BZ35" s="17"/>
      <c r="CA35" s="17"/>
      <c r="CB35" s="17"/>
      <c r="CC35" s="17"/>
      <c r="CD35" s="17"/>
      <c r="CE35" s="17"/>
      <c r="CF35" s="17"/>
      <c r="CG35" s="17"/>
      <c r="CH35" s="17"/>
      <c r="CI35" s="17"/>
      <c r="CJ35" s="17"/>
      <c r="CK35" s="17"/>
      <c r="CL35" s="17"/>
      <c r="CM35" s="17"/>
      <c r="CN35" s="17"/>
      <c r="CO35" s="17"/>
      <c r="CP35" s="17"/>
      <c r="CQ35" s="17"/>
      <c r="CR35" s="17"/>
      <c r="CS35" s="17"/>
      <c r="CT35" s="17"/>
      <c r="CU35" s="17"/>
      <c r="CV35" s="17"/>
      <c r="CW35" s="17"/>
      <c r="CX35" s="17"/>
      <c r="CY35" s="17"/>
      <c r="CZ35" s="17"/>
      <c r="DA35" s="17"/>
      <c r="DB35" s="17"/>
      <c r="DC35" s="17"/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</row>
    <row r="36" spans="1:122" x14ac:dyDescent="0.25">
      <c r="A36" s="4"/>
      <c r="O36" s="17"/>
      <c r="P36" s="17"/>
      <c r="Q36" s="17"/>
      <c r="R36" s="17"/>
      <c r="S36" s="17"/>
      <c r="T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  <c r="AR36" s="17"/>
      <c r="AS36" s="17"/>
      <c r="AT36" s="17"/>
      <c r="AU36" s="17"/>
      <c r="AV36" s="17"/>
      <c r="AW36" s="17"/>
      <c r="AX36" s="17"/>
      <c r="AY36" s="17"/>
      <c r="AZ36" s="17"/>
      <c r="BA36" s="17"/>
      <c r="BB36" s="17"/>
      <c r="BC36" s="17"/>
      <c r="BD36" s="17"/>
      <c r="BE36" s="17"/>
      <c r="BF36" s="17"/>
      <c r="BG36" s="17"/>
      <c r="BH36" s="17"/>
      <c r="BI36" s="17"/>
      <c r="BJ36" s="17"/>
      <c r="BK36" s="17"/>
      <c r="BL36" s="17"/>
      <c r="BM36" s="17"/>
      <c r="BN36" s="17"/>
      <c r="BO36" s="17"/>
      <c r="BP36" s="17"/>
      <c r="BQ36" s="17"/>
      <c r="BR36" s="17"/>
      <c r="BS36" s="17"/>
      <c r="BT36" s="17"/>
      <c r="BU36" s="17"/>
      <c r="BV36" s="17"/>
      <c r="BW36" s="17"/>
      <c r="BX36" s="17"/>
      <c r="BY36" s="17"/>
      <c r="BZ36" s="17"/>
      <c r="CA36" s="17"/>
      <c r="CB36" s="17"/>
      <c r="CC36" s="17"/>
      <c r="CD36" s="17"/>
      <c r="CE36" s="17"/>
      <c r="CF36" s="17"/>
      <c r="CG36" s="17"/>
      <c r="CH36" s="17"/>
      <c r="CI36" s="17"/>
      <c r="CJ36" s="17"/>
      <c r="CK36" s="17"/>
      <c r="CL36" s="17"/>
      <c r="CM36" s="17"/>
      <c r="CN36" s="17"/>
      <c r="CO36" s="17"/>
      <c r="CP36" s="17"/>
      <c r="CQ36" s="17"/>
      <c r="CR36" s="17"/>
      <c r="CS36" s="17"/>
      <c r="CT36" s="17"/>
      <c r="CU36" s="17"/>
      <c r="CV36" s="17"/>
      <c r="CW36" s="17"/>
      <c r="CX36" s="17"/>
      <c r="CY36" s="17"/>
      <c r="CZ36" s="17"/>
      <c r="DA36" s="17"/>
      <c r="DB36" s="17"/>
      <c r="DC36" s="17"/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</row>
    <row r="37" spans="1:122" x14ac:dyDescent="0.25">
      <c r="A37" s="4"/>
      <c r="O37" s="17"/>
      <c r="P37" s="17"/>
      <c r="Q37" s="17"/>
      <c r="R37" s="17"/>
      <c r="S37" s="17"/>
      <c r="T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  <c r="AR37" s="17"/>
      <c r="AS37" s="17"/>
      <c r="AT37" s="17"/>
      <c r="AU37" s="17"/>
      <c r="AV37" s="17"/>
      <c r="AW37" s="17"/>
      <c r="AX37" s="17"/>
      <c r="AY37" s="17"/>
      <c r="AZ37" s="17"/>
      <c r="BA37" s="17"/>
      <c r="BB37" s="17"/>
      <c r="BC37" s="17"/>
      <c r="BD37" s="17"/>
      <c r="BE37" s="17"/>
      <c r="BF37" s="17"/>
      <c r="BG37" s="17"/>
      <c r="BH37" s="17"/>
      <c r="BI37" s="17"/>
      <c r="BJ37" s="17"/>
      <c r="BK37" s="17"/>
      <c r="BL37" s="17"/>
      <c r="BM37" s="17"/>
      <c r="BN37" s="17"/>
      <c r="BO37" s="17"/>
      <c r="BP37" s="17"/>
      <c r="BQ37" s="17"/>
      <c r="BR37" s="17"/>
      <c r="BS37" s="17"/>
      <c r="BT37" s="17"/>
      <c r="BU37" s="17"/>
      <c r="BV37" s="17"/>
      <c r="BW37" s="17"/>
      <c r="BX37" s="17"/>
      <c r="BY37" s="17"/>
      <c r="BZ37" s="17"/>
      <c r="CA37" s="17"/>
      <c r="CB37" s="17"/>
      <c r="CC37" s="17"/>
      <c r="CD37" s="17"/>
      <c r="CE37" s="17"/>
      <c r="CF37" s="17"/>
      <c r="CG37" s="17"/>
      <c r="CH37" s="17"/>
      <c r="CI37" s="17"/>
      <c r="CJ37" s="17"/>
      <c r="CK37" s="17"/>
      <c r="CL37" s="17"/>
      <c r="CM37" s="17"/>
      <c r="CN37" s="17"/>
      <c r="CO37" s="17"/>
      <c r="CP37" s="17"/>
      <c r="CQ37" s="17"/>
      <c r="CR37" s="17"/>
      <c r="CS37" s="17"/>
      <c r="CT37" s="17"/>
      <c r="CU37" s="17"/>
      <c r="CV37" s="17"/>
      <c r="CW37" s="17"/>
      <c r="CX37" s="17"/>
      <c r="CY37" s="17"/>
      <c r="CZ37" s="17"/>
      <c r="DA37" s="17"/>
      <c r="DB37" s="17"/>
      <c r="DC37" s="17"/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</row>
    <row r="38" spans="1:122" x14ac:dyDescent="0.25">
      <c r="A38" s="4"/>
      <c r="O38" s="17"/>
      <c r="P38" s="17"/>
      <c r="Q38" s="17"/>
      <c r="R38" s="17"/>
      <c r="S38" s="17"/>
      <c r="T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  <c r="AR38" s="17"/>
      <c r="AS38" s="17"/>
      <c r="AT38" s="17"/>
      <c r="AU38" s="17"/>
      <c r="AV38" s="17"/>
      <c r="AW38" s="17"/>
      <c r="AX38" s="17"/>
      <c r="AY38" s="17"/>
      <c r="AZ38" s="17"/>
      <c r="BA38" s="17"/>
      <c r="BB38" s="17"/>
      <c r="BC38" s="17"/>
      <c r="BD38" s="17"/>
      <c r="BE38" s="17"/>
      <c r="BF38" s="17"/>
      <c r="BG38" s="17"/>
      <c r="BH38" s="17"/>
      <c r="BI38" s="17"/>
      <c r="BJ38" s="17"/>
      <c r="BK38" s="17"/>
      <c r="BL38" s="17"/>
      <c r="BM38" s="17"/>
      <c r="BN38" s="17"/>
      <c r="BO38" s="17"/>
      <c r="BP38" s="17"/>
      <c r="BQ38" s="17"/>
      <c r="BR38" s="17"/>
      <c r="BS38" s="17"/>
      <c r="BT38" s="17"/>
      <c r="BU38" s="17"/>
      <c r="BV38" s="17"/>
      <c r="BW38" s="17"/>
      <c r="BX38" s="17"/>
      <c r="BY38" s="17"/>
      <c r="BZ38" s="17"/>
      <c r="CA38" s="17"/>
      <c r="CB38" s="17"/>
      <c r="CC38" s="17"/>
      <c r="CD38" s="17"/>
      <c r="CE38" s="17"/>
      <c r="CF38" s="17"/>
      <c r="CG38" s="17"/>
      <c r="CH38" s="17"/>
      <c r="CI38" s="17"/>
      <c r="CJ38" s="17"/>
      <c r="CK38" s="17"/>
      <c r="CL38" s="17"/>
      <c r="CM38" s="17"/>
      <c r="CN38" s="17"/>
      <c r="CO38" s="17"/>
      <c r="CP38" s="17"/>
      <c r="CQ38" s="17"/>
      <c r="CR38" s="17"/>
      <c r="CS38" s="17"/>
      <c r="CT38" s="17"/>
      <c r="CU38" s="17"/>
      <c r="CV38" s="17"/>
      <c r="CW38" s="17"/>
      <c r="CX38" s="17"/>
      <c r="CY38" s="17"/>
      <c r="CZ38" s="17"/>
      <c r="DA38" s="17"/>
      <c r="DB38" s="17"/>
      <c r="DC38" s="17"/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</row>
  </sheetData>
  <conditionalFormatting sqref="B13:DR20">
    <cfRule type="expression" dxfId="3" priority="3">
      <formula>B13&lt;-$DX13</formula>
    </cfRule>
    <cfRule type="expression" dxfId="2" priority="4">
      <formula>B13&gt;$DX13</formula>
    </cfRule>
  </conditionalFormatting>
  <conditionalFormatting sqref="B22:DR29">
    <cfRule type="expression" dxfId="1" priority="2">
      <formula>B22&gt;$DX22</formula>
    </cfRule>
  </conditionalFormatting>
  <conditionalFormatting sqref="B13:DR20 B22:DR29">
    <cfRule type="cellIs" dxfId="0" priority="1" operator="equal">
      <formula>""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E273"/>
  <sheetViews>
    <sheetView workbookViewId="0">
      <selection activeCell="D3" sqref="D3"/>
    </sheetView>
  </sheetViews>
  <sheetFormatPr baseColWidth="10" defaultRowHeight="15" x14ac:dyDescent="0.25"/>
  <cols>
    <col min="1" max="1" width="10.7109375" bestFit="1" customWidth="1"/>
    <col min="2" max="2" width="12.140625" bestFit="1" customWidth="1"/>
  </cols>
  <sheetData>
    <row r="1" spans="1:5" x14ac:dyDescent="0.25">
      <c r="A1" t="s">
        <v>0</v>
      </c>
      <c r="B1" s="1" t="s">
        <v>7</v>
      </c>
      <c r="D1" t="s">
        <v>8</v>
      </c>
      <c r="E1" t="s">
        <v>9</v>
      </c>
    </row>
    <row r="2" spans="1:5" x14ac:dyDescent="0.25">
      <c r="A2" s="2">
        <v>28033</v>
      </c>
      <c r="B2" s="1">
        <f>IF([1]Rseries!H7="","",[1]Rseries!H7)</f>
        <v>605300</v>
      </c>
      <c r="D2">
        <f>COUNT(Mediana!3:3)-Amplitud</f>
        <v>38</v>
      </c>
      <c r="E2">
        <v>32</v>
      </c>
    </row>
    <row r="3" spans="1:5" x14ac:dyDescent="0.25">
      <c r="A3" s="2">
        <v>28125</v>
      </c>
      <c r="B3" s="1">
        <f>IF([1]Rseries!H8="","",[1]Rseries!H8)</f>
        <v>644300</v>
      </c>
    </row>
    <row r="4" spans="1:5" x14ac:dyDescent="0.25">
      <c r="A4" s="2">
        <v>28215</v>
      </c>
      <c r="B4" s="1">
        <f>IF([1]Rseries!H9="","",[1]Rseries!H9)</f>
        <v>670400</v>
      </c>
    </row>
    <row r="5" spans="1:5" x14ac:dyDescent="0.25">
      <c r="A5" s="2">
        <v>28306</v>
      </c>
      <c r="B5" s="1">
        <f>IF([1]Rseries!H10="","",[1]Rseries!H10)</f>
        <v>647700</v>
      </c>
    </row>
    <row r="6" spans="1:5" x14ac:dyDescent="0.25">
      <c r="A6" s="2">
        <v>28398</v>
      </c>
      <c r="B6" s="1">
        <f>IF([1]Rseries!H11="","",[1]Rseries!H11)</f>
        <v>727200</v>
      </c>
    </row>
    <row r="7" spans="1:5" x14ac:dyDescent="0.25">
      <c r="A7" s="2">
        <v>28490</v>
      </c>
      <c r="B7" s="1">
        <f>IF([1]Rseries!H12="","",[1]Rseries!H12)</f>
        <v>776400</v>
      </c>
    </row>
    <row r="8" spans="1:5" x14ac:dyDescent="0.25">
      <c r="A8" s="2">
        <v>28580</v>
      </c>
      <c r="B8" s="1">
        <f>IF([1]Rseries!H13="","",[1]Rseries!H13)</f>
        <v>878300</v>
      </c>
    </row>
    <row r="9" spans="1:5" x14ac:dyDescent="0.25">
      <c r="A9" s="2">
        <v>28671</v>
      </c>
      <c r="B9" s="1">
        <f>IF([1]Rseries!H14="","",[1]Rseries!H14)</f>
        <v>893900</v>
      </c>
    </row>
    <row r="10" spans="1:5" x14ac:dyDescent="0.25">
      <c r="A10" s="2">
        <v>28763</v>
      </c>
      <c r="B10" s="1">
        <f>IF([1]Rseries!H15="","",[1]Rseries!H15)</f>
        <v>958900</v>
      </c>
    </row>
    <row r="11" spans="1:5" x14ac:dyDescent="0.25">
      <c r="A11" s="2">
        <v>28855</v>
      </c>
      <c r="B11" s="1">
        <f>IF([1]Rseries!H16="","",[1]Rseries!H16)</f>
        <v>1032600</v>
      </c>
    </row>
    <row r="12" spans="1:5" x14ac:dyDescent="0.25">
      <c r="A12" s="2">
        <v>28945</v>
      </c>
      <c r="B12" s="1">
        <f>IF([1]Rseries!H17="","",[1]Rseries!H17)</f>
        <v>1104100</v>
      </c>
    </row>
    <row r="13" spans="1:5" x14ac:dyDescent="0.25">
      <c r="A13" s="2">
        <v>29036</v>
      </c>
      <c r="B13" s="1">
        <f>IF([1]Rseries!H18="","",[1]Rseries!H18)</f>
        <v>1102800</v>
      </c>
    </row>
    <row r="14" spans="1:5" x14ac:dyDescent="0.25">
      <c r="A14" s="2">
        <v>29128</v>
      </c>
      <c r="B14" s="1">
        <f>IF([1]Rseries!H19="","",[1]Rseries!H19)</f>
        <v>1185800</v>
      </c>
    </row>
    <row r="15" spans="1:5" x14ac:dyDescent="0.25">
      <c r="A15" s="2">
        <v>29220</v>
      </c>
      <c r="B15" s="1">
        <f>IF([1]Rseries!H20="","",[1]Rseries!H20)</f>
        <v>1295800</v>
      </c>
    </row>
    <row r="16" spans="1:5" x14ac:dyDescent="0.25">
      <c r="A16" s="2">
        <v>29311</v>
      </c>
      <c r="B16" s="1">
        <f>IF([1]Rseries!H21="","",[1]Rseries!H21)</f>
        <v>1444500</v>
      </c>
    </row>
    <row r="17" spans="1:2" x14ac:dyDescent="0.25">
      <c r="A17" s="2">
        <v>29402</v>
      </c>
      <c r="B17" s="1">
        <f>IF([1]Rseries!H22="","",[1]Rseries!H22)</f>
        <v>1503800</v>
      </c>
    </row>
    <row r="18" spans="1:2" x14ac:dyDescent="0.25">
      <c r="A18" s="2">
        <v>29494</v>
      </c>
      <c r="B18" s="1">
        <f>IF([1]Rseries!H23="","",[1]Rseries!H23)</f>
        <v>1557900</v>
      </c>
    </row>
    <row r="19" spans="1:2" x14ac:dyDescent="0.25">
      <c r="A19" s="2">
        <v>29586</v>
      </c>
      <c r="B19" s="1">
        <f>IF([1]Rseries!H24="","",[1]Rseries!H24)</f>
        <v>1690300</v>
      </c>
    </row>
    <row r="20" spans="1:2" x14ac:dyDescent="0.25">
      <c r="A20" s="2">
        <v>29676</v>
      </c>
      <c r="B20" s="1">
        <f>IF([1]Rseries!H25="","",[1]Rseries!H25)</f>
        <v>1816500</v>
      </c>
    </row>
    <row r="21" spans="1:2" x14ac:dyDescent="0.25">
      <c r="A21" s="2">
        <v>29767</v>
      </c>
      <c r="B21" s="1">
        <f>IF([1]Rseries!H26="","",[1]Rseries!H26)</f>
        <v>1845500</v>
      </c>
    </row>
    <row r="22" spans="1:2" x14ac:dyDescent="0.25">
      <c r="A22" s="2">
        <v>29859</v>
      </c>
      <c r="B22" s="1">
        <f>IF([1]Rseries!H27="","",[1]Rseries!H27)</f>
        <v>1921300</v>
      </c>
    </row>
    <row r="23" spans="1:2" x14ac:dyDescent="0.25">
      <c r="A23" s="2">
        <v>29951</v>
      </c>
      <c r="B23" s="1">
        <f>IF([1]Rseries!H28="","",[1]Rseries!H28)</f>
        <v>2048200</v>
      </c>
    </row>
    <row r="24" spans="1:2" x14ac:dyDescent="0.25">
      <c r="A24" s="2">
        <v>30041</v>
      </c>
      <c r="B24" s="1">
        <f>IF([1]Rseries!H29="","",[1]Rseries!H29)</f>
        <v>2121600</v>
      </c>
    </row>
    <row r="25" spans="1:2" x14ac:dyDescent="0.25">
      <c r="A25" s="2">
        <v>30132</v>
      </c>
      <c r="B25" s="1">
        <f>IF([1]Rseries!H30="","",[1]Rseries!H30)</f>
        <v>2093900</v>
      </c>
    </row>
    <row r="26" spans="1:2" x14ac:dyDescent="0.25">
      <c r="A26" s="2">
        <v>30224</v>
      </c>
      <c r="B26" s="1">
        <f>IF([1]Rseries!H31="","",[1]Rseries!H31)</f>
        <v>2194800</v>
      </c>
    </row>
    <row r="27" spans="1:2" x14ac:dyDescent="0.25">
      <c r="A27" s="2">
        <v>30316</v>
      </c>
      <c r="B27" s="1">
        <f>IF([1]Rseries!H32="","",[1]Rseries!H32)</f>
        <v>2302200</v>
      </c>
    </row>
    <row r="28" spans="1:2" x14ac:dyDescent="0.25">
      <c r="A28" s="2">
        <v>30406</v>
      </c>
      <c r="B28" s="1">
        <f>IF([1]Rseries!H33="","",[1]Rseries!H33)</f>
        <v>2389900</v>
      </c>
    </row>
    <row r="29" spans="1:2" x14ac:dyDescent="0.25">
      <c r="A29" s="2">
        <v>30497</v>
      </c>
      <c r="B29" s="1">
        <f>IF([1]Rseries!H34="","",[1]Rseries!H34)</f>
        <v>2334700</v>
      </c>
    </row>
    <row r="30" spans="1:2" x14ac:dyDescent="0.25">
      <c r="A30" s="2">
        <v>30589</v>
      </c>
      <c r="B30" s="1">
        <f>IF([1]Rseries!H35="","",[1]Rseries!H35)</f>
        <v>2400600</v>
      </c>
    </row>
    <row r="31" spans="1:2" x14ac:dyDescent="0.25">
      <c r="A31" s="2">
        <v>30681</v>
      </c>
      <c r="B31" s="1">
        <f>IF([1]Rseries!H36="","",[1]Rseries!H36)</f>
        <v>2517400</v>
      </c>
    </row>
    <row r="32" spans="1:2" x14ac:dyDescent="0.25">
      <c r="A32" s="2">
        <v>30772</v>
      </c>
      <c r="B32" s="1">
        <f>IF([1]Rseries!H37="","",[1]Rseries!H37)</f>
        <v>2739500</v>
      </c>
    </row>
    <row r="33" spans="1:2" x14ac:dyDescent="0.25">
      <c r="A33" s="2">
        <v>30863</v>
      </c>
      <c r="B33" s="1">
        <f>IF([1]Rseries!H38="","",[1]Rseries!H38)</f>
        <v>2739000</v>
      </c>
    </row>
    <row r="34" spans="1:2" x14ac:dyDescent="0.25">
      <c r="A34" s="2">
        <v>30955</v>
      </c>
      <c r="B34" s="1">
        <f>IF([1]Rseries!H39="","",[1]Rseries!H39)</f>
        <v>2796100</v>
      </c>
    </row>
    <row r="35" spans="1:2" x14ac:dyDescent="0.25">
      <c r="A35" s="2">
        <v>31047</v>
      </c>
      <c r="B35" s="1">
        <f>IF([1]Rseries!H40="","",[1]Rseries!H40)</f>
        <v>2964700</v>
      </c>
    </row>
    <row r="36" spans="1:2" x14ac:dyDescent="0.25">
      <c r="A36" s="2">
        <v>31137</v>
      </c>
      <c r="B36" s="1">
        <f>IF([1]Rseries!H41="","",[1]Rseries!H41)</f>
        <v>3023300</v>
      </c>
    </row>
    <row r="37" spans="1:2" x14ac:dyDescent="0.25">
      <c r="A37" s="2">
        <v>31228</v>
      </c>
      <c r="B37" s="1">
        <f>IF([1]Rseries!H42="","",[1]Rseries!H42)</f>
        <v>3020000</v>
      </c>
    </row>
    <row r="38" spans="1:2" x14ac:dyDescent="0.25">
      <c r="A38" s="2">
        <v>31320</v>
      </c>
      <c r="B38" s="1">
        <f>IF([1]Rseries!H43="","",[1]Rseries!H43)</f>
        <v>3001500</v>
      </c>
    </row>
    <row r="39" spans="1:2" x14ac:dyDescent="0.25">
      <c r="A39" s="2">
        <v>31412</v>
      </c>
      <c r="B39" s="1">
        <f>IF([1]Rseries!H44="","",[1]Rseries!H44)</f>
        <v>3040700</v>
      </c>
    </row>
    <row r="40" spans="1:2" x14ac:dyDescent="0.25">
      <c r="A40" s="2">
        <v>31502</v>
      </c>
      <c r="B40" s="1">
        <f>IF([1]Rseries!H45="","",[1]Rseries!H45)</f>
        <v>3069400</v>
      </c>
    </row>
    <row r="41" spans="1:2" x14ac:dyDescent="0.25">
      <c r="A41" s="2">
        <v>31593</v>
      </c>
      <c r="B41" s="1">
        <f>IF([1]Rseries!H46="","",[1]Rseries!H46)</f>
        <v>2984800</v>
      </c>
    </row>
    <row r="42" spans="1:2" x14ac:dyDescent="0.25">
      <c r="A42" s="2">
        <v>31685</v>
      </c>
      <c r="B42" s="1">
        <f>IF([1]Rseries!H47="","",[1]Rseries!H47)</f>
        <v>2940400</v>
      </c>
    </row>
    <row r="43" spans="1:2" x14ac:dyDescent="0.25">
      <c r="A43" s="2">
        <v>31777</v>
      </c>
      <c r="B43" s="1">
        <f>IF([1]Rseries!H48="","",[1]Rseries!H48)</f>
        <v>2971100</v>
      </c>
    </row>
    <row r="44" spans="1:2" x14ac:dyDescent="0.25">
      <c r="A44" s="2">
        <v>31867</v>
      </c>
      <c r="B44" s="1">
        <f>IF([1]Rseries!H49="","",[1]Rseries!H49)</f>
        <v>3044200</v>
      </c>
    </row>
    <row r="45" spans="1:2" x14ac:dyDescent="0.25">
      <c r="A45" s="2">
        <v>31958</v>
      </c>
      <c r="B45" s="1">
        <f>IF([1]Rseries!H50="","",[1]Rseries!H50)</f>
        <v>2976000</v>
      </c>
    </row>
    <row r="46" spans="1:2" x14ac:dyDescent="0.25">
      <c r="A46" s="2">
        <v>32050</v>
      </c>
      <c r="B46" s="1">
        <f>IF([1]Rseries!H51="","",[1]Rseries!H51)</f>
        <v>2980400</v>
      </c>
    </row>
    <row r="47" spans="1:2" x14ac:dyDescent="0.25">
      <c r="A47" s="2">
        <v>32142</v>
      </c>
      <c r="B47" s="1">
        <f>IF([1]Rseries!H52="","",[1]Rseries!H52)</f>
        <v>2971500</v>
      </c>
    </row>
    <row r="48" spans="1:2" x14ac:dyDescent="0.25">
      <c r="A48" s="2">
        <v>32233</v>
      </c>
      <c r="B48" s="1">
        <f>IF([1]Rseries!H53="","",[1]Rseries!H53)</f>
        <v>3017400</v>
      </c>
    </row>
    <row r="49" spans="1:2" x14ac:dyDescent="0.25">
      <c r="A49" s="2">
        <v>32324</v>
      </c>
      <c r="B49" s="1">
        <f>IF([1]Rseries!H54="","",[1]Rseries!H54)</f>
        <v>2971000</v>
      </c>
    </row>
    <row r="50" spans="1:2" x14ac:dyDescent="0.25">
      <c r="A50" s="2">
        <v>32416</v>
      </c>
      <c r="B50" s="1">
        <f>IF([1]Rseries!H55="","",[1]Rseries!H55)</f>
        <v>2912800</v>
      </c>
    </row>
    <row r="51" spans="1:2" x14ac:dyDescent="0.25">
      <c r="A51" s="2">
        <v>32508</v>
      </c>
      <c r="B51" s="1">
        <f>IF([1]Rseries!H56="","",[1]Rseries!H56)</f>
        <v>2789900</v>
      </c>
    </row>
    <row r="52" spans="1:2" x14ac:dyDescent="0.25">
      <c r="A52" s="2">
        <v>32598</v>
      </c>
      <c r="B52" s="1">
        <f>IF([1]Rseries!H57="","",[1]Rseries!H57)</f>
        <v>2788500</v>
      </c>
    </row>
    <row r="53" spans="1:2" x14ac:dyDescent="0.25">
      <c r="A53" s="2">
        <v>32689</v>
      </c>
      <c r="B53" s="1">
        <f>IF([1]Rseries!H58="","",[1]Rseries!H58)</f>
        <v>2639300</v>
      </c>
    </row>
    <row r="54" spans="1:2" x14ac:dyDescent="0.25">
      <c r="A54" s="2">
        <v>32781</v>
      </c>
      <c r="B54" s="1">
        <f>IF([1]Rseries!H59="","",[1]Rseries!H59)</f>
        <v>2554400</v>
      </c>
    </row>
    <row r="55" spans="1:2" x14ac:dyDescent="0.25">
      <c r="A55" s="2">
        <v>32873</v>
      </c>
      <c r="B55" s="1">
        <f>IF([1]Rseries!H60="","",[1]Rseries!H60)</f>
        <v>2612800</v>
      </c>
    </row>
    <row r="56" spans="1:2" x14ac:dyDescent="0.25">
      <c r="A56" s="2">
        <v>32963</v>
      </c>
      <c r="B56" s="1">
        <f>IF([1]Rseries!H61="","",[1]Rseries!H61)</f>
        <v>2600700</v>
      </c>
    </row>
    <row r="57" spans="1:2" x14ac:dyDescent="0.25">
      <c r="A57" s="2">
        <v>33054</v>
      </c>
      <c r="B57" s="1">
        <f>IF([1]Rseries!H62="","",[1]Rseries!H62)</f>
        <v>2519900</v>
      </c>
    </row>
    <row r="58" spans="1:2" x14ac:dyDescent="0.25">
      <c r="A58" s="2">
        <v>33146</v>
      </c>
      <c r="B58" s="1">
        <f>IF([1]Rseries!H63="","",[1]Rseries!H63)</f>
        <v>2470400</v>
      </c>
    </row>
    <row r="59" spans="1:2" x14ac:dyDescent="0.25">
      <c r="A59" s="2">
        <v>33238</v>
      </c>
      <c r="B59" s="1">
        <f>IF([1]Rseries!H64="","",[1]Rseries!H64)</f>
        <v>2516100</v>
      </c>
    </row>
    <row r="60" spans="1:2" x14ac:dyDescent="0.25">
      <c r="A60" s="2">
        <v>33328</v>
      </c>
      <c r="B60" s="1">
        <f>IF([1]Rseries!H65="","",[1]Rseries!H65)</f>
        <v>2517000</v>
      </c>
    </row>
    <row r="61" spans="1:2" x14ac:dyDescent="0.25">
      <c r="A61" s="2">
        <v>33419</v>
      </c>
      <c r="B61" s="1">
        <f>IF([1]Rseries!H66="","",[1]Rseries!H66)</f>
        <v>2483100</v>
      </c>
    </row>
    <row r="62" spans="1:2" x14ac:dyDescent="0.25">
      <c r="A62" s="2">
        <v>33511</v>
      </c>
      <c r="B62" s="1">
        <f>IF([1]Rseries!H67="","",[1]Rseries!H67)</f>
        <v>2576500</v>
      </c>
    </row>
    <row r="63" spans="1:2" x14ac:dyDescent="0.25">
      <c r="A63" s="2">
        <v>33603</v>
      </c>
      <c r="B63" s="1">
        <f>IF([1]Rseries!H68="","",[1]Rseries!H68)</f>
        <v>2669300</v>
      </c>
    </row>
    <row r="64" spans="1:2" x14ac:dyDescent="0.25">
      <c r="A64" s="2">
        <v>33694</v>
      </c>
      <c r="B64" s="1">
        <f>IF([1]Rseries!H69="","",[1]Rseries!H69)</f>
        <v>2736100</v>
      </c>
    </row>
    <row r="65" spans="1:2" x14ac:dyDescent="0.25">
      <c r="A65" s="2">
        <v>33785</v>
      </c>
      <c r="B65" s="1">
        <f>IF([1]Rseries!H70="","",[1]Rseries!H70)</f>
        <v>2792000</v>
      </c>
    </row>
    <row r="66" spans="1:2" x14ac:dyDescent="0.25">
      <c r="A66" s="2">
        <v>33877</v>
      </c>
      <c r="B66" s="1">
        <f>IF([1]Rseries!H71="","",[1]Rseries!H71)</f>
        <v>2893400</v>
      </c>
    </row>
    <row r="67" spans="1:2" x14ac:dyDescent="0.25">
      <c r="A67" s="2">
        <v>33969</v>
      </c>
      <c r="B67" s="1">
        <f>IF([1]Rseries!H72="","",[1]Rseries!H72)</f>
        <v>3177300</v>
      </c>
    </row>
    <row r="68" spans="1:2" x14ac:dyDescent="0.25">
      <c r="A68" s="2">
        <v>34059</v>
      </c>
      <c r="B68" s="1">
        <f>IF([1]Rseries!H73="","",[1]Rseries!H73)</f>
        <v>3430600</v>
      </c>
    </row>
    <row r="69" spans="1:2" x14ac:dyDescent="0.25">
      <c r="A69" s="2">
        <v>34150</v>
      </c>
      <c r="B69" s="1">
        <f>IF([1]Rseries!H74="","",[1]Rseries!H74)</f>
        <v>3526500</v>
      </c>
    </row>
    <row r="70" spans="1:2" x14ac:dyDescent="0.25">
      <c r="A70" s="2">
        <v>34242</v>
      </c>
      <c r="B70" s="1">
        <f>IF([1]Rseries!H75="","",[1]Rseries!H75)</f>
        <v>3669900</v>
      </c>
    </row>
    <row r="71" spans="1:2" x14ac:dyDescent="0.25">
      <c r="A71" s="2">
        <v>34334</v>
      </c>
      <c r="B71" s="1">
        <f>IF([1]Rseries!H76="","",[1]Rseries!H76)</f>
        <v>3833300</v>
      </c>
    </row>
    <row r="72" spans="1:2" x14ac:dyDescent="0.25">
      <c r="A72" s="2">
        <v>34424</v>
      </c>
      <c r="B72" s="1">
        <f>IF([1]Rseries!H77="","",[1]Rseries!H77)</f>
        <v>3949200</v>
      </c>
    </row>
    <row r="73" spans="1:2" x14ac:dyDescent="0.25">
      <c r="A73" s="2">
        <v>34515</v>
      </c>
      <c r="B73" s="1">
        <f>IF([1]Rseries!H78="","",[1]Rseries!H78)</f>
        <v>3911800</v>
      </c>
    </row>
    <row r="74" spans="1:2" x14ac:dyDescent="0.25">
      <c r="A74" s="2">
        <v>34607</v>
      </c>
      <c r="B74" s="1">
        <f>IF([1]Rseries!H79="","",[1]Rseries!H79)</f>
        <v>3851500</v>
      </c>
    </row>
    <row r="75" spans="1:2" x14ac:dyDescent="0.25">
      <c r="A75" s="2">
        <v>34699</v>
      </c>
      <c r="B75" s="1">
        <f>IF([1]Rseries!H80="","",[1]Rseries!H80)</f>
        <v>3873000</v>
      </c>
    </row>
    <row r="76" spans="1:2" x14ac:dyDescent="0.25">
      <c r="A76" s="2">
        <v>34789</v>
      </c>
      <c r="B76" s="1">
        <f>IF([1]Rseries!H81="","",[1]Rseries!H81)</f>
        <v>3810400</v>
      </c>
    </row>
    <row r="77" spans="1:2" x14ac:dyDescent="0.25">
      <c r="A77" s="2">
        <v>34880</v>
      </c>
      <c r="B77" s="1">
        <f>IF([1]Rseries!H82="","",[1]Rseries!H82)</f>
        <v>3684400</v>
      </c>
    </row>
    <row r="78" spans="1:2" x14ac:dyDescent="0.25">
      <c r="A78" s="2">
        <v>34972</v>
      </c>
      <c r="B78" s="1">
        <f>IF([1]Rseries!H83="","",[1]Rseries!H83)</f>
        <v>3706000</v>
      </c>
    </row>
    <row r="79" spans="1:2" x14ac:dyDescent="0.25">
      <c r="A79" s="2">
        <v>35064</v>
      </c>
      <c r="B79" s="1">
        <f>IF([1]Rseries!H84="","",[1]Rseries!H84)</f>
        <v>3726700</v>
      </c>
    </row>
    <row r="80" spans="1:2" x14ac:dyDescent="0.25">
      <c r="A80" s="2">
        <v>35155</v>
      </c>
      <c r="B80" s="1">
        <f>IF([1]Rseries!H85="","",[1]Rseries!H85)</f>
        <v>3751600</v>
      </c>
    </row>
    <row r="81" spans="1:2" x14ac:dyDescent="0.25">
      <c r="A81" s="2">
        <v>35246</v>
      </c>
      <c r="B81" s="1">
        <f>IF([1]Rseries!H86="","",[1]Rseries!H86)</f>
        <v>3658200</v>
      </c>
    </row>
    <row r="82" spans="1:2" x14ac:dyDescent="0.25">
      <c r="A82" s="2">
        <v>35338</v>
      </c>
      <c r="B82" s="1">
        <f>IF([1]Rseries!H87="","",[1]Rseries!H87)</f>
        <v>3625300</v>
      </c>
    </row>
    <row r="83" spans="1:2" x14ac:dyDescent="0.25">
      <c r="A83" s="2">
        <v>35430</v>
      </c>
      <c r="B83" s="1">
        <f>IF([1]Rseries!H88="","",[1]Rseries!H88)</f>
        <v>3615200</v>
      </c>
    </row>
    <row r="84" spans="1:2" x14ac:dyDescent="0.25">
      <c r="A84" s="2">
        <v>35520</v>
      </c>
      <c r="B84" s="1">
        <f>IF([1]Rseries!H89="","",[1]Rseries!H89)</f>
        <v>3568600</v>
      </c>
    </row>
    <row r="85" spans="1:2" x14ac:dyDescent="0.25">
      <c r="A85" s="2">
        <v>35611</v>
      </c>
      <c r="B85" s="1">
        <f>IF([1]Rseries!H90="","",[1]Rseries!H90)</f>
        <v>3486200</v>
      </c>
    </row>
    <row r="86" spans="1:2" x14ac:dyDescent="0.25">
      <c r="A86" s="2">
        <v>35703</v>
      </c>
      <c r="B86" s="1">
        <f>IF([1]Rseries!H91="","",[1]Rseries!H91)</f>
        <v>3443600</v>
      </c>
    </row>
    <row r="87" spans="1:2" x14ac:dyDescent="0.25">
      <c r="A87" s="2">
        <v>35795</v>
      </c>
      <c r="B87" s="1">
        <f>IF([1]Rseries!H92="","",[1]Rseries!H92)</f>
        <v>3423100</v>
      </c>
    </row>
    <row r="88" spans="1:2" x14ac:dyDescent="0.25">
      <c r="A88" s="2">
        <v>35885</v>
      </c>
      <c r="B88" s="1">
        <f>IF([1]Rseries!H93="","",[1]Rseries!H93)</f>
        <v>3298700</v>
      </c>
    </row>
    <row r="89" spans="1:2" x14ac:dyDescent="0.25">
      <c r="A89" s="2">
        <v>35976</v>
      </c>
      <c r="B89" s="1">
        <f>IF([1]Rseries!H94="","",[1]Rseries!H94)</f>
        <v>3193300</v>
      </c>
    </row>
    <row r="90" spans="1:2" x14ac:dyDescent="0.25">
      <c r="A90" s="2">
        <v>36068</v>
      </c>
      <c r="B90" s="1">
        <f>IF([1]Rseries!H95="","",[1]Rseries!H95)</f>
        <v>3166300</v>
      </c>
    </row>
    <row r="91" spans="1:2" x14ac:dyDescent="0.25">
      <c r="A91" s="2">
        <v>36160</v>
      </c>
      <c r="B91" s="1">
        <f>IF([1]Rseries!H96="","",[1]Rseries!H96)</f>
        <v>3114100</v>
      </c>
    </row>
    <row r="92" spans="1:2" x14ac:dyDescent="0.25">
      <c r="A92" s="2">
        <v>36250</v>
      </c>
      <c r="B92" s="1">
        <f>IF([1]Rseries!H97="","",[1]Rseries!H97)</f>
        <v>2905000</v>
      </c>
    </row>
    <row r="93" spans="1:2" x14ac:dyDescent="0.25">
      <c r="A93" s="2">
        <v>36341</v>
      </c>
      <c r="B93" s="1">
        <f>IF([1]Rseries!H98="","",[1]Rseries!H98)</f>
        <v>2678200</v>
      </c>
    </row>
    <row r="94" spans="1:2" x14ac:dyDescent="0.25">
      <c r="A94" s="2">
        <v>36433</v>
      </c>
      <c r="B94" s="1">
        <f>IF([1]Rseries!H99="","",[1]Rseries!H99)</f>
        <v>2675300</v>
      </c>
    </row>
    <row r="95" spans="1:2" x14ac:dyDescent="0.25">
      <c r="A95" s="2">
        <v>36525</v>
      </c>
      <c r="B95" s="1">
        <f>IF([1]Rseries!H100="","",[1]Rseries!H100)</f>
        <v>2695600</v>
      </c>
    </row>
    <row r="96" spans="1:2" x14ac:dyDescent="0.25">
      <c r="A96" s="2">
        <v>36616</v>
      </c>
      <c r="B96" s="1">
        <f>IF([1]Rseries!H101="","",[1]Rseries!H101)</f>
        <v>2641100</v>
      </c>
    </row>
    <row r="97" spans="1:2" x14ac:dyDescent="0.25">
      <c r="A97" s="2">
        <v>36707</v>
      </c>
      <c r="B97" s="1">
        <f>IF([1]Rseries!H102="","",[1]Rseries!H102)</f>
        <v>2475900</v>
      </c>
    </row>
    <row r="98" spans="1:2" x14ac:dyDescent="0.25">
      <c r="A98" s="2">
        <v>36799</v>
      </c>
      <c r="B98" s="1">
        <f>IF([1]Rseries!H103="","",[1]Rseries!H103)</f>
        <v>2471900</v>
      </c>
    </row>
    <row r="99" spans="1:2" x14ac:dyDescent="0.25">
      <c r="A99" s="2">
        <v>36891</v>
      </c>
      <c r="B99" s="1">
        <f>IF([1]Rseries!H104="","",[1]Rseries!H104)</f>
        <v>2461700</v>
      </c>
    </row>
    <row r="100" spans="1:2" x14ac:dyDescent="0.25">
      <c r="A100" s="2">
        <v>36981</v>
      </c>
      <c r="B100" s="1">
        <f>IF([1]Rseries!H105="","",[1]Rseries!H105)</f>
        <v>1964600</v>
      </c>
    </row>
    <row r="101" spans="1:2" x14ac:dyDescent="0.25">
      <c r="A101" s="2">
        <v>37072</v>
      </c>
      <c r="B101" s="1">
        <f>IF([1]Rseries!H106="","",[1]Rseries!H106)</f>
        <v>1872100</v>
      </c>
    </row>
    <row r="102" spans="1:2" x14ac:dyDescent="0.25">
      <c r="A102" s="2">
        <v>37164</v>
      </c>
      <c r="B102" s="1">
        <f>IF([1]Rseries!H107="","",[1]Rseries!H107)</f>
        <v>1886000</v>
      </c>
    </row>
    <row r="103" spans="1:2" x14ac:dyDescent="0.25">
      <c r="A103" s="2">
        <v>37256</v>
      </c>
      <c r="B103" s="1">
        <f>IF([1]Rseries!H108="","",[1]Rseries!H108)</f>
        <v>1960100</v>
      </c>
    </row>
    <row r="104" spans="1:2" x14ac:dyDescent="0.25">
      <c r="A104" s="2">
        <v>37346</v>
      </c>
      <c r="B104" s="1">
        <f>IF([1]Rseries!H109="","",[1]Rseries!H109)</f>
        <v>2152600</v>
      </c>
    </row>
    <row r="105" spans="1:2" x14ac:dyDescent="0.25">
      <c r="A105" s="2">
        <v>37437</v>
      </c>
      <c r="B105" s="1">
        <f>IF([1]Rseries!H110="","",[1]Rseries!H110)</f>
        <v>2108900</v>
      </c>
    </row>
    <row r="106" spans="1:2" x14ac:dyDescent="0.25">
      <c r="A106" s="2">
        <v>37529</v>
      </c>
      <c r="B106" s="1">
        <f>IF([1]Rseries!H111="","",[1]Rseries!H111)</f>
        <v>2196900</v>
      </c>
    </row>
    <row r="107" spans="1:2" x14ac:dyDescent="0.25">
      <c r="A107" s="2">
        <v>37621</v>
      </c>
      <c r="B107" s="1">
        <f>IF([1]Rseries!H112="","",[1]Rseries!H112)</f>
        <v>2228100</v>
      </c>
    </row>
    <row r="108" spans="1:2" x14ac:dyDescent="0.25">
      <c r="A108" s="2">
        <v>37711</v>
      </c>
      <c r="B108" s="1">
        <f>IF([1]Rseries!H113="","",[1]Rseries!H113)</f>
        <v>2315800</v>
      </c>
    </row>
    <row r="109" spans="1:2" x14ac:dyDescent="0.25">
      <c r="A109" s="2">
        <v>37802</v>
      </c>
      <c r="B109" s="1">
        <f>IF([1]Rseries!H114="","",[1]Rseries!H114)</f>
        <v>2207500</v>
      </c>
    </row>
    <row r="110" spans="1:2" x14ac:dyDescent="0.25">
      <c r="A110" s="2">
        <v>37894</v>
      </c>
      <c r="B110" s="1">
        <f>IF([1]Rseries!H115="","",[1]Rseries!H115)</f>
        <v>2242300</v>
      </c>
    </row>
    <row r="111" spans="1:2" x14ac:dyDescent="0.25">
      <c r="A111" s="2">
        <v>37986</v>
      </c>
      <c r="B111" s="1">
        <f>IF([1]Rseries!H116="","",[1]Rseries!H116)</f>
        <v>2268400</v>
      </c>
    </row>
    <row r="112" spans="1:2" x14ac:dyDescent="0.25">
      <c r="A112" s="2">
        <v>38077</v>
      </c>
      <c r="B112" s="1">
        <f>IF([1]Rseries!H117="","",[1]Rseries!H117)</f>
        <v>2303500</v>
      </c>
    </row>
    <row r="113" spans="1:2" x14ac:dyDescent="0.25">
      <c r="A113" s="2">
        <v>38168</v>
      </c>
      <c r="B113" s="1">
        <f>IF([1]Rseries!H118="","",[1]Rseries!H118)</f>
        <v>2243500</v>
      </c>
    </row>
    <row r="114" spans="1:2" x14ac:dyDescent="0.25">
      <c r="A114" s="2">
        <v>38260</v>
      </c>
      <c r="B114" s="1">
        <f>IF([1]Rseries!H119="","",[1]Rseries!H119)</f>
        <v>2197200</v>
      </c>
    </row>
    <row r="115" spans="1:2" x14ac:dyDescent="0.25">
      <c r="A115" s="2">
        <v>38352</v>
      </c>
      <c r="B115" s="1">
        <f>IF([1]Rseries!H120="","",[1]Rseries!H120)</f>
        <v>2175700</v>
      </c>
    </row>
    <row r="116" spans="1:2" x14ac:dyDescent="0.25">
      <c r="A116" s="2">
        <v>38442</v>
      </c>
      <c r="B116" s="1">
        <f>IF([1]Rseries!H121="","",[1]Rseries!H121)</f>
        <v>2115300</v>
      </c>
    </row>
    <row r="117" spans="1:2" x14ac:dyDescent="0.25">
      <c r="A117" s="2">
        <v>38533</v>
      </c>
      <c r="B117" s="1">
        <f>IF([1]Rseries!H122="","",[1]Rseries!H122)</f>
        <v>1961000</v>
      </c>
    </row>
    <row r="118" spans="1:2" x14ac:dyDescent="0.25">
      <c r="A118" s="2">
        <v>38625</v>
      </c>
      <c r="B118" s="1">
        <f>IF([1]Rseries!H123="","",[1]Rseries!H123)</f>
        <v>1781300</v>
      </c>
    </row>
    <row r="119" spans="1:2" x14ac:dyDescent="0.25">
      <c r="A119" s="2">
        <v>38717</v>
      </c>
      <c r="B119" s="1">
        <f>IF([1]Rseries!H124="","",[1]Rseries!H124)</f>
        <v>1857600</v>
      </c>
    </row>
    <row r="120" spans="1:2" x14ac:dyDescent="0.25">
      <c r="A120" s="2">
        <v>38807</v>
      </c>
      <c r="B120" s="1">
        <f>IF([1]Rseries!H125="","",[1]Rseries!H125)</f>
        <v>1952100</v>
      </c>
    </row>
    <row r="121" spans="1:2" x14ac:dyDescent="0.25">
      <c r="A121" s="2">
        <v>38898</v>
      </c>
      <c r="B121" s="1">
        <f>IF([1]Rseries!H126="","",[1]Rseries!H126)</f>
        <v>1853300</v>
      </c>
    </row>
    <row r="122" spans="1:2" x14ac:dyDescent="0.25">
      <c r="A122" s="2">
        <v>38990</v>
      </c>
      <c r="B122" s="1">
        <f>IF([1]Rseries!H127="","",[1]Rseries!H127)</f>
        <v>1781300</v>
      </c>
    </row>
    <row r="123" spans="1:2" x14ac:dyDescent="0.25">
      <c r="A123" s="2">
        <v>39082</v>
      </c>
      <c r="B123" s="1">
        <f>IF([1]Rseries!H128="","",[1]Rseries!H128)</f>
        <v>1826900</v>
      </c>
    </row>
    <row r="124" spans="1:2" x14ac:dyDescent="0.25">
      <c r="A124" s="2">
        <v>39172</v>
      </c>
      <c r="B124" s="1">
        <f>IF([1]Rseries!H129="","",[1]Rseries!H129)</f>
        <v>1872400</v>
      </c>
    </row>
    <row r="125" spans="1:2" x14ac:dyDescent="0.25">
      <c r="A125" s="2">
        <v>39263</v>
      </c>
      <c r="B125" s="1">
        <f>IF([1]Rseries!H130="","",[1]Rseries!H130)</f>
        <v>1776300</v>
      </c>
    </row>
    <row r="126" spans="1:2" x14ac:dyDescent="0.25">
      <c r="A126" s="2">
        <v>39355</v>
      </c>
      <c r="B126" s="1">
        <f>IF([1]Rseries!H131="","",[1]Rseries!H131)</f>
        <v>1808200</v>
      </c>
    </row>
    <row r="127" spans="1:2" x14ac:dyDescent="0.25">
      <c r="A127" s="2">
        <v>39447</v>
      </c>
      <c r="B127" s="1">
        <f>IF([1]Rseries!H132="","",[1]Rseries!H132)</f>
        <v>1943900</v>
      </c>
    </row>
    <row r="128" spans="1:2" x14ac:dyDescent="0.25">
      <c r="A128" s="2">
        <v>39538</v>
      </c>
      <c r="B128" s="1">
        <f>IF([1]Rseries!H133="","",[1]Rseries!H133)</f>
        <v>2190500</v>
      </c>
    </row>
    <row r="129" spans="1:2" x14ac:dyDescent="0.25">
      <c r="A129" s="2">
        <v>39629</v>
      </c>
      <c r="B129" s="1">
        <f>IF([1]Rseries!H134="","",[1]Rseries!H134)</f>
        <v>2385700</v>
      </c>
    </row>
    <row r="130" spans="1:2" x14ac:dyDescent="0.25">
      <c r="A130" s="2">
        <v>39721</v>
      </c>
      <c r="B130" s="1">
        <f>IF([1]Rseries!H135="","",[1]Rseries!H135)</f>
        <v>2600700</v>
      </c>
    </row>
    <row r="131" spans="1:2" x14ac:dyDescent="0.25">
      <c r="A131" s="2">
        <v>39813</v>
      </c>
      <c r="B131" s="1">
        <f>IF([1]Rseries!H136="","",[1]Rseries!H136)</f>
        <v>3206800</v>
      </c>
    </row>
    <row r="132" spans="1:2" x14ac:dyDescent="0.25">
      <c r="A132" s="2">
        <v>39903</v>
      </c>
      <c r="B132" s="1">
        <f>IF([1]Rseries!H137="","",[1]Rseries!H137)</f>
        <v>4018200</v>
      </c>
    </row>
    <row r="133" spans="1:2" x14ac:dyDescent="0.25">
      <c r="A133" s="2">
        <v>39994</v>
      </c>
      <c r="B133" s="1">
        <f>IF([1]Rseries!H138="","",[1]Rseries!H138)</f>
        <v>4139600</v>
      </c>
    </row>
    <row r="134" spans="1:2" x14ac:dyDescent="0.25">
      <c r="A134" s="2">
        <v>40086</v>
      </c>
      <c r="B134" s="1">
        <f>IF([1]Rseries!H139="","",[1]Rseries!H139)</f>
        <v>4121400</v>
      </c>
    </row>
    <row r="135" spans="1:2" x14ac:dyDescent="0.25">
      <c r="A135" s="2">
        <v>40178</v>
      </c>
      <c r="B135" s="1">
        <f>IF([1]Rseries!H140="","",[1]Rseries!H140)</f>
        <v>4335000</v>
      </c>
    </row>
    <row r="136" spans="1:2" x14ac:dyDescent="0.25">
      <c r="A136" s="2">
        <v>40268</v>
      </c>
      <c r="B136" s="1">
        <f>IF([1]Rseries!H141="","",[1]Rseries!H141)</f>
        <v>4617700</v>
      </c>
    </row>
    <row r="137" spans="1:2" x14ac:dyDescent="0.25">
      <c r="A137" s="2">
        <v>40359</v>
      </c>
      <c r="B137" s="1">
        <f>IF([1]Rseries!H142="","",[1]Rseries!H142)</f>
        <v>4655300</v>
      </c>
    </row>
    <row r="138" spans="1:2" x14ac:dyDescent="0.25">
      <c r="A138" s="2">
        <v>40451</v>
      </c>
      <c r="B138" s="1">
        <f>IF([1]Rseries!H143="","",[1]Rseries!H143)</f>
        <v>4585400</v>
      </c>
    </row>
    <row r="139" spans="1:2" x14ac:dyDescent="0.25">
      <c r="A139" s="2">
        <v>40543</v>
      </c>
      <c r="B139" s="1">
        <f>IF([1]Rseries!H144="","",[1]Rseries!H144)</f>
        <v>4702200</v>
      </c>
    </row>
    <row r="140" spans="1:2" x14ac:dyDescent="0.25">
      <c r="A140" s="2">
        <v>40633</v>
      </c>
      <c r="B140" s="1">
        <f>IF([1]Rseries!H145="","",[1]Rseries!H145)</f>
        <v>4921200</v>
      </c>
    </row>
    <row r="141" spans="1:2" x14ac:dyDescent="0.25">
      <c r="A141" s="2">
        <v>40724</v>
      </c>
      <c r="B141" s="1">
        <f>IF([1]Rseries!H146="","",[1]Rseries!H146)</f>
        <v>4844200</v>
      </c>
    </row>
    <row r="142" spans="1:2" x14ac:dyDescent="0.25">
      <c r="A142" s="2">
        <v>40816</v>
      </c>
      <c r="B142" s="1">
        <f>IF([1]Rseries!H147="","",[1]Rseries!H147)</f>
        <v>4998000</v>
      </c>
    </row>
    <row r="143" spans="1:2" x14ac:dyDescent="0.25">
      <c r="A143" s="2">
        <v>40908</v>
      </c>
      <c r="B143" s="1">
        <f>IF([1]Rseries!H148="","",[1]Rseries!H148)</f>
        <v>5287300</v>
      </c>
    </row>
    <row r="144" spans="1:2" x14ac:dyDescent="0.25">
      <c r="A144" s="2">
        <v>40999</v>
      </c>
      <c r="B144" s="1">
        <f>IF([1]Rseries!H149="","",[1]Rseries!H149)</f>
        <v>5667900</v>
      </c>
    </row>
    <row r="145" spans="1:3" x14ac:dyDescent="0.25">
      <c r="A145" s="2">
        <v>41090</v>
      </c>
      <c r="B145" s="1">
        <f>IF([1]Rseries!H150="","",[1]Rseries!H150)</f>
        <v>5731000</v>
      </c>
    </row>
    <row r="146" spans="1:3" x14ac:dyDescent="0.25">
      <c r="A146" s="2">
        <v>41182</v>
      </c>
      <c r="B146" s="1">
        <f>IF([1]Rseries!H151="","",[1]Rseries!H151)</f>
        <v>5824200</v>
      </c>
    </row>
    <row r="147" spans="1:3" x14ac:dyDescent="0.25">
      <c r="A147" s="2">
        <v>41274</v>
      </c>
      <c r="B147" s="1">
        <f>IF([1]Rseries!H152="","",[1]Rseries!H152)</f>
        <v>6021000</v>
      </c>
    </row>
    <row r="148" spans="1:3" x14ac:dyDescent="0.25">
      <c r="A148" s="2">
        <v>41364</v>
      </c>
      <c r="B148" s="1">
        <f>IF([1]Rseries!H153="","",[1]Rseries!H153)</f>
        <v>6278200</v>
      </c>
    </row>
    <row r="149" spans="1:3" x14ac:dyDescent="0.25">
      <c r="A149" s="2">
        <v>41455</v>
      </c>
      <c r="B149" s="1">
        <f>IF([1]Rseries!H154="","",[1]Rseries!H154)</f>
        <v>6047300</v>
      </c>
    </row>
    <row r="150" spans="1:3" x14ac:dyDescent="0.25">
      <c r="A150" s="2">
        <v>41547</v>
      </c>
      <c r="B150" s="1">
        <f>IF([1]Rseries!H155="","",[1]Rseries!H155)</f>
        <v>5943400</v>
      </c>
    </row>
    <row r="151" spans="1:3" x14ac:dyDescent="0.25">
      <c r="A151" s="2">
        <v>41639</v>
      </c>
      <c r="B151" s="1">
        <f>IF([1]Rseries!H156="","",[1]Rseries!H156)</f>
        <v>5935600</v>
      </c>
      <c r="C151" s="1"/>
    </row>
    <row r="152" spans="1:3" x14ac:dyDescent="0.25">
      <c r="A152" s="2">
        <v>41729</v>
      </c>
      <c r="B152" s="1">
        <f>IF([1]Rseries!H157="","",[1]Rseries!H157)</f>
        <v>5933300</v>
      </c>
    </row>
    <row r="153" spans="1:3" x14ac:dyDescent="0.25">
      <c r="A153" s="2">
        <v>41820</v>
      </c>
      <c r="B153" s="1">
        <f>IF([1]Rseries!H158="","",[1]Rseries!H158)</f>
        <v>5622900</v>
      </c>
    </row>
    <row r="154" spans="1:3" x14ac:dyDescent="0.25">
      <c r="A154" s="2">
        <v>41912</v>
      </c>
      <c r="B154" s="1">
        <f>IF([1]Rseries!H159="","",[1]Rseries!H159)</f>
        <v>5427700</v>
      </c>
    </row>
    <row r="155" spans="1:3" x14ac:dyDescent="0.25">
      <c r="A155" s="2">
        <v>42004</v>
      </c>
      <c r="B155" s="1">
        <f>IF([1]Rseries!H160="","",[1]Rseries!H160)</f>
        <v>5457700</v>
      </c>
    </row>
    <row r="156" spans="1:3" x14ac:dyDescent="0.25">
      <c r="A156" s="2">
        <v>42094</v>
      </c>
      <c r="B156" s="1">
        <f>IF([1]Rseries!H161="","",[1]Rseries!H161)</f>
        <v>5444600</v>
      </c>
    </row>
    <row r="157" spans="1:3" x14ac:dyDescent="0.25">
      <c r="A157" s="2">
        <v>42185</v>
      </c>
      <c r="B157" s="1">
        <f>IF([1]Rseries!H162="","",[1]Rseries!H162)</f>
        <v>5149000</v>
      </c>
    </row>
    <row r="158" spans="1:3" x14ac:dyDescent="0.25">
      <c r="A158" s="2">
        <v>42277</v>
      </c>
      <c r="B158" s="1">
        <f>IF([1]Rseries!H163="","",[1]Rseries!H163)</f>
        <v>4850800</v>
      </c>
    </row>
    <row r="159" spans="1:3" x14ac:dyDescent="0.25">
      <c r="A159" s="2">
        <v>42369</v>
      </c>
      <c r="B159" s="1">
        <f>IF([1]Rseries!H164="","",[1]Rseries!H164)</f>
        <v>4779500</v>
      </c>
    </row>
    <row r="160" spans="1:3" x14ac:dyDescent="0.25">
      <c r="A160" s="2">
        <v>42460</v>
      </c>
      <c r="B160" s="1">
        <f>IF([1]Rseries!H165="","",[1]Rseries!H165)</f>
        <v>4791400</v>
      </c>
    </row>
    <row r="161" spans="1:2" x14ac:dyDescent="0.25">
      <c r="A161" s="2">
        <v>42551</v>
      </c>
      <c r="B161" s="1">
        <f>IF([1]Rseries!H166="","",[1]Rseries!H166)</f>
        <v>4574700</v>
      </c>
    </row>
    <row r="162" spans="1:2" x14ac:dyDescent="0.25">
      <c r="A162" s="2">
        <v>42643</v>
      </c>
      <c r="B162" s="1">
        <f>IF([1]Rseries!H167="","",[1]Rseries!H167)</f>
        <v>4320800</v>
      </c>
    </row>
    <row r="163" spans="1:2" x14ac:dyDescent="0.25">
      <c r="A163" s="2">
        <v>42735</v>
      </c>
      <c r="B163" s="1">
        <f>IF([1]Rseries!H168="","",[1]Rseries!H168)</f>
        <v>4237800</v>
      </c>
    </row>
    <row r="164" spans="1:2" x14ac:dyDescent="0.25">
      <c r="A164" s="2">
        <v>42825</v>
      </c>
      <c r="B164" s="1">
        <f>IF([1]Rseries!H169="","",[1]Rseries!H169)</f>
        <v>4255000</v>
      </c>
    </row>
    <row r="165" spans="1:2" x14ac:dyDescent="0.25">
      <c r="A165" s="2">
        <v>42916</v>
      </c>
      <c r="B165" s="1">
        <f>IF([1]Rseries!H170="","",[1]Rseries!H170)</f>
        <v>3914300.14</v>
      </c>
    </row>
    <row r="166" spans="1:2" x14ac:dyDescent="0.25">
      <c r="A166" s="2">
        <v>43008</v>
      </c>
      <c r="B166" s="1">
        <f>IF([1]Rseries!H171="","",[1]Rseries!H171)</f>
        <v>3731731.1</v>
      </c>
    </row>
    <row r="167" spans="1:2" x14ac:dyDescent="0.25">
      <c r="A167" s="2">
        <v>43100</v>
      </c>
      <c r="B167" s="1">
        <f>IF([1]Rseries!H172="","",[1]Rseries!H172)</f>
        <v>3766672.32</v>
      </c>
    </row>
    <row r="168" spans="1:2" x14ac:dyDescent="0.25">
      <c r="A168" s="2">
        <v>43190</v>
      </c>
      <c r="B168" s="1">
        <f>IF([1]Rseries!H173="","",[1]Rseries!H173)</f>
        <v>3796078.88</v>
      </c>
    </row>
    <row r="169" spans="1:2" x14ac:dyDescent="0.25">
      <c r="A169" s="2">
        <v>43281</v>
      </c>
      <c r="B169" s="1">
        <f>IF([1]Rseries!H174="","",[1]Rseries!H174)</f>
        <v>3490100.7</v>
      </c>
    </row>
    <row r="170" spans="1:2" x14ac:dyDescent="0.25">
      <c r="A170" s="2">
        <v>43373</v>
      </c>
      <c r="B170" s="1">
        <f>IF([1]Rseries!H175="","",[1]Rseries!H175)</f>
        <v>3325975.07</v>
      </c>
    </row>
    <row r="171" spans="1:2" x14ac:dyDescent="0.25">
      <c r="A171" s="2">
        <v>43465</v>
      </c>
      <c r="B171" s="1">
        <f>IF([1]Rseries!H176="","",[1]Rseries!H176)</f>
        <v>3304292.3</v>
      </c>
    </row>
    <row r="172" spans="1:2" x14ac:dyDescent="0.25">
      <c r="A172" s="2">
        <v>43555</v>
      </c>
      <c r="B172" s="1">
        <f>IF([1]Rseries!H177="","",[1]Rseries!H177)</f>
        <v>3354200</v>
      </c>
    </row>
    <row r="173" spans="1:2" x14ac:dyDescent="0.25">
      <c r="A173" s="2">
        <v>43646</v>
      </c>
      <c r="B173" s="1">
        <f>IF([1]Rseries!H178="","",[1]Rseries!H178)</f>
        <v>3230627.72</v>
      </c>
    </row>
    <row r="174" spans="1:2" x14ac:dyDescent="0.25">
      <c r="A174" s="2">
        <v>43738</v>
      </c>
      <c r="B174" s="1">
        <f>IF([1]Rseries!H179="","",[1]Rseries!H179)</f>
        <v>3214380.65</v>
      </c>
    </row>
    <row r="175" spans="1:2" x14ac:dyDescent="0.25">
      <c r="A175" s="2">
        <v>43830</v>
      </c>
      <c r="B175" s="1">
        <f>IF([1]Rseries!H180="","",[1]Rseries!H180)</f>
        <v>3191928.24</v>
      </c>
    </row>
    <row r="176" spans="1:2" x14ac:dyDescent="0.25">
      <c r="A176" s="2">
        <v>43921</v>
      </c>
      <c r="B176" s="1">
        <f>IF([1]Rseries!H181="","",[1]Rseries!H181)</f>
        <v>3312961.15</v>
      </c>
    </row>
    <row r="177" spans="1:2" x14ac:dyDescent="0.25">
      <c r="A177" s="2">
        <v>44012</v>
      </c>
      <c r="B177" s="1">
        <f>IF([1]Rseries!H182="","",[1]Rseries!H182)</f>
        <v>3367957.53</v>
      </c>
    </row>
    <row r="178" spans="1:2" x14ac:dyDescent="0.25">
      <c r="A178" s="2">
        <v>44104</v>
      </c>
      <c r="B178" s="1">
        <f>IF([1]Rseries!H183="","",[1]Rseries!H183)</f>
        <v>3722927.11</v>
      </c>
    </row>
    <row r="179" spans="1:2" x14ac:dyDescent="0.25">
      <c r="A179" s="2">
        <v>44196</v>
      </c>
      <c r="B179" s="1">
        <f>IF([1]Rseries!H184="","",[1]Rseries!H184)</f>
        <v>3719782.84</v>
      </c>
    </row>
    <row r="180" spans="1:2" x14ac:dyDescent="0.25">
      <c r="A180" s="2">
        <v>44286</v>
      </c>
      <c r="B180" s="1" t="str">
        <f>IF([1]Rseries!H185="","",[1]Rseries!H185)</f>
        <v/>
      </c>
    </row>
    <row r="181" spans="1:2" x14ac:dyDescent="0.25">
      <c r="A181" s="2">
        <v>44377</v>
      </c>
      <c r="B181" s="1" t="str">
        <f>IF([1]Rseries!H186="","",[1]Rseries!H186)</f>
        <v/>
      </c>
    </row>
    <row r="182" spans="1:2" x14ac:dyDescent="0.25">
      <c r="A182" s="2">
        <v>44469</v>
      </c>
      <c r="B182" s="1" t="str">
        <f>IF([1]Rseries!H187="","",[1]Rseries!H187)</f>
        <v/>
      </c>
    </row>
    <row r="183" spans="1:2" x14ac:dyDescent="0.25">
      <c r="A183" s="2">
        <v>44561</v>
      </c>
      <c r="B183" s="1" t="str">
        <f>IF([1]Rseries!H188="","",[1]Rseries!H188)</f>
        <v/>
      </c>
    </row>
    <row r="184" spans="1:2" x14ac:dyDescent="0.25">
      <c r="A184" s="2">
        <v>44651</v>
      </c>
      <c r="B184" s="1" t="str">
        <f>IF([1]Rseries!H189="","",[1]Rseries!H189)</f>
        <v/>
      </c>
    </row>
    <row r="185" spans="1:2" x14ac:dyDescent="0.25">
      <c r="A185" s="2">
        <v>44742</v>
      </c>
      <c r="B185" s="1" t="str">
        <f>IF([1]Rseries!H190="","",[1]Rseries!H190)</f>
        <v/>
      </c>
    </row>
    <row r="186" spans="1:2" x14ac:dyDescent="0.25">
      <c r="A186" s="2">
        <v>44834</v>
      </c>
      <c r="B186" s="1" t="str">
        <f>IF([1]Rseries!H191="","",[1]Rseries!H191)</f>
        <v/>
      </c>
    </row>
    <row r="187" spans="1:2" x14ac:dyDescent="0.25">
      <c r="A187" s="2">
        <v>44926</v>
      </c>
      <c r="B187" s="1" t="str">
        <f>IF([1]Rseries!H192="","",[1]Rseries!H192)</f>
        <v/>
      </c>
    </row>
    <row r="188" spans="1:2" x14ac:dyDescent="0.25">
      <c r="A188" s="2">
        <v>45016</v>
      </c>
      <c r="B188" s="1" t="str">
        <f>IF([1]Rseries!H193="","",[1]Rseries!H193)</f>
        <v/>
      </c>
    </row>
    <row r="189" spans="1:2" x14ac:dyDescent="0.25">
      <c r="A189" s="2">
        <v>45107</v>
      </c>
      <c r="B189" s="1" t="str">
        <f>IF([1]Rseries!H194="","",[1]Rseries!H194)</f>
        <v/>
      </c>
    </row>
    <row r="190" spans="1:2" x14ac:dyDescent="0.25">
      <c r="A190" s="2">
        <v>45199</v>
      </c>
      <c r="B190" s="1" t="str">
        <f>IF([1]Rseries!H195="","",[1]Rseries!H195)</f>
        <v/>
      </c>
    </row>
    <row r="191" spans="1:2" x14ac:dyDescent="0.25">
      <c r="A191" s="2">
        <v>45291</v>
      </c>
      <c r="B191" s="1" t="str">
        <f>IF([1]Rseries!H196="","",[1]Rseries!H196)</f>
        <v/>
      </c>
    </row>
    <row r="192" spans="1:2" x14ac:dyDescent="0.25">
      <c r="A192" s="2">
        <v>45382</v>
      </c>
      <c r="B192" s="1" t="str">
        <f>IF([1]Rseries!H197="","",[1]Rseries!H197)</f>
        <v/>
      </c>
    </row>
    <row r="193" spans="1:2" x14ac:dyDescent="0.25">
      <c r="A193" s="2">
        <v>45473</v>
      </c>
      <c r="B193" s="1" t="str">
        <f>IF([1]Rseries!H198="","",[1]Rseries!H198)</f>
        <v/>
      </c>
    </row>
    <row r="194" spans="1:2" x14ac:dyDescent="0.25">
      <c r="A194" s="2">
        <v>45565</v>
      </c>
      <c r="B194" s="1" t="str">
        <f>IF([1]Rseries!H199="","",[1]Rseries!H199)</f>
        <v/>
      </c>
    </row>
    <row r="195" spans="1:2" x14ac:dyDescent="0.25">
      <c r="A195" s="2">
        <v>45657</v>
      </c>
      <c r="B195" s="1" t="str">
        <f>IF([1]Rseries!H200="","",[1]Rseries!H200)</f>
        <v/>
      </c>
    </row>
    <row r="196" spans="1:2" x14ac:dyDescent="0.25">
      <c r="A196" s="2">
        <v>45747</v>
      </c>
      <c r="B196" s="1" t="str">
        <f>IF([1]Rseries!H201="","",[1]Rseries!H201)</f>
        <v/>
      </c>
    </row>
    <row r="197" spans="1:2" x14ac:dyDescent="0.25">
      <c r="A197" s="2">
        <v>45838</v>
      </c>
      <c r="B197" s="1" t="str">
        <f>IF([1]Rseries!H202="","",[1]Rseries!H202)</f>
        <v/>
      </c>
    </row>
    <row r="198" spans="1:2" x14ac:dyDescent="0.25">
      <c r="A198" s="2">
        <v>45930</v>
      </c>
      <c r="B198" s="1" t="str">
        <f>IF([1]Rseries!H203="","",[1]Rseries!H203)</f>
        <v/>
      </c>
    </row>
    <row r="199" spans="1:2" x14ac:dyDescent="0.25">
      <c r="A199" s="2">
        <v>46022</v>
      </c>
      <c r="B199" s="1" t="str">
        <f>IF([1]Rseries!H204="","",[1]Rseries!H204)</f>
        <v/>
      </c>
    </row>
    <row r="200" spans="1:2" x14ac:dyDescent="0.25">
      <c r="A200" s="2">
        <v>46112</v>
      </c>
      <c r="B200" s="1" t="str">
        <f>IF([1]Rseries!H205="","",[1]Rseries!H205)</f>
        <v/>
      </c>
    </row>
    <row r="201" spans="1:2" x14ac:dyDescent="0.25">
      <c r="A201" s="2">
        <v>46203</v>
      </c>
      <c r="B201" s="1" t="str">
        <f>IF([1]Rseries!H206="","",[1]Rseries!H206)</f>
        <v/>
      </c>
    </row>
    <row r="202" spans="1:2" x14ac:dyDescent="0.25">
      <c r="A202" s="2">
        <v>46295</v>
      </c>
      <c r="B202" s="1" t="str">
        <f>IF([1]Rseries!H207="","",[1]Rseries!H207)</f>
        <v/>
      </c>
    </row>
    <row r="203" spans="1:2" x14ac:dyDescent="0.25">
      <c r="A203" s="2">
        <v>46387</v>
      </c>
      <c r="B203" s="1" t="str">
        <f>IF([1]Rseries!H208="","",[1]Rseries!H208)</f>
        <v/>
      </c>
    </row>
    <row r="204" spans="1:2" x14ac:dyDescent="0.25">
      <c r="A204" s="2">
        <v>46477</v>
      </c>
      <c r="B204" s="1" t="str">
        <f>IF([1]Rseries!H209="","",[1]Rseries!H209)</f>
        <v/>
      </c>
    </row>
    <row r="205" spans="1:2" x14ac:dyDescent="0.25">
      <c r="A205" s="2">
        <v>46568</v>
      </c>
      <c r="B205" s="1" t="str">
        <f>IF([1]Rseries!H210="","",[1]Rseries!H210)</f>
        <v/>
      </c>
    </row>
    <row r="206" spans="1:2" x14ac:dyDescent="0.25">
      <c r="A206" s="2">
        <v>46660</v>
      </c>
      <c r="B206" s="1" t="str">
        <f>IF([1]Rseries!H211="","",[1]Rseries!H211)</f>
        <v/>
      </c>
    </row>
    <row r="207" spans="1:2" x14ac:dyDescent="0.25">
      <c r="A207" s="2">
        <v>46752</v>
      </c>
      <c r="B207" s="1" t="str">
        <f>IF([1]Rseries!H212="","",[1]Rseries!H212)</f>
        <v/>
      </c>
    </row>
    <row r="208" spans="1:2" x14ac:dyDescent="0.25">
      <c r="A208" s="2">
        <v>46843</v>
      </c>
      <c r="B208" s="1" t="str">
        <f>IF([1]Rseries!H213="","",[1]Rseries!H213)</f>
        <v/>
      </c>
    </row>
    <row r="209" spans="1:2" x14ac:dyDescent="0.25">
      <c r="A209" s="2">
        <v>46934</v>
      </c>
      <c r="B209" s="1" t="str">
        <f>IF([1]Rseries!H214="","",[1]Rseries!H214)</f>
        <v/>
      </c>
    </row>
    <row r="210" spans="1:2" x14ac:dyDescent="0.25">
      <c r="A210" s="2">
        <v>47026</v>
      </c>
      <c r="B210" s="1" t="str">
        <f>IF([1]Rseries!H215="","",[1]Rseries!H215)</f>
        <v/>
      </c>
    </row>
    <row r="211" spans="1:2" x14ac:dyDescent="0.25">
      <c r="A211" s="2">
        <v>47118</v>
      </c>
      <c r="B211" s="1" t="str">
        <f>IF([1]Rseries!H216="","",[1]Rseries!H216)</f>
        <v/>
      </c>
    </row>
    <row r="212" spans="1:2" x14ac:dyDescent="0.25">
      <c r="A212" s="2">
        <v>47208</v>
      </c>
      <c r="B212" s="1" t="str">
        <f>IF([1]Rseries!H217="","",[1]Rseries!H217)</f>
        <v/>
      </c>
    </row>
    <row r="213" spans="1:2" x14ac:dyDescent="0.25">
      <c r="A213" s="2">
        <v>47299</v>
      </c>
      <c r="B213" s="1" t="str">
        <f>IF([1]Rseries!H218="","",[1]Rseries!H218)</f>
        <v/>
      </c>
    </row>
    <row r="214" spans="1:2" x14ac:dyDescent="0.25">
      <c r="A214" s="2">
        <v>47391</v>
      </c>
      <c r="B214" s="1" t="str">
        <f>IF([1]Rseries!H219="","",[1]Rseries!H219)</f>
        <v/>
      </c>
    </row>
    <row r="215" spans="1:2" x14ac:dyDescent="0.25">
      <c r="A215" s="2">
        <v>47483</v>
      </c>
      <c r="B215" s="1" t="str">
        <f>IF([1]Rseries!H220="","",[1]Rseries!H220)</f>
        <v/>
      </c>
    </row>
    <row r="216" spans="1:2" x14ac:dyDescent="0.25">
      <c r="A216" s="2">
        <v>47573</v>
      </c>
      <c r="B216" s="1" t="str">
        <f>IF([1]Rseries!H221="","",[1]Rseries!H221)</f>
        <v/>
      </c>
    </row>
    <row r="217" spans="1:2" x14ac:dyDescent="0.25">
      <c r="A217" s="2">
        <v>47664</v>
      </c>
      <c r="B217" s="1" t="str">
        <f>IF([1]Rseries!H222="","",[1]Rseries!H222)</f>
        <v/>
      </c>
    </row>
    <row r="218" spans="1:2" x14ac:dyDescent="0.25">
      <c r="A218" s="2">
        <v>47756</v>
      </c>
      <c r="B218" s="1" t="str">
        <f>IF([1]Rseries!H223="","",[1]Rseries!H223)</f>
        <v/>
      </c>
    </row>
    <row r="219" spans="1:2" x14ac:dyDescent="0.25">
      <c r="A219" s="2">
        <v>47848</v>
      </c>
      <c r="B219" s="1" t="str">
        <f>IF([1]Rseries!H224="","",[1]Rseries!H224)</f>
        <v/>
      </c>
    </row>
    <row r="220" spans="1:2" x14ac:dyDescent="0.25">
      <c r="A220" s="2">
        <v>47938</v>
      </c>
      <c r="B220" s="1" t="str">
        <f>IF([1]Rseries!H225="","",[1]Rseries!H225)</f>
        <v/>
      </c>
    </row>
    <row r="221" spans="1:2" x14ac:dyDescent="0.25">
      <c r="A221" s="2">
        <v>48029</v>
      </c>
      <c r="B221" s="1" t="str">
        <f>IF([1]Rseries!H226="","",[1]Rseries!H226)</f>
        <v/>
      </c>
    </row>
    <row r="222" spans="1:2" x14ac:dyDescent="0.25">
      <c r="A222" s="2">
        <v>48121</v>
      </c>
      <c r="B222" s="1" t="str">
        <f>IF([1]Rseries!H227="","",[1]Rseries!H227)</f>
        <v/>
      </c>
    </row>
    <row r="223" spans="1:2" x14ac:dyDescent="0.25">
      <c r="A223" s="2">
        <v>48213</v>
      </c>
      <c r="B223" s="1" t="str">
        <f>IF([1]Rseries!H228="","",[1]Rseries!H228)</f>
        <v/>
      </c>
    </row>
    <row r="224" spans="1:2" x14ac:dyDescent="0.25">
      <c r="A224" s="2">
        <v>48304</v>
      </c>
      <c r="B224" s="1" t="str">
        <f>IF([1]Rseries!H229="","",[1]Rseries!H229)</f>
        <v/>
      </c>
    </row>
    <row r="225" spans="1:2" x14ac:dyDescent="0.25">
      <c r="A225" s="2">
        <v>48395</v>
      </c>
      <c r="B225" s="1" t="str">
        <f>IF([1]Rseries!H230="","",[1]Rseries!H230)</f>
        <v/>
      </c>
    </row>
    <row r="226" spans="1:2" x14ac:dyDescent="0.25">
      <c r="A226" s="2">
        <v>48487</v>
      </c>
      <c r="B226" s="1" t="str">
        <f>IF([1]Rseries!H231="","",[1]Rseries!H231)</f>
        <v/>
      </c>
    </row>
    <row r="227" spans="1:2" x14ac:dyDescent="0.25">
      <c r="A227" s="2">
        <v>48579</v>
      </c>
      <c r="B227" s="1" t="str">
        <f>IF([1]Rseries!H232="","",[1]Rseries!H232)</f>
        <v/>
      </c>
    </row>
    <row r="228" spans="1:2" x14ac:dyDescent="0.25">
      <c r="A228" s="2"/>
      <c r="B228" s="1"/>
    </row>
    <row r="229" spans="1:2" x14ac:dyDescent="0.25">
      <c r="A229" s="2"/>
      <c r="B229" s="1"/>
    </row>
    <row r="230" spans="1:2" x14ac:dyDescent="0.25">
      <c r="A230" s="2"/>
      <c r="B230" s="1"/>
    </row>
    <row r="231" spans="1:2" x14ac:dyDescent="0.25">
      <c r="A231" s="2"/>
      <c r="B231" s="1"/>
    </row>
    <row r="232" spans="1:2" x14ac:dyDescent="0.25">
      <c r="A232" s="2"/>
      <c r="B232" s="1"/>
    </row>
    <row r="233" spans="1:2" x14ac:dyDescent="0.25">
      <c r="A233" s="2"/>
      <c r="B233" s="1"/>
    </row>
    <row r="234" spans="1:2" x14ac:dyDescent="0.25">
      <c r="A234" s="2"/>
      <c r="B234" s="1"/>
    </row>
    <row r="235" spans="1:2" x14ac:dyDescent="0.25">
      <c r="A235" s="2"/>
      <c r="B235" s="1"/>
    </row>
    <row r="236" spans="1:2" x14ac:dyDescent="0.25">
      <c r="A236" s="2"/>
      <c r="B236" s="1"/>
    </row>
    <row r="237" spans="1:2" x14ac:dyDescent="0.25">
      <c r="A237" s="2"/>
      <c r="B237" s="1"/>
    </row>
    <row r="238" spans="1:2" x14ac:dyDescent="0.25">
      <c r="A238" s="2"/>
      <c r="B238" s="1"/>
    </row>
    <row r="239" spans="1:2" x14ac:dyDescent="0.25">
      <c r="A239" s="2"/>
      <c r="B239" s="1"/>
    </row>
    <row r="240" spans="1:2" x14ac:dyDescent="0.25">
      <c r="A240" s="2"/>
      <c r="B240" s="1"/>
    </row>
    <row r="241" spans="1:2" x14ac:dyDescent="0.25">
      <c r="A241" s="2"/>
      <c r="B241" s="1"/>
    </row>
    <row r="242" spans="1:2" x14ac:dyDescent="0.25">
      <c r="A242" s="2"/>
      <c r="B242" s="1"/>
    </row>
    <row r="243" spans="1:2" x14ac:dyDescent="0.25">
      <c r="A243" s="2"/>
      <c r="B243" s="1"/>
    </row>
    <row r="244" spans="1:2" x14ac:dyDescent="0.25">
      <c r="A244" s="2"/>
      <c r="B244" s="1"/>
    </row>
    <row r="245" spans="1:2" x14ac:dyDescent="0.25">
      <c r="A245" s="2"/>
      <c r="B245" s="1"/>
    </row>
    <row r="246" spans="1:2" x14ac:dyDescent="0.25">
      <c r="A246" s="2"/>
      <c r="B246" s="1"/>
    </row>
    <row r="247" spans="1:2" x14ac:dyDescent="0.25">
      <c r="A247" s="2"/>
      <c r="B247" s="1"/>
    </row>
    <row r="248" spans="1:2" x14ac:dyDescent="0.25">
      <c r="A248" s="2"/>
      <c r="B248" s="1"/>
    </row>
    <row r="249" spans="1:2" x14ac:dyDescent="0.25">
      <c r="A249" s="2"/>
      <c r="B249" s="1"/>
    </row>
    <row r="250" spans="1:2" x14ac:dyDescent="0.25">
      <c r="A250" s="2"/>
      <c r="B250" s="1"/>
    </row>
    <row r="251" spans="1:2" x14ac:dyDescent="0.25">
      <c r="A251" s="2"/>
      <c r="B251" s="1"/>
    </row>
    <row r="252" spans="1:2" x14ac:dyDescent="0.25">
      <c r="A252" s="2"/>
      <c r="B252" s="1"/>
    </row>
    <row r="253" spans="1:2" x14ac:dyDescent="0.25">
      <c r="A253" s="2"/>
      <c r="B253" s="1"/>
    </row>
    <row r="254" spans="1:2" x14ac:dyDescent="0.25">
      <c r="A254" s="2"/>
      <c r="B254" s="1"/>
    </row>
    <row r="255" spans="1:2" x14ac:dyDescent="0.25">
      <c r="A255" s="2"/>
      <c r="B255" s="1"/>
    </row>
    <row r="256" spans="1:2" x14ac:dyDescent="0.25">
      <c r="A256" s="2"/>
      <c r="B256" s="1"/>
    </row>
    <row r="257" spans="1:2" x14ac:dyDescent="0.25">
      <c r="A257" s="2"/>
      <c r="B257" s="1"/>
    </row>
    <row r="258" spans="1:2" x14ac:dyDescent="0.25">
      <c r="A258" s="2"/>
      <c r="B258" s="1"/>
    </row>
    <row r="259" spans="1:2" x14ac:dyDescent="0.25">
      <c r="A259" s="2"/>
      <c r="B259" s="1"/>
    </row>
    <row r="260" spans="1:2" x14ac:dyDescent="0.25">
      <c r="A260" s="2"/>
      <c r="B260" s="1"/>
    </row>
    <row r="261" spans="1:2" x14ac:dyDescent="0.25">
      <c r="A261" s="2"/>
      <c r="B261" s="1"/>
    </row>
    <row r="262" spans="1:2" x14ac:dyDescent="0.25">
      <c r="A262" s="2"/>
      <c r="B262" s="1"/>
    </row>
    <row r="263" spans="1:2" x14ac:dyDescent="0.25">
      <c r="A263" s="2"/>
      <c r="B263" s="1"/>
    </row>
    <row r="264" spans="1:2" x14ac:dyDescent="0.25">
      <c r="A264" s="2"/>
      <c r="B264" s="1"/>
    </row>
    <row r="265" spans="1:2" x14ac:dyDescent="0.25">
      <c r="A265" s="2"/>
      <c r="B265" s="1"/>
    </row>
    <row r="266" spans="1:2" x14ac:dyDescent="0.25">
      <c r="A266" s="2"/>
      <c r="B266" s="1"/>
    </row>
    <row r="267" spans="1:2" x14ac:dyDescent="0.25">
      <c r="A267" s="2"/>
      <c r="B267" s="1"/>
    </row>
    <row r="268" spans="1:2" x14ac:dyDescent="0.25">
      <c r="A268" s="2"/>
      <c r="B268" s="1"/>
    </row>
    <row r="269" spans="1:2" x14ac:dyDescent="0.25">
      <c r="A269" s="2"/>
      <c r="B269" s="1"/>
    </row>
    <row r="270" spans="1:2" x14ac:dyDescent="0.25">
      <c r="A270" s="2"/>
      <c r="B270" s="1"/>
    </row>
    <row r="271" spans="1:2" x14ac:dyDescent="0.25">
      <c r="A271" s="2"/>
      <c r="B271" s="1"/>
    </row>
    <row r="272" spans="1:2" x14ac:dyDescent="0.25">
      <c r="A272" s="2"/>
      <c r="B272" s="1"/>
    </row>
    <row r="273" spans="1:2" x14ac:dyDescent="0.25">
      <c r="A273" s="2"/>
      <c r="B27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Mediana</vt:lpstr>
      <vt:lpstr>ParoEPAESP</vt:lpstr>
      <vt:lpstr>Amplitud</vt:lpstr>
      <vt:lpstr>Inicio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ihidalgo</dc:creator>
  <cp:lastModifiedBy>ihidalgo Isidro Hidalgo Arellano tfno:9252 88098</cp:lastModifiedBy>
  <cp:lastPrinted>2012-08-28T12:16:49Z</cp:lastPrinted>
  <dcterms:created xsi:type="dcterms:W3CDTF">2012-03-02T12:51:06Z</dcterms:created>
  <dcterms:modified xsi:type="dcterms:W3CDTF">2021-01-28T10:32:15Z</dcterms:modified>
</cp:coreProperties>
</file>