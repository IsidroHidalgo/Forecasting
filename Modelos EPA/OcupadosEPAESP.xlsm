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63"/>
  </bookViews>
  <sheets>
    <sheet name="Mediana" sheetId="139" r:id="rId1"/>
    <sheet name="OcupadosEPAESP" sheetId="1" r:id="rId2"/>
  </sheets>
  <externalReferences>
    <externalReference r:id="rId3"/>
  </externalReferences>
  <definedNames>
    <definedName name="Amplitud">OcupadosEPAESP!$E$2</definedName>
    <definedName name="Inicio">OcupadosEPAESP!$D$2</definedName>
  </definedNames>
  <calcPr calcId="162913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D2" i="1"/>
  <c r="BV11" i="139" l="1"/>
  <c r="BV14" i="139" s="1"/>
  <c r="BV23" i="139" s="1"/>
  <c r="BW11" i="139"/>
  <c r="BW13" i="139" s="1"/>
  <c r="BW22" i="139" s="1"/>
  <c r="BZ11" i="139"/>
  <c r="BZ14" i="139" s="1"/>
  <c r="BZ23" i="139" s="1"/>
  <c r="CA11" i="139"/>
  <c r="CA13" i="139" s="1"/>
  <c r="CA22" i="139" s="1"/>
  <c r="CD11" i="139"/>
  <c r="CD14" i="139" s="1"/>
  <c r="CD23" i="139" s="1"/>
  <c r="CE11" i="139"/>
  <c r="CE13" i="139" s="1"/>
  <c r="CE22" i="139" s="1"/>
  <c r="CH11" i="139"/>
  <c r="CH14" i="139" s="1"/>
  <c r="CH23" i="139" s="1"/>
  <c r="CI11" i="139"/>
  <c r="CI13" i="139" s="1"/>
  <c r="CI22" i="139" s="1"/>
  <c r="CL11" i="139"/>
  <c r="CL14" i="139" s="1"/>
  <c r="CL23" i="139" s="1"/>
  <c r="CM11" i="139"/>
  <c r="CM13" i="139" s="1"/>
  <c r="CM22" i="139" s="1"/>
  <c r="CP11" i="139"/>
  <c r="CP14" i="139" s="1"/>
  <c r="CP23" i="139" s="1"/>
  <c r="CQ11" i="139"/>
  <c r="CQ13" i="139" s="1"/>
  <c r="CQ22" i="139" s="1"/>
  <c r="CT11" i="139"/>
  <c r="CT14" i="139" s="1"/>
  <c r="CT23" i="139" s="1"/>
  <c r="CU11" i="139"/>
  <c r="CU13" i="139" s="1"/>
  <c r="CU22" i="139" s="1"/>
  <c r="CX11" i="139"/>
  <c r="CX14" i="139" s="1"/>
  <c r="CX23" i="139" s="1"/>
  <c r="CY11" i="139"/>
  <c r="CY13" i="139" s="1"/>
  <c r="CY22" i="139" s="1"/>
  <c r="DB11" i="139"/>
  <c r="DB14" i="139" s="1"/>
  <c r="DB23" i="139" s="1"/>
  <c r="DC11" i="139"/>
  <c r="DC13" i="139" s="1"/>
  <c r="DC22" i="139" s="1"/>
  <c r="DF11" i="139"/>
  <c r="DF14" i="139" s="1"/>
  <c r="DF23" i="139" s="1"/>
  <c r="DG11" i="139"/>
  <c r="DG13" i="139" s="1"/>
  <c r="DG22" i="139" s="1"/>
  <c r="DJ11" i="139"/>
  <c r="DJ14" i="139" s="1"/>
  <c r="DJ23" i="139" s="1"/>
  <c r="DK11" i="139"/>
  <c r="DK13" i="139" s="1"/>
  <c r="DK22" i="139" s="1"/>
  <c r="DN11" i="139"/>
  <c r="DN14" i="139" s="1"/>
  <c r="DN23" i="139" s="1"/>
  <c r="DO11" i="139"/>
  <c r="DO13" i="139" s="1"/>
  <c r="DO22" i="139" s="1"/>
  <c r="DR11" i="139"/>
  <c r="DR14" i="139" s="1"/>
  <c r="DR23" i="139" s="1"/>
  <c r="BV13" i="139"/>
  <c r="BV22" i="139" s="1"/>
  <c r="BZ13" i="139"/>
  <c r="BZ22" i="139" s="1"/>
  <c r="CD13" i="139"/>
  <c r="CD22" i="139" s="1"/>
  <c r="CH13" i="139"/>
  <c r="CH22" i="139" s="1"/>
  <c r="CL13" i="139"/>
  <c r="CL22" i="139" s="1"/>
  <c r="CP13" i="139"/>
  <c r="CP22" i="139" s="1"/>
  <c r="CT13" i="139"/>
  <c r="CT22" i="139" s="1"/>
  <c r="CX13" i="139"/>
  <c r="CX22" i="139" s="1"/>
  <c r="DB13" i="139"/>
  <c r="DB22" i="139" s="1"/>
  <c r="DF13" i="139"/>
  <c r="DF22" i="139" s="1"/>
  <c r="DJ13" i="139"/>
  <c r="DJ22" i="139" s="1"/>
  <c r="DN13" i="139"/>
  <c r="DN22" i="139" s="1"/>
  <c r="DR13" i="139"/>
  <c r="DR22" i="139" s="1"/>
  <c r="BW14" i="139"/>
  <c r="BW23" i="139" s="1"/>
  <c r="CA14" i="139"/>
  <c r="CA23" i="139" s="1"/>
  <c r="CI14" i="139"/>
  <c r="CI23" i="139" s="1"/>
  <c r="CU14" i="139"/>
  <c r="CU23" i="139" s="1"/>
  <c r="CY14" i="139"/>
  <c r="CY23" i="139" s="1"/>
  <c r="DG14" i="139"/>
  <c r="DG23" i="139" s="1"/>
  <c r="BV15" i="139"/>
  <c r="BV24" i="139" s="1"/>
  <c r="BZ15" i="139"/>
  <c r="BZ24" i="139" s="1"/>
  <c r="CD15" i="139"/>
  <c r="CD24" i="139" s="1"/>
  <c r="CH15" i="139"/>
  <c r="CH24" i="139" s="1"/>
  <c r="CP15" i="139"/>
  <c r="CP24" i="139" s="1"/>
  <c r="CT15" i="139"/>
  <c r="CT24" i="139" s="1"/>
  <c r="CX15" i="139"/>
  <c r="CX24" i="139" s="1"/>
  <c r="DB15" i="139"/>
  <c r="DB24" i="139" s="1"/>
  <c r="DF15" i="139"/>
  <c r="DF24" i="139" s="1"/>
  <c r="DN15" i="139"/>
  <c r="DN24" i="139" s="1"/>
  <c r="DR15" i="139"/>
  <c r="DR24" i="139" s="1"/>
  <c r="BW16" i="139"/>
  <c r="BW25" i="139" s="1"/>
  <c r="CE16" i="139"/>
  <c r="CE25" i="139" s="1"/>
  <c r="CI16" i="139"/>
  <c r="CI25" i="139" s="1"/>
  <c r="CU16" i="139"/>
  <c r="CU25" i="139" s="1"/>
  <c r="DC16" i="139"/>
  <c r="DC25" i="139" s="1"/>
  <c r="DG16" i="139"/>
  <c r="DG25" i="139" s="1"/>
  <c r="BV31" i="139"/>
  <c r="BW31" i="139"/>
  <c r="BX31" i="139"/>
  <c r="BZ31" i="139"/>
  <c r="CA31" i="139"/>
  <c r="CB31" i="139"/>
  <c r="CD31" i="139"/>
  <c r="CE31" i="139"/>
  <c r="CF31" i="139"/>
  <c r="CH31" i="139"/>
  <c r="CI31" i="139"/>
  <c r="CJ31" i="139"/>
  <c r="CL31" i="139"/>
  <c r="CM31" i="139"/>
  <c r="CN31" i="139"/>
  <c r="CP31" i="139"/>
  <c r="CQ31" i="139"/>
  <c r="CR31" i="139"/>
  <c r="CT31" i="139"/>
  <c r="CU31" i="139"/>
  <c r="CV31" i="139"/>
  <c r="CX31" i="139"/>
  <c r="CY31" i="139"/>
  <c r="CZ31" i="139"/>
  <c r="DB31" i="139"/>
  <c r="DC31" i="139"/>
  <c r="DD31" i="139"/>
  <c r="DF31" i="139"/>
  <c r="DG31" i="139"/>
  <c r="DH31" i="139"/>
  <c r="DJ31" i="139"/>
  <c r="DK31" i="139"/>
  <c r="DL31" i="139"/>
  <c r="DN31" i="139"/>
  <c r="DO31" i="139"/>
  <c r="DP31" i="139"/>
  <c r="DR31" i="139"/>
  <c r="BV32" i="139"/>
  <c r="BW32" i="139"/>
  <c r="BY32" i="139"/>
  <c r="BZ32" i="139"/>
  <c r="CA32" i="139"/>
  <c r="CC32" i="139"/>
  <c r="CD32" i="139"/>
  <c r="CE32" i="139"/>
  <c r="CG32" i="139"/>
  <c r="CH32" i="139"/>
  <c r="CI32" i="139"/>
  <c r="CK32" i="139"/>
  <c r="CL32" i="139"/>
  <c r="CM32" i="139"/>
  <c r="CO32" i="139"/>
  <c r="CP32" i="139"/>
  <c r="CQ32" i="139"/>
  <c r="CS32" i="139"/>
  <c r="CT32" i="139"/>
  <c r="CU32" i="139"/>
  <c r="CW32" i="139"/>
  <c r="CX32" i="139"/>
  <c r="CY32" i="139"/>
  <c r="DA32" i="139"/>
  <c r="DB32" i="139"/>
  <c r="DC32" i="139"/>
  <c r="DE32" i="139"/>
  <c r="DF32" i="139"/>
  <c r="DG32" i="139"/>
  <c r="DI32" i="139"/>
  <c r="DJ32" i="139"/>
  <c r="DK32" i="139"/>
  <c r="DM32" i="139"/>
  <c r="DN32" i="139"/>
  <c r="DO32" i="139"/>
  <c r="DQ32" i="139"/>
  <c r="DR32" i="139"/>
  <c r="BV33" i="139"/>
  <c r="BX33" i="139"/>
  <c r="BY33" i="139"/>
  <c r="BZ33" i="139"/>
  <c r="CB33" i="139"/>
  <c r="CC33" i="139"/>
  <c r="CD33" i="139"/>
  <c r="CF33" i="139"/>
  <c r="CG33" i="139"/>
  <c r="CH33" i="139"/>
  <c r="CJ33" i="139"/>
  <c r="CK33" i="139"/>
  <c r="CL33" i="139"/>
  <c r="CN33" i="139"/>
  <c r="CO33" i="139"/>
  <c r="CP33" i="139"/>
  <c r="CR33" i="139"/>
  <c r="CS33" i="139"/>
  <c r="CT33" i="139"/>
  <c r="CV33" i="139"/>
  <c r="CW33" i="139"/>
  <c r="CX33" i="139"/>
  <c r="CZ33" i="139"/>
  <c r="DA33" i="139"/>
  <c r="DB33" i="139"/>
  <c r="DD33" i="139"/>
  <c r="DE33" i="139"/>
  <c r="DF33" i="139"/>
  <c r="DH33" i="139"/>
  <c r="DI33" i="139"/>
  <c r="DJ33" i="139"/>
  <c r="DL33" i="139"/>
  <c r="DM33" i="139"/>
  <c r="DN33" i="139"/>
  <c r="DP33" i="139"/>
  <c r="DQ33" i="139"/>
  <c r="DR33" i="139"/>
  <c r="BW34" i="139"/>
  <c r="BX34" i="139"/>
  <c r="BY34" i="139"/>
  <c r="CA34" i="139"/>
  <c r="CB34" i="139"/>
  <c r="CC34" i="139"/>
  <c r="CE34" i="139"/>
  <c r="CF34" i="139"/>
  <c r="CG34" i="139"/>
  <c r="CI34" i="139"/>
  <c r="CJ34" i="139"/>
  <c r="CK34" i="139"/>
  <c r="CM34" i="139"/>
  <c r="CN34" i="139"/>
  <c r="CO34" i="139"/>
  <c r="CQ34" i="139"/>
  <c r="CR34" i="139"/>
  <c r="CS34" i="139"/>
  <c r="CU34" i="139"/>
  <c r="CV34" i="139"/>
  <c r="CW34" i="139"/>
  <c r="CY34" i="139"/>
  <c r="CZ34" i="139"/>
  <c r="DA34" i="139"/>
  <c r="DC34" i="139"/>
  <c r="DD34" i="139"/>
  <c r="DE34" i="139"/>
  <c r="DG34" i="139"/>
  <c r="DH34" i="139"/>
  <c r="DI34" i="139"/>
  <c r="DK34" i="139"/>
  <c r="DL34" i="139"/>
  <c r="DM34" i="139"/>
  <c r="DO34" i="139"/>
  <c r="DP34" i="139"/>
  <c r="DQ34" i="139"/>
  <c r="CY16" i="139" l="1"/>
  <c r="CY25" i="139" s="1"/>
  <c r="CA16" i="139"/>
  <c r="CA25" i="139" s="1"/>
  <c r="DC14" i="139"/>
  <c r="DC23" i="139" s="1"/>
  <c r="CE14" i="139"/>
  <c r="CE23" i="139" s="1"/>
  <c r="DO16" i="139"/>
  <c r="DO25" i="139" s="1"/>
  <c r="CQ16" i="139"/>
  <c r="CQ25" i="139" s="1"/>
  <c r="DK16" i="139"/>
  <c r="DK25" i="139" s="1"/>
  <c r="CM16" i="139"/>
  <c r="CM25" i="139" s="1"/>
  <c r="DO14" i="139"/>
  <c r="DO23" i="139" s="1"/>
  <c r="CQ14" i="139"/>
  <c r="CQ23" i="139" s="1"/>
  <c r="DJ15" i="139"/>
  <c r="DJ24" i="139" s="1"/>
  <c r="CL15" i="139"/>
  <c r="CL24" i="139" s="1"/>
  <c r="DK14" i="139"/>
  <c r="DK23" i="139" s="1"/>
  <c r="CM14" i="139"/>
  <c r="CM23" i="139" s="1"/>
  <c r="DF16" i="139"/>
  <c r="DF25" i="139" s="1"/>
  <c r="DF34" i="139"/>
  <c r="CT16" i="139"/>
  <c r="CT25" i="139" s="1"/>
  <c r="CT34" i="139"/>
  <c r="CH16" i="139"/>
  <c r="CH25" i="139" s="1"/>
  <c r="CH34" i="139"/>
  <c r="BV16" i="139"/>
  <c r="BV25" i="139" s="1"/>
  <c r="BV34" i="139"/>
  <c r="DG15" i="139"/>
  <c r="DG24" i="139" s="1"/>
  <c r="DG33" i="139"/>
  <c r="CU15" i="139"/>
  <c r="CU24" i="139" s="1"/>
  <c r="CU33" i="139"/>
  <c r="CI15" i="139"/>
  <c r="CI24" i="139" s="1"/>
  <c r="CI33" i="139"/>
  <c r="DP32" i="139"/>
  <c r="DD32" i="139"/>
  <c r="CR32" i="139"/>
  <c r="CF32" i="139"/>
  <c r="DP11" i="139"/>
  <c r="DQ11" i="139"/>
  <c r="DQ13" i="139" s="1"/>
  <c r="DQ22" i="139" s="1"/>
  <c r="DQ31" i="139"/>
  <c r="DD11" i="139"/>
  <c r="DD14" i="139" s="1"/>
  <c r="DD23" i="139" s="1"/>
  <c r="DE11" i="139"/>
  <c r="DE13" i="139" s="1"/>
  <c r="DE22" i="139" s="1"/>
  <c r="DE31" i="139"/>
  <c r="CS13" i="139"/>
  <c r="CS22" i="139" s="1"/>
  <c r="CR11" i="139"/>
  <c r="CS11" i="139"/>
  <c r="CS31" i="139"/>
  <c r="CF11" i="139"/>
  <c r="CF14" i="139" s="1"/>
  <c r="CF23" i="139" s="1"/>
  <c r="CG11" i="139"/>
  <c r="CG13" i="139" s="1"/>
  <c r="CG22" i="139" s="1"/>
  <c r="CG31" i="139"/>
  <c r="DN16" i="139"/>
  <c r="DN25" i="139" s="1"/>
  <c r="DN34" i="139"/>
  <c r="DB16" i="139"/>
  <c r="DB25" i="139" s="1"/>
  <c r="DB34" i="139"/>
  <c r="CP16" i="139"/>
  <c r="CP25" i="139" s="1"/>
  <c r="CP34" i="139"/>
  <c r="CD16" i="139"/>
  <c r="CD25" i="139" s="1"/>
  <c r="CD34" i="139"/>
  <c r="DO15" i="139"/>
  <c r="DO24" i="139" s="1"/>
  <c r="DO33" i="139"/>
  <c r="CY15" i="139"/>
  <c r="CY24" i="139" s="1"/>
  <c r="CY33" i="139"/>
  <c r="CM15" i="139"/>
  <c r="CM24" i="139" s="1"/>
  <c r="CM33" i="139"/>
  <c r="CA15" i="139"/>
  <c r="CA24" i="139" s="1"/>
  <c r="CA33" i="139"/>
  <c r="DL32" i="139"/>
  <c r="CV32" i="139"/>
  <c r="CJ32" i="139"/>
  <c r="BX32" i="139"/>
  <c r="DH11" i="139"/>
  <c r="DI11" i="139"/>
  <c r="DI13" i="139" s="1"/>
  <c r="DI22" i="139" s="1"/>
  <c r="DI31" i="139"/>
  <c r="CV11" i="139"/>
  <c r="CW11" i="139"/>
  <c r="CW13" i="139" s="1"/>
  <c r="CW22" i="139" s="1"/>
  <c r="CW31" i="139"/>
  <c r="CK13" i="139"/>
  <c r="CK22" i="139" s="1"/>
  <c r="CJ11" i="139"/>
  <c r="CJ14" i="139" s="1"/>
  <c r="CJ23" i="139" s="1"/>
  <c r="CK11" i="139"/>
  <c r="CK31" i="139"/>
  <c r="CB11" i="139"/>
  <c r="CC11" i="139"/>
  <c r="CC13" i="139" s="1"/>
  <c r="CC22" i="139" s="1"/>
  <c r="CC31" i="139"/>
  <c r="DR16" i="139"/>
  <c r="DR25" i="139" s="1"/>
  <c r="DR34" i="139"/>
  <c r="DJ16" i="139"/>
  <c r="DJ25" i="139" s="1"/>
  <c r="DJ34" i="139"/>
  <c r="CX16" i="139"/>
  <c r="CX25" i="139" s="1"/>
  <c r="CX34" i="139"/>
  <c r="CL16" i="139"/>
  <c r="CL25" i="139" s="1"/>
  <c r="CL34" i="139"/>
  <c r="BZ16" i="139"/>
  <c r="BZ25" i="139" s="1"/>
  <c r="BZ34" i="139"/>
  <c r="DK15" i="139"/>
  <c r="DK24" i="139" s="1"/>
  <c r="DK33" i="139"/>
  <c r="DC15" i="139"/>
  <c r="DC24" i="139" s="1"/>
  <c r="DC33" i="139"/>
  <c r="CQ15" i="139"/>
  <c r="CQ24" i="139" s="1"/>
  <c r="CQ33" i="139"/>
  <c r="CE15" i="139"/>
  <c r="CE24" i="139" s="1"/>
  <c r="CE33" i="139"/>
  <c r="BW15" i="139"/>
  <c r="BW24" i="139" s="1"/>
  <c r="BW33" i="139"/>
  <c r="DH14" i="139"/>
  <c r="DH23" i="139" s="1"/>
  <c r="DH32" i="139"/>
  <c r="CZ32" i="139"/>
  <c r="CN32" i="139"/>
  <c r="CB14" i="139"/>
  <c r="CB23" i="139" s="1"/>
  <c r="CB32" i="139"/>
  <c r="DM13" i="139"/>
  <c r="DM22" i="139" s="1"/>
  <c r="DL11" i="139"/>
  <c r="DM11" i="139"/>
  <c r="DM31" i="139"/>
  <c r="DA13" i="139"/>
  <c r="DA22" i="139" s="1"/>
  <c r="CZ11" i="139"/>
  <c r="CZ14" i="139" s="1"/>
  <c r="CZ23" i="139" s="1"/>
  <c r="DA11" i="139"/>
  <c r="DA31" i="139"/>
  <c r="CN11" i="139"/>
  <c r="CO11" i="139"/>
  <c r="CO13" i="139" s="1"/>
  <c r="CO22" i="139" s="1"/>
  <c r="CO31" i="139"/>
  <c r="BY13" i="139"/>
  <c r="BY22" i="139" s="1"/>
  <c r="BX11" i="139"/>
  <c r="BX14" i="139" s="1"/>
  <c r="BX23" i="139" s="1"/>
  <c r="BY11" i="139"/>
  <c r="BY31" i="139"/>
  <c r="CN14" i="139" l="1"/>
  <c r="CN23" i="139" s="1"/>
  <c r="BY14" i="139"/>
  <c r="BY23" i="139" s="1"/>
  <c r="BY15" i="139"/>
  <c r="BY24" i="139" s="1"/>
  <c r="BY16" i="139"/>
  <c r="BY25" i="139" s="1"/>
  <c r="CO14" i="139"/>
  <c r="CO23" i="139" s="1"/>
  <c r="CO15" i="139"/>
  <c r="CO24" i="139" s="1"/>
  <c r="CO16" i="139"/>
  <c r="CO25" i="139" s="1"/>
  <c r="DA14" i="139"/>
  <c r="DA23" i="139" s="1"/>
  <c r="DA15" i="139"/>
  <c r="DA24" i="139" s="1"/>
  <c r="DA16" i="139"/>
  <c r="DA25" i="139" s="1"/>
  <c r="DM14" i="139"/>
  <c r="DM23" i="139" s="1"/>
  <c r="DM15" i="139"/>
  <c r="DM24" i="139" s="1"/>
  <c r="DM16" i="139"/>
  <c r="DM25" i="139" s="1"/>
  <c r="CC14" i="139"/>
  <c r="CC23" i="139" s="1"/>
  <c r="CC15" i="139"/>
  <c r="CC24" i="139" s="1"/>
  <c r="CC16" i="139"/>
  <c r="CC25" i="139" s="1"/>
  <c r="CK14" i="139"/>
  <c r="CK23" i="139" s="1"/>
  <c r="CK15" i="139"/>
  <c r="CK24" i="139" s="1"/>
  <c r="CK16" i="139"/>
  <c r="CK25" i="139" s="1"/>
  <c r="CW14" i="139"/>
  <c r="CW23" i="139" s="1"/>
  <c r="CW15" i="139"/>
  <c r="CW24" i="139" s="1"/>
  <c r="CW16" i="139"/>
  <c r="CW25" i="139" s="1"/>
  <c r="DI14" i="139"/>
  <c r="DI23" i="139" s="1"/>
  <c r="DI15" i="139"/>
  <c r="DI24" i="139" s="1"/>
  <c r="DI16" i="139"/>
  <c r="DI25" i="139" s="1"/>
  <c r="CV14" i="139"/>
  <c r="CV23" i="139" s="1"/>
  <c r="CG14" i="139"/>
  <c r="CG23" i="139" s="1"/>
  <c r="CG15" i="139"/>
  <c r="CG24" i="139" s="1"/>
  <c r="CG16" i="139"/>
  <c r="CG25" i="139" s="1"/>
  <c r="CS14" i="139"/>
  <c r="CS23" i="139" s="1"/>
  <c r="CS15" i="139"/>
  <c r="CS24" i="139" s="1"/>
  <c r="CS16" i="139"/>
  <c r="CS25" i="139" s="1"/>
  <c r="DE14" i="139"/>
  <c r="DE23" i="139" s="1"/>
  <c r="DE15" i="139"/>
  <c r="DE24" i="139" s="1"/>
  <c r="DE16" i="139"/>
  <c r="DE25" i="139" s="1"/>
  <c r="DQ14" i="139"/>
  <c r="DQ23" i="139" s="1"/>
  <c r="DQ15" i="139"/>
  <c r="DQ24" i="139" s="1"/>
  <c r="DQ16" i="139"/>
  <c r="DQ25" i="139" s="1"/>
  <c r="BX15" i="139"/>
  <c r="BX24" i="139" s="1"/>
  <c r="BX16" i="139"/>
  <c r="BX25" i="139" s="1"/>
  <c r="BX13" i="139"/>
  <c r="BX22" i="139" s="1"/>
  <c r="CN15" i="139"/>
  <c r="CN24" i="139" s="1"/>
  <c r="CN16" i="139"/>
  <c r="CN25" i="139" s="1"/>
  <c r="CN13" i="139"/>
  <c r="CN22" i="139" s="1"/>
  <c r="CZ15" i="139"/>
  <c r="CZ24" i="139" s="1"/>
  <c r="CZ16" i="139"/>
  <c r="CZ25" i="139" s="1"/>
  <c r="CZ13" i="139"/>
  <c r="CZ22" i="139" s="1"/>
  <c r="DL15" i="139"/>
  <c r="DL24" i="139" s="1"/>
  <c r="DL16" i="139"/>
  <c r="DL25" i="139" s="1"/>
  <c r="DL13" i="139"/>
  <c r="DL22" i="139" s="1"/>
  <c r="CB15" i="139"/>
  <c r="CB24" i="139" s="1"/>
  <c r="CB16" i="139"/>
  <c r="CB25" i="139" s="1"/>
  <c r="CB13" i="139"/>
  <c r="CB22" i="139" s="1"/>
  <c r="CJ15" i="139"/>
  <c r="CJ24" i="139" s="1"/>
  <c r="CJ16" i="139"/>
  <c r="CJ25" i="139" s="1"/>
  <c r="CJ13" i="139"/>
  <c r="CJ22" i="139" s="1"/>
  <c r="CV15" i="139"/>
  <c r="CV24" i="139" s="1"/>
  <c r="CV16" i="139"/>
  <c r="CV25" i="139" s="1"/>
  <c r="CV13" i="139"/>
  <c r="CV22" i="139" s="1"/>
  <c r="DH15" i="139"/>
  <c r="DH24" i="139" s="1"/>
  <c r="DH16" i="139"/>
  <c r="DH25" i="139" s="1"/>
  <c r="DH13" i="139"/>
  <c r="DH22" i="139" s="1"/>
  <c r="CF15" i="139"/>
  <c r="CF24" i="139" s="1"/>
  <c r="CF16" i="139"/>
  <c r="CF25" i="139" s="1"/>
  <c r="CF13" i="139"/>
  <c r="CF22" i="139" s="1"/>
  <c r="CR15" i="139"/>
  <c r="CR24" i="139" s="1"/>
  <c r="CR16" i="139"/>
  <c r="CR25" i="139" s="1"/>
  <c r="CR13" i="139"/>
  <c r="CR22" i="139" s="1"/>
  <c r="DD15" i="139"/>
  <c r="DD24" i="139" s="1"/>
  <c r="DD16" i="139"/>
  <c r="DD25" i="139" s="1"/>
  <c r="DD13" i="139"/>
  <c r="DD22" i="139" s="1"/>
  <c r="DP15" i="139"/>
  <c r="DP24" i="139" s="1"/>
  <c r="DP16" i="139"/>
  <c r="DP25" i="139" s="1"/>
  <c r="DP13" i="139"/>
  <c r="DP22" i="139" s="1"/>
  <c r="DL14" i="139"/>
  <c r="DL23" i="139" s="1"/>
  <c r="CR14" i="139"/>
  <c r="CR23" i="139" s="1"/>
  <c r="DP14" i="139"/>
  <c r="DP23" i="139" s="1"/>
  <c r="BU34" i="139" l="1"/>
  <c r="BT34" i="139"/>
  <c r="BS34" i="139"/>
  <c r="BU33" i="139"/>
  <c r="BT33" i="139"/>
  <c r="BS33" i="139"/>
  <c r="BU32" i="139"/>
  <c r="BT32" i="139"/>
  <c r="BS32" i="139"/>
  <c r="BU31" i="139"/>
  <c r="BT31" i="139"/>
  <c r="BS31" i="139"/>
  <c r="BU11" i="139" l="1"/>
  <c r="BT11" i="139"/>
  <c r="BT16" i="139" s="1"/>
  <c r="BS11" i="139"/>
  <c r="BS16" i="139" s="1"/>
  <c r="BR11" i="139"/>
  <c r="BR14" i="139" s="1"/>
  <c r="BQ11" i="139"/>
  <c r="BP11" i="139" s="1"/>
  <c r="BU13" i="139"/>
  <c r="BU14" i="139"/>
  <c r="BR15" i="139"/>
  <c r="BS15" i="139"/>
  <c r="BU15" i="139"/>
  <c r="BU16" i="139"/>
  <c r="BR13" i="139" l="1"/>
  <c r="BQ13" i="139"/>
  <c r="BQ16" i="139"/>
  <c r="BQ15" i="139"/>
  <c r="BQ14" i="139"/>
  <c r="BR16" i="139"/>
  <c r="BP16" i="139"/>
  <c r="BO11" i="139"/>
  <c r="BO15" i="139" s="1"/>
  <c r="BS14" i="139"/>
  <c r="BS13" i="139"/>
  <c r="BT14" i="139"/>
  <c r="BP14" i="139"/>
  <c r="BT15" i="139"/>
  <c r="BP15" i="139"/>
  <c r="BT13" i="139"/>
  <c r="BP13" i="139"/>
  <c r="BO16" i="139" l="1"/>
  <c r="BO25" i="139" s="1"/>
  <c r="BN11" i="139"/>
  <c r="BN15" i="139" s="1"/>
  <c r="BN24" i="139" s="1"/>
  <c r="BO14" i="139"/>
  <c r="BO23" i="139" s="1"/>
  <c r="BO13" i="139"/>
  <c r="BO22" i="139" s="1"/>
  <c r="BM11" i="139"/>
  <c r="BN14" i="139"/>
  <c r="BN23" i="139" s="1"/>
  <c r="BN16" i="139"/>
  <c r="BN25" i="139" s="1"/>
  <c r="BP22" i="139"/>
  <c r="BR22" i="139"/>
  <c r="BT22" i="139"/>
  <c r="BP25" i="139"/>
  <c r="BR25" i="139"/>
  <c r="BT25" i="139"/>
  <c r="BU25" i="139"/>
  <c r="BS25" i="139"/>
  <c r="BQ25" i="139"/>
  <c r="BU24" i="139"/>
  <c r="BT24" i="139"/>
  <c r="BS24" i="139"/>
  <c r="BR24" i="139"/>
  <c r="BQ24" i="139"/>
  <c r="BP24" i="139"/>
  <c r="BO24" i="139"/>
  <c r="BU23" i="139"/>
  <c r="BT23" i="139"/>
  <c r="BS23" i="139"/>
  <c r="BR23" i="139"/>
  <c r="BQ23" i="139"/>
  <c r="BP23" i="139"/>
  <c r="BU22" i="139"/>
  <c r="BS22" i="139"/>
  <c r="BQ22" i="139"/>
  <c r="BN13" i="139" l="1"/>
  <c r="BN22" i="139" s="1"/>
  <c r="BL11" i="139"/>
  <c r="BM15" i="139"/>
  <c r="BM24" i="139" s="1"/>
  <c r="BM14" i="139"/>
  <c r="BM23" i="139" s="1"/>
  <c r="BM13" i="139"/>
  <c r="BM22" i="139" s="1"/>
  <c r="BM16" i="139"/>
  <c r="BM25" i="139" s="1"/>
  <c r="BL16" i="139" l="1"/>
  <c r="BL25" i="139" s="1"/>
  <c r="BL13" i="139"/>
  <c r="BL22" i="139" s="1"/>
  <c r="BL14" i="139"/>
  <c r="BL23" i="139" s="1"/>
  <c r="BK11" i="139"/>
  <c r="BL15" i="139"/>
  <c r="BL24" i="139" s="1"/>
  <c r="BK13" i="139" l="1"/>
  <c r="BK22" i="139" s="1"/>
  <c r="BK14" i="139"/>
  <c r="BK23" i="139" s="1"/>
  <c r="BK16" i="139"/>
  <c r="BK25" i="139" s="1"/>
  <c r="BJ11" i="139"/>
  <c r="BK15" i="139"/>
  <c r="BK24" i="139" s="1"/>
  <c r="BJ16" i="139" l="1"/>
  <c r="BJ25" i="139" s="1"/>
  <c r="BJ13" i="139"/>
  <c r="BJ22" i="139" s="1"/>
  <c r="BJ14" i="139"/>
  <c r="BJ23" i="139" s="1"/>
  <c r="BI11" i="139"/>
  <c r="BJ15" i="139"/>
  <c r="BJ24" i="139" s="1"/>
  <c r="BI15" i="139" l="1"/>
  <c r="BI24" i="139" s="1"/>
  <c r="BI13" i="139"/>
  <c r="BI22" i="139" s="1"/>
  <c r="BI16" i="139"/>
  <c r="BI25" i="139" s="1"/>
  <c r="BH11" i="139"/>
  <c r="BI14" i="139"/>
  <c r="BI23" i="139" s="1"/>
  <c r="BH15" i="139" l="1"/>
  <c r="BH24" i="139" s="1"/>
  <c r="BH16" i="139"/>
  <c r="BH25" i="139" s="1"/>
  <c r="BH13" i="139"/>
  <c r="BH22" i="139" s="1"/>
  <c r="BH14" i="139"/>
  <c r="BH23" i="139" s="1"/>
  <c r="BG11" i="139"/>
  <c r="BG15" i="139" l="1"/>
  <c r="BG24" i="139" s="1"/>
  <c r="BF11" i="139"/>
  <c r="BG13" i="139"/>
  <c r="BG22" i="139" s="1"/>
  <c r="BG14" i="139"/>
  <c r="BG23" i="139" s="1"/>
  <c r="BG16" i="139"/>
  <c r="BG25" i="139" s="1"/>
  <c r="BF13" i="139" l="1"/>
  <c r="BF22" i="139" s="1"/>
  <c r="BE11" i="139"/>
  <c r="BF16" i="139"/>
  <c r="BF25" i="139" s="1"/>
  <c r="BF15" i="139"/>
  <c r="BF24" i="139" s="1"/>
  <c r="BF14" i="139"/>
  <c r="BF23" i="139" s="1"/>
  <c r="BE13" i="139" l="1"/>
  <c r="BE22" i="139" s="1"/>
  <c r="BR31" i="139" s="1"/>
  <c r="BE16" i="139"/>
  <c r="BE25" i="139" s="1"/>
  <c r="BR34" i="139" s="1"/>
  <c r="BE15" i="139"/>
  <c r="BE24" i="139" s="1"/>
  <c r="BR33" i="139" s="1"/>
  <c r="BD11" i="139"/>
  <c r="BE14" i="139"/>
  <c r="BE23" i="139" s="1"/>
  <c r="BR32" i="139" s="1"/>
  <c r="BD13" i="139" l="1"/>
  <c r="BD22" i="139" s="1"/>
  <c r="BQ31" i="139" s="1"/>
  <c r="BC11" i="139"/>
  <c r="BD14" i="139"/>
  <c r="BD23" i="139" s="1"/>
  <c r="BQ32" i="139" s="1"/>
  <c r="BD15" i="139"/>
  <c r="BD24" i="139" s="1"/>
  <c r="BQ33" i="139" s="1"/>
  <c r="BD16" i="139"/>
  <c r="BD25" i="139" s="1"/>
  <c r="BQ34" i="139" s="1"/>
  <c r="BC16" i="139" l="1"/>
  <c r="BC25" i="139" s="1"/>
  <c r="BP34" i="139" s="1"/>
  <c r="BC14" i="139"/>
  <c r="BC23" i="139" s="1"/>
  <c r="BP32" i="139" s="1"/>
  <c r="BC13" i="139"/>
  <c r="BC22" i="139" s="1"/>
  <c r="BP31" i="139" s="1"/>
  <c r="BB11" i="139"/>
  <c r="BC15" i="139"/>
  <c r="BC24" i="139" s="1"/>
  <c r="BP33" i="139" s="1"/>
  <c r="BB14" i="139" l="1"/>
  <c r="BB23" i="139" s="1"/>
  <c r="BO32" i="139" s="1"/>
  <c r="BB15" i="139"/>
  <c r="BB24" i="139" s="1"/>
  <c r="BO33" i="139" s="1"/>
  <c r="BA11" i="139"/>
  <c r="BB16" i="139"/>
  <c r="BB25" i="139" s="1"/>
  <c r="BO34" i="139" s="1"/>
  <c r="BB13" i="139"/>
  <c r="BB22" i="139" s="1"/>
  <c r="BO31" i="139" s="1"/>
  <c r="BA14" i="139" l="1"/>
  <c r="BA23" i="139" s="1"/>
  <c r="BN32" i="139" s="1"/>
  <c r="AZ11" i="139"/>
  <c r="BA13" i="139"/>
  <c r="BA22" i="139" s="1"/>
  <c r="BN31" i="139" s="1"/>
  <c r="BA16" i="139"/>
  <c r="BA25" i="139" s="1"/>
  <c r="BN34" i="139" s="1"/>
  <c r="BA15" i="139"/>
  <c r="BA24" i="139" s="1"/>
  <c r="BN33" i="139" s="1"/>
  <c r="AZ15" i="139" l="1"/>
  <c r="AZ24" i="139" s="1"/>
  <c r="BM33" i="139" s="1"/>
  <c r="AY11" i="139"/>
  <c r="AZ16" i="139"/>
  <c r="AZ25" i="139" s="1"/>
  <c r="BM34" i="139" s="1"/>
  <c r="AZ13" i="139"/>
  <c r="AZ22" i="139" s="1"/>
  <c r="BM31" i="139" s="1"/>
  <c r="AZ14" i="139"/>
  <c r="AZ23" i="139" s="1"/>
  <c r="BM32" i="139" s="1"/>
  <c r="AY13" i="139" l="1"/>
  <c r="AY22" i="139" s="1"/>
  <c r="BL31" i="139" s="1"/>
  <c r="AY15" i="139"/>
  <c r="AY24" i="139" s="1"/>
  <c r="BL33" i="139" s="1"/>
  <c r="AY14" i="139"/>
  <c r="AY23" i="139" s="1"/>
  <c r="BL32" i="139" s="1"/>
  <c r="AX11" i="139"/>
  <c r="AY16" i="139"/>
  <c r="AY25" i="139" s="1"/>
  <c r="BL34" i="139" s="1"/>
  <c r="AX16" i="139" l="1"/>
  <c r="AX25" i="139" s="1"/>
  <c r="BK34" i="139" s="1"/>
  <c r="AW11" i="139"/>
  <c r="AX15" i="139"/>
  <c r="AX24" i="139" s="1"/>
  <c r="BK33" i="139" s="1"/>
  <c r="AX14" i="139"/>
  <c r="AX23" i="139" s="1"/>
  <c r="BK32" i="139" s="1"/>
  <c r="AX13" i="139"/>
  <c r="AX22" i="139" s="1"/>
  <c r="BK31" i="139" s="1"/>
  <c r="AW14" i="139" l="1"/>
  <c r="AW23" i="139" s="1"/>
  <c r="BJ32" i="139" s="1"/>
  <c r="AW15" i="139"/>
  <c r="AW24" i="139" s="1"/>
  <c r="BJ33" i="139" s="1"/>
  <c r="AW13" i="139"/>
  <c r="AW22" i="139" s="1"/>
  <c r="BJ31" i="139" s="1"/>
  <c r="AV11" i="139"/>
  <c r="AW16" i="139"/>
  <c r="AW25" i="139" s="1"/>
  <c r="BJ34" i="139" s="1"/>
  <c r="AU11" i="139" l="1"/>
  <c r="AV15" i="139"/>
  <c r="AV24" i="139" s="1"/>
  <c r="BI33" i="139" s="1"/>
  <c r="AV13" i="139"/>
  <c r="AV22" i="139" s="1"/>
  <c r="BI31" i="139" s="1"/>
  <c r="AV14" i="139"/>
  <c r="AV23" i="139" s="1"/>
  <c r="BI32" i="139" s="1"/>
  <c r="AV16" i="139"/>
  <c r="AV25" i="139" s="1"/>
  <c r="BI34" i="139" s="1"/>
  <c r="AU15" i="139" l="1"/>
  <c r="AU24" i="139" s="1"/>
  <c r="BH33" i="139" s="1"/>
  <c r="AU14" i="139"/>
  <c r="AU23" i="139" s="1"/>
  <c r="BH32" i="139" s="1"/>
  <c r="AU13" i="139"/>
  <c r="AU22" i="139" s="1"/>
  <c r="BH31" i="139" s="1"/>
  <c r="AT11" i="139"/>
  <c r="AU16" i="139"/>
  <c r="AU25" i="139" s="1"/>
  <c r="BH34" i="139" s="1"/>
  <c r="AS11" i="139" l="1"/>
  <c r="AT14" i="139"/>
  <c r="AT23" i="139" s="1"/>
  <c r="BG32" i="139" s="1"/>
  <c r="AT16" i="139"/>
  <c r="AT25" i="139" s="1"/>
  <c r="BG34" i="139" s="1"/>
  <c r="AT15" i="139"/>
  <c r="AT24" i="139" s="1"/>
  <c r="BG33" i="139" s="1"/>
  <c r="AT13" i="139"/>
  <c r="AT22" i="139" s="1"/>
  <c r="BG31" i="139" s="1"/>
  <c r="AS14" i="139" l="1"/>
  <c r="AS23" i="139" s="1"/>
  <c r="BF32" i="139" s="1"/>
  <c r="AS13" i="139"/>
  <c r="AS22" i="139" s="1"/>
  <c r="BF31" i="139" s="1"/>
  <c r="AS16" i="139"/>
  <c r="AS25" i="139" s="1"/>
  <c r="BF34" i="139" s="1"/>
  <c r="AS15" i="139"/>
  <c r="AS24" i="139" s="1"/>
  <c r="BF33" i="139" s="1"/>
  <c r="AR11" i="139"/>
  <c r="AR14" i="139" l="1"/>
  <c r="AR23" i="139" s="1"/>
  <c r="BE32" i="139" s="1"/>
  <c r="AR15" i="139"/>
  <c r="AR24" i="139" s="1"/>
  <c r="BE33" i="139" s="1"/>
  <c r="AQ11" i="139"/>
  <c r="AR13" i="139"/>
  <c r="AR22" i="139" s="1"/>
  <c r="BE31" i="139" s="1"/>
  <c r="AR16" i="139"/>
  <c r="AR25" i="139" s="1"/>
  <c r="BE34" i="139" s="1"/>
  <c r="AQ16" i="139" l="1"/>
  <c r="AQ25" i="139" s="1"/>
  <c r="BD34" i="139" s="1"/>
  <c r="AP11" i="139"/>
  <c r="AQ15" i="139"/>
  <c r="AQ24" i="139" s="1"/>
  <c r="BD33" i="139" s="1"/>
  <c r="AQ14" i="139"/>
  <c r="AQ23" i="139" s="1"/>
  <c r="BD32" i="139" s="1"/>
  <c r="AQ13" i="139"/>
  <c r="AQ22" i="139" s="1"/>
  <c r="BD31" i="139" s="1"/>
  <c r="AP13" i="139" l="1"/>
  <c r="AP22" i="139" s="1"/>
  <c r="BC31" i="139" s="1"/>
  <c r="AP14" i="139"/>
  <c r="AP23" i="139" s="1"/>
  <c r="BC32" i="139" s="1"/>
  <c r="AP15" i="139"/>
  <c r="AP24" i="139" s="1"/>
  <c r="BC33" i="139" s="1"/>
  <c r="AO11" i="139"/>
  <c r="AP16" i="139"/>
  <c r="AP25" i="139" s="1"/>
  <c r="BC34" i="139" s="1"/>
  <c r="AO13" i="139" l="1"/>
  <c r="AO22" i="139" s="1"/>
  <c r="BB31" i="139" s="1"/>
  <c r="AN11" i="139"/>
  <c r="AO14" i="139"/>
  <c r="AO23" i="139" s="1"/>
  <c r="BB32" i="139" s="1"/>
  <c r="AO16" i="139"/>
  <c r="AO25" i="139" s="1"/>
  <c r="BB34" i="139" s="1"/>
  <c r="AO15" i="139"/>
  <c r="AO24" i="139" s="1"/>
  <c r="BB33" i="139" s="1"/>
  <c r="AN14" i="139" l="1"/>
  <c r="AN23" i="139" s="1"/>
  <c r="BA32" i="139" s="1"/>
  <c r="AN13" i="139"/>
  <c r="AN22" i="139" s="1"/>
  <c r="BA31" i="139" s="1"/>
  <c r="AN16" i="139"/>
  <c r="AN25" i="139" s="1"/>
  <c r="BA34" i="139" s="1"/>
  <c r="AM11" i="139"/>
  <c r="AN15" i="139"/>
  <c r="AN24" i="139" s="1"/>
  <c r="BA33" i="139" s="1"/>
  <c r="AM16" i="139" l="1"/>
  <c r="AM25" i="139" s="1"/>
  <c r="AZ34" i="139" s="1"/>
  <c r="AM15" i="139"/>
  <c r="AM24" i="139" s="1"/>
  <c r="AZ33" i="139" s="1"/>
  <c r="AM14" i="139"/>
  <c r="AM23" i="139" s="1"/>
  <c r="AZ32" i="139" s="1"/>
  <c r="AM13" i="139"/>
  <c r="AM22" i="139" s="1"/>
  <c r="AZ31" i="139" s="1"/>
  <c r="AL11" i="139"/>
  <c r="AK11" i="139" l="1"/>
  <c r="AL14" i="139"/>
  <c r="AL23" i="139" s="1"/>
  <c r="AY32" i="139" s="1"/>
  <c r="AL13" i="139"/>
  <c r="AL22" i="139" s="1"/>
  <c r="AY31" i="139" s="1"/>
  <c r="AL16" i="139"/>
  <c r="AL25" i="139" s="1"/>
  <c r="AY34" i="139" s="1"/>
  <c r="AL15" i="139"/>
  <c r="AL24" i="139" s="1"/>
  <c r="AY33" i="139" s="1"/>
  <c r="AJ11" i="139" l="1"/>
  <c r="AK15" i="139"/>
  <c r="AK24" i="139" s="1"/>
  <c r="AX33" i="139" s="1"/>
  <c r="AK14" i="139"/>
  <c r="AK23" i="139" s="1"/>
  <c r="AX32" i="139" s="1"/>
  <c r="AK13" i="139"/>
  <c r="AK22" i="139" s="1"/>
  <c r="AX31" i="139" s="1"/>
  <c r="AK16" i="139"/>
  <c r="AK25" i="139" s="1"/>
  <c r="AX34" i="139" s="1"/>
  <c r="AJ16" i="139" l="1"/>
  <c r="AJ25" i="139" s="1"/>
  <c r="AW34" i="139" s="1"/>
  <c r="AI11" i="139"/>
  <c r="AJ14" i="139"/>
  <c r="AJ23" i="139" s="1"/>
  <c r="AW32" i="139" s="1"/>
  <c r="AJ13" i="139"/>
  <c r="AJ22" i="139" s="1"/>
  <c r="AW31" i="139" s="1"/>
  <c r="AJ15" i="139"/>
  <c r="AJ24" i="139" s="1"/>
  <c r="AW33" i="139" s="1"/>
  <c r="AI14" i="139" l="1"/>
  <c r="AI23" i="139" s="1"/>
  <c r="AV32" i="139" s="1"/>
  <c r="AI13" i="139"/>
  <c r="AI22" i="139" s="1"/>
  <c r="AV31" i="139" s="1"/>
  <c r="AI15" i="139"/>
  <c r="AI24" i="139" s="1"/>
  <c r="AV33" i="139" s="1"/>
  <c r="AI16" i="139"/>
  <c r="AI25" i="139" s="1"/>
  <c r="AV34" i="139" s="1"/>
  <c r="AH11" i="139"/>
  <c r="AG11" i="139" l="1"/>
  <c r="AH15" i="139"/>
  <c r="AH24" i="139" s="1"/>
  <c r="AU33" i="139" s="1"/>
  <c r="AH16" i="139"/>
  <c r="AH25" i="139" s="1"/>
  <c r="AU34" i="139" s="1"/>
  <c r="AH14" i="139"/>
  <c r="AH23" i="139" s="1"/>
  <c r="AU32" i="139" s="1"/>
  <c r="AH13" i="139"/>
  <c r="AH22" i="139" s="1"/>
  <c r="AU31" i="139" s="1"/>
  <c r="AF11" i="139" l="1"/>
  <c r="AG14" i="139"/>
  <c r="AG23" i="139" s="1"/>
  <c r="AT32" i="139" s="1"/>
  <c r="AG16" i="139"/>
  <c r="AG25" i="139" s="1"/>
  <c r="AT34" i="139" s="1"/>
  <c r="AG13" i="139"/>
  <c r="AG22" i="139" s="1"/>
  <c r="AT31" i="139" s="1"/>
  <c r="AG15" i="139"/>
  <c r="AG24" i="139" s="1"/>
  <c r="AT33" i="139" s="1"/>
  <c r="AF15" i="139" l="1"/>
  <c r="AF24" i="139" s="1"/>
  <c r="AS33" i="139" s="1"/>
  <c r="AE11" i="139"/>
  <c r="AF14" i="139"/>
  <c r="AF23" i="139" s="1"/>
  <c r="AS32" i="139" s="1"/>
  <c r="AF16" i="139"/>
  <c r="AF25" i="139" s="1"/>
  <c r="AS34" i="139" s="1"/>
  <c r="AF13" i="139"/>
  <c r="AF22" i="139" s="1"/>
  <c r="AS31" i="139" s="1"/>
  <c r="AE13" i="139" l="1"/>
  <c r="AE22" i="139" s="1"/>
  <c r="AR31" i="139" s="1"/>
  <c r="AE14" i="139"/>
  <c r="AE23" i="139" s="1"/>
  <c r="AR32" i="139" s="1"/>
  <c r="AE16" i="139"/>
  <c r="AE25" i="139" s="1"/>
  <c r="AR34" i="139" s="1"/>
  <c r="AD11" i="139"/>
  <c r="AE15" i="139"/>
  <c r="AE24" i="139" s="1"/>
  <c r="AR33" i="139" s="1"/>
  <c r="AD14" i="139" l="1"/>
  <c r="AD23" i="139" s="1"/>
  <c r="AQ32" i="139" s="1"/>
  <c r="AD15" i="139"/>
  <c r="AD24" i="139" s="1"/>
  <c r="AQ33" i="139" s="1"/>
  <c r="AD16" i="139"/>
  <c r="AD25" i="139" s="1"/>
  <c r="AQ34" i="139" s="1"/>
  <c r="AC11" i="139"/>
  <c r="AD13" i="139"/>
  <c r="AD22" i="139" s="1"/>
  <c r="AQ31" i="139" s="1"/>
  <c r="AB11" i="139" l="1"/>
  <c r="AC13" i="139"/>
  <c r="AC22" i="139" s="1"/>
  <c r="AP31" i="139" s="1"/>
  <c r="AC14" i="139"/>
  <c r="AC23" i="139" s="1"/>
  <c r="AP32" i="139" s="1"/>
  <c r="AC16" i="139"/>
  <c r="AC25" i="139" s="1"/>
  <c r="AP34" i="139" s="1"/>
  <c r="AC15" i="139"/>
  <c r="AC24" i="139" s="1"/>
  <c r="AP33" i="139" s="1"/>
  <c r="AB16" i="139" l="1"/>
  <c r="AB25" i="139" s="1"/>
  <c r="AO34" i="139" s="1"/>
  <c r="AB13" i="139"/>
  <c r="AB22" i="139" s="1"/>
  <c r="AO31" i="139" s="1"/>
  <c r="AB14" i="139"/>
  <c r="AB23" i="139" s="1"/>
  <c r="AO32" i="139" s="1"/>
  <c r="AA11" i="139"/>
  <c r="AB15" i="139"/>
  <c r="AB24" i="139" s="1"/>
  <c r="AO33" i="139" s="1"/>
  <c r="AA13" i="139" l="1"/>
  <c r="AA22" i="139" s="1"/>
  <c r="AN31" i="139" s="1"/>
  <c r="AA15" i="139"/>
  <c r="AA24" i="139" s="1"/>
  <c r="AN33" i="139" s="1"/>
  <c r="Z11" i="139"/>
  <c r="AA14" i="139"/>
  <c r="AA23" i="139" s="1"/>
  <c r="AN32" i="139" s="1"/>
  <c r="AA16" i="139"/>
  <c r="AA25" i="139" s="1"/>
  <c r="AN34" i="139" s="1"/>
  <c r="Z15" i="139" l="1"/>
  <c r="Z24" i="139" s="1"/>
  <c r="AM33" i="139" s="1"/>
  <c r="Z16" i="139"/>
  <c r="Z25" i="139" s="1"/>
  <c r="AM34" i="139" s="1"/>
  <c r="Z14" i="139"/>
  <c r="Z23" i="139" s="1"/>
  <c r="AM32" i="139" s="1"/>
  <c r="Y11" i="139"/>
  <c r="Z13" i="139"/>
  <c r="Z22" i="139" s="1"/>
  <c r="AM31" i="139" s="1"/>
  <c r="Y16" i="139" l="1"/>
  <c r="Y25" i="139" s="1"/>
  <c r="AL34" i="139" s="1"/>
  <c r="Y15" i="139"/>
  <c r="Y24" i="139" s="1"/>
  <c r="AL33" i="139" s="1"/>
  <c r="X11" i="139"/>
  <c r="Y14" i="139"/>
  <c r="Y23" i="139" s="1"/>
  <c r="AL32" i="139" s="1"/>
  <c r="Y13" i="139"/>
  <c r="Y22" i="139" s="1"/>
  <c r="AL31" i="139" s="1"/>
  <c r="W11" i="139" l="1"/>
  <c r="X15" i="139"/>
  <c r="X24" i="139" s="1"/>
  <c r="AK33" i="139" s="1"/>
  <c r="X14" i="139"/>
  <c r="X23" i="139" s="1"/>
  <c r="AK32" i="139" s="1"/>
  <c r="X13" i="139"/>
  <c r="X22" i="139" s="1"/>
  <c r="AK31" i="139" s="1"/>
  <c r="X16" i="139"/>
  <c r="X25" i="139" s="1"/>
  <c r="AK34" i="139" s="1"/>
  <c r="W13" i="139" l="1"/>
  <c r="W22" i="139" s="1"/>
  <c r="AJ31" i="139" s="1"/>
  <c r="W14" i="139"/>
  <c r="W23" i="139" s="1"/>
  <c r="AJ32" i="139" s="1"/>
  <c r="V11" i="139"/>
  <c r="W16" i="139"/>
  <c r="W25" i="139" s="1"/>
  <c r="AJ34" i="139" s="1"/>
  <c r="W15" i="139"/>
  <c r="W24" i="139" s="1"/>
  <c r="AJ33" i="139" s="1"/>
  <c r="V16" i="139" l="1"/>
  <c r="V25" i="139" s="1"/>
  <c r="AI34" i="139" s="1"/>
  <c r="V15" i="139"/>
  <c r="V24" i="139" s="1"/>
  <c r="AI33" i="139" s="1"/>
  <c r="V13" i="139"/>
  <c r="V22" i="139" s="1"/>
  <c r="AI31" i="139" s="1"/>
  <c r="U11" i="139"/>
  <c r="V14" i="139"/>
  <c r="V23" i="139" s="1"/>
  <c r="AI32" i="139" s="1"/>
  <c r="U15" i="139" l="1"/>
  <c r="U24" i="139" s="1"/>
  <c r="AH33" i="139" s="1"/>
  <c r="U14" i="139"/>
  <c r="U23" i="139" s="1"/>
  <c r="AH32" i="139" s="1"/>
  <c r="U13" i="139"/>
  <c r="U22" i="139" s="1"/>
  <c r="AH31" i="139" s="1"/>
  <c r="T11" i="139"/>
  <c r="U16" i="139"/>
  <c r="U25" i="139" s="1"/>
  <c r="AH34" i="139" s="1"/>
  <c r="T13" i="139" l="1"/>
  <c r="T22" i="139" s="1"/>
  <c r="AG31" i="139" s="1"/>
  <c r="T14" i="139"/>
  <c r="T23" i="139" s="1"/>
  <c r="AG32" i="139" s="1"/>
  <c r="T16" i="139"/>
  <c r="T25" i="139" s="1"/>
  <c r="AG34" i="139" s="1"/>
  <c r="T15" i="139"/>
  <c r="T24" i="139" s="1"/>
  <c r="AG33" i="139" s="1"/>
  <c r="S11" i="139"/>
  <c r="DU16" i="139"/>
  <c r="DV16" i="139" s="1"/>
  <c r="DX16" i="139" s="1"/>
  <c r="DT16" i="139"/>
  <c r="DS16" i="139"/>
  <c r="DT14" i="139"/>
  <c r="DU14" i="139"/>
  <c r="DV14" i="139" s="1"/>
  <c r="DX14" i="139" s="1"/>
  <c r="DS14" i="139"/>
  <c r="DU13" i="139"/>
  <c r="DV13" i="139" s="1"/>
  <c r="DX13" i="139" s="1"/>
  <c r="DT13" i="139"/>
  <c r="DS13" i="139"/>
  <c r="DT15" i="139"/>
  <c r="DU15" i="139"/>
  <c r="DV15" i="139" s="1"/>
  <c r="DX15" i="139" s="1"/>
  <c r="DS15" i="139"/>
  <c r="R11" i="139" l="1"/>
  <c r="S13" i="139"/>
  <c r="S22" i="139" s="1"/>
  <c r="AF31" i="139" s="1"/>
  <c r="S15" i="139"/>
  <c r="S24" i="139" s="1"/>
  <c r="AF33" i="139" s="1"/>
  <c r="S16" i="139"/>
  <c r="S25" i="139" s="1"/>
  <c r="AF34" i="139" s="1"/>
  <c r="S14" i="139"/>
  <c r="S23" i="139" s="1"/>
  <c r="AF32" i="139" s="1"/>
  <c r="DW13" i="139"/>
  <c r="DW14" i="139"/>
  <c r="DW16" i="139"/>
  <c r="DS23" i="139"/>
  <c r="DT23" i="139"/>
  <c r="DU23" i="139"/>
  <c r="DV23" i="139" s="1"/>
  <c r="DX23" i="139" s="1"/>
  <c r="DS25" i="139"/>
  <c r="DU25" i="139"/>
  <c r="DV25" i="139" s="1"/>
  <c r="DX25" i="139" s="1"/>
  <c r="DT25" i="139"/>
  <c r="DU24" i="139"/>
  <c r="DV24" i="139" s="1"/>
  <c r="DX24" i="139" s="1"/>
  <c r="DT24" i="139"/>
  <c r="DS24" i="139"/>
  <c r="DU22" i="139"/>
  <c r="DV22" i="139" s="1"/>
  <c r="DX22" i="139" s="1"/>
  <c r="DS22" i="139"/>
  <c r="DT22" i="139"/>
  <c r="DW15" i="139"/>
  <c r="R15" i="139" l="1"/>
  <c r="R24" i="139" s="1"/>
  <c r="AE33" i="139" s="1"/>
  <c r="Q11" i="139"/>
  <c r="R13" i="139"/>
  <c r="R22" i="139" s="1"/>
  <c r="AE31" i="139" s="1"/>
  <c r="R16" i="139"/>
  <c r="R25" i="139" s="1"/>
  <c r="AE34" i="139" s="1"/>
  <c r="R14" i="139"/>
  <c r="R23" i="139" s="1"/>
  <c r="AE32" i="139" s="1"/>
  <c r="DW24" i="139"/>
  <c r="DW25" i="139"/>
  <c r="DW22" i="139"/>
  <c r="DW23" i="139"/>
  <c r="Q14" i="139" l="1"/>
  <c r="Q23" i="139" s="1"/>
  <c r="AD32" i="139" s="1"/>
  <c r="Q15" i="139"/>
  <c r="Q24" i="139" s="1"/>
  <c r="AD33" i="139" s="1"/>
  <c r="Q13" i="139"/>
  <c r="Q22" i="139" s="1"/>
  <c r="AD31" i="139" s="1"/>
  <c r="Q16" i="139"/>
  <c r="Q25" i="139" s="1"/>
  <c r="AD34" i="139" s="1"/>
  <c r="P11" i="139"/>
  <c r="P16" i="139" l="1"/>
  <c r="P25" i="139" s="1"/>
  <c r="AC34" i="139" s="1"/>
  <c r="P13" i="139"/>
  <c r="P22" i="139" s="1"/>
  <c r="AC31" i="139" s="1"/>
  <c r="O11" i="139"/>
  <c r="P15" i="139"/>
  <c r="P24" i="139" s="1"/>
  <c r="AC33" i="139" s="1"/>
  <c r="P14" i="139"/>
  <c r="P23" i="139" s="1"/>
  <c r="AC32" i="139" s="1"/>
  <c r="N11" i="139" l="1"/>
  <c r="O14" i="139"/>
  <c r="O23" i="139" s="1"/>
  <c r="AB32" i="139" s="1"/>
  <c r="O15" i="139"/>
  <c r="O24" i="139" s="1"/>
  <c r="AB33" i="139" s="1"/>
  <c r="O16" i="139"/>
  <c r="O25" i="139" s="1"/>
  <c r="AB34" i="139" s="1"/>
  <c r="O13" i="139"/>
  <c r="O22" i="139" s="1"/>
  <c r="AB31" i="139" s="1"/>
  <c r="N13" i="139" l="1"/>
  <c r="N22" i="139" s="1"/>
  <c r="AA31" i="139" s="1"/>
  <c r="N14" i="139"/>
  <c r="N23" i="139" s="1"/>
  <c r="AA32" i="139" s="1"/>
  <c r="M11" i="139"/>
  <c r="N15" i="139"/>
  <c r="N24" i="139" s="1"/>
  <c r="AA33" i="139" s="1"/>
  <c r="N16" i="139"/>
  <c r="N25" i="139" s="1"/>
  <c r="AA34" i="139" s="1"/>
  <c r="M15" i="139" l="1"/>
  <c r="M24" i="139" s="1"/>
  <c r="Z33" i="139" s="1"/>
  <c r="M14" i="139"/>
  <c r="M23" i="139" s="1"/>
  <c r="Z32" i="139" s="1"/>
  <c r="M13" i="139"/>
  <c r="M22" i="139" s="1"/>
  <c r="Z31" i="139" s="1"/>
  <c r="L11" i="139"/>
  <c r="M16" i="139"/>
  <c r="M25" i="139" s="1"/>
  <c r="Z34" i="139" s="1"/>
  <c r="L16" i="139" l="1"/>
  <c r="L25" i="139" s="1"/>
  <c r="Y34" i="139" s="1"/>
  <c r="L14" i="139"/>
  <c r="L23" i="139" s="1"/>
  <c r="Y32" i="139" s="1"/>
  <c r="K11" i="139"/>
  <c r="L15" i="139"/>
  <c r="L24" i="139" s="1"/>
  <c r="Y33" i="139" s="1"/>
  <c r="L13" i="139"/>
  <c r="L22" i="139" s="1"/>
  <c r="Y31" i="139" s="1"/>
  <c r="K13" i="139" l="1"/>
  <c r="K22" i="139" s="1"/>
  <c r="X31" i="139" s="1"/>
  <c r="K15" i="139"/>
  <c r="K24" i="139" s="1"/>
  <c r="X33" i="139" s="1"/>
  <c r="K16" i="139"/>
  <c r="K25" i="139" s="1"/>
  <c r="X34" i="139" s="1"/>
  <c r="J11" i="139"/>
  <c r="K14" i="139"/>
  <c r="K23" i="139" s="1"/>
  <c r="X32" i="139" s="1"/>
  <c r="I11" i="139" l="1"/>
  <c r="J15" i="139"/>
  <c r="J24" i="139" s="1"/>
  <c r="W33" i="139" s="1"/>
  <c r="J16" i="139"/>
  <c r="J25" i="139" s="1"/>
  <c r="W34" i="139" s="1"/>
  <c r="J14" i="139"/>
  <c r="J23" i="139" s="1"/>
  <c r="W32" i="139" s="1"/>
  <c r="J13" i="139"/>
  <c r="J22" i="139" s="1"/>
  <c r="W31" i="139" s="1"/>
  <c r="H11" i="139" l="1"/>
  <c r="I13" i="139"/>
  <c r="I22" i="139" s="1"/>
  <c r="V31" i="139" s="1"/>
  <c r="I16" i="139"/>
  <c r="I25" i="139" s="1"/>
  <c r="V34" i="139" s="1"/>
  <c r="I15" i="139"/>
  <c r="I24" i="139" s="1"/>
  <c r="V33" i="139" s="1"/>
  <c r="I14" i="139"/>
  <c r="I23" i="139" s="1"/>
  <c r="V32" i="139" s="1"/>
  <c r="H15" i="139" l="1"/>
  <c r="H24" i="139" s="1"/>
  <c r="U33" i="139" s="1"/>
  <c r="H13" i="139"/>
  <c r="H22" i="139" s="1"/>
  <c r="U31" i="139" s="1"/>
  <c r="H16" i="139"/>
  <c r="H25" i="139" s="1"/>
  <c r="U34" i="139" s="1"/>
  <c r="G11" i="139"/>
  <c r="H14" i="139"/>
  <c r="H23" i="139" s="1"/>
  <c r="U32" i="139" s="1"/>
  <c r="G16" i="139" l="1"/>
  <c r="G25" i="139" s="1"/>
  <c r="T34" i="139" s="1"/>
  <c r="G15" i="139"/>
  <c r="G24" i="139" s="1"/>
  <c r="T33" i="139" s="1"/>
  <c r="F11" i="139"/>
  <c r="G14" i="139"/>
  <c r="G23" i="139" s="1"/>
  <c r="T32" i="139" s="1"/>
  <c r="G13" i="139"/>
  <c r="G22" i="139" s="1"/>
  <c r="T31" i="139" s="1"/>
  <c r="F14" i="139" l="1"/>
  <c r="F23" i="139" s="1"/>
  <c r="S32" i="139" s="1"/>
  <c r="F15" i="139"/>
  <c r="F24" i="139" s="1"/>
  <c r="S33" i="139" s="1"/>
  <c r="F13" i="139"/>
  <c r="F22" i="139" s="1"/>
  <c r="S31" i="139" s="1"/>
  <c r="F16" i="139"/>
  <c r="F25" i="139" s="1"/>
  <c r="S34" i="139" s="1"/>
  <c r="E11" i="139"/>
  <c r="E15" i="139" l="1"/>
  <c r="E24" i="139" s="1"/>
  <c r="R33" i="139" s="1"/>
  <c r="E13" i="139"/>
  <c r="E22" i="139" s="1"/>
  <c r="R31" i="139" s="1"/>
  <c r="E14" i="139"/>
  <c r="E23" i="139" s="1"/>
  <c r="R32" i="139" s="1"/>
  <c r="D11" i="139"/>
  <c r="E16" i="139"/>
  <c r="E25" i="139" s="1"/>
  <c r="R34" i="139" s="1"/>
  <c r="D16" i="139" l="1"/>
  <c r="D25" i="139" s="1"/>
  <c r="Q34" i="139" s="1"/>
  <c r="C11" i="139"/>
  <c r="D13" i="139"/>
  <c r="D22" i="139" s="1"/>
  <c r="Q31" i="139" s="1"/>
  <c r="D15" i="139"/>
  <c r="D24" i="139" s="1"/>
  <c r="Q33" i="139" s="1"/>
  <c r="D14" i="139"/>
  <c r="D23" i="139" s="1"/>
  <c r="Q32" i="139" s="1"/>
  <c r="B11" i="139" l="1"/>
  <c r="C15" i="139"/>
  <c r="C24" i="139" s="1"/>
  <c r="P33" i="139" s="1"/>
  <c r="C14" i="139"/>
  <c r="C23" i="139" s="1"/>
  <c r="P32" i="139" s="1"/>
  <c r="C16" i="139"/>
  <c r="C25" i="139" s="1"/>
  <c r="P34" i="139" s="1"/>
  <c r="C13" i="139"/>
  <c r="C22" i="139" s="1"/>
  <c r="P31" i="139" s="1"/>
  <c r="B15" i="139" l="1"/>
  <c r="B24" i="139" s="1"/>
  <c r="O33" i="139" s="1"/>
  <c r="B16" i="139"/>
  <c r="B25" i="139" s="1"/>
  <c r="O34" i="139" s="1"/>
  <c r="B13" i="139"/>
  <c r="B22" i="139" s="1"/>
  <c r="O31" i="139" s="1"/>
  <c r="B14" i="139"/>
  <c r="B23" i="139" s="1"/>
  <c r="O32" i="139" s="1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<sst xmlns="http://schemas.openxmlformats.org/spreadsheetml/2006/main" count="226" uniqueCount="11">
  <si>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</si>
  <si>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</si>
  <si>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</si>
  <si>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</si>
  <si>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</si>
  <si>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</si>
  <si>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</si>
  <si>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OcupadosEPAESP</t>
  </si>
  <si>
    <t>Inicio</t>
  </si>
  <si>
    <t>Amplitud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</si>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</sst>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FF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J7">
            <v>12924000</v>
          </cell>
        </row>
        <row r="8">
          <cell r="J8">
            <v>12815500</v>
          </cell>
        </row>
        <row r="9">
          <cell r="J9">
            <v>12762300</v>
          </cell>
        </row>
        <row r="10">
          <cell r="J10">
            <v>12727000</v>
          </cell>
        </row>
        <row r="11">
          <cell r="J11">
            <v>12736800</v>
          </cell>
        </row>
        <row r="12">
          <cell r="J12">
            <v>12738300</v>
          </cell>
        </row>
        <row r="13">
          <cell r="J13">
            <v>12617800</v>
          </cell>
        </row>
        <row r="14">
          <cell r="J14">
            <v>12548300</v>
          </cell>
        </row>
        <row r="15">
          <cell r="J15">
            <v>12541200</v>
          </cell>
        </row>
        <row r="16">
          <cell r="J16">
            <v>12472200</v>
          </cell>
        </row>
        <row r="17">
          <cell r="J17">
            <v>12434000</v>
          </cell>
        </row>
        <row r="18">
          <cell r="J18">
            <v>12359400</v>
          </cell>
        </row>
        <row r="19">
          <cell r="J19">
            <v>12394200</v>
          </cell>
        </row>
        <row r="20">
          <cell r="J20">
            <v>12309100</v>
          </cell>
        </row>
        <row r="21">
          <cell r="J21">
            <v>12160000</v>
          </cell>
        </row>
        <row r="22">
          <cell r="J22">
            <v>12039400</v>
          </cell>
        </row>
        <row r="23">
          <cell r="J23">
            <v>12029800</v>
          </cell>
        </row>
        <row r="24">
          <cell r="J24">
            <v>11937200</v>
          </cell>
        </row>
        <row r="25">
          <cell r="J25">
            <v>11802500</v>
          </cell>
        </row>
        <row r="26">
          <cell r="J26">
            <v>11725900</v>
          </cell>
        </row>
        <row r="27">
          <cell r="J27">
            <v>11743700</v>
          </cell>
        </row>
        <row r="28">
          <cell r="J28">
            <v>11668000</v>
          </cell>
        </row>
        <row r="29">
          <cell r="J29">
            <v>11616000</v>
          </cell>
        </row>
        <row r="30">
          <cell r="J30">
            <v>11624100</v>
          </cell>
        </row>
        <row r="31">
          <cell r="J31">
            <v>11647500</v>
          </cell>
        </row>
        <row r="32">
          <cell r="J32">
            <v>11624500</v>
          </cell>
        </row>
        <row r="33">
          <cell r="J33">
            <v>11509600</v>
          </cell>
        </row>
        <row r="34">
          <cell r="J34">
            <v>11562500</v>
          </cell>
        </row>
        <row r="35">
          <cell r="J35">
            <v>11640800</v>
          </cell>
        </row>
        <row r="36">
          <cell r="J36">
            <v>11560700</v>
          </cell>
        </row>
        <row r="37">
          <cell r="J37">
            <v>11318900</v>
          </cell>
        </row>
        <row r="38">
          <cell r="J38">
            <v>11266000</v>
          </cell>
        </row>
        <row r="39">
          <cell r="J39">
            <v>11290200</v>
          </cell>
        </row>
        <row r="40">
          <cell r="J40">
            <v>11187000</v>
          </cell>
        </row>
        <row r="41">
          <cell r="J41">
            <v>11127900</v>
          </cell>
        </row>
        <row r="42">
          <cell r="J42">
            <v>11095800</v>
          </cell>
        </row>
        <row r="43">
          <cell r="J43">
            <v>11176100</v>
          </cell>
        </row>
        <row r="44">
          <cell r="J44">
            <v>11203000</v>
          </cell>
        </row>
        <row r="45">
          <cell r="J45">
            <v>11195800</v>
          </cell>
        </row>
        <row r="46">
          <cell r="J46">
            <v>11297700</v>
          </cell>
        </row>
        <row r="47">
          <cell r="J47">
            <v>11422600</v>
          </cell>
        </row>
        <row r="48">
          <cell r="J48">
            <v>11505900</v>
          </cell>
        </row>
        <row r="49">
          <cell r="J49">
            <v>11529600</v>
          </cell>
        </row>
        <row r="50">
          <cell r="J50">
            <v>11837000</v>
          </cell>
        </row>
        <row r="51">
          <cell r="J51">
            <v>12058600</v>
          </cell>
        </row>
        <row r="52">
          <cell r="J52">
            <v>12157800</v>
          </cell>
        </row>
        <row r="53">
          <cell r="J53">
            <v>12160600</v>
          </cell>
        </row>
        <row r="54">
          <cell r="J54">
            <v>12257000</v>
          </cell>
        </row>
        <row r="55">
          <cell r="J55">
            <v>12465800</v>
          </cell>
        </row>
        <row r="56">
          <cell r="J56">
            <v>12517900</v>
          </cell>
        </row>
        <row r="57">
          <cell r="J57">
            <v>12554200</v>
          </cell>
        </row>
        <row r="58">
          <cell r="J58">
            <v>12717700</v>
          </cell>
        </row>
        <row r="59">
          <cell r="J59">
            <v>12939400</v>
          </cell>
        </row>
        <row r="60">
          <cell r="J60">
            <v>12928400</v>
          </cell>
        </row>
        <row r="61">
          <cell r="J61">
            <v>12984200</v>
          </cell>
        </row>
        <row r="62">
          <cell r="J62">
            <v>13053500</v>
          </cell>
        </row>
        <row r="63">
          <cell r="J63">
            <v>13180300</v>
          </cell>
        </row>
        <row r="64">
          <cell r="J64">
            <v>13188500</v>
          </cell>
        </row>
        <row r="65">
          <cell r="J65">
            <v>13172100</v>
          </cell>
        </row>
        <row r="66">
          <cell r="J66">
            <v>13214300</v>
          </cell>
        </row>
        <row r="67">
          <cell r="J67">
            <v>13266900</v>
          </cell>
        </row>
        <row r="68">
          <cell r="J68">
            <v>13161800</v>
          </cell>
        </row>
        <row r="69">
          <cell r="J69">
            <v>13056100</v>
          </cell>
        </row>
        <row r="70">
          <cell r="J70">
            <v>13040000</v>
          </cell>
        </row>
        <row r="71">
          <cell r="J71">
            <v>13016500</v>
          </cell>
        </row>
        <row r="72">
          <cell r="J72">
            <v>12763500</v>
          </cell>
        </row>
        <row r="73">
          <cell r="J73">
            <v>12473700</v>
          </cell>
        </row>
        <row r="74">
          <cell r="J74">
            <v>12470300</v>
          </cell>
        </row>
        <row r="75">
          <cell r="J75">
            <v>12468000</v>
          </cell>
        </row>
        <row r="76">
          <cell r="J76">
            <v>12350000</v>
          </cell>
        </row>
        <row r="77">
          <cell r="J77">
            <v>12235200</v>
          </cell>
        </row>
        <row r="78">
          <cell r="J78">
            <v>12332800</v>
          </cell>
        </row>
        <row r="79">
          <cell r="J79">
            <v>12424600</v>
          </cell>
        </row>
        <row r="80">
          <cell r="J80">
            <v>12424700</v>
          </cell>
        </row>
        <row r="81">
          <cell r="J81">
            <v>12506300</v>
          </cell>
        </row>
        <row r="82">
          <cell r="J82">
            <v>12641500</v>
          </cell>
        </row>
        <row r="83">
          <cell r="J83">
            <v>12750500</v>
          </cell>
        </row>
        <row r="84">
          <cell r="J84">
            <v>12736700</v>
          </cell>
        </row>
        <row r="85">
          <cell r="J85">
            <v>12773400</v>
          </cell>
        </row>
        <row r="86">
          <cell r="J86">
            <v>12933800</v>
          </cell>
        </row>
        <row r="87">
          <cell r="J87">
            <v>13154500</v>
          </cell>
        </row>
        <row r="88">
          <cell r="J88">
            <v>13211200</v>
          </cell>
        </row>
        <row r="89">
          <cell r="J89">
            <v>13273200</v>
          </cell>
        </row>
        <row r="90">
          <cell r="J90">
            <v>13422200</v>
          </cell>
        </row>
        <row r="91">
          <cell r="J91">
            <v>13592500</v>
          </cell>
        </row>
        <row r="92">
          <cell r="J92">
            <v>13681200</v>
          </cell>
        </row>
        <row r="93">
          <cell r="J93">
            <v>13779600</v>
          </cell>
        </row>
        <row r="94">
          <cell r="J94">
            <v>13960900</v>
          </cell>
        </row>
        <row r="95">
          <cell r="J95">
            <v>14194300</v>
          </cell>
        </row>
        <row r="96">
          <cell r="J96">
            <v>14268700</v>
          </cell>
        </row>
        <row r="97">
          <cell r="J97">
            <v>14471000</v>
          </cell>
        </row>
        <row r="98">
          <cell r="J98">
            <v>14773100</v>
          </cell>
        </row>
        <row r="99">
          <cell r="J99">
            <v>14995500</v>
          </cell>
        </row>
        <row r="100">
          <cell r="J100">
            <v>15106500</v>
          </cell>
        </row>
        <row r="101">
          <cell r="J101">
            <v>15266000</v>
          </cell>
        </row>
        <row r="102">
          <cell r="J102">
            <v>15586900</v>
          </cell>
        </row>
        <row r="103">
          <cell r="J103">
            <v>15828500</v>
          </cell>
        </row>
        <row r="104">
          <cell r="J104">
            <v>15929000</v>
          </cell>
        </row>
        <row r="105">
          <cell r="J105">
            <v>16013000</v>
          </cell>
        </row>
        <row r="106">
          <cell r="J106">
            <v>16223000</v>
          </cell>
        </row>
        <row r="107">
          <cell r="J107">
            <v>16441000</v>
          </cell>
        </row>
        <row r="108">
          <cell r="J108">
            <v>16494900</v>
          </cell>
        </row>
        <row r="109">
          <cell r="J109">
            <v>16482300</v>
          </cell>
        </row>
        <row r="110">
          <cell r="J110">
            <v>16766900</v>
          </cell>
        </row>
        <row r="111">
          <cell r="J111">
            <v>16919300</v>
          </cell>
        </row>
        <row r="112">
          <cell r="J112">
            <v>16991900</v>
          </cell>
        </row>
        <row r="113">
          <cell r="J113">
            <v>17092700</v>
          </cell>
        </row>
        <row r="114">
          <cell r="J114">
            <v>17423200</v>
          </cell>
        </row>
        <row r="115">
          <cell r="J115">
            <v>17646000</v>
          </cell>
        </row>
        <row r="116">
          <cell r="J116">
            <v>17740500</v>
          </cell>
        </row>
        <row r="117">
          <cell r="J117">
            <v>17770200</v>
          </cell>
        </row>
        <row r="118">
          <cell r="J118">
            <v>18018900</v>
          </cell>
        </row>
        <row r="119">
          <cell r="J119">
            <v>18289100</v>
          </cell>
        </row>
        <row r="120">
          <cell r="J120">
            <v>18490800</v>
          </cell>
        </row>
        <row r="121">
          <cell r="J121">
            <v>18736100</v>
          </cell>
        </row>
        <row r="122">
          <cell r="J122">
            <v>19160600</v>
          </cell>
        </row>
        <row r="123">
          <cell r="J123">
            <v>19422100</v>
          </cell>
        </row>
        <row r="124">
          <cell r="J124">
            <v>19509200</v>
          </cell>
        </row>
        <row r="125">
          <cell r="J125">
            <v>19578400</v>
          </cell>
        </row>
        <row r="126">
          <cell r="J126">
            <v>19891600</v>
          </cell>
        </row>
        <row r="127">
          <cell r="J127">
            <v>20091000</v>
          </cell>
        </row>
        <row r="128">
          <cell r="J128">
            <v>20195400</v>
          </cell>
        </row>
        <row r="129">
          <cell r="J129">
            <v>20267500</v>
          </cell>
        </row>
        <row r="130">
          <cell r="J130">
            <v>20580900</v>
          </cell>
        </row>
        <row r="131">
          <cell r="J131">
            <v>20753400</v>
          </cell>
        </row>
        <row r="132">
          <cell r="J132">
            <v>20717900</v>
          </cell>
        </row>
        <row r="133">
          <cell r="J133">
            <v>20620000</v>
          </cell>
        </row>
        <row r="134">
          <cell r="J134">
            <v>20646900</v>
          </cell>
        </row>
        <row r="135">
          <cell r="J135">
            <v>20556400</v>
          </cell>
        </row>
        <row r="136">
          <cell r="J136">
            <v>20055300</v>
          </cell>
        </row>
        <row r="137">
          <cell r="J137">
            <v>19284400</v>
          </cell>
        </row>
        <row r="138">
          <cell r="J138">
            <v>19154200</v>
          </cell>
        </row>
        <row r="139">
          <cell r="J139">
            <v>19098400</v>
          </cell>
        </row>
        <row r="140">
          <cell r="J140">
            <v>18890400</v>
          </cell>
        </row>
        <row r="141">
          <cell r="J141">
            <v>18652900</v>
          </cell>
        </row>
        <row r="142">
          <cell r="J142">
            <v>18751100</v>
          </cell>
        </row>
        <row r="143">
          <cell r="J143">
            <v>18819000</v>
          </cell>
        </row>
        <row r="144">
          <cell r="J144">
            <v>18674900</v>
          </cell>
        </row>
        <row r="145">
          <cell r="J145">
            <v>18426200</v>
          </cell>
        </row>
        <row r="146">
          <cell r="J146">
            <v>18622000</v>
          </cell>
        </row>
        <row r="147">
          <cell r="J147">
            <v>18484500</v>
          </cell>
        </row>
        <row r="148">
          <cell r="J148">
            <v>18153000</v>
          </cell>
        </row>
        <row r="149">
          <cell r="J149">
            <v>17765100</v>
          </cell>
        </row>
        <row r="150">
          <cell r="J150">
            <v>17758500</v>
          </cell>
        </row>
        <row r="151">
          <cell r="J151">
            <v>17667700</v>
          </cell>
        </row>
        <row r="152">
          <cell r="J152">
            <v>17339400</v>
          </cell>
        </row>
        <row r="153">
          <cell r="J153">
            <v>17030200</v>
          </cell>
        </row>
        <row r="154">
          <cell r="J154">
            <v>17160600</v>
          </cell>
        </row>
        <row r="155">
          <cell r="J155">
            <v>17230000</v>
          </cell>
        </row>
        <row r="156">
          <cell r="J156">
            <v>17135200</v>
          </cell>
        </row>
        <row r="157">
          <cell r="J157">
            <v>16950600</v>
          </cell>
        </row>
        <row r="158">
          <cell r="J158">
            <v>17353000</v>
          </cell>
        </row>
        <row r="159">
          <cell r="J159">
            <v>17504000</v>
          </cell>
        </row>
        <row r="160">
          <cell r="J160">
            <v>17569100</v>
          </cell>
        </row>
        <row r="161">
          <cell r="J161">
            <v>17454800</v>
          </cell>
        </row>
        <row r="162">
          <cell r="J162">
            <v>17866500</v>
          </cell>
        </row>
        <row r="163">
          <cell r="J163">
            <v>18048700</v>
          </cell>
        </row>
        <row r="164">
          <cell r="J164">
            <v>18094200</v>
          </cell>
        </row>
        <row r="165">
          <cell r="J165">
            <v>18029600</v>
          </cell>
        </row>
        <row r="166">
          <cell r="J166">
            <v>18301000</v>
          </cell>
        </row>
        <row r="167">
          <cell r="J167">
            <v>18527500</v>
          </cell>
        </row>
        <row r="168">
          <cell r="J168">
            <v>18508100</v>
          </cell>
        </row>
        <row r="169">
          <cell r="J169">
            <v>18438300</v>
          </cell>
        </row>
        <row r="170">
          <cell r="J170">
            <v>18813311.16</v>
          </cell>
        </row>
        <row r="171">
          <cell r="J171">
            <v>19049213.309999999</v>
          </cell>
        </row>
        <row r="172">
          <cell r="J172">
            <v>18998352.77</v>
          </cell>
        </row>
        <row r="173">
          <cell r="J173">
            <v>18874205.210000001</v>
          </cell>
        </row>
        <row r="174">
          <cell r="J174">
            <v>19344066.300000001</v>
          </cell>
        </row>
        <row r="175">
          <cell r="J175">
            <v>19527980.25</v>
          </cell>
        </row>
        <row r="176">
          <cell r="J176">
            <v>19564553.190000001</v>
          </cell>
        </row>
        <row r="177">
          <cell r="J177">
            <v>19471100</v>
          </cell>
        </row>
        <row r="178">
          <cell r="J178">
            <v>19804909.600000001</v>
          </cell>
        </row>
        <row r="179">
          <cell r="J179">
            <v>19874323.489999998</v>
          </cell>
        </row>
        <row r="180">
          <cell r="J180">
            <v>19966883.920000002</v>
          </cell>
        </row>
        <row r="181">
          <cell r="J181">
            <v>19681264.620000001</v>
          </cell>
        </row>
        <row r="182">
          <cell r="J182">
            <v>18607220.190000001</v>
          </cell>
        </row>
        <row r="183">
          <cell r="J183">
            <v>19176869.359999999</v>
          </cell>
        </row>
        <row r="184">
          <cell r="J184">
            <v>19344287.010000002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I38"/>
  <sheetViews>
    <sheetView tabSelected="1" topLeftCell="BF1" workbookViewId="0">
      <selection activeCell="BS3" sqref="BS3"/>
    </sheetView>
  </sheetViews>
  <sheetFormatPr baseColWidth="10" defaultRowHeight="15" x14ac:dyDescent="0.25"/>
  <cols>
    <col min="1" max="1" width="7.140625" style="1" bestFit="1" customWidth="1"/>
    <col min="2" max="70" width="10.1406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6.85546875" style="1" bestFit="1" customWidth="1"/>
    <col min="124" max="124" width="8.5703125" style="1" bestFit="1" customWidth="1"/>
    <col min="125" max="125" width="9.140625" style="1" bestFit="1" customWidth="1"/>
    <col min="126" max="126" width="6.140625" style="1" bestFit="1" customWidth="1"/>
    <col min="127" max="127" width="15.7109375" style="1" bestFit="1" customWidth="1"/>
    <col min="128" max="128" width="6.8554687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17849135.089618556</v>
      </c>
      <c r="C3" s="1">
        <v>18006215.134739053</v>
      </c>
      <c r="D3" s="1">
        <v>18205535.004322607</v>
      </c>
      <c r="E3" s="1">
        <v>18393862.815733019</v>
      </c>
      <c r="F3" s="1">
        <v>18633948.201720186</v>
      </c>
      <c r="G3" s="1">
        <v>19116892.90700949</v>
      </c>
      <c r="H3" s="1">
        <v>19507887.361661989</v>
      </c>
      <c r="I3" s="1">
        <v>19593357.622411545</v>
      </c>
      <c r="J3" s="1">
        <v>19629580.174927454</v>
      </c>
      <c r="K3" s="1">
        <v>19850198.127852403</v>
      </c>
      <c r="L3" s="1">
        <v>20121123.02868814</v>
      </c>
      <c r="M3" s="1">
        <v>20172731.024616569</v>
      </c>
      <c r="N3" s="1">
        <v>20293958.781243443</v>
      </c>
      <c r="O3" s="1">
        <v>20553243.380475014</v>
      </c>
      <c r="P3" s="1">
        <v>20799630.0139644</v>
      </c>
      <c r="Q3" s="1">
        <v>20829994.977481313</v>
      </c>
      <c r="R3" s="1">
        <v>20716504.198248938</v>
      </c>
      <c r="S3" s="1">
        <v>20780301.259915218</v>
      </c>
      <c r="T3" s="1">
        <v>20640597.592634249</v>
      </c>
      <c r="U3" s="1">
        <v>20380215.888157241</v>
      </c>
      <c r="V3" s="1">
        <v>19662756.810152121</v>
      </c>
      <c r="W3" s="1">
        <v>18779864.482406273</v>
      </c>
      <c r="X3" s="1">
        <v>18886660.166867055</v>
      </c>
      <c r="Y3" s="1">
        <v>18830805.291139238</v>
      </c>
      <c r="Z3" s="1">
        <v>18675283.209683616</v>
      </c>
      <c r="AA3" s="1">
        <v>18667861.714802429</v>
      </c>
      <c r="AB3" s="1">
        <v>18762332.467055578</v>
      </c>
      <c r="AC3" s="1">
        <v>18703484.685876288</v>
      </c>
      <c r="AD3" s="1">
        <v>18531191.746120546</v>
      </c>
      <c r="AE3" s="1">
        <v>18466800.68365024</v>
      </c>
      <c r="AF3" s="1">
        <v>18715946.362267494</v>
      </c>
      <c r="AG3" s="1">
        <v>18253325.543366261</v>
      </c>
      <c r="AH3" s="1">
        <v>17834334.768269442</v>
      </c>
      <c r="AI3" s="1">
        <v>17712104.60887225</v>
      </c>
      <c r="AJ3" s="1">
        <v>17658635.240414273</v>
      </c>
      <c r="AK3" s="1">
        <v>17397714.254486077</v>
      </c>
      <c r="AL3" s="1">
        <v>17004166.083473306</v>
      </c>
      <c r="AM3" s="1">
        <v>17039033.234675065</v>
      </c>
      <c r="AN3" s="1">
        <v>17155755.388449453</v>
      </c>
      <c r="AO3" s="1">
        <v>17069960.260769956</v>
      </c>
      <c r="AP3" s="1">
        <v>16988403.356517799</v>
      </c>
      <c r="AQ3" s="1">
        <v>17122805.672447003</v>
      </c>
      <c r="AR3" s="1">
        <v>17575243.802788973</v>
      </c>
      <c r="AS3" s="1">
        <v>17468910.813654903</v>
      </c>
      <c r="AT3" s="1">
        <v>17558201.364023238</v>
      </c>
      <c r="AU3" s="1">
        <v>17782805.925063342</v>
      </c>
      <c r="AV3" s="1">
        <v>18102897.645365007</v>
      </c>
      <c r="AW3" s="1">
        <v>18071653.073445313</v>
      </c>
      <c r="AX3" s="1">
        <v>18035643.307864603</v>
      </c>
      <c r="AY3" s="1">
        <v>18430946.147485189</v>
      </c>
      <c r="AZ3" s="1">
        <v>18441107.850726362</v>
      </c>
      <c r="BA3" s="1">
        <v>18562299.579848759</v>
      </c>
      <c r="BB3" s="1">
        <v>18406097.508882929</v>
      </c>
      <c r="BC3" s="1">
        <v>18779418.951944452</v>
      </c>
      <c r="BD3" s="1">
        <v>19038779.58537297</v>
      </c>
      <c r="BE3" s="1">
        <v>19088244.17444098</v>
      </c>
      <c r="BF3" s="1">
        <v>18884028.318589553</v>
      </c>
      <c r="BG3" s="1">
        <v>19184505.560907133</v>
      </c>
      <c r="BH3" s="1">
        <v>19620747.271568075</v>
      </c>
      <c r="BI3" s="1">
        <v>19520178.185748328</v>
      </c>
      <c r="BJ3" s="1">
        <v>19501261.380776778</v>
      </c>
      <c r="BK3" s="1">
        <v>19859145.89003481</v>
      </c>
      <c r="BL3" s="1">
        <v>19980054.711345956</v>
      </c>
      <c r="BM3" s="1">
        <v>19775979.244917966</v>
      </c>
      <c r="BN3" s="1">
        <v>19888191.708877444</v>
      </c>
      <c r="BO3" s="1">
        <v>19932420.203248262</v>
      </c>
      <c r="BP3" s="1">
        <v>18041627.120453287</v>
      </c>
      <c r="BQ3" s="1">
        <v>19177696.664707329</v>
      </c>
      <c r="BR3" s="1">
        <v>19099455.664377064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18115195.858665854</v>
      </c>
      <c r="C4" s="1">
        <v>18181652.771534048</v>
      </c>
      <c r="D4" s="1">
        <v>18268536.269834571</v>
      </c>
      <c r="E4" s="1">
        <v>18486913.195874535</v>
      </c>
      <c r="F4" s="1">
        <v>18959417.369578756</v>
      </c>
      <c r="G4" s="1">
        <v>19447945.769746765</v>
      </c>
      <c r="H4" s="1">
        <v>19720556.003375635</v>
      </c>
      <c r="I4" s="1">
        <v>19762113.469366036</v>
      </c>
      <c r="J4" s="1">
        <v>19936257.032076176</v>
      </c>
      <c r="K4" s="1">
        <v>20050224.136235084</v>
      </c>
      <c r="L4" s="1">
        <v>20225178.625114545</v>
      </c>
      <c r="M4" s="1">
        <v>20258638.660211667</v>
      </c>
      <c r="N4" s="1">
        <v>20584814.962189905</v>
      </c>
      <c r="O4" s="1">
        <v>20749619.914921135</v>
      </c>
      <c r="P4" s="1">
        <v>20902608.945988625</v>
      </c>
      <c r="Q4" s="1">
        <v>20897288.231114507</v>
      </c>
      <c r="R4" s="1">
        <v>20951122.861568194</v>
      </c>
      <c r="S4" s="1">
        <v>20847939.859421954</v>
      </c>
      <c r="T4" s="1">
        <v>20529575.020177051</v>
      </c>
      <c r="U4" s="1">
        <v>20220643.64939221</v>
      </c>
      <c r="V4" s="1">
        <v>19501544.80068038</v>
      </c>
      <c r="W4" s="1">
        <v>18176660.25501053</v>
      </c>
      <c r="X4" s="1">
        <v>18408825.564943865</v>
      </c>
      <c r="Y4" s="1">
        <v>18574236.368593439</v>
      </c>
      <c r="Z4" s="1">
        <v>18642579.730863027</v>
      </c>
      <c r="AA4" s="1">
        <v>18599723.206977971</v>
      </c>
      <c r="AB4" s="1">
        <v>18620206.239112087</v>
      </c>
      <c r="AC4" s="1">
        <v>18589785.219965283</v>
      </c>
      <c r="AD4" s="1">
        <v>18597494.442880016</v>
      </c>
      <c r="AE4" s="1">
        <v>18423321.854421206</v>
      </c>
      <c r="AF4" s="1">
        <v>18631513.48373428</v>
      </c>
      <c r="AG4" s="1">
        <v>18007952.33686218</v>
      </c>
      <c r="AH4" s="1">
        <v>17831946.146081045</v>
      </c>
      <c r="AI4" s="1">
        <v>17518799.528968655</v>
      </c>
      <c r="AJ4" s="1">
        <v>17373347.60904672</v>
      </c>
      <c r="AK4" s="1">
        <v>17106568.631364681</v>
      </c>
      <c r="AL4" s="1">
        <v>17000123.902176432</v>
      </c>
      <c r="AM4" s="1">
        <v>16918080.604455426</v>
      </c>
      <c r="AN4" s="1">
        <v>16969635.427581504</v>
      </c>
      <c r="AO4" s="1">
        <v>16873810.165210858</v>
      </c>
      <c r="AP4" s="1">
        <v>17167619.351136908</v>
      </c>
      <c r="AQ4" s="1">
        <v>17183437.141278144</v>
      </c>
      <c r="AR4" s="1">
        <v>17574865.363667741</v>
      </c>
      <c r="AS4" s="1">
        <v>17355374.08499084</v>
      </c>
      <c r="AT4" s="1">
        <v>17925128.043604694</v>
      </c>
      <c r="AU4" s="1">
        <v>17944151.990622684</v>
      </c>
      <c r="AV4" s="1">
        <v>18149767.63915088</v>
      </c>
      <c r="AW4" s="1">
        <v>17990210.690765575</v>
      </c>
      <c r="AX4" s="1">
        <v>18422013.203759011</v>
      </c>
      <c r="AY4" s="1">
        <v>18641115.522134587</v>
      </c>
      <c r="AZ4" s="1">
        <v>18406771.011101753</v>
      </c>
      <c r="BA4" s="1">
        <v>18488720.884512514</v>
      </c>
      <c r="BB4" s="1">
        <v>18721948.103564758</v>
      </c>
      <c r="BC4" s="1">
        <v>18980515.090122234</v>
      </c>
      <c r="BD4" s="1">
        <v>19049849.738254435</v>
      </c>
      <c r="BE4" s="1">
        <v>19035060.164978568</v>
      </c>
      <c r="BF4" s="1">
        <v>19202043.553857751</v>
      </c>
      <c r="BG4" s="1">
        <v>19358989.298309758</v>
      </c>
      <c r="BH4" s="1">
        <v>19653525.107410695</v>
      </c>
      <c r="BI4" s="1">
        <v>19418770.874164052</v>
      </c>
      <c r="BJ4" s="1">
        <v>19896407.84833562</v>
      </c>
      <c r="BK4" s="1">
        <v>20064834.287595332</v>
      </c>
      <c r="BL4" s="1">
        <v>19946887.652127888</v>
      </c>
      <c r="BM4" s="1">
        <v>19580353.958405122</v>
      </c>
      <c r="BN4" s="1">
        <v>20255596.773649901</v>
      </c>
      <c r="BO4" s="1">
        <v>19995064.894777395</v>
      </c>
      <c r="BP4" s="1">
        <v>17526910.568162944</v>
      </c>
      <c r="BQ4" s="1">
        <v>18839388.579253528</v>
      </c>
      <c r="BR4" s="1">
        <v>19132323.426816672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18346269.049500484</v>
      </c>
      <c r="C5" s="1">
        <v>18247382.770814743</v>
      </c>
      <c r="D5" s="1">
        <v>18326347.198086102</v>
      </c>
      <c r="E5" s="1">
        <v>18767471.161713436</v>
      </c>
      <c r="F5" s="1">
        <v>19240475.676885452</v>
      </c>
      <c r="G5" s="1">
        <v>19641962.423787974</v>
      </c>
      <c r="H5" s="1">
        <v>19962381.818427186</v>
      </c>
      <c r="I5" s="1">
        <v>20122395.550842531</v>
      </c>
      <c r="J5" s="1">
        <v>20172882.560042545</v>
      </c>
      <c r="K5" s="1">
        <v>20137540.579278208</v>
      </c>
      <c r="L5" s="1">
        <v>20326572.934268527</v>
      </c>
      <c r="M5" s="1">
        <v>20558748.446572658</v>
      </c>
      <c r="N5" s="1">
        <v>20797438.838278331</v>
      </c>
      <c r="O5" s="1">
        <v>20836571.274960648</v>
      </c>
      <c r="P5" s="1">
        <v>20994431.669375941</v>
      </c>
      <c r="Q5" s="1">
        <v>21185547.050359495</v>
      </c>
      <c r="R5" s="1">
        <v>21082835.84137319</v>
      </c>
      <c r="S5" s="1">
        <v>20808552.632885344</v>
      </c>
      <c r="T5" s="1">
        <v>20429074.287598107</v>
      </c>
      <c r="U5" s="1">
        <v>20285055.519950531</v>
      </c>
      <c r="V5" s="1">
        <v>19283142.739056636</v>
      </c>
      <c r="W5" s="1">
        <v>17433556.170075297</v>
      </c>
      <c r="X5" s="1">
        <v>17938404.368852794</v>
      </c>
      <c r="Y5" s="1">
        <v>18565045.968228254</v>
      </c>
      <c r="Z5" s="1">
        <v>18642202.619391225</v>
      </c>
      <c r="AA5" s="1">
        <v>18383032.401134118</v>
      </c>
      <c r="AB5" s="1">
        <v>18434352.268724874</v>
      </c>
      <c r="AC5" s="1">
        <v>18694919.409900248</v>
      </c>
      <c r="AD5" s="1">
        <v>18636839.42618699</v>
      </c>
      <c r="AE5" s="1">
        <v>18217790.918974869</v>
      </c>
      <c r="AF5" s="1">
        <v>18492898.578463577</v>
      </c>
      <c r="AG5" s="1">
        <v>18035485.824122999</v>
      </c>
      <c r="AH5" s="1">
        <v>17729198.084846973</v>
      </c>
      <c r="AI5" s="1">
        <v>17195199.173801608</v>
      </c>
      <c r="AJ5" s="1">
        <v>17046815.96517767</v>
      </c>
      <c r="AK5" s="1">
        <v>17142806.312837869</v>
      </c>
      <c r="AL5" s="1">
        <v>16891423.052219074</v>
      </c>
      <c r="AM5" s="1">
        <v>16623816.991662685</v>
      </c>
      <c r="AN5" s="1">
        <v>16738947.337151565</v>
      </c>
      <c r="AO5" s="1">
        <v>17043469.126857542</v>
      </c>
      <c r="AP5" s="1">
        <v>17251918.468934648</v>
      </c>
      <c r="AQ5" s="1">
        <v>17040986.150479011</v>
      </c>
      <c r="AR5" s="1">
        <v>17507219.445161253</v>
      </c>
      <c r="AS5" s="1">
        <v>17663783.572540201</v>
      </c>
      <c r="AT5" s="1">
        <v>18159106.26757222</v>
      </c>
      <c r="AU5" s="1">
        <v>17916407.127874024</v>
      </c>
      <c r="AV5" s="1">
        <v>18123519.294813037</v>
      </c>
      <c r="AW5" s="1">
        <v>18337686.222844258</v>
      </c>
      <c r="AX5" s="1">
        <v>18618920.033101514</v>
      </c>
      <c r="AY5" s="1">
        <v>18665576.88881994</v>
      </c>
      <c r="AZ5" s="1">
        <v>18266886.225408778</v>
      </c>
      <c r="BA5" s="1">
        <v>18817584.766889282</v>
      </c>
      <c r="BB5" s="1">
        <v>18896095.900243726</v>
      </c>
      <c r="BC5" s="1">
        <v>18995766.422653377</v>
      </c>
      <c r="BD5" s="1">
        <v>19011860.651932485</v>
      </c>
      <c r="BE5" s="1">
        <v>19376311.666465927</v>
      </c>
      <c r="BF5" s="1">
        <v>19387961.490318842</v>
      </c>
      <c r="BG5" s="1">
        <v>19319074.924013868</v>
      </c>
      <c r="BH5" s="1">
        <v>19638973.669232916</v>
      </c>
      <c r="BI5" s="1">
        <v>19780669.864962086</v>
      </c>
      <c r="BJ5" s="1">
        <v>20119113.237991862</v>
      </c>
      <c r="BK5" s="1">
        <v>20077158.046915434</v>
      </c>
      <c r="BL5" s="1">
        <v>19817570.700689711</v>
      </c>
      <c r="BM5" s="1">
        <v>19852586.537257954</v>
      </c>
      <c r="BN5" s="1">
        <v>20438652.895077866</v>
      </c>
      <c r="BO5" s="1">
        <v>19904003.613217052</v>
      </c>
      <c r="BP5" s="1">
        <v>16910104.735382758</v>
      </c>
      <c r="BQ5" s="1">
        <v>18602464.934978448</v>
      </c>
      <c r="BR5" s="1">
        <v>19258424.171702228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18440987.493996702</v>
      </c>
      <c r="C6" s="1">
        <v>18304286.649345379</v>
      </c>
      <c r="D6" s="1">
        <v>18573306.656549145</v>
      </c>
      <c r="E6" s="1">
        <v>19006393.402463838</v>
      </c>
      <c r="F6" s="1">
        <v>19403333.720006216</v>
      </c>
      <c r="G6" s="1">
        <v>19825461.6915695</v>
      </c>
      <c r="H6" s="1">
        <v>20336719.231957547</v>
      </c>
      <c r="I6" s="1">
        <v>20398480.644947253</v>
      </c>
      <c r="J6" s="1">
        <v>20278825.522740096</v>
      </c>
      <c r="K6" s="1">
        <v>20227449.795740116</v>
      </c>
      <c r="L6" s="1">
        <v>20636758.256650373</v>
      </c>
      <c r="M6" s="1">
        <v>20761391.172867194</v>
      </c>
      <c r="N6" s="1">
        <v>20895579.169821598</v>
      </c>
      <c r="O6" s="1">
        <v>20916248.845573932</v>
      </c>
      <c r="P6" s="1">
        <v>21291300.151488882</v>
      </c>
      <c r="Q6" s="1">
        <v>21356568.970685765</v>
      </c>
      <c r="R6" s="1">
        <v>21116162.74936977</v>
      </c>
      <c r="S6" s="1">
        <v>20798571.381927751</v>
      </c>
      <c r="T6" s="1">
        <v>20549921.293440104</v>
      </c>
      <c r="U6" s="1">
        <v>20272307.216879431</v>
      </c>
      <c r="V6" s="1">
        <v>18919287.968692407</v>
      </c>
      <c r="W6" s="1">
        <v>16684949.598310348</v>
      </c>
      <c r="X6" s="1">
        <v>17751932.97579316</v>
      </c>
      <c r="Y6" s="1">
        <v>18522381.428167988</v>
      </c>
      <c r="Z6" s="1">
        <v>18468667.915068626</v>
      </c>
      <c r="AA6" s="1">
        <v>18194613.765237823</v>
      </c>
      <c r="AB6" s="1">
        <v>18543199.813909501</v>
      </c>
      <c r="AC6" s="1">
        <v>18743008.62182058</v>
      </c>
      <c r="AD6" s="1">
        <v>18534287.807909843</v>
      </c>
      <c r="AE6" s="1">
        <v>18053966.147849511</v>
      </c>
      <c r="AF6" s="1">
        <v>18659685.20515028</v>
      </c>
      <c r="AG6" s="1">
        <v>17984911.460892901</v>
      </c>
      <c r="AH6" s="1">
        <v>17447814.132539131</v>
      </c>
      <c r="AI6" s="1">
        <v>16936674.629321672</v>
      </c>
      <c r="AJ6" s="1">
        <v>17046373.437840864</v>
      </c>
      <c r="AK6" s="1">
        <v>17083982.410056554</v>
      </c>
      <c r="AL6" s="1">
        <v>16644137.396993969</v>
      </c>
      <c r="AM6" s="1">
        <v>16337955.840144884</v>
      </c>
      <c r="AN6" s="1">
        <v>16847381.993122019</v>
      </c>
      <c r="AO6" s="1">
        <v>17073485.293718267</v>
      </c>
      <c r="AP6" s="1">
        <v>17139682.075346187</v>
      </c>
      <c r="AQ6" s="1">
        <v>16837876.757689264</v>
      </c>
      <c r="AR6" s="1">
        <v>17811621.93023736</v>
      </c>
      <c r="AS6" s="1">
        <v>17777827.897569679</v>
      </c>
      <c r="AT6" s="1">
        <v>18170470.046788629</v>
      </c>
      <c r="AU6" s="1">
        <v>17786405.253628068</v>
      </c>
      <c r="AV6" s="1">
        <v>18411390.668827862</v>
      </c>
      <c r="AW6" s="1">
        <v>18473972.953381725</v>
      </c>
      <c r="AX6" s="1">
        <v>18625970.997160506</v>
      </c>
      <c r="AY6" s="1">
        <v>18549395.980090939</v>
      </c>
      <c r="AZ6" s="1">
        <v>18557930.741751857</v>
      </c>
      <c r="BA6" s="1">
        <v>18960972.817226388</v>
      </c>
      <c r="BB6" s="1">
        <v>18855457.823049627</v>
      </c>
      <c r="BC6" s="1">
        <v>18922809.302688286</v>
      </c>
      <c r="BD6" s="1">
        <v>19299665.37227495</v>
      </c>
      <c r="BE6" s="1">
        <v>19546417.845973082</v>
      </c>
      <c r="BF6" s="1">
        <v>19350290.364027306</v>
      </c>
      <c r="BG6" s="1">
        <v>19197814.943380781</v>
      </c>
      <c r="BH6" s="1">
        <v>20003112.276304539</v>
      </c>
      <c r="BI6" s="1">
        <v>19915682.316515453</v>
      </c>
      <c r="BJ6" s="1">
        <v>20125935.763271891</v>
      </c>
      <c r="BK6" s="1">
        <v>19984641.126778964</v>
      </c>
      <c r="BL6" s="1">
        <v>20169092.467964388</v>
      </c>
      <c r="BM6" s="1">
        <v>19929241.298695974</v>
      </c>
      <c r="BN6" s="1">
        <v>20468848.571138337</v>
      </c>
      <c r="BO6" s="1">
        <v>19678263.714283809</v>
      </c>
      <c r="BP6" s="1">
        <v>16502339.046578748</v>
      </c>
      <c r="BQ6" s="1">
        <v>18745052.113967821</v>
      </c>
      <c r="BR6" s="1">
        <v>19176062.584063247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6</v>
      </c>
      <c r="DX12" s="16">
        <v>1.28</v>
      </c>
      <c r="GI12" s="1"/>
    </row>
    <row r="13" spans="1:191" x14ac:dyDescent="0.25">
      <c r="A13" s="4">
        <v>1</v>
      </c>
      <c r="B13" s="8">
        <f ca="1">IF(OR(B3="",B$11&lt;$A13),"",B3/OFFSET(OcupadosEPAESP!$A$80,MATCH(B$12,OcupadosEPAESP!$A$80:$A$500)+$A13-1,1)-1)</f>
        <v>4.4419921902147941E-3</v>
      </c>
      <c r="C13" s="8">
        <f ca="1">IF(OR(C3="",C$11&lt;$A13),"",C3/OFFSET(OcupadosEPAESP!$A$80,MATCH(C$12,OcupadosEPAESP!$A$80:$A$500)+$A13-1,1)-1)</f>
        <v>-7.0397556237877801E-4</v>
      </c>
      <c r="D13" s="8">
        <f ca="1">IF(OR(D3="",D$11&lt;$A13),"",D3/OFFSET(OcupadosEPAESP!$A$80,MATCH(D$12,OcupadosEPAESP!$A$80:$A$500)+$A13-1,1)-1)</f>
        <v>-4.5691147009635502E-3</v>
      </c>
      <c r="E13" s="8">
        <f ca="1">IF(OR(E3="",E$11&lt;$A13),"",E3/OFFSET(OcupadosEPAESP!$A$80,MATCH(E$12,OcupadosEPAESP!$A$80:$A$500)+$A13-1,1)-1)</f>
        <v>-5.2424548568467122E-3</v>
      </c>
      <c r="F13" s="8">
        <f ca="1">IF(OR(F3="",F$11&lt;$A13),"",F3/OFFSET(OcupadosEPAESP!$A$80,MATCH(F$12,OcupadosEPAESP!$A$80:$A$500)+$A13-1,1)-1)</f>
        <v>-5.4521377597159804E-3</v>
      </c>
      <c r="G13" s="8">
        <f ca="1">IF(OR(G3="",G$11&lt;$A13),"",G3/OFFSET(OcupadosEPAESP!$A$80,MATCH(G$12,OcupadosEPAESP!$A$80:$A$500)+$A13-1,1)-1)</f>
        <v>-2.2810920843037152E-3</v>
      </c>
      <c r="H13" s="8">
        <f ca="1">IF(OR(H3="",H$11&lt;$A13),"",H3/OFFSET(OcupadosEPAESP!$A$80,MATCH(H$12,OcupadosEPAESP!$A$80:$A$500)+$A13-1,1)-1)</f>
        <v>4.4169972177050543E-3</v>
      </c>
      <c r="I13" s="8">
        <f ca="1">IF(OR(I3="",I$11&lt;$A13),"",I3/OFFSET(OcupadosEPAESP!$A$80,MATCH(I$12,OcupadosEPAESP!$A$80:$A$500)+$A13-1,1)-1)</f>
        <v>4.3137403077289083E-3</v>
      </c>
      <c r="J13" s="8">
        <f ca="1">IF(OR(J3="",J$11&lt;$A13),"",J3/OFFSET(OcupadosEPAESP!$A$80,MATCH(J$12,OcupadosEPAESP!$A$80:$A$500)+$A13-1,1)-1)</f>
        <v>2.6141142752960089E-3</v>
      </c>
      <c r="K13" s="8">
        <f ca="1">IF(OR(K3="",K$11&lt;$A13),"",K3/OFFSET(OcupadosEPAESP!$A$80,MATCH(K$12,OcupadosEPAESP!$A$80:$A$500)+$A13-1,1)-1)</f>
        <v>-2.0813746580263803E-3</v>
      </c>
      <c r="L13" s="8">
        <f ca="1">IF(OR(L3="",L$11&lt;$A13),"",L3/OFFSET(OcupadosEPAESP!$A$80,MATCH(L$12,OcupadosEPAESP!$A$80:$A$500)+$A13-1,1)-1)</f>
        <v>1.4993294852492234E-3</v>
      </c>
      <c r="M13" s="8">
        <f ca="1">IF(OR(M3="",M$11&lt;$A13),"",M3/OFFSET(OcupadosEPAESP!$A$80,MATCH(M$12,OcupadosEPAESP!$A$80:$A$500)+$A13-1,1)-1)</f>
        <v>-1.1224821188702272E-3</v>
      </c>
      <c r="N13" s="8">
        <f ca="1">IF(OR(N3="",N$11&lt;$A13),"",N3/OFFSET(OcupadosEPAESP!$A$80,MATCH(N$12,OcupadosEPAESP!$A$80:$A$500)+$A13-1,1)-1)</f>
        <v>1.3054782900427941E-3</v>
      </c>
      <c r="O13" s="8">
        <f ca="1">IF(OR(O3="",O$11&lt;$A13),"",O3/OFFSET(OcupadosEPAESP!$A$80,MATCH(O$12,OcupadosEPAESP!$A$80:$A$500)+$A13-1,1)-1)</f>
        <v>-1.3438002966335016E-3</v>
      </c>
      <c r="P13" s="8">
        <f ca="1">IF(OR(P3="",P$11&lt;$A13),"",P3/OFFSET(OcupadosEPAESP!$A$80,MATCH(P$12,OcupadosEPAESP!$A$80:$A$500)+$A13-1,1)-1)</f>
        <v>2.227587477926507E-3</v>
      </c>
      <c r="Q13" s="8">
        <f ca="1">IF(OR(Q3="",Q$11&lt;$A13),"",Q3/OFFSET(OcupadosEPAESP!$A$80,MATCH(Q$12,OcupadosEPAESP!$A$80:$A$500)+$A13-1,1)-1)</f>
        <v>5.4105376259809823E-3</v>
      </c>
      <c r="R13" s="8">
        <f ca="1">IF(OR(R3="",R$11&lt;$A13),"",R3/OFFSET(OcupadosEPAESP!$A$80,MATCH(R$12,OcupadosEPAESP!$A$80:$A$500)+$A13-1,1)-1)</f>
        <v>4.6801260062530048E-3</v>
      </c>
      <c r="S13" s="8">
        <f ca="1">IF(OR(S3="",S$11&lt;$A13),"",S3/OFFSET(OcupadosEPAESP!$A$80,MATCH(S$12,OcupadosEPAESP!$A$80:$A$500)+$A13-1,1)-1)</f>
        <v>6.4610793831141322E-3</v>
      </c>
      <c r="T13" s="8">
        <f ca="1">IF(OR(T3="",T$11&lt;$A13),"",T3/OFFSET(OcupadosEPAESP!$A$80,MATCH(T$12,OcupadosEPAESP!$A$80:$A$500)+$A13-1,1)-1)</f>
        <v>4.0959308358587965E-3</v>
      </c>
      <c r="U13" s="8">
        <f ca="1">IF(OR(U3="",U$11&lt;$A13),"",U3/OFFSET(OcupadosEPAESP!$A$80,MATCH(U$12,OcupadosEPAESP!$A$80:$A$500)+$A13-1,1)-1)</f>
        <v>1.6200998646604292E-2</v>
      </c>
      <c r="V13" s="8">
        <f ca="1">IF(OR(V3="",V$11&lt;$A13),"",V3/OFFSET(OcupadosEPAESP!$A$80,MATCH(V$12,OcupadosEPAESP!$A$80:$A$500)+$A13-1,1)-1)</f>
        <v>1.961983832279568E-2</v>
      </c>
      <c r="W13" s="8">
        <f ca="1">IF(OR(W3="",W$11&lt;$A13),"",W3/OFFSET(OcupadosEPAESP!$A$80,MATCH(W$12,OcupadosEPAESP!$A$80:$A$500)+$A13-1,1)-1)</f>
        <v>-1.9543260360324499E-2</v>
      </c>
      <c r="X13" s="8">
        <f ca="1">IF(OR(X3="",X$11&lt;$A13),"",X3/OFFSET(OcupadosEPAESP!$A$80,MATCH(X$12,OcupadosEPAESP!$A$80:$A$500)+$A13-1,1)-1)</f>
        <v>-1.1086783873672457E-2</v>
      </c>
      <c r="Y13" s="8">
        <f ca="1">IF(OR(Y3="",Y$11&lt;$A13),"",Y3/OFFSET(OcupadosEPAESP!$A$80,MATCH(Y$12,OcupadosEPAESP!$A$80:$A$500)+$A13-1,1)-1)</f>
        <v>-3.1547616175815474E-3</v>
      </c>
      <c r="Z13" s="8">
        <f ca="1">IF(OR(Z3="",Z$11&lt;$A13),"",Z3/OFFSET(OcupadosEPAESP!$A$80,MATCH(Z$12,OcupadosEPAESP!$A$80:$A$500)+$A13-1,1)-1)</f>
        <v>1.199985508077317E-3</v>
      </c>
      <c r="AA13" s="8">
        <f ca="1">IF(OR(AA3="",AA$11&lt;$A13),"",AA3/OFFSET(OcupadosEPAESP!$A$80,MATCH(AA$12,OcupadosEPAESP!$A$80:$A$500)+$A13-1,1)-1)</f>
        <v>-4.4391147824698329E-3</v>
      </c>
      <c r="AB13" s="8">
        <f ca="1">IF(OR(AB3="",AB$11&lt;$A13),"",AB3/OFFSET(OcupadosEPAESP!$A$80,MATCH(AB$12,OcupadosEPAESP!$A$80:$A$500)+$A13-1,1)-1)</f>
        <v>-3.0111872546055851E-3</v>
      </c>
      <c r="AC13" s="8">
        <f ca="1">IF(OR(AC3="",AC$11&lt;$A13),"",AC3/OFFSET(OcupadosEPAESP!$A$80,MATCH(AC$12,OcupadosEPAESP!$A$80:$A$500)+$A13-1,1)-1)</f>
        <v>1.5306473328524639E-3</v>
      </c>
      <c r="AD13" s="8">
        <f ca="1">IF(OR(AD3="",AD$11&lt;$A13),"",AD3/OFFSET(OcupadosEPAESP!$A$80,MATCH(AD$12,OcupadosEPAESP!$A$80:$A$500)+$A13-1,1)-1)</f>
        <v>5.6979597595026021E-3</v>
      </c>
      <c r="AE13" s="8">
        <f ca="1">IF(OR(AE3="",AE$11&lt;$A13),"",AE3/OFFSET(OcupadosEPAESP!$A$80,MATCH(AE$12,OcupadosEPAESP!$A$80:$A$500)+$A13-1,1)-1)</f>
        <v>-8.33419162011384E-3</v>
      </c>
      <c r="AF13" s="8">
        <f ca="1">IF(OR(AF3="",AF$11&lt;$A13),"",AF3/OFFSET(OcupadosEPAESP!$A$80,MATCH(AF$12,OcupadosEPAESP!$A$80:$A$500)+$A13-1,1)-1)</f>
        <v>1.2521104832021068E-2</v>
      </c>
      <c r="AG13" s="8">
        <f ca="1">IF(OR(AG3="",AG$11&lt;$A13),"",AG3/OFFSET(OcupadosEPAESP!$A$80,MATCH(AG$12,OcupadosEPAESP!$A$80:$A$500)+$A13-1,1)-1)</f>
        <v>5.5266646486122895E-3</v>
      </c>
      <c r="AH13" s="8">
        <f ca="1">IF(OR(AH3="",AH$11&lt;$A13),"",AH3/OFFSET(OcupadosEPAESP!$A$80,MATCH(AH$12,OcupadosEPAESP!$A$80:$A$500)+$A13-1,1)-1)</f>
        <v>3.8972349308161736E-3</v>
      </c>
      <c r="AI13" s="8">
        <f ca="1">IF(OR(AI3="",AI$11&lt;$A13),"",AI3/OFFSET(OcupadosEPAESP!$A$80,MATCH(AI$12,OcupadosEPAESP!$A$80:$A$500)+$A13-1,1)-1)</f>
        <v>-2.6125737606076394E-3</v>
      </c>
      <c r="AJ13" s="8">
        <f ca="1">IF(OR(AJ3="",AJ$11&lt;$A13),"",AJ3/OFFSET(OcupadosEPAESP!$A$80,MATCH(AJ$12,OcupadosEPAESP!$A$80:$A$500)+$A13-1,1)-1)</f>
        <v>-5.1306958946140124E-4</v>
      </c>
      <c r="AK13" s="8">
        <f ca="1">IF(OR(AK3="",AK$11&lt;$A13),"",AK3/OFFSET(OcupadosEPAESP!$A$80,MATCH(AK$12,OcupadosEPAESP!$A$80:$A$500)+$A13-1,1)-1)</f>
        <v>3.363106825269524E-3</v>
      </c>
      <c r="AL13" s="8">
        <f ca="1">IF(OR(AL3="",AL$11&lt;$A13),"",AL3/OFFSET(OcupadosEPAESP!$A$80,MATCH(AL$12,OcupadosEPAESP!$A$80:$A$500)+$A13-1,1)-1)</f>
        <v>-1.5286911795923119E-3</v>
      </c>
      <c r="AM13" s="8">
        <f ca="1">IF(OR(AM3="",AM$11&lt;$A13),"",AM3/OFFSET(OcupadosEPAESP!$A$80,MATCH(AM$12,OcupadosEPAESP!$A$80:$A$500)+$A13-1,1)-1)</f>
        <v>-7.0840626391230899E-3</v>
      </c>
      <c r="AN13" s="8">
        <f ca="1">IF(OR(AN3="",AN$11&lt;$A13),"",AN3/OFFSET(OcupadosEPAESP!$A$80,MATCH(AN$12,OcupadosEPAESP!$A$80:$A$500)+$A13-1,1)-1)</f>
        <v>-4.3090314306759581E-3</v>
      </c>
      <c r="AO13" s="8">
        <f ca="1">IF(OR(AO3="",AO$11&lt;$A13),"",AO3/OFFSET(OcupadosEPAESP!$A$80,MATCH(AO$12,OcupadosEPAESP!$A$80:$A$500)+$A13-1,1)-1)</f>
        <v>-3.8073520723448384E-3</v>
      </c>
      <c r="AP13" s="8">
        <f ca="1">IF(OR(AP3="",AP$11&lt;$A13),"",AP3/OFFSET(OcupadosEPAESP!$A$80,MATCH(AP$12,OcupadosEPAESP!$A$80:$A$500)+$A13-1,1)-1)</f>
        <v>2.2302075748232841E-3</v>
      </c>
      <c r="AQ13" s="8">
        <f ca="1">IF(OR(AQ3="",AQ$11&lt;$A13),"",AQ3/OFFSET(OcupadosEPAESP!$A$80,MATCH(AQ$12,OcupadosEPAESP!$A$80:$A$500)+$A13-1,1)-1)</f>
        <v>-1.3265390857661319E-2</v>
      </c>
      <c r="AR13" s="8">
        <f ca="1">IF(OR(AR3="",AR$11&lt;$A13),"",AR3/OFFSET(OcupadosEPAESP!$A$80,MATCH(AR$12,OcupadosEPAESP!$A$80:$A$500)+$A13-1,1)-1)</f>
        <v>4.0701441264265892E-3</v>
      </c>
      <c r="AS13" s="8">
        <f ca="1">IF(OR(AS3="",AS$11&lt;$A13),"",AS3/OFFSET(OcupadosEPAESP!$A$80,MATCH(AS$12,OcupadosEPAESP!$A$80:$A$500)+$A13-1,1)-1)</f>
        <v>-5.7025793208016484E-3</v>
      </c>
      <c r="AT13" s="8">
        <f ca="1">IF(OR(AT3="",AT$11&lt;$A13),"",AT3/OFFSET(OcupadosEPAESP!$A$80,MATCH(AT$12,OcupadosEPAESP!$A$80:$A$500)+$A13-1,1)-1)</f>
        <v>5.923950089559149E-3</v>
      </c>
      <c r="AU13" s="8">
        <f ca="1">IF(OR(AU3="",AU$11&lt;$A13),"",AU3/OFFSET(OcupadosEPAESP!$A$80,MATCH(AU$12,OcupadosEPAESP!$A$80:$A$500)+$A13-1,1)-1)</f>
        <v>-4.6844135637454931E-3</v>
      </c>
      <c r="AV13" s="8">
        <f ca="1">IF(OR(AV3="",AV$11&lt;$A13),"",AV3/OFFSET(OcupadosEPAESP!$A$80,MATCH(AV$12,OcupadosEPAESP!$A$80:$A$500)+$A13-1,1)-1)</f>
        <v>3.0028559045807146E-3</v>
      </c>
      <c r="AW13" s="8">
        <f ca="1">IF(OR(AW3="",AW$11&lt;$A13),"",AW3/OFFSET(OcupadosEPAESP!$A$80,MATCH(AW$12,OcupadosEPAESP!$A$80:$A$500)+$A13-1,1)-1)</f>
        <v>-1.2460858482102877E-3</v>
      </c>
      <c r="AX13" s="8">
        <f ca="1">IF(OR(AX3="",AX$11&lt;$A13),"",AX3/OFFSET(OcupadosEPAESP!$A$80,MATCH(AX$12,OcupadosEPAESP!$A$80:$A$500)+$A13-1,1)-1)</f>
        <v>3.3518812755706229E-4</v>
      </c>
      <c r="AY13" s="8">
        <f ca="1">IF(OR(AY3="",AY$11&lt;$A13),"",AY3/OFFSET(OcupadosEPAESP!$A$80,MATCH(AY$12,OcupadosEPAESP!$A$80:$A$500)+$A13-1,1)-1)</f>
        <v>7.1004943710828439E-3</v>
      </c>
      <c r="AZ13" s="8">
        <f ca="1">IF(OR(AZ3="",AZ$11&lt;$A13),"",AZ3/OFFSET(OcupadosEPAESP!$A$80,MATCH(AZ$12,OcupadosEPAESP!$A$80:$A$500)+$A13-1,1)-1)</f>
        <v>-4.6629145472210087E-3</v>
      </c>
      <c r="BA13" s="8">
        <f ca="1">IF(OR(BA3="",BA$11&lt;$A13),"",BA3/OFFSET(OcupadosEPAESP!$A$80,MATCH(BA$12,OcupadosEPAESP!$A$80:$A$500)+$A13-1,1)-1)</f>
        <v>2.9284248436500793E-3</v>
      </c>
      <c r="BB13" s="8">
        <f ca="1">IF(OR(BB3="",BB$11&lt;$A13),"",BB3/OFFSET(OcupadosEPAESP!$A$80,MATCH(BB$12,OcupadosEPAESP!$A$80:$A$500)+$A13-1,1)-1)</f>
        <v>-1.7465000090610694E-3</v>
      </c>
      <c r="BC13" s="8">
        <f ca="1">IF(OR(BC3="",BC$11&lt;$A13),"",BC3/OFFSET(OcupadosEPAESP!$A$80,MATCH(BC$12,OcupadosEPAESP!$A$80:$A$500)+$A13-1,1)-1)</f>
        <v>-1.8015014883508984E-3</v>
      </c>
      <c r="BD13" s="8">
        <f ca="1">IF(OR(BD3="",BD$11&lt;$A13),"",BD3/OFFSET(OcupadosEPAESP!$A$80,MATCH(BD$12,OcupadosEPAESP!$A$80:$A$500)+$A13-1,1)-1)</f>
        <v>-5.4772469903263676E-4</v>
      </c>
      <c r="BE13" s="8">
        <f ca="1">IF(OR(BE3="",BE$11&lt;$A13),"",BE3/OFFSET(OcupadosEPAESP!$A$80,MATCH(BE$12,OcupadosEPAESP!$A$80:$A$500)+$A13-1,1)-1)</f>
        <v>4.7315367563300903E-3</v>
      </c>
      <c r="BF13" s="8">
        <f ca="1">IF(OR(BF3="",BF$11&lt;$A13),"",BF3/OFFSET(OcupadosEPAESP!$A$80,MATCH(BF$12,OcupadosEPAESP!$A$80:$A$500)+$A13-1,1)-1)</f>
        <v>5.2045150936197437E-4</v>
      </c>
      <c r="BG13" s="8">
        <f ca="1">IF(OR(BG3="",BG$11&lt;$A13),"",BG3/OFFSET(OcupadosEPAESP!$A$80,MATCH(BG$12,OcupadosEPAESP!$A$80:$A$500)+$A13-1,1)-1)</f>
        <v>-8.2485624593247042E-3</v>
      </c>
      <c r="BH13" s="8">
        <f ca="1">IF(OR(BH3="",BH$11&lt;$A13),"",BH3/OFFSET(OcupadosEPAESP!$A$80,MATCH(BH$12,OcupadosEPAESP!$A$80:$A$500)+$A13-1,1)-1)</f>
        <v>4.7504667856306249E-3</v>
      </c>
      <c r="BI13" s="8">
        <f ca="1">IF(OR(BI3="",BI$11&lt;$A13),"",BI3/OFFSET(OcupadosEPAESP!$A$80,MATCH(BI$12,OcupadosEPAESP!$A$80:$A$500)+$A13-1,1)-1)</f>
        <v>-2.2681327715858846E-3</v>
      </c>
      <c r="BJ13" s="8">
        <f ca="1">IF(OR(BJ3="",BJ$11&lt;$A13),"",BJ3/OFFSET(OcupadosEPAESP!$A$80,MATCH(BJ$12,OcupadosEPAESP!$A$80:$A$500)+$A13-1,1)-1)</f>
        <v>1.5490332224052938E-3</v>
      </c>
      <c r="BK13" s="8">
        <f ca="1">IF(OR(BK3="",BK$11&lt;$A13),"",BK3/OFFSET(OcupadosEPAESP!$A$80,MATCH(BK$12,OcupadosEPAESP!$A$80:$A$500)+$A13-1,1)-1)</f>
        <v>2.7385275232363337E-3</v>
      </c>
      <c r="BL13" s="8">
        <f ca="1">IF(OR(BL3="",BL$11&lt;$A13),"",BL3/OFFSET(OcupadosEPAESP!$A$80,MATCH(BL$12,OcupadosEPAESP!$A$80:$A$500)+$A13-1,1)-1)</f>
        <v>5.3199909621657326E-3</v>
      </c>
      <c r="BM13" s="8">
        <f ca="1">IF(OR(BM3="",BM$11&lt;$A13),"",BM3/OFFSET(OcupadosEPAESP!$A$80,MATCH(BM$12,OcupadosEPAESP!$A$80:$A$500)+$A13-1,1)-1)</f>
        <v>-9.5610650037792899E-3</v>
      </c>
      <c r="BN13" s="8">
        <f ca="1">IF(OR(BN3="",BN$11&lt;$A13),"",BN3/OFFSET(OcupadosEPAESP!$A$80,MATCH(BN$12,OcupadosEPAESP!$A$80:$A$500)+$A13-1,1)-1)</f>
        <v>1.0513912234438649E-2</v>
      </c>
      <c r="BO13" s="8">
        <f ca="1">IF(OR(BO3="",BO$11&lt;$A13),"",BO3/OFFSET(OcupadosEPAESP!$A$80,MATCH(BO$12,OcupadosEPAESP!$A$80:$A$500)+$A13-1,1)-1)</f>
        <v>7.1219666329334741E-2</v>
      </c>
      <c r="BP13" s="8">
        <f ca="1">IF(OR(BP3="",BP$11&lt;$A13),"",BP3/OFFSET(OcupadosEPAESP!$A$80,MATCH(BP$12,OcupadosEPAESP!$A$80:$A$500)+$A13-1,1)-1)</f>
        <v>-5.9198517663923478E-2</v>
      </c>
      <c r="BQ13" s="8">
        <f ca="1">IF(OR(BQ3="",BQ$11&lt;$A13),"",BQ3/OFFSET(OcupadosEPAESP!$A$80,MATCH(BQ$12,OcupadosEPAESP!$A$80:$A$500)+$A13-1,1)-1)</f>
        <v>-8.6118627792564073E-3</v>
      </c>
      <c r="BR13" s="8" t="str">
        <f ca="1">IF(OR(BR3="",BR$11&lt;$A13),"",BR3/OFFSET(OcupadosEPAESP!$A$80,MATCH(BR$12,OcupadosEPAESP!$A$80:$A$500)+$A13-1,1)-1)</f>
        <v/>
      </c>
      <c r="BS13" s="8" t="str">
        <f ca="1">IF(OR(BS3="",BS$11&lt;$A13),"",BS3/OFFSET(OcupadosEPAESP!$A$80,MATCH(BS$12,OcupadosEPAESP!$A$80:$A$500)+$A13-1,1)-1)</f>
        <v/>
      </c>
      <c r="BT13" s="8" t="str">
        <f ca="1">IF(OR(BT3="",BT$11&lt;$A13),"",BT3/OFFSET(OcupadosEPAESP!$A$80,MATCH(BT$12,OcupadosEPAESP!$A$80:$A$500)+$A13-1,1)-1)</f>
        <v/>
      </c>
      <c r="BU13" s="8" t="str">
        <f ca="1">IF(OR(BU3="",BU$11&lt;$A13),"",BU3/OFFSET(OcupadosEPAESP!$A$80,MATCH(BU$12,OcupadosEPAESP!$A$80:$A$500)+$A13-1,1)-1)</f>
        <v/>
      </c>
      <c r="BV13" s="8" t="str">
        <f ca="1">IF(OR(BV3="",BV$11&lt;$A13),"",BV3/OFFSET(OcupadosEPAESP!$A$80,MATCH(BV$12,OcupadosEPAESP!$A$80:$A$500)+$A13-1,1)-1)</f>
        <v/>
      </c>
      <c r="BW13" s="8" t="str">
        <f ca="1">IF(OR(BW3="",BW$11&lt;$A13),"",BW3/OFFSET(OcupadosEPAESP!$A$80,MATCH(BW$12,OcupadosEPAESP!$A$80:$A$500)+$A13-1,1)-1)</f>
        <v/>
      </c>
      <c r="BX13" s="8" t="str">
        <f ca="1">IF(OR(BX3="",BX$11&lt;$A13),"",BX3/OFFSET(OcupadosEPAESP!$A$80,MATCH(BX$12,OcupadosEPAESP!$A$80:$A$500)+$A13-1,1)-1)</f>
        <v/>
      </c>
      <c r="BY13" s="8" t="str">
        <f ca="1">IF(OR(BY3="",BY$11&lt;$A13),"",BY3/OFFSET(OcupadosEPAESP!$A$80,MATCH(BY$12,OcupadosEPAESP!$A$80:$A$500)+$A13-1,1)-1)</f>
        <v/>
      </c>
      <c r="BZ13" s="8" t="str">
        <f ca="1">IF(OR(BZ3="",BZ$11&lt;$A13),"",BZ3/OFFSET(OcupadosEPAESP!$A$80,MATCH(BZ$12,OcupadosEPAESP!$A$80:$A$500)+$A13-1,1)-1)</f>
        <v/>
      </c>
      <c r="CA13" s="8" t="str">
        <f ca="1">IF(OR(CA3="",CA$11&lt;$A13),"",CA3/OFFSET(OcupadosEPAESP!$A$80,MATCH(CA$12,OcupadosEPAESP!$A$80:$A$500)+$A13-1,1)-1)</f>
        <v/>
      </c>
      <c r="CB13" s="8" t="str">
        <f ca="1">IF(OR(CB3="",CB$11&lt;$A13),"",CB3/OFFSET(OcupadosEPAESP!$A$80,MATCH(CB$12,OcupadosEPAESP!$A$80:$A$500)+$A13-1,1)-1)</f>
        <v/>
      </c>
      <c r="CC13" s="8" t="str">
        <f ca="1">IF(OR(CC3="",CC$11&lt;$A13),"",CC3/OFFSET(OcupadosEPAESP!$A$80,MATCH(CC$12,OcupadosEPAESP!$A$80:$A$500)+$A13-1,1)-1)</f>
        <v/>
      </c>
      <c r="CD13" s="8" t="str">
        <f ca="1">IF(OR(CD3="",CD$11&lt;$A13),"",CD3/OFFSET(OcupadosEPAESP!$A$80,MATCH(CD$12,OcupadosEPAESP!$A$80:$A$500)+$A13-1,1)-1)</f>
        <v/>
      </c>
      <c r="CE13" s="8" t="str">
        <f ca="1">IF(OR(CE3="",CE$11&lt;$A13),"",CE3/OFFSET(OcupadosEPAESP!$A$80,MATCH(CE$12,OcupadosEPAESP!$A$80:$A$500)+$A13-1,1)-1)</f>
        <v/>
      </c>
      <c r="CF13" s="8" t="str">
        <f ca="1">IF(OR(CF3="",CF$11&lt;$A13),"",CF3/OFFSET(OcupadosEPAESP!$A$80,MATCH(CF$12,OcupadosEPAESP!$A$80:$A$500)+$A13-1,1)-1)</f>
        <v/>
      </c>
      <c r="CG13" s="8" t="str">
        <f ca="1">IF(OR(CG3="",CG$11&lt;$A13),"",CG3/OFFSET(OcupadosEPAESP!$A$80,MATCH(CG$12,OcupadosEPAESP!$A$80:$A$500)+$A13-1,1)-1)</f>
        <v/>
      </c>
      <c r="CH13" s="8" t="str">
        <f ca="1">IF(OR(CH3="",CH$11&lt;$A13),"",CH3/OFFSET(OcupadosEPAESP!$A$80,MATCH(CH$12,OcupadosEPAESP!$A$80:$A$500)+$A13-1,1)-1)</f>
        <v/>
      </c>
      <c r="CI13" s="8" t="str">
        <f ca="1">IF(OR(CI3="",CI$11&lt;$A13),"",CI3/OFFSET(OcupadosEPAESP!$A$80,MATCH(CI$12,OcupadosEPAESP!$A$80:$A$500)+$A13-1,1)-1)</f>
        <v/>
      </c>
      <c r="CJ13" s="8" t="str">
        <f ca="1">IF(OR(CJ3="",CJ$11&lt;$A13),"",CJ3/OFFSET(OcupadosEPAESP!$A$80,MATCH(CJ$12,OcupadosEPAESP!$A$80:$A$500)+$A13-1,1)-1)</f>
        <v/>
      </c>
      <c r="CK13" s="8" t="str">
        <f ca="1">IF(OR(CK3="",CK$11&lt;$A13),"",CK3/OFFSET(OcupadosEPAESP!$A$80,MATCH(CK$12,OcupadosEPAESP!$A$80:$A$500)+$A13-1,1)-1)</f>
        <v/>
      </c>
      <c r="CL13" s="8" t="str">
        <f ca="1">IF(OR(CL3="",CL$11&lt;$A13),"",CL3/OFFSET(OcupadosEPAESP!$A$80,MATCH(CL$12,OcupadosEPAESP!$A$80:$A$500)+$A13-1,1)-1)</f>
        <v/>
      </c>
      <c r="CM13" s="8" t="str">
        <f ca="1">IF(OR(CM3="",CM$11&lt;$A13),"",CM3/OFFSET(OcupadosEPAESP!$A$80,MATCH(CM$12,OcupadosEPAESP!$A$80:$A$500)+$A13-1,1)-1)</f>
        <v/>
      </c>
      <c r="CN13" s="8" t="str">
        <f ca="1">IF(OR(CN3="",CN$11&lt;$A13),"",CN3/OFFSET(OcupadosEPAESP!$A$80,MATCH(CN$12,OcupadosEPAESP!$A$80:$A$500)+$A13-1,1)-1)</f>
        <v/>
      </c>
      <c r="CO13" s="8" t="str">
        <f ca="1">IF(OR(CO3="",CO$11&lt;$A13),"",CO3/OFFSET(OcupadosEPAESP!$A$80,MATCH(CO$12,OcupadosEPAESP!$A$80:$A$500)+$A13-1,1)-1)</f>
        <v/>
      </c>
      <c r="CP13" s="8" t="str">
        <f ca="1">IF(OR(CP3="",CP$11&lt;$A13),"",CP3/OFFSET(OcupadosEPAESP!$A$80,MATCH(CP$12,OcupadosEPAESP!$A$80:$A$500)+$A13-1,1)-1)</f>
        <v/>
      </c>
      <c r="CQ13" s="8" t="str">
        <f ca="1">IF(OR(CQ3="",CQ$11&lt;$A13),"",CQ3/OFFSET(OcupadosEPAESP!$A$80,MATCH(CQ$12,OcupadosEPAESP!$A$80:$A$500)+$A13-1,1)-1)</f>
        <v/>
      </c>
      <c r="CR13" s="8" t="str">
        <f ca="1">IF(OR(CR3="",CR$11&lt;$A13),"",CR3/OFFSET(OcupadosEPAESP!$A$80,MATCH(CR$12,OcupadosEPAESP!$A$80:$A$500)+$A13-1,1)-1)</f>
        <v/>
      </c>
      <c r="CS13" s="8" t="str">
        <f ca="1">IF(OR(CS3="",CS$11&lt;$A13),"",CS3/OFFSET(OcupadosEPAESP!$A$80,MATCH(CS$12,OcupadosEPAESP!$A$80:$A$500)+$A13-1,1)-1)</f>
        <v/>
      </c>
      <c r="CT13" s="8" t="str">
        <f ca="1">IF(OR(CT3="",CT$11&lt;$A13),"",CT3/OFFSET(OcupadosEPAESP!$A$80,MATCH(CT$12,OcupadosEPAESP!$A$80:$A$500)+$A13-1,1)-1)</f>
        <v/>
      </c>
      <c r="CU13" s="8" t="str">
        <f ca="1">IF(OR(CU3="",CU$11&lt;$A13),"",CU3/OFFSET(OcupadosEPAESP!$A$80,MATCH(CU$12,OcupadosEPAESP!$A$80:$A$500)+$A13-1,1)-1)</f>
        <v/>
      </c>
      <c r="CV13" s="8" t="str">
        <f ca="1">IF(OR(CV3="",CV$11&lt;$A13),"",CV3/OFFSET(OcupadosEPAESP!$A$80,MATCH(CV$12,OcupadosEPAESP!$A$80:$A$500)+$A13-1,1)-1)</f>
        <v/>
      </c>
      <c r="CW13" s="8" t="str">
        <f ca="1">IF(OR(CW3="",CW$11&lt;$A13),"",CW3/OFFSET(OcupadosEPAESP!$A$80,MATCH(CW$12,OcupadosEPAESP!$A$80:$A$500)+$A13-1,1)-1)</f>
        <v/>
      </c>
      <c r="CX13" s="8" t="str">
        <f ca="1">IF(OR(CX3="",CX$11&lt;$A13),"",CX3/OFFSET(OcupadosEPAESP!$A$80,MATCH(CX$12,OcupadosEPAESP!$A$80:$A$500)+$A13-1,1)-1)</f>
        <v/>
      </c>
      <c r="CY13" s="8" t="str">
        <f ca="1">IF(OR(CY3="",CY$11&lt;$A13),"",CY3/OFFSET(OcupadosEPAESP!$A$80,MATCH(CY$12,OcupadosEPAESP!$A$80:$A$500)+$A13-1,1)-1)</f>
        <v/>
      </c>
      <c r="CZ13" s="8" t="str">
        <f ca="1">IF(OR(CZ3="",CZ$11&lt;$A13),"",CZ3/OFFSET(OcupadosEPAESP!$A$80,MATCH(CZ$12,OcupadosEPAESP!$A$80:$A$500)+$A13-1,1)-1)</f>
        <v/>
      </c>
      <c r="DA13" s="8" t="str">
        <f ca="1">IF(OR(DA3="",DA$11&lt;$A13),"",DA3/OFFSET(OcupadosEPAESP!$A$80,MATCH(DA$12,OcupadosEPAESP!$A$80:$A$500)+$A13-1,1)-1)</f>
        <v/>
      </c>
      <c r="DB13" s="8" t="str">
        <f ca="1">IF(OR(DB3="",DB$11&lt;$A13),"",DB3/OFFSET(OcupadosEPAESP!$A$80,MATCH(DB$12,OcupadosEPAESP!$A$80:$A$500)+$A13-1,1)-1)</f>
        <v/>
      </c>
      <c r="DC13" s="8" t="str">
        <f ca="1">IF(OR(DC3="",DC$11&lt;$A13),"",DC3/OFFSET(OcupadosEPAESP!$A$80,MATCH(DC$12,OcupadosEPAESP!$A$80:$A$500)+$A13-1,1)-1)</f>
        <v/>
      </c>
      <c r="DD13" s="8" t="str">
        <f ca="1">IF(OR(DD3="",DD$11&lt;$A13),"",DD3/OFFSET(OcupadosEPAESP!$A$80,MATCH(DD$12,OcupadosEPAESP!$A$80:$A$500)+$A13-1,1)-1)</f>
        <v/>
      </c>
      <c r="DE13" s="8" t="str">
        <f ca="1">IF(OR(DE3="",DE$11&lt;$A13),"",DE3/OFFSET(OcupadosEPAESP!$A$80,MATCH(DE$12,OcupadosEPAESP!$A$80:$A$500)+$A13-1,1)-1)</f>
        <v/>
      </c>
      <c r="DF13" s="8" t="str">
        <f ca="1">IF(OR(DF3="",DF$11&lt;$A13),"",DF3/OFFSET(OcupadosEPAESP!$A$80,MATCH(DF$12,OcupadosEPAESP!$A$80:$A$500)+$A13-1,1)-1)</f>
        <v/>
      </c>
      <c r="DG13" s="8" t="str">
        <f ca="1">IF(OR(DG3="",DG$11&lt;$A13),"",DG3/OFFSET(OcupadosEPAESP!$A$80,MATCH(DG$12,OcupadosEPAESP!$A$80:$A$500)+$A13-1,1)-1)</f>
        <v/>
      </c>
      <c r="DH13" s="8" t="str">
        <f ca="1">IF(OR(DH3="",DH$11&lt;$A13),"",DH3/OFFSET(OcupadosEPAESP!$A$80,MATCH(DH$12,OcupadosEPAESP!$A$80:$A$500)+$A13-1,1)-1)</f>
        <v/>
      </c>
      <c r="DI13" s="8" t="str">
        <f ca="1">IF(OR(DI3="",DI$11&lt;$A13),"",DI3/OFFSET(OcupadosEPAESP!$A$80,MATCH(DI$12,OcupadosEPAESP!$A$80:$A$500)+$A13-1,1)-1)</f>
        <v/>
      </c>
      <c r="DJ13" s="8" t="str">
        <f ca="1">IF(OR(DJ3="",DJ$11&lt;$A13),"",DJ3/OFFSET(OcupadosEPAESP!$A$80,MATCH(DJ$12,OcupadosEPAESP!$A$80:$A$500)+$A13-1,1)-1)</f>
        <v/>
      </c>
      <c r="DK13" s="8" t="str">
        <f ca="1">IF(OR(DK3="",DK$11&lt;$A13),"",DK3/OFFSET(OcupadosEPAESP!$A$80,MATCH(DK$12,OcupadosEPAESP!$A$80:$A$500)+$A13-1,1)-1)</f>
        <v/>
      </c>
      <c r="DL13" s="8" t="str">
        <f ca="1">IF(OR(DL3="",DL$11&lt;$A13),"",DL3/OFFSET(OcupadosEPAESP!$A$80,MATCH(DL$12,OcupadosEPAESP!$A$80:$A$500)+$A13-1,1)-1)</f>
        <v/>
      </c>
      <c r="DM13" s="8" t="str">
        <f ca="1">IF(OR(DM3="",DM$11&lt;$A13),"",DM3/OFFSET(OcupadosEPAESP!$A$80,MATCH(DM$12,OcupadosEPAESP!$A$80:$A$500)+$A13-1,1)-1)</f>
        <v/>
      </c>
      <c r="DN13" s="8" t="str">
        <f ca="1">IF(OR(DN3="",DN$11&lt;$A13),"",DN3/OFFSET(OcupadosEPAESP!$A$80,MATCH(DN$12,OcupadosEPAESP!$A$80:$A$500)+$A13-1,1)-1)</f>
        <v/>
      </c>
      <c r="DO13" s="8" t="str">
        <f ca="1">IF(OR(DO3="",DO$11&lt;$A13),"",DO3/OFFSET(OcupadosEPAESP!$A$80,MATCH(DO$12,OcupadosEPAESP!$A$80:$A$500)+$A13-1,1)-1)</f>
        <v/>
      </c>
      <c r="DP13" s="8" t="str">
        <f ca="1">IF(OR(DP3="",DP$11&lt;$A13),"",DP3/OFFSET(OcupadosEPAESP!$A$80,MATCH(DP$12,OcupadosEPAESP!$A$80:$A$500)+$A13-1,1)-1)</f>
        <v/>
      </c>
      <c r="DQ13" s="8" t="str">
        <f ca="1">IF(OR(DQ3="",DQ$11&lt;$A13),"",DQ3/OFFSET(OcupadosEPAESP!$A$80,MATCH(DQ$12,OcupadosEPAESP!$A$80:$A$500)+$A13-1,1)-1)</f>
        <v/>
      </c>
      <c r="DR13" s="8" t="str">
        <f ca="1">IF(OR(DR3="",DR$11&lt;$A13),"",DR3/OFFSET(OcupadosEPAESP!$A$80,MATCH(DR$12,OcupadosEPAESP!$A$80:$A$500)+$A13-1,1)-1)</f>
        <v/>
      </c>
      <c r="DS13" s="12">
        <f t="shared" ref="DS13:DS16" ca="1" si="51">AVERAGE(OFFSET($B13,0,Inicio-1,1,Amplitud))</f>
        <v>-3.1647892882305967E-4</v>
      </c>
      <c r="DT13" s="12">
        <f t="shared" ref="DT13:DT16" ca="1" si="52">MEDIAN(OFFSET($B13,0,Inicio-1,1,Amplitud))</f>
        <v>-5.4772469903263676E-4</v>
      </c>
      <c r="DU13" s="13">
        <f t="shared" ref="DU13:DU16" ca="1" si="53">VARP(OFFSET($B13,0,Inicio-1,1,Amplitud))</f>
        <v>3.0563414628052816E-4</v>
      </c>
      <c r="DV13" s="15">
        <f ca="1">SQRT(DU13)</f>
        <v>1.7482395324455061E-2</v>
      </c>
      <c r="DW13" s="14" t="str">
        <f t="shared" ref="DW13:DW16" ca="1" si="54">CONCATENATE("[ ",TEXT(DS13-2*DV13,"0,00%")," ; ",TEXT(DS13+2*DV13,"0,00%")," ]")</f>
        <v>[ -3,53% ; 3,46% ]</v>
      </c>
      <c r="DX13" s="15">
        <f t="shared" ref="DX13:DX16" ca="1" si="55">DV13*DX$12</f>
        <v>2.237746601530248E-2</v>
      </c>
      <c r="GI13" s="1"/>
    </row>
    <row r="14" spans="1:191" x14ac:dyDescent="0.25">
      <c r="A14" s="4">
        <v>2</v>
      </c>
      <c r="B14" s="8">
        <f ca="1">IF(OR(B4="",B$11&lt;$A14),"",B4/OFFSET(OcupadosEPAESP!$A$80,MATCH(B$12,OcupadosEPAESP!$A$80:$A$500)+$A14-1,1)-1)</f>
        <v>5.3441585593934082E-3</v>
      </c>
      <c r="C14" s="8">
        <f ca="1">IF(OR(C4="",C$11&lt;$A14),"",C4/OFFSET(OcupadosEPAESP!$A$80,MATCH(C$12,OcupadosEPAESP!$A$80:$A$500)+$A14-1,1)-1)</f>
        <v>-5.8749325262561491E-3</v>
      </c>
      <c r="D14" s="8">
        <f ca="1">IF(OR(D4="",D$11&lt;$A14),"",D4/OFFSET(OcupadosEPAESP!$A$80,MATCH(D$12,OcupadosEPAESP!$A$80:$A$500)+$A14-1,1)-1)</f>
        <v>-1.2020233314157802E-2</v>
      </c>
      <c r="E14" s="8">
        <f ca="1">IF(OR(E4="",E$11&lt;$A14),"",E4/OFFSET(OcupadosEPAESP!$A$80,MATCH(E$12,OcupadosEPAESP!$A$80:$A$500)+$A14-1,1)-1)</f>
        <v>-1.3299822488429536E-2</v>
      </c>
      <c r="F14" s="8">
        <f ca="1">IF(OR(F4="",F$11&lt;$A14),"",F4/OFFSET(OcupadosEPAESP!$A$80,MATCH(F$12,OcupadosEPAESP!$A$80:$A$500)+$A14-1,1)-1)</f>
        <v>-1.0499808483097839E-2</v>
      </c>
      <c r="G14" s="8">
        <f ca="1">IF(OR(G4="",G$11&lt;$A14),"",G4/OFFSET(OcupadosEPAESP!$A$80,MATCH(G$12,OcupadosEPAESP!$A$80:$A$500)+$A14-1,1)-1)</f>
        <v>1.3307402261735213E-3</v>
      </c>
      <c r="H14" s="8">
        <f ca="1">IF(OR(H4="",H$11&lt;$A14),"",H4/OFFSET(OcupadosEPAESP!$A$80,MATCH(H$12,OcupadosEPAESP!$A$80:$A$500)+$A14-1,1)-1)</f>
        <v>1.0833658139525637E-2</v>
      </c>
      <c r="I14" s="8">
        <f ca="1">IF(OR(I4="",I$11&lt;$A14),"",I4/OFFSET(OcupadosEPAESP!$A$80,MATCH(I$12,OcupadosEPAESP!$A$80:$A$500)+$A14-1,1)-1)</f>
        <v>9.3834771669818462E-3</v>
      </c>
      <c r="J14" s="8">
        <f ca="1">IF(OR(J4="",J$11&lt;$A14),"",J4/OFFSET(OcupadosEPAESP!$A$80,MATCH(J$12,OcupadosEPAESP!$A$80:$A$500)+$A14-1,1)-1)</f>
        <v>2.2450196100955999E-3</v>
      </c>
      <c r="K14" s="8">
        <f ca="1">IF(OR(K4="",K$11&lt;$A14),"",K4/OFFSET(OcupadosEPAESP!$A$80,MATCH(K$12,OcupadosEPAESP!$A$80:$A$500)+$A14-1,1)-1)</f>
        <v>-2.0295586961781575E-3</v>
      </c>
      <c r="L14" s="8">
        <f ca="1">IF(OR(L4="",L$11&lt;$A14),"",L4/OFFSET(OcupadosEPAESP!$A$80,MATCH(L$12,OcupadosEPAESP!$A$80:$A$500)+$A14-1,1)-1)</f>
        <v>1.4745251450600794E-3</v>
      </c>
      <c r="M14" s="8">
        <f ca="1">IF(OR(M4="",M$11&lt;$A14),"",M4/OFFSET(OcupadosEPAESP!$A$80,MATCH(M$12,OcupadosEPAESP!$A$80:$A$500)+$A14-1,1)-1)</f>
        <v>-4.3721918284611583E-4</v>
      </c>
      <c r="N14" s="8">
        <f ca="1">IF(OR(N4="",N$11&lt;$A14),"",N4/OFFSET(OcupadosEPAESP!$A$80,MATCH(N$12,OcupadosEPAESP!$A$80:$A$500)+$A14-1,1)-1)</f>
        <v>1.9022308013272315E-4</v>
      </c>
      <c r="O14" s="8">
        <f ca="1">IF(OR(O4="",O$11&lt;$A14),"",O4/OFFSET(OcupadosEPAESP!$A$80,MATCH(O$12,OcupadosEPAESP!$A$80:$A$500)+$A14-1,1)-1)</f>
        <v>-1.8214292977847268E-4</v>
      </c>
      <c r="P14" s="8">
        <f ca="1">IF(OR(P4="",P$11&lt;$A14),"",P4/OFFSET(OcupadosEPAESP!$A$80,MATCH(P$12,OcupadosEPAESP!$A$80:$A$500)+$A14-1,1)-1)</f>
        <v>8.9154280109773332E-3</v>
      </c>
      <c r="Q14" s="8">
        <f ca="1">IF(OR(Q4="",Q$11&lt;$A14),"",Q4/OFFSET(OcupadosEPAESP!$A$80,MATCH(Q$12,OcupadosEPAESP!$A$80:$A$500)+$A14-1,1)-1)</f>
        <v>1.344753788140185E-2</v>
      </c>
      <c r="R14" s="8">
        <f ca="1">IF(OR(R4="",R$11&lt;$A14),"",R4/OFFSET(OcupadosEPAESP!$A$80,MATCH(R$12,OcupadosEPAESP!$A$80:$A$500)+$A14-1,1)-1)</f>
        <v>1.4734553931495364E-2</v>
      </c>
      <c r="S14" s="8">
        <f ca="1">IF(OR(S4="",S$11&lt;$A14),"",S4/OFFSET(OcupadosEPAESP!$A$80,MATCH(S$12,OcupadosEPAESP!$A$80:$A$500)+$A14-1,1)-1)</f>
        <v>1.418243755822779E-2</v>
      </c>
      <c r="T14" s="8">
        <f ca="1">IF(OR(T4="",T$11&lt;$A14),"",T4/OFFSET(OcupadosEPAESP!$A$80,MATCH(T$12,OcupadosEPAESP!$A$80:$A$500)+$A14-1,1)-1)</f>
        <v>2.3648363284371365E-2</v>
      </c>
      <c r="U14" s="8">
        <f ca="1">IF(OR(U4="",U$11&lt;$A14),"",U4/OFFSET(OcupadosEPAESP!$A$80,MATCH(U$12,OcupadosEPAESP!$A$80:$A$500)+$A14-1,1)-1)</f>
        <v>4.8549275548744664E-2</v>
      </c>
      <c r="V14" s="8">
        <f ca="1">IF(OR(V4="",V$11&lt;$A14),"",V4/OFFSET(OcupadosEPAESP!$A$80,MATCH(V$12,OcupadosEPAESP!$A$80:$A$500)+$A14-1,1)-1)</f>
        <v>1.8134132497331201E-2</v>
      </c>
      <c r="W14" s="8">
        <f ca="1">IF(OR(W4="",W$11&lt;$A14),"",W4/OFFSET(OcupadosEPAESP!$A$80,MATCH(W$12,OcupadosEPAESP!$A$80:$A$500)+$A14-1,1)-1)</f>
        <v>-4.8262668338157622E-2</v>
      </c>
      <c r="X14" s="8">
        <f ca="1">IF(OR(X4="",X$11&lt;$A14),"",X4/OFFSET(OcupadosEPAESP!$A$80,MATCH(X$12,OcupadosEPAESP!$A$80:$A$500)+$A14-1,1)-1)</f>
        <v>-2.5493077703814371E-2</v>
      </c>
      <c r="Y14" s="8">
        <f ca="1">IF(OR(Y4="",Y$11&lt;$A14),"",Y4/OFFSET(OcupadosEPAESP!$A$80,MATCH(Y$12,OcupadosEPAESP!$A$80:$A$500)+$A14-1,1)-1)</f>
        <v>-4.2172333206397239E-3</v>
      </c>
      <c r="Z14" s="8">
        <f ca="1">IF(OR(Z4="",Z$11&lt;$A14),"",Z4/OFFSET(OcupadosEPAESP!$A$80,MATCH(Z$12,OcupadosEPAESP!$A$80:$A$500)+$A14-1,1)-1)</f>
        <v>-5.7874081593598525E-3</v>
      </c>
      <c r="AA14" s="8">
        <f ca="1">IF(OR(AA4="",AA$11&lt;$A14),"",AA4/OFFSET(OcupadosEPAESP!$A$80,MATCH(AA$12,OcupadosEPAESP!$A$80:$A$500)+$A14-1,1)-1)</f>
        <v>-1.1651883363729687E-2</v>
      </c>
      <c r="AB14" s="8">
        <f ca="1">IF(OR(AB4="",AB$11&lt;$A14),"",AB4/OFFSET(OcupadosEPAESP!$A$80,MATCH(AB$12,OcupadosEPAESP!$A$80:$A$500)+$A14-1,1)-1)</f>
        <v>-2.9287311250884018E-3</v>
      </c>
      <c r="AC14" s="8">
        <f ca="1">IF(OR(AC4="",AC$11&lt;$A14),"",AC4/OFFSET(OcupadosEPAESP!$A$80,MATCH(AC$12,OcupadosEPAESP!$A$80:$A$500)+$A14-1,1)-1)</f>
        <v>8.877859784724107E-3</v>
      </c>
      <c r="AD14" s="8">
        <f ca="1">IF(OR(AD4="",AD$11&lt;$A14),"",AD4/OFFSET(OcupadosEPAESP!$A$80,MATCH(AD$12,OcupadosEPAESP!$A$80:$A$500)+$A14-1,1)-1)</f>
        <v>-1.31594657501799E-3</v>
      </c>
      <c r="AE14" s="8">
        <f ca="1">IF(OR(AE4="",AE$11&lt;$A14),"",AE4/OFFSET(OcupadosEPAESP!$A$80,MATCH(AE$12,OcupadosEPAESP!$A$80:$A$500)+$A14-1,1)-1)</f>
        <v>-3.3096997797502636E-3</v>
      </c>
      <c r="AF14" s="8">
        <f ca="1">IF(OR(AF4="",AF$11&lt;$A14),"",AF4/OFFSET(OcupadosEPAESP!$A$80,MATCH(AF$12,OcupadosEPAESP!$A$80:$A$500)+$A14-1,1)-1)</f>
        <v>2.6360022240636827E-2</v>
      </c>
      <c r="AG14" s="8">
        <f ca="1">IF(OR(AG4="",AG$11&lt;$A14),"",AG4/OFFSET(OcupadosEPAESP!$A$80,MATCH(AG$12,OcupadosEPAESP!$A$80:$A$500)+$A14-1,1)-1)</f>
        <v>1.3670192504527501E-2</v>
      </c>
      <c r="AH14" s="8">
        <f ca="1">IF(OR(AH4="",AH$11&lt;$A14),"",AH4/OFFSET(OcupadosEPAESP!$A$80,MATCH(AH$12,OcupadosEPAESP!$A$80:$A$500)+$A14-1,1)-1)</f>
        <v>4.1358305082661584E-3</v>
      </c>
      <c r="AI14" s="8">
        <f ca="1">IF(OR(AI4="",AI$11&lt;$A14),"",AI4/OFFSET(OcupadosEPAESP!$A$80,MATCH(AI$12,OcupadosEPAESP!$A$80:$A$500)+$A14-1,1)-1)</f>
        <v>-8.4278356000693222E-3</v>
      </c>
      <c r="AJ14" s="8">
        <f ca="1">IF(OR(AJ4="",AJ$11&lt;$A14),"",AJ4/OFFSET(OcupadosEPAESP!$A$80,MATCH(AJ$12,OcupadosEPAESP!$A$80:$A$500)+$A14-1,1)-1)</f>
        <v>1.9578306658085687E-3</v>
      </c>
      <c r="AK14" s="8">
        <f ca="1">IF(OR(AK4="",AK$11&lt;$A14),"",AK4/OFFSET(OcupadosEPAESP!$A$80,MATCH(AK$12,OcupadosEPAESP!$A$80:$A$500)+$A14-1,1)-1)</f>
        <v>4.4843061951522767E-3</v>
      </c>
      <c r="AL14" s="8">
        <f ca="1">IF(OR(AL4="",AL$11&lt;$A14),"",AL4/OFFSET(OcupadosEPAESP!$A$80,MATCH(AL$12,OcupadosEPAESP!$A$80:$A$500)+$A14-1,1)-1)</f>
        <v>-9.3514269794510163E-3</v>
      </c>
      <c r="AM14" s="8">
        <f ca="1">IF(OR(AM4="",AM$11&lt;$A14),"",AM4/OFFSET(OcupadosEPAESP!$A$80,MATCH(AM$12,OcupadosEPAESP!$A$80:$A$500)+$A14-1,1)-1)</f>
        <v>-1.8103273101832462E-2</v>
      </c>
      <c r="AN14" s="8">
        <f ca="1">IF(OR(AN4="",AN$11&lt;$A14),"",AN4/OFFSET(OcupadosEPAESP!$A$80,MATCH(AN$12,OcupadosEPAESP!$A$80:$A$500)+$A14-1,1)-1)</f>
        <v>-9.6622491957196743E-3</v>
      </c>
      <c r="AO14" s="8">
        <f ca="1">IF(OR(AO4="",AO$11&lt;$A14),"",AO4/OFFSET(OcupadosEPAESP!$A$80,MATCH(AO$12,OcupadosEPAESP!$A$80:$A$500)+$A14-1,1)-1)</f>
        <v>-4.5302133723373883E-3</v>
      </c>
      <c r="AP14" s="8">
        <f ca="1">IF(OR(AP4="",AP$11&lt;$A14),"",AP4/OFFSET(OcupadosEPAESP!$A$80,MATCH(AP$12,OcupadosEPAESP!$A$80:$A$500)+$A14-1,1)-1)</f>
        <v>-1.0682916433071621E-2</v>
      </c>
      <c r="AQ14" s="8">
        <f ca="1">IF(OR(AQ4="",AQ$11&lt;$A14),"",AQ4/OFFSET(OcupadosEPAESP!$A$80,MATCH(AQ$12,OcupadosEPAESP!$A$80:$A$500)+$A14-1,1)-1)</f>
        <v>-1.8313691654584963E-2</v>
      </c>
      <c r="AR14" s="8">
        <f ca="1">IF(OR(AR4="",AR$11&lt;$A14),"",AR4/OFFSET(OcupadosEPAESP!$A$80,MATCH(AR$12,OcupadosEPAESP!$A$80:$A$500)+$A14-1,1)-1)</f>
        <v>3.2815361445615032E-4</v>
      </c>
      <c r="AS14" s="8">
        <f ca="1">IF(OR(AS4="",AS$11&lt;$A14),"",AS4/OFFSET(OcupadosEPAESP!$A$80,MATCH(AS$12,OcupadosEPAESP!$A$80:$A$500)+$A14-1,1)-1)</f>
        <v>-5.6961933112472662E-3</v>
      </c>
      <c r="AT14" s="8">
        <f ca="1">IF(OR(AT4="",AT$11&lt;$A14),"",AT4/OFFSET(OcupadosEPAESP!$A$80,MATCH(AT$12,OcupadosEPAESP!$A$80:$A$500)+$A14-1,1)-1)</f>
        <v>3.2814509615590737E-3</v>
      </c>
      <c r="AU14" s="8">
        <f ca="1">IF(OR(AU4="",AU$11&lt;$A14),"",AU4/OFFSET(OcupadosEPAESP!$A$80,MATCH(AU$12,OcupadosEPAESP!$A$80:$A$500)+$A14-1,1)-1)</f>
        <v>-5.7925506755232004E-3</v>
      </c>
      <c r="AV14" s="8">
        <f ca="1">IF(OR(AV4="",AV$11&lt;$A14),"",AV4/OFFSET(OcupadosEPAESP!$A$80,MATCH(AV$12,OcupadosEPAESP!$A$80:$A$500)+$A14-1,1)-1)</f>
        <v>3.0710193957665943E-3</v>
      </c>
      <c r="AW14" s="8">
        <f ca="1">IF(OR(AW4="",AW$11&lt;$A14),"",AW4/OFFSET(OcupadosEPAESP!$A$80,MATCH(AW$12,OcupadosEPAESP!$A$80:$A$500)+$A14-1,1)-1)</f>
        <v>-2.1847023358491091E-3</v>
      </c>
      <c r="AX14" s="8">
        <f ca="1">IF(OR(AX4="",AX$11&lt;$A14),"",AX4/OFFSET(OcupadosEPAESP!$A$80,MATCH(AX$12,OcupadosEPAESP!$A$80:$A$500)+$A14-1,1)-1)</f>
        <v>6.6123820424572877E-3</v>
      </c>
      <c r="AY14" s="8">
        <f ca="1">IF(OR(AY4="",AY$11&lt;$A14),"",AY4/OFFSET(OcupadosEPAESP!$A$80,MATCH(AY$12,OcupadosEPAESP!$A$80:$A$500)+$A14-1,1)-1)</f>
        <v>6.132264047204794E-3</v>
      </c>
      <c r="AZ14" s="8">
        <f ca="1">IF(OR(AZ4="",AZ$11&lt;$A14),"",AZ4/OFFSET(OcupadosEPAESP!$A$80,MATCH(AZ$12,OcupadosEPAESP!$A$80:$A$500)+$A14-1,1)-1)</f>
        <v>-5.4748455486109959E-3</v>
      </c>
      <c r="BA14" s="8">
        <f ca="1">IF(OR(BA4="",BA$11&lt;$A14),"",BA4/OFFSET(OcupadosEPAESP!$A$80,MATCH(BA$12,OcupadosEPAESP!$A$80:$A$500)+$A14-1,1)-1)</f>
        <v>2.7345733886807722E-3</v>
      </c>
      <c r="BB14" s="8">
        <f ca="1">IF(OR(BB4="",BB$11&lt;$A14),"",BB4/OFFSET(OcupadosEPAESP!$A$80,MATCH(BB$12,OcupadosEPAESP!$A$80:$A$500)+$A14-1,1)-1)</f>
        <v>-4.8562985887085075E-3</v>
      </c>
      <c r="BC14" s="8">
        <f ca="1">IF(OR(BC4="",BC$11&lt;$A14),"",BC4/OFFSET(OcupadosEPAESP!$A$80,MATCH(BC$12,OcupadosEPAESP!$A$80:$A$500)+$A14-1,1)-1)</f>
        <v>-3.6063546961123683E-3</v>
      </c>
      <c r="BD14" s="8">
        <f ca="1">IF(OR(BD4="",BD$11&lt;$A14),"",BD4/OFFSET(OcupadosEPAESP!$A$80,MATCH(BD$12,OcupadosEPAESP!$A$80:$A$500)+$A14-1,1)-1)</f>
        <v>2.7106017494187284E-3</v>
      </c>
      <c r="BE14" s="8">
        <f ca="1">IF(OR(BE4="",BE$11&lt;$A14),"",BE4/OFFSET(OcupadosEPAESP!$A$80,MATCH(BE$12,OcupadosEPAESP!$A$80:$A$500)+$A14-1,1)-1)</f>
        <v>8.5224756851398631E-3</v>
      </c>
      <c r="BF14" s="8">
        <f ca="1">IF(OR(BF4="",BF$11&lt;$A14),"",BF4/OFFSET(OcupadosEPAESP!$A$80,MATCH(BF$12,OcupadosEPAESP!$A$80:$A$500)+$A14-1,1)-1)</f>
        <v>-7.3419282140410047E-3</v>
      </c>
      <c r="BG14" s="8">
        <f ca="1">IF(OR(BG4="",BG$11&lt;$A14),"",BG4/OFFSET(OcupadosEPAESP!$A$80,MATCH(BG$12,OcupadosEPAESP!$A$80:$A$500)+$A14-1,1)-1)</f>
        <v>-8.6537854671500103E-3</v>
      </c>
      <c r="BH14" s="8">
        <f ca="1">IF(OR(BH4="",BH$11&lt;$A14),"",BH4/OFFSET(OcupadosEPAESP!$A$80,MATCH(BH$12,OcupadosEPAESP!$A$80:$A$500)+$A14-1,1)-1)</f>
        <v>4.5476079390440738E-3</v>
      </c>
      <c r="BI14" s="8">
        <f ca="1">IF(OR(BI4="",BI$11&lt;$A14),"",BI4/OFFSET(OcupadosEPAESP!$A$80,MATCH(BI$12,OcupadosEPAESP!$A$80:$A$500)+$A14-1,1)-1)</f>
        <v>-2.6875279689358988E-3</v>
      </c>
      <c r="BJ14" s="8">
        <f ca="1">IF(OR(BJ4="",BJ$11&lt;$A14),"",BJ4/OFFSET(OcupadosEPAESP!$A$80,MATCH(BJ$12,OcupadosEPAESP!$A$80:$A$500)+$A14-1,1)-1)</f>
        <v>4.6199780854145889E-3</v>
      </c>
      <c r="BK14" s="8">
        <f ca="1">IF(OR(BK4="",BK$11&lt;$A14),"",BK4/OFFSET(OcupadosEPAESP!$A$80,MATCH(BK$12,OcupadosEPAESP!$A$80:$A$500)+$A14-1,1)-1)</f>
        <v>9.5857752185219969E-3</v>
      </c>
      <c r="BL14" s="8">
        <f ca="1">IF(OR(BL4="",BL$11&lt;$A14),"",BL4/OFFSET(OcupadosEPAESP!$A$80,MATCH(BL$12,OcupadosEPAESP!$A$80:$A$500)+$A14-1,1)-1)</f>
        <v>-1.0014716343437202E-3</v>
      </c>
      <c r="BM14" s="8">
        <f ca="1">IF(OR(BM4="",BM$11&lt;$A14),"",BM4/OFFSET(OcupadosEPAESP!$A$80,MATCH(BM$12,OcupadosEPAESP!$A$80:$A$500)+$A14-1,1)-1)</f>
        <v>-5.1272447956588474E-3</v>
      </c>
      <c r="BN14" s="8">
        <f ca="1">IF(OR(BN4="",BN$11&lt;$A14),"",BN4/OFFSET(OcupadosEPAESP!$A$80,MATCH(BN$12,OcupadosEPAESP!$A$80:$A$500)+$A14-1,1)-1)</f>
        <v>8.8588008677178864E-2</v>
      </c>
      <c r="BO14" s="8">
        <f ca="1">IF(OR(BO4="",BO$11&lt;$A14),"",BO4/OFFSET(OcupadosEPAESP!$A$80,MATCH(BO$12,OcupadosEPAESP!$A$80:$A$500)+$A14-1,1)-1)</f>
        <v>4.2665751088862613E-2</v>
      </c>
      <c r="BP14" s="8">
        <f ca="1">IF(OR(BP4="",BP$11&lt;$A14),"",BP4/OFFSET(OcupadosEPAESP!$A$80,MATCH(BP$12,OcupadosEPAESP!$A$80:$A$500)+$A14-1,1)-1)</f>
        <v>-9.3949001113226238E-2</v>
      </c>
      <c r="BQ14" s="8" t="str">
        <f ca="1">IF(OR(BQ4="",BQ$11&lt;$A14),"",BQ4/OFFSET(OcupadosEPAESP!$A$80,MATCH(BQ$12,OcupadosEPAESP!$A$80:$A$500)+$A14-1,1)-1)</f>
        <v/>
      </c>
      <c r="BR14" s="8" t="str">
        <f ca="1">IF(OR(BR4="",BR$11&lt;$A14),"",BR4/OFFSET(OcupadosEPAESP!$A$80,MATCH(BR$12,OcupadosEPAESP!$A$80:$A$500)+$A14-1,1)-1)</f>
        <v/>
      </c>
      <c r="BS14" s="8" t="str">
        <f ca="1">IF(OR(BS4="",BS$11&lt;$A14),"",BS4/OFFSET(OcupadosEPAESP!$A$80,MATCH(BS$12,OcupadosEPAESP!$A$80:$A$500)+$A14-1,1)-1)</f>
        <v/>
      </c>
      <c r="BT14" s="8" t="str">
        <f ca="1">IF(OR(BT4="",BT$11&lt;$A14),"",BT4/OFFSET(OcupadosEPAESP!$A$80,MATCH(BT$12,OcupadosEPAESP!$A$80:$A$500)+$A14-1,1)-1)</f>
        <v/>
      </c>
      <c r="BU14" s="8" t="str">
        <f ca="1">IF(OR(BU4="",BU$11&lt;$A14),"",BU4/OFFSET(OcupadosEPAESP!$A$80,MATCH(BU$12,OcupadosEPAESP!$A$80:$A$500)+$A14-1,1)-1)</f>
        <v/>
      </c>
      <c r="BV14" s="8" t="str">
        <f ca="1">IF(OR(BV4="",BV$11&lt;$A14),"",BV4/OFFSET(OcupadosEPAESP!$A$80,MATCH(BV$12,OcupadosEPAESP!$A$80:$A$500)+$A14-1,1)-1)</f>
        <v/>
      </c>
      <c r="BW14" s="8" t="str">
        <f ca="1">IF(OR(BW4="",BW$11&lt;$A14),"",BW4/OFFSET(OcupadosEPAESP!$A$80,MATCH(BW$12,OcupadosEPAESP!$A$80:$A$500)+$A14-1,1)-1)</f>
        <v/>
      </c>
      <c r="BX14" s="8" t="str">
        <f ca="1">IF(OR(BX4="",BX$11&lt;$A14),"",BX4/OFFSET(OcupadosEPAESP!$A$80,MATCH(BX$12,OcupadosEPAESP!$A$80:$A$500)+$A14-1,1)-1)</f>
        <v/>
      </c>
      <c r="BY14" s="8" t="str">
        <f ca="1">IF(OR(BY4="",BY$11&lt;$A14),"",BY4/OFFSET(OcupadosEPAESP!$A$80,MATCH(BY$12,OcupadosEPAESP!$A$80:$A$500)+$A14-1,1)-1)</f>
        <v/>
      </c>
      <c r="BZ14" s="8" t="str">
        <f ca="1">IF(OR(BZ4="",BZ$11&lt;$A14),"",BZ4/OFFSET(OcupadosEPAESP!$A$80,MATCH(BZ$12,OcupadosEPAESP!$A$80:$A$500)+$A14-1,1)-1)</f>
        <v/>
      </c>
      <c r="CA14" s="8" t="str">
        <f ca="1">IF(OR(CA4="",CA$11&lt;$A14),"",CA4/OFFSET(OcupadosEPAESP!$A$80,MATCH(CA$12,OcupadosEPAESP!$A$80:$A$500)+$A14-1,1)-1)</f>
        <v/>
      </c>
      <c r="CB14" s="8" t="str">
        <f ca="1">IF(OR(CB4="",CB$11&lt;$A14),"",CB4/OFFSET(OcupadosEPAESP!$A$80,MATCH(CB$12,OcupadosEPAESP!$A$80:$A$500)+$A14-1,1)-1)</f>
        <v/>
      </c>
      <c r="CC14" s="8" t="str">
        <f ca="1">IF(OR(CC4="",CC$11&lt;$A14),"",CC4/OFFSET(OcupadosEPAESP!$A$80,MATCH(CC$12,OcupadosEPAESP!$A$80:$A$500)+$A14-1,1)-1)</f>
        <v/>
      </c>
      <c r="CD14" s="8" t="str">
        <f ca="1">IF(OR(CD4="",CD$11&lt;$A14),"",CD4/OFFSET(OcupadosEPAESP!$A$80,MATCH(CD$12,OcupadosEPAESP!$A$80:$A$500)+$A14-1,1)-1)</f>
        <v/>
      </c>
      <c r="CE14" s="8" t="str">
        <f ca="1">IF(OR(CE4="",CE$11&lt;$A14),"",CE4/OFFSET(OcupadosEPAESP!$A$80,MATCH(CE$12,OcupadosEPAESP!$A$80:$A$500)+$A14-1,1)-1)</f>
        <v/>
      </c>
      <c r="CF14" s="8" t="str">
        <f ca="1">IF(OR(CF4="",CF$11&lt;$A14),"",CF4/OFFSET(OcupadosEPAESP!$A$80,MATCH(CF$12,OcupadosEPAESP!$A$80:$A$500)+$A14-1,1)-1)</f>
        <v/>
      </c>
      <c r="CG14" s="8" t="str">
        <f ca="1">IF(OR(CG4="",CG$11&lt;$A14),"",CG4/OFFSET(OcupadosEPAESP!$A$80,MATCH(CG$12,OcupadosEPAESP!$A$80:$A$500)+$A14-1,1)-1)</f>
        <v/>
      </c>
      <c r="CH14" s="8" t="str">
        <f ca="1">IF(OR(CH4="",CH$11&lt;$A14),"",CH4/OFFSET(OcupadosEPAESP!$A$80,MATCH(CH$12,OcupadosEPAESP!$A$80:$A$500)+$A14-1,1)-1)</f>
        <v/>
      </c>
      <c r="CI14" s="8" t="str">
        <f ca="1">IF(OR(CI4="",CI$11&lt;$A14),"",CI4/OFFSET(OcupadosEPAESP!$A$80,MATCH(CI$12,OcupadosEPAESP!$A$80:$A$500)+$A14-1,1)-1)</f>
        <v/>
      </c>
      <c r="CJ14" s="8" t="str">
        <f ca="1">IF(OR(CJ4="",CJ$11&lt;$A14),"",CJ4/OFFSET(OcupadosEPAESP!$A$80,MATCH(CJ$12,OcupadosEPAESP!$A$80:$A$500)+$A14-1,1)-1)</f>
        <v/>
      </c>
      <c r="CK14" s="8" t="str">
        <f ca="1">IF(OR(CK4="",CK$11&lt;$A14),"",CK4/OFFSET(OcupadosEPAESP!$A$80,MATCH(CK$12,OcupadosEPAESP!$A$80:$A$500)+$A14-1,1)-1)</f>
        <v/>
      </c>
      <c r="CL14" s="8" t="str">
        <f ca="1">IF(OR(CL4="",CL$11&lt;$A14),"",CL4/OFFSET(OcupadosEPAESP!$A$80,MATCH(CL$12,OcupadosEPAESP!$A$80:$A$500)+$A14-1,1)-1)</f>
        <v/>
      </c>
      <c r="CM14" s="8" t="str">
        <f ca="1">IF(OR(CM4="",CM$11&lt;$A14),"",CM4/OFFSET(OcupadosEPAESP!$A$80,MATCH(CM$12,OcupadosEPAESP!$A$80:$A$500)+$A14-1,1)-1)</f>
        <v/>
      </c>
      <c r="CN14" s="8" t="str">
        <f ca="1">IF(OR(CN4="",CN$11&lt;$A14),"",CN4/OFFSET(OcupadosEPAESP!$A$80,MATCH(CN$12,OcupadosEPAESP!$A$80:$A$500)+$A14-1,1)-1)</f>
        <v/>
      </c>
      <c r="CO14" s="8" t="str">
        <f ca="1">IF(OR(CO4="",CO$11&lt;$A14),"",CO4/OFFSET(OcupadosEPAESP!$A$80,MATCH(CO$12,OcupadosEPAESP!$A$80:$A$500)+$A14-1,1)-1)</f>
        <v/>
      </c>
      <c r="CP14" s="8" t="str">
        <f ca="1">IF(OR(CP4="",CP$11&lt;$A14),"",CP4/OFFSET(OcupadosEPAESP!$A$80,MATCH(CP$12,OcupadosEPAESP!$A$80:$A$500)+$A14-1,1)-1)</f>
        <v/>
      </c>
      <c r="CQ14" s="8" t="str">
        <f ca="1">IF(OR(CQ4="",CQ$11&lt;$A14),"",CQ4/OFFSET(OcupadosEPAESP!$A$80,MATCH(CQ$12,OcupadosEPAESP!$A$80:$A$500)+$A14-1,1)-1)</f>
        <v/>
      </c>
      <c r="CR14" s="8" t="str">
        <f ca="1">IF(OR(CR4="",CR$11&lt;$A14),"",CR4/OFFSET(OcupadosEPAESP!$A$80,MATCH(CR$12,OcupadosEPAESP!$A$80:$A$500)+$A14-1,1)-1)</f>
        <v/>
      </c>
      <c r="CS14" s="8" t="str">
        <f ca="1">IF(OR(CS4="",CS$11&lt;$A14),"",CS4/OFFSET(OcupadosEPAESP!$A$80,MATCH(CS$12,OcupadosEPAESP!$A$80:$A$500)+$A14-1,1)-1)</f>
        <v/>
      </c>
      <c r="CT14" s="8" t="str">
        <f ca="1">IF(OR(CT4="",CT$11&lt;$A14),"",CT4/OFFSET(OcupadosEPAESP!$A$80,MATCH(CT$12,OcupadosEPAESP!$A$80:$A$500)+$A14-1,1)-1)</f>
        <v/>
      </c>
      <c r="CU14" s="8" t="str">
        <f ca="1">IF(OR(CU4="",CU$11&lt;$A14),"",CU4/OFFSET(OcupadosEPAESP!$A$80,MATCH(CU$12,OcupadosEPAESP!$A$80:$A$500)+$A14-1,1)-1)</f>
        <v/>
      </c>
      <c r="CV14" s="8" t="str">
        <f ca="1">IF(OR(CV4="",CV$11&lt;$A14),"",CV4/OFFSET(OcupadosEPAESP!$A$80,MATCH(CV$12,OcupadosEPAESP!$A$80:$A$500)+$A14-1,1)-1)</f>
        <v/>
      </c>
      <c r="CW14" s="8" t="str">
        <f ca="1">IF(OR(CW4="",CW$11&lt;$A14),"",CW4/OFFSET(OcupadosEPAESP!$A$80,MATCH(CW$12,OcupadosEPAESP!$A$80:$A$500)+$A14-1,1)-1)</f>
        <v/>
      </c>
      <c r="CX14" s="8" t="str">
        <f ca="1">IF(OR(CX4="",CX$11&lt;$A14),"",CX4/OFFSET(OcupadosEPAESP!$A$80,MATCH(CX$12,OcupadosEPAESP!$A$80:$A$500)+$A14-1,1)-1)</f>
        <v/>
      </c>
      <c r="CY14" s="8" t="str">
        <f ca="1">IF(OR(CY4="",CY$11&lt;$A14),"",CY4/OFFSET(OcupadosEPAESP!$A$80,MATCH(CY$12,OcupadosEPAESP!$A$80:$A$500)+$A14-1,1)-1)</f>
        <v/>
      </c>
      <c r="CZ14" s="8" t="str">
        <f ca="1">IF(OR(CZ4="",CZ$11&lt;$A14),"",CZ4/OFFSET(OcupadosEPAESP!$A$80,MATCH(CZ$12,OcupadosEPAESP!$A$80:$A$500)+$A14-1,1)-1)</f>
        <v/>
      </c>
      <c r="DA14" s="8" t="str">
        <f ca="1">IF(OR(DA4="",DA$11&lt;$A14),"",DA4/OFFSET(OcupadosEPAESP!$A$80,MATCH(DA$12,OcupadosEPAESP!$A$80:$A$500)+$A14-1,1)-1)</f>
        <v/>
      </c>
      <c r="DB14" s="8" t="str">
        <f ca="1">IF(OR(DB4="",DB$11&lt;$A14),"",DB4/OFFSET(OcupadosEPAESP!$A$80,MATCH(DB$12,OcupadosEPAESP!$A$80:$A$500)+$A14-1,1)-1)</f>
        <v/>
      </c>
      <c r="DC14" s="8" t="str">
        <f ca="1">IF(OR(DC4="",DC$11&lt;$A14),"",DC4/OFFSET(OcupadosEPAESP!$A$80,MATCH(DC$12,OcupadosEPAESP!$A$80:$A$500)+$A14-1,1)-1)</f>
        <v/>
      </c>
      <c r="DD14" s="8" t="str">
        <f ca="1">IF(OR(DD4="",DD$11&lt;$A14),"",DD4/OFFSET(OcupadosEPAESP!$A$80,MATCH(DD$12,OcupadosEPAESP!$A$80:$A$500)+$A14-1,1)-1)</f>
        <v/>
      </c>
      <c r="DE14" s="8" t="str">
        <f ca="1">IF(OR(DE4="",DE$11&lt;$A14),"",DE4/OFFSET(OcupadosEPAESP!$A$80,MATCH(DE$12,OcupadosEPAESP!$A$80:$A$500)+$A14-1,1)-1)</f>
        <v/>
      </c>
      <c r="DF14" s="8" t="str">
        <f ca="1">IF(OR(DF4="",DF$11&lt;$A14),"",DF4/OFFSET(OcupadosEPAESP!$A$80,MATCH(DF$12,OcupadosEPAESP!$A$80:$A$500)+$A14-1,1)-1)</f>
        <v/>
      </c>
      <c r="DG14" s="8" t="str">
        <f ca="1">IF(OR(DG4="",DG$11&lt;$A14),"",DG4/OFFSET(OcupadosEPAESP!$A$80,MATCH(DG$12,OcupadosEPAESP!$A$80:$A$500)+$A14-1,1)-1)</f>
        <v/>
      </c>
      <c r="DH14" s="8" t="str">
        <f ca="1">IF(OR(DH4="",DH$11&lt;$A14),"",DH4/OFFSET(OcupadosEPAESP!$A$80,MATCH(DH$12,OcupadosEPAESP!$A$80:$A$500)+$A14-1,1)-1)</f>
        <v/>
      </c>
      <c r="DI14" s="8" t="str">
        <f ca="1">IF(OR(DI4="",DI$11&lt;$A14),"",DI4/OFFSET(OcupadosEPAESP!$A$80,MATCH(DI$12,OcupadosEPAESP!$A$80:$A$500)+$A14-1,1)-1)</f>
        <v/>
      </c>
      <c r="DJ14" s="8" t="str">
        <f ca="1">IF(OR(DJ4="",DJ$11&lt;$A14),"",DJ4/OFFSET(OcupadosEPAESP!$A$80,MATCH(DJ$12,OcupadosEPAESP!$A$80:$A$500)+$A14-1,1)-1)</f>
        <v/>
      </c>
      <c r="DK14" s="8" t="str">
        <f ca="1">IF(OR(DK4="",DK$11&lt;$A14),"",DK4/OFFSET(OcupadosEPAESP!$A$80,MATCH(DK$12,OcupadosEPAESP!$A$80:$A$500)+$A14-1,1)-1)</f>
        <v/>
      </c>
      <c r="DL14" s="8" t="str">
        <f ca="1">IF(OR(DL4="",DL$11&lt;$A14),"",DL4/OFFSET(OcupadosEPAESP!$A$80,MATCH(DL$12,OcupadosEPAESP!$A$80:$A$500)+$A14-1,1)-1)</f>
        <v/>
      </c>
      <c r="DM14" s="8" t="str">
        <f ca="1">IF(OR(DM4="",DM$11&lt;$A14),"",DM4/OFFSET(OcupadosEPAESP!$A$80,MATCH(DM$12,OcupadosEPAESP!$A$80:$A$500)+$A14-1,1)-1)</f>
        <v/>
      </c>
      <c r="DN14" s="8" t="str">
        <f ca="1">IF(OR(DN4="",DN$11&lt;$A14),"",DN4/OFFSET(OcupadosEPAESP!$A$80,MATCH(DN$12,OcupadosEPAESP!$A$80:$A$500)+$A14-1,1)-1)</f>
        <v/>
      </c>
      <c r="DO14" s="8" t="str">
        <f ca="1">IF(OR(DO4="",DO$11&lt;$A14),"",DO4/OFFSET(OcupadosEPAESP!$A$80,MATCH(DO$12,OcupadosEPAESP!$A$80:$A$500)+$A14-1,1)-1)</f>
        <v/>
      </c>
      <c r="DP14" s="8" t="str">
        <f ca="1">IF(OR(DP4="",DP$11&lt;$A14),"",DP4/OFFSET(OcupadosEPAESP!$A$80,MATCH(DP$12,OcupadosEPAESP!$A$80:$A$500)+$A14-1,1)-1)</f>
        <v/>
      </c>
      <c r="DQ14" s="8" t="str">
        <f ca="1">IF(OR(DQ4="",DQ$11&lt;$A14),"",DQ4/OFFSET(OcupadosEPAESP!$A$80,MATCH(DQ$12,OcupadosEPAESP!$A$80:$A$500)+$A14-1,1)-1)</f>
        <v/>
      </c>
      <c r="DR14" s="8" t="str">
        <f ca="1">IF(OR(DR4="",DR$11&lt;$A14),"",DR4/OFFSET(OcupadosEPAESP!$A$80,MATCH(DR$12,OcupadosEPAESP!$A$80:$A$500)+$A14-1,1)-1)</f>
        <v/>
      </c>
      <c r="DS14" s="12">
        <f t="shared" ca="1" si="51"/>
        <v>-8.0880687377492917E-4</v>
      </c>
      <c r="DT14" s="12">
        <f t="shared" ca="1" si="52"/>
        <v>-2.436115152392504E-3</v>
      </c>
      <c r="DU14" s="13">
        <f t="shared" ca="1" si="53"/>
        <v>6.663255163701895E-4</v>
      </c>
      <c r="DV14" s="15">
        <f t="shared" ref="DV14:DV16" ca="1" si="56">SQRT(DU14)</f>
        <v>2.5813281782256774E-2</v>
      </c>
      <c r="DW14" s="14" t="str">
        <f t="shared" ca="1" si="54"/>
        <v>[ -5,24% ; 5,08% ]</v>
      </c>
      <c r="DX14" s="15">
        <f t="shared" ca="1" si="55"/>
        <v>3.3041000681288672E-2</v>
      </c>
      <c r="GI14" s="1"/>
    </row>
    <row r="15" spans="1:191" x14ac:dyDescent="0.25">
      <c r="A15" s="4">
        <v>3</v>
      </c>
      <c r="B15" s="8">
        <f ca="1">IF(OR(B5="",B$11&lt;$A15),"",B5/OFFSET(OcupadosEPAESP!$A$80,MATCH(B$12,OcupadosEPAESP!$A$80:$A$500)+$A15-1,1)-1)</f>
        <v>3.1258536232228185E-3</v>
      </c>
      <c r="C15" s="8">
        <f ca="1">IF(OR(C5="",C$11&lt;$A15),"",C5/OFFSET(OcupadosEPAESP!$A$80,MATCH(C$12,OcupadosEPAESP!$A$80:$A$500)+$A15-1,1)-1)</f>
        <v>-1.3164234602356717E-2</v>
      </c>
      <c r="D15" s="8">
        <f ca="1">IF(OR(D5="",D$11&lt;$A15),"",D5/OFFSET(OcupadosEPAESP!$A$80,MATCH(D$12,OcupadosEPAESP!$A$80:$A$500)+$A15-1,1)-1)</f>
        <v>-2.1869695503007436E-2</v>
      </c>
      <c r="E15" s="8">
        <f ca="1">IF(OR(E5="",E$11&lt;$A15),"",E5/OFFSET(OcupadosEPAESP!$A$80,MATCH(E$12,OcupadosEPAESP!$A$80:$A$500)+$A15-1,1)-1)</f>
        <v>-2.0517564078711747E-2</v>
      </c>
      <c r="F15" s="8">
        <f ca="1">IF(OR(F5="",F$11&lt;$A15),"",F5/OFFSET(OcupadosEPAESP!$A$80,MATCH(F$12,OcupadosEPAESP!$A$80:$A$500)+$A15-1,1)-1)</f>
        <v>-9.3514255983929706E-3</v>
      </c>
      <c r="G15" s="8">
        <f ca="1">IF(OR(G5="",G$11&lt;$A15),"",G5/OFFSET(OcupadosEPAESP!$A$80,MATCH(G$12,OcupadosEPAESP!$A$80:$A$500)+$A15-1,1)-1)</f>
        <v>6.8051188048701139E-3</v>
      </c>
      <c r="H15" s="8">
        <f ca="1">IF(OR(H5="",H$11&lt;$A15),"",H5/OFFSET(OcupadosEPAESP!$A$80,MATCH(H$12,OcupadosEPAESP!$A$80:$A$500)+$A15-1,1)-1)</f>
        <v>1.9612522904179475E-2</v>
      </c>
      <c r="I15" s="8">
        <f ca="1">IF(OR(I5="",I$11&lt;$A15),"",I5/OFFSET(OcupadosEPAESP!$A$80,MATCH(I$12,OcupadosEPAESP!$A$80:$A$500)+$A15-1,1)-1)</f>
        <v>1.1602663980903039E-2</v>
      </c>
      <c r="J15" s="8">
        <f ca="1">IF(OR(J5="",J$11&lt;$A15),"",J5/OFFSET(OcupadosEPAESP!$A$80,MATCH(J$12,OcupadosEPAESP!$A$80:$A$500)+$A15-1,1)-1)</f>
        <v>4.0755840944972643E-3</v>
      </c>
      <c r="K15" s="8">
        <f ca="1">IF(OR(K5="",K$11&lt;$A15),"",K5/OFFSET(OcupadosEPAESP!$A$80,MATCH(K$12,OcupadosEPAESP!$A$80:$A$500)+$A15-1,1)-1)</f>
        <v>-2.8649801797335783E-3</v>
      </c>
      <c r="L15" s="8">
        <f ca="1">IF(OR(L5="",L$11&lt;$A15),"",L5/OFFSET(OcupadosEPAESP!$A$80,MATCH(L$12,OcupadosEPAESP!$A$80:$A$500)+$A15-1,1)-1)</f>
        <v>2.9146630945369179E-3</v>
      </c>
      <c r="M15" s="8">
        <f ca="1">IF(OR(M5="",M$11&lt;$A15),"",M5/OFFSET(OcupadosEPAESP!$A$80,MATCH(M$12,OcupadosEPAESP!$A$80:$A$500)+$A15-1,1)-1)</f>
        <v>-1.0763160710824948E-3</v>
      </c>
      <c r="N15" s="8">
        <f ca="1">IF(OR(N5="",N$11&lt;$A15),"",N5/OFFSET(OcupadosEPAESP!$A$80,MATCH(N$12,OcupadosEPAESP!$A$80:$A$500)+$A15-1,1)-1)</f>
        <v>2.1220059497879529E-3</v>
      </c>
      <c r="O15" s="8">
        <f ca="1">IF(OR(O5="",O$11&lt;$A15),"",O5/OFFSET(OcupadosEPAESP!$A$80,MATCH(O$12,OcupadosEPAESP!$A$80:$A$500)+$A15-1,1)-1)</f>
        <v>5.7279586715182074E-3</v>
      </c>
      <c r="P15" s="8">
        <f ca="1">IF(OR(P5="",P$11&lt;$A15),"",P5/OFFSET(OcupadosEPAESP!$A$80,MATCH(P$12,OcupadosEPAESP!$A$80:$A$500)+$A15-1,1)-1)</f>
        <v>1.8158664858193063E-2</v>
      </c>
      <c r="Q15" s="8">
        <f ca="1">IF(OR(Q5="",Q$11&lt;$A15),"",Q5/OFFSET(OcupadosEPAESP!$A$80,MATCH(Q$12,OcupadosEPAESP!$A$80:$A$500)+$A15-1,1)-1)</f>
        <v>2.6088519359298346E-2</v>
      </c>
      <c r="R15" s="8">
        <f ca="1">IF(OR(R5="",R$11&lt;$A15),"",R5/OFFSET(OcupadosEPAESP!$A$80,MATCH(R$12,OcupadosEPAESP!$A$80:$A$500)+$A15-1,1)-1)</f>
        <v>2.5609340223637922E-2</v>
      </c>
      <c r="S15" s="8">
        <f ca="1">IF(OR(S5="",S$11&lt;$A15),"",S5/OFFSET(OcupadosEPAESP!$A$80,MATCH(S$12,OcupadosEPAESP!$A$80:$A$500)+$A15-1,1)-1)</f>
        <v>3.7558781613106884E-2</v>
      </c>
      <c r="T15" s="8">
        <f ca="1">IF(OR(T5="",T$11&lt;$A15),"",T5/OFFSET(OcupadosEPAESP!$A$80,MATCH(T$12,OcupadosEPAESP!$A$80:$A$500)+$A15-1,1)-1)</f>
        <v>5.9357526684683304E-2</v>
      </c>
      <c r="U15" s="8">
        <f ca="1">IF(OR(U5="",U$11&lt;$A15),"",U5/OFFSET(OcupadosEPAESP!$A$80,MATCH(U$12,OcupadosEPAESP!$A$80:$A$500)+$A15-1,1)-1)</f>
        <v>5.9039558945324311E-2</v>
      </c>
      <c r="V15" s="8">
        <f ca="1">IF(OR(V5="",V$11&lt;$A15),"",V5/OFFSET(OcupadosEPAESP!$A$80,MATCH(V$12,OcupadosEPAESP!$A$80:$A$500)+$A15-1,1)-1)</f>
        <v>9.6732050358478983E-3</v>
      </c>
      <c r="W15" s="8">
        <f ca="1">IF(OR(W5="",W$11&lt;$A15),"",W5/OFFSET(OcupadosEPAESP!$A$80,MATCH(W$12,OcupadosEPAESP!$A$80:$A$500)+$A15-1,1)-1)</f>
        <v>-7.7120856621601619E-2</v>
      </c>
      <c r="X15" s="8">
        <f ca="1">IF(OR(X5="",X$11&lt;$A15),"",X5/OFFSET(OcupadosEPAESP!$A$80,MATCH(X$12,OcupadosEPAESP!$A$80:$A$500)+$A15-1,1)-1)</f>
        <v>-3.8304801459676852E-2</v>
      </c>
      <c r="Y15" s="8">
        <f ca="1">IF(OR(Y5="",Y$11&lt;$A15),"",Y5/OFFSET(OcupadosEPAESP!$A$80,MATCH(Y$12,OcupadosEPAESP!$A$80:$A$500)+$A15-1,1)-1)</f>
        <v>-9.9222995862506824E-3</v>
      </c>
      <c r="Z15" s="8">
        <f ca="1">IF(OR(Z5="",Z$11&lt;$A15),"",Z5/OFFSET(OcupadosEPAESP!$A$80,MATCH(Z$12,OcupadosEPAESP!$A$80:$A$500)+$A15-1,1)-1)</f>
        <v>-9.394621425621752E-3</v>
      </c>
      <c r="AA15" s="8">
        <f ca="1">IF(OR(AA5="",AA$11&lt;$A15),"",AA5/OFFSET(OcupadosEPAESP!$A$80,MATCH(AA$12,OcupadosEPAESP!$A$80:$A$500)+$A15-1,1)-1)</f>
        <v>-1.5628870776597581E-2</v>
      </c>
      <c r="AB15" s="8">
        <f ca="1">IF(OR(AB5="",AB$11&lt;$A15),"",AB5/OFFSET(OcupadosEPAESP!$A$80,MATCH(AB$12,OcupadosEPAESP!$A$80:$A$500)+$A15-1,1)-1)</f>
        <v>4.4242810372585595E-4</v>
      </c>
      <c r="AC15" s="8">
        <f ca="1">IF(OR(AC5="",AC$11&lt;$A15),"",AC5/OFFSET(OcupadosEPAESP!$A$80,MATCH(AC$12,OcupadosEPAESP!$A$80:$A$500)+$A15-1,1)-1)</f>
        <v>3.9157668295697334E-3</v>
      </c>
      <c r="AD15" s="8">
        <f ca="1">IF(OR(AD5="",AD$11&lt;$A15),"",AD5/OFFSET(OcupadosEPAESP!$A$80,MATCH(AD$12,OcupadosEPAESP!$A$80:$A$500)+$A15-1,1)-1)</f>
        <v>8.2414685919007802E-3</v>
      </c>
      <c r="AE15" s="8">
        <f ca="1">IF(OR(AE5="",AE$11&lt;$A15),"",AE5/OFFSET(OcupadosEPAESP!$A$80,MATCH(AE$12,OcupadosEPAESP!$A$80:$A$500)+$A15-1,1)-1)</f>
        <v>3.5691576585066276E-3</v>
      </c>
      <c r="AF15" s="8">
        <f ca="1">IF(OR(AF5="",AF$11&lt;$A15),"",AF5/OFFSET(OcupadosEPAESP!$A$80,MATCH(AF$12,OcupadosEPAESP!$A$80:$A$500)+$A15-1,1)-1)</f>
        <v>4.0967885261753434E-2</v>
      </c>
      <c r="AG15" s="8">
        <f ca="1">IF(OR(AG5="",AG$11&lt;$A15),"",AG5/OFFSET(OcupadosEPAESP!$A$80,MATCH(AG$12,OcupadosEPAESP!$A$80:$A$500)+$A15-1,1)-1)</f>
        <v>1.5597366000675628E-2</v>
      </c>
      <c r="AH15" s="8">
        <f ca="1">IF(OR(AH5="",AH$11&lt;$A15),"",AH5/OFFSET(OcupadosEPAESP!$A$80,MATCH(AH$12,OcupadosEPAESP!$A$80:$A$500)+$A15-1,1)-1)</f>
        <v>3.480820075446811E-3</v>
      </c>
      <c r="AI15" s="8">
        <f ca="1">IF(OR(AI5="",AI$11&lt;$A15),"",AI5/OFFSET(OcupadosEPAESP!$A$80,MATCH(AI$12,OcupadosEPAESP!$A$80:$A$500)+$A15-1,1)-1)</f>
        <v>-8.3163677058255558E-3</v>
      </c>
      <c r="AJ15" s="8">
        <f ca="1">IF(OR(AJ5="",AJ$11&lt;$A15),"",AJ5/OFFSET(OcupadosEPAESP!$A$80,MATCH(AJ$12,OcupadosEPAESP!$A$80:$A$500)+$A15-1,1)-1)</f>
        <v>9.7567645580620699E-4</v>
      </c>
      <c r="AK15" s="8">
        <f ca="1">IF(OR(AK5="",AK$11&lt;$A15),"",AK5/OFFSET(OcupadosEPAESP!$A$80,MATCH(AK$12,OcupadosEPAESP!$A$80:$A$500)+$A15-1,1)-1)</f>
        <v>-1.0368919013397093E-3</v>
      </c>
      <c r="AL15" s="8">
        <f ca="1">IF(OR(AL5="",AL$11&lt;$A15),"",AL5/OFFSET(OcupadosEPAESP!$A$80,MATCH(AL$12,OcupadosEPAESP!$A$80:$A$500)+$A15-1,1)-1)</f>
        <v>-1.9650432256583028E-2</v>
      </c>
      <c r="AM15" s="8">
        <f ca="1">IF(OR(AM5="",AM$11&lt;$A15),"",AM5/OFFSET(OcupadosEPAESP!$A$80,MATCH(AM$12,OcupadosEPAESP!$A$80:$A$500)+$A15-1,1)-1)</f>
        <v>-2.984400580893809E-2</v>
      </c>
      <c r="AN15" s="8">
        <f ca="1">IF(OR(AN5="",AN$11&lt;$A15),"",AN5/OFFSET(OcupadosEPAESP!$A$80,MATCH(AN$12,OcupadosEPAESP!$A$80:$A$500)+$A15-1,1)-1)</f>
        <v>-1.2486440766016238E-2</v>
      </c>
      <c r="AO15" s="8">
        <f ca="1">IF(OR(AO5="",AO$11&lt;$A15),"",AO5/OFFSET(OcupadosEPAESP!$A$80,MATCH(AO$12,OcupadosEPAESP!$A$80:$A$500)+$A15-1,1)-1)</f>
        <v>-1.783731188511839E-2</v>
      </c>
      <c r="AP15" s="8">
        <f ca="1">IF(OR(AP5="",AP$11&lt;$A15),"",AP5/OFFSET(OcupadosEPAESP!$A$80,MATCH(AP$12,OcupadosEPAESP!$A$80:$A$500)+$A15-1,1)-1)</f>
        <v>-1.4401367176951063E-2</v>
      </c>
      <c r="AQ15" s="8">
        <f ca="1">IF(OR(AQ5="",AQ$11&lt;$A15),"",AQ5/OFFSET(OcupadosEPAESP!$A$80,MATCH(AQ$12,OcupadosEPAESP!$A$80:$A$500)+$A15-1,1)-1)</f>
        <v>-3.005924318951958E-2</v>
      </c>
      <c r="AR15" s="8">
        <f ca="1">IF(OR(AR5="",AR$11&lt;$A15),"",AR5/OFFSET(OcupadosEPAESP!$A$80,MATCH(AR$12,OcupadosEPAESP!$A$80:$A$500)+$A15-1,1)-1)</f>
        <v>3.0031535830403744E-3</v>
      </c>
      <c r="AS15" s="8">
        <f ca="1">IF(OR(AS5="",AS$11&lt;$A15),"",AS5/OFFSET(OcupadosEPAESP!$A$80,MATCH(AS$12,OcupadosEPAESP!$A$80:$A$500)+$A15-1,1)-1)</f>
        <v>-1.134617454228859E-2</v>
      </c>
      <c r="AT15" s="8">
        <f ca="1">IF(OR(AT5="",AT$11&lt;$A15),"",AT5/OFFSET(OcupadosEPAESP!$A$80,MATCH(AT$12,OcupadosEPAESP!$A$80:$A$500)+$A15-1,1)-1)</f>
        <v>6.1171312932355448E-3</v>
      </c>
      <c r="AU15" s="8">
        <f ca="1">IF(OR(AU5="",AU$11&lt;$A15),"",AU5/OFFSET(OcupadosEPAESP!$A$80,MATCH(AU$12,OcupadosEPAESP!$A$80:$A$500)+$A15-1,1)-1)</f>
        <v>-9.8259592646249283E-3</v>
      </c>
      <c r="AV15" s="8">
        <f ca="1">IF(OR(AV5="",AV$11&lt;$A15),"",AV5/OFFSET(OcupadosEPAESP!$A$80,MATCH(AV$12,OcupadosEPAESP!$A$80:$A$500)+$A15-1,1)-1)</f>
        <v>5.2091724061009703E-3</v>
      </c>
      <c r="AW15" s="8">
        <f ca="1">IF(OR(AW5="",AW$11&lt;$A15),"",AW5/OFFSET(OcupadosEPAESP!$A$80,MATCH(AW$12,OcupadosEPAESP!$A$80:$A$500)+$A15-1,1)-1)</f>
        <v>2.0046020897359629E-3</v>
      </c>
      <c r="AX15" s="8">
        <f ca="1">IF(OR(AX5="",AX$11&lt;$A15),"",AX5/OFFSET(OcupadosEPAESP!$A$80,MATCH(AX$12,OcupadosEPAESP!$A$80:$A$500)+$A15-1,1)-1)</f>
        <v>4.9342886574827993E-3</v>
      </c>
      <c r="AY15" s="8">
        <f ca="1">IF(OR(AY5="",AY$11&lt;$A15),"",AY5/OFFSET(OcupadosEPAESP!$A$80,MATCH(AY$12,OcupadosEPAESP!$A$80:$A$500)+$A15-1,1)-1)</f>
        <v>8.5085389002621525E-3</v>
      </c>
      <c r="AZ15" s="8">
        <f ca="1">IF(OR(AZ5="",AZ$11&lt;$A15),"",AZ5/OFFSET(OcupadosEPAESP!$A$80,MATCH(AZ$12,OcupadosEPAESP!$A$80:$A$500)+$A15-1,1)-1)</f>
        <v>-9.2966149043687274E-3</v>
      </c>
      <c r="BA15" s="8">
        <f ca="1">IF(OR(BA5="",BA$11&lt;$A15),"",BA5/OFFSET(OcupadosEPAESP!$A$80,MATCH(BA$12,OcupadosEPAESP!$A$80:$A$500)+$A15-1,1)-1)</f>
        <v>2.2715867786038402E-4</v>
      </c>
      <c r="BB15" s="8">
        <f ca="1">IF(OR(BB5="",BB$11&lt;$A15),"",BB5/OFFSET(OcupadosEPAESP!$A$80,MATCH(BB$12,OcupadosEPAESP!$A$80:$A$500)+$A15-1,1)-1)</f>
        <v>-8.0379912421838506E-3</v>
      </c>
      <c r="BC15" s="8">
        <f ca="1">IF(OR(BC5="",BC$11&lt;$A15),"",BC5/OFFSET(OcupadosEPAESP!$A$80,MATCH(BC$12,OcupadosEPAESP!$A$80:$A$500)+$A15-1,1)-1)</f>
        <v>-1.3613534699208341E-4</v>
      </c>
      <c r="BD15" s="8">
        <f ca="1">IF(OR(BD5="",BD$11&lt;$A15),"",BD5/OFFSET(OcupadosEPAESP!$A$80,MATCH(BD$12,OcupadosEPAESP!$A$80:$A$500)+$A15-1,1)-1)</f>
        <v>7.2933106533965564E-3</v>
      </c>
      <c r="BE15" s="8">
        <f ca="1">IF(OR(BE5="",BE$11&lt;$A15),"",BE5/OFFSET(OcupadosEPAESP!$A$80,MATCH(BE$12,OcupadosEPAESP!$A$80:$A$500)+$A15-1,1)-1)</f>
        <v>1.6669383761327428E-3</v>
      </c>
      <c r="BF15" s="8">
        <f ca="1">IF(OR(BF5="",BF$11&lt;$A15),"",BF5/OFFSET(OcupadosEPAESP!$A$80,MATCH(BF$12,OcupadosEPAESP!$A$80:$A$500)+$A15-1,1)-1)</f>
        <v>-7.1701608609091583E-3</v>
      </c>
      <c r="BG15" s="8">
        <f ca="1">IF(OR(BG5="",BG$11&lt;$A15),"",BG5/OFFSET(OcupadosEPAESP!$A$80,MATCH(BG$12,OcupadosEPAESP!$A$80:$A$500)+$A15-1,1)-1)</f>
        <v>-1.2547092877725596E-2</v>
      </c>
      <c r="BH15" s="8">
        <f ca="1">IF(OR(BH5="",BH$11&lt;$A15),"",BH5/OFFSET(OcupadosEPAESP!$A$80,MATCH(BH$12,OcupadosEPAESP!$A$80:$A$500)+$A15-1,1)-1)</f>
        <v>8.6216838921744365E-3</v>
      </c>
      <c r="BI15" s="8">
        <f ca="1">IF(OR(BI5="",BI$11&lt;$A15),"",BI5/OFFSET(OcupadosEPAESP!$A$80,MATCH(BI$12,OcupadosEPAESP!$A$80:$A$500)+$A15-1,1)-1)</f>
        <v>-1.2239255582320308E-3</v>
      </c>
      <c r="BJ15" s="8">
        <f ca="1">IF(OR(BJ5="",BJ$11&lt;$A15),"",BJ5/OFFSET(OcupadosEPAESP!$A$80,MATCH(BJ$12,OcupadosEPAESP!$A$80:$A$500)+$A15-1,1)-1)</f>
        <v>1.2316884552826757E-2</v>
      </c>
      <c r="BK15" s="8">
        <f ca="1">IF(OR(BK5="",BK$11&lt;$A15),"",BK5/OFFSET(OcupadosEPAESP!$A$80,MATCH(BK$12,OcupadosEPAESP!$A$80:$A$500)+$A15-1,1)-1)</f>
        <v>5.5228511047222817E-3</v>
      </c>
      <c r="BL15" s="8">
        <f ca="1">IF(OR(BL5="",BL$11&lt;$A15),"",BL5/OFFSET(OcupadosEPAESP!$A$80,MATCH(BL$12,OcupadosEPAESP!$A$80:$A$500)+$A15-1,1)-1)</f>
        <v>6.9256769481771396E-3</v>
      </c>
      <c r="BM15" s="8">
        <f ca="1">IF(OR(BM5="",BM$11&lt;$A15),"",BM5/OFFSET(OcupadosEPAESP!$A$80,MATCH(BM$12,OcupadosEPAESP!$A$80:$A$500)+$A15-1,1)-1)</f>
        <v>6.6929199232416581E-2</v>
      </c>
      <c r="BN15" s="8">
        <f ca="1">IF(OR(BN5="",BN$11&lt;$A15),"",BN5/OFFSET(OcupadosEPAESP!$A$80,MATCH(BN$12,OcupadosEPAESP!$A$80:$A$500)+$A15-1,1)-1)</f>
        <v>6.5797159660989868E-2</v>
      </c>
      <c r="BO15" s="8">
        <f ca="1">IF(OR(BO5="",BO$11&lt;$A15),"",BO5/OFFSET(OcupadosEPAESP!$A$80,MATCH(BO$12,OcupadosEPAESP!$A$80:$A$500)+$A15-1,1)-1)</f>
        <v>2.8934465401992071E-2</v>
      </c>
      <c r="BP15" s="8" t="str">
        <f ca="1">IF(OR(BP5="",BP$11&lt;$A15),"",BP5/OFFSET(OcupadosEPAESP!$A$80,MATCH(BP$12,OcupadosEPAESP!$A$80:$A$500)+$A15-1,1)-1)</f>
        <v/>
      </c>
      <c r="BQ15" s="8" t="str">
        <f ca="1">IF(OR(BQ5="",BQ$11&lt;$A15),"",BQ5/OFFSET(OcupadosEPAESP!$A$80,MATCH(BQ$12,OcupadosEPAESP!$A$80:$A$500)+$A15-1,1)-1)</f>
        <v/>
      </c>
      <c r="BR15" s="8" t="str">
        <f ca="1">IF(OR(BR5="",BR$11&lt;$A15),"",BR5/OFFSET(OcupadosEPAESP!$A$80,MATCH(BR$12,OcupadosEPAESP!$A$80:$A$500)+$A15-1,1)-1)</f>
        <v/>
      </c>
      <c r="BS15" s="8" t="str">
        <f ca="1">IF(OR(BS5="",BS$11&lt;$A15),"",BS5/OFFSET(OcupadosEPAESP!$A$80,MATCH(BS$12,OcupadosEPAESP!$A$80:$A$500)+$A15-1,1)-1)</f>
        <v/>
      </c>
      <c r="BT15" s="8" t="str">
        <f ca="1">IF(OR(BT5="",BT$11&lt;$A15),"",BT5/OFFSET(OcupadosEPAESP!$A$80,MATCH(BT$12,OcupadosEPAESP!$A$80:$A$500)+$A15-1,1)-1)</f>
        <v/>
      </c>
      <c r="BU15" s="8" t="str">
        <f ca="1">IF(OR(BU5="",BU$11&lt;$A15),"",BU5/OFFSET(OcupadosEPAESP!$A$80,MATCH(BU$12,OcupadosEPAESP!$A$80:$A$500)+$A15-1,1)-1)</f>
        <v/>
      </c>
      <c r="BV15" s="8" t="str">
        <f ca="1">IF(OR(BV5="",BV$11&lt;$A15),"",BV5/OFFSET(OcupadosEPAESP!$A$80,MATCH(BV$12,OcupadosEPAESP!$A$80:$A$500)+$A15-1,1)-1)</f>
        <v/>
      </c>
      <c r="BW15" s="8" t="str">
        <f ca="1">IF(OR(BW5="",BW$11&lt;$A15),"",BW5/OFFSET(OcupadosEPAESP!$A$80,MATCH(BW$12,OcupadosEPAESP!$A$80:$A$500)+$A15-1,1)-1)</f>
        <v/>
      </c>
      <c r="BX15" s="8" t="str">
        <f ca="1">IF(OR(BX5="",BX$11&lt;$A15),"",BX5/OFFSET(OcupadosEPAESP!$A$80,MATCH(BX$12,OcupadosEPAESP!$A$80:$A$500)+$A15-1,1)-1)</f>
        <v/>
      </c>
      <c r="BY15" s="8" t="str">
        <f ca="1">IF(OR(BY5="",BY$11&lt;$A15),"",BY5/OFFSET(OcupadosEPAESP!$A$80,MATCH(BY$12,OcupadosEPAESP!$A$80:$A$500)+$A15-1,1)-1)</f>
        <v/>
      </c>
      <c r="BZ15" s="8" t="str">
        <f ca="1">IF(OR(BZ5="",BZ$11&lt;$A15),"",BZ5/OFFSET(OcupadosEPAESP!$A$80,MATCH(BZ$12,OcupadosEPAESP!$A$80:$A$500)+$A15-1,1)-1)</f>
        <v/>
      </c>
      <c r="CA15" s="8" t="str">
        <f ca="1">IF(OR(CA5="",CA$11&lt;$A15),"",CA5/OFFSET(OcupadosEPAESP!$A$80,MATCH(CA$12,OcupadosEPAESP!$A$80:$A$500)+$A15-1,1)-1)</f>
        <v/>
      </c>
      <c r="CB15" s="8" t="str">
        <f ca="1">IF(OR(CB5="",CB$11&lt;$A15),"",CB5/OFFSET(OcupadosEPAESP!$A$80,MATCH(CB$12,OcupadosEPAESP!$A$80:$A$500)+$A15-1,1)-1)</f>
        <v/>
      </c>
      <c r="CC15" s="8" t="str">
        <f ca="1">IF(OR(CC5="",CC$11&lt;$A15),"",CC5/OFFSET(OcupadosEPAESP!$A$80,MATCH(CC$12,OcupadosEPAESP!$A$80:$A$500)+$A15-1,1)-1)</f>
        <v/>
      </c>
      <c r="CD15" s="8" t="str">
        <f ca="1">IF(OR(CD5="",CD$11&lt;$A15),"",CD5/OFFSET(OcupadosEPAESP!$A$80,MATCH(CD$12,OcupadosEPAESP!$A$80:$A$500)+$A15-1,1)-1)</f>
        <v/>
      </c>
      <c r="CE15" s="8" t="str">
        <f ca="1">IF(OR(CE5="",CE$11&lt;$A15),"",CE5/OFFSET(OcupadosEPAESP!$A$80,MATCH(CE$12,OcupadosEPAESP!$A$80:$A$500)+$A15-1,1)-1)</f>
        <v/>
      </c>
      <c r="CF15" s="8" t="str">
        <f ca="1">IF(OR(CF5="",CF$11&lt;$A15),"",CF5/OFFSET(OcupadosEPAESP!$A$80,MATCH(CF$12,OcupadosEPAESP!$A$80:$A$500)+$A15-1,1)-1)</f>
        <v/>
      </c>
      <c r="CG15" s="8" t="str">
        <f ca="1">IF(OR(CG5="",CG$11&lt;$A15),"",CG5/OFFSET(OcupadosEPAESP!$A$80,MATCH(CG$12,OcupadosEPAESP!$A$80:$A$500)+$A15-1,1)-1)</f>
        <v/>
      </c>
      <c r="CH15" s="8" t="str">
        <f ca="1">IF(OR(CH5="",CH$11&lt;$A15),"",CH5/OFFSET(OcupadosEPAESP!$A$80,MATCH(CH$12,OcupadosEPAESP!$A$80:$A$500)+$A15-1,1)-1)</f>
        <v/>
      </c>
      <c r="CI15" s="8" t="str">
        <f ca="1">IF(OR(CI5="",CI$11&lt;$A15),"",CI5/OFFSET(OcupadosEPAESP!$A$80,MATCH(CI$12,OcupadosEPAESP!$A$80:$A$500)+$A15-1,1)-1)</f>
        <v/>
      </c>
      <c r="CJ15" s="8" t="str">
        <f ca="1">IF(OR(CJ5="",CJ$11&lt;$A15),"",CJ5/OFFSET(OcupadosEPAESP!$A$80,MATCH(CJ$12,OcupadosEPAESP!$A$80:$A$500)+$A15-1,1)-1)</f>
        <v/>
      </c>
      <c r="CK15" s="8" t="str">
        <f ca="1">IF(OR(CK5="",CK$11&lt;$A15),"",CK5/OFFSET(OcupadosEPAESP!$A$80,MATCH(CK$12,OcupadosEPAESP!$A$80:$A$500)+$A15-1,1)-1)</f>
        <v/>
      </c>
      <c r="CL15" s="8" t="str">
        <f ca="1">IF(OR(CL5="",CL$11&lt;$A15),"",CL5/OFFSET(OcupadosEPAESP!$A$80,MATCH(CL$12,OcupadosEPAESP!$A$80:$A$500)+$A15-1,1)-1)</f>
        <v/>
      </c>
      <c r="CM15" s="8" t="str">
        <f ca="1">IF(OR(CM5="",CM$11&lt;$A15),"",CM5/OFFSET(OcupadosEPAESP!$A$80,MATCH(CM$12,OcupadosEPAESP!$A$80:$A$500)+$A15-1,1)-1)</f>
        <v/>
      </c>
      <c r="CN15" s="8" t="str">
        <f ca="1">IF(OR(CN5="",CN$11&lt;$A15),"",CN5/OFFSET(OcupadosEPAESP!$A$80,MATCH(CN$12,OcupadosEPAESP!$A$80:$A$500)+$A15-1,1)-1)</f>
        <v/>
      </c>
      <c r="CO15" s="8" t="str">
        <f ca="1">IF(OR(CO5="",CO$11&lt;$A15),"",CO5/OFFSET(OcupadosEPAESP!$A$80,MATCH(CO$12,OcupadosEPAESP!$A$80:$A$500)+$A15-1,1)-1)</f>
        <v/>
      </c>
      <c r="CP15" s="8" t="str">
        <f ca="1">IF(OR(CP5="",CP$11&lt;$A15),"",CP5/OFFSET(OcupadosEPAESP!$A$80,MATCH(CP$12,OcupadosEPAESP!$A$80:$A$500)+$A15-1,1)-1)</f>
        <v/>
      </c>
      <c r="CQ15" s="8" t="str">
        <f ca="1">IF(OR(CQ5="",CQ$11&lt;$A15),"",CQ5/OFFSET(OcupadosEPAESP!$A$80,MATCH(CQ$12,OcupadosEPAESP!$A$80:$A$500)+$A15-1,1)-1)</f>
        <v/>
      </c>
      <c r="CR15" s="8" t="str">
        <f ca="1">IF(OR(CR5="",CR$11&lt;$A15),"",CR5/OFFSET(OcupadosEPAESP!$A$80,MATCH(CR$12,OcupadosEPAESP!$A$80:$A$500)+$A15-1,1)-1)</f>
        <v/>
      </c>
      <c r="CS15" s="8" t="str">
        <f ca="1">IF(OR(CS5="",CS$11&lt;$A15),"",CS5/OFFSET(OcupadosEPAESP!$A$80,MATCH(CS$12,OcupadosEPAESP!$A$80:$A$500)+$A15-1,1)-1)</f>
        <v/>
      </c>
      <c r="CT15" s="8" t="str">
        <f ca="1">IF(OR(CT5="",CT$11&lt;$A15),"",CT5/OFFSET(OcupadosEPAESP!$A$80,MATCH(CT$12,OcupadosEPAESP!$A$80:$A$500)+$A15-1,1)-1)</f>
        <v/>
      </c>
      <c r="CU15" s="8" t="str">
        <f ca="1">IF(OR(CU5="",CU$11&lt;$A15),"",CU5/OFFSET(OcupadosEPAESP!$A$80,MATCH(CU$12,OcupadosEPAESP!$A$80:$A$500)+$A15-1,1)-1)</f>
        <v/>
      </c>
      <c r="CV15" s="8" t="str">
        <f ca="1">IF(OR(CV5="",CV$11&lt;$A15),"",CV5/OFFSET(OcupadosEPAESP!$A$80,MATCH(CV$12,OcupadosEPAESP!$A$80:$A$500)+$A15-1,1)-1)</f>
        <v/>
      </c>
      <c r="CW15" s="8" t="str">
        <f ca="1">IF(OR(CW5="",CW$11&lt;$A15),"",CW5/OFFSET(OcupadosEPAESP!$A$80,MATCH(CW$12,OcupadosEPAESP!$A$80:$A$500)+$A15-1,1)-1)</f>
        <v/>
      </c>
      <c r="CX15" s="8" t="str">
        <f ca="1">IF(OR(CX5="",CX$11&lt;$A15),"",CX5/OFFSET(OcupadosEPAESP!$A$80,MATCH(CX$12,OcupadosEPAESP!$A$80:$A$500)+$A15-1,1)-1)</f>
        <v/>
      </c>
      <c r="CY15" s="8" t="str">
        <f ca="1">IF(OR(CY5="",CY$11&lt;$A15),"",CY5/OFFSET(OcupadosEPAESP!$A$80,MATCH(CY$12,OcupadosEPAESP!$A$80:$A$500)+$A15-1,1)-1)</f>
        <v/>
      </c>
      <c r="CZ15" s="8" t="str">
        <f ca="1">IF(OR(CZ5="",CZ$11&lt;$A15),"",CZ5/OFFSET(OcupadosEPAESP!$A$80,MATCH(CZ$12,OcupadosEPAESP!$A$80:$A$500)+$A15-1,1)-1)</f>
        <v/>
      </c>
      <c r="DA15" s="8" t="str">
        <f ca="1">IF(OR(DA5="",DA$11&lt;$A15),"",DA5/OFFSET(OcupadosEPAESP!$A$80,MATCH(DA$12,OcupadosEPAESP!$A$80:$A$500)+$A15-1,1)-1)</f>
        <v/>
      </c>
      <c r="DB15" s="8" t="str">
        <f ca="1">IF(OR(DB5="",DB$11&lt;$A15),"",DB5/OFFSET(OcupadosEPAESP!$A$80,MATCH(DB$12,OcupadosEPAESP!$A$80:$A$500)+$A15-1,1)-1)</f>
        <v/>
      </c>
      <c r="DC15" s="8" t="str">
        <f ca="1">IF(OR(DC5="",DC$11&lt;$A15),"",DC5/OFFSET(OcupadosEPAESP!$A$80,MATCH(DC$12,OcupadosEPAESP!$A$80:$A$500)+$A15-1,1)-1)</f>
        <v/>
      </c>
      <c r="DD15" s="8" t="str">
        <f ca="1">IF(OR(DD5="",DD$11&lt;$A15),"",DD5/OFFSET(OcupadosEPAESP!$A$80,MATCH(DD$12,OcupadosEPAESP!$A$80:$A$500)+$A15-1,1)-1)</f>
        <v/>
      </c>
      <c r="DE15" s="8" t="str">
        <f ca="1">IF(OR(DE5="",DE$11&lt;$A15),"",DE5/OFFSET(OcupadosEPAESP!$A$80,MATCH(DE$12,OcupadosEPAESP!$A$80:$A$500)+$A15-1,1)-1)</f>
        <v/>
      </c>
      <c r="DF15" s="8" t="str">
        <f ca="1">IF(OR(DF5="",DF$11&lt;$A15),"",DF5/OFFSET(OcupadosEPAESP!$A$80,MATCH(DF$12,OcupadosEPAESP!$A$80:$A$500)+$A15-1,1)-1)</f>
        <v/>
      </c>
      <c r="DG15" s="8" t="str">
        <f ca="1">IF(OR(DG5="",DG$11&lt;$A15),"",DG5/OFFSET(OcupadosEPAESP!$A$80,MATCH(DG$12,OcupadosEPAESP!$A$80:$A$500)+$A15-1,1)-1)</f>
        <v/>
      </c>
      <c r="DH15" s="8" t="str">
        <f ca="1">IF(OR(DH5="",DH$11&lt;$A15),"",DH5/OFFSET(OcupadosEPAESP!$A$80,MATCH(DH$12,OcupadosEPAESP!$A$80:$A$500)+$A15-1,1)-1)</f>
        <v/>
      </c>
      <c r="DI15" s="8" t="str">
        <f ca="1">IF(OR(DI5="",DI$11&lt;$A15),"",DI5/OFFSET(OcupadosEPAESP!$A$80,MATCH(DI$12,OcupadosEPAESP!$A$80:$A$500)+$A15-1,1)-1)</f>
        <v/>
      </c>
      <c r="DJ15" s="8" t="str">
        <f ca="1">IF(OR(DJ5="",DJ$11&lt;$A15),"",DJ5/OFFSET(OcupadosEPAESP!$A$80,MATCH(DJ$12,OcupadosEPAESP!$A$80:$A$500)+$A15-1,1)-1)</f>
        <v/>
      </c>
      <c r="DK15" s="8" t="str">
        <f ca="1">IF(OR(DK5="",DK$11&lt;$A15),"",DK5/OFFSET(OcupadosEPAESP!$A$80,MATCH(DK$12,OcupadosEPAESP!$A$80:$A$500)+$A15-1,1)-1)</f>
        <v/>
      </c>
      <c r="DL15" s="8" t="str">
        <f ca="1">IF(OR(DL5="",DL$11&lt;$A15),"",DL5/OFFSET(OcupadosEPAESP!$A$80,MATCH(DL$12,OcupadosEPAESP!$A$80:$A$500)+$A15-1,1)-1)</f>
        <v/>
      </c>
      <c r="DM15" s="8" t="str">
        <f ca="1">IF(OR(DM5="",DM$11&lt;$A15),"",DM5/OFFSET(OcupadosEPAESP!$A$80,MATCH(DM$12,OcupadosEPAESP!$A$80:$A$500)+$A15-1,1)-1)</f>
        <v/>
      </c>
      <c r="DN15" s="8" t="str">
        <f ca="1">IF(OR(DN5="",DN$11&lt;$A15),"",DN5/OFFSET(OcupadosEPAESP!$A$80,MATCH(DN$12,OcupadosEPAESP!$A$80:$A$500)+$A15-1,1)-1)</f>
        <v/>
      </c>
      <c r="DO15" s="8" t="str">
        <f ca="1">IF(OR(DO5="",DO$11&lt;$A15),"",DO5/OFFSET(OcupadosEPAESP!$A$80,MATCH(DO$12,OcupadosEPAESP!$A$80:$A$500)+$A15-1,1)-1)</f>
        <v/>
      </c>
      <c r="DP15" s="8" t="str">
        <f ca="1">IF(OR(DP5="",DP$11&lt;$A15),"",DP5/OFFSET(OcupadosEPAESP!$A$80,MATCH(DP$12,OcupadosEPAESP!$A$80:$A$500)+$A15-1,1)-1)</f>
        <v/>
      </c>
      <c r="DQ15" s="8" t="str">
        <f ca="1">IF(OR(DQ5="",DQ$11&lt;$A15),"",DQ5/OFFSET(OcupadosEPAESP!$A$80,MATCH(DQ$12,OcupadosEPAESP!$A$80:$A$500)+$A15-1,1)-1)</f>
        <v/>
      </c>
      <c r="DR15" s="8" t="str">
        <f ca="1">IF(OR(DR5="",DR$11&lt;$A15),"",DR5/OFFSET(OcupadosEPAESP!$A$80,MATCH(DR$12,OcupadosEPAESP!$A$80:$A$500)+$A15-1,1)-1)</f>
        <v/>
      </c>
      <c r="DS15" s="12">
        <f t="shared" ca="1" si="51"/>
        <v>2.4068893795406309E-3</v>
      </c>
      <c r="DT15" s="12">
        <f t="shared" ca="1" si="52"/>
        <v>1.6669383761327428E-3</v>
      </c>
      <c r="DU15" s="13">
        <f t="shared" ca="1" si="53"/>
        <v>4.5087006469135603E-4</v>
      </c>
      <c r="DV15" s="15">
        <f t="shared" ca="1" si="56"/>
        <v>2.1233701153858128E-2</v>
      </c>
      <c r="DW15" s="14" t="str">
        <f t="shared" ca="1" si="54"/>
        <v>[ -4,01% ; 4,49% ]</v>
      </c>
      <c r="DX15" s="15">
        <f t="shared" ca="1" si="55"/>
        <v>2.7179137476938404E-2</v>
      </c>
      <c r="GI15" s="1"/>
    </row>
    <row r="16" spans="1:191" x14ac:dyDescent="0.25">
      <c r="A16" s="4">
        <v>4</v>
      </c>
      <c r="B16" s="8">
        <f ca="1">IF(OR(B6="",B$11&lt;$A16),"",B6/OFFSET(OcupadosEPAESP!$A$80,MATCH(B$12,OcupadosEPAESP!$A$80:$A$500)+$A16-1,1)-1)</f>
        <v>-2.6939075650214139E-3</v>
      </c>
      <c r="C16" s="8">
        <f ca="1">IF(OR(C6="",C$11&lt;$A16),"",C6/OFFSET(OcupadosEPAESP!$A$80,MATCH(C$12,OcupadosEPAESP!$A$80:$A$500)+$A16-1,1)-1)</f>
        <v>-2.30471309746757E-2</v>
      </c>
      <c r="D16" s="8">
        <f ca="1">IF(OR(D6="",D$11&lt;$A16),"",D6/OFFSET(OcupadosEPAESP!$A$80,MATCH(D$12,OcupadosEPAESP!$A$80:$A$500)+$A16-1,1)-1)</f>
        <v>-3.0651093569661447E-2</v>
      </c>
      <c r="E16" s="8">
        <f ca="1">IF(OR(E6="",E$11&lt;$A16),"",E6/OFFSET(OcupadosEPAESP!$A$80,MATCH(E$12,OcupadosEPAESP!$A$80:$A$500)+$A16-1,1)-1)</f>
        <v>-2.1403792459937954E-2</v>
      </c>
      <c r="F16" s="8">
        <f ca="1">IF(OR(F6="",F$11&lt;$A16),"",F6/OFFSET(OcupadosEPAESP!$A$80,MATCH(F$12,OcupadosEPAESP!$A$80:$A$500)+$A16-1,1)-1)</f>
        <v>-5.426479814332863E-3</v>
      </c>
      <c r="G16" s="8">
        <f ca="1">IF(OR(G6="",G$11&lt;$A16),"",G6/OFFSET(OcupadosEPAESP!$A$80,MATCH(G$12,OcupadosEPAESP!$A$80:$A$500)+$A16-1,1)-1)</f>
        <v>1.2619095103251432E-2</v>
      </c>
      <c r="H16" s="8">
        <f ca="1">IF(OR(H6="",H$11&lt;$A16),"",H6/OFFSET(OcupadosEPAESP!$A$80,MATCH(H$12,OcupadosEPAESP!$A$80:$A$500)+$A16-1,1)-1)</f>
        <v>2.2377246272675233E-2</v>
      </c>
      <c r="I16" s="8">
        <f ca="1">IF(OR(I6="",I$11&lt;$A16),"",I6/OFFSET(OcupadosEPAESP!$A$80,MATCH(I$12,OcupadosEPAESP!$A$80:$A$500)+$A16-1,1)-1)</f>
        <v>1.5304397239920942E-2</v>
      </c>
      <c r="J16" s="8">
        <f ca="1">IF(OR(J6="",J$11&lt;$A16),"",J6/OFFSET(OcupadosEPAESP!$A$80,MATCH(J$12,OcupadosEPAESP!$A$80:$A$500)+$A16-1,1)-1)</f>
        <v>4.130917077160845E-3</v>
      </c>
      <c r="K16" s="8">
        <f ca="1">IF(OR(K6="",K$11&lt;$A16),"",K6/OFFSET(OcupadosEPAESP!$A$80,MATCH(K$12,OcupadosEPAESP!$A$80:$A$500)+$A16-1,1)-1)</f>
        <v>-1.9760801411068396E-3</v>
      </c>
      <c r="L16" s="8">
        <f ca="1">IF(OR(L6="",L$11&lt;$A16),"",L6/OFFSET(OcupadosEPAESP!$A$80,MATCH(L$12,OcupadosEPAESP!$A$80:$A$500)+$A16-1,1)-1)</f>
        <v>2.7140823117732804E-3</v>
      </c>
      <c r="M16" s="8">
        <f ca="1">IF(OR(M6="",M$11&lt;$A16),"",M6/OFFSET(OcupadosEPAESP!$A$80,MATCH(M$12,OcupadosEPAESP!$A$80:$A$500)+$A16-1,1)-1)</f>
        <v>3.8505367155239334E-4</v>
      </c>
      <c r="N16" s="8">
        <f ca="1">IF(OR(N6="",N$11&lt;$A16),"",N6/OFFSET(OcupadosEPAESP!$A$80,MATCH(N$12,OcupadosEPAESP!$A$80:$A$500)+$A16-1,1)-1)</f>
        <v>8.5761187099848701E-3</v>
      </c>
      <c r="O16" s="8">
        <f ca="1">IF(OR(O6="",O$11&lt;$A16),"",O6/OFFSET(OcupadosEPAESP!$A$80,MATCH(O$12,OcupadosEPAESP!$A$80:$A$500)+$A16-1,1)-1)</f>
        <v>1.436706331590365E-2</v>
      </c>
      <c r="P16" s="8">
        <f ca="1">IF(OR(P6="",P$11&lt;$A16),"",P6/OFFSET(OcupadosEPAESP!$A$80,MATCH(P$12,OcupadosEPAESP!$A$80:$A$500)+$A16-1,1)-1)</f>
        <v>3.1210503828123404E-2</v>
      </c>
      <c r="Q16" s="8">
        <f ca="1">IF(OR(Q6="",Q$11&lt;$A16),"",Q6/OFFSET(OcupadosEPAESP!$A$80,MATCH(Q$12,OcupadosEPAESP!$A$80:$A$500)+$A16-1,1)-1)</f>
        <v>3.8925540011177207E-2</v>
      </c>
      <c r="R16" s="8">
        <f ca="1">IF(OR(R6="",R$11&lt;$A16),"",R6/OFFSET(OcupadosEPAESP!$A$80,MATCH(R$12,OcupadosEPAESP!$A$80:$A$500)+$A16-1,1)-1)</f>
        <v>5.289687760191919E-2</v>
      </c>
      <c r="S16" s="8">
        <f ca="1">IF(OR(S6="",S$11&lt;$A16),"",S6/OFFSET(OcupadosEPAESP!$A$80,MATCH(S$12,OcupadosEPAESP!$A$80:$A$500)+$A16-1,1)-1)</f>
        <v>7.8517941026308824E-2</v>
      </c>
      <c r="T16" s="8">
        <f ca="1">IF(OR(T6="",T$11&lt;$A16),"",T6/OFFSET(OcupadosEPAESP!$A$80,MATCH(T$12,OcupadosEPAESP!$A$80:$A$500)+$A16-1,1)-1)</f>
        <v>7.286763704253385E-2</v>
      </c>
      <c r="U16" s="8">
        <f ca="1">IF(OR(U6="",U$11&lt;$A16),"",U6/OFFSET(OcupadosEPAESP!$A$80,MATCH(U$12,OcupadosEPAESP!$A$80:$A$500)+$A16-1,1)-1)</f>
        <v>6.1466259837443582E-2</v>
      </c>
      <c r="V16" s="8">
        <f ca="1">IF(OR(V6="",V$11&lt;$A16),"",V6/OFFSET(OcupadosEPAESP!$A$80,MATCH(V$12,OcupadosEPAESP!$A$80:$A$500)+$A16-1,1)-1)</f>
        <v>1.5292407091647142E-3</v>
      </c>
      <c r="W16" s="8">
        <f ca="1">IF(OR(W6="",W$11&lt;$A16),"",W6/OFFSET(OcupadosEPAESP!$A$80,MATCH(W$12,OcupadosEPAESP!$A$80:$A$500)+$A16-1,1)-1)</f>
        <v>-0.10550372337221836</v>
      </c>
      <c r="X16" s="8">
        <f ca="1">IF(OR(X6="",X$11&lt;$A16),"",X6/OFFSET(OcupadosEPAESP!$A$80,MATCH(X$12,OcupadosEPAESP!$A$80:$A$500)+$A16-1,1)-1)</f>
        <v>-5.3285781858495751E-2</v>
      </c>
      <c r="Y16" s="8">
        <f ca="1">IF(OR(Y6="",Y$11&lt;$A16),"",Y6/OFFSET(OcupadosEPAESP!$A$80,MATCH(Y$12,OcupadosEPAESP!$A$80:$A$500)+$A16-1,1)-1)</f>
        <v>-1.5761654276636006E-2</v>
      </c>
      <c r="Z16" s="8">
        <f ca="1">IF(OR(Z6="",Z$11&lt;$A16),"",Z6/OFFSET(OcupadosEPAESP!$A$80,MATCH(Z$12,OcupadosEPAESP!$A$80:$A$500)+$A16-1,1)-1)</f>
        <v>-1.1043276533281188E-2</v>
      </c>
      <c r="AA16" s="8">
        <f ca="1">IF(OR(AA6="",AA$11&lt;$A16),"",AA6/OFFSET(OcupadosEPAESP!$A$80,MATCH(AA$12,OcupadosEPAESP!$A$80:$A$500)+$A16-1,1)-1)</f>
        <v>-1.2568312227272949E-2</v>
      </c>
      <c r="AB16" s="8">
        <f ca="1">IF(OR(AB6="",AB$11&lt;$A16),"",AB6/OFFSET(OcupadosEPAESP!$A$80,MATCH(AB$12,OcupadosEPAESP!$A$80:$A$500)+$A16-1,1)-1)</f>
        <v>-4.2315640688701528E-3</v>
      </c>
      <c r="AC16" s="8">
        <f ca="1">IF(OR(AC6="",AC$11&lt;$A16),"",AC6/OFFSET(OcupadosEPAESP!$A$80,MATCH(AC$12,OcupadosEPAESP!$A$80:$A$500)+$A16-1,1)-1)</f>
        <v>1.3985156310453606E-2</v>
      </c>
      <c r="AD16" s="8">
        <f ca="1">IF(OR(AD6="",AD$11&lt;$A16),"",AD6/OFFSET(OcupadosEPAESP!$A$80,MATCH(AD$12,OcupadosEPAESP!$A$80:$A$500)+$A16-1,1)-1)</f>
        <v>2.1004120966773732E-2</v>
      </c>
      <c r="AE16" s="8">
        <f ca="1">IF(OR(AE6="",AE$11&lt;$A16),"",AE6/OFFSET(OcupadosEPAESP!$A$80,MATCH(AE$12,OcupadosEPAESP!$A$80:$A$500)+$A16-1,1)-1)</f>
        <v>1.6260316454706825E-2</v>
      </c>
      <c r="AF16" s="8">
        <f ca="1">IF(OR(AF6="",AF$11&lt;$A16),"",AF6/OFFSET(OcupadosEPAESP!$A$80,MATCH(AF$12,OcupadosEPAESP!$A$80:$A$500)+$A16-1,1)-1)</f>
        <v>5.0746696238436861E-2</v>
      </c>
      <c r="AG16" s="8">
        <f ca="1">IF(OR(AG6="",AG$11&lt;$A16),"",AG6/OFFSET(OcupadosEPAESP!$A$80,MATCH(AG$12,OcupadosEPAESP!$A$80:$A$500)+$A16-1,1)-1)</f>
        <v>1.7954315552839439E-2</v>
      </c>
      <c r="AH16" s="8">
        <f ca="1">IF(OR(AH6="",AH$11&lt;$A16),"",AH6/OFFSET(OcupadosEPAESP!$A$80,MATCH(AH$12,OcupadosEPAESP!$A$80:$A$500)+$A16-1,1)-1)</f>
        <v>6.2524731270476863E-3</v>
      </c>
      <c r="AI16" s="8">
        <f ca="1">IF(OR(AI6="",AI$11&lt;$A16),"",AI6/OFFSET(OcupadosEPAESP!$A$80,MATCH(AI$12,OcupadosEPAESP!$A$80:$A$500)+$A16-1,1)-1)</f>
        <v>-5.4917364844997429E-3</v>
      </c>
      <c r="AJ16" s="8">
        <f ca="1">IF(OR(AJ6="",AJ$11&lt;$A16),"",AJ6/OFFSET(OcupadosEPAESP!$A$80,MATCH(AJ$12,OcupadosEPAESP!$A$80:$A$500)+$A16-1,1)-1)</f>
        <v>-6.6563268276829124E-3</v>
      </c>
      <c r="AK16" s="8">
        <f ca="1">IF(OR(AK6="",AK$11&lt;$A16),"",AK6/OFFSET(OcupadosEPAESP!$A$80,MATCH(AK$12,OcupadosEPAESP!$A$80:$A$500)+$A16-1,1)-1)</f>
        <v>-8.4746134616044966E-3</v>
      </c>
      <c r="AL16" s="8">
        <f ca="1">IF(OR(AL6="",AL$11&lt;$A16),"",AL6/OFFSET(OcupadosEPAESP!$A$80,MATCH(AL$12,OcupadosEPAESP!$A$80:$A$500)+$A16-1,1)-1)</f>
        <v>-2.8658119135232196E-2</v>
      </c>
      <c r="AM16" s="8">
        <f ca="1">IF(OR(AM6="",AM$11&lt;$A16),"",AM6/OFFSET(OcupadosEPAESP!$A$80,MATCH(AM$12,OcupadosEPAESP!$A$80:$A$500)+$A16-1,1)-1)</f>
        <v>-3.6142918826184145E-2</v>
      </c>
      <c r="AN16" s="8">
        <f ca="1">IF(OR(AN6="",AN$11&lt;$A16),"",AN6/OFFSET(OcupadosEPAESP!$A$80,MATCH(AN$12,OcupadosEPAESP!$A$80:$A$500)+$A16-1,1)-1)</f>
        <v>-2.9137210100730782E-2</v>
      </c>
      <c r="AO16" s="8">
        <f ca="1">IF(OR(AO6="",AO$11&lt;$A16),"",AO6/OFFSET(OcupadosEPAESP!$A$80,MATCH(AO$12,OcupadosEPAESP!$A$80:$A$500)+$A16-1,1)-1)</f>
        <v>-2.4595218594705925E-2</v>
      </c>
      <c r="AP16" s="8">
        <f ca="1">IF(OR(AP6="",AP$11&lt;$A16),"",AP6/OFFSET(OcupadosEPAESP!$A$80,MATCH(AP$12,OcupadosEPAESP!$A$80:$A$500)+$A16-1,1)-1)</f>
        <v>-2.4441657492632718E-2</v>
      </c>
      <c r="AQ16" s="8">
        <f ca="1">IF(OR(AQ6="",AQ$11&lt;$A16),"",AQ6/OFFSET(OcupadosEPAESP!$A$80,MATCH(AQ$12,OcupadosEPAESP!$A$80:$A$500)+$A16-1,1)-1)</f>
        <v>-3.5344045323391637E-2</v>
      </c>
      <c r="AR16" s="8">
        <f ca="1">IF(OR(AR6="",AR$11&lt;$A16),"",AR6/OFFSET(OcupadosEPAESP!$A$80,MATCH(AR$12,OcupadosEPAESP!$A$80:$A$500)+$A16-1,1)-1)</f>
        <v>-3.07156240800599E-3</v>
      </c>
      <c r="AS16" s="8">
        <f ca="1">IF(OR(AS6="",AS$11&lt;$A16),"",AS6/OFFSET(OcupadosEPAESP!$A$80,MATCH(AS$12,OcupadosEPAESP!$A$80:$A$500)+$A16-1,1)-1)</f>
        <v>-1.500784557504542E-2</v>
      </c>
      <c r="AT16" s="8">
        <f ca="1">IF(OR(AT6="",AT$11&lt;$A16),"",AT6/OFFSET(OcupadosEPAESP!$A$80,MATCH(AT$12,OcupadosEPAESP!$A$80:$A$500)+$A16-1,1)-1)</f>
        <v>4.2151654557056606E-3</v>
      </c>
      <c r="AU16" s="8">
        <f ca="1">IF(OR(AU6="",AU$11&lt;$A16),"",AU6/OFFSET(OcupadosEPAESP!$A$80,MATCH(AU$12,OcupadosEPAESP!$A$80:$A$500)+$A16-1,1)-1)</f>
        <v>-1.348863792718269E-2</v>
      </c>
      <c r="AV16" s="8">
        <f ca="1">IF(OR(AV6="",AV$11&lt;$A16),"",AV6/OFFSET(OcupadosEPAESP!$A$80,MATCH(AV$12,OcupadosEPAESP!$A$80:$A$500)+$A16-1,1)-1)</f>
        <v>6.0319473705185978E-3</v>
      </c>
      <c r="AW16" s="8">
        <f ca="1">IF(OR(AW6="",AW$11&lt;$A16),"",AW6/OFFSET(OcupadosEPAESP!$A$80,MATCH(AW$12,OcupadosEPAESP!$A$80:$A$500)+$A16-1,1)-1)</f>
        <v>-2.8890593236149398E-3</v>
      </c>
      <c r="AX16" s="8">
        <f ca="1">IF(OR(AX6="",AX$11&lt;$A16),"",AX6/OFFSET(OcupadosEPAESP!$A$80,MATCH(AX$12,OcupadosEPAESP!$A$80:$A$500)+$A16-1,1)-1)</f>
        <v>6.3686168304961654E-3</v>
      </c>
      <c r="AY16" s="8">
        <f ca="1">IF(OR(AY6="",AY$11&lt;$A16),"",AY6/OFFSET(OcupadosEPAESP!$A$80,MATCH(AY$12,OcupadosEPAESP!$A$80:$A$500)+$A16-1,1)-1)</f>
        <v>6.0252832468794537E-3</v>
      </c>
      <c r="AZ16" s="8">
        <f ca="1">IF(OR(AZ6="",AZ$11&lt;$A16),"",AZ6/OFFSET(OcupadosEPAESP!$A$80,MATCH(AZ$12,OcupadosEPAESP!$A$80:$A$500)+$A16-1,1)-1)</f>
        <v>-1.3574453538573339E-2</v>
      </c>
      <c r="BA16" s="8">
        <f ca="1">IF(OR(BA6="",BA$11&lt;$A16),"",BA6/OFFSET(OcupadosEPAESP!$A$80,MATCH(BA$12,OcupadosEPAESP!$A$80:$A$500)+$A16-1,1)-1)</f>
        <v>-4.6322381579552152E-3</v>
      </c>
      <c r="BB16" s="8">
        <f ca="1">IF(OR(BB6="",BB$11&lt;$A16),"",BB6/OFFSET(OcupadosEPAESP!$A$80,MATCH(BB$12,OcupadosEPAESP!$A$80:$A$500)+$A16-1,1)-1)</f>
        <v>-7.5214387626286738E-3</v>
      </c>
      <c r="BC16" s="8">
        <f ca="1">IF(OR(BC6="",BC$11&lt;$A16),"",BC6/OFFSET(OcupadosEPAESP!$A$80,MATCH(BC$12,OcupadosEPAESP!$A$80:$A$500)+$A16-1,1)-1)</f>
        <v>2.5751597032830364E-3</v>
      </c>
      <c r="BD16" s="8">
        <f ca="1">IF(OR(BD6="",BD$11&lt;$A16),"",BD6/OFFSET(OcupadosEPAESP!$A$80,MATCH(BD$12,OcupadosEPAESP!$A$80:$A$500)+$A16-1,1)-1)</f>
        <v>-2.2953254520767796E-3</v>
      </c>
      <c r="BE16" s="8">
        <f ca="1">IF(OR(BE6="",BE$11&lt;$A16),"",BE6/OFFSET(OcupadosEPAESP!$A$80,MATCH(BE$12,OcupadosEPAESP!$A$80:$A$500)+$A16-1,1)-1)</f>
        <v>9.4416297727883958E-4</v>
      </c>
      <c r="BF16" s="8">
        <f ca="1">IF(OR(BF6="",BF$11&lt;$A16),"",BF6/OFFSET(OcupadosEPAESP!$A$80,MATCH(BF$12,OcupadosEPAESP!$A$80:$A$500)+$A16-1,1)-1)</f>
        <v>-1.0951582890337153E-2</v>
      </c>
      <c r="BG16" s="8">
        <f ca="1">IF(OR(BG6="",BG$11&lt;$A16),"",BG6/OFFSET(OcupadosEPAESP!$A$80,MATCH(BG$12,OcupadosEPAESP!$A$80:$A$500)+$A16-1,1)-1)</f>
        <v>-1.403541949962861E-2</v>
      </c>
      <c r="BH16" s="8">
        <f ca="1">IF(OR(BH6="",BH$11&lt;$A16),"",BH6/OFFSET(OcupadosEPAESP!$A$80,MATCH(BH$12,OcupadosEPAESP!$A$80:$A$500)+$A16-1,1)-1)</f>
        <v>1.0007754658195367E-2</v>
      </c>
      <c r="BI16" s="8">
        <f ca="1">IF(OR(BI6="",BI$11&lt;$A16),"",BI6/OFFSET(OcupadosEPAESP!$A$80,MATCH(BI$12,OcupadosEPAESP!$A$80:$A$500)+$A16-1,1)-1)</f>
        <v>2.0810180802512956E-3</v>
      </c>
      <c r="BJ16" s="8">
        <f ca="1">IF(OR(BJ6="",BJ$11&lt;$A16),"",BJ6/OFFSET(OcupadosEPAESP!$A$80,MATCH(BJ$12,OcupadosEPAESP!$A$80:$A$500)+$A16-1,1)-1)</f>
        <v>7.9657819371892202E-3</v>
      </c>
      <c r="BK16" s="8">
        <f ca="1">IF(OR(BK6="",BK$11&lt;$A16),"",BK6/OFFSET(OcupadosEPAESP!$A$80,MATCH(BK$12,OcupadosEPAESP!$A$80:$A$500)+$A16-1,1)-1)</f>
        <v>1.5414482383955708E-2</v>
      </c>
      <c r="BL16" s="8">
        <f ca="1">IF(OR(BL6="",BL$11&lt;$A16),"",BL6/OFFSET(OcupadosEPAESP!$A$80,MATCH(BL$12,OcupadosEPAESP!$A$80:$A$500)+$A16-1,1)-1)</f>
        <v>8.3939044199830448E-2</v>
      </c>
      <c r="BM16" s="8">
        <f ca="1">IF(OR(BM6="",BM$11&lt;$A16),"",BM6/OFFSET(OcupadosEPAESP!$A$80,MATCH(BM$12,OcupadosEPAESP!$A$80:$A$500)+$A16-1,1)-1)</f>
        <v>3.9233303652018714E-2</v>
      </c>
      <c r="BN16" s="8">
        <f ca="1">IF(OR(BN6="",BN$11&lt;$A16),"",BN6/OFFSET(OcupadosEPAESP!$A$80,MATCH(BN$12,OcupadosEPAESP!$A$80:$A$500)+$A16-1,1)-1)</f>
        <v>5.8134040327100012E-2</v>
      </c>
      <c r="BO16" s="8" t="str">
        <f ca="1">IF(OR(BO6="",BO$11&lt;$A16),"",BO6/OFFSET(OcupadosEPAESP!$A$80,MATCH(BO$12,OcupadosEPAESP!$A$80:$A$500)+$A16-1,1)-1)</f>
        <v/>
      </c>
      <c r="BP16" s="8" t="str">
        <f ca="1">IF(OR(BP6="",BP$11&lt;$A16),"",BP6/OFFSET(OcupadosEPAESP!$A$80,MATCH(BP$12,OcupadosEPAESP!$A$80:$A$500)+$A16-1,1)-1)</f>
        <v/>
      </c>
      <c r="BQ16" s="8" t="str">
        <f ca="1">IF(OR(BQ6="",BQ$11&lt;$A16),"",BQ6/OFFSET(OcupadosEPAESP!$A$80,MATCH(BQ$12,OcupadosEPAESP!$A$80:$A$500)+$A16-1,1)-1)</f>
        <v/>
      </c>
      <c r="BR16" s="8" t="str">
        <f ca="1">IF(OR(BR6="",BR$11&lt;$A16),"",BR6/OFFSET(OcupadosEPAESP!$A$80,MATCH(BR$12,OcupadosEPAESP!$A$80:$A$500)+$A16-1,1)-1)</f>
        <v/>
      </c>
      <c r="BS16" s="8" t="str">
        <f ca="1">IF(OR(BS6="",BS$11&lt;$A16),"",BS6/OFFSET(OcupadosEPAESP!$A$80,MATCH(BS$12,OcupadosEPAESP!$A$80:$A$500)+$A16-1,1)-1)</f>
        <v/>
      </c>
      <c r="BT16" s="8" t="str">
        <f ca="1">IF(OR(BT6="",BT$11&lt;$A16),"",BT6/OFFSET(OcupadosEPAESP!$A$80,MATCH(BT$12,OcupadosEPAESP!$A$80:$A$500)+$A16-1,1)-1)</f>
        <v/>
      </c>
      <c r="BU16" s="8" t="str">
        <f ca="1">IF(OR(BU6="",BU$11&lt;$A16),"",BU6/OFFSET(OcupadosEPAESP!$A$80,MATCH(BU$12,OcupadosEPAESP!$A$80:$A$500)+$A16-1,1)-1)</f>
        <v/>
      </c>
      <c r="BV16" s="8" t="str">
        <f ca="1">IF(OR(BV6="",BV$11&lt;$A16),"",BV6/OFFSET(OcupadosEPAESP!$A$80,MATCH(BV$12,OcupadosEPAESP!$A$80:$A$500)+$A16-1,1)-1)</f>
        <v/>
      </c>
      <c r="BW16" s="8" t="str">
        <f ca="1">IF(OR(BW6="",BW$11&lt;$A16),"",BW6/OFFSET(OcupadosEPAESP!$A$80,MATCH(BW$12,OcupadosEPAESP!$A$80:$A$500)+$A16-1,1)-1)</f>
        <v/>
      </c>
      <c r="BX16" s="8" t="str">
        <f ca="1">IF(OR(BX6="",BX$11&lt;$A16),"",BX6/OFFSET(OcupadosEPAESP!$A$80,MATCH(BX$12,OcupadosEPAESP!$A$80:$A$500)+$A16-1,1)-1)</f>
        <v/>
      </c>
      <c r="BY16" s="8" t="str">
        <f ca="1">IF(OR(BY6="",BY$11&lt;$A16),"",BY6/OFFSET(OcupadosEPAESP!$A$80,MATCH(BY$12,OcupadosEPAESP!$A$80:$A$500)+$A16-1,1)-1)</f>
        <v/>
      </c>
      <c r="BZ16" s="8" t="str">
        <f ca="1">IF(OR(BZ6="",BZ$11&lt;$A16),"",BZ6/OFFSET(OcupadosEPAESP!$A$80,MATCH(BZ$12,OcupadosEPAESP!$A$80:$A$500)+$A16-1,1)-1)</f>
        <v/>
      </c>
      <c r="CA16" s="8" t="str">
        <f ca="1">IF(OR(CA6="",CA$11&lt;$A16),"",CA6/OFFSET(OcupadosEPAESP!$A$80,MATCH(CA$12,OcupadosEPAESP!$A$80:$A$500)+$A16-1,1)-1)</f>
        <v/>
      </c>
      <c r="CB16" s="8" t="str">
        <f ca="1">IF(OR(CB6="",CB$11&lt;$A16),"",CB6/OFFSET(OcupadosEPAESP!$A$80,MATCH(CB$12,OcupadosEPAESP!$A$80:$A$500)+$A16-1,1)-1)</f>
        <v/>
      </c>
      <c r="CC16" s="8" t="str">
        <f ca="1">IF(OR(CC6="",CC$11&lt;$A16),"",CC6/OFFSET(OcupadosEPAESP!$A$80,MATCH(CC$12,OcupadosEPAESP!$A$80:$A$500)+$A16-1,1)-1)</f>
        <v/>
      </c>
      <c r="CD16" s="8" t="str">
        <f ca="1">IF(OR(CD6="",CD$11&lt;$A16),"",CD6/OFFSET(OcupadosEPAESP!$A$80,MATCH(CD$12,OcupadosEPAESP!$A$80:$A$500)+$A16-1,1)-1)</f>
        <v/>
      </c>
      <c r="CE16" s="8" t="str">
        <f ca="1">IF(OR(CE6="",CE$11&lt;$A16),"",CE6/OFFSET(OcupadosEPAESP!$A$80,MATCH(CE$12,OcupadosEPAESP!$A$80:$A$500)+$A16-1,1)-1)</f>
        <v/>
      </c>
      <c r="CF16" s="8" t="str">
        <f ca="1">IF(OR(CF6="",CF$11&lt;$A16),"",CF6/OFFSET(OcupadosEPAESP!$A$80,MATCH(CF$12,OcupadosEPAESP!$A$80:$A$500)+$A16-1,1)-1)</f>
        <v/>
      </c>
      <c r="CG16" s="8" t="str">
        <f ca="1">IF(OR(CG6="",CG$11&lt;$A16),"",CG6/OFFSET(OcupadosEPAESP!$A$80,MATCH(CG$12,OcupadosEPAESP!$A$80:$A$500)+$A16-1,1)-1)</f>
        <v/>
      </c>
      <c r="CH16" s="8" t="str">
        <f ca="1">IF(OR(CH6="",CH$11&lt;$A16),"",CH6/OFFSET(OcupadosEPAESP!$A$80,MATCH(CH$12,OcupadosEPAESP!$A$80:$A$500)+$A16-1,1)-1)</f>
        <v/>
      </c>
      <c r="CI16" s="8" t="str">
        <f ca="1">IF(OR(CI6="",CI$11&lt;$A16),"",CI6/OFFSET(OcupadosEPAESP!$A$80,MATCH(CI$12,OcupadosEPAESP!$A$80:$A$500)+$A16-1,1)-1)</f>
        <v/>
      </c>
      <c r="CJ16" s="8" t="str">
        <f ca="1">IF(OR(CJ6="",CJ$11&lt;$A16),"",CJ6/OFFSET(OcupadosEPAESP!$A$80,MATCH(CJ$12,OcupadosEPAESP!$A$80:$A$500)+$A16-1,1)-1)</f>
        <v/>
      </c>
      <c r="CK16" s="8" t="str">
        <f ca="1">IF(OR(CK6="",CK$11&lt;$A16),"",CK6/OFFSET(OcupadosEPAESP!$A$80,MATCH(CK$12,OcupadosEPAESP!$A$80:$A$500)+$A16-1,1)-1)</f>
        <v/>
      </c>
      <c r="CL16" s="8" t="str">
        <f ca="1">IF(OR(CL6="",CL$11&lt;$A16),"",CL6/OFFSET(OcupadosEPAESP!$A$80,MATCH(CL$12,OcupadosEPAESP!$A$80:$A$500)+$A16-1,1)-1)</f>
        <v/>
      </c>
      <c r="CM16" s="8" t="str">
        <f ca="1">IF(OR(CM6="",CM$11&lt;$A16),"",CM6/OFFSET(OcupadosEPAESP!$A$80,MATCH(CM$12,OcupadosEPAESP!$A$80:$A$500)+$A16-1,1)-1)</f>
        <v/>
      </c>
      <c r="CN16" s="8" t="str">
        <f ca="1">IF(OR(CN6="",CN$11&lt;$A16),"",CN6/OFFSET(OcupadosEPAESP!$A$80,MATCH(CN$12,OcupadosEPAESP!$A$80:$A$500)+$A16-1,1)-1)</f>
        <v/>
      </c>
      <c r="CO16" s="8" t="str">
        <f ca="1">IF(OR(CO6="",CO$11&lt;$A16),"",CO6/OFFSET(OcupadosEPAESP!$A$80,MATCH(CO$12,OcupadosEPAESP!$A$80:$A$500)+$A16-1,1)-1)</f>
        <v/>
      </c>
      <c r="CP16" s="8" t="str">
        <f ca="1">IF(OR(CP6="",CP$11&lt;$A16),"",CP6/OFFSET(OcupadosEPAESP!$A$80,MATCH(CP$12,OcupadosEPAESP!$A$80:$A$500)+$A16-1,1)-1)</f>
        <v/>
      </c>
      <c r="CQ16" s="8" t="str">
        <f ca="1">IF(OR(CQ6="",CQ$11&lt;$A16),"",CQ6/OFFSET(OcupadosEPAESP!$A$80,MATCH(CQ$12,OcupadosEPAESP!$A$80:$A$500)+$A16-1,1)-1)</f>
        <v/>
      </c>
      <c r="CR16" s="8" t="str">
        <f ca="1">IF(OR(CR6="",CR$11&lt;$A16),"",CR6/OFFSET(OcupadosEPAESP!$A$80,MATCH(CR$12,OcupadosEPAESP!$A$80:$A$500)+$A16-1,1)-1)</f>
        <v/>
      </c>
      <c r="CS16" s="8" t="str">
        <f ca="1">IF(OR(CS6="",CS$11&lt;$A16),"",CS6/OFFSET(OcupadosEPAESP!$A$80,MATCH(CS$12,OcupadosEPAESP!$A$80:$A$500)+$A16-1,1)-1)</f>
        <v/>
      </c>
      <c r="CT16" s="8" t="str">
        <f ca="1">IF(OR(CT6="",CT$11&lt;$A16),"",CT6/OFFSET(OcupadosEPAESP!$A$80,MATCH(CT$12,OcupadosEPAESP!$A$80:$A$500)+$A16-1,1)-1)</f>
        <v/>
      </c>
      <c r="CU16" s="8" t="str">
        <f ca="1">IF(OR(CU6="",CU$11&lt;$A16),"",CU6/OFFSET(OcupadosEPAESP!$A$80,MATCH(CU$12,OcupadosEPAESP!$A$80:$A$500)+$A16-1,1)-1)</f>
        <v/>
      </c>
      <c r="CV16" s="8" t="str">
        <f ca="1">IF(OR(CV6="",CV$11&lt;$A16),"",CV6/OFFSET(OcupadosEPAESP!$A$80,MATCH(CV$12,OcupadosEPAESP!$A$80:$A$500)+$A16-1,1)-1)</f>
        <v/>
      </c>
      <c r="CW16" s="8" t="str">
        <f ca="1">IF(OR(CW6="",CW$11&lt;$A16),"",CW6/OFFSET(OcupadosEPAESP!$A$80,MATCH(CW$12,OcupadosEPAESP!$A$80:$A$500)+$A16-1,1)-1)</f>
        <v/>
      </c>
      <c r="CX16" s="8" t="str">
        <f ca="1">IF(OR(CX6="",CX$11&lt;$A16),"",CX6/OFFSET(OcupadosEPAESP!$A$80,MATCH(CX$12,OcupadosEPAESP!$A$80:$A$500)+$A16-1,1)-1)</f>
        <v/>
      </c>
      <c r="CY16" s="8" t="str">
        <f ca="1">IF(OR(CY6="",CY$11&lt;$A16),"",CY6/OFFSET(OcupadosEPAESP!$A$80,MATCH(CY$12,OcupadosEPAESP!$A$80:$A$500)+$A16-1,1)-1)</f>
        <v/>
      </c>
      <c r="CZ16" s="8" t="str">
        <f ca="1">IF(OR(CZ6="",CZ$11&lt;$A16),"",CZ6/OFFSET(OcupadosEPAESP!$A$80,MATCH(CZ$12,OcupadosEPAESP!$A$80:$A$500)+$A16-1,1)-1)</f>
        <v/>
      </c>
      <c r="DA16" s="8" t="str">
        <f ca="1">IF(OR(DA6="",DA$11&lt;$A16),"",DA6/OFFSET(OcupadosEPAESP!$A$80,MATCH(DA$12,OcupadosEPAESP!$A$80:$A$500)+$A16-1,1)-1)</f>
        <v/>
      </c>
      <c r="DB16" s="8" t="str">
        <f ca="1">IF(OR(DB6="",DB$11&lt;$A16),"",DB6/OFFSET(OcupadosEPAESP!$A$80,MATCH(DB$12,OcupadosEPAESP!$A$80:$A$500)+$A16-1,1)-1)</f>
        <v/>
      </c>
      <c r="DC16" s="8" t="str">
        <f ca="1">IF(OR(DC6="",DC$11&lt;$A16),"",DC6/OFFSET(OcupadosEPAESP!$A$80,MATCH(DC$12,OcupadosEPAESP!$A$80:$A$500)+$A16-1,1)-1)</f>
        <v/>
      </c>
      <c r="DD16" s="8" t="str">
        <f ca="1">IF(OR(DD6="",DD$11&lt;$A16),"",DD6/OFFSET(OcupadosEPAESP!$A$80,MATCH(DD$12,OcupadosEPAESP!$A$80:$A$500)+$A16-1,1)-1)</f>
        <v/>
      </c>
      <c r="DE16" s="8" t="str">
        <f ca="1">IF(OR(DE6="",DE$11&lt;$A16),"",DE6/OFFSET(OcupadosEPAESP!$A$80,MATCH(DE$12,OcupadosEPAESP!$A$80:$A$500)+$A16-1,1)-1)</f>
        <v/>
      </c>
      <c r="DF16" s="8" t="str">
        <f ca="1">IF(OR(DF6="",DF$11&lt;$A16),"",DF6/OFFSET(OcupadosEPAESP!$A$80,MATCH(DF$12,OcupadosEPAESP!$A$80:$A$500)+$A16-1,1)-1)</f>
        <v/>
      </c>
      <c r="DG16" s="8" t="str">
        <f ca="1">IF(OR(DG6="",DG$11&lt;$A16),"",DG6/OFFSET(OcupadosEPAESP!$A$80,MATCH(DG$12,OcupadosEPAESP!$A$80:$A$500)+$A16-1,1)-1)</f>
        <v/>
      </c>
      <c r="DH16" s="8" t="str">
        <f ca="1">IF(OR(DH6="",DH$11&lt;$A16),"",DH6/OFFSET(OcupadosEPAESP!$A$80,MATCH(DH$12,OcupadosEPAESP!$A$80:$A$500)+$A16-1,1)-1)</f>
        <v/>
      </c>
      <c r="DI16" s="8" t="str">
        <f ca="1">IF(OR(DI6="",DI$11&lt;$A16),"",DI6/OFFSET(OcupadosEPAESP!$A$80,MATCH(DI$12,OcupadosEPAESP!$A$80:$A$500)+$A16-1,1)-1)</f>
        <v/>
      </c>
      <c r="DJ16" s="8" t="str">
        <f ca="1">IF(OR(DJ6="",DJ$11&lt;$A16),"",DJ6/OFFSET(OcupadosEPAESP!$A$80,MATCH(DJ$12,OcupadosEPAESP!$A$80:$A$500)+$A16-1,1)-1)</f>
        <v/>
      </c>
      <c r="DK16" s="8" t="str">
        <f ca="1">IF(OR(DK6="",DK$11&lt;$A16),"",DK6/OFFSET(OcupadosEPAESP!$A$80,MATCH(DK$12,OcupadosEPAESP!$A$80:$A$500)+$A16-1,1)-1)</f>
        <v/>
      </c>
      <c r="DL16" s="8" t="str">
        <f ca="1">IF(OR(DL6="",DL$11&lt;$A16),"",DL6/OFFSET(OcupadosEPAESP!$A$80,MATCH(DL$12,OcupadosEPAESP!$A$80:$A$500)+$A16-1,1)-1)</f>
        <v/>
      </c>
      <c r="DM16" s="8" t="str">
        <f ca="1">IF(OR(DM6="",DM$11&lt;$A16),"",DM6/OFFSET(OcupadosEPAESP!$A$80,MATCH(DM$12,OcupadosEPAESP!$A$80:$A$500)+$A16-1,1)-1)</f>
        <v/>
      </c>
      <c r="DN16" s="8" t="str">
        <f ca="1">IF(OR(DN6="",DN$11&lt;$A16),"",DN6/OFFSET(OcupadosEPAESP!$A$80,MATCH(DN$12,OcupadosEPAESP!$A$80:$A$500)+$A16-1,1)-1)</f>
        <v/>
      </c>
      <c r="DO16" s="8" t="str">
        <f ca="1">IF(OR(DO6="",DO$11&lt;$A16),"",DO6/OFFSET(OcupadosEPAESP!$A$80,MATCH(DO$12,OcupadosEPAESP!$A$80:$A$500)+$A16-1,1)-1)</f>
        <v/>
      </c>
      <c r="DP16" s="8" t="str">
        <f ca="1">IF(OR(DP6="",DP$11&lt;$A16),"",DP6/OFFSET(OcupadosEPAESP!$A$80,MATCH(DP$12,OcupadosEPAESP!$A$80:$A$500)+$A16-1,1)-1)</f>
        <v/>
      </c>
      <c r="DQ16" s="8" t="str">
        <f ca="1">IF(OR(DQ6="",DQ$11&lt;$A16),"",DQ6/OFFSET(OcupadosEPAESP!$A$80,MATCH(DQ$12,OcupadosEPAESP!$A$80:$A$500)+$A16-1,1)-1)</f>
        <v/>
      </c>
      <c r="DR16" s="8" t="str">
        <f ca="1">IF(OR(DR6="",DR$11&lt;$A16),"",DR6/OFFSET(OcupadosEPAESP!$A$80,MATCH(DR$12,OcupadosEPAESP!$A$80:$A$500)+$A16-1,1)-1)</f>
        <v/>
      </c>
      <c r="DS16" s="12">
        <f t="shared" ca="1" si="51"/>
        <v>2.0739810535744648E-4</v>
      </c>
      <c r="DT16" s="12">
        <f t="shared" ca="1" si="52"/>
        <v>-2.5921923878458597E-3</v>
      </c>
      <c r="DU16" s="13">
        <f t="shared" ca="1" si="53"/>
        <v>6.4727586030374762E-4</v>
      </c>
      <c r="DV16" s="15">
        <f t="shared" ca="1" si="56"/>
        <v>2.5441616699882649E-2</v>
      </c>
      <c r="DW16" s="14" t="str">
        <f t="shared" ca="1" si="54"/>
        <v>[ -5,07% ; 5,11% ]</v>
      </c>
      <c r="DX16" s="15">
        <f t="shared" ca="1" si="55"/>
        <v>3.256526937584979E-2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6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4.4419921902147941E-3</v>
      </c>
      <c r="C22" s="8">
        <f t="shared" ca="1" si="57"/>
        <v>7.0397556237877801E-4</v>
      </c>
      <c r="D22" s="8">
        <f t="shared" ca="1" si="57"/>
        <v>4.5691147009635502E-3</v>
      </c>
      <c r="E22" s="8">
        <f t="shared" ca="1" si="57"/>
        <v>5.2424548568467122E-3</v>
      </c>
      <c r="F22" s="8">
        <f t="shared" ca="1" si="57"/>
        <v>5.4521377597159804E-3</v>
      </c>
      <c r="G22" s="8">
        <f t="shared" ca="1" si="57"/>
        <v>2.2810920843037152E-3</v>
      </c>
      <c r="H22" s="8">
        <f t="shared" ca="1" si="57"/>
        <v>4.4169972177050543E-3</v>
      </c>
      <c r="I22" s="8">
        <f t="shared" ca="1" si="57"/>
        <v>4.3137403077289083E-3</v>
      </c>
      <c r="J22" s="8">
        <f t="shared" ca="1" si="57"/>
        <v>2.6141142752960089E-3</v>
      </c>
      <c r="K22" s="8">
        <f t="shared" ca="1" si="57"/>
        <v>2.0813746580263803E-3</v>
      </c>
      <c r="L22" s="8">
        <f t="shared" ca="1" si="57"/>
        <v>1.4993294852492234E-3</v>
      </c>
      <c r="M22" s="8">
        <f t="shared" ca="1" si="57"/>
        <v>1.1224821188702272E-3</v>
      </c>
      <c r="N22" s="8">
        <f t="shared" ca="1" si="57"/>
        <v>1.3054782900427941E-3</v>
      </c>
      <c r="O22" s="8">
        <f t="shared" ca="1" si="57"/>
        <v>1.3438002966335016E-3</v>
      </c>
      <c r="P22" s="8">
        <f t="shared" ca="1" si="57"/>
        <v>2.227587477926507E-3</v>
      </c>
      <c r="Q22" s="8">
        <f t="shared" ca="1" si="57"/>
        <v>5.4105376259809823E-3</v>
      </c>
      <c r="R22" s="8">
        <f t="shared" ca="1" si="57"/>
        <v>4.6801260062530048E-3</v>
      </c>
      <c r="S22" s="8">
        <f t="shared" ca="1" si="57"/>
        <v>6.4610793831141322E-3</v>
      </c>
      <c r="T22" s="8">
        <f t="shared" ca="1" si="57"/>
        <v>4.0959308358587965E-3</v>
      </c>
      <c r="U22" s="8">
        <f t="shared" ca="1" si="57"/>
        <v>1.6200998646604292E-2</v>
      </c>
      <c r="V22" s="8">
        <f t="shared" ca="1" si="57"/>
        <v>1.961983832279568E-2</v>
      </c>
      <c r="W22" s="8">
        <f t="shared" ca="1" si="57"/>
        <v>1.9543260360324499E-2</v>
      </c>
      <c r="X22" s="8">
        <f t="shared" ca="1" si="57"/>
        <v>1.1086783873672457E-2</v>
      </c>
      <c r="Y22" s="8">
        <f t="shared" ca="1" si="57"/>
        <v>3.1547616175815474E-3</v>
      </c>
      <c r="Z22" s="8">
        <f t="shared" ca="1" si="57"/>
        <v>1.199985508077317E-3</v>
      </c>
      <c r="AA22" s="8">
        <f t="shared" ca="1" si="57"/>
        <v>4.4391147824698329E-3</v>
      </c>
      <c r="AB22" s="8">
        <f t="shared" ca="1" si="57"/>
        <v>3.0111872546055851E-3</v>
      </c>
      <c r="AC22" s="8">
        <f t="shared" ca="1" si="57"/>
        <v>1.5306473328524639E-3</v>
      </c>
      <c r="AD22" s="8">
        <f t="shared" ca="1" si="57"/>
        <v>5.6979597595026021E-3</v>
      </c>
      <c r="AE22" s="8">
        <f t="shared" ca="1" si="57"/>
        <v>8.33419162011384E-3</v>
      </c>
      <c r="AF22" s="8">
        <f t="shared" ca="1" si="57"/>
        <v>1.2521104832021068E-2</v>
      </c>
      <c r="AG22" s="8">
        <f t="shared" ca="1" si="57"/>
        <v>5.5266646486122895E-3</v>
      </c>
      <c r="AH22" s="8">
        <f t="shared" ca="1" si="57"/>
        <v>3.8972349308161736E-3</v>
      </c>
      <c r="AI22" s="8">
        <f t="shared" ca="1" si="57"/>
        <v>2.6125737606076394E-3</v>
      </c>
      <c r="AJ22" s="8">
        <f t="shared" ca="1" si="57"/>
        <v>5.1306958946140124E-4</v>
      </c>
      <c r="AK22" s="8">
        <f t="shared" ca="1" si="57"/>
        <v>3.363106825269524E-3</v>
      </c>
      <c r="AL22" s="8">
        <f t="shared" ca="1" si="57"/>
        <v>1.5286911795923119E-3</v>
      </c>
      <c r="AM22" s="8">
        <f t="shared" ca="1" si="57"/>
        <v>7.0840626391230899E-3</v>
      </c>
      <c r="AN22" s="8">
        <f t="shared" ca="1" si="57"/>
        <v>4.3090314306759581E-3</v>
      </c>
      <c r="AO22" s="8">
        <f t="shared" ca="1" si="57"/>
        <v>3.8073520723448384E-3</v>
      </c>
      <c r="AP22" s="8">
        <f t="shared" ca="1" si="57"/>
        <v>2.2302075748232841E-3</v>
      </c>
      <c r="AQ22" s="8">
        <f t="shared" ca="1" si="57"/>
        <v>1.3265390857661319E-2</v>
      </c>
      <c r="AR22" s="8">
        <f t="shared" ca="1" si="57"/>
        <v>4.0701441264265892E-3</v>
      </c>
      <c r="AS22" s="8">
        <f t="shared" ca="1" si="57"/>
        <v>5.7025793208016484E-3</v>
      </c>
      <c r="AT22" s="8">
        <f t="shared" ca="1" si="57"/>
        <v>5.923950089559149E-3</v>
      </c>
      <c r="AU22" s="8">
        <f t="shared" ca="1" si="57"/>
        <v>4.6844135637454931E-3</v>
      </c>
      <c r="AV22" s="8">
        <f t="shared" ca="1" si="57"/>
        <v>3.0028559045807146E-3</v>
      </c>
      <c r="AW22" s="8">
        <f t="shared" ca="1" si="57"/>
        <v>1.2460858482102877E-3</v>
      </c>
      <c r="AX22" s="8">
        <f t="shared" ca="1" si="57"/>
        <v>3.3518812755706229E-4</v>
      </c>
      <c r="AY22" s="8">
        <f t="shared" ca="1" si="57"/>
        <v>7.1004943710828439E-3</v>
      </c>
      <c r="AZ22" s="8">
        <f t="shared" ca="1" si="57"/>
        <v>4.6629145472210087E-3</v>
      </c>
      <c r="BA22" s="8">
        <f t="shared" ca="1" si="57"/>
        <v>2.9284248436500793E-3</v>
      </c>
      <c r="BB22" s="8">
        <f t="shared" ca="1" si="57"/>
        <v>1.7465000090610694E-3</v>
      </c>
      <c r="BC22" s="8">
        <f t="shared" ca="1" si="57"/>
        <v>1.8015014883508984E-3</v>
      </c>
      <c r="BD22" s="8">
        <f t="shared" ca="1" si="57"/>
        <v>5.4772469903263676E-4</v>
      </c>
      <c r="BE22" s="8">
        <f t="shared" ca="1" si="57"/>
        <v>4.7315367563300903E-3</v>
      </c>
      <c r="BF22" s="8">
        <f t="shared" ca="1" si="57"/>
        <v>5.2045150936197437E-4</v>
      </c>
      <c r="BG22" s="8">
        <f t="shared" ca="1" si="57"/>
        <v>8.2485624593247042E-3</v>
      </c>
      <c r="BH22" s="8">
        <f t="shared" ca="1" si="57"/>
        <v>4.7504667856306249E-3</v>
      </c>
      <c r="BI22" s="8">
        <f t="shared" ca="1" si="57"/>
        <v>2.2681327715858846E-3</v>
      </c>
      <c r="BJ22" s="8">
        <f t="shared" ca="1" si="57"/>
        <v>1.5490332224052938E-3</v>
      </c>
      <c r="BK22" s="8">
        <f t="shared" ca="1" si="57"/>
        <v>2.7385275232363337E-3</v>
      </c>
      <c r="BL22" s="8">
        <f t="shared" ca="1" si="57"/>
        <v>5.3199909621657326E-3</v>
      </c>
      <c r="BM22" s="8">
        <f t="shared" ca="1" si="57"/>
        <v>9.5610650037792899E-3</v>
      </c>
      <c r="BN22" s="8">
        <f t="shared" ref="BN22:BU24" ca="1" si="58">IF(BN13="","",ABS(BN13))</f>
        <v>1.0513912234438649E-2</v>
      </c>
      <c r="BO22" s="8">
        <f t="shared" ca="1" si="58"/>
        <v>7.1219666329334741E-2</v>
      </c>
      <c r="BP22" s="8">
        <f t="shared" ca="1" si="58"/>
        <v>5.9198517663923478E-2</v>
      </c>
      <c r="BQ22" s="8">
        <f t="shared" ca="1" si="58"/>
        <v>8.6118627792564073E-3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8.5058241133768118E-3</v>
      </c>
      <c r="DT22" s="12">
        <f t="shared" ref="DT22:DT25" ca="1" si="61">MEDIAN(OFFSET($B22,0,Inicio-1,1,Amplitud))</f>
        <v>4.6629145472210087E-3</v>
      </c>
      <c r="DU22" s="13">
        <f t="shared" ref="DU22:DU25" ca="1" si="62">VARP(OFFSET($B22,0,Inicio-1,1,Amplitud))</f>
        <v>2.3338526134521475E-4</v>
      </c>
      <c r="DV22" s="15">
        <f ca="1">SQRT(DU22)</f>
        <v>1.527695196514065E-2</v>
      </c>
      <c r="DW22" s="14" t="str">
        <f t="shared" ref="DW22:DW25" ca="1" si="63">CONCATENATE("[ ",TEXT(DS22-2*DV22,"0,00%")," ; ",TEXT(DS22+2*DV22,"0,00%")," ]")</f>
        <v>[ -2,20% ; 3,91% ]</v>
      </c>
      <c r="DX22" s="15">
        <f t="shared" ref="DX22:DX25" ca="1" si="64">DV22*DX$12</f>
        <v>1.9554498515380034E-2</v>
      </c>
      <c r="GI22" s="1"/>
    </row>
    <row r="23" spans="1:191" x14ac:dyDescent="0.25">
      <c r="A23" s="4">
        <v>2</v>
      </c>
      <c r="B23" s="8">
        <f t="shared" ca="1" si="57"/>
        <v>5.3441585593934082E-3</v>
      </c>
      <c r="C23" s="8">
        <f t="shared" ca="1" si="57"/>
        <v>5.8749325262561491E-3</v>
      </c>
      <c r="D23" s="8">
        <f t="shared" ca="1" si="57"/>
        <v>1.2020233314157802E-2</v>
      </c>
      <c r="E23" s="8">
        <f t="shared" ca="1" si="57"/>
        <v>1.3299822488429536E-2</v>
      </c>
      <c r="F23" s="8">
        <f t="shared" ca="1" si="57"/>
        <v>1.0499808483097839E-2</v>
      </c>
      <c r="G23" s="8">
        <f t="shared" ca="1" si="57"/>
        <v>1.3307402261735213E-3</v>
      </c>
      <c r="H23" s="8">
        <f t="shared" ca="1" si="57"/>
        <v>1.0833658139525637E-2</v>
      </c>
      <c r="I23" s="8">
        <f t="shared" ca="1" si="57"/>
        <v>9.3834771669818462E-3</v>
      </c>
      <c r="J23" s="8">
        <f t="shared" ca="1" si="57"/>
        <v>2.2450196100955999E-3</v>
      </c>
      <c r="K23" s="8">
        <f t="shared" ca="1" si="57"/>
        <v>2.0295586961781575E-3</v>
      </c>
      <c r="L23" s="8">
        <f t="shared" ca="1" si="57"/>
        <v>1.4745251450600794E-3</v>
      </c>
      <c r="M23" s="8">
        <f t="shared" ca="1" si="57"/>
        <v>4.3721918284611583E-4</v>
      </c>
      <c r="N23" s="8">
        <f t="shared" ca="1" si="57"/>
        <v>1.9022308013272315E-4</v>
      </c>
      <c r="O23" s="8">
        <f t="shared" ca="1" si="57"/>
        <v>1.8214292977847268E-4</v>
      </c>
      <c r="P23" s="8">
        <f t="shared" ca="1" si="57"/>
        <v>8.9154280109773332E-3</v>
      </c>
      <c r="Q23" s="8">
        <f t="shared" ca="1" si="57"/>
        <v>1.344753788140185E-2</v>
      </c>
      <c r="R23" s="8">
        <f t="shared" ca="1" si="57"/>
        <v>1.4734553931495364E-2</v>
      </c>
      <c r="S23" s="8">
        <f t="shared" ca="1" si="57"/>
        <v>1.418243755822779E-2</v>
      </c>
      <c r="T23" s="8">
        <f t="shared" ca="1" si="57"/>
        <v>2.3648363284371365E-2</v>
      </c>
      <c r="U23" s="8">
        <f t="shared" ca="1" si="57"/>
        <v>4.8549275548744664E-2</v>
      </c>
      <c r="V23" s="8">
        <f t="shared" ca="1" si="57"/>
        <v>1.8134132497331201E-2</v>
      </c>
      <c r="W23" s="8">
        <f t="shared" ca="1" si="57"/>
        <v>4.8262668338157622E-2</v>
      </c>
      <c r="X23" s="8">
        <f t="shared" ca="1" si="57"/>
        <v>2.5493077703814371E-2</v>
      </c>
      <c r="Y23" s="8">
        <f t="shared" ca="1" si="57"/>
        <v>4.2172333206397239E-3</v>
      </c>
      <c r="Z23" s="8">
        <f t="shared" ca="1" si="57"/>
        <v>5.7874081593598525E-3</v>
      </c>
      <c r="AA23" s="8">
        <f t="shared" ca="1" si="57"/>
        <v>1.1651883363729687E-2</v>
      </c>
      <c r="AB23" s="8">
        <f t="shared" ca="1" si="57"/>
        <v>2.9287311250884018E-3</v>
      </c>
      <c r="AC23" s="8">
        <f t="shared" ca="1" si="57"/>
        <v>8.877859784724107E-3</v>
      </c>
      <c r="AD23" s="8">
        <f t="shared" ca="1" si="57"/>
        <v>1.31594657501799E-3</v>
      </c>
      <c r="AE23" s="8">
        <f t="shared" ca="1" si="57"/>
        <v>3.3096997797502636E-3</v>
      </c>
      <c r="AF23" s="8">
        <f t="shared" ca="1" si="57"/>
        <v>2.6360022240636827E-2</v>
      </c>
      <c r="AG23" s="8">
        <f t="shared" ca="1" si="57"/>
        <v>1.3670192504527501E-2</v>
      </c>
      <c r="AH23" s="8">
        <f t="shared" ca="1" si="57"/>
        <v>4.1358305082661584E-3</v>
      </c>
      <c r="AI23" s="8">
        <f t="shared" ca="1" si="57"/>
        <v>8.4278356000693222E-3</v>
      </c>
      <c r="AJ23" s="8">
        <f t="shared" ca="1" si="57"/>
        <v>1.9578306658085687E-3</v>
      </c>
      <c r="AK23" s="8">
        <f t="shared" ca="1" si="57"/>
        <v>4.4843061951522767E-3</v>
      </c>
      <c r="AL23" s="8">
        <f t="shared" ca="1" si="57"/>
        <v>9.3514269794510163E-3</v>
      </c>
      <c r="AM23" s="8">
        <f t="shared" ca="1" si="57"/>
        <v>1.8103273101832462E-2</v>
      </c>
      <c r="AN23" s="8">
        <f t="shared" ca="1" si="57"/>
        <v>9.6622491957196743E-3</v>
      </c>
      <c r="AO23" s="8">
        <f t="shared" ca="1" si="57"/>
        <v>4.5302133723373883E-3</v>
      </c>
      <c r="AP23" s="8">
        <f t="shared" ca="1" si="57"/>
        <v>1.0682916433071621E-2</v>
      </c>
      <c r="AQ23" s="8">
        <f t="shared" ca="1" si="57"/>
        <v>1.8313691654584963E-2</v>
      </c>
      <c r="AR23" s="8">
        <f t="shared" ca="1" si="57"/>
        <v>3.2815361445615032E-4</v>
      </c>
      <c r="AS23" s="8">
        <f t="shared" ca="1" si="57"/>
        <v>5.6961933112472662E-3</v>
      </c>
      <c r="AT23" s="8">
        <f t="shared" ca="1" si="57"/>
        <v>3.2814509615590737E-3</v>
      </c>
      <c r="AU23" s="8">
        <f t="shared" ca="1" si="57"/>
        <v>5.7925506755232004E-3</v>
      </c>
      <c r="AV23" s="8">
        <f t="shared" ca="1" si="57"/>
        <v>3.0710193957665943E-3</v>
      </c>
      <c r="AW23" s="8">
        <f t="shared" ca="1" si="57"/>
        <v>2.1847023358491091E-3</v>
      </c>
      <c r="AX23" s="8">
        <f t="shared" ca="1" si="57"/>
        <v>6.6123820424572877E-3</v>
      </c>
      <c r="AY23" s="8">
        <f t="shared" ca="1" si="57"/>
        <v>6.132264047204794E-3</v>
      </c>
      <c r="AZ23" s="8">
        <f t="shared" ca="1" si="57"/>
        <v>5.4748455486109959E-3</v>
      </c>
      <c r="BA23" s="8">
        <f t="shared" ca="1" si="57"/>
        <v>2.7345733886807722E-3</v>
      </c>
      <c r="BB23" s="8">
        <f t="shared" ca="1" si="57"/>
        <v>4.8562985887085075E-3</v>
      </c>
      <c r="BC23" s="8">
        <f t="shared" ca="1" si="57"/>
        <v>3.6063546961123683E-3</v>
      </c>
      <c r="BD23" s="8">
        <f t="shared" ca="1" si="57"/>
        <v>2.7106017494187284E-3</v>
      </c>
      <c r="BE23" s="8">
        <f t="shared" ca="1" si="57"/>
        <v>8.5224756851398631E-3</v>
      </c>
      <c r="BF23" s="8">
        <f t="shared" ca="1" si="57"/>
        <v>7.3419282140410047E-3</v>
      </c>
      <c r="BG23" s="8">
        <f t="shared" ca="1" si="57"/>
        <v>8.6537854671500103E-3</v>
      </c>
      <c r="BH23" s="8">
        <f t="shared" ca="1" si="57"/>
        <v>4.5476079390440738E-3</v>
      </c>
      <c r="BI23" s="8">
        <f t="shared" ca="1" si="57"/>
        <v>2.6875279689358988E-3</v>
      </c>
      <c r="BJ23" s="8">
        <f t="shared" ca="1" si="57"/>
        <v>4.6199780854145889E-3</v>
      </c>
      <c r="BK23" s="8">
        <f t="shared" ca="1" si="57"/>
        <v>9.5857752185219969E-3</v>
      </c>
      <c r="BL23" s="8">
        <f t="shared" ca="1" si="57"/>
        <v>1.0014716343437202E-3</v>
      </c>
      <c r="BM23" s="8">
        <f t="shared" ca="1" si="57"/>
        <v>5.1272447956588474E-3</v>
      </c>
      <c r="BN23" s="8">
        <f t="shared" ca="1" si="58"/>
        <v>8.8588008677178864E-2</v>
      </c>
      <c r="BO23" s="8">
        <f t="shared" ca="1" si="58"/>
        <v>4.2665751088862613E-2</v>
      </c>
      <c r="BP23" s="8">
        <f t="shared" ca="1" si="58"/>
        <v>9.3949001113226238E-2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1.3035476333355289E-2</v>
      </c>
      <c r="DT23" s="12">
        <f t="shared" ca="1" si="61"/>
        <v>5.5855194299291311E-3</v>
      </c>
      <c r="DU23" s="13">
        <f t="shared" ca="1" si="62"/>
        <v>4.9705604169178919E-4</v>
      </c>
      <c r="DV23" s="15">
        <f t="shared" ref="DV23:DV25" ca="1" si="66">SQRT(DU23)</f>
        <v>2.2294753680895181E-2</v>
      </c>
      <c r="DW23" s="14" t="str">
        <f t="shared" ca="1" si="63"/>
        <v>[ -3,16% ; 5,76% ]</v>
      </c>
      <c r="DX23" s="15">
        <f t="shared" ca="1" si="64"/>
        <v>2.8537284711545832E-2</v>
      </c>
      <c r="GI23" s="1"/>
    </row>
    <row r="24" spans="1:191" x14ac:dyDescent="0.25">
      <c r="A24" s="4">
        <v>3</v>
      </c>
      <c r="B24" s="8">
        <f t="shared" ca="1" si="57"/>
        <v>3.1258536232228185E-3</v>
      </c>
      <c r="C24" s="8">
        <f t="shared" ca="1" si="57"/>
        <v>1.3164234602356717E-2</v>
      </c>
      <c r="D24" s="8">
        <f t="shared" ca="1" si="57"/>
        <v>2.1869695503007436E-2</v>
      </c>
      <c r="E24" s="8">
        <f t="shared" ca="1" si="57"/>
        <v>2.0517564078711747E-2</v>
      </c>
      <c r="F24" s="8">
        <f t="shared" ca="1" si="57"/>
        <v>9.3514255983929706E-3</v>
      </c>
      <c r="G24" s="8">
        <f t="shared" ca="1" si="57"/>
        <v>6.8051188048701139E-3</v>
      </c>
      <c r="H24" s="8">
        <f t="shared" ca="1" si="57"/>
        <v>1.9612522904179475E-2</v>
      </c>
      <c r="I24" s="8">
        <f t="shared" ca="1" si="57"/>
        <v>1.1602663980903039E-2</v>
      </c>
      <c r="J24" s="8">
        <f t="shared" ca="1" si="57"/>
        <v>4.0755840944972643E-3</v>
      </c>
      <c r="K24" s="8">
        <f t="shared" ca="1" si="57"/>
        <v>2.8649801797335783E-3</v>
      </c>
      <c r="L24" s="8">
        <f t="shared" ca="1" si="57"/>
        <v>2.9146630945369179E-3</v>
      </c>
      <c r="M24" s="8">
        <f t="shared" ca="1" si="57"/>
        <v>1.0763160710824948E-3</v>
      </c>
      <c r="N24" s="8">
        <f t="shared" ca="1" si="57"/>
        <v>2.1220059497879529E-3</v>
      </c>
      <c r="O24" s="8">
        <f t="shared" ca="1" si="57"/>
        <v>5.7279586715182074E-3</v>
      </c>
      <c r="P24" s="8">
        <f t="shared" ca="1" si="57"/>
        <v>1.8158664858193063E-2</v>
      </c>
      <c r="Q24" s="8">
        <f t="shared" ca="1" si="57"/>
        <v>2.6088519359298346E-2</v>
      </c>
      <c r="R24" s="8">
        <f t="shared" ca="1" si="57"/>
        <v>2.5609340223637922E-2</v>
      </c>
      <c r="S24" s="8">
        <f t="shared" ca="1" si="57"/>
        <v>3.7558781613106884E-2</v>
      </c>
      <c r="T24" s="8">
        <f t="shared" ca="1" si="57"/>
        <v>5.9357526684683304E-2</v>
      </c>
      <c r="U24" s="8">
        <f t="shared" ca="1" si="57"/>
        <v>5.9039558945324311E-2</v>
      </c>
      <c r="V24" s="8">
        <f t="shared" ca="1" si="57"/>
        <v>9.6732050358478983E-3</v>
      </c>
      <c r="W24" s="8">
        <f t="shared" ca="1" si="57"/>
        <v>7.7120856621601619E-2</v>
      </c>
      <c r="X24" s="8">
        <f t="shared" ca="1" si="57"/>
        <v>3.8304801459676852E-2</v>
      </c>
      <c r="Y24" s="8">
        <f t="shared" ca="1" si="57"/>
        <v>9.9222995862506824E-3</v>
      </c>
      <c r="Z24" s="8">
        <f t="shared" ca="1" si="57"/>
        <v>9.394621425621752E-3</v>
      </c>
      <c r="AA24" s="8">
        <f t="shared" ca="1" si="57"/>
        <v>1.5628870776597581E-2</v>
      </c>
      <c r="AB24" s="8">
        <f t="shared" ca="1" si="57"/>
        <v>4.4242810372585595E-4</v>
      </c>
      <c r="AC24" s="8">
        <f t="shared" ca="1" si="57"/>
        <v>3.9157668295697334E-3</v>
      </c>
      <c r="AD24" s="8">
        <f t="shared" ca="1" si="57"/>
        <v>8.2414685919007802E-3</v>
      </c>
      <c r="AE24" s="8">
        <f t="shared" ca="1" si="57"/>
        <v>3.5691576585066276E-3</v>
      </c>
      <c r="AF24" s="8">
        <f t="shared" ca="1" si="57"/>
        <v>4.0967885261753434E-2</v>
      </c>
      <c r="AG24" s="8">
        <f t="shared" ca="1" si="57"/>
        <v>1.5597366000675628E-2</v>
      </c>
      <c r="AH24" s="8">
        <f t="shared" ca="1" si="57"/>
        <v>3.480820075446811E-3</v>
      </c>
      <c r="AI24" s="8">
        <f t="shared" ca="1" si="57"/>
        <v>8.3163677058255558E-3</v>
      </c>
      <c r="AJ24" s="8">
        <f t="shared" ca="1" si="57"/>
        <v>9.7567645580620699E-4</v>
      </c>
      <c r="AK24" s="8">
        <f t="shared" ca="1" si="57"/>
        <v>1.0368919013397093E-3</v>
      </c>
      <c r="AL24" s="8">
        <f t="shared" ca="1" si="57"/>
        <v>1.9650432256583028E-2</v>
      </c>
      <c r="AM24" s="8">
        <f t="shared" ca="1" si="57"/>
        <v>2.984400580893809E-2</v>
      </c>
      <c r="AN24" s="8">
        <f t="shared" ca="1" si="57"/>
        <v>1.2486440766016238E-2</v>
      </c>
      <c r="AO24" s="8">
        <f t="shared" ca="1" si="57"/>
        <v>1.783731188511839E-2</v>
      </c>
      <c r="AP24" s="8">
        <f t="shared" ca="1" si="57"/>
        <v>1.4401367176951063E-2</v>
      </c>
      <c r="AQ24" s="8">
        <f t="shared" ca="1" si="57"/>
        <v>3.005924318951958E-2</v>
      </c>
      <c r="AR24" s="8">
        <f t="shared" ca="1" si="57"/>
        <v>3.0031535830403744E-3</v>
      </c>
      <c r="AS24" s="8">
        <f t="shared" ca="1" si="57"/>
        <v>1.134617454228859E-2</v>
      </c>
      <c r="AT24" s="8">
        <f t="shared" ca="1" si="57"/>
        <v>6.1171312932355448E-3</v>
      </c>
      <c r="AU24" s="8">
        <f t="shared" ca="1" si="57"/>
        <v>9.8259592646249283E-3</v>
      </c>
      <c r="AV24" s="8">
        <f t="shared" ca="1" si="57"/>
        <v>5.2091724061009703E-3</v>
      </c>
      <c r="AW24" s="8">
        <f t="shared" ca="1" si="57"/>
        <v>2.0046020897359629E-3</v>
      </c>
      <c r="AX24" s="8">
        <f t="shared" ca="1" si="57"/>
        <v>4.9342886574827993E-3</v>
      </c>
      <c r="AY24" s="8">
        <f t="shared" ca="1" si="57"/>
        <v>8.5085389002621525E-3</v>
      </c>
      <c r="AZ24" s="8">
        <f t="shared" ca="1" si="57"/>
        <v>9.2966149043687274E-3</v>
      </c>
      <c r="BA24" s="8">
        <f t="shared" ca="1" si="57"/>
        <v>2.2715867786038402E-4</v>
      </c>
      <c r="BB24" s="8">
        <f t="shared" ca="1" si="57"/>
        <v>8.0379912421838506E-3</v>
      </c>
      <c r="BC24" s="8">
        <f t="shared" ca="1" si="57"/>
        <v>1.3613534699208341E-4</v>
      </c>
      <c r="BD24" s="8">
        <f t="shared" ca="1" si="57"/>
        <v>7.2933106533965564E-3</v>
      </c>
      <c r="BE24" s="8">
        <f t="shared" ca="1" si="57"/>
        <v>1.6669383761327428E-3</v>
      </c>
      <c r="BF24" s="8">
        <f t="shared" ca="1" si="57"/>
        <v>7.1701608609091583E-3</v>
      </c>
      <c r="BG24" s="8">
        <f t="shared" ca="1" si="57"/>
        <v>1.2547092877725596E-2</v>
      </c>
      <c r="BH24" s="8">
        <f t="shared" ca="1" si="57"/>
        <v>8.6216838921744365E-3</v>
      </c>
      <c r="BI24" s="8">
        <f t="shared" ca="1" si="57"/>
        <v>1.2239255582320308E-3</v>
      </c>
      <c r="BJ24" s="8">
        <f t="shared" ca="1" si="57"/>
        <v>1.2316884552826757E-2</v>
      </c>
      <c r="BK24" s="8">
        <f t="shared" ca="1" si="57"/>
        <v>5.5228511047222817E-3</v>
      </c>
      <c r="BL24" s="8">
        <f t="shared" ca="1" si="57"/>
        <v>6.9256769481771396E-3</v>
      </c>
      <c r="BM24" s="8">
        <f t="shared" ca="1" si="57"/>
        <v>6.6929199232416581E-2</v>
      </c>
      <c r="BN24" s="8">
        <f t="shared" ca="1" si="58"/>
        <v>6.5797159660989868E-2</v>
      </c>
      <c r="BO24" s="8">
        <f t="shared" ca="1" si="58"/>
        <v>2.8934465401992071E-2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1.3731884098428102E-2</v>
      </c>
      <c r="DT24" s="12">
        <f t="shared" ca="1" si="61"/>
        <v>8.5085389002621525E-3</v>
      </c>
      <c r="DU24" s="13">
        <f t="shared" ca="1" si="62"/>
        <v>2.6809854028403895E-4</v>
      </c>
      <c r="DV24" s="15">
        <f t="shared" ca="1" si="66"/>
        <v>1.6373714920079649E-2</v>
      </c>
      <c r="DW24" s="14" t="str">
        <f t="shared" ca="1" si="63"/>
        <v>[ -1,90% ; 4,65% ]</v>
      </c>
      <c r="DX24" s="15">
        <f t="shared" ca="1" si="64"/>
        <v>2.0958355097701952E-2</v>
      </c>
      <c r="GI24" s="1"/>
    </row>
    <row r="25" spans="1:191" x14ac:dyDescent="0.25">
      <c r="A25" s="4">
        <v>4</v>
      </c>
      <c r="B25" s="8">
        <f t="shared" ca="1" si="57"/>
        <v>2.6939075650214139E-3</v>
      </c>
      <c r="C25" s="8">
        <f t="shared" ca="1" si="57"/>
        <v>2.30471309746757E-2</v>
      </c>
      <c r="D25" s="8">
        <f t="shared" ca="1" si="57"/>
        <v>3.0651093569661447E-2</v>
      </c>
      <c r="E25" s="8">
        <f t="shared" ca="1" si="57"/>
        <v>2.1403792459937954E-2</v>
      </c>
      <c r="F25" s="8">
        <f t="shared" ca="1" si="57"/>
        <v>5.426479814332863E-3</v>
      </c>
      <c r="G25" s="8">
        <f t="shared" ca="1" si="57"/>
        <v>1.2619095103251432E-2</v>
      </c>
      <c r="H25" s="8">
        <f t="shared" ca="1" si="57"/>
        <v>2.2377246272675233E-2</v>
      </c>
      <c r="I25" s="8">
        <f t="shared" ca="1" si="57"/>
        <v>1.5304397239920942E-2</v>
      </c>
      <c r="J25" s="8">
        <f t="shared" ca="1" si="57"/>
        <v>4.130917077160845E-3</v>
      </c>
      <c r="K25" s="8">
        <f t="shared" ca="1" si="57"/>
        <v>1.9760801411068396E-3</v>
      </c>
      <c r="L25" s="8">
        <f t="shared" ca="1" si="57"/>
        <v>2.7140823117732804E-3</v>
      </c>
      <c r="M25" s="8">
        <f t="shared" ca="1" si="57"/>
        <v>3.8505367155239334E-4</v>
      </c>
      <c r="N25" s="8">
        <f t="shared" ca="1" si="57"/>
        <v>8.5761187099848701E-3</v>
      </c>
      <c r="O25" s="8">
        <f t="shared" ca="1" si="57"/>
        <v>1.436706331590365E-2</v>
      </c>
      <c r="P25" s="8">
        <f t="shared" ca="1" si="57"/>
        <v>3.1210503828123404E-2</v>
      </c>
      <c r="Q25" s="8">
        <f t="shared" ca="1" si="57"/>
        <v>3.8925540011177207E-2</v>
      </c>
      <c r="R25" s="8">
        <f t="shared" ca="1" si="57"/>
        <v>5.289687760191919E-2</v>
      </c>
      <c r="S25" s="8">
        <f t="shared" ca="1" si="57"/>
        <v>7.8517941026308824E-2</v>
      </c>
      <c r="T25" s="8">
        <f t="shared" ca="1" si="57"/>
        <v>7.286763704253385E-2</v>
      </c>
      <c r="U25" s="8">
        <f t="shared" ca="1" si="57"/>
        <v>6.1466259837443582E-2</v>
      </c>
      <c r="V25" s="8">
        <f t="shared" ca="1" si="57"/>
        <v>1.5292407091647142E-3</v>
      </c>
      <c r="W25" s="8">
        <f t="shared" ca="1" si="57"/>
        <v>0.10550372337221836</v>
      </c>
      <c r="X25" s="8">
        <f t="shared" ca="1" si="57"/>
        <v>5.3285781858495751E-2</v>
      </c>
      <c r="Y25" s="8">
        <f t="shared" ca="1" si="57"/>
        <v>1.5761654276636006E-2</v>
      </c>
      <c r="Z25" s="8">
        <f t="shared" ca="1" si="57"/>
        <v>1.1043276533281188E-2</v>
      </c>
      <c r="AA25" s="8">
        <f t="shared" ca="1" si="57"/>
        <v>1.2568312227272949E-2</v>
      </c>
      <c r="AB25" s="8">
        <f t="shared" ca="1" si="57"/>
        <v>4.2315640688701528E-3</v>
      </c>
      <c r="AC25" s="8">
        <f t="shared" ca="1" si="57"/>
        <v>1.3985156310453606E-2</v>
      </c>
      <c r="AD25" s="8">
        <f t="shared" ca="1" si="57"/>
        <v>2.1004120966773732E-2</v>
      </c>
      <c r="AE25" s="8">
        <f t="shared" ca="1" si="57"/>
        <v>1.6260316454706825E-2</v>
      </c>
      <c r="AF25" s="8">
        <f t="shared" ca="1" si="57"/>
        <v>5.0746696238436861E-2</v>
      </c>
      <c r="AG25" s="8">
        <f t="shared" ca="1" si="57"/>
        <v>1.7954315552839439E-2</v>
      </c>
      <c r="AH25" s="8">
        <f t="shared" ca="1" si="57"/>
        <v>6.2524731270476863E-3</v>
      </c>
      <c r="AI25" s="8">
        <f t="shared" ca="1" si="57"/>
        <v>5.4917364844997429E-3</v>
      </c>
      <c r="AJ25" s="8">
        <f t="shared" ca="1" si="57"/>
        <v>6.6563268276829124E-3</v>
      </c>
      <c r="AK25" s="8">
        <f t="shared" ca="1" si="57"/>
        <v>8.4746134616044966E-3</v>
      </c>
      <c r="AL25" s="8">
        <f t="shared" ca="1" si="57"/>
        <v>2.8658119135232196E-2</v>
      </c>
      <c r="AM25" s="8">
        <f t="shared" ca="1" si="57"/>
        <v>3.6142918826184145E-2</v>
      </c>
      <c r="AN25" s="8">
        <f t="shared" ca="1" si="57"/>
        <v>2.9137210100730782E-2</v>
      </c>
      <c r="AO25" s="8">
        <f t="shared" ca="1" si="57"/>
        <v>2.4595218594705925E-2</v>
      </c>
      <c r="AP25" s="8">
        <f t="shared" ca="1" si="57"/>
        <v>2.4441657492632718E-2</v>
      </c>
      <c r="AQ25" s="8">
        <f t="shared" ca="1" si="57"/>
        <v>3.5344045323391637E-2</v>
      </c>
      <c r="AR25" s="8">
        <f t="shared" ca="1" si="57"/>
        <v>3.07156240800599E-3</v>
      </c>
      <c r="AS25" s="8">
        <f t="shared" ca="1" si="57"/>
        <v>1.500784557504542E-2</v>
      </c>
      <c r="AT25" s="8">
        <f t="shared" ca="1" si="57"/>
        <v>4.2151654557056606E-3</v>
      </c>
      <c r="AU25" s="8">
        <f t="shared" ca="1" si="57"/>
        <v>1.348863792718269E-2</v>
      </c>
      <c r="AV25" s="8">
        <f t="shared" ca="1" si="57"/>
        <v>6.0319473705185978E-3</v>
      </c>
      <c r="AW25" s="8">
        <f t="shared" ca="1" si="57"/>
        <v>2.8890593236149398E-3</v>
      </c>
      <c r="AX25" s="8">
        <f t="shared" ca="1" si="57"/>
        <v>6.3686168304961654E-3</v>
      </c>
      <c r="AY25" s="8">
        <f t="shared" ca="1" si="57"/>
        <v>6.0252832468794537E-3</v>
      </c>
      <c r="AZ25" s="8">
        <f t="shared" ca="1" si="57"/>
        <v>1.3574453538573339E-2</v>
      </c>
      <c r="BA25" s="8">
        <f t="shared" ca="1" si="57"/>
        <v>4.6322381579552152E-3</v>
      </c>
      <c r="BB25" s="8">
        <f t="shared" ca="1" si="57"/>
        <v>7.5214387626286738E-3</v>
      </c>
      <c r="BC25" s="8">
        <f t="shared" ca="1" si="57"/>
        <v>2.5751597032830364E-3</v>
      </c>
      <c r="BD25" s="8">
        <f t="shared" ca="1" si="57"/>
        <v>2.2953254520767796E-3</v>
      </c>
      <c r="BE25" s="8">
        <f t="shared" ca="1" si="57"/>
        <v>9.4416297727883958E-4</v>
      </c>
      <c r="BF25" s="8">
        <f t="shared" ca="1" si="57"/>
        <v>1.0951582890337153E-2</v>
      </c>
      <c r="BG25" s="8">
        <f t="shared" ca="1" si="57"/>
        <v>1.403541949962861E-2</v>
      </c>
      <c r="BH25" s="8">
        <f t="shared" ca="1" si="57"/>
        <v>1.0007754658195367E-2</v>
      </c>
      <c r="BI25" s="8">
        <f t="shared" ca="1" si="57"/>
        <v>2.0810180802512956E-3</v>
      </c>
      <c r="BJ25" s="8">
        <f t="shared" ca="1" si="57"/>
        <v>7.9657819371892202E-3</v>
      </c>
      <c r="BK25" s="8">
        <f t="shared" ca="1" si="57"/>
        <v>1.5414482383955708E-2</v>
      </c>
      <c r="BL25" s="8">
        <f t="shared" ca="1" si="57"/>
        <v>8.3939044199830448E-2</v>
      </c>
      <c r="BM25" s="8">
        <f t="shared" ref="BM25:BU25" ca="1" si="68">IF(BM16="","",ABS(BM16))</f>
        <v>3.9233303652018714E-2</v>
      </c>
      <c r="BN25" s="8">
        <f t="shared" ca="1" si="68"/>
        <v>5.8134040327100012E-2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1.7145156239121304E-2</v>
      </c>
      <c r="DT25" s="12">
        <f t="shared" ca="1" si="61"/>
        <v>1.047966877426626E-2</v>
      </c>
      <c r="DU25" s="13">
        <f t="shared" ca="1" si="62"/>
        <v>3.533624918139733E-4</v>
      </c>
      <c r="DV25" s="15">
        <f t="shared" ca="1" si="66"/>
        <v>1.8797938499047529E-2</v>
      </c>
      <c r="DW25" s="14" t="str">
        <f t="shared" ca="1" si="63"/>
        <v>[ -2,05% ; 5,47% ]</v>
      </c>
      <c r="DX25" s="15">
        <f t="shared" ca="1" si="64"/>
        <v>2.4061361278780839E-2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7">
        <f t="shared" ref="O31:AJ31" ca="1" si="70">IF(O3="","",AVERAGE(N22)+CONFIDENCE(0.05,STDEV(B22:N22),COUNT(B22:N22)))</f>
        <v>2.2293623787336069E-3</v>
      </c>
      <c r="P31" s="17">
        <f t="shared" ca="1" si="70"/>
        <v>2.2733050305348175E-3</v>
      </c>
      <c r="Q31" s="17">
        <f t="shared" ca="1" si="70"/>
        <v>3.0972505704852586E-3</v>
      </c>
      <c r="R31" s="17">
        <f t="shared" ca="1" si="70"/>
        <v>6.3265730425291497E-3</v>
      </c>
      <c r="S31" s="17">
        <f t="shared" ca="1" si="70"/>
        <v>5.5660537424897872E-3</v>
      </c>
      <c r="T31" s="17">
        <f t="shared" ca="1" si="70"/>
        <v>7.425866043845976E-3</v>
      </c>
      <c r="U31" s="17">
        <f t="shared" ca="1" si="70"/>
        <v>5.0635122743680708E-3</v>
      </c>
      <c r="V31" s="17">
        <f t="shared" ca="1" si="70"/>
        <v>1.839192342996682E-2</v>
      </c>
      <c r="W31" s="17">
        <f t="shared" ca="1" si="70"/>
        <v>2.2826584773745228E-2</v>
      </c>
      <c r="X31" s="17">
        <f t="shared" ca="1" si="70"/>
        <v>2.33607935380458E-2</v>
      </c>
      <c r="Y31" s="17">
        <f t="shared" ca="1" si="70"/>
        <v>1.4884149434837761E-2</v>
      </c>
      <c r="Z31" s="17">
        <f t="shared" ca="1" si="70"/>
        <v>6.8979223422745532E-3</v>
      </c>
      <c r="AA31" s="17">
        <f t="shared" ca="1" si="70"/>
        <v>4.9399603733392035E-3</v>
      </c>
      <c r="AB31" s="17">
        <f t="shared" ca="1" si="70"/>
        <v>8.0817108269015652E-3</v>
      </c>
      <c r="AC31" s="17">
        <f t="shared" ca="1" si="70"/>
        <v>6.5908187479518411E-3</v>
      </c>
      <c r="AD31" s="17">
        <f t="shared" ca="1" si="70"/>
        <v>5.1383280020678816E-3</v>
      </c>
      <c r="AE31" s="17">
        <f t="shared" ca="1" si="70"/>
        <v>9.3013561331995939E-3</v>
      </c>
      <c r="AF31" s="17">
        <f t="shared" ca="1" si="70"/>
        <v>1.1902931311582602E-2</v>
      </c>
      <c r="AG31" s="17">
        <f t="shared" ca="1" si="70"/>
        <v>1.6140874848432671E-2</v>
      </c>
      <c r="AH31" s="17">
        <f t="shared" ca="1" si="70"/>
        <v>9.109860022981536E-3</v>
      </c>
      <c r="AI31" s="17">
        <f t="shared" ca="1" si="70"/>
        <v>7.3144765495079637E-3</v>
      </c>
      <c r="AJ31" s="17">
        <f t="shared" ca="1" si="70"/>
        <v>5.4820021102858964E-3</v>
      </c>
      <c r="AK31" s="17">
        <f ca="1">IF(AK3="","",AVERAGE(AJ22)+CONFIDENCE(0.05,STDEV(X22:AJ22),COUNT(X22:AJ22)))</f>
        <v>2.5381013488476423E-3</v>
      </c>
      <c r="AL31" s="17">
        <f t="shared" ref="AL31:BU31" ca="1" si="71">IF(AL3="","",AK22+CONFIDENCE(0.05,STDEV(Y22:AK22),COUNT(Y22:AK22)))</f>
        <v>5.123295083610863E-3</v>
      </c>
      <c r="AM31" s="17">
        <f t="shared" ca="1" si="71"/>
        <v>3.3313205653365476E-3</v>
      </c>
      <c r="AN31" s="17">
        <f t="shared" ca="1" si="71"/>
        <v>8.8663510326549774E-3</v>
      </c>
      <c r="AO31" s="17">
        <f t="shared" ca="1" si="71"/>
        <v>6.0917527245074035E-3</v>
      </c>
      <c r="AP31" s="17">
        <f t="shared" ca="1" si="71"/>
        <v>5.5764802387831894E-3</v>
      </c>
      <c r="AQ31" s="17">
        <f t="shared" ca="1" si="71"/>
        <v>3.9716830474544372E-3</v>
      </c>
      <c r="AR31" s="17">
        <f t="shared" ca="1" si="71"/>
        <v>1.5432654228277786E-2</v>
      </c>
      <c r="AS31" s="17">
        <f t="shared" ca="1" si="71"/>
        <v>6.1854762137342357E-3</v>
      </c>
      <c r="AT31" s="17">
        <f t="shared" ca="1" si="71"/>
        <v>7.4342724851079586E-3</v>
      </c>
      <c r="AU31" s="17">
        <f t="shared" ca="1" si="71"/>
        <v>7.662721081214424E-3</v>
      </c>
      <c r="AV31" s="17">
        <f t="shared" ca="1" si="71"/>
        <v>6.4206784749309756E-3</v>
      </c>
      <c r="AW31" s="17">
        <f t="shared" ca="1" si="71"/>
        <v>4.7293901421962973E-3</v>
      </c>
      <c r="AX31" s="17">
        <f t="shared" ca="1" si="71"/>
        <v>2.9332337745330193E-3</v>
      </c>
      <c r="AY31" s="17">
        <f t="shared" ca="1" si="71"/>
        <v>2.1363298046912838E-3</v>
      </c>
      <c r="AZ31" s="17">
        <f t="shared" ca="1" si="71"/>
        <v>8.878718546711014E-3</v>
      </c>
      <c r="BA31" s="17">
        <f t="shared" ca="1" si="71"/>
        <v>6.4025387928118944E-3</v>
      </c>
      <c r="BB31" s="17">
        <f t="shared" ca="1" si="71"/>
        <v>4.6868986997855751E-3</v>
      </c>
      <c r="BC31" s="17">
        <f t="shared" ca="1" si="71"/>
        <v>3.5527839522904153E-3</v>
      </c>
      <c r="BD31" s="17">
        <f t="shared" ca="1" si="71"/>
        <v>3.6214362954090163E-3</v>
      </c>
      <c r="BE31" s="17">
        <f t="shared" ca="1" si="71"/>
        <v>1.731232927606112E-3</v>
      </c>
      <c r="BF31" s="17">
        <f t="shared" ca="1" si="71"/>
        <v>5.928860569750739E-3</v>
      </c>
      <c r="BG31" s="17">
        <f t="shared" ca="1" si="71"/>
        <v>1.7289824846616806E-3</v>
      </c>
      <c r="BH31" s="17">
        <f t="shared" ca="1" si="71"/>
        <v>9.6327902214009744E-3</v>
      </c>
      <c r="BI31" s="17">
        <f t="shared" ca="1" si="71"/>
        <v>6.1364774073142999E-3</v>
      </c>
      <c r="BJ31" s="17">
        <f t="shared" ca="1" si="71"/>
        <v>3.6611484218387939E-3</v>
      </c>
      <c r="BK31" s="17">
        <f t="shared" ca="1" si="71"/>
        <v>2.9325951194894301E-3</v>
      </c>
      <c r="BL31" s="17">
        <f t="shared" ca="1" si="71"/>
        <v>4.0462630371726647E-3</v>
      </c>
      <c r="BM31" s="17">
        <f t="shared" ca="1" si="71"/>
        <v>6.5256668660938193E-3</v>
      </c>
      <c r="BN31" s="17">
        <f t="shared" ca="1" si="71"/>
        <v>1.1093362777246332E-2</v>
      </c>
      <c r="BO31" s="17">
        <f t="shared" ca="1" si="71"/>
        <v>1.2359849821018676E-2</v>
      </c>
      <c r="BP31" s="17">
        <f t="shared" ca="1" si="71"/>
        <v>8.1456940893237739E-2</v>
      </c>
      <c r="BQ31" s="17">
        <f t="shared" ca="1" si="71"/>
        <v>7.1762947254882553E-2</v>
      </c>
      <c r="BR31" s="17">
        <f t="shared" ca="1" si="71"/>
        <v>2.1022578415136411E-2</v>
      </c>
      <c r="BS31" s="17" t="str">
        <f t="shared" si="71"/>
        <v/>
      </c>
      <c r="BT31" s="17" t="str">
        <f t="shared" si="71"/>
        <v/>
      </c>
      <c r="BU31" s="17" t="str">
        <f t="shared" si="71"/>
        <v/>
      </c>
      <c r="BV31" s="17" t="str">
        <f t="shared" ref="BV31" si="72">IF(BV3="","",BU22+CONFIDENCE(0.05,STDEV(BI22:BU22),COUNT(BI22:BU22)))</f>
        <v/>
      </c>
      <c r="BW31" s="17" t="str">
        <f t="shared" ref="BW31" si="73">IF(BW3="","",BV22+CONFIDENCE(0.05,STDEV(BJ22:BV22),COUNT(BJ22:BV22)))</f>
        <v/>
      </c>
      <c r="BX31" s="17" t="str">
        <f t="shared" ref="BX31" si="74">IF(BX3="","",BW22+CONFIDENCE(0.05,STDEV(BK22:BW22),COUNT(BK22:BW22)))</f>
        <v/>
      </c>
      <c r="BY31" s="17" t="str">
        <f t="shared" ref="BY31" si="75">IF(BY3="","",BX22+CONFIDENCE(0.05,STDEV(BL22:BX22),COUNT(BL22:BX22)))</f>
        <v/>
      </c>
      <c r="BZ31" s="17" t="str">
        <f t="shared" ref="BZ31" si="76">IF(BZ3="","",BY22+CONFIDENCE(0.05,STDEV(BM22:BY22),COUNT(BM22:BY22)))</f>
        <v/>
      </c>
      <c r="CA31" s="17" t="str">
        <f t="shared" ref="CA31" si="77">IF(CA3="","",BZ22+CONFIDENCE(0.05,STDEV(BN22:BZ22),COUNT(BN22:BZ22)))</f>
        <v/>
      </c>
      <c r="CB31" s="17" t="str">
        <f t="shared" ref="CB31" si="78">IF(CB3="","",CA22+CONFIDENCE(0.05,STDEV(BO22:CA22),COUNT(BO22:CA22)))</f>
        <v/>
      </c>
      <c r="CC31" s="17" t="str">
        <f t="shared" ref="CC31" si="79">IF(CC3="","",CB22+CONFIDENCE(0.05,STDEV(BP22:CB22),COUNT(BP22:CB22)))</f>
        <v/>
      </c>
      <c r="CD31" s="17" t="str">
        <f t="shared" ref="CD31" si="80">IF(CD3="","",CC22+CONFIDENCE(0.05,STDEV(BQ22:CC22),COUNT(BQ22:CC22)))</f>
        <v/>
      </c>
      <c r="CE31" s="17" t="str">
        <f t="shared" ref="CE31" si="81">IF(CE3="","",CD22+CONFIDENCE(0.05,STDEV(BR22:CD22),COUNT(BR22:CD22)))</f>
        <v/>
      </c>
      <c r="CF31" s="17" t="str">
        <f t="shared" ref="CF31" si="82">IF(CF3="","",CE22+CONFIDENCE(0.05,STDEV(BS22:CE22),COUNT(BS22:CE22)))</f>
        <v/>
      </c>
      <c r="CG31" s="17" t="str">
        <f t="shared" ref="CG31" si="83">IF(CG3="","",CF22+CONFIDENCE(0.05,STDEV(BT22:CF22),COUNT(BT22:CF22)))</f>
        <v/>
      </c>
      <c r="CH31" s="17" t="str">
        <f t="shared" ref="CH31" si="84">IF(CH3="","",CG22+CONFIDENCE(0.05,STDEV(BU22:CG22),COUNT(BU22:CG22)))</f>
        <v/>
      </c>
      <c r="CI31" s="17" t="str">
        <f t="shared" ref="CI31" si="85">IF(CI3="","",CH22+CONFIDENCE(0.05,STDEV(BV22:CH22),COUNT(BV22:CH22)))</f>
        <v/>
      </c>
      <c r="CJ31" s="17" t="str">
        <f t="shared" ref="CJ31" si="86">IF(CJ3="","",CI22+CONFIDENCE(0.05,STDEV(BW22:CI22),COUNT(BW22:CI22)))</f>
        <v/>
      </c>
      <c r="CK31" s="17" t="str">
        <f t="shared" ref="CK31" si="87">IF(CK3="","",CJ22+CONFIDENCE(0.05,STDEV(BX22:CJ22),COUNT(BX22:CJ22)))</f>
        <v/>
      </c>
      <c r="CL31" s="17" t="str">
        <f t="shared" ref="CL31" si="88">IF(CL3="","",CK22+CONFIDENCE(0.05,STDEV(BY22:CK22),COUNT(BY22:CK22)))</f>
        <v/>
      </c>
      <c r="CM31" s="17" t="str">
        <f t="shared" ref="CM31" si="89">IF(CM3="","",CL22+CONFIDENCE(0.05,STDEV(BZ22:CL22),COUNT(BZ22:CL22)))</f>
        <v/>
      </c>
      <c r="CN31" s="17" t="str">
        <f t="shared" ref="CN31" si="90">IF(CN3="","",CM22+CONFIDENCE(0.05,STDEV(CA22:CM22),COUNT(CA22:CM22)))</f>
        <v/>
      </c>
      <c r="CO31" s="17" t="str">
        <f t="shared" ref="CO31" si="91">IF(CO3="","",CN22+CONFIDENCE(0.05,STDEV(CB22:CN22),COUNT(CB22:CN22)))</f>
        <v/>
      </c>
      <c r="CP31" s="17" t="str">
        <f t="shared" ref="CP31" si="92">IF(CP3="","",CO22+CONFIDENCE(0.05,STDEV(CC22:CO22),COUNT(CC22:CO22)))</f>
        <v/>
      </c>
      <c r="CQ31" s="17" t="str">
        <f t="shared" ref="CQ31" si="93">IF(CQ3="","",CP22+CONFIDENCE(0.05,STDEV(CD22:CP22),COUNT(CD22:CP22)))</f>
        <v/>
      </c>
      <c r="CR31" s="17" t="str">
        <f t="shared" ref="CR31" si="94">IF(CR3="","",CQ22+CONFIDENCE(0.05,STDEV(CE22:CQ22),COUNT(CE22:CQ22)))</f>
        <v/>
      </c>
      <c r="CS31" s="17" t="str">
        <f t="shared" ref="CS31" si="95">IF(CS3="","",CR22+CONFIDENCE(0.05,STDEV(CF22:CR22),COUNT(CF22:CR22)))</f>
        <v/>
      </c>
      <c r="CT31" s="17" t="str">
        <f t="shared" ref="CT31" si="96">IF(CT3="","",CS22+CONFIDENCE(0.05,STDEV(CG22:CS22),COUNT(CG22:CS22)))</f>
        <v/>
      </c>
      <c r="CU31" s="17" t="str">
        <f t="shared" ref="CU31" si="97">IF(CU3="","",CT22+CONFIDENCE(0.05,STDEV(CH22:CT22),COUNT(CH22:CT22)))</f>
        <v/>
      </c>
      <c r="CV31" s="17" t="str">
        <f t="shared" ref="CV31" si="98">IF(CV3="","",CU22+CONFIDENCE(0.05,STDEV(CI22:CU22),COUNT(CI22:CU22)))</f>
        <v/>
      </c>
      <c r="CW31" s="17" t="str">
        <f t="shared" ref="CW31" si="99">IF(CW3="","",CV22+CONFIDENCE(0.05,STDEV(CJ22:CV22),COUNT(CJ22:CV22)))</f>
        <v/>
      </c>
      <c r="CX31" s="17" t="str">
        <f t="shared" ref="CX31" si="100">IF(CX3="","",CW22+CONFIDENCE(0.05,STDEV(CK22:CW22),COUNT(CK22:CW22)))</f>
        <v/>
      </c>
      <c r="CY31" s="17" t="str">
        <f t="shared" ref="CY31" si="101">IF(CY3="","",CX22+CONFIDENCE(0.05,STDEV(CL22:CX22),COUNT(CL22:CX22)))</f>
        <v/>
      </c>
      <c r="CZ31" s="17" t="str">
        <f t="shared" ref="CZ31" si="102">IF(CZ3="","",CY22+CONFIDENCE(0.05,STDEV(CM22:CY22),COUNT(CM22:CY22)))</f>
        <v/>
      </c>
      <c r="DA31" s="17" t="str">
        <f t="shared" ref="DA31" si="103">IF(DA3="","",CZ22+CONFIDENCE(0.05,STDEV(CN22:CZ22),COUNT(CN22:CZ22)))</f>
        <v/>
      </c>
      <c r="DB31" s="17" t="str">
        <f t="shared" ref="DB31" si="104">IF(DB3="","",DA22+CONFIDENCE(0.05,STDEV(CO22:DA22),COUNT(CO22:DA22)))</f>
        <v/>
      </c>
      <c r="DC31" s="17" t="str">
        <f t="shared" ref="DC31" si="105">IF(DC3="","",DB22+CONFIDENCE(0.05,STDEV(CP22:DB22),COUNT(CP22:DB22)))</f>
        <v/>
      </c>
      <c r="DD31" s="17" t="str">
        <f t="shared" ref="DD31" si="106">IF(DD3="","",DC22+CONFIDENCE(0.05,STDEV(CQ22:DC22),COUNT(CQ22:DC22)))</f>
        <v/>
      </c>
      <c r="DE31" s="17" t="str">
        <f t="shared" ref="DE31" si="107">IF(DE3="","",DD22+CONFIDENCE(0.05,STDEV(CR22:DD22),COUNT(CR22:DD22)))</f>
        <v/>
      </c>
      <c r="DF31" s="17" t="str">
        <f t="shared" ref="DF31" si="108">IF(DF3="","",DE22+CONFIDENCE(0.05,STDEV(CS22:DE22),COUNT(CS22:DE22)))</f>
        <v/>
      </c>
      <c r="DG31" s="17" t="str">
        <f t="shared" ref="DG31" si="109">IF(DG3="","",DF22+CONFIDENCE(0.05,STDEV(CT22:DF22),COUNT(CT22:DF22)))</f>
        <v/>
      </c>
      <c r="DH31" s="17" t="str">
        <f t="shared" ref="DH31" si="110">IF(DH3="","",DG22+CONFIDENCE(0.05,STDEV(CU22:DG22),COUNT(CU22:DG22)))</f>
        <v/>
      </c>
      <c r="DI31" s="17" t="str">
        <f t="shared" ref="DI31" si="111">IF(DI3="","",DH22+CONFIDENCE(0.05,STDEV(CV22:DH22),COUNT(CV22:DH22)))</f>
        <v/>
      </c>
      <c r="DJ31" s="17" t="str">
        <f t="shared" ref="DJ31" si="112">IF(DJ3="","",DI22+CONFIDENCE(0.05,STDEV(CW22:DI22),COUNT(CW22:DI22)))</f>
        <v/>
      </c>
      <c r="DK31" s="17" t="str">
        <f t="shared" ref="DK31" si="113">IF(DK3="","",DJ22+CONFIDENCE(0.05,STDEV(CX22:DJ22),COUNT(CX22:DJ22)))</f>
        <v/>
      </c>
      <c r="DL31" s="17" t="str">
        <f t="shared" ref="DL31" si="114">IF(DL3="","",DK22+CONFIDENCE(0.05,STDEV(CY22:DK22),COUNT(CY22:DK22)))</f>
        <v/>
      </c>
      <c r="DM31" s="17" t="str">
        <f t="shared" ref="DM31" si="115">IF(DM3="","",DL22+CONFIDENCE(0.05,STDEV(CZ22:DL22),COUNT(CZ22:DL22)))</f>
        <v/>
      </c>
      <c r="DN31" s="17" t="str">
        <f t="shared" ref="DN31" si="116">IF(DN3="","",DM22+CONFIDENCE(0.05,STDEV(DA22:DM22),COUNT(DA22:DM22)))</f>
        <v/>
      </c>
      <c r="DO31" s="17" t="str">
        <f t="shared" ref="DO31" si="117">IF(DO3="","",DN22+CONFIDENCE(0.05,STDEV(DB22:DN22),COUNT(DB22:DN22)))</f>
        <v/>
      </c>
      <c r="DP31" s="17" t="str">
        <f t="shared" ref="DP31" si="118">IF(DP3="","",DO22+CONFIDENCE(0.05,STDEV(DC22:DO22),COUNT(DC22:DO22)))</f>
        <v/>
      </c>
      <c r="DQ31" s="17" t="str">
        <f t="shared" ref="DQ31" si="119">IF(DQ3="","",DP22+CONFIDENCE(0.05,STDEV(DD22:DP22),COUNT(DD22:DP22)))</f>
        <v/>
      </c>
      <c r="DR31" s="17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7">
        <f t="shared" ref="O32:AJ32" ca="1" si="121">IF(O4="","",AVERAGE(M23:N23)+CONFIDENCE(0.05,STDEV(B23:N23),COUNT(B23:N23)))</f>
        <v>2.9450288061495617E-3</v>
      </c>
      <c r="P32" s="17">
        <f t="shared" ca="1" si="121"/>
        <v>2.9496618475282903E-3</v>
      </c>
      <c r="Q32" s="17">
        <f t="shared" ca="1" si="121"/>
        <v>7.3635074352883679E-3</v>
      </c>
      <c r="R32" s="17">
        <f t="shared" ca="1" si="121"/>
        <v>1.4083214129178609E-2</v>
      </c>
      <c r="S32" s="17">
        <f t="shared" ca="1" si="121"/>
        <v>1.7091531839433547E-2</v>
      </c>
      <c r="T32" s="17">
        <f t="shared" ca="1" si="121"/>
        <v>1.7645866868283198E-2</v>
      </c>
      <c r="U32" s="17">
        <f t="shared" ca="1" si="121"/>
        <v>2.2944235669644042E-2</v>
      </c>
      <c r="V32" s="17">
        <f t="shared" ca="1" si="121"/>
        <v>4.3457925269570874E-2</v>
      </c>
      <c r="W32" s="17">
        <f t="shared" ca="1" si="121"/>
        <v>4.0779380377809656E-2</v>
      </c>
      <c r="X32" s="17">
        <f t="shared" ca="1" si="121"/>
        <v>4.2292934490822068E-2</v>
      </c>
      <c r="Y32" s="17">
        <f t="shared" ca="1" si="121"/>
        <v>4.5839374661628837E-2</v>
      </c>
      <c r="Z32" s="17">
        <f t="shared" ca="1" si="121"/>
        <v>2.3710501874495381E-2</v>
      </c>
      <c r="AA32" s="17">
        <f t="shared" ca="1" si="121"/>
        <v>1.3646156316693513E-2</v>
      </c>
      <c r="AB32" s="17">
        <f t="shared" ca="1" si="121"/>
        <v>1.6966292770353754E-2</v>
      </c>
      <c r="AC32" s="17">
        <f t="shared" ca="1" si="121"/>
        <v>1.5398026611571443E-2</v>
      </c>
      <c r="AD32" s="17">
        <f t="shared" ca="1" si="121"/>
        <v>1.4012105543323267E-2</v>
      </c>
      <c r="AE32" s="17">
        <f t="shared" ca="1" si="121"/>
        <v>1.358748713610672E-2</v>
      </c>
      <c r="AF32" s="17">
        <f t="shared" ca="1" si="121"/>
        <v>1.1066409388388753E-2</v>
      </c>
      <c r="AG32" s="17">
        <f t="shared" ca="1" si="121"/>
        <v>2.3696033539083429E-2</v>
      </c>
      <c r="AH32" s="17">
        <f t="shared" ca="1" si="121"/>
        <v>2.8835609935494774E-2</v>
      </c>
      <c r="AI32" s="17">
        <f t="shared" ca="1" si="121"/>
        <v>1.6198122452930078E-2</v>
      </c>
      <c r="AJ32" s="17">
        <f t="shared" ca="1" si="121"/>
        <v>1.3568467750557386E-2</v>
      </c>
      <c r="AK32" s="17">
        <f ca="1">IF(AK4="","",AVERAGE(AI23:AJ23)+CONFIDENCE(0.05,STDEV(X23:AJ23),COUNT(X23:AJ23)))</f>
        <v>9.7333287229327825E-3</v>
      </c>
      <c r="AL32" s="17">
        <f ca="1">IF(AL4="","",OFFSET(AK23,0,-COUNTBLANK(AE23:AK23),1,1)+CONFIDENCE(0.05,STDEV(Y23:AK23),COUNT(Y23:AK23)))</f>
        <v>8.1821365747974523E-3</v>
      </c>
      <c r="AM32" s="17">
        <f t="shared" ref="AM32:BU34" ca="1" si="122">IF(AM4="","",OFFSET(AL23,0,-COUNTBLANK(AF23:AL23),1,1)+CONFIDENCE(0.05,STDEV(Z23:AL23),COUNT(Z23:AL23)))</f>
        <v>1.3018899515031154E-2</v>
      </c>
      <c r="AN32" s="17">
        <f t="shared" ca="1" si="122"/>
        <v>2.2057677983219757E-2</v>
      </c>
      <c r="AO32" s="17">
        <f t="shared" ca="1" si="122"/>
        <v>1.3592791945064655E-2</v>
      </c>
      <c r="AP32" s="17">
        <f t="shared" ca="1" si="122"/>
        <v>8.4103416192154567E-3</v>
      </c>
      <c r="AQ32" s="17">
        <f t="shared" ca="1" si="122"/>
        <v>1.457365373748102E-2</v>
      </c>
      <c r="AR32" s="17">
        <f t="shared" ca="1" si="122"/>
        <v>2.2230015310033362E-2</v>
      </c>
      <c r="AS32" s="17">
        <f t="shared" ca="1" si="122"/>
        <v>4.3970385738132511E-3</v>
      </c>
      <c r="AT32" s="17">
        <f t="shared" ca="1" si="122"/>
        <v>8.7966657882716584E-3</v>
      </c>
      <c r="AU32" s="17">
        <f t="shared" ca="1" si="122"/>
        <v>6.3433741368120519E-3</v>
      </c>
      <c r="AV32" s="17">
        <f t="shared" ca="1" si="122"/>
        <v>8.8181310756658745E-3</v>
      </c>
      <c r="AW32" s="17">
        <f t="shared" ca="1" si="122"/>
        <v>6.1734014748638915E-3</v>
      </c>
      <c r="AX32" s="17">
        <f t="shared" ca="1" si="122"/>
        <v>5.2775892484199383E-3</v>
      </c>
      <c r="AY32" s="17">
        <f t="shared" ca="1" si="122"/>
        <v>9.6732794130834493E-3</v>
      </c>
      <c r="AZ32" s="17">
        <f t="shared" ca="1" si="122"/>
        <v>9.1838971399016769E-3</v>
      </c>
      <c r="BA32" s="17">
        <f t="shared" ca="1" si="122"/>
        <v>7.9636387926844219E-3</v>
      </c>
      <c r="BB32" s="17">
        <f t="shared" ca="1" si="122"/>
        <v>5.2113129452287365E-3</v>
      </c>
      <c r="BC32" s="17">
        <f t="shared" ca="1" si="122"/>
        <v>7.3295477994972016E-3</v>
      </c>
      <c r="BD32" s="17">
        <f t="shared" ca="1" si="122"/>
        <v>5.9615764317289535E-3</v>
      </c>
      <c r="BE32" s="17">
        <f t="shared" ca="1" si="122"/>
        <v>3.726703585023014E-3</v>
      </c>
      <c r="BF32" s="17">
        <f t="shared" ca="1" si="122"/>
        <v>9.5529954756820093E-3</v>
      </c>
      <c r="BG32" s="17">
        <f t="shared" ca="1" si="122"/>
        <v>8.4405290233472655E-3</v>
      </c>
      <c r="BH32" s="17">
        <f t="shared" ca="1" si="122"/>
        <v>9.8632422362296378E-3</v>
      </c>
      <c r="BI32" s="17">
        <f t="shared" ca="1" si="122"/>
        <v>5.7567922521111524E-3</v>
      </c>
      <c r="BJ32" s="17">
        <f t="shared" ca="1" si="122"/>
        <v>3.9139074658907482E-3</v>
      </c>
      <c r="BK32" s="17">
        <f t="shared" ca="1" si="122"/>
        <v>5.7563438684523714E-3</v>
      </c>
      <c r="BL32" s="17">
        <f t="shared" ca="1" si="122"/>
        <v>1.0885379279308402E-2</v>
      </c>
      <c r="BM32" s="17">
        <f t="shared" ca="1" si="122"/>
        <v>2.4599233443974955E-3</v>
      </c>
      <c r="BN32" s="17">
        <f t="shared" ca="1" si="122"/>
        <v>6.5844571058879288E-3</v>
      </c>
      <c r="BO32" s="17">
        <f t="shared" ca="1" si="122"/>
        <v>0.10122776032230955</v>
      </c>
      <c r="BP32" s="17">
        <f t="shared" ca="1" si="122"/>
        <v>5.6065384274746694E-2</v>
      </c>
      <c r="BQ32" s="17">
        <f t="shared" ca="1" si="122"/>
        <v>0.11173118677024389</v>
      </c>
      <c r="BR32" s="17">
        <f t="shared" ca="1" si="122"/>
        <v>0.11298901285919034</v>
      </c>
      <c r="BS32" s="17" t="str">
        <f t="shared" ca="1" si="122"/>
        <v/>
      </c>
      <c r="BT32" s="17" t="str">
        <f t="shared" ca="1" si="122"/>
        <v/>
      </c>
      <c r="BU32" s="17" t="str">
        <f t="shared" ca="1" si="122"/>
        <v/>
      </c>
      <c r="BV32" s="17" t="str">
        <f t="shared" ref="BV32:BV34" ca="1" si="123">IF(BV4="","",OFFSET(BU23,0,-COUNTBLANK(BO23:BU23),1,1)+CONFIDENCE(0.05,STDEV(BI23:BU23),COUNT(BI23:BU23)))</f>
        <v/>
      </c>
      <c r="BW32" s="17" t="str">
        <f t="shared" ref="BW32:BW34" ca="1" si="124">IF(BW4="","",OFFSET(BV23,0,-COUNTBLANK(BP23:BV23),1,1)+CONFIDENCE(0.05,STDEV(BJ23:BV23),COUNT(BJ23:BV23)))</f>
        <v/>
      </c>
      <c r="BX32" s="17" t="str">
        <f t="shared" ref="BX32:BX34" ca="1" si="125">IF(BX4="","",OFFSET(BW23,0,-COUNTBLANK(BQ23:BW23),1,1)+CONFIDENCE(0.05,STDEV(BK23:BW23),COUNT(BK23:BW23)))</f>
        <v/>
      </c>
      <c r="BY32" s="17" t="str">
        <f t="shared" ref="BY32:BY34" ca="1" si="126">IF(BY4="","",OFFSET(BX23,0,-COUNTBLANK(BR23:BX23),1,1)+CONFIDENCE(0.05,STDEV(BL23:BX23),COUNT(BL23:BX23)))</f>
        <v/>
      </c>
      <c r="BZ32" s="17" t="str">
        <f t="shared" ref="BZ32:BZ34" ca="1" si="127">IF(BZ4="","",OFFSET(BY23,0,-COUNTBLANK(BS23:BY23),1,1)+CONFIDENCE(0.05,STDEV(BM23:BY23),COUNT(BM23:BY23)))</f>
        <v/>
      </c>
      <c r="CA32" s="17" t="str">
        <f t="shared" ref="CA32:CA34" ca="1" si="128">IF(CA4="","",OFFSET(BZ23,0,-COUNTBLANK(BT23:BZ23),1,1)+CONFIDENCE(0.05,STDEV(BN23:BZ23),COUNT(BN23:BZ23)))</f>
        <v/>
      </c>
      <c r="CB32" s="17" t="str">
        <f t="shared" ref="CB32:CB34" ca="1" si="129">IF(CB4="","",OFFSET(CA23,0,-COUNTBLANK(BU23:CA23),1,1)+CONFIDENCE(0.05,STDEV(BO23:CA23),COUNT(BO23:CA23)))</f>
        <v/>
      </c>
      <c r="CC32" s="17" t="str">
        <f t="shared" ref="CC32:CC34" ca="1" si="130">IF(CC4="","",OFFSET(CB23,0,-COUNTBLANK(BV23:CB23),1,1)+CONFIDENCE(0.05,STDEV(BP23:CB23),COUNT(BP23:CB23)))</f>
        <v/>
      </c>
      <c r="CD32" s="17" t="str">
        <f t="shared" ref="CD32:CD34" ca="1" si="131">IF(CD4="","",OFFSET(CC23,0,-COUNTBLANK(BW23:CC23),1,1)+CONFIDENCE(0.05,STDEV(BQ23:CC23),COUNT(BQ23:CC23)))</f>
        <v/>
      </c>
      <c r="CE32" s="17" t="str">
        <f t="shared" ref="CE32:CE34" ca="1" si="132">IF(CE4="","",OFFSET(CD23,0,-COUNTBLANK(BX23:CD23),1,1)+CONFIDENCE(0.05,STDEV(BR23:CD23),COUNT(BR23:CD23)))</f>
        <v/>
      </c>
      <c r="CF32" s="17" t="str">
        <f t="shared" ref="CF32:CF34" ca="1" si="133">IF(CF4="","",OFFSET(CE23,0,-COUNTBLANK(BY23:CE23),1,1)+CONFIDENCE(0.05,STDEV(BS23:CE23),COUNT(BS23:CE23)))</f>
        <v/>
      </c>
      <c r="CG32" s="17" t="str">
        <f t="shared" ref="CG32:CG34" ca="1" si="134">IF(CG4="","",OFFSET(CF23,0,-COUNTBLANK(BZ23:CF23),1,1)+CONFIDENCE(0.05,STDEV(BT23:CF23),COUNT(BT23:CF23)))</f>
        <v/>
      </c>
      <c r="CH32" s="17" t="str">
        <f t="shared" ref="CH32:CH34" ca="1" si="135">IF(CH4="","",OFFSET(CG23,0,-COUNTBLANK(CA23:CG23),1,1)+CONFIDENCE(0.05,STDEV(BU23:CG23),COUNT(BU23:CG23)))</f>
        <v/>
      </c>
      <c r="CI32" s="17" t="str">
        <f t="shared" ref="CI32:CI34" ca="1" si="136">IF(CI4="","",OFFSET(CH23,0,-COUNTBLANK(CB23:CH23),1,1)+CONFIDENCE(0.05,STDEV(BV23:CH23),COUNT(BV23:CH23)))</f>
        <v/>
      </c>
      <c r="CJ32" s="17" t="str">
        <f t="shared" ref="CJ32:CJ34" ca="1" si="137">IF(CJ4="","",OFFSET(CI23,0,-COUNTBLANK(CC23:CI23),1,1)+CONFIDENCE(0.05,STDEV(BW23:CI23),COUNT(BW23:CI23)))</f>
        <v/>
      </c>
      <c r="CK32" s="17" t="str">
        <f t="shared" ref="CK32:CK34" ca="1" si="138">IF(CK4="","",OFFSET(CJ23,0,-COUNTBLANK(CD23:CJ23),1,1)+CONFIDENCE(0.05,STDEV(BX23:CJ23),COUNT(BX23:CJ23)))</f>
        <v/>
      </c>
      <c r="CL32" s="17" t="str">
        <f t="shared" ref="CL32:CL34" ca="1" si="139">IF(CL4="","",OFFSET(CK23,0,-COUNTBLANK(CE23:CK23),1,1)+CONFIDENCE(0.05,STDEV(BY23:CK23),COUNT(BY23:CK23)))</f>
        <v/>
      </c>
      <c r="CM32" s="17" t="str">
        <f t="shared" ref="CM32:CM34" ca="1" si="140">IF(CM4="","",OFFSET(CL23,0,-COUNTBLANK(CF23:CL23),1,1)+CONFIDENCE(0.05,STDEV(BZ23:CL23),COUNT(BZ23:CL23)))</f>
        <v/>
      </c>
      <c r="CN32" s="17" t="str">
        <f t="shared" ref="CN32:CN34" ca="1" si="141">IF(CN4="","",OFFSET(CM23,0,-COUNTBLANK(CG23:CM23),1,1)+CONFIDENCE(0.05,STDEV(CA23:CM23),COUNT(CA23:CM23)))</f>
        <v/>
      </c>
      <c r="CO32" s="17" t="str">
        <f t="shared" ref="CO32:CO34" ca="1" si="142">IF(CO4="","",OFFSET(CN23,0,-COUNTBLANK(CH23:CN23),1,1)+CONFIDENCE(0.05,STDEV(CB23:CN23),COUNT(CB23:CN23)))</f>
        <v/>
      </c>
      <c r="CP32" s="17" t="str">
        <f t="shared" ref="CP32:CP34" ca="1" si="143">IF(CP4="","",OFFSET(CO23,0,-COUNTBLANK(CI23:CO23),1,1)+CONFIDENCE(0.05,STDEV(CC23:CO23),COUNT(CC23:CO23)))</f>
        <v/>
      </c>
      <c r="CQ32" s="17" t="str">
        <f t="shared" ref="CQ32:CQ34" ca="1" si="144">IF(CQ4="","",OFFSET(CP23,0,-COUNTBLANK(CJ23:CP23),1,1)+CONFIDENCE(0.05,STDEV(CD23:CP23),COUNT(CD23:CP23)))</f>
        <v/>
      </c>
      <c r="CR32" s="17" t="str">
        <f t="shared" ref="CR32:CR34" ca="1" si="145">IF(CR4="","",OFFSET(CQ23,0,-COUNTBLANK(CK23:CQ23),1,1)+CONFIDENCE(0.05,STDEV(CE23:CQ23),COUNT(CE23:CQ23)))</f>
        <v/>
      </c>
      <c r="CS32" s="17" t="str">
        <f t="shared" ref="CS32:CS34" ca="1" si="146">IF(CS4="","",OFFSET(CR23,0,-COUNTBLANK(CL23:CR23),1,1)+CONFIDENCE(0.05,STDEV(CF23:CR23),COUNT(CF23:CR23)))</f>
        <v/>
      </c>
      <c r="CT32" s="17" t="str">
        <f t="shared" ref="CT32:CT34" ca="1" si="147">IF(CT4="","",OFFSET(CS23,0,-COUNTBLANK(CM23:CS23),1,1)+CONFIDENCE(0.05,STDEV(CG23:CS23),COUNT(CG23:CS23)))</f>
        <v/>
      </c>
      <c r="CU32" s="17" t="str">
        <f t="shared" ref="CU32:CU34" ca="1" si="148">IF(CU4="","",OFFSET(CT23,0,-COUNTBLANK(CN23:CT23),1,1)+CONFIDENCE(0.05,STDEV(CH23:CT23),COUNT(CH23:CT23)))</f>
        <v/>
      </c>
      <c r="CV32" s="17" t="str">
        <f t="shared" ref="CV32:CV34" ca="1" si="149">IF(CV4="","",OFFSET(CU23,0,-COUNTBLANK(CO23:CU23),1,1)+CONFIDENCE(0.05,STDEV(CI23:CU23),COUNT(CI23:CU23)))</f>
        <v/>
      </c>
      <c r="CW32" s="17" t="str">
        <f t="shared" ref="CW32:CW34" ca="1" si="150">IF(CW4="","",OFFSET(CV23,0,-COUNTBLANK(CP23:CV23),1,1)+CONFIDENCE(0.05,STDEV(CJ23:CV23),COUNT(CJ23:CV23)))</f>
        <v/>
      </c>
      <c r="CX32" s="17" t="str">
        <f t="shared" ref="CX32:CX34" ca="1" si="151">IF(CX4="","",OFFSET(CW23,0,-COUNTBLANK(CQ23:CW23),1,1)+CONFIDENCE(0.05,STDEV(CK23:CW23),COUNT(CK23:CW23)))</f>
        <v/>
      </c>
      <c r="CY32" s="17" t="str">
        <f t="shared" ref="CY32:CY34" ca="1" si="152">IF(CY4="","",OFFSET(CX23,0,-COUNTBLANK(CR23:CX23),1,1)+CONFIDENCE(0.05,STDEV(CL23:CX23),COUNT(CL23:CX23)))</f>
        <v/>
      </c>
      <c r="CZ32" s="17" t="str">
        <f t="shared" ref="CZ32:CZ34" ca="1" si="153">IF(CZ4="","",OFFSET(CY23,0,-COUNTBLANK(CS23:CY23),1,1)+CONFIDENCE(0.05,STDEV(CM23:CY23),COUNT(CM23:CY23)))</f>
        <v/>
      </c>
      <c r="DA32" s="17" t="str">
        <f t="shared" ref="DA32:DA34" ca="1" si="154">IF(DA4="","",OFFSET(CZ23,0,-COUNTBLANK(CT23:CZ23),1,1)+CONFIDENCE(0.05,STDEV(CN23:CZ23),COUNT(CN23:CZ23)))</f>
        <v/>
      </c>
      <c r="DB32" s="17" t="str">
        <f t="shared" ref="DB32:DB34" ca="1" si="155">IF(DB4="","",OFFSET(DA23,0,-COUNTBLANK(CU23:DA23),1,1)+CONFIDENCE(0.05,STDEV(CO23:DA23),COUNT(CO23:DA23)))</f>
        <v/>
      </c>
      <c r="DC32" s="17" t="str">
        <f t="shared" ref="DC32:DC34" ca="1" si="156">IF(DC4="","",OFFSET(DB23,0,-COUNTBLANK(CV23:DB23),1,1)+CONFIDENCE(0.05,STDEV(CP23:DB23),COUNT(CP23:DB23)))</f>
        <v/>
      </c>
      <c r="DD32" s="17" t="str">
        <f t="shared" ref="DD32:DD34" ca="1" si="157">IF(DD4="","",OFFSET(DC23,0,-COUNTBLANK(CW23:DC23),1,1)+CONFIDENCE(0.05,STDEV(CQ23:DC23),COUNT(CQ23:DC23)))</f>
        <v/>
      </c>
      <c r="DE32" s="17" t="str">
        <f t="shared" ref="DE32:DE34" ca="1" si="158">IF(DE4="","",OFFSET(DD23,0,-COUNTBLANK(CX23:DD23),1,1)+CONFIDENCE(0.05,STDEV(CR23:DD23),COUNT(CR23:DD23)))</f>
        <v/>
      </c>
      <c r="DF32" s="17" t="str">
        <f t="shared" ref="DF32:DF34" ca="1" si="159">IF(DF4="","",OFFSET(DE23,0,-COUNTBLANK(CY23:DE23),1,1)+CONFIDENCE(0.05,STDEV(CS23:DE23),COUNT(CS23:DE23)))</f>
        <v/>
      </c>
      <c r="DG32" s="17" t="str">
        <f t="shared" ref="DG32:DG34" ca="1" si="160">IF(DG4="","",OFFSET(DF23,0,-COUNTBLANK(CZ23:DF23),1,1)+CONFIDENCE(0.05,STDEV(CT23:DF23),COUNT(CT23:DF23)))</f>
        <v/>
      </c>
      <c r="DH32" s="17" t="str">
        <f t="shared" ref="DH32:DH34" ca="1" si="161">IF(DH4="","",OFFSET(DG23,0,-COUNTBLANK(DA23:DG23),1,1)+CONFIDENCE(0.05,STDEV(CU23:DG23),COUNT(CU23:DG23)))</f>
        <v/>
      </c>
      <c r="DI32" s="17" t="str">
        <f t="shared" ref="DI32:DI34" ca="1" si="162">IF(DI4="","",OFFSET(DH23,0,-COUNTBLANK(DB23:DH23),1,1)+CONFIDENCE(0.05,STDEV(CV23:DH23),COUNT(CV23:DH23)))</f>
        <v/>
      </c>
      <c r="DJ32" s="17" t="str">
        <f t="shared" ref="DJ32:DJ34" ca="1" si="163">IF(DJ4="","",OFFSET(DI23,0,-COUNTBLANK(DC23:DI23),1,1)+CONFIDENCE(0.05,STDEV(CW23:DI23),COUNT(CW23:DI23)))</f>
        <v/>
      </c>
      <c r="DK32" s="17" t="str">
        <f t="shared" ref="DK32:DK34" ca="1" si="164">IF(DK4="","",OFFSET(DJ23,0,-COUNTBLANK(DD23:DJ23),1,1)+CONFIDENCE(0.05,STDEV(CX23:DJ23),COUNT(CX23:DJ23)))</f>
        <v/>
      </c>
      <c r="DL32" s="17" t="str">
        <f t="shared" ref="DL32:DL34" ca="1" si="165">IF(DL4="","",OFFSET(DK23,0,-COUNTBLANK(DE23:DK23),1,1)+CONFIDENCE(0.05,STDEV(CY23:DK23),COUNT(CY23:DK23)))</f>
        <v/>
      </c>
      <c r="DM32" s="17" t="str">
        <f t="shared" ref="DM32:DM34" ca="1" si="166">IF(DM4="","",OFFSET(DL23,0,-COUNTBLANK(DF23:DL23),1,1)+CONFIDENCE(0.05,STDEV(CZ23:DL23),COUNT(CZ23:DL23)))</f>
        <v/>
      </c>
      <c r="DN32" s="17" t="str">
        <f t="shared" ref="DN32:DN34" ca="1" si="167">IF(DN4="","",OFFSET(DM23,0,-COUNTBLANK(DG23:DM23),1,1)+CONFIDENCE(0.05,STDEV(DA23:DM23),COUNT(DA23:DM23)))</f>
        <v/>
      </c>
      <c r="DO32" s="17" t="str">
        <f t="shared" ref="DO32:DO34" ca="1" si="168">IF(DO4="","",OFFSET(DN23,0,-COUNTBLANK(DH23:DN23),1,1)+CONFIDENCE(0.05,STDEV(DB23:DN23),COUNT(DB23:DN23)))</f>
        <v/>
      </c>
      <c r="DP32" s="17" t="str">
        <f t="shared" ref="DP32:DP34" ca="1" si="169">IF(DP4="","",OFFSET(DO23,0,-COUNTBLANK(DI23:DO23),1,1)+CONFIDENCE(0.05,STDEV(DC23:DO23),COUNT(DC23:DO23)))</f>
        <v/>
      </c>
      <c r="DQ32" s="17" t="str">
        <f t="shared" ref="DQ32:DQ34" ca="1" si="170">IF(DQ4="","",OFFSET(DP23,0,-COUNTBLANK(DJ23:DP23),1,1)+CONFIDENCE(0.05,STDEV(DD23:DP23),COUNT(DD23:DP23)))</f>
        <v/>
      </c>
      <c r="DR32" s="17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7">
        <f t="shared" ref="O33:AJ33" ca="1" si="172">IF(O5="","",AVERAGE(L24:N24)+CONFIDENCE(0.05,STDEV(B24:N24),COUNT(B24:N24)))</f>
        <v>6.1391465428001363E-3</v>
      </c>
      <c r="P33" s="17">
        <f t="shared" ca="1" si="172"/>
        <v>7.0006687953588047E-3</v>
      </c>
      <c r="Q33" s="17">
        <f t="shared" ca="1" si="172"/>
        <v>1.2877255289510819E-2</v>
      </c>
      <c r="R33" s="17">
        <f t="shared" ca="1" si="172"/>
        <v>2.1200229753594965E-2</v>
      </c>
      <c r="S33" s="17">
        <f t="shared" ca="1" si="172"/>
        <v>2.8167870224102623E-2</v>
      </c>
      <c r="T33" s="17">
        <f t="shared" ca="1" si="172"/>
        <v>3.6106732202342971E-2</v>
      </c>
      <c r="U33" s="17">
        <f t="shared" ca="1" si="172"/>
        <v>5.0226701965473505E-2</v>
      </c>
      <c r="V33" s="17">
        <f t="shared" ca="1" si="172"/>
        <v>6.3348123905691209E-2</v>
      </c>
      <c r="W33" s="17">
        <f t="shared" ca="1" si="172"/>
        <v>5.4090482433784393E-2</v>
      </c>
      <c r="X33" s="17">
        <f t="shared" ca="1" si="172"/>
        <v>6.2595102820181728E-2</v>
      </c>
      <c r="Y33" s="17">
        <f t="shared" ca="1" si="172"/>
        <v>5.5306740256310508E-2</v>
      </c>
      <c r="Z33" s="17">
        <f t="shared" ca="1" si="172"/>
        <v>5.5111025880158607E-2</v>
      </c>
      <c r="AA33" s="17">
        <f t="shared" ca="1" si="172"/>
        <v>3.2168990767943606E-2</v>
      </c>
      <c r="AB33" s="17">
        <f t="shared" ca="1" si="172"/>
        <v>2.4067101362820559E-2</v>
      </c>
      <c r="AC33" s="17">
        <f t="shared" ca="1" si="172"/>
        <v>2.118526351003118E-2</v>
      </c>
      <c r="AD33" s="17">
        <f t="shared" ca="1" si="172"/>
        <v>1.9850298843716897E-2</v>
      </c>
      <c r="AE33" s="17">
        <f t="shared" ca="1" si="172"/>
        <v>1.7741924383106678E-2</v>
      </c>
      <c r="AF33" s="17">
        <f t="shared" ca="1" si="172"/>
        <v>1.9249488244297643E-2</v>
      </c>
      <c r="AG33" s="17">
        <f t="shared" ca="1" si="172"/>
        <v>3.1681350695952584E-2</v>
      </c>
      <c r="AH33" s="17">
        <f t="shared" ca="1" si="172"/>
        <v>3.3072529318413806E-2</v>
      </c>
      <c r="AI33" s="17">
        <f t="shared" ca="1" si="172"/>
        <v>3.1837421220986616E-2</v>
      </c>
      <c r="AJ33" s="17">
        <f t="shared" ca="1" si="172"/>
        <v>2.0979348416695413E-2</v>
      </c>
      <c r="AK33" s="17">
        <f ca="1">IF(AK5="","",AVERAGE(AH24:AJ24)+CONFIDENCE(0.05,STDEV(X24:AJ24),COUNT(X24:AJ24)))</f>
        <v>1.1379094506795796E-2</v>
      </c>
      <c r="AL33" s="17">
        <f t="shared" ref="AL33:AL34" ca="1" si="173">IF(AL5="","",OFFSET(AK24,0,-COUNTBLANK(AE24:AK24),1,1)+CONFIDENCE(0.05,STDEV(Y24:AK24),COUNT(Y24:AK24)))</f>
        <v>6.9015810619023135E-3</v>
      </c>
      <c r="AM33" s="17">
        <f t="shared" ca="1" si="122"/>
        <v>2.5718556751322511E-2</v>
      </c>
      <c r="AN33" s="17">
        <f t="shared" ca="1" si="122"/>
        <v>3.6598522452036507E-2</v>
      </c>
      <c r="AO33" s="17">
        <f t="shared" ca="1" si="122"/>
        <v>1.9212119833498E-2</v>
      </c>
      <c r="AP33" s="17">
        <f t="shared" ca="1" si="122"/>
        <v>2.4372140028510375E-2</v>
      </c>
      <c r="AQ33" s="17">
        <f t="shared" ca="1" si="122"/>
        <v>2.077587302604339E-2</v>
      </c>
      <c r="AR33" s="17">
        <f t="shared" ca="1" si="122"/>
        <v>3.682158146742387E-2</v>
      </c>
      <c r="AS33" s="17">
        <f t="shared" ca="1" si="122"/>
        <v>9.7900564965249862E-3</v>
      </c>
      <c r="AT33" s="17">
        <f t="shared" ca="1" si="122"/>
        <v>1.66773727024188E-2</v>
      </c>
      <c r="AU33" s="17">
        <f t="shared" ca="1" si="122"/>
        <v>1.15224274092149E-2</v>
      </c>
      <c r="AV33" s="17">
        <f t="shared" ca="1" si="122"/>
        <v>1.5061296728865619E-2</v>
      </c>
      <c r="AW33" s="17">
        <f t="shared" ca="1" si="122"/>
        <v>1.0528634669584432E-2</v>
      </c>
      <c r="AX33" s="17">
        <f t="shared" ca="1" si="122"/>
        <v>7.2714337053550668E-3</v>
      </c>
      <c r="AY33" s="17">
        <f t="shared" ca="1" si="122"/>
        <v>1.0021502954432739E-2</v>
      </c>
      <c r="AZ33" s="17">
        <f t="shared" ca="1" si="122"/>
        <v>1.3504135008044404E-2</v>
      </c>
      <c r="BA33" s="17">
        <f t="shared" ca="1" si="122"/>
        <v>1.3354027289614323E-2</v>
      </c>
      <c r="BB33" s="17">
        <f t="shared" ca="1" si="122"/>
        <v>4.5412233935493906E-3</v>
      </c>
      <c r="BC33" s="17">
        <f t="shared" ca="1" si="122"/>
        <v>1.2129828972633733E-2</v>
      </c>
      <c r="BD33" s="17">
        <f t="shared" ca="1" si="122"/>
        <v>4.3022187848263532E-3</v>
      </c>
      <c r="BE33" s="17">
        <f t="shared" ca="1" si="122"/>
        <v>9.2801619301827887E-3</v>
      </c>
      <c r="BF33" s="17">
        <f t="shared" ca="1" si="122"/>
        <v>3.7102083030077278E-3</v>
      </c>
      <c r="BG33" s="17">
        <f t="shared" ca="1" si="122"/>
        <v>9.0189703937195685E-3</v>
      </c>
      <c r="BH33" s="17">
        <f t="shared" ca="1" si="122"/>
        <v>1.4687050426624614E-2</v>
      </c>
      <c r="BI33" s="17">
        <f t="shared" ca="1" si="122"/>
        <v>1.0714590064194982E-2</v>
      </c>
      <c r="BJ33" s="17">
        <f t="shared" ca="1" si="122"/>
        <v>3.4287066063612634E-3</v>
      </c>
      <c r="BK33" s="17">
        <f t="shared" ca="1" si="122"/>
        <v>1.4661344338100825E-2</v>
      </c>
      <c r="BL33" s="17">
        <f t="shared" ca="1" si="122"/>
        <v>7.8604992037896969E-3</v>
      </c>
      <c r="BM33" s="17">
        <f t="shared" ca="1" si="122"/>
        <v>9.2394175085552584E-3</v>
      </c>
      <c r="BN33" s="17">
        <f t="shared" ca="1" si="122"/>
        <v>7.639271620907355E-2</v>
      </c>
      <c r="BO33" s="17">
        <f t="shared" ca="1" si="122"/>
        <v>7.8190141761998178E-2</v>
      </c>
      <c r="BP33" s="17">
        <f t="shared" ca="1" si="122"/>
        <v>4.1409209802880848E-2</v>
      </c>
      <c r="BQ33" s="17">
        <f t="shared" ca="1" si="122"/>
        <v>4.2148487231310747E-2</v>
      </c>
      <c r="BR33" s="17">
        <f t="shared" ca="1" si="122"/>
        <v>4.3236062063458314E-2</v>
      </c>
      <c r="BS33" s="17" t="str">
        <f t="shared" ca="1" si="122"/>
        <v/>
      </c>
      <c r="BT33" s="17" t="str">
        <f t="shared" ca="1" si="122"/>
        <v/>
      </c>
      <c r="BU33" s="17" t="str">
        <f t="shared" ca="1" si="122"/>
        <v/>
      </c>
      <c r="BV33" s="17" t="str">
        <f t="shared" ca="1" si="123"/>
        <v/>
      </c>
      <c r="BW33" s="17" t="str">
        <f t="shared" ca="1" si="124"/>
        <v/>
      </c>
      <c r="BX33" s="17" t="str">
        <f t="shared" ca="1" si="125"/>
        <v/>
      </c>
      <c r="BY33" s="17" t="str">
        <f t="shared" ca="1" si="126"/>
        <v/>
      </c>
      <c r="BZ33" s="17" t="str">
        <f t="shared" ca="1" si="127"/>
        <v/>
      </c>
      <c r="CA33" s="17" t="str">
        <f t="shared" ca="1" si="128"/>
        <v/>
      </c>
      <c r="CB33" s="17" t="str">
        <f t="shared" ca="1" si="129"/>
        <v/>
      </c>
      <c r="CC33" s="17" t="str">
        <f t="shared" ca="1" si="130"/>
        <v/>
      </c>
      <c r="CD33" s="17" t="str">
        <f t="shared" ca="1" si="131"/>
        <v/>
      </c>
      <c r="CE33" s="17" t="str">
        <f t="shared" ca="1" si="132"/>
        <v/>
      </c>
      <c r="CF33" s="17" t="str">
        <f t="shared" ca="1" si="133"/>
        <v/>
      </c>
      <c r="CG33" s="17" t="str">
        <f t="shared" ca="1" si="134"/>
        <v/>
      </c>
      <c r="CH33" s="17" t="str">
        <f t="shared" ca="1" si="135"/>
        <v/>
      </c>
      <c r="CI33" s="17" t="str">
        <f t="shared" ca="1" si="136"/>
        <v/>
      </c>
      <c r="CJ33" s="17" t="str">
        <f t="shared" ca="1" si="137"/>
        <v/>
      </c>
      <c r="CK33" s="17" t="str">
        <f t="shared" ca="1" si="138"/>
        <v/>
      </c>
      <c r="CL33" s="17" t="str">
        <f t="shared" ca="1" si="139"/>
        <v/>
      </c>
      <c r="CM33" s="17" t="str">
        <f t="shared" ca="1" si="140"/>
        <v/>
      </c>
      <c r="CN33" s="17" t="str">
        <f t="shared" ca="1" si="141"/>
        <v/>
      </c>
      <c r="CO33" s="17" t="str">
        <f t="shared" ca="1" si="142"/>
        <v/>
      </c>
      <c r="CP33" s="17" t="str">
        <f t="shared" ca="1" si="143"/>
        <v/>
      </c>
      <c r="CQ33" s="17" t="str">
        <f t="shared" ca="1" si="144"/>
        <v/>
      </c>
      <c r="CR33" s="17" t="str">
        <f t="shared" ca="1" si="145"/>
        <v/>
      </c>
      <c r="CS33" s="17" t="str">
        <f t="shared" ca="1" si="146"/>
        <v/>
      </c>
      <c r="CT33" s="17" t="str">
        <f t="shared" ca="1" si="147"/>
        <v/>
      </c>
      <c r="CU33" s="17" t="str">
        <f t="shared" ca="1" si="148"/>
        <v/>
      </c>
      <c r="CV33" s="17" t="str">
        <f t="shared" ca="1" si="149"/>
        <v/>
      </c>
      <c r="CW33" s="17" t="str">
        <f t="shared" ca="1" si="150"/>
        <v/>
      </c>
      <c r="CX33" s="17" t="str">
        <f t="shared" ca="1" si="151"/>
        <v/>
      </c>
      <c r="CY33" s="17" t="str">
        <f t="shared" ca="1" si="152"/>
        <v/>
      </c>
      <c r="CZ33" s="17" t="str">
        <f t="shared" ca="1" si="153"/>
        <v/>
      </c>
      <c r="DA33" s="17" t="str">
        <f t="shared" ca="1" si="154"/>
        <v/>
      </c>
      <c r="DB33" s="17" t="str">
        <f t="shared" ca="1" si="155"/>
        <v/>
      </c>
      <c r="DC33" s="17" t="str">
        <f t="shared" ca="1" si="156"/>
        <v/>
      </c>
      <c r="DD33" s="17" t="str">
        <f t="shared" ca="1" si="157"/>
        <v/>
      </c>
      <c r="DE33" s="17" t="str">
        <f t="shared" ca="1" si="158"/>
        <v/>
      </c>
      <c r="DF33" s="17" t="str">
        <f t="shared" ca="1" si="159"/>
        <v/>
      </c>
      <c r="DG33" s="17" t="str">
        <f t="shared" ca="1" si="160"/>
        <v/>
      </c>
      <c r="DH33" s="17" t="str">
        <f t="shared" ca="1" si="161"/>
        <v/>
      </c>
      <c r="DI33" s="17" t="str">
        <f t="shared" ca="1" si="162"/>
        <v/>
      </c>
      <c r="DJ33" s="17" t="str">
        <f t="shared" ca="1" si="163"/>
        <v/>
      </c>
      <c r="DK33" s="17" t="str">
        <f t="shared" ca="1" si="164"/>
        <v/>
      </c>
      <c r="DL33" s="17" t="str">
        <f t="shared" ca="1" si="165"/>
        <v/>
      </c>
      <c r="DM33" s="17" t="str">
        <f t="shared" ca="1" si="166"/>
        <v/>
      </c>
      <c r="DN33" s="17" t="str">
        <f t="shared" ca="1" si="167"/>
        <v/>
      </c>
      <c r="DO33" s="17" t="str">
        <f t="shared" ca="1" si="168"/>
        <v/>
      </c>
      <c r="DP33" s="17" t="str">
        <f t="shared" ca="1" si="169"/>
        <v/>
      </c>
      <c r="DQ33" s="17" t="str">
        <f t="shared" ca="1" si="170"/>
        <v/>
      </c>
      <c r="DR33" s="17" t="str">
        <f t="shared" ca="1" si="171"/>
        <v/>
      </c>
    </row>
    <row r="34" spans="1:122" x14ac:dyDescent="0.25">
      <c r="A34" s="4">
        <v>4</v>
      </c>
      <c r="O34" s="17">
        <f t="shared" ref="O34:AJ34" ca="1" si="174">IF(O6="","",AVERAGE(K25:N25)+CONFIDENCE(0.05,STDEV(B25:N25),COUNT(B25:N25)))</f>
        <v>8.8503857618478961E-3</v>
      </c>
      <c r="P34" s="17">
        <f t="shared" ca="1" si="174"/>
        <v>1.1756707445272987E-2</v>
      </c>
      <c r="Q34" s="17">
        <f t="shared" ca="1" si="174"/>
        <v>1.9402025975458915E-2</v>
      </c>
      <c r="R34" s="17">
        <f t="shared" ca="1" si="174"/>
        <v>2.974625560786286E-2</v>
      </c>
      <c r="S34" s="17">
        <f t="shared" ca="1" si="174"/>
        <v>4.3083868229966668E-2</v>
      </c>
      <c r="T34" s="17">
        <f t="shared" ca="1" si="174"/>
        <v>6.2991203623010888E-2</v>
      </c>
      <c r="U34" s="17">
        <f t="shared" ca="1" si="174"/>
        <v>7.5429996902182272E-2</v>
      </c>
      <c r="V34" s="17">
        <f t="shared" ca="1" si="174"/>
        <v>8.1955226031215883E-2</v>
      </c>
      <c r="W34" s="17">
        <f t="shared" ca="1" si="174"/>
        <v>6.9556007628349653E-2</v>
      </c>
      <c r="X34" s="17">
        <f t="shared" ca="1" si="174"/>
        <v>7.9499738594527636E-2</v>
      </c>
      <c r="Y34" s="17">
        <f t="shared" ca="1" si="174"/>
        <v>7.3894119420963925E-2</v>
      </c>
      <c r="Z34" s="17">
        <f t="shared" ca="1" si="174"/>
        <v>6.1912082550714245E-2</v>
      </c>
      <c r="AA34" s="17">
        <f t="shared" ca="1" si="174"/>
        <v>6.3756411420114609E-2</v>
      </c>
      <c r="AB34" s="17">
        <f t="shared" ca="1" si="174"/>
        <v>4.0342786458881896E-2</v>
      </c>
      <c r="AC34" s="17">
        <f t="shared" ca="1" si="174"/>
        <v>2.854673101367693E-2</v>
      </c>
      <c r="AD34" s="17">
        <f t="shared" ca="1" si="174"/>
        <v>2.8536298466181356E-2</v>
      </c>
      <c r="AE34" s="17">
        <f t="shared" ca="1" si="174"/>
        <v>3.1258008594634179E-2</v>
      </c>
      <c r="AF34" s="17">
        <f t="shared" ca="1" si="174"/>
        <v>3.2320034825872201E-2</v>
      </c>
      <c r="AG34" s="17">
        <f t="shared" ca="1" si="174"/>
        <v>4.2813051468267922E-2</v>
      </c>
      <c r="AH34" s="17">
        <f t="shared" ca="1" si="174"/>
        <v>4.2703647957526528E-2</v>
      </c>
      <c r="AI34" s="17">
        <f t="shared" ca="1" si="174"/>
        <v>3.8474900402570691E-2</v>
      </c>
      <c r="AJ34" s="17">
        <f t="shared" ca="1" si="174"/>
        <v>3.5644944667494058E-2</v>
      </c>
      <c r="AK34" s="17">
        <f ca="1">IF(AK6="","",AVERAGE(AG25:AJ25)+CONFIDENCE(0.05,STDEV(X25:AJ25),COUNT(X25:AJ25)))</f>
        <v>1.7742406910380162E-2</v>
      </c>
      <c r="AL34" s="17">
        <f t="shared" ca="1" si="173"/>
        <v>1.5021973159187203E-2</v>
      </c>
      <c r="AM34" s="17">
        <f t="shared" ca="1" si="122"/>
        <v>3.5539648266049544E-2</v>
      </c>
      <c r="AN34" s="17">
        <f t="shared" ca="1" si="122"/>
        <v>4.3625739982945645E-2</v>
      </c>
      <c r="AO34" s="17">
        <f t="shared" ca="1" si="122"/>
        <v>3.6762845536026788E-2</v>
      </c>
      <c r="AP34" s="17">
        <f t="shared" ca="1" si="122"/>
        <v>3.1869801427555119E-2</v>
      </c>
      <c r="AQ34" s="17">
        <f t="shared" ca="1" si="122"/>
        <v>3.165934893151548E-2</v>
      </c>
      <c r="AR34" s="17">
        <f t="shared" ca="1" si="122"/>
        <v>4.28686164056215E-2</v>
      </c>
      <c r="AS34" s="17">
        <f t="shared" ca="1" si="122"/>
        <v>1.1103297927978867E-2</v>
      </c>
      <c r="AT34" s="17">
        <f t="shared" ca="1" si="122"/>
        <v>2.1467028361544575E-2</v>
      </c>
      <c r="AU34" s="17">
        <f t="shared" ca="1" si="122"/>
        <v>1.1028305870833819E-2</v>
      </c>
      <c r="AV34" s="17">
        <f t="shared" ca="1" si="122"/>
        <v>2.0091746377795493E-2</v>
      </c>
      <c r="AW34" s="17">
        <f t="shared" ca="1" si="122"/>
        <v>1.2610199960116367E-2</v>
      </c>
      <c r="AX34" s="17">
        <f t="shared" ca="1" si="122"/>
        <v>9.6506214651257416E-3</v>
      </c>
      <c r="AY34" s="17">
        <f t="shared" ca="1" si="122"/>
        <v>1.3208758733003628E-2</v>
      </c>
      <c r="AZ34" s="17">
        <f t="shared" ca="1" si="122"/>
        <v>1.2819097719438052E-2</v>
      </c>
      <c r="BA34" s="17">
        <f t="shared" ca="1" si="122"/>
        <v>1.9510676221018389E-2</v>
      </c>
      <c r="BB34" s="17">
        <f t="shared" ca="1" si="122"/>
        <v>1.0184103009213278E-2</v>
      </c>
      <c r="BC34" s="17">
        <f t="shared" ca="1" si="122"/>
        <v>1.2726904330491916E-2</v>
      </c>
      <c r="BD34" s="17">
        <f t="shared" ca="1" si="122"/>
        <v>7.4184728428233048E-3</v>
      </c>
      <c r="BE34" s="17">
        <f t="shared" ca="1" si="122"/>
        <v>4.7191442181002668E-3</v>
      </c>
      <c r="BF34" s="17">
        <f t="shared" ca="1" si="122"/>
        <v>3.4666111154575078E-3</v>
      </c>
      <c r="BG34" s="17">
        <f t="shared" ca="1" si="122"/>
        <v>1.3199596731357526E-2</v>
      </c>
      <c r="BH34" s="17">
        <f t="shared" ca="1" si="122"/>
        <v>1.6535763384154783E-2</v>
      </c>
      <c r="BI34" s="17">
        <f t="shared" ca="1" si="122"/>
        <v>1.2335666306620183E-2</v>
      </c>
      <c r="BJ34" s="17">
        <f t="shared" ca="1" si="122"/>
        <v>4.5131458372453118E-3</v>
      </c>
      <c r="BK34" s="17">
        <f t="shared" ca="1" si="122"/>
        <v>1.0334275899909949E-2</v>
      </c>
      <c r="BL34" s="17">
        <f t="shared" ca="1" si="122"/>
        <v>1.8108503738281177E-2</v>
      </c>
      <c r="BM34" s="17">
        <f t="shared" ca="1" si="122"/>
        <v>9.574714049040535E-2</v>
      </c>
      <c r="BN34" s="17">
        <f t="shared" ca="1" si="122"/>
        <v>5.1661010867715448E-2</v>
      </c>
      <c r="BO34" s="17">
        <f t="shared" ca="1" si="122"/>
        <v>7.1949150993159253E-2</v>
      </c>
      <c r="BP34" s="17">
        <f t="shared" ca="1" si="122"/>
        <v>7.299814332257698E-2</v>
      </c>
      <c r="BQ34" s="17">
        <f t="shared" ca="1" si="122"/>
        <v>7.4030867670826853E-2</v>
      </c>
      <c r="BR34" s="17">
        <f t="shared" ca="1" si="122"/>
        <v>7.5167194059612835E-2</v>
      </c>
      <c r="BS34" s="17" t="str">
        <f t="shared" ca="1" si="122"/>
        <v/>
      </c>
      <c r="BT34" s="17" t="str">
        <f t="shared" ca="1" si="122"/>
        <v/>
      </c>
      <c r="BU34" s="17" t="str">
        <f t="shared" ca="1" si="122"/>
        <v/>
      </c>
      <c r="BV34" s="17" t="str">
        <f t="shared" ca="1" si="123"/>
        <v/>
      </c>
      <c r="BW34" s="17" t="str">
        <f t="shared" ca="1" si="124"/>
        <v/>
      </c>
      <c r="BX34" s="17" t="str">
        <f t="shared" ca="1" si="125"/>
        <v/>
      </c>
      <c r="BY34" s="17" t="str">
        <f t="shared" ca="1" si="126"/>
        <v/>
      </c>
      <c r="BZ34" s="17" t="str">
        <f t="shared" ca="1" si="127"/>
        <v/>
      </c>
      <c r="CA34" s="17" t="str">
        <f t="shared" ca="1" si="128"/>
        <v/>
      </c>
      <c r="CB34" s="17" t="str">
        <f t="shared" ca="1" si="129"/>
        <v/>
      </c>
      <c r="CC34" s="17" t="str">
        <f t="shared" ca="1" si="130"/>
        <v/>
      </c>
      <c r="CD34" s="17" t="str">
        <f t="shared" ca="1" si="131"/>
        <v/>
      </c>
      <c r="CE34" s="17" t="str">
        <f t="shared" ca="1" si="132"/>
        <v/>
      </c>
      <c r="CF34" s="17" t="str">
        <f t="shared" ca="1" si="133"/>
        <v/>
      </c>
      <c r="CG34" s="17" t="str">
        <f t="shared" ca="1" si="134"/>
        <v/>
      </c>
      <c r="CH34" s="17" t="str">
        <f t="shared" ca="1" si="135"/>
        <v/>
      </c>
      <c r="CI34" s="17" t="str">
        <f t="shared" ca="1" si="136"/>
        <v/>
      </c>
      <c r="CJ34" s="17" t="str">
        <f t="shared" ca="1" si="137"/>
        <v/>
      </c>
      <c r="CK34" s="17" t="str">
        <f t="shared" ca="1" si="138"/>
        <v/>
      </c>
      <c r="CL34" s="17" t="str">
        <f t="shared" ca="1" si="139"/>
        <v/>
      </c>
      <c r="CM34" s="17" t="str">
        <f t="shared" ca="1" si="140"/>
        <v/>
      </c>
      <c r="CN34" s="17" t="str">
        <f t="shared" ca="1" si="141"/>
        <v/>
      </c>
      <c r="CO34" s="17" t="str">
        <f t="shared" ca="1" si="142"/>
        <v/>
      </c>
      <c r="CP34" s="17" t="str">
        <f t="shared" ca="1" si="143"/>
        <v/>
      </c>
      <c r="CQ34" s="17" t="str">
        <f t="shared" ca="1" si="144"/>
        <v/>
      </c>
      <c r="CR34" s="17" t="str">
        <f t="shared" ca="1" si="145"/>
        <v/>
      </c>
      <c r="CS34" s="17" t="str">
        <f t="shared" ca="1" si="146"/>
        <v/>
      </c>
      <c r="CT34" s="17" t="str">
        <f t="shared" ca="1" si="147"/>
        <v/>
      </c>
      <c r="CU34" s="17" t="str">
        <f t="shared" ca="1" si="148"/>
        <v/>
      </c>
      <c r="CV34" s="17" t="str">
        <f t="shared" ca="1" si="149"/>
        <v/>
      </c>
      <c r="CW34" s="17" t="str">
        <f t="shared" ca="1" si="150"/>
        <v/>
      </c>
      <c r="CX34" s="17" t="str">
        <f t="shared" ca="1" si="151"/>
        <v/>
      </c>
      <c r="CY34" s="17" t="str">
        <f t="shared" ca="1" si="152"/>
        <v/>
      </c>
      <c r="CZ34" s="17" t="str">
        <f t="shared" ca="1" si="153"/>
        <v/>
      </c>
      <c r="DA34" s="17" t="str">
        <f t="shared" ca="1" si="154"/>
        <v/>
      </c>
      <c r="DB34" s="17" t="str">
        <f t="shared" ca="1" si="155"/>
        <v/>
      </c>
      <c r="DC34" s="17" t="str">
        <f t="shared" ca="1" si="156"/>
        <v/>
      </c>
      <c r="DD34" s="17" t="str">
        <f t="shared" ca="1" si="157"/>
        <v/>
      </c>
      <c r="DE34" s="17" t="str">
        <f t="shared" ca="1" si="158"/>
        <v/>
      </c>
      <c r="DF34" s="17" t="str">
        <f t="shared" ca="1" si="159"/>
        <v/>
      </c>
      <c r="DG34" s="17" t="str">
        <f t="shared" ca="1" si="160"/>
        <v/>
      </c>
      <c r="DH34" s="17" t="str">
        <f t="shared" ca="1" si="161"/>
        <v/>
      </c>
      <c r="DI34" s="17" t="str">
        <f t="shared" ca="1" si="162"/>
        <v/>
      </c>
      <c r="DJ34" s="17" t="str">
        <f t="shared" ca="1" si="163"/>
        <v/>
      </c>
      <c r="DK34" s="17" t="str">
        <f t="shared" ca="1" si="164"/>
        <v/>
      </c>
      <c r="DL34" s="17" t="str">
        <f t="shared" ca="1" si="165"/>
        <v/>
      </c>
      <c r="DM34" s="17" t="str">
        <f t="shared" ca="1" si="166"/>
        <v/>
      </c>
      <c r="DN34" s="17" t="str">
        <f t="shared" ca="1" si="167"/>
        <v/>
      </c>
      <c r="DO34" s="17" t="str">
        <f t="shared" ca="1" si="168"/>
        <v/>
      </c>
      <c r="DP34" s="17" t="str">
        <f t="shared" ca="1" si="169"/>
        <v/>
      </c>
      <c r="DQ34" s="17" t="str">
        <f t="shared" ca="1" si="170"/>
        <v/>
      </c>
      <c r="DR34" s="17" t="str">
        <f t="shared" ca="1" si="171"/>
        <v/>
      </c>
    </row>
    <row r="35" spans="1:122" x14ac:dyDescent="0.25">
      <c r="A35" s="4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</row>
    <row r="36" spans="1:122" x14ac:dyDescent="0.25">
      <c r="A36" s="4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</row>
    <row r="37" spans="1:122" x14ac:dyDescent="0.25">
      <c r="A37" s="4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</row>
    <row r="38" spans="1:122" x14ac:dyDescent="0.25">
      <c r="A38" s="4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</row>
  </sheetData>
  <conditionalFormatting sqref="B13:DR20">
    <cfRule type="expression" dxfId="3" priority="3">
      <formula>B13&gt;$DX13</formula>
    </cfRule>
    <cfRule type="expression" dxfId="2" priority="4">
      <formula>B13&lt;-$DX13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B2" sqref="B2:B227"/>
    </sheetView>
  </sheetViews>
  <sheetFormatPr baseColWidth="10" defaultRowHeight="15" x14ac:dyDescent="0.25"/>
  <cols>
    <col min="1" max="1" width="10.7109375" bestFit="1" customWidth="1"/>
    <col min="2" max="2" width="16.42578125" bestFit="1" customWidth="1"/>
  </cols>
  <sheetData>
    <row r="1" spans="1:5" x14ac:dyDescent="0.25">
      <c r="A1" t="s">
        <v>0</v>
      </c>
      <c r="B1" s="1" t="s">
        <v>7</v>
      </c>
      <c r="D1" t="s">
        <v>8</v>
      </c>
      <c r="E1" t="s">
        <v>9</v>
      </c>
    </row>
    <row r="2" spans="1:5" x14ac:dyDescent="0.25">
      <c r="A2" s="2">
        <v>28033</v>
      </c>
      <c r="B2" s="1">
        <f>IF([1]Rseries!J7="","",[1]Rseries!J7)</f>
        <v>12924000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">
        <f>IF([1]Rseries!J8="","",[1]Rseries!J8)</f>
        <v>12815500</v>
      </c>
    </row>
    <row r="4" spans="1:5" x14ac:dyDescent="0.25">
      <c r="A4" s="2">
        <v>28215</v>
      </c>
      <c r="B4" s="1">
        <f>IF([1]Rseries!J9="","",[1]Rseries!J9)</f>
        <v>12762300</v>
      </c>
    </row>
    <row r="5" spans="1:5" x14ac:dyDescent="0.25">
      <c r="A5" s="2">
        <v>28306</v>
      </c>
      <c r="B5" s="1">
        <f>IF([1]Rseries!J10="","",[1]Rseries!J10)</f>
        <v>12727000</v>
      </c>
    </row>
    <row r="6" spans="1:5" x14ac:dyDescent="0.25">
      <c r="A6" s="2">
        <v>28398</v>
      </c>
      <c r="B6" s="1">
        <f>IF([1]Rseries!J11="","",[1]Rseries!J11)</f>
        <v>12736800</v>
      </c>
    </row>
    <row r="7" spans="1:5" x14ac:dyDescent="0.25">
      <c r="A7" s="2">
        <v>28490</v>
      </c>
      <c r="B7" s="1">
        <f>IF([1]Rseries!J12="","",[1]Rseries!J12)</f>
        <v>12738300</v>
      </c>
    </row>
    <row r="8" spans="1:5" x14ac:dyDescent="0.25">
      <c r="A8" s="2">
        <v>28580</v>
      </c>
      <c r="B8" s="1">
        <f>IF([1]Rseries!J13="","",[1]Rseries!J13)</f>
        <v>12617800</v>
      </c>
    </row>
    <row r="9" spans="1:5" x14ac:dyDescent="0.25">
      <c r="A9" s="2">
        <v>28671</v>
      </c>
      <c r="B9" s="1">
        <f>IF([1]Rseries!J14="","",[1]Rseries!J14)</f>
        <v>12548300</v>
      </c>
    </row>
    <row r="10" spans="1:5" x14ac:dyDescent="0.25">
      <c r="A10" s="2">
        <v>28763</v>
      </c>
      <c r="B10" s="1">
        <f>IF([1]Rseries!J15="","",[1]Rseries!J15)</f>
        <v>12541200</v>
      </c>
    </row>
    <row r="11" spans="1:5" x14ac:dyDescent="0.25">
      <c r="A11" s="2">
        <v>28855</v>
      </c>
      <c r="B11" s="1">
        <f>IF([1]Rseries!J16="","",[1]Rseries!J16)</f>
        <v>12472200</v>
      </c>
    </row>
    <row r="12" spans="1:5" x14ac:dyDescent="0.25">
      <c r="A12" s="2">
        <v>28945</v>
      </c>
      <c r="B12" s="1">
        <f>IF([1]Rseries!J17="","",[1]Rseries!J17)</f>
        <v>12434000</v>
      </c>
    </row>
    <row r="13" spans="1:5" x14ac:dyDescent="0.25">
      <c r="A13" s="2">
        <v>29036</v>
      </c>
      <c r="B13" s="1">
        <f>IF([1]Rseries!J18="","",[1]Rseries!J18)</f>
        <v>12359400</v>
      </c>
    </row>
    <row r="14" spans="1:5" x14ac:dyDescent="0.25">
      <c r="A14" s="2">
        <v>29128</v>
      </c>
      <c r="B14" s="1">
        <f>IF([1]Rseries!J19="","",[1]Rseries!J19)</f>
        <v>12394200</v>
      </c>
    </row>
    <row r="15" spans="1:5" x14ac:dyDescent="0.25">
      <c r="A15" s="2">
        <v>29220</v>
      </c>
      <c r="B15" s="1">
        <f>IF([1]Rseries!J20="","",[1]Rseries!J20)</f>
        <v>12309100</v>
      </c>
    </row>
    <row r="16" spans="1:5" x14ac:dyDescent="0.25">
      <c r="A16" s="2">
        <v>29311</v>
      </c>
      <c r="B16" s="1">
        <f>IF([1]Rseries!J21="","",[1]Rseries!J21)</f>
        <v>12160000</v>
      </c>
    </row>
    <row r="17" spans="1:2" x14ac:dyDescent="0.25">
      <c r="A17" s="2">
        <v>29402</v>
      </c>
      <c r="B17" s="1">
        <f>IF([1]Rseries!J22="","",[1]Rseries!J22)</f>
        <v>12039400</v>
      </c>
    </row>
    <row r="18" spans="1:2" x14ac:dyDescent="0.25">
      <c r="A18" s="2">
        <v>29494</v>
      </c>
      <c r="B18" s="1">
        <f>IF([1]Rseries!J23="","",[1]Rseries!J23)</f>
        <v>12029800</v>
      </c>
    </row>
    <row r="19" spans="1:2" x14ac:dyDescent="0.25">
      <c r="A19" s="2">
        <v>29586</v>
      </c>
      <c r="B19" s="1">
        <f>IF([1]Rseries!J24="","",[1]Rseries!J24)</f>
        <v>11937200</v>
      </c>
    </row>
    <row r="20" spans="1:2" x14ac:dyDescent="0.25">
      <c r="A20" s="2">
        <v>29676</v>
      </c>
      <c r="B20" s="1">
        <f>IF([1]Rseries!J25="","",[1]Rseries!J25)</f>
        <v>11802500</v>
      </c>
    </row>
    <row r="21" spans="1:2" x14ac:dyDescent="0.25">
      <c r="A21" s="2">
        <v>29767</v>
      </c>
      <c r="B21" s="1">
        <f>IF([1]Rseries!J26="","",[1]Rseries!J26)</f>
        <v>11725900</v>
      </c>
    </row>
    <row r="22" spans="1:2" x14ac:dyDescent="0.25">
      <c r="A22" s="2">
        <v>29859</v>
      </c>
      <c r="B22" s="1">
        <f>IF([1]Rseries!J27="","",[1]Rseries!J27)</f>
        <v>11743700</v>
      </c>
    </row>
    <row r="23" spans="1:2" x14ac:dyDescent="0.25">
      <c r="A23" s="2">
        <v>29951</v>
      </c>
      <c r="B23" s="1">
        <f>IF([1]Rseries!J28="","",[1]Rseries!J28)</f>
        <v>11668000</v>
      </c>
    </row>
    <row r="24" spans="1:2" x14ac:dyDescent="0.25">
      <c r="A24" s="2">
        <v>30041</v>
      </c>
      <c r="B24" s="1">
        <f>IF([1]Rseries!J29="","",[1]Rseries!J29)</f>
        <v>11616000</v>
      </c>
    </row>
    <row r="25" spans="1:2" x14ac:dyDescent="0.25">
      <c r="A25" s="2">
        <v>30132</v>
      </c>
      <c r="B25" s="1">
        <f>IF([1]Rseries!J30="","",[1]Rseries!J30)</f>
        <v>11624100</v>
      </c>
    </row>
    <row r="26" spans="1:2" x14ac:dyDescent="0.25">
      <c r="A26" s="2">
        <v>30224</v>
      </c>
      <c r="B26" s="1">
        <f>IF([1]Rseries!J31="","",[1]Rseries!J31)</f>
        <v>11647500</v>
      </c>
    </row>
    <row r="27" spans="1:2" x14ac:dyDescent="0.25">
      <c r="A27" s="2">
        <v>30316</v>
      </c>
      <c r="B27" s="1">
        <f>IF([1]Rseries!J32="","",[1]Rseries!J32)</f>
        <v>11624500</v>
      </c>
    </row>
    <row r="28" spans="1:2" x14ac:dyDescent="0.25">
      <c r="A28" s="2">
        <v>30406</v>
      </c>
      <c r="B28" s="1">
        <f>IF([1]Rseries!J33="","",[1]Rseries!J33)</f>
        <v>11509600</v>
      </c>
    </row>
    <row r="29" spans="1:2" x14ac:dyDescent="0.25">
      <c r="A29" s="2">
        <v>30497</v>
      </c>
      <c r="B29" s="1">
        <f>IF([1]Rseries!J34="","",[1]Rseries!J34)</f>
        <v>11562500</v>
      </c>
    </row>
    <row r="30" spans="1:2" x14ac:dyDescent="0.25">
      <c r="A30" s="2">
        <v>30589</v>
      </c>
      <c r="B30" s="1">
        <f>IF([1]Rseries!J35="","",[1]Rseries!J35)</f>
        <v>11640800</v>
      </c>
    </row>
    <row r="31" spans="1:2" x14ac:dyDescent="0.25">
      <c r="A31" s="2">
        <v>30681</v>
      </c>
      <c r="B31" s="1">
        <f>IF([1]Rseries!J36="","",[1]Rseries!J36)</f>
        <v>11560700</v>
      </c>
    </row>
    <row r="32" spans="1:2" x14ac:dyDescent="0.25">
      <c r="A32" s="2">
        <v>30772</v>
      </c>
      <c r="B32" s="1">
        <f>IF([1]Rseries!J37="","",[1]Rseries!J37)</f>
        <v>11318900</v>
      </c>
    </row>
    <row r="33" spans="1:2" x14ac:dyDescent="0.25">
      <c r="A33" s="2">
        <v>30863</v>
      </c>
      <c r="B33" s="1">
        <f>IF([1]Rseries!J38="","",[1]Rseries!J38)</f>
        <v>11266000</v>
      </c>
    </row>
    <row r="34" spans="1:2" x14ac:dyDescent="0.25">
      <c r="A34" s="2">
        <v>30955</v>
      </c>
      <c r="B34" s="1">
        <f>IF([1]Rseries!J39="","",[1]Rseries!J39)</f>
        <v>11290200</v>
      </c>
    </row>
    <row r="35" spans="1:2" x14ac:dyDescent="0.25">
      <c r="A35" s="2">
        <v>31047</v>
      </c>
      <c r="B35" s="1">
        <f>IF([1]Rseries!J40="","",[1]Rseries!J40)</f>
        <v>11187000</v>
      </c>
    </row>
    <row r="36" spans="1:2" x14ac:dyDescent="0.25">
      <c r="A36" s="2">
        <v>31137</v>
      </c>
      <c r="B36" s="1">
        <f>IF([1]Rseries!J41="","",[1]Rseries!J41)</f>
        <v>11127900</v>
      </c>
    </row>
    <row r="37" spans="1:2" x14ac:dyDescent="0.25">
      <c r="A37" s="2">
        <v>31228</v>
      </c>
      <c r="B37" s="1">
        <f>IF([1]Rseries!J42="","",[1]Rseries!J42)</f>
        <v>11095800</v>
      </c>
    </row>
    <row r="38" spans="1:2" x14ac:dyDescent="0.25">
      <c r="A38" s="2">
        <v>31320</v>
      </c>
      <c r="B38" s="1">
        <f>IF([1]Rseries!J43="","",[1]Rseries!J43)</f>
        <v>11176100</v>
      </c>
    </row>
    <row r="39" spans="1:2" x14ac:dyDescent="0.25">
      <c r="A39" s="2">
        <v>31412</v>
      </c>
      <c r="B39" s="1">
        <f>IF([1]Rseries!J44="","",[1]Rseries!J44)</f>
        <v>11203000</v>
      </c>
    </row>
    <row r="40" spans="1:2" x14ac:dyDescent="0.25">
      <c r="A40" s="2">
        <v>31502</v>
      </c>
      <c r="B40" s="1">
        <f>IF([1]Rseries!J45="","",[1]Rseries!J45)</f>
        <v>11195800</v>
      </c>
    </row>
    <row r="41" spans="1:2" x14ac:dyDescent="0.25">
      <c r="A41" s="2">
        <v>31593</v>
      </c>
      <c r="B41" s="1">
        <f>IF([1]Rseries!J46="","",[1]Rseries!J46)</f>
        <v>11297700</v>
      </c>
    </row>
    <row r="42" spans="1:2" x14ac:dyDescent="0.25">
      <c r="A42" s="2">
        <v>31685</v>
      </c>
      <c r="B42" s="1">
        <f>IF([1]Rseries!J47="","",[1]Rseries!J47)</f>
        <v>11422600</v>
      </c>
    </row>
    <row r="43" spans="1:2" x14ac:dyDescent="0.25">
      <c r="A43" s="2">
        <v>31777</v>
      </c>
      <c r="B43" s="1">
        <f>IF([1]Rseries!J48="","",[1]Rseries!J48)</f>
        <v>11505900</v>
      </c>
    </row>
    <row r="44" spans="1:2" x14ac:dyDescent="0.25">
      <c r="A44" s="2">
        <v>31867</v>
      </c>
      <c r="B44" s="1">
        <f>IF([1]Rseries!J49="","",[1]Rseries!J49)</f>
        <v>11529600</v>
      </c>
    </row>
    <row r="45" spans="1:2" x14ac:dyDescent="0.25">
      <c r="A45" s="2">
        <v>31958</v>
      </c>
      <c r="B45" s="1">
        <f>IF([1]Rseries!J50="","",[1]Rseries!J50)</f>
        <v>11837000</v>
      </c>
    </row>
    <row r="46" spans="1:2" x14ac:dyDescent="0.25">
      <c r="A46" s="2">
        <v>32050</v>
      </c>
      <c r="B46" s="1">
        <f>IF([1]Rseries!J51="","",[1]Rseries!J51)</f>
        <v>12058600</v>
      </c>
    </row>
    <row r="47" spans="1:2" x14ac:dyDescent="0.25">
      <c r="A47" s="2">
        <v>32142</v>
      </c>
      <c r="B47" s="1">
        <f>IF([1]Rseries!J52="","",[1]Rseries!J52)</f>
        <v>12157800</v>
      </c>
    </row>
    <row r="48" spans="1:2" x14ac:dyDescent="0.25">
      <c r="A48" s="2">
        <v>32233</v>
      </c>
      <c r="B48" s="1">
        <f>IF([1]Rseries!J53="","",[1]Rseries!J53)</f>
        <v>12160600</v>
      </c>
    </row>
    <row r="49" spans="1:2" x14ac:dyDescent="0.25">
      <c r="A49" s="2">
        <v>32324</v>
      </c>
      <c r="B49" s="1">
        <f>IF([1]Rseries!J54="","",[1]Rseries!J54)</f>
        <v>12257000</v>
      </c>
    </row>
    <row r="50" spans="1:2" x14ac:dyDescent="0.25">
      <c r="A50" s="2">
        <v>32416</v>
      </c>
      <c r="B50" s="1">
        <f>IF([1]Rseries!J55="","",[1]Rseries!J55)</f>
        <v>12465800</v>
      </c>
    </row>
    <row r="51" spans="1:2" x14ac:dyDescent="0.25">
      <c r="A51" s="2">
        <v>32508</v>
      </c>
      <c r="B51" s="1">
        <f>IF([1]Rseries!J56="","",[1]Rseries!J56)</f>
        <v>12517900</v>
      </c>
    </row>
    <row r="52" spans="1:2" x14ac:dyDescent="0.25">
      <c r="A52" s="2">
        <v>32598</v>
      </c>
      <c r="B52" s="1">
        <f>IF([1]Rseries!J57="","",[1]Rseries!J57)</f>
        <v>12554200</v>
      </c>
    </row>
    <row r="53" spans="1:2" x14ac:dyDescent="0.25">
      <c r="A53" s="2">
        <v>32689</v>
      </c>
      <c r="B53" s="1">
        <f>IF([1]Rseries!J58="","",[1]Rseries!J58)</f>
        <v>12717700</v>
      </c>
    </row>
    <row r="54" spans="1:2" x14ac:dyDescent="0.25">
      <c r="A54" s="2">
        <v>32781</v>
      </c>
      <c r="B54" s="1">
        <f>IF([1]Rseries!J59="","",[1]Rseries!J59)</f>
        <v>12939400</v>
      </c>
    </row>
    <row r="55" spans="1:2" x14ac:dyDescent="0.25">
      <c r="A55" s="2">
        <v>32873</v>
      </c>
      <c r="B55" s="1">
        <f>IF([1]Rseries!J60="","",[1]Rseries!J60)</f>
        <v>12928400</v>
      </c>
    </row>
    <row r="56" spans="1:2" x14ac:dyDescent="0.25">
      <c r="A56" s="2">
        <v>32963</v>
      </c>
      <c r="B56" s="1">
        <f>IF([1]Rseries!J61="","",[1]Rseries!J61)</f>
        <v>12984200</v>
      </c>
    </row>
    <row r="57" spans="1:2" x14ac:dyDescent="0.25">
      <c r="A57" s="2">
        <v>33054</v>
      </c>
      <c r="B57" s="1">
        <f>IF([1]Rseries!J62="","",[1]Rseries!J62)</f>
        <v>13053500</v>
      </c>
    </row>
    <row r="58" spans="1:2" x14ac:dyDescent="0.25">
      <c r="A58" s="2">
        <v>33146</v>
      </c>
      <c r="B58" s="1">
        <f>IF([1]Rseries!J63="","",[1]Rseries!J63)</f>
        <v>13180300</v>
      </c>
    </row>
    <row r="59" spans="1:2" x14ac:dyDescent="0.25">
      <c r="A59" s="2">
        <v>33238</v>
      </c>
      <c r="B59" s="1">
        <f>IF([1]Rseries!J64="","",[1]Rseries!J64)</f>
        <v>13188500</v>
      </c>
    </row>
    <row r="60" spans="1:2" x14ac:dyDescent="0.25">
      <c r="A60" s="2">
        <v>33328</v>
      </c>
      <c r="B60" s="1">
        <f>IF([1]Rseries!J65="","",[1]Rseries!J65)</f>
        <v>13172100</v>
      </c>
    </row>
    <row r="61" spans="1:2" x14ac:dyDescent="0.25">
      <c r="A61" s="2">
        <v>33419</v>
      </c>
      <c r="B61" s="1">
        <f>IF([1]Rseries!J66="","",[1]Rseries!J66)</f>
        <v>13214300</v>
      </c>
    </row>
    <row r="62" spans="1:2" x14ac:dyDescent="0.25">
      <c r="A62" s="2">
        <v>33511</v>
      </c>
      <c r="B62" s="1">
        <f>IF([1]Rseries!J67="","",[1]Rseries!J67)</f>
        <v>13266900</v>
      </c>
    </row>
    <row r="63" spans="1:2" x14ac:dyDescent="0.25">
      <c r="A63" s="2">
        <v>33603</v>
      </c>
      <c r="B63" s="1">
        <f>IF([1]Rseries!J68="","",[1]Rseries!J68)</f>
        <v>13161800</v>
      </c>
    </row>
    <row r="64" spans="1:2" x14ac:dyDescent="0.25">
      <c r="A64" s="2">
        <v>33694</v>
      </c>
      <c r="B64" s="1">
        <f>IF([1]Rseries!J69="","",[1]Rseries!J69)</f>
        <v>13056100</v>
      </c>
    </row>
    <row r="65" spans="1:2" x14ac:dyDescent="0.25">
      <c r="A65" s="2">
        <v>33785</v>
      </c>
      <c r="B65" s="1">
        <f>IF([1]Rseries!J70="","",[1]Rseries!J70)</f>
        <v>13040000</v>
      </c>
    </row>
    <row r="66" spans="1:2" x14ac:dyDescent="0.25">
      <c r="A66" s="2">
        <v>33877</v>
      </c>
      <c r="B66" s="1">
        <f>IF([1]Rseries!J71="","",[1]Rseries!J71)</f>
        <v>13016500</v>
      </c>
    </row>
    <row r="67" spans="1:2" x14ac:dyDescent="0.25">
      <c r="A67" s="2">
        <v>33969</v>
      </c>
      <c r="B67" s="1">
        <f>IF([1]Rseries!J72="","",[1]Rseries!J72)</f>
        <v>12763500</v>
      </c>
    </row>
    <row r="68" spans="1:2" x14ac:dyDescent="0.25">
      <c r="A68" s="2">
        <v>34059</v>
      </c>
      <c r="B68" s="1">
        <f>IF([1]Rseries!J73="","",[1]Rseries!J73)</f>
        <v>12473700</v>
      </c>
    </row>
    <row r="69" spans="1:2" x14ac:dyDescent="0.25">
      <c r="A69" s="2">
        <v>34150</v>
      </c>
      <c r="B69" s="1">
        <f>IF([1]Rseries!J74="","",[1]Rseries!J74)</f>
        <v>12470300</v>
      </c>
    </row>
    <row r="70" spans="1:2" x14ac:dyDescent="0.25">
      <c r="A70" s="2">
        <v>34242</v>
      </c>
      <c r="B70" s="1">
        <f>IF([1]Rseries!J75="","",[1]Rseries!J75)</f>
        <v>12468000</v>
      </c>
    </row>
    <row r="71" spans="1:2" x14ac:dyDescent="0.25">
      <c r="A71" s="2">
        <v>34334</v>
      </c>
      <c r="B71" s="1">
        <f>IF([1]Rseries!J76="","",[1]Rseries!J76)</f>
        <v>12350000</v>
      </c>
    </row>
    <row r="72" spans="1:2" x14ac:dyDescent="0.25">
      <c r="A72" s="2">
        <v>34424</v>
      </c>
      <c r="B72" s="1">
        <f>IF([1]Rseries!J77="","",[1]Rseries!J77)</f>
        <v>12235200</v>
      </c>
    </row>
    <row r="73" spans="1:2" x14ac:dyDescent="0.25">
      <c r="A73" s="2">
        <v>34515</v>
      </c>
      <c r="B73" s="1">
        <f>IF([1]Rseries!J78="","",[1]Rseries!J78)</f>
        <v>12332800</v>
      </c>
    </row>
    <row r="74" spans="1:2" x14ac:dyDescent="0.25">
      <c r="A74" s="2">
        <v>34607</v>
      </c>
      <c r="B74" s="1">
        <f>IF([1]Rseries!J79="","",[1]Rseries!J79)</f>
        <v>12424600</v>
      </c>
    </row>
    <row r="75" spans="1:2" x14ac:dyDescent="0.25">
      <c r="A75" s="2">
        <v>34699</v>
      </c>
      <c r="B75" s="1">
        <f>IF([1]Rseries!J80="","",[1]Rseries!J80)</f>
        <v>12424700</v>
      </c>
    </row>
    <row r="76" spans="1:2" x14ac:dyDescent="0.25">
      <c r="A76" s="2">
        <v>34789</v>
      </c>
      <c r="B76" s="1">
        <f>IF([1]Rseries!J81="","",[1]Rseries!J81)</f>
        <v>12506300</v>
      </c>
    </row>
    <row r="77" spans="1:2" x14ac:dyDescent="0.25">
      <c r="A77" s="2">
        <v>34880</v>
      </c>
      <c r="B77" s="1">
        <f>IF([1]Rseries!J82="","",[1]Rseries!J82)</f>
        <v>12641500</v>
      </c>
    </row>
    <row r="78" spans="1:2" x14ac:dyDescent="0.25">
      <c r="A78" s="2">
        <v>34972</v>
      </c>
      <c r="B78" s="1">
        <f>IF([1]Rseries!J83="","",[1]Rseries!J83)</f>
        <v>12750500</v>
      </c>
    </row>
    <row r="79" spans="1:2" x14ac:dyDescent="0.25">
      <c r="A79" s="2">
        <v>35064</v>
      </c>
      <c r="B79" s="1">
        <f>IF([1]Rseries!J84="","",[1]Rseries!J84)</f>
        <v>12736700</v>
      </c>
    </row>
    <row r="80" spans="1:2" x14ac:dyDescent="0.25">
      <c r="A80" s="2">
        <v>35155</v>
      </c>
      <c r="B80" s="1">
        <f>IF([1]Rseries!J85="","",[1]Rseries!J85)</f>
        <v>12773400</v>
      </c>
    </row>
    <row r="81" spans="1:2" x14ac:dyDescent="0.25">
      <c r="A81" s="2">
        <v>35246</v>
      </c>
      <c r="B81" s="1">
        <f>IF([1]Rseries!J86="","",[1]Rseries!J86)</f>
        <v>12933800</v>
      </c>
    </row>
    <row r="82" spans="1:2" x14ac:dyDescent="0.25">
      <c r="A82" s="2">
        <v>35338</v>
      </c>
      <c r="B82" s="1">
        <f>IF([1]Rseries!J87="","",[1]Rseries!J87)</f>
        <v>13154500</v>
      </c>
    </row>
    <row r="83" spans="1:2" x14ac:dyDescent="0.25">
      <c r="A83" s="2">
        <v>35430</v>
      </c>
      <c r="B83" s="1">
        <f>IF([1]Rseries!J88="","",[1]Rseries!J88)</f>
        <v>13211200</v>
      </c>
    </row>
    <row r="84" spans="1:2" x14ac:dyDescent="0.25">
      <c r="A84" s="2">
        <v>35520</v>
      </c>
      <c r="B84" s="1">
        <f>IF([1]Rseries!J89="","",[1]Rseries!J89)</f>
        <v>13273200</v>
      </c>
    </row>
    <row r="85" spans="1:2" x14ac:dyDescent="0.25">
      <c r="A85" s="2">
        <v>35611</v>
      </c>
      <c r="B85" s="1">
        <f>IF([1]Rseries!J90="","",[1]Rseries!J90)</f>
        <v>13422200</v>
      </c>
    </row>
    <row r="86" spans="1:2" x14ac:dyDescent="0.25">
      <c r="A86" s="2">
        <v>35703</v>
      </c>
      <c r="B86" s="1">
        <f>IF([1]Rseries!J91="","",[1]Rseries!J91)</f>
        <v>13592500</v>
      </c>
    </row>
    <row r="87" spans="1:2" x14ac:dyDescent="0.25">
      <c r="A87" s="2">
        <v>35795</v>
      </c>
      <c r="B87" s="1">
        <f>IF([1]Rseries!J92="","",[1]Rseries!J92)</f>
        <v>13681200</v>
      </c>
    </row>
    <row r="88" spans="1:2" x14ac:dyDescent="0.25">
      <c r="A88" s="2">
        <v>35885</v>
      </c>
      <c r="B88" s="1">
        <f>IF([1]Rseries!J93="","",[1]Rseries!J93)</f>
        <v>13779600</v>
      </c>
    </row>
    <row r="89" spans="1:2" x14ac:dyDescent="0.25">
      <c r="A89" s="2">
        <v>35976</v>
      </c>
      <c r="B89" s="1">
        <f>IF([1]Rseries!J94="","",[1]Rseries!J94)</f>
        <v>13960900</v>
      </c>
    </row>
    <row r="90" spans="1:2" x14ac:dyDescent="0.25">
      <c r="A90" s="2">
        <v>36068</v>
      </c>
      <c r="B90" s="1">
        <f>IF([1]Rseries!J95="","",[1]Rseries!J95)</f>
        <v>14194300</v>
      </c>
    </row>
    <row r="91" spans="1:2" x14ac:dyDescent="0.25">
      <c r="A91" s="2">
        <v>36160</v>
      </c>
      <c r="B91" s="1">
        <f>IF([1]Rseries!J96="","",[1]Rseries!J96)</f>
        <v>14268700</v>
      </c>
    </row>
    <row r="92" spans="1:2" x14ac:dyDescent="0.25">
      <c r="A92" s="2">
        <v>36250</v>
      </c>
      <c r="B92" s="1">
        <f>IF([1]Rseries!J97="","",[1]Rseries!J97)</f>
        <v>14471000</v>
      </c>
    </row>
    <row r="93" spans="1:2" x14ac:dyDescent="0.25">
      <c r="A93" s="2">
        <v>36341</v>
      </c>
      <c r="B93" s="1">
        <f>IF([1]Rseries!J98="","",[1]Rseries!J98)</f>
        <v>14773100</v>
      </c>
    </row>
    <row r="94" spans="1:2" x14ac:dyDescent="0.25">
      <c r="A94" s="2">
        <v>36433</v>
      </c>
      <c r="B94" s="1">
        <f>IF([1]Rseries!J99="","",[1]Rseries!J99)</f>
        <v>14995500</v>
      </c>
    </row>
    <row r="95" spans="1:2" x14ac:dyDescent="0.25">
      <c r="A95" s="2">
        <v>36525</v>
      </c>
      <c r="B95" s="1">
        <f>IF([1]Rseries!J100="","",[1]Rseries!J100)</f>
        <v>15106500</v>
      </c>
    </row>
    <row r="96" spans="1:2" x14ac:dyDescent="0.25">
      <c r="A96" s="2">
        <v>36616</v>
      </c>
      <c r="B96" s="1">
        <f>IF([1]Rseries!J101="","",[1]Rseries!J101)</f>
        <v>15266000</v>
      </c>
    </row>
    <row r="97" spans="1:4" x14ac:dyDescent="0.25">
      <c r="A97" s="2">
        <v>36707</v>
      </c>
      <c r="B97" s="1">
        <f>IF([1]Rseries!J102="","",[1]Rseries!J102)</f>
        <v>15586900</v>
      </c>
    </row>
    <row r="98" spans="1:4" x14ac:dyDescent="0.25">
      <c r="A98" s="2">
        <v>36799</v>
      </c>
      <c r="B98" s="1">
        <f>IF([1]Rseries!J103="","",[1]Rseries!J103)</f>
        <v>15828500</v>
      </c>
    </row>
    <row r="99" spans="1:4" x14ac:dyDescent="0.25">
      <c r="A99" s="2">
        <v>36891</v>
      </c>
      <c r="B99" s="1">
        <f>IF([1]Rseries!J104="","",[1]Rseries!J104)</f>
        <v>15929000</v>
      </c>
    </row>
    <row r="100" spans="1:4" x14ac:dyDescent="0.25">
      <c r="A100" s="2">
        <v>36981</v>
      </c>
      <c r="B100" s="1">
        <f>IF([1]Rseries!J105="","",[1]Rseries!J105)</f>
        <v>16013000</v>
      </c>
    </row>
    <row r="101" spans="1:4" x14ac:dyDescent="0.25">
      <c r="A101" s="2">
        <v>37072</v>
      </c>
      <c r="B101" s="1">
        <f>IF([1]Rseries!J106="","",[1]Rseries!J106)</f>
        <v>16223000</v>
      </c>
    </row>
    <row r="102" spans="1:4" x14ac:dyDescent="0.25">
      <c r="A102" s="2">
        <v>37164</v>
      </c>
      <c r="B102" s="1">
        <f>IF([1]Rseries!J107="","",[1]Rseries!J107)</f>
        <v>16441000</v>
      </c>
    </row>
    <row r="103" spans="1:4" x14ac:dyDescent="0.25">
      <c r="A103" s="2">
        <v>37256</v>
      </c>
      <c r="B103" s="1">
        <f>IF([1]Rseries!J108="","",[1]Rseries!J108)</f>
        <v>16494900</v>
      </c>
    </row>
    <row r="104" spans="1:4" x14ac:dyDescent="0.25">
      <c r="A104" s="2">
        <v>37346</v>
      </c>
      <c r="B104" s="1">
        <f>IF([1]Rseries!J109="","",[1]Rseries!J109)</f>
        <v>16482300</v>
      </c>
    </row>
    <row r="105" spans="1:4" x14ac:dyDescent="0.25">
      <c r="A105" s="2">
        <v>37437</v>
      </c>
      <c r="B105" s="1">
        <f>IF([1]Rseries!J110="","",[1]Rseries!J110)</f>
        <v>16766900</v>
      </c>
    </row>
    <row r="106" spans="1:4" x14ac:dyDescent="0.25">
      <c r="A106" s="2">
        <v>37529</v>
      </c>
      <c r="B106" s="1">
        <f>IF([1]Rseries!J111="","",[1]Rseries!J111)</f>
        <v>16919300</v>
      </c>
    </row>
    <row r="107" spans="1:4" x14ac:dyDescent="0.25">
      <c r="A107" s="2">
        <v>37621</v>
      </c>
      <c r="B107" s="1">
        <f>IF([1]Rseries!J112="","",[1]Rseries!J112)</f>
        <v>16991900</v>
      </c>
    </row>
    <row r="108" spans="1:4" x14ac:dyDescent="0.25">
      <c r="A108" s="2">
        <v>37711</v>
      </c>
      <c r="B108" s="1">
        <f>IF([1]Rseries!J113="","",[1]Rseries!J113)</f>
        <v>17092700</v>
      </c>
    </row>
    <row r="109" spans="1:4" x14ac:dyDescent="0.25">
      <c r="A109" s="2">
        <v>37802</v>
      </c>
      <c r="B109" s="1">
        <f>IF([1]Rseries!J114="","",[1]Rseries!J114)</f>
        <v>17423200</v>
      </c>
    </row>
    <row r="110" spans="1:4" x14ac:dyDescent="0.25">
      <c r="A110" s="2">
        <v>37894</v>
      </c>
      <c r="B110" s="1">
        <f>IF([1]Rseries!J115="","",[1]Rseries!J115)</f>
        <v>17646000</v>
      </c>
    </row>
    <row r="111" spans="1:4" x14ac:dyDescent="0.25">
      <c r="A111" s="2">
        <v>37986</v>
      </c>
      <c r="B111" s="1">
        <f>IF([1]Rseries!J116="","",[1]Rseries!J116)</f>
        <v>17740500</v>
      </c>
      <c r="D111" s="1">
        <v>13246907.774999999</v>
      </c>
    </row>
    <row r="112" spans="1:4" x14ac:dyDescent="0.25">
      <c r="A112" s="2">
        <v>38077</v>
      </c>
      <c r="B112" s="1">
        <f>IF([1]Rseries!J117="","",[1]Rseries!J117)</f>
        <v>17770200</v>
      </c>
    </row>
    <row r="113" spans="1:2" x14ac:dyDescent="0.25">
      <c r="A113" s="2">
        <v>38168</v>
      </c>
      <c r="B113" s="1">
        <f>IF([1]Rseries!J118="","",[1]Rseries!J118)</f>
        <v>18018900</v>
      </c>
    </row>
    <row r="114" spans="1:2" x14ac:dyDescent="0.25">
      <c r="A114" s="2">
        <v>38260</v>
      </c>
      <c r="B114" s="1">
        <f>IF([1]Rseries!J119="","",[1]Rseries!J119)</f>
        <v>18289100</v>
      </c>
    </row>
    <row r="115" spans="1:2" x14ac:dyDescent="0.25">
      <c r="A115" s="2">
        <v>38352</v>
      </c>
      <c r="B115" s="1">
        <f>IF([1]Rseries!J120="","",[1]Rseries!J120)</f>
        <v>18490800</v>
      </c>
    </row>
    <row r="116" spans="1:2" x14ac:dyDescent="0.25">
      <c r="A116" s="2">
        <v>38442</v>
      </c>
      <c r="B116" s="1">
        <f>IF([1]Rseries!J121="","",[1]Rseries!J121)</f>
        <v>18736100</v>
      </c>
    </row>
    <row r="117" spans="1:2" x14ac:dyDescent="0.25">
      <c r="A117" s="2">
        <v>38533</v>
      </c>
      <c r="B117" s="1">
        <f>IF([1]Rseries!J122="","",[1]Rseries!J122)</f>
        <v>19160600</v>
      </c>
    </row>
    <row r="118" spans="1:2" x14ac:dyDescent="0.25">
      <c r="A118" s="2">
        <v>38625</v>
      </c>
      <c r="B118" s="1">
        <f>IF([1]Rseries!J123="","",[1]Rseries!J123)</f>
        <v>19422100</v>
      </c>
    </row>
    <row r="119" spans="1:2" x14ac:dyDescent="0.25">
      <c r="A119" s="2">
        <v>38717</v>
      </c>
      <c r="B119" s="1">
        <f>IF([1]Rseries!J124="","",[1]Rseries!J124)</f>
        <v>19509200</v>
      </c>
    </row>
    <row r="120" spans="1:2" x14ac:dyDescent="0.25">
      <c r="A120" s="2">
        <v>38807</v>
      </c>
      <c r="B120" s="1">
        <f>IF([1]Rseries!J125="","",[1]Rseries!J125)</f>
        <v>19578400</v>
      </c>
    </row>
    <row r="121" spans="1:2" x14ac:dyDescent="0.25">
      <c r="A121" s="2">
        <v>38898</v>
      </c>
      <c r="B121" s="1">
        <f>IF([1]Rseries!J126="","",[1]Rseries!J126)</f>
        <v>19891600</v>
      </c>
    </row>
    <row r="122" spans="1:2" x14ac:dyDescent="0.25">
      <c r="A122" s="2">
        <v>38990</v>
      </c>
      <c r="B122" s="1">
        <f>IF([1]Rseries!J127="","",[1]Rseries!J127)</f>
        <v>20091000</v>
      </c>
    </row>
    <row r="123" spans="1:2" x14ac:dyDescent="0.25">
      <c r="A123" s="2">
        <v>39082</v>
      </c>
      <c r="B123" s="1">
        <f>IF([1]Rseries!J128="","",[1]Rseries!J128)</f>
        <v>20195400</v>
      </c>
    </row>
    <row r="124" spans="1:2" x14ac:dyDescent="0.25">
      <c r="A124" s="2">
        <v>39172</v>
      </c>
      <c r="B124" s="1">
        <f>IF([1]Rseries!J129="","",[1]Rseries!J129)</f>
        <v>20267500</v>
      </c>
    </row>
    <row r="125" spans="1:2" x14ac:dyDescent="0.25">
      <c r="A125" s="2">
        <v>39263</v>
      </c>
      <c r="B125" s="1">
        <f>IF([1]Rseries!J130="","",[1]Rseries!J130)</f>
        <v>20580900</v>
      </c>
    </row>
    <row r="126" spans="1:2" x14ac:dyDescent="0.25">
      <c r="A126" s="2">
        <v>39355</v>
      </c>
      <c r="B126" s="1">
        <f>IF([1]Rseries!J131="","",[1]Rseries!J131)</f>
        <v>20753400</v>
      </c>
    </row>
    <row r="127" spans="1:2" x14ac:dyDescent="0.25">
      <c r="A127" s="2">
        <v>39447</v>
      </c>
      <c r="B127" s="1">
        <f>IF([1]Rseries!J132="","",[1]Rseries!J132)</f>
        <v>20717900</v>
      </c>
    </row>
    <row r="128" spans="1:2" x14ac:dyDescent="0.25">
      <c r="A128" s="2">
        <v>39538</v>
      </c>
      <c r="B128" s="1">
        <f>IF([1]Rseries!J133="","",[1]Rseries!J133)</f>
        <v>20620000</v>
      </c>
    </row>
    <row r="129" spans="1:2" x14ac:dyDescent="0.25">
      <c r="A129" s="2">
        <v>39629</v>
      </c>
      <c r="B129" s="1">
        <f>IF([1]Rseries!J134="","",[1]Rseries!J134)</f>
        <v>20646900</v>
      </c>
    </row>
    <row r="130" spans="1:2" x14ac:dyDescent="0.25">
      <c r="A130" s="2">
        <v>39721</v>
      </c>
      <c r="B130" s="1">
        <f>IF([1]Rseries!J135="","",[1]Rseries!J135)</f>
        <v>20556400</v>
      </c>
    </row>
    <row r="131" spans="1:2" x14ac:dyDescent="0.25">
      <c r="A131" s="2">
        <v>39813</v>
      </c>
      <c r="B131" s="1">
        <f>IF([1]Rseries!J136="","",[1]Rseries!J136)</f>
        <v>20055300</v>
      </c>
    </row>
    <row r="132" spans="1:2" x14ac:dyDescent="0.25">
      <c r="A132" s="2">
        <v>39903</v>
      </c>
      <c r="B132" s="1">
        <f>IF([1]Rseries!J137="","",[1]Rseries!J137)</f>
        <v>19284400</v>
      </c>
    </row>
    <row r="133" spans="1:2" x14ac:dyDescent="0.25">
      <c r="A133" s="2">
        <v>39994</v>
      </c>
      <c r="B133" s="1">
        <f>IF([1]Rseries!J138="","",[1]Rseries!J138)</f>
        <v>19154200</v>
      </c>
    </row>
    <row r="134" spans="1:2" x14ac:dyDescent="0.25">
      <c r="A134" s="2">
        <v>40086</v>
      </c>
      <c r="B134" s="1">
        <f>IF([1]Rseries!J139="","",[1]Rseries!J139)</f>
        <v>19098400</v>
      </c>
    </row>
    <row r="135" spans="1:2" x14ac:dyDescent="0.25">
      <c r="A135" s="2">
        <v>40178</v>
      </c>
      <c r="B135" s="1">
        <f>IF([1]Rseries!J140="","",[1]Rseries!J140)</f>
        <v>18890400</v>
      </c>
    </row>
    <row r="136" spans="1:2" x14ac:dyDescent="0.25">
      <c r="A136" s="2">
        <v>40268</v>
      </c>
      <c r="B136" s="1">
        <f>IF([1]Rseries!J141="","",[1]Rseries!J141)</f>
        <v>18652900</v>
      </c>
    </row>
    <row r="137" spans="1:2" x14ac:dyDescent="0.25">
      <c r="A137" s="2">
        <v>40359</v>
      </c>
      <c r="B137" s="1">
        <f>IF([1]Rseries!J142="","",[1]Rseries!J142)</f>
        <v>18751100</v>
      </c>
    </row>
    <row r="138" spans="1:2" x14ac:dyDescent="0.25">
      <c r="A138" s="2">
        <v>40451</v>
      </c>
      <c r="B138" s="1">
        <f>IF([1]Rseries!J143="","",[1]Rseries!J143)</f>
        <v>18819000</v>
      </c>
    </row>
    <row r="139" spans="1:2" x14ac:dyDescent="0.25">
      <c r="A139" s="2">
        <v>40543</v>
      </c>
      <c r="B139" s="1">
        <f>IF([1]Rseries!J144="","",[1]Rseries!J144)</f>
        <v>18674900</v>
      </c>
    </row>
    <row r="140" spans="1:2" x14ac:dyDescent="0.25">
      <c r="A140" s="2">
        <v>40633</v>
      </c>
      <c r="B140" s="1">
        <f>IF([1]Rseries!J145="","",[1]Rseries!J145)</f>
        <v>18426200</v>
      </c>
    </row>
    <row r="141" spans="1:2" x14ac:dyDescent="0.25">
      <c r="A141" s="2">
        <v>40724</v>
      </c>
      <c r="B141" s="1">
        <f>IF([1]Rseries!J146="","",[1]Rseries!J146)</f>
        <v>18622000</v>
      </c>
    </row>
    <row r="142" spans="1:2" x14ac:dyDescent="0.25">
      <c r="A142" s="2">
        <v>40816</v>
      </c>
      <c r="B142" s="1">
        <f>IF([1]Rseries!J147="","",[1]Rseries!J147)</f>
        <v>18484500</v>
      </c>
    </row>
    <row r="143" spans="1:2" x14ac:dyDescent="0.25">
      <c r="A143" s="2">
        <v>40908</v>
      </c>
      <c r="B143" s="1">
        <f>IF([1]Rseries!J148="","",[1]Rseries!J148)</f>
        <v>18153000</v>
      </c>
    </row>
    <row r="144" spans="1:2" x14ac:dyDescent="0.25">
      <c r="A144" s="2">
        <v>40999</v>
      </c>
      <c r="B144" s="1">
        <f>IF([1]Rseries!J149="","",[1]Rseries!J149)</f>
        <v>17765100</v>
      </c>
    </row>
    <row r="145" spans="1:2" x14ac:dyDescent="0.25">
      <c r="A145" s="2">
        <v>41090</v>
      </c>
      <c r="B145" s="1">
        <f>IF([1]Rseries!J150="","",[1]Rseries!J150)</f>
        <v>17758500</v>
      </c>
    </row>
    <row r="146" spans="1:2" x14ac:dyDescent="0.25">
      <c r="A146" s="2">
        <v>41182</v>
      </c>
      <c r="B146" s="1">
        <f>IF([1]Rseries!J151="","",[1]Rseries!J151)</f>
        <v>17667700</v>
      </c>
    </row>
    <row r="147" spans="1:2" x14ac:dyDescent="0.25">
      <c r="A147" s="2">
        <v>41274</v>
      </c>
      <c r="B147" s="1">
        <f>IF([1]Rseries!J152="","",[1]Rseries!J152)</f>
        <v>17339400</v>
      </c>
    </row>
    <row r="148" spans="1:2" x14ac:dyDescent="0.25">
      <c r="A148" s="2">
        <v>41364</v>
      </c>
      <c r="B148" s="1">
        <f>IF([1]Rseries!J153="","",[1]Rseries!J153)</f>
        <v>17030200</v>
      </c>
    </row>
    <row r="149" spans="1:2" x14ac:dyDescent="0.25">
      <c r="A149" s="2">
        <v>41455</v>
      </c>
      <c r="B149" s="1">
        <f>IF([1]Rseries!J154="","",[1]Rseries!J154)</f>
        <v>17160600</v>
      </c>
    </row>
    <row r="150" spans="1:2" x14ac:dyDescent="0.25">
      <c r="A150" s="2">
        <v>41547</v>
      </c>
      <c r="B150" s="1">
        <f>IF([1]Rseries!J155="","",[1]Rseries!J155)</f>
        <v>17230000</v>
      </c>
    </row>
    <row r="151" spans="1:2" x14ac:dyDescent="0.25">
      <c r="A151" s="2">
        <v>41639</v>
      </c>
      <c r="B151" s="1">
        <f>IF([1]Rseries!J156="","",[1]Rseries!J156)</f>
        <v>17135200</v>
      </c>
    </row>
    <row r="152" spans="1:2" x14ac:dyDescent="0.25">
      <c r="A152" s="2">
        <v>41729</v>
      </c>
      <c r="B152" s="1">
        <f>IF([1]Rseries!J157="","",[1]Rseries!J157)</f>
        <v>16950600</v>
      </c>
    </row>
    <row r="153" spans="1:2" x14ac:dyDescent="0.25">
      <c r="A153" s="2">
        <v>41820</v>
      </c>
      <c r="B153" s="1">
        <f>IF([1]Rseries!J158="","",[1]Rseries!J158)</f>
        <v>17353000</v>
      </c>
    </row>
    <row r="154" spans="1:2" x14ac:dyDescent="0.25">
      <c r="A154" s="2">
        <v>41912</v>
      </c>
      <c r="B154" s="1">
        <f>IF([1]Rseries!J159="","",[1]Rseries!J159)</f>
        <v>17504000</v>
      </c>
    </row>
    <row r="155" spans="1:2" x14ac:dyDescent="0.25">
      <c r="A155" s="2">
        <v>42004</v>
      </c>
      <c r="B155" s="1">
        <f>IF([1]Rseries!J160="","",[1]Rseries!J160)</f>
        <v>17569100</v>
      </c>
    </row>
    <row r="156" spans="1:2" x14ac:dyDescent="0.25">
      <c r="A156" s="2">
        <v>42094</v>
      </c>
      <c r="B156" s="1">
        <f>IF([1]Rseries!J161="","",[1]Rseries!J161)</f>
        <v>17454800</v>
      </c>
    </row>
    <row r="157" spans="1:2" x14ac:dyDescent="0.25">
      <c r="A157" s="2">
        <v>42185</v>
      </c>
      <c r="B157" s="1">
        <f>IF([1]Rseries!J162="","",[1]Rseries!J162)</f>
        <v>17866500</v>
      </c>
    </row>
    <row r="158" spans="1:2" x14ac:dyDescent="0.25">
      <c r="A158" s="2">
        <v>42277</v>
      </c>
      <c r="B158" s="1">
        <f>IF([1]Rseries!J163="","",[1]Rseries!J163)</f>
        <v>18048700</v>
      </c>
    </row>
    <row r="159" spans="1:2" x14ac:dyDescent="0.25">
      <c r="A159" s="2">
        <v>42369</v>
      </c>
      <c r="B159" s="1">
        <f>IF([1]Rseries!J164="","",[1]Rseries!J164)</f>
        <v>18094200</v>
      </c>
    </row>
    <row r="160" spans="1:2" x14ac:dyDescent="0.25">
      <c r="A160" s="2">
        <v>42460</v>
      </c>
      <c r="B160" s="1">
        <f>IF([1]Rseries!J165="","",[1]Rseries!J165)</f>
        <v>18029600</v>
      </c>
    </row>
    <row r="161" spans="1:2" x14ac:dyDescent="0.25">
      <c r="A161" s="2">
        <v>42551</v>
      </c>
      <c r="B161" s="1">
        <f>IF([1]Rseries!J166="","",[1]Rseries!J166)</f>
        <v>18301000</v>
      </c>
    </row>
    <row r="162" spans="1:2" x14ac:dyDescent="0.25">
      <c r="A162" s="2">
        <v>42643</v>
      </c>
      <c r="B162" s="1">
        <f>IF([1]Rseries!J167="","",[1]Rseries!J167)</f>
        <v>18527500</v>
      </c>
    </row>
    <row r="163" spans="1:2" x14ac:dyDescent="0.25">
      <c r="A163" s="2">
        <v>42735</v>
      </c>
      <c r="B163" s="1">
        <f>IF([1]Rseries!J168="","",[1]Rseries!J168)</f>
        <v>18508100</v>
      </c>
    </row>
    <row r="164" spans="1:2" x14ac:dyDescent="0.25">
      <c r="A164" s="2">
        <v>42825</v>
      </c>
      <c r="B164" s="1">
        <f>IF([1]Rseries!J169="","",[1]Rseries!J169)</f>
        <v>18438300</v>
      </c>
    </row>
    <row r="165" spans="1:2" x14ac:dyDescent="0.25">
      <c r="A165" s="2">
        <v>42916</v>
      </c>
      <c r="B165" s="1">
        <f>IF([1]Rseries!J170="","",[1]Rseries!J170)</f>
        <v>18813311.16</v>
      </c>
    </row>
    <row r="166" spans="1:2" x14ac:dyDescent="0.25">
      <c r="A166" s="2">
        <v>43008</v>
      </c>
      <c r="B166" s="1">
        <f>IF([1]Rseries!J171="","",[1]Rseries!J171)</f>
        <v>19049213.309999999</v>
      </c>
    </row>
    <row r="167" spans="1:2" x14ac:dyDescent="0.25">
      <c r="A167" s="2">
        <v>43100</v>
      </c>
      <c r="B167" s="1">
        <f>IF([1]Rseries!J172="","",[1]Rseries!J172)</f>
        <v>18998352.77</v>
      </c>
    </row>
    <row r="168" spans="1:2" x14ac:dyDescent="0.25">
      <c r="A168" s="2">
        <v>43190</v>
      </c>
      <c r="B168" s="1">
        <f>IF([1]Rseries!J173="","",[1]Rseries!J173)</f>
        <v>18874205.210000001</v>
      </c>
    </row>
    <row r="169" spans="1:2" x14ac:dyDescent="0.25">
      <c r="A169" s="2">
        <v>43281</v>
      </c>
      <c r="B169" s="1">
        <f>IF([1]Rseries!J174="","",[1]Rseries!J174)</f>
        <v>19344066.300000001</v>
      </c>
    </row>
    <row r="170" spans="1:2" x14ac:dyDescent="0.25">
      <c r="A170" s="2">
        <v>43373</v>
      </c>
      <c r="B170" s="1">
        <f>IF([1]Rseries!J175="","",[1]Rseries!J175)</f>
        <v>19527980.25</v>
      </c>
    </row>
    <row r="171" spans="1:2" x14ac:dyDescent="0.25">
      <c r="A171" s="2">
        <v>43465</v>
      </c>
      <c r="B171" s="1">
        <f>IF([1]Rseries!J176="","",[1]Rseries!J176)</f>
        <v>19564553.190000001</v>
      </c>
    </row>
    <row r="172" spans="1:2" x14ac:dyDescent="0.25">
      <c r="A172" s="2">
        <v>43555</v>
      </c>
      <c r="B172" s="1">
        <f>IF([1]Rseries!J177="","",[1]Rseries!J177)</f>
        <v>19471100</v>
      </c>
    </row>
    <row r="173" spans="1:2" x14ac:dyDescent="0.25">
      <c r="A173" s="2">
        <v>43646</v>
      </c>
      <c r="B173" s="1">
        <f>IF([1]Rseries!J178="","",[1]Rseries!J178)</f>
        <v>19804909.600000001</v>
      </c>
    </row>
    <row r="174" spans="1:2" x14ac:dyDescent="0.25">
      <c r="A174" s="2">
        <v>43738</v>
      </c>
      <c r="B174" s="1">
        <f>IF([1]Rseries!J179="","",[1]Rseries!J179)</f>
        <v>19874323.489999998</v>
      </c>
    </row>
    <row r="175" spans="1:2" x14ac:dyDescent="0.25">
      <c r="A175" s="2">
        <v>43830</v>
      </c>
      <c r="B175" s="1">
        <f>IF([1]Rseries!J180="","",[1]Rseries!J180)</f>
        <v>19966883.920000002</v>
      </c>
    </row>
    <row r="176" spans="1:2" x14ac:dyDescent="0.25">
      <c r="A176" s="2">
        <v>43921</v>
      </c>
      <c r="B176" s="1">
        <f>IF([1]Rseries!J181="","",[1]Rseries!J181)</f>
        <v>19681264.620000001</v>
      </c>
    </row>
    <row r="177" spans="1:2" x14ac:dyDescent="0.25">
      <c r="A177" s="2">
        <v>44012</v>
      </c>
      <c r="B177" s="1">
        <f>IF([1]Rseries!J182="","",[1]Rseries!J182)</f>
        <v>18607220.190000001</v>
      </c>
    </row>
    <row r="178" spans="1:2" x14ac:dyDescent="0.25">
      <c r="A178" s="2">
        <v>44104</v>
      </c>
      <c r="B178" s="1">
        <f>IF([1]Rseries!J183="","",[1]Rseries!J183)</f>
        <v>19176869.359999999</v>
      </c>
    </row>
    <row r="179" spans="1:2" x14ac:dyDescent="0.25">
      <c r="A179" s="2">
        <v>44196</v>
      </c>
      <c r="B179" s="1">
        <f>IF([1]Rseries!J184="","",[1]Rseries!J184)</f>
        <v>19344287.010000002</v>
      </c>
    </row>
    <row r="180" spans="1:2" x14ac:dyDescent="0.25">
      <c r="A180" s="2">
        <v>44286</v>
      </c>
      <c r="B180" s="1" t="str">
        <f>IF([1]Rseries!J185="","",[1]Rseries!J185)</f>
        <v/>
      </c>
    </row>
    <row r="181" spans="1:2" x14ac:dyDescent="0.25">
      <c r="A181" s="2">
        <v>44377</v>
      </c>
      <c r="B181" s="1" t="str">
        <f>IF([1]Rseries!J186="","",[1]Rseries!J186)</f>
        <v/>
      </c>
    </row>
    <row r="182" spans="1:2" x14ac:dyDescent="0.25">
      <c r="A182" s="2">
        <v>44469</v>
      </c>
      <c r="B182" s="1" t="str">
        <f>IF([1]Rseries!J187="","",[1]Rseries!J187)</f>
        <v/>
      </c>
    </row>
    <row r="183" spans="1:2" x14ac:dyDescent="0.25">
      <c r="A183" s="2">
        <v>44561</v>
      </c>
      <c r="B183" s="1" t="str">
        <f>IF([1]Rseries!J188="","",[1]Rseries!J188)</f>
        <v/>
      </c>
    </row>
    <row r="184" spans="1:2" x14ac:dyDescent="0.25">
      <c r="A184" s="2">
        <v>44651</v>
      </c>
      <c r="B184" s="1" t="str">
        <f>IF([1]Rseries!J189="","",[1]Rseries!J189)</f>
        <v/>
      </c>
    </row>
    <row r="185" spans="1:2" x14ac:dyDescent="0.25">
      <c r="A185" s="2">
        <v>44742</v>
      </c>
      <c r="B185" s="1" t="str">
        <f>IF([1]Rseries!J190="","",[1]Rseries!J190)</f>
        <v/>
      </c>
    </row>
    <row r="186" spans="1:2" x14ac:dyDescent="0.25">
      <c r="A186" s="2">
        <v>44834</v>
      </c>
      <c r="B186" s="1" t="str">
        <f>IF([1]Rseries!J191="","",[1]Rseries!J191)</f>
        <v/>
      </c>
    </row>
    <row r="187" spans="1:2" x14ac:dyDescent="0.25">
      <c r="A187" s="2">
        <v>44926</v>
      </c>
      <c r="B187" s="1" t="str">
        <f>IF([1]Rseries!J192="","",[1]Rseries!J192)</f>
        <v/>
      </c>
    </row>
    <row r="188" spans="1:2" x14ac:dyDescent="0.25">
      <c r="A188" s="2">
        <v>45016</v>
      </c>
      <c r="B188" s="1" t="str">
        <f>IF([1]Rseries!J193="","",[1]Rseries!J193)</f>
        <v/>
      </c>
    </row>
    <row r="189" spans="1:2" x14ac:dyDescent="0.25">
      <c r="A189" s="2">
        <v>45107</v>
      </c>
      <c r="B189" s="1" t="str">
        <f>IF([1]Rseries!J194="","",[1]Rseries!J194)</f>
        <v/>
      </c>
    </row>
    <row r="190" spans="1:2" x14ac:dyDescent="0.25">
      <c r="A190" s="2">
        <v>45199</v>
      </c>
      <c r="B190" s="1" t="str">
        <f>IF([1]Rseries!J195="","",[1]Rseries!J195)</f>
        <v/>
      </c>
    </row>
    <row r="191" spans="1:2" x14ac:dyDescent="0.25">
      <c r="A191" s="2">
        <v>45291</v>
      </c>
      <c r="B191" s="1" t="str">
        <f>IF([1]Rseries!J196="","",[1]Rseries!J196)</f>
        <v/>
      </c>
    </row>
    <row r="192" spans="1:2" x14ac:dyDescent="0.25">
      <c r="A192" s="2">
        <v>45382</v>
      </c>
      <c r="B192" s="1" t="str">
        <f>IF([1]Rseries!J197="","",[1]Rseries!J197)</f>
        <v/>
      </c>
    </row>
    <row r="193" spans="1:2" x14ac:dyDescent="0.25">
      <c r="A193" s="2">
        <v>45473</v>
      </c>
      <c r="B193" s="1" t="str">
        <f>IF([1]Rseries!J198="","",[1]Rseries!J198)</f>
        <v/>
      </c>
    </row>
    <row r="194" spans="1:2" x14ac:dyDescent="0.25">
      <c r="A194" s="2">
        <v>45565</v>
      </c>
      <c r="B194" s="1" t="str">
        <f>IF([1]Rseries!J199="","",[1]Rseries!J199)</f>
        <v/>
      </c>
    </row>
    <row r="195" spans="1:2" x14ac:dyDescent="0.25">
      <c r="A195" s="2">
        <v>45657</v>
      </c>
      <c r="B195" s="1" t="str">
        <f>IF([1]Rseries!J200="","",[1]Rseries!J200)</f>
        <v/>
      </c>
    </row>
    <row r="196" spans="1:2" x14ac:dyDescent="0.25">
      <c r="A196" s="2">
        <v>45747</v>
      </c>
      <c r="B196" s="1" t="str">
        <f>IF([1]Rseries!J201="","",[1]Rseries!J201)</f>
        <v/>
      </c>
    </row>
    <row r="197" spans="1:2" x14ac:dyDescent="0.25">
      <c r="A197" s="2">
        <v>45838</v>
      </c>
      <c r="B197" s="1" t="str">
        <f>IF([1]Rseries!J202="","",[1]Rseries!J202)</f>
        <v/>
      </c>
    </row>
    <row r="198" spans="1:2" x14ac:dyDescent="0.25">
      <c r="A198" s="2">
        <v>45930</v>
      </c>
      <c r="B198" s="1" t="str">
        <f>IF([1]Rseries!J203="","",[1]Rseries!J203)</f>
        <v/>
      </c>
    </row>
    <row r="199" spans="1:2" x14ac:dyDescent="0.25">
      <c r="A199" s="2">
        <v>46022</v>
      </c>
      <c r="B199" s="1" t="str">
        <f>IF([1]Rseries!J204="","",[1]Rseries!J204)</f>
        <v/>
      </c>
    </row>
    <row r="200" spans="1:2" x14ac:dyDescent="0.25">
      <c r="A200" s="2">
        <v>46112</v>
      </c>
      <c r="B200" s="1" t="str">
        <f>IF([1]Rseries!J205="","",[1]Rseries!J205)</f>
        <v/>
      </c>
    </row>
    <row r="201" spans="1:2" x14ac:dyDescent="0.25">
      <c r="A201" s="2">
        <v>46203</v>
      </c>
      <c r="B201" s="1" t="str">
        <f>IF([1]Rseries!J206="","",[1]Rseries!J206)</f>
        <v/>
      </c>
    </row>
    <row r="202" spans="1:2" x14ac:dyDescent="0.25">
      <c r="A202" s="2">
        <v>46295</v>
      </c>
      <c r="B202" s="1" t="str">
        <f>IF([1]Rseries!J207="","",[1]Rseries!J207)</f>
        <v/>
      </c>
    </row>
    <row r="203" spans="1:2" x14ac:dyDescent="0.25">
      <c r="A203" s="2">
        <v>46387</v>
      </c>
      <c r="B203" s="1" t="str">
        <f>IF([1]Rseries!J208="","",[1]Rseries!J208)</f>
        <v/>
      </c>
    </row>
    <row r="204" spans="1:2" x14ac:dyDescent="0.25">
      <c r="A204" s="2">
        <v>46477</v>
      </c>
      <c r="B204" s="1" t="str">
        <f>IF([1]Rseries!J209="","",[1]Rseries!J209)</f>
        <v/>
      </c>
    </row>
    <row r="205" spans="1:2" x14ac:dyDescent="0.25">
      <c r="A205" s="2">
        <v>46568</v>
      </c>
      <c r="B205" s="1" t="str">
        <f>IF([1]Rseries!J210="","",[1]Rseries!J210)</f>
        <v/>
      </c>
    </row>
    <row r="206" spans="1:2" x14ac:dyDescent="0.25">
      <c r="A206" s="2">
        <v>46660</v>
      </c>
      <c r="B206" s="1" t="str">
        <f>IF([1]Rseries!J211="","",[1]Rseries!J211)</f>
        <v/>
      </c>
    </row>
    <row r="207" spans="1:2" x14ac:dyDescent="0.25">
      <c r="A207" s="2">
        <v>46752</v>
      </c>
      <c r="B207" s="1" t="str">
        <f>IF([1]Rseries!J212="","",[1]Rseries!J212)</f>
        <v/>
      </c>
    </row>
    <row r="208" spans="1:2" x14ac:dyDescent="0.25">
      <c r="A208" s="2">
        <v>46843</v>
      </c>
      <c r="B208" s="1" t="str">
        <f>IF([1]Rseries!J213="","",[1]Rseries!J213)</f>
        <v/>
      </c>
    </row>
    <row r="209" spans="1:2" x14ac:dyDescent="0.25">
      <c r="A209" s="2">
        <v>46934</v>
      </c>
      <c r="B209" s="1" t="str">
        <f>IF([1]Rseries!J214="","",[1]Rseries!J214)</f>
        <v/>
      </c>
    </row>
    <row r="210" spans="1:2" x14ac:dyDescent="0.25">
      <c r="A210" s="2">
        <v>47026</v>
      </c>
      <c r="B210" s="1" t="str">
        <f>IF([1]Rseries!J215="","",[1]Rseries!J215)</f>
        <v/>
      </c>
    </row>
    <row r="211" spans="1:2" x14ac:dyDescent="0.25">
      <c r="A211" s="2">
        <v>47118</v>
      </c>
      <c r="B211" s="1" t="str">
        <f>IF([1]Rseries!J216="","",[1]Rseries!J216)</f>
        <v/>
      </c>
    </row>
    <row r="212" spans="1:2" x14ac:dyDescent="0.25">
      <c r="A212" s="2">
        <v>47208</v>
      </c>
      <c r="B212" s="1" t="str">
        <f>IF([1]Rseries!J217="","",[1]Rseries!J217)</f>
        <v/>
      </c>
    </row>
    <row r="213" spans="1:2" x14ac:dyDescent="0.25">
      <c r="A213" s="2">
        <v>47299</v>
      </c>
      <c r="B213" s="1" t="str">
        <f>IF([1]Rseries!J218="","",[1]Rseries!J218)</f>
        <v/>
      </c>
    </row>
    <row r="214" spans="1:2" x14ac:dyDescent="0.25">
      <c r="A214" s="2">
        <v>47391</v>
      </c>
      <c r="B214" s="1" t="str">
        <f>IF([1]Rseries!J219="","",[1]Rseries!J219)</f>
        <v/>
      </c>
    </row>
    <row r="215" spans="1:2" x14ac:dyDescent="0.25">
      <c r="A215" s="2">
        <v>47483</v>
      </c>
      <c r="B215" s="1" t="str">
        <f>IF([1]Rseries!J220="","",[1]Rseries!J220)</f>
        <v/>
      </c>
    </row>
    <row r="216" spans="1:2" x14ac:dyDescent="0.25">
      <c r="A216" s="2">
        <v>47573</v>
      </c>
      <c r="B216" s="1" t="str">
        <f>IF([1]Rseries!J221="","",[1]Rseries!J221)</f>
        <v/>
      </c>
    </row>
    <row r="217" spans="1:2" x14ac:dyDescent="0.25">
      <c r="A217" s="2">
        <v>47664</v>
      </c>
      <c r="B217" s="1" t="str">
        <f>IF([1]Rseries!J222="","",[1]Rseries!J222)</f>
        <v/>
      </c>
    </row>
    <row r="218" spans="1:2" x14ac:dyDescent="0.25">
      <c r="A218" s="2">
        <v>47756</v>
      </c>
      <c r="B218" s="1" t="str">
        <f>IF([1]Rseries!J223="","",[1]Rseries!J223)</f>
        <v/>
      </c>
    </row>
    <row r="219" spans="1:2" x14ac:dyDescent="0.25">
      <c r="A219" s="2">
        <v>47848</v>
      </c>
      <c r="B219" s="1" t="str">
        <f>IF([1]Rseries!J224="","",[1]Rseries!J224)</f>
        <v/>
      </c>
    </row>
    <row r="220" spans="1:2" x14ac:dyDescent="0.25">
      <c r="A220" s="2">
        <v>47938</v>
      </c>
      <c r="B220" s="1" t="str">
        <f>IF([1]Rseries!J225="","",[1]Rseries!J225)</f>
        <v/>
      </c>
    </row>
    <row r="221" spans="1:2" x14ac:dyDescent="0.25">
      <c r="A221" s="2">
        <v>48029</v>
      </c>
      <c r="B221" s="1" t="str">
        <f>IF([1]Rseries!J226="","",[1]Rseries!J226)</f>
        <v/>
      </c>
    </row>
    <row r="222" spans="1:2" x14ac:dyDescent="0.25">
      <c r="A222" s="2">
        <v>48121</v>
      </c>
      <c r="B222" s="1" t="str">
        <f>IF([1]Rseries!J227="","",[1]Rseries!J227)</f>
        <v/>
      </c>
    </row>
    <row r="223" spans="1:2" x14ac:dyDescent="0.25">
      <c r="A223" s="2">
        <v>48213</v>
      </c>
      <c r="B223" s="1" t="str">
        <f>IF([1]Rseries!J228="","",[1]Rseries!J228)</f>
        <v/>
      </c>
    </row>
    <row r="224" spans="1:2" x14ac:dyDescent="0.25">
      <c r="A224" s="2">
        <v>48304</v>
      </c>
      <c r="B224" s="1" t="str">
        <f>IF([1]Rseries!J229="","",[1]Rseries!J229)</f>
        <v/>
      </c>
    </row>
    <row r="225" spans="1:2" x14ac:dyDescent="0.25">
      <c r="A225" s="2">
        <v>48395</v>
      </c>
      <c r="B225" s="1" t="str">
        <f>IF([1]Rseries!J230="","",[1]Rseries!J230)</f>
        <v/>
      </c>
    </row>
    <row r="226" spans="1:2" x14ac:dyDescent="0.25">
      <c r="A226" s="2">
        <v>48487</v>
      </c>
      <c r="B226" s="1" t="str">
        <f>IF([1]Rseries!J231="","",[1]Rseries!J231)</f>
        <v/>
      </c>
    </row>
    <row r="227" spans="1:2" x14ac:dyDescent="0.25">
      <c r="A227" s="2">
        <v>48579</v>
      </c>
      <c r="B227" s="1" t="str">
        <f>IF([1]Rseries!J232="","",[1]Rseries!J232)</f>
        <v/>
      </c>
    </row>
    <row r="228" spans="1:2" x14ac:dyDescent="0.25">
      <c r="A228" s="2"/>
      <c r="B228" s="1"/>
    </row>
    <row r="229" spans="1:2" x14ac:dyDescent="0.25">
      <c r="A229" s="2"/>
      <c r="B229" s="1"/>
    </row>
    <row r="230" spans="1:2" x14ac:dyDescent="0.25">
      <c r="A230" s="2"/>
      <c r="B230" s="1"/>
    </row>
    <row r="231" spans="1:2" x14ac:dyDescent="0.25">
      <c r="A231" s="2"/>
      <c r="B231" s="1"/>
    </row>
    <row r="232" spans="1:2" x14ac:dyDescent="0.25">
      <c r="A232" s="2"/>
      <c r="B232" s="1"/>
    </row>
    <row r="233" spans="1:2" x14ac:dyDescent="0.25">
      <c r="A233" s="2"/>
      <c r="B233" s="1"/>
    </row>
    <row r="234" spans="1:2" x14ac:dyDescent="0.25">
      <c r="A234" s="2"/>
      <c r="B234" s="1"/>
    </row>
    <row r="235" spans="1:2" x14ac:dyDescent="0.25">
      <c r="A235" s="2"/>
      <c r="B235" s="1"/>
    </row>
    <row r="236" spans="1:2" x14ac:dyDescent="0.25">
      <c r="A236" s="2"/>
      <c r="B236" s="1"/>
    </row>
    <row r="237" spans="1:2" x14ac:dyDescent="0.25">
      <c r="A237" s="2"/>
      <c r="B237" s="1"/>
    </row>
    <row r="238" spans="1:2" x14ac:dyDescent="0.25">
      <c r="A238" s="2"/>
      <c r="B238" s="1"/>
    </row>
    <row r="239" spans="1:2" x14ac:dyDescent="0.25">
      <c r="A239" s="2"/>
      <c r="B239" s="1"/>
    </row>
    <row r="240" spans="1:2" x14ac:dyDescent="0.25">
      <c r="A240" s="2"/>
      <c r="B240" s="1"/>
    </row>
    <row r="241" spans="1:2" x14ac:dyDescent="0.25">
      <c r="A241" s="2"/>
      <c r="B241" s="1"/>
    </row>
    <row r="242" spans="1:2" x14ac:dyDescent="0.25">
      <c r="A242" s="2"/>
      <c r="B242" s="1"/>
    </row>
    <row r="243" spans="1:2" x14ac:dyDescent="0.25">
      <c r="A243" s="2"/>
      <c r="B243" s="1"/>
    </row>
    <row r="244" spans="1:2" x14ac:dyDescent="0.25">
      <c r="A244" s="2"/>
      <c r="B244" s="1"/>
    </row>
    <row r="245" spans="1:2" x14ac:dyDescent="0.25">
      <c r="A245" s="2"/>
      <c r="B245" s="1"/>
    </row>
    <row r="246" spans="1:2" x14ac:dyDescent="0.25">
      <c r="A246" s="2"/>
      <c r="B246" s="1"/>
    </row>
    <row r="247" spans="1:2" x14ac:dyDescent="0.25">
      <c r="A247" s="2"/>
      <c r="B247" s="1"/>
    </row>
    <row r="248" spans="1:2" x14ac:dyDescent="0.25">
      <c r="A248" s="2"/>
      <c r="B248" s="1"/>
    </row>
    <row r="249" spans="1:2" x14ac:dyDescent="0.25">
      <c r="A249" s="2"/>
      <c r="B249" s="1"/>
    </row>
    <row r="250" spans="1:2" x14ac:dyDescent="0.25">
      <c r="A250" s="2"/>
      <c r="B250" s="1"/>
    </row>
    <row r="251" spans="1:2" x14ac:dyDescent="0.25">
      <c r="A251" s="2"/>
      <c r="B251" s="1"/>
    </row>
    <row r="252" spans="1:2" x14ac:dyDescent="0.25">
      <c r="A252" s="2"/>
      <c r="B252" s="1"/>
    </row>
    <row r="253" spans="1:2" x14ac:dyDescent="0.25">
      <c r="A253" s="2"/>
      <c r="B253" s="1"/>
    </row>
    <row r="254" spans="1:2" x14ac:dyDescent="0.25">
      <c r="A254" s="2"/>
      <c r="B254" s="1"/>
    </row>
    <row r="255" spans="1:2" x14ac:dyDescent="0.25">
      <c r="A255" s="2"/>
      <c r="B255" s="1"/>
    </row>
    <row r="256" spans="1:2" x14ac:dyDescent="0.25">
      <c r="A256" s="2"/>
      <c r="B256" s="1"/>
    </row>
    <row r="257" spans="1:2" x14ac:dyDescent="0.25">
      <c r="A257" s="2"/>
      <c r="B257" s="1"/>
    </row>
    <row r="258" spans="1:2" x14ac:dyDescent="0.25">
      <c r="A258" s="2"/>
      <c r="B258" s="1"/>
    </row>
    <row r="259" spans="1:2" x14ac:dyDescent="0.25">
      <c r="A259" s="2"/>
      <c r="B259" s="1"/>
    </row>
    <row r="260" spans="1:2" x14ac:dyDescent="0.25">
      <c r="A260" s="2"/>
      <c r="B260" s="1"/>
    </row>
    <row r="261" spans="1:2" x14ac:dyDescent="0.25">
      <c r="A261" s="2"/>
      <c r="B261" s="1"/>
    </row>
    <row r="262" spans="1:2" x14ac:dyDescent="0.25">
      <c r="A262" s="2"/>
      <c r="B262" s="1"/>
    </row>
    <row r="263" spans="1:2" x14ac:dyDescent="0.25">
      <c r="A263" s="2"/>
      <c r="B263" s="1"/>
    </row>
    <row r="264" spans="1:2" x14ac:dyDescent="0.25">
      <c r="A264" s="2"/>
      <c r="B264" s="1"/>
    </row>
    <row r="265" spans="1:2" x14ac:dyDescent="0.25">
      <c r="A265" s="2"/>
      <c r="B265" s="1"/>
    </row>
    <row r="266" spans="1:2" x14ac:dyDescent="0.25">
      <c r="A266" s="2"/>
      <c r="B266" s="1"/>
    </row>
    <row r="267" spans="1:2" x14ac:dyDescent="0.25">
      <c r="A267" s="2"/>
      <c r="B267" s="1"/>
    </row>
    <row r="268" spans="1:2" x14ac:dyDescent="0.25">
      <c r="A268" s="2"/>
      <c r="B268" s="1"/>
    </row>
    <row r="269" spans="1:2" x14ac:dyDescent="0.25">
      <c r="A269" s="2"/>
      <c r="B269" s="1"/>
    </row>
    <row r="270" spans="1:2" x14ac:dyDescent="0.25">
      <c r="A270" s="2"/>
      <c r="B270" s="1"/>
    </row>
    <row r="271" spans="1:2" x14ac:dyDescent="0.25">
      <c r="A271" s="2"/>
      <c r="B271" s="1"/>
    </row>
    <row r="272" spans="1:2" x14ac:dyDescent="0.25">
      <c r="A272" s="2"/>
      <c r="B272" s="1"/>
    </row>
    <row r="273" spans="1:2" x14ac:dyDescent="0.25">
      <c r="A273" s="2"/>
      <c r="B2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OcupadosEPAESP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2012-08-28T12:16:49Z</cp:lastPrinted>
  <dcterms:created xsi:type="dcterms:W3CDTF">2012-03-02T12:51:06Z</dcterms:created>
  <dcterms:modified xsi:type="dcterms:W3CDTF">2021-01-28T10:32:14Z</dcterms:modified>
</cp:coreProperties>
</file>