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jclm.es\PROS\SC\OBSERVATORIOEMPLEO\Análisis\Previsiones\Mensuales - paro registrado y afiliación\Modelos ParoAfiliación\"/>
    </mc:Choice>
  </mc:AlternateContent>
  <bookViews>
    <workbookView xWindow="120" yWindow="105" windowWidth="18915" windowHeight="11760" tabRatio="428"/>
  </bookViews>
  <sheets>
    <sheet name="Mediana" sheetId="139" r:id="rId1"/>
    <sheet name="SSTotalESP" sheetId="1" r:id="rId2"/>
  </sheets>
  <externalReferences>
    <externalReference r:id="rId3"/>
  </externalReferences>
  <definedNames>
    <definedName name="Amplitud">SSTotalESP!$F$63</definedName>
    <definedName name="Inicio">SSTotalESP!$E$63</definedName>
  </definedNames>
  <calcPr calcId="162913"/>
</workbook>
</file>

<file path=xl/calcChain.xml><?xml version="1.0" encoding="utf-8"?>
<calcChain xmlns="http://schemas.openxmlformats.org/spreadsheetml/2006/main">
  <c r="B445" i="1" l="1"/>
  <c r="B444" i="1"/>
  <c r="B443" i="1"/>
  <c r="B442" i="1"/>
  <c r="B441" i="1"/>
  <c r="B440" i="1"/>
  <c r="B439" i="1"/>
  <c r="B438" i="1"/>
  <c r="B437" i="1"/>
  <c r="B436" i="1"/>
  <c r="B435" i="1"/>
  <c r="B434" i="1"/>
  <c r="B433" i="1"/>
  <c r="B432" i="1"/>
  <c r="B431" i="1"/>
  <c r="B430" i="1"/>
  <c r="B429" i="1"/>
  <c r="B428" i="1"/>
  <c r="B427" i="1"/>
  <c r="B426" i="1"/>
  <c r="B425" i="1"/>
  <c r="B424" i="1"/>
  <c r="B423" i="1"/>
  <c r="B422" i="1"/>
  <c r="B421" i="1"/>
  <c r="B420" i="1"/>
  <c r="B419" i="1"/>
  <c r="B418" i="1"/>
  <c r="B417" i="1"/>
  <c r="B416" i="1"/>
  <c r="B415" i="1"/>
  <c r="B414" i="1"/>
  <c r="B413" i="1"/>
  <c r="B412" i="1"/>
  <c r="B411" i="1"/>
  <c r="B410" i="1"/>
  <c r="B409" i="1"/>
  <c r="B408" i="1"/>
  <c r="B407" i="1"/>
  <c r="B406" i="1"/>
  <c r="B405" i="1"/>
  <c r="B404" i="1"/>
  <c r="B403" i="1"/>
  <c r="B402" i="1"/>
  <c r="B401" i="1"/>
  <c r="B400" i="1"/>
  <c r="B399" i="1"/>
  <c r="B398" i="1"/>
  <c r="B397" i="1"/>
  <c r="B396" i="1"/>
  <c r="B395" i="1"/>
  <c r="B394" i="1"/>
  <c r="B393" i="1"/>
  <c r="B392" i="1"/>
  <c r="B391" i="1"/>
  <c r="B390" i="1"/>
  <c r="B389" i="1"/>
  <c r="B388" i="1"/>
  <c r="B387" i="1"/>
  <c r="B386" i="1"/>
  <c r="B385" i="1"/>
  <c r="B384" i="1"/>
  <c r="B383" i="1"/>
  <c r="B382" i="1"/>
  <c r="B381" i="1"/>
  <c r="B380" i="1"/>
  <c r="B379" i="1"/>
  <c r="B378" i="1"/>
  <c r="B377" i="1"/>
  <c r="B376" i="1"/>
  <c r="B375" i="1"/>
  <c r="B374" i="1"/>
  <c r="B373" i="1"/>
  <c r="B372" i="1"/>
  <c r="B371" i="1"/>
  <c r="B370" i="1"/>
  <c r="B369" i="1"/>
  <c r="B368" i="1"/>
  <c r="B367" i="1"/>
  <c r="B366" i="1"/>
  <c r="B365" i="1"/>
  <c r="B364" i="1"/>
  <c r="B363" i="1"/>
  <c r="B362" i="1"/>
  <c r="B361" i="1"/>
  <c r="B360" i="1"/>
  <c r="B359" i="1"/>
  <c r="B358" i="1"/>
  <c r="B357" i="1"/>
  <c r="B356" i="1"/>
  <c r="B355" i="1"/>
  <c r="B354" i="1"/>
  <c r="B353" i="1"/>
  <c r="B352" i="1"/>
  <c r="B351" i="1"/>
  <c r="B350" i="1"/>
  <c r="B349" i="1"/>
  <c r="B348" i="1"/>
  <c r="B347" i="1"/>
  <c r="B346" i="1"/>
  <c r="B345" i="1"/>
  <c r="B344" i="1"/>
  <c r="B343" i="1"/>
  <c r="B342" i="1"/>
  <c r="B341" i="1"/>
  <c r="B340" i="1"/>
  <c r="B339" i="1"/>
  <c r="B338" i="1"/>
  <c r="B337" i="1"/>
  <c r="B336" i="1"/>
  <c r="B335" i="1"/>
  <c r="B334" i="1"/>
  <c r="B333" i="1"/>
  <c r="B332" i="1"/>
  <c r="B331" i="1"/>
  <c r="B330" i="1"/>
  <c r="B329" i="1"/>
  <c r="B328" i="1"/>
  <c r="B327" i="1"/>
  <c r="B326" i="1"/>
  <c r="B325" i="1"/>
  <c r="B324" i="1"/>
  <c r="B323" i="1"/>
  <c r="B322" i="1"/>
  <c r="B321" i="1"/>
  <c r="B320" i="1"/>
  <c r="B319" i="1"/>
  <c r="B318" i="1"/>
  <c r="B317" i="1"/>
  <c r="B316" i="1"/>
  <c r="B315" i="1"/>
  <c r="B314" i="1"/>
  <c r="B313" i="1"/>
  <c r="B312" i="1"/>
  <c r="B311" i="1"/>
  <c r="B310" i="1"/>
  <c r="B309" i="1"/>
  <c r="B308" i="1"/>
  <c r="B307" i="1"/>
  <c r="B306" i="1"/>
  <c r="B305" i="1"/>
  <c r="B304" i="1"/>
  <c r="B303" i="1"/>
  <c r="B302" i="1"/>
  <c r="B301" i="1"/>
  <c r="B300" i="1"/>
  <c r="B299" i="1"/>
  <c r="B298" i="1"/>
  <c r="B297" i="1"/>
  <c r="B296" i="1"/>
  <c r="B295" i="1"/>
  <c r="B294" i="1"/>
  <c r="B293" i="1"/>
  <c r="B292" i="1"/>
  <c r="B291" i="1"/>
  <c r="B290" i="1"/>
  <c r="B289" i="1"/>
  <c r="B288" i="1"/>
  <c r="B287" i="1"/>
  <c r="B286" i="1"/>
  <c r="B285" i="1"/>
  <c r="B284" i="1"/>
  <c r="B283" i="1"/>
  <c r="B282" i="1"/>
  <c r="B281" i="1"/>
  <c r="B280" i="1"/>
  <c r="B279" i="1"/>
  <c r="B278" i="1"/>
  <c r="B277" i="1"/>
  <c r="B276" i="1"/>
  <c r="B275" i="1"/>
  <c r="B274" i="1"/>
  <c r="B273" i="1"/>
  <c r="B272" i="1"/>
  <c r="B271" i="1"/>
  <c r="B270" i="1"/>
  <c r="B269" i="1"/>
  <c r="B268" i="1"/>
  <c r="B267" i="1"/>
  <c r="B266" i="1"/>
  <c r="B265" i="1"/>
  <c r="B264" i="1"/>
  <c r="B263" i="1"/>
  <c r="B262" i="1"/>
  <c r="B261" i="1"/>
  <c r="B260" i="1"/>
  <c r="B259" i="1"/>
  <c r="B258" i="1"/>
  <c r="B257" i="1"/>
  <c r="B256" i="1"/>
  <c r="B255" i="1"/>
  <c r="B254" i="1"/>
  <c r="B253" i="1"/>
  <c r="B252" i="1"/>
  <c r="B251" i="1"/>
  <c r="B250" i="1"/>
  <c r="B249" i="1"/>
  <c r="B248" i="1"/>
  <c r="B247" i="1"/>
  <c r="B246" i="1"/>
  <c r="B245" i="1"/>
  <c r="B244" i="1"/>
  <c r="B243" i="1"/>
  <c r="B242" i="1"/>
  <c r="B241" i="1"/>
  <c r="B240" i="1"/>
  <c r="B239" i="1"/>
  <c r="B238" i="1"/>
  <c r="B237" i="1"/>
  <c r="B236" i="1"/>
  <c r="B235" i="1"/>
  <c r="B234" i="1"/>
  <c r="B233" i="1"/>
  <c r="B232" i="1"/>
  <c r="B231" i="1"/>
  <c r="B230" i="1"/>
  <c r="B229" i="1"/>
  <c r="B228" i="1"/>
  <c r="B227" i="1"/>
  <c r="B226" i="1"/>
  <c r="B225" i="1"/>
  <c r="B224" i="1"/>
  <c r="B223" i="1"/>
  <c r="B222" i="1"/>
  <c r="B221" i="1"/>
  <c r="B220" i="1"/>
  <c r="B219" i="1"/>
  <c r="B218" i="1"/>
  <c r="B217" i="1"/>
  <c r="B216" i="1"/>
  <c r="B215" i="1"/>
  <c r="B214" i="1"/>
  <c r="B213" i="1"/>
  <c r="B212" i="1"/>
  <c r="B211" i="1"/>
  <c r="B210" i="1"/>
  <c r="B209" i="1"/>
  <c r="B208" i="1"/>
  <c r="B207" i="1"/>
  <c r="B206" i="1"/>
  <c r="B205" i="1"/>
  <c r="B204" i="1"/>
  <c r="B203" i="1"/>
  <c r="B202" i="1"/>
  <c r="B201" i="1"/>
  <c r="B200" i="1"/>
  <c r="B199" i="1"/>
  <c r="B198" i="1"/>
  <c r="B197" i="1"/>
  <c r="B196" i="1"/>
  <c r="B195" i="1"/>
  <c r="B194" i="1"/>
  <c r="B193" i="1"/>
  <c r="B192" i="1"/>
  <c r="B191" i="1"/>
  <c r="B190" i="1"/>
  <c r="B189" i="1"/>
  <c r="B188" i="1"/>
  <c r="B187" i="1"/>
  <c r="B186" i="1"/>
  <c r="B185" i="1"/>
  <c r="B184" i="1"/>
  <c r="B183" i="1"/>
  <c r="B182" i="1"/>
  <c r="B181" i="1"/>
  <c r="B180" i="1"/>
  <c r="B179" i="1"/>
  <c r="B178" i="1"/>
  <c r="B177" i="1"/>
  <c r="B176" i="1"/>
  <c r="B175" i="1"/>
  <c r="B174" i="1"/>
  <c r="B173" i="1"/>
  <c r="B172" i="1"/>
  <c r="B171" i="1"/>
  <c r="B170" i="1"/>
  <c r="B169" i="1"/>
  <c r="B168" i="1"/>
  <c r="B167" i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49" i="1"/>
  <c r="B148" i="1"/>
  <c r="B147" i="1"/>
  <c r="B146" i="1"/>
  <c r="B145" i="1"/>
  <c r="B144" i="1"/>
  <c r="B143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HA14" i="139" l="1"/>
  <c r="HB14" i="139" s="1"/>
  <c r="HC14" i="139" s="1"/>
  <c r="HD14" i="139" s="1"/>
  <c r="HE14" i="139" s="1"/>
  <c r="HF14" i="139" s="1"/>
  <c r="HG14" i="139" s="1"/>
  <c r="HH14" i="139" s="1"/>
  <c r="HI14" i="139" s="1"/>
  <c r="HJ14" i="139" s="1"/>
  <c r="HK14" i="139" s="1"/>
  <c r="HL14" i="139" s="1"/>
  <c r="HM14" i="139" s="1"/>
  <c r="HN14" i="139" s="1"/>
  <c r="HO14" i="139" s="1"/>
  <c r="HP14" i="139" s="1"/>
  <c r="HQ14" i="139" s="1"/>
  <c r="HR14" i="139" s="1"/>
  <c r="HS14" i="139" s="1"/>
  <c r="HT14" i="139" s="1"/>
  <c r="HU14" i="139" s="1"/>
  <c r="HV14" i="139" s="1"/>
  <c r="HW14" i="139" s="1"/>
  <c r="HX14" i="139" s="1"/>
  <c r="HY14" i="139" s="1"/>
  <c r="HZ14" i="139" s="1"/>
  <c r="IA14" i="139" s="1"/>
  <c r="IB14" i="139" s="1"/>
  <c r="IC14" i="139" s="1"/>
  <c r="ID14" i="139" s="1"/>
  <c r="IE14" i="139" s="1"/>
  <c r="IF14" i="139" s="1"/>
  <c r="IG14" i="139" s="1"/>
  <c r="IH14" i="139" s="1"/>
  <c r="II14" i="139" s="1"/>
  <c r="IJ14" i="139" s="1"/>
  <c r="IK14" i="139" s="1"/>
  <c r="IL14" i="139" s="1"/>
  <c r="IM14" i="139" s="1"/>
  <c r="IN14" i="139" s="1"/>
  <c r="IO14" i="139" s="1"/>
  <c r="IP14" i="139" s="1"/>
  <c r="IQ14" i="139" s="1"/>
  <c r="IR14" i="139" s="1"/>
  <c r="IS14" i="139" s="1"/>
  <c r="IT14" i="139" s="1"/>
  <c r="IU14" i="139" s="1"/>
  <c r="IV14" i="139" s="1"/>
  <c r="IW14" i="139" s="1"/>
  <c r="IX14" i="139" s="1"/>
  <c r="IY14" i="139" s="1"/>
  <c r="IZ14" i="139" s="1"/>
  <c r="JA14" i="139" s="1"/>
  <c r="JB14" i="139" s="1"/>
  <c r="JC14" i="139" s="1"/>
  <c r="JD14" i="139" s="1"/>
  <c r="JE14" i="139" s="1"/>
  <c r="JF14" i="139" s="1"/>
  <c r="JG14" i="139" s="1"/>
  <c r="JH14" i="139" s="1"/>
  <c r="HA13" i="139"/>
  <c r="HB13" i="139" s="1"/>
  <c r="HC13" i="139" s="1"/>
  <c r="HD13" i="139" s="1"/>
  <c r="HE13" i="139" s="1"/>
  <c r="HF13" i="139" s="1"/>
  <c r="HG13" i="139" s="1"/>
  <c r="HH13" i="139" s="1"/>
  <c r="HI13" i="139" s="1"/>
  <c r="HJ13" i="139" s="1"/>
  <c r="HK13" i="139" s="1"/>
  <c r="HL13" i="139" s="1"/>
  <c r="HM13" i="139" s="1"/>
  <c r="HN13" i="139" s="1"/>
  <c r="HO13" i="139" s="1"/>
  <c r="HP13" i="139" s="1"/>
  <c r="HQ13" i="139" s="1"/>
  <c r="HR13" i="139" s="1"/>
  <c r="HS13" i="139" s="1"/>
  <c r="HT13" i="139" s="1"/>
  <c r="HU13" i="139" s="1"/>
  <c r="HV13" i="139" s="1"/>
  <c r="HW13" i="139" s="1"/>
  <c r="HX13" i="139" s="1"/>
  <c r="HY13" i="139" s="1"/>
  <c r="HZ13" i="139" s="1"/>
  <c r="IA13" i="139" s="1"/>
  <c r="IB13" i="139" s="1"/>
  <c r="IC13" i="139" s="1"/>
  <c r="ID13" i="139" s="1"/>
  <c r="IE13" i="139" s="1"/>
  <c r="IF13" i="139" s="1"/>
  <c r="IG13" i="139" s="1"/>
  <c r="IH13" i="139" s="1"/>
  <c r="II13" i="139" s="1"/>
  <c r="IJ13" i="139" s="1"/>
  <c r="IK13" i="139" s="1"/>
  <c r="IL13" i="139" s="1"/>
  <c r="IM13" i="139" s="1"/>
  <c r="IN13" i="139" s="1"/>
  <c r="IO13" i="139" s="1"/>
  <c r="IP13" i="139" s="1"/>
  <c r="IQ13" i="139" s="1"/>
  <c r="IR13" i="139" s="1"/>
  <c r="IS13" i="139" s="1"/>
  <c r="IT13" i="139" s="1"/>
  <c r="IU13" i="139" s="1"/>
  <c r="IV13" i="139" s="1"/>
  <c r="IW13" i="139" s="1"/>
  <c r="IX13" i="139" s="1"/>
  <c r="IY13" i="139" s="1"/>
  <c r="IZ13" i="139" s="1"/>
  <c r="JA13" i="139" s="1"/>
  <c r="JB13" i="139" s="1"/>
  <c r="JC13" i="139" s="1"/>
  <c r="JD13" i="139" s="1"/>
  <c r="JE13" i="139" s="1"/>
  <c r="JF13" i="139" s="1"/>
  <c r="JG13" i="139" s="1"/>
  <c r="JH13" i="139" s="1"/>
  <c r="HA12" i="139"/>
  <c r="HB12" i="139" s="1"/>
  <c r="HC12" i="139" s="1"/>
  <c r="HD12" i="139" s="1"/>
  <c r="HE12" i="139" s="1"/>
  <c r="HF12" i="139" s="1"/>
  <c r="HG12" i="139" s="1"/>
  <c r="HH12" i="139" s="1"/>
  <c r="HI12" i="139" s="1"/>
  <c r="HJ12" i="139" s="1"/>
  <c r="HK12" i="139" s="1"/>
  <c r="HL12" i="139" s="1"/>
  <c r="HM12" i="139" s="1"/>
  <c r="HN12" i="139" s="1"/>
  <c r="HO12" i="139" s="1"/>
  <c r="HP12" i="139" s="1"/>
  <c r="HQ12" i="139" s="1"/>
  <c r="HR12" i="139" s="1"/>
  <c r="HS12" i="139" s="1"/>
  <c r="HT12" i="139" s="1"/>
  <c r="HU12" i="139" s="1"/>
  <c r="HV12" i="139" s="1"/>
  <c r="HW12" i="139" s="1"/>
  <c r="HX12" i="139" s="1"/>
  <c r="HY12" i="139" s="1"/>
  <c r="HZ12" i="139" s="1"/>
  <c r="IA12" i="139" s="1"/>
  <c r="IB12" i="139" s="1"/>
  <c r="IC12" i="139" s="1"/>
  <c r="ID12" i="139" s="1"/>
  <c r="IE12" i="139" s="1"/>
  <c r="IF12" i="139" s="1"/>
  <c r="IG12" i="139" s="1"/>
  <c r="IH12" i="139" s="1"/>
  <c r="II12" i="139" s="1"/>
  <c r="IJ12" i="139" s="1"/>
  <c r="IK12" i="139" s="1"/>
  <c r="IL12" i="139" s="1"/>
  <c r="IM12" i="139" s="1"/>
  <c r="IN12" i="139" s="1"/>
  <c r="IO12" i="139" s="1"/>
  <c r="IP12" i="139" s="1"/>
  <c r="IQ12" i="139" s="1"/>
  <c r="IR12" i="139" s="1"/>
  <c r="IS12" i="139" s="1"/>
  <c r="IT12" i="139" s="1"/>
  <c r="IU12" i="139" s="1"/>
  <c r="IV12" i="139" s="1"/>
  <c r="IW12" i="139" s="1"/>
  <c r="IX12" i="139" s="1"/>
  <c r="IY12" i="139" s="1"/>
  <c r="IZ12" i="139" s="1"/>
  <c r="JA12" i="139" s="1"/>
  <c r="JB12" i="139" s="1"/>
  <c r="JC12" i="139" s="1"/>
  <c r="JD12" i="139" s="1"/>
  <c r="JE12" i="139" s="1"/>
  <c r="JF12" i="139" s="1"/>
  <c r="JG12" i="139" s="1"/>
  <c r="JH12" i="139" s="1"/>
  <c r="HA11" i="139"/>
  <c r="HB11" i="139" s="1"/>
  <c r="HC11" i="139" s="1"/>
  <c r="HD11" i="139" s="1"/>
  <c r="HE11" i="139" s="1"/>
  <c r="HF11" i="139" s="1"/>
  <c r="HG11" i="139" s="1"/>
  <c r="HH11" i="139" s="1"/>
  <c r="HI11" i="139" s="1"/>
  <c r="HJ11" i="139" s="1"/>
  <c r="HK11" i="139" s="1"/>
  <c r="HL11" i="139" s="1"/>
  <c r="HM11" i="139" s="1"/>
  <c r="HN11" i="139" s="1"/>
  <c r="HO11" i="139" s="1"/>
  <c r="HP11" i="139" s="1"/>
  <c r="HQ11" i="139" s="1"/>
  <c r="HR11" i="139" s="1"/>
  <c r="HS11" i="139" s="1"/>
  <c r="HT11" i="139" s="1"/>
  <c r="HU11" i="139" s="1"/>
  <c r="HV11" i="139" s="1"/>
  <c r="HW11" i="139" s="1"/>
  <c r="HX11" i="139" s="1"/>
  <c r="HY11" i="139" s="1"/>
  <c r="HZ11" i="139" s="1"/>
  <c r="IA11" i="139" s="1"/>
  <c r="IB11" i="139" s="1"/>
  <c r="IC11" i="139" s="1"/>
  <c r="ID11" i="139" s="1"/>
  <c r="IE11" i="139" s="1"/>
  <c r="IF11" i="139" s="1"/>
  <c r="IG11" i="139" s="1"/>
  <c r="IH11" i="139" s="1"/>
  <c r="II11" i="139" s="1"/>
  <c r="IJ11" i="139" s="1"/>
  <c r="IK11" i="139" s="1"/>
  <c r="IL11" i="139" s="1"/>
  <c r="IM11" i="139" s="1"/>
  <c r="IN11" i="139" s="1"/>
  <c r="IO11" i="139" s="1"/>
  <c r="IP11" i="139" s="1"/>
  <c r="IQ11" i="139" s="1"/>
  <c r="IR11" i="139" s="1"/>
  <c r="IS11" i="139" s="1"/>
  <c r="IT11" i="139" s="1"/>
  <c r="IU11" i="139" s="1"/>
  <c r="IV11" i="139" s="1"/>
  <c r="IW11" i="139" s="1"/>
  <c r="IX11" i="139" s="1"/>
  <c r="IY11" i="139" s="1"/>
  <c r="IZ11" i="139" s="1"/>
  <c r="JA11" i="139" s="1"/>
  <c r="JB11" i="139" s="1"/>
  <c r="JC11" i="139" s="1"/>
  <c r="JD11" i="139" s="1"/>
  <c r="JE11" i="139" s="1"/>
  <c r="JF11" i="139" s="1"/>
  <c r="JG11" i="139" s="1"/>
  <c r="JH11" i="139" s="1"/>
  <c r="HA10" i="139"/>
  <c r="HB10" i="139" s="1"/>
  <c r="HC10" i="139" s="1"/>
  <c r="HD10" i="139" s="1"/>
  <c r="HE10" i="139" s="1"/>
  <c r="HF10" i="139" s="1"/>
  <c r="HG10" i="139" s="1"/>
  <c r="HH10" i="139" s="1"/>
  <c r="HI10" i="139" s="1"/>
  <c r="HJ10" i="139" s="1"/>
  <c r="HK10" i="139" s="1"/>
  <c r="HL10" i="139" s="1"/>
  <c r="HM10" i="139" s="1"/>
  <c r="HN10" i="139" s="1"/>
  <c r="HO10" i="139" s="1"/>
  <c r="HP10" i="139" s="1"/>
  <c r="HQ10" i="139" s="1"/>
  <c r="HR10" i="139" s="1"/>
  <c r="HS10" i="139" s="1"/>
  <c r="HT10" i="139" s="1"/>
  <c r="HU10" i="139" s="1"/>
  <c r="HV10" i="139" s="1"/>
  <c r="HW10" i="139" s="1"/>
  <c r="HX10" i="139" s="1"/>
  <c r="HY10" i="139" s="1"/>
  <c r="HZ10" i="139" s="1"/>
  <c r="IA10" i="139" s="1"/>
  <c r="IB10" i="139" s="1"/>
  <c r="IC10" i="139" s="1"/>
  <c r="ID10" i="139" s="1"/>
  <c r="IE10" i="139" s="1"/>
  <c r="IF10" i="139" s="1"/>
  <c r="IG10" i="139" s="1"/>
  <c r="IH10" i="139" s="1"/>
  <c r="II10" i="139" s="1"/>
  <c r="IJ10" i="139" s="1"/>
  <c r="IK10" i="139" s="1"/>
  <c r="IL10" i="139" s="1"/>
  <c r="IM10" i="139" s="1"/>
  <c r="IN10" i="139" s="1"/>
  <c r="IO10" i="139" s="1"/>
  <c r="IP10" i="139" s="1"/>
  <c r="IQ10" i="139" s="1"/>
  <c r="IR10" i="139" s="1"/>
  <c r="IS10" i="139" s="1"/>
  <c r="IT10" i="139" s="1"/>
  <c r="IU10" i="139" s="1"/>
  <c r="IV10" i="139" s="1"/>
  <c r="IW10" i="139" s="1"/>
  <c r="IX10" i="139" s="1"/>
  <c r="IY10" i="139" s="1"/>
  <c r="IZ10" i="139" s="1"/>
  <c r="JA10" i="139" s="1"/>
  <c r="JB10" i="139" s="1"/>
  <c r="JC10" i="139" s="1"/>
  <c r="JD10" i="139" s="1"/>
  <c r="JE10" i="139" s="1"/>
  <c r="JF10" i="139" s="1"/>
  <c r="JG10" i="139" s="1"/>
  <c r="JH10" i="139" s="1"/>
  <c r="HA9" i="139"/>
  <c r="HB9" i="139" s="1"/>
  <c r="HC9" i="139" s="1"/>
  <c r="HD9" i="139" s="1"/>
  <c r="HE9" i="139" s="1"/>
  <c r="HF9" i="139" s="1"/>
  <c r="HG9" i="139" s="1"/>
  <c r="HH9" i="139" s="1"/>
  <c r="HI9" i="139" s="1"/>
  <c r="HJ9" i="139" s="1"/>
  <c r="HK9" i="139" s="1"/>
  <c r="HL9" i="139" s="1"/>
  <c r="HM9" i="139" s="1"/>
  <c r="HN9" i="139" s="1"/>
  <c r="HO9" i="139" s="1"/>
  <c r="HP9" i="139" s="1"/>
  <c r="HQ9" i="139" s="1"/>
  <c r="HR9" i="139" s="1"/>
  <c r="HS9" i="139" s="1"/>
  <c r="HT9" i="139" s="1"/>
  <c r="HU9" i="139" s="1"/>
  <c r="HV9" i="139" s="1"/>
  <c r="HW9" i="139" s="1"/>
  <c r="HX9" i="139" s="1"/>
  <c r="HY9" i="139" s="1"/>
  <c r="HZ9" i="139" s="1"/>
  <c r="IA9" i="139" s="1"/>
  <c r="IB9" i="139" s="1"/>
  <c r="IC9" i="139" s="1"/>
  <c r="ID9" i="139" s="1"/>
  <c r="IE9" i="139" s="1"/>
  <c r="IF9" i="139" s="1"/>
  <c r="IG9" i="139" s="1"/>
  <c r="IH9" i="139" s="1"/>
  <c r="II9" i="139" s="1"/>
  <c r="IJ9" i="139" s="1"/>
  <c r="IK9" i="139" s="1"/>
  <c r="IL9" i="139" s="1"/>
  <c r="IM9" i="139" s="1"/>
  <c r="IN9" i="139" s="1"/>
  <c r="IO9" i="139" s="1"/>
  <c r="IP9" i="139" s="1"/>
  <c r="IQ9" i="139" s="1"/>
  <c r="IR9" i="139" s="1"/>
  <c r="IS9" i="139" s="1"/>
  <c r="IT9" i="139" s="1"/>
  <c r="IU9" i="139" s="1"/>
  <c r="IV9" i="139" s="1"/>
  <c r="IW9" i="139" s="1"/>
  <c r="IX9" i="139" s="1"/>
  <c r="IY9" i="139" s="1"/>
  <c r="IZ9" i="139" s="1"/>
  <c r="JA9" i="139" s="1"/>
  <c r="JB9" i="139" s="1"/>
  <c r="JC9" i="139" s="1"/>
  <c r="JD9" i="139" s="1"/>
  <c r="JE9" i="139" s="1"/>
  <c r="JF9" i="139" s="1"/>
  <c r="JG9" i="139" s="1"/>
  <c r="JH9" i="139" s="1"/>
  <c r="HA8" i="139"/>
  <c r="HB8" i="139" s="1"/>
  <c r="HC8" i="139" s="1"/>
  <c r="HD8" i="139" s="1"/>
  <c r="HE8" i="139" s="1"/>
  <c r="HF8" i="139" s="1"/>
  <c r="HG8" i="139" s="1"/>
  <c r="HH8" i="139" s="1"/>
  <c r="HI8" i="139" s="1"/>
  <c r="HJ8" i="139" s="1"/>
  <c r="HK8" i="139" s="1"/>
  <c r="HL8" i="139" s="1"/>
  <c r="HM8" i="139" s="1"/>
  <c r="HN8" i="139" s="1"/>
  <c r="HO8" i="139" s="1"/>
  <c r="HP8" i="139" s="1"/>
  <c r="HQ8" i="139" s="1"/>
  <c r="HR8" i="139" s="1"/>
  <c r="HS8" i="139" s="1"/>
  <c r="HT8" i="139" s="1"/>
  <c r="HU8" i="139" s="1"/>
  <c r="HV8" i="139" s="1"/>
  <c r="HW8" i="139" s="1"/>
  <c r="HX8" i="139" s="1"/>
  <c r="HY8" i="139" s="1"/>
  <c r="HZ8" i="139" s="1"/>
  <c r="IA8" i="139" s="1"/>
  <c r="IB8" i="139" s="1"/>
  <c r="IC8" i="139" s="1"/>
  <c r="ID8" i="139" s="1"/>
  <c r="IE8" i="139" s="1"/>
  <c r="IF8" i="139" s="1"/>
  <c r="IG8" i="139" s="1"/>
  <c r="IH8" i="139" s="1"/>
  <c r="II8" i="139" s="1"/>
  <c r="IJ8" i="139" s="1"/>
  <c r="IK8" i="139" s="1"/>
  <c r="IL8" i="139" s="1"/>
  <c r="IM8" i="139" s="1"/>
  <c r="IN8" i="139" s="1"/>
  <c r="IO8" i="139" s="1"/>
  <c r="IP8" i="139" s="1"/>
  <c r="IQ8" i="139" s="1"/>
  <c r="IR8" i="139" s="1"/>
  <c r="IS8" i="139" s="1"/>
  <c r="IT8" i="139" s="1"/>
  <c r="IU8" i="139" s="1"/>
  <c r="IV8" i="139" s="1"/>
  <c r="IW8" i="139" s="1"/>
  <c r="IX8" i="139" s="1"/>
  <c r="IY8" i="139" s="1"/>
  <c r="IZ8" i="139" s="1"/>
  <c r="JA8" i="139" s="1"/>
  <c r="JB8" i="139" s="1"/>
  <c r="JC8" i="139" s="1"/>
  <c r="JD8" i="139" s="1"/>
  <c r="JE8" i="139" s="1"/>
  <c r="JF8" i="139" s="1"/>
  <c r="JG8" i="139" s="1"/>
  <c r="JH8" i="139" s="1"/>
  <c r="HA7" i="139"/>
  <c r="HB7" i="139" s="1"/>
  <c r="HC7" i="139" s="1"/>
  <c r="HD7" i="139" s="1"/>
  <c r="HE7" i="139" s="1"/>
  <c r="HF7" i="139" s="1"/>
  <c r="HG7" i="139" s="1"/>
  <c r="HH7" i="139" s="1"/>
  <c r="HI7" i="139" s="1"/>
  <c r="HJ7" i="139" s="1"/>
  <c r="HK7" i="139" s="1"/>
  <c r="HL7" i="139" s="1"/>
  <c r="HM7" i="139" s="1"/>
  <c r="HN7" i="139" s="1"/>
  <c r="HO7" i="139" s="1"/>
  <c r="HP7" i="139" s="1"/>
  <c r="HQ7" i="139" s="1"/>
  <c r="HR7" i="139" s="1"/>
  <c r="HS7" i="139" s="1"/>
  <c r="HT7" i="139" s="1"/>
  <c r="HU7" i="139" s="1"/>
  <c r="HV7" i="139" s="1"/>
  <c r="HW7" i="139" s="1"/>
  <c r="HX7" i="139" s="1"/>
  <c r="HY7" i="139" s="1"/>
  <c r="HZ7" i="139" s="1"/>
  <c r="IA7" i="139" s="1"/>
  <c r="IB7" i="139" s="1"/>
  <c r="IC7" i="139" s="1"/>
  <c r="ID7" i="139" s="1"/>
  <c r="IE7" i="139" s="1"/>
  <c r="IF7" i="139" s="1"/>
  <c r="IG7" i="139" s="1"/>
  <c r="IH7" i="139" s="1"/>
  <c r="II7" i="139" s="1"/>
  <c r="IJ7" i="139" s="1"/>
  <c r="IK7" i="139" s="1"/>
  <c r="IL7" i="139" s="1"/>
  <c r="IM7" i="139" s="1"/>
  <c r="IN7" i="139" s="1"/>
  <c r="IO7" i="139" s="1"/>
  <c r="IP7" i="139" s="1"/>
  <c r="IQ7" i="139" s="1"/>
  <c r="IR7" i="139" s="1"/>
  <c r="IS7" i="139" s="1"/>
  <c r="IT7" i="139" s="1"/>
  <c r="IU7" i="139" s="1"/>
  <c r="IV7" i="139" s="1"/>
  <c r="IW7" i="139" s="1"/>
  <c r="IX7" i="139" s="1"/>
  <c r="IY7" i="139" s="1"/>
  <c r="IZ7" i="139" s="1"/>
  <c r="JA7" i="139" s="1"/>
  <c r="JB7" i="139" s="1"/>
  <c r="JC7" i="139" s="1"/>
  <c r="JD7" i="139" s="1"/>
  <c r="JE7" i="139" s="1"/>
  <c r="JF7" i="139" s="1"/>
  <c r="JG7" i="139" s="1"/>
  <c r="JH7" i="139" s="1"/>
  <c r="HA6" i="139"/>
  <c r="HB6" i="139" s="1"/>
  <c r="HC6" i="139" s="1"/>
  <c r="HD6" i="139" s="1"/>
  <c r="HE6" i="139" s="1"/>
  <c r="HF6" i="139" s="1"/>
  <c r="HG6" i="139" s="1"/>
  <c r="HH6" i="139" s="1"/>
  <c r="HI6" i="139" s="1"/>
  <c r="HJ6" i="139" s="1"/>
  <c r="HK6" i="139" s="1"/>
  <c r="HL6" i="139" s="1"/>
  <c r="HM6" i="139" s="1"/>
  <c r="HN6" i="139" s="1"/>
  <c r="HO6" i="139" s="1"/>
  <c r="HP6" i="139" s="1"/>
  <c r="HQ6" i="139" s="1"/>
  <c r="HR6" i="139" s="1"/>
  <c r="HS6" i="139" s="1"/>
  <c r="HT6" i="139" s="1"/>
  <c r="HU6" i="139" s="1"/>
  <c r="HV6" i="139" s="1"/>
  <c r="HW6" i="139" s="1"/>
  <c r="HX6" i="139" s="1"/>
  <c r="HY6" i="139" s="1"/>
  <c r="HZ6" i="139" s="1"/>
  <c r="IA6" i="139" s="1"/>
  <c r="IB6" i="139" s="1"/>
  <c r="IC6" i="139" s="1"/>
  <c r="ID6" i="139" s="1"/>
  <c r="IE6" i="139" s="1"/>
  <c r="IF6" i="139" s="1"/>
  <c r="IG6" i="139" s="1"/>
  <c r="IH6" i="139" s="1"/>
  <c r="II6" i="139" s="1"/>
  <c r="IJ6" i="139" s="1"/>
  <c r="IK6" i="139" s="1"/>
  <c r="IL6" i="139" s="1"/>
  <c r="IM6" i="139" s="1"/>
  <c r="IN6" i="139" s="1"/>
  <c r="IO6" i="139" s="1"/>
  <c r="IP6" i="139" s="1"/>
  <c r="IQ6" i="139" s="1"/>
  <c r="IR6" i="139" s="1"/>
  <c r="IS6" i="139" s="1"/>
  <c r="IT6" i="139" s="1"/>
  <c r="IU6" i="139" s="1"/>
  <c r="IV6" i="139" s="1"/>
  <c r="IW6" i="139" s="1"/>
  <c r="IX6" i="139" s="1"/>
  <c r="IY6" i="139" s="1"/>
  <c r="IZ6" i="139" s="1"/>
  <c r="JA6" i="139" s="1"/>
  <c r="JB6" i="139" s="1"/>
  <c r="JC6" i="139" s="1"/>
  <c r="JD6" i="139" s="1"/>
  <c r="JE6" i="139" s="1"/>
  <c r="JF6" i="139" s="1"/>
  <c r="JG6" i="139" s="1"/>
  <c r="JH6" i="139" s="1"/>
  <c r="HA5" i="139"/>
  <c r="HB5" i="139" s="1"/>
  <c r="HC5" i="139" s="1"/>
  <c r="HD5" i="139" s="1"/>
  <c r="HE5" i="139" s="1"/>
  <c r="HF5" i="139" s="1"/>
  <c r="HG5" i="139" s="1"/>
  <c r="HH5" i="139" s="1"/>
  <c r="HI5" i="139" s="1"/>
  <c r="HJ5" i="139" s="1"/>
  <c r="HK5" i="139" s="1"/>
  <c r="HL5" i="139" s="1"/>
  <c r="HM5" i="139" s="1"/>
  <c r="HN5" i="139" s="1"/>
  <c r="HO5" i="139" s="1"/>
  <c r="HP5" i="139" s="1"/>
  <c r="HQ5" i="139" s="1"/>
  <c r="HR5" i="139" s="1"/>
  <c r="HS5" i="139" s="1"/>
  <c r="HT5" i="139" s="1"/>
  <c r="HU5" i="139" s="1"/>
  <c r="HV5" i="139" s="1"/>
  <c r="HW5" i="139" s="1"/>
  <c r="HX5" i="139" s="1"/>
  <c r="HY5" i="139" s="1"/>
  <c r="HZ5" i="139" s="1"/>
  <c r="IA5" i="139" s="1"/>
  <c r="IB5" i="139" s="1"/>
  <c r="IC5" i="139" s="1"/>
  <c r="ID5" i="139" s="1"/>
  <c r="IE5" i="139" s="1"/>
  <c r="IF5" i="139" s="1"/>
  <c r="IG5" i="139" s="1"/>
  <c r="IH5" i="139" s="1"/>
  <c r="II5" i="139" s="1"/>
  <c r="IJ5" i="139" s="1"/>
  <c r="IK5" i="139" s="1"/>
  <c r="IL5" i="139" s="1"/>
  <c r="IM5" i="139" s="1"/>
  <c r="IN5" i="139" s="1"/>
  <c r="IO5" i="139" s="1"/>
  <c r="IP5" i="139" s="1"/>
  <c r="IQ5" i="139" s="1"/>
  <c r="IR5" i="139" s="1"/>
  <c r="IS5" i="139" s="1"/>
  <c r="IT5" i="139" s="1"/>
  <c r="IU5" i="139" s="1"/>
  <c r="IV5" i="139" s="1"/>
  <c r="IW5" i="139" s="1"/>
  <c r="IX5" i="139" s="1"/>
  <c r="IY5" i="139" s="1"/>
  <c r="IZ5" i="139" s="1"/>
  <c r="JA5" i="139" s="1"/>
  <c r="JB5" i="139" s="1"/>
  <c r="JC5" i="139" s="1"/>
  <c r="JD5" i="139" s="1"/>
  <c r="JE5" i="139" s="1"/>
  <c r="JF5" i="139" s="1"/>
  <c r="JG5" i="139" s="1"/>
  <c r="JH5" i="139" s="1"/>
  <c r="HA4" i="139"/>
  <c r="HB4" i="139" s="1"/>
  <c r="HC4" i="139" s="1"/>
  <c r="HD4" i="139" s="1"/>
  <c r="HE4" i="139" s="1"/>
  <c r="HF4" i="139" s="1"/>
  <c r="HG4" i="139" s="1"/>
  <c r="HH4" i="139" s="1"/>
  <c r="HI4" i="139" s="1"/>
  <c r="HJ4" i="139" s="1"/>
  <c r="HK4" i="139" s="1"/>
  <c r="HL4" i="139" s="1"/>
  <c r="HM4" i="139" s="1"/>
  <c r="HN4" i="139" s="1"/>
  <c r="HO4" i="139" s="1"/>
  <c r="HP4" i="139" s="1"/>
  <c r="HQ4" i="139" s="1"/>
  <c r="HR4" i="139" s="1"/>
  <c r="HS4" i="139" s="1"/>
  <c r="HT4" i="139" s="1"/>
  <c r="HU4" i="139" s="1"/>
  <c r="HV4" i="139" s="1"/>
  <c r="HW4" i="139" s="1"/>
  <c r="HX4" i="139" s="1"/>
  <c r="HY4" i="139" s="1"/>
  <c r="HZ4" i="139" s="1"/>
  <c r="IA4" i="139" s="1"/>
  <c r="IB4" i="139" s="1"/>
  <c r="IC4" i="139" s="1"/>
  <c r="ID4" i="139" s="1"/>
  <c r="IE4" i="139" s="1"/>
  <c r="IF4" i="139" s="1"/>
  <c r="IG4" i="139" s="1"/>
  <c r="IH4" i="139" s="1"/>
  <c r="II4" i="139" s="1"/>
  <c r="IJ4" i="139" s="1"/>
  <c r="IK4" i="139" s="1"/>
  <c r="IL4" i="139" s="1"/>
  <c r="IM4" i="139" s="1"/>
  <c r="IN4" i="139" s="1"/>
  <c r="IO4" i="139" s="1"/>
  <c r="IP4" i="139" s="1"/>
  <c r="IQ4" i="139" s="1"/>
  <c r="IR4" i="139" s="1"/>
  <c r="IS4" i="139" s="1"/>
  <c r="IT4" i="139" s="1"/>
  <c r="IU4" i="139" s="1"/>
  <c r="IV4" i="139" s="1"/>
  <c r="IW4" i="139" s="1"/>
  <c r="IX4" i="139" s="1"/>
  <c r="IY4" i="139" s="1"/>
  <c r="IZ4" i="139" s="1"/>
  <c r="JA4" i="139" s="1"/>
  <c r="JB4" i="139" s="1"/>
  <c r="JC4" i="139" s="1"/>
  <c r="JD4" i="139" s="1"/>
  <c r="JE4" i="139" s="1"/>
  <c r="JF4" i="139" s="1"/>
  <c r="JG4" i="139" s="1"/>
  <c r="JH4" i="139" s="1"/>
  <c r="HA3" i="139"/>
  <c r="HB3" i="139" s="1"/>
  <c r="HC3" i="139" s="1"/>
  <c r="HD3" i="139" s="1"/>
  <c r="HE3" i="139" s="1"/>
  <c r="HF3" i="139" s="1"/>
  <c r="HG3" i="139" s="1"/>
  <c r="HH3" i="139" s="1"/>
  <c r="HI3" i="139" s="1"/>
  <c r="HJ3" i="139" s="1"/>
  <c r="HK3" i="139" s="1"/>
  <c r="HL3" i="139" s="1"/>
  <c r="HM3" i="139" s="1"/>
  <c r="HN3" i="139" s="1"/>
  <c r="HO3" i="139" s="1"/>
  <c r="HP3" i="139" s="1"/>
  <c r="HQ3" i="139" s="1"/>
  <c r="HR3" i="139" s="1"/>
  <c r="HS3" i="139" s="1"/>
  <c r="HT3" i="139" s="1"/>
  <c r="HU3" i="139" s="1"/>
  <c r="HV3" i="139" s="1"/>
  <c r="HW3" i="139" s="1"/>
  <c r="HX3" i="139" s="1"/>
  <c r="HY3" i="139" s="1"/>
  <c r="HZ3" i="139" s="1"/>
  <c r="IA3" i="139" s="1"/>
  <c r="IB3" i="139" s="1"/>
  <c r="IC3" i="139" s="1"/>
  <c r="ID3" i="139" s="1"/>
  <c r="IE3" i="139" s="1"/>
  <c r="IF3" i="139" s="1"/>
  <c r="IG3" i="139" s="1"/>
  <c r="IH3" i="139" s="1"/>
  <c r="II3" i="139" s="1"/>
  <c r="IJ3" i="139" s="1"/>
  <c r="IK3" i="139" s="1"/>
  <c r="IL3" i="139" s="1"/>
  <c r="IM3" i="139" s="1"/>
  <c r="IN3" i="139" s="1"/>
  <c r="IO3" i="139" s="1"/>
  <c r="IP3" i="139" s="1"/>
  <c r="IQ3" i="139" s="1"/>
  <c r="IR3" i="139" s="1"/>
  <c r="IS3" i="139" s="1"/>
  <c r="IT3" i="139" s="1"/>
  <c r="IU3" i="139" s="1"/>
  <c r="IV3" i="139" s="1"/>
  <c r="IW3" i="139" s="1"/>
  <c r="IX3" i="139" s="1"/>
  <c r="IY3" i="139" s="1"/>
  <c r="IZ3" i="139" s="1"/>
  <c r="JA3" i="139" s="1"/>
  <c r="JB3" i="139" s="1"/>
  <c r="JC3" i="139" s="1"/>
  <c r="JD3" i="139" s="1"/>
  <c r="JE3" i="139" s="1"/>
  <c r="JF3" i="139" s="1"/>
  <c r="JG3" i="139" s="1"/>
  <c r="JH3" i="139" s="1"/>
  <c r="E63" i="1" l="1"/>
  <c r="GZ28" i="139" l="1"/>
  <c r="HA28" i="139"/>
  <c r="HA30" i="139" s="1"/>
  <c r="HA57" i="139" s="1"/>
  <c r="HD28" i="139"/>
  <c r="HD35" i="139" s="1"/>
  <c r="HD62" i="139" s="1"/>
  <c r="HE28" i="139"/>
  <c r="HE33" i="139" s="1"/>
  <c r="HE60" i="139" s="1"/>
  <c r="HH28" i="139"/>
  <c r="HH30" i="139" s="1"/>
  <c r="HH57" i="139" s="1"/>
  <c r="HI28" i="139"/>
  <c r="HI39" i="139" s="1"/>
  <c r="HI66" i="139" s="1"/>
  <c r="HL28" i="139"/>
  <c r="HM28" i="139"/>
  <c r="HP28" i="139"/>
  <c r="HP30" i="139" s="1"/>
  <c r="HP57" i="139" s="1"/>
  <c r="HQ28" i="139"/>
  <c r="HQ35" i="139" s="1"/>
  <c r="HQ62" i="139" s="1"/>
  <c r="HT28" i="139"/>
  <c r="HT30" i="139" s="1"/>
  <c r="HT57" i="139" s="1"/>
  <c r="HU28" i="139"/>
  <c r="HU33" i="139" s="1"/>
  <c r="HU60" i="139" s="1"/>
  <c r="HX28" i="139"/>
  <c r="HX31" i="139" s="1"/>
  <c r="HX58" i="139" s="1"/>
  <c r="HY28" i="139"/>
  <c r="HY30" i="139" s="1"/>
  <c r="HY57" i="139" s="1"/>
  <c r="IB28" i="139"/>
  <c r="IB38" i="139" s="1"/>
  <c r="IB65" i="139" s="1"/>
  <c r="IC28" i="139"/>
  <c r="IC33" i="139" s="1"/>
  <c r="IC60" i="139" s="1"/>
  <c r="IF28" i="139"/>
  <c r="IF32" i="139" s="1"/>
  <c r="IF59" i="139" s="1"/>
  <c r="IG28" i="139"/>
  <c r="IG31" i="139" s="1"/>
  <c r="IG58" i="139" s="1"/>
  <c r="IJ28" i="139"/>
  <c r="IK28" i="139"/>
  <c r="IN28" i="139"/>
  <c r="IN35" i="139" s="1"/>
  <c r="IN62" i="139" s="1"/>
  <c r="IO28" i="139"/>
  <c r="IO35" i="139" s="1"/>
  <c r="IO62" i="139" s="1"/>
  <c r="IR28" i="139"/>
  <c r="IR38" i="139" s="1"/>
  <c r="IR65" i="139" s="1"/>
  <c r="IS28" i="139"/>
  <c r="IS30" i="139" s="1"/>
  <c r="IS57" i="139" s="1"/>
  <c r="IV28" i="139"/>
  <c r="IW28" i="139"/>
  <c r="IW30" i="139" s="1"/>
  <c r="IW57" i="139" s="1"/>
  <c r="IZ28" i="139"/>
  <c r="IZ38" i="139" s="1"/>
  <c r="IZ65" i="139" s="1"/>
  <c r="JA28" i="139"/>
  <c r="JA33" i="139" s="1"/>
  <c r="JA60" i="139" s="1"/>
  <c r="JD28" i="139"/>
  <c r="JD35" i="139" s="1"/>
  <c r="JD62" i="139" s="1"/>
  <c r="JE28" i="139"/>
  <c r="JE41" i="139" s="1"/>
  <c r="JE68" i="139" s="1"/>
  <c r="JH28" i="139"/>
  <c r="HX36" i="139"/>
  <c r="HX63" i="139" s="1"/>
  <c r="IK37" i="139"/>
  <c r="IK64" i="139" s="1"/>
  <c r="HI38" i="139"/>
  <c r="HI65" i="139" s="1"/>
  <c r="HA41" i="139"/>
  <c r="HA68" i="139" s="1"/>
  <c r="HY41" i="139"/>
  <c r="HY68" i="139" s="1"/>
  <c r="HA83" i="139"/>
  <c r="HB83" i="139"/>
  <c r="HD83" i="139"/>
  <c r="HE83" i="139"/>
  <c r="HF83" i="139"/>
  <c r="HH83" i="139"/>
  <c r="HI83" i="139"/>
  <c r="HJ83" i="139"/>
  <c r="HL83" i="139"/>
  <c r="HM83" i="139"/>
  <c r="HN83" i="139"/>
  <c r="HP83" i="139"/>
  <c r="HQ83" i="139"/>
  <c r="HR83" i="139"/>
  <c r="HT83" i="139"/>
  <c r="HU83" i="139"/>
  <c r="HV83" i="139"/>
  <c r="HX83" i="139"/>
  <c r="HY83" i="139"/>
  <c r="HZ83" i="139"/>
  <c r="IB83" i="139"/>
  <c r="IC83" i="139"/>
  <c r="ID83" i="139"/>
  <c r="IF83" i="139"/>
  <c r="IG83" i="139"/>
  <c r="IH83" i="139"/>
  <c r="IJ83" i="139"/>
  <c r="IK83" i="139"/>
  <c r="IL83" i="139"/>
  <c r="IN83" i="139"/>
  <c r="IO83" i="139"/>
  <c r="IP83" i="139"/>
  <c r="IR83" i="139"/>
  <c r="IS83" i="139"/>
  <c r="IT83" i="139"/>
  <c r="IV83" i="139"/>
  <c r="IW83" i="139"/>
  <c r="IX83" i="139"/>
  <c r="IZ83" i="139"/>
  <c r="JA83" i="139"/>
  <c r="JB83" i="139"/>
  <c r="JD83" i="139"/>
  <c r="JE83" i="139"/>
  <c r="JF83" i="139"/>
  <c r="JH83" i="139"/>
  <c r="HA84" i="139"/>
  <c r="HC84" i="139"/>
  <c r="HD84" i="139"/>
  <c r="HE84" i="139"/>
  <c r="HG84" i="139"/>
  <c r="HH84" i="139"/>
  <c r="HI84" i="139"/>
  <c r="HK84" i="139"/>
  <c r="HL84" i="139"/>
  <c r="HM84" i="139"/>
  <c r="HO84" i="139"/>
  <c r="HP84" i="139"/>
  <c r="HQ84" i="139"/>
  <c r="HS84" i="139"/>
  <c r="HT84" i="139"/>
  <c r="HU84" i="139"/>
  <c r="HW84" i="139"/>
  <c r="HX84" i="139"/>
  <c r="HY84" i="139"/>
  <c r="IA84" i="139"/>
  <c r="IB84" i="139"/>
  <c r="IC84" i="139"/>
  <c r="IE84" i="139"/>
  <c r="IF84" i="139"/>
  <c r="IG84" i="139"/>
  <c r="II84" i="139"/>
  <c r="IJ84" i="139"/>
  <c r="IK84" i="139"/>
  <c r="IM84" i="139"/>
  <c r="IN84" i="139"/>
  <c r="IO84" i="139"/>
  <c r="IQ84" i="139"/>
  <c r="IR84" i="139"/>
  <c r="IS84" i="139"/>
  <c r="IU84" i="139"/>
  <c r="IV84" i="139"/>
  <c r="IW84" i="139"/>
  <c r="IY84" i="139"/>
  <c r="IZ84" i="139"/>
  <c r="JA84" i="139"/>
  <c r="JC84" i="139"/>
  <c r="JD84" i="139"/>
  <c r="JE84" i="139"/>
  <c r="JG84" i="139"/>
  <c r="JH84" i="139"/>
  <c r="HB85" i="139"/>
  <c r="HC85" i="139"/>
  <c r="HD85" i="139"/>
  <c r="HF85" i="139"/>
  <c r="HG85" i="139"/>
  <c r="HH85" i="139"/>
  <c r="HJ85" i="139"/>
  <c r="HK85" i="139"/>
  <c r="HL85" i="139"/>
  <c r="HN85" i="139"/>
  <c r="HO85" i="139"/>
  <c r="HP85" i="139"/>
  <c r="HR85" i="139"/>
  <c r="HS85" i="139"/>
  <c r="HT85" i="139"/>
  <c r="HV85" i="139"/>
  <c r="HW85" i="139"/>
  <c r="HX85" i="139"/>
  <c r="HZ85" i="139"/>
  <c r="IA85" i="139"/>
  <c r="IB85" i="139"/>
  <c r="ID85" i="139"/>
  <c r="IE85" i="139"/>
  <c r="IF85" i="139"/>
  <c r="IH85" i="139"/>
  <c r="II85" i="139"/>
  <c r="IJ85" i="139"/>
  <c r="IL85" i="139"/>
  <c r="IM85" i="139"/>
  <c r="IN85" i="139"/>
  <c r="IP85" i="139"/>
  <c r="IQ85" i="139"/>
  <c r="IR85" i="139"/>
  <c r="IT85" i="139"/>
  <c r="IU85" i="139"/>
  <c r="IV85" i="139"/>
  <c r="IX85" i="139"/>
  <c r="IY85" i="139"/>
  <c r="IZ85" i="139"/>
  <c r="JB85" i="139"/>
  <c r="JC85" i="139"/>
  <c r="JD85" i="139"/>
  <c r="JF85" i="139"/>
  <c r="JG85" i="139"/>
  <c r="JH85" i="139"/>
  <c r="HA86" i="139"/>
  <c r="HB86" i="139"/>
  <c r="HC86" i="139"/>
  <c r="HE86" i="139"/>
  <c r="HF86" i="139"/>
  <c r="HG86" i="139"/>
  <c r="HI86" i="139"/>
  <c r="HJ86" i="139"/>
  <c r="HK86" i="139"/>
  <c r="HM86" i="139"/>
  <c r="HN86" i="139"/>
  <c r="HO86" i="139"/>
  <c r="HQ86" i="139"/>
  <c r="HR86" i="139"/>
  <c r="HS86" i="139"/>
  <c r="HU86" i="139"/>
  <c r="HV86" i="139"/>
  <c r="HW86" i="139"/>
  <c r="HY86" i="139"/>
  <c r="HZ86" i="139"/>
  <c r="IA86" i="139"/>
  <c r="IC86" i="139"/>
  <c r="ID86" i="139"/>
  <c r="IE86" i="139"/>
  <c r="IG86" i="139"/>
  <c r="IH86" i="139"/>
  <c r="II86" i="139"/>
  <c r="IK86" i="139"/>
  <c r="IL86" i="139"/>
  <c r="IM86" i="139"/>
  <c r="IO86" i="139"/>
  <c r="IP86" i="139"/>
  <c r="IQ86" i="139"/>
  <c r="IS86" i="139"/>
  <c r="IT86" i="139"/>
  <c r="IU86" i="139"/>
  <c r="IW86" i="139"/>
  <c r="IX86" i="139"/>
  <c r="IY86" i="139"/>
  <c r="JA86" i="139"/>
  <c r="JB86" i="139"/>
  <c r="JC86" i="139"/>
  <c r="JE86" i="139"/>
  <c r="JF86" i="139"/>
  <c r="JG86" i="139"/>
  <c r="HA87" i="139"/>
  <c r="HB87" i="139"/>
  <c r="HD87" i="139"/>
  <c r="HE87" i="139"/>
  <c r="HF87" i="139"/>
  <c r="HH87" i="139"/>
  <c r="HI87" i="139"/>
  <c r="HJ87" i="139"/>
  <c r="HL87" i="139"/>
  <c r="HM87" i="139"/>
  <c r="HN87" i="139"/>
  <c r="HP87" i="139"/>
  <c r="HQ87" i="139"/>
  <c r="HR87" i="139"/>
  <c r="HT87" i="139"/>
  <c r="HU87" i="139"/>
  <c r="HV87" i="139"/>
  <c r="HX87" i="139"/>
  <c r="HY87" i="139"/>
  <c r="HZ87" i="139"/>
  <c r="IB87" i="139"/>
  <c r="IC87" i="139"/>
  <c r="ID87" i="139"/>
  <c r="IF87" i="139"/>
  <c r="IG87" i="139"/>
  <c r="IH87" i="139"/>
  <c r="IJ87" i="139"/>
  <c r="IK87" i="139"/>
  <c r="IL87" i="139"/>
  <c r="IN87" i="139"/>
  <c r="IO87" i="139"/>
  <c r="IP87" i="139"/>
  <c r="IR87" i="139"/>
  <c r="IS87" i="139"/>
  <c r="IT87" i="139"/>
  <c r="IV87" i="139"/>
  <c r="IW87" i="139"/>
  <c r="IX87" i="139"/>
  <c r="IZ87" i="139"/>
  <c r="JA87" i="139"/>
  <c r="JB87" i="139"/>
  <c r="JD87" i="139"/>
  <c r="JE87" i="139"/>
  <c r="JF87" i="139"/>
  <c r="JH87" i="139"/>
  <c r="HA88" i="139"/>
  <c r="HC88" i="139"/>
  <c r="HD88" i="139"/>
  <c r="HE88" i="139"/>
  <c r="HG88" i="139"/>
  <c r="HH88" i="139"/>
  <c r="HI88" i="139"/>
  <c r="HK88" i="139"/>
  <c r="HL88" i="139"/>
  <c r="HM88" i="139"/>
  <c r="HO88" i="139"/>
  <c r="HP88" i="139"/>
  <c r="HQ88" i="139"/>
  <c r="HS88" i="139"/>
  <c r="HT88" i="139"/>
  <c r="HU88" i="139"/>
  <c r="HW88" i="139"/>
  <c r="HX88" i="139"/>
  <c r="HY88" i="139"/>
  <c r="IA88" i="139"/>
  <c r="IB88" i="139"/>
  <c r="IC88" i="139"/>
  <c r="IE88" i="139"/>
  <c r="IF88" i="139"/>
  <c r="IG88" i="139"/>
  <c r="II88" i="139"/>
  <c r="IJ88" i="139"/>
  <c r="IK88" i="139"/>
  <c r="IM88" i="139"/>
  <c r="IN88" i="139"/>
  <c r="IO88" i="139"/>
  <c r="IQ88" i="139"/>
  <c r="IR88" i="139"/>
  <c r="IS88" i="139"/>
  <c r="IU88" i="139"/>
  <c r="IV88" i="139"/>
  <c r="IW88" i="139"/>
  <c r="IY88" i="139"/>
  <c r="IZ88" i="139"/>
  <c r="JA88" i="139"/>
  <c r="JC88" i="139"/>
  <c r="JD88" i="139"/>
  <c r="JE88" i="139"/>
  <c r="JG88" i="139"/>
  <c r="JH88" i="139"/>
  <c r="HB89" i="139"/>
  <c r="HC89" i="139"/>
  <c r="HD89" i="139"/>
  <c r="HF89" i="139"/>
  <c r="HG89" i="139"/>
  <c r="HH89" i="139"/>
  <c r="HJ89" i="139"/>
  <c r="HK89" i="139"/>
  <c r="HL89" i="139"/>
  <c r="HN89" i="139"/>
  <c r="HO89" i="139"/>
  <c r="HP89" i="139"/>
  <c r="HR89" i="139"/>
  <c r="HS89" i="139"/>
  <c r="HT89" i="139"/>
  <c r="HV89" i="139"/>
  <c r="HW89" i="139"/>
  <c r="HX89" i="139"/>
  <c r="HZ89" i="139"/>
  <c r="IA89" i="139"/>
  <c r="IB89" i="139"/>
  <c r="ID89" i="139"/>
  <c r="IE89" i="139"/>
  <c r="IF89" i="139"/>
  <c r="IH89" i="139"/>
  <c r="II89" i="139"/>
  <c r="IJ89" i="139"/>
  <c r="IL89" i="139"/>
  <c r="IM89" i="139"/>
  <c r="IN89" i="139"/>
  <c r="IP89" i="139"/>
  <c r="IQ89" i="139"/>
  <c r="IR89" i="139"/>
  <c r="IT89" i="139"/>
  <c r="IU89" i="139"/>
  <c r="IV89" i="139"/>
  <c r="IX89" i="139"/>
  <c r="IY89" i="139"/>
  <c r="IZ89" i="139"/>
  <c r="JB89" i="139"/>
  <c r="JC89" i="139"/>
  <c r="JD89" i="139"/>
  <c r="JF89" i="139"/>
  <c r="JG89" i="139"/>
  <c r="JH89" i="139"/>
  <c r="HA90" i="139"/>
  <c r="HB90" i="139"/>
  <c r="HC90" i="139"/>
  <c r="HE90" i="139"/>
  <c r="HF90" i="139"/>
  <c r="HG90" i="139"/>
  <c r="HI90" i="139"/>
  <c r="HJ90" i="139"/>
  <c r="HK90" i="139"/>
  <c r="HM90" i="139"/>
  <c r="HN90" i="139"/>
  <c r="HO90" i="139"/>
  <c r="HQ90" i="139"/>
  <c r="HR90" i="139"/>
  <c r="HS90" i="139"/>
  <c r="HU90" i="139"/>
  <c r="HV90" i="139"/>
  <c r="HW90" i="139"/>
  <c r="HY90" i="139"/>
  <c r="HZ90" i="139"/>
  <c r="IA90" i="139"/>
  <c r="IC90" i="139"/>
  <c r="ID90" i="139"/>
  <c r="IE90" i="139"/>
  <c r="IG90" i="139"/>
  <c r="IH90" i="139"/>
  <c r="II90" i="139"/>
  <c r="IK90" i="139"/>
  <c r="IL90" i="139"/>
  <c r="IM90" i="139"/>
  <c r="IO90" i="139"/>
  <c r="IP90" i="139"/>
  <c r="IQ90" i="139"/>
  <c r="IS90" i="139"/>
  <c r="IT90" i="139"/>
  <c r="IU90" i="139"/>
  <c r="IW90" i="139"/>
  <c r="IX90" i="139"/>
  <c r="IY90" i="139"/>
  <c r="JA90" i="139"/>
  <c r="JB90" i="139"/>
  <c r="JC90" i="139"/>
  <c r="JE90" i="139"/>
  <c r="JF90" i="139"/>
  <c r="JG90" i="139"/>
  <c r="HA91" i="139"/>
  <c r="HB91" i="139"/>
  <c r="HD91" i="139"/>
  <c r="HE91" i="139"/>
  <c r="HF91" i="139"/>
  <c r="HH91" i="139"/>
  <c r="HI91" i="139"/>
  <c r="HJ91" i="139"/>
  <c r="HL91" i="139"/>
  <c r="HM91" i="139"/>
  <c r="HN91" i="139"/>
  <c r="HP91" i="139"/>
  <c r="HQ91" i="139"/>
  <c r="HR91" i="139"/>
  <c r="HT91" i="139"/>
  <c r="HU91" i="139"/>
  <c r="HV91" i="139"/>
  <c r="HX91" i="139"/>
  <c r="HY91" i="139"/>
  <c r="HZ91" i="139"/>
  <c r="IB91" i="139"/>
  <c r="IC91" i="139"/>
  <c r="ID91" i="139"/>
  <c r="IF91" i="139"/>
  <c r="IG91" i="139"/>
  <c r="IH91" i="139"/>
  <c r="IJ91" i="139"/>
  <c r="IK91" i="139"/>
  <c r="IL91" i="139"/>
  <c r="IN91" i="139"/>
  <c r="IO91" i="139"/>
  <c r="IP91" i="139"/>
  <c r="IR91" i="139"/>
  <c r="IS91" i="139"/>
  <c r="IT91" i="139"/>
  <c r="IV91" i="139"/>
  <c r="IW91" i="139"/>
  <c r="IX91" i="139"/>
  <c r="IZ91" i="139"/>
  <c r="JA91" i="139"/>
  <c r="JB91" i="139"/>
  <c r="JD91" i="139"/>
  <c r="JE91" i="139"/>
  <c r="JF91" i="139"/>
  <c r="JH91" i="139"/>
  <c r="HA92" i="139"/>
  <c r="HC92" i="139"/>
  <c r="HD92" i="139"/>
  <c r="HE92" i="139"/>
  <c r="HG92" i="139"/>
  <c r="HH92" i="139"/>
  <c r="HI92" i="139"/>
  <c r="HK92" i="139"/>
  <c r="HL92" i="139"/>
  <c r="HM92" i="139"/>
  <c r="HO92" i="139"/>
  <c r="HP92" i="139"/>
  <c r="HQ92" i="139"/>
  <c r="HS92" i="139"/>
  <c r="HT92" i="139"/>
  <c r="HU92" i="139"/>
  <c r="HW92" i="139"/>
  <c r="HX92" i="139"/>
  <c r="HY92" i="139"/>
  <c r="IA92" i="139"/>
  <c r="IB92" i="139"/>
  <c r="IC92" i="139"/>
  <c r="IE92" i="139"/>
  <c r="IF92" i="139"/>
  <c r="IG92" i="139"/>
  <c r="II92" i="139"/>
  <c r="IJ92" i="139"/>
  <c r="IK92" i="139"/>
  <c r="IM92" i="139"/>
  <c r="IN92" i="139"/>
  <c r="IO92" i="139"/>
  <c r="IQ92" i="139"/>
  <c r="IR92" i="139"/>
  <c r="IS92" i="139"/>
  <c r="IU92" i="139"/>
  <c r="IV92" i="139"/>
  <c r="IW92" i="139"/>
  <c r="IY92" i="139"/>
  <c r="IZ92" i="139"/>
  <c r="JA92" i="139"/>
  <c r="JC92" i="139"/>
  <c r="JD92" i="139"/>
  <c r="JE92" i="139"/>
  <c r="JG92" i="139"/>
  <c r="JH92" i="139"/>
  <c r="HB93" i="139"/>
  <c r="HC93" i="139"/>
  <c r="HD93" i="139"/>
  <c r="HF93" i="139"/>
  <c r="HG93" i="139"/>
  <c r="HH93" i="139"/>
  <c r="HJ93" i="139"/>
  <c r="HK93" i="139"/>
  <c r="HL93" i="139"/>
  <c r="HN93" i="139"/>
  <c r="HO93" i="139"/>
  <c r="HP93" i="139"/>
  <c r="HR93" i="139"/>
  <c r="HS93" i="139"/>
  <c r="HT93" i="139"/>
  <c r="HV93" i="139"/>
  <c r="HW93" i="139"/>
  <c r="HX93" i="139"/>
  <c r="HZ93" i="139"/>
  <c r="IA93" i="139"/>
  <c r="IB93" i="139"/>
  <c r="ID93" i="139"/>
  <c r="IE93" i="139"/>
  <c r="IF93" i="139"/>
  <c r="IH93" i="139"/>
  <c r="II93" i="139"/>
  <c r="IJ93" i="139"/>
  <c r="IL93" i="139"/>
  <c r="IM93" i="139"/>
  <c r="IN93" i="139"/>
  <c r="IP93" i="139"/>
  <c r="IQ93" i="139"/>
  <c r="IR93" i="139"/>
  <c r="IT93" i="139"/>
  <c r="IU93" i="139"/>
  <c r="IV93" i="139"/>
  <c r="IX93" i="139"/>
  <c r="IY93" i="139"/>
  <c r="IZ93" i="139"/>
  <c r="JB93" i="139"/>
  <c r="JC93" i="139"/>
  <c r="JD93" i="139"/>
  <c r="JF93" i="139"/>
  <c r="JG93" i="139"/>
  <c r="JH93" i="139"/>
  <c r="HA94" i="139"/>
  <c r="HB94" i="139"/>
  <c r="HC94" i="139"/>
  <c r="HE94" i="139"/>
  <c r="HF94" i="139"/>
  <c r="HG94" i="139"/>
  <c r="HI94" i="139"/>
  <c r="HJ94" i="139"/>
  <c r="HK94" i="139"/>
  <c r="HM94" i="139"/>
  <c r="HN94" i="139"/>
  <c r="HO94" i="139"/>
  <c r="HQ94" i="139"/>
  <c r="HR94" i="139"/>
  <c r="HS94" i="139"/>
  <c r="HU94" i="139"/>
  <c r="HV94" i="139"/>
  <c r="HW94" i="139"/>
  <c r="HY94" i="139"/>
  <c r="HZ94" i="139"/>
  <c r="IA94" i="139"/>
  <c r="IC94" i="139"/>
  <c r="ID94" i="139"/>
  <c r="IE94" i="139"/>
  <c r="IG94" i="139"/>
  <c r="IH94" i="139"/>
  <c r="II94" i="139"/>
  <c r="IK94" i="139"/>
  <c r="IL94" i="139"/>
  <c r="IM94" i="139"/>
  <c r="IO94" i="139"/>
  <c r="IP94" i="139"/>
  <c r="IQ94" i="139"/>
  <c r="IS94" i="139"/>
  <c r="IT94" i="139"/>
  <c r="IU94" i="139"/>
  <c r="IW94" i="139"/>
  <c r="IX94" i="139"/>
  <c r="IY94" i="139"/>
  <c r="JA94" i="139"/>
  <c r="JB94" i="139"/>
  <c r="JC94" i="139"/>
  <c r="JE94" i="139"/>
  <c r="JF94" i="139"/>
  <c r="JG94" i="139"/>
  <c r="HT35" i="139" l="1"/>
  <c r="HT62" i="139" s="1"/>
  <c r="IF31" i="139"/>
  <c r="IF58" i="139" s="1"/>
  <c r="IF39" i="139"/>
  <c r="IF66" i="139" s="1"/>
  <c r="JD39" i="139"/>
  <c r="JD66" i="139" s="1"/>
  <c r="HH38" i="139"/>
  <c r="HH65" i="139" s="1"/>
  <c r="IB35" i="139"/>
  <c r="IB62" i="139" s="1"/>
  <c r="IB32" i="139"/>
  <c r="IB59" i="139" s="1"/>
  <c r="HT39" i="139"/>
  <c r="HT66" i="139" s="1"/>
  <c r="JD36" i="139"/>
  <c r="JD63" i="139" s="1"/>
  <c r="IR34" i="139"/>
  <c r="IR61" i="139" s="1"/>
  <c r="HT31" i="139"/>
  <c r="HT58" i="139" s="1"/>
  <c r="JD40" i="139"/>
  <c r="JD67" i="139" s="1"/>
  <c r="HH39" i="139"/>
  <c r="HH66" i="139" s="1"/>
  <c r="HT34" i="139"/>
  <c r="HT61" i="139" s="1"/>
  <c r="HH31" i="139"/>
  <c r="HH58" i="139" s="1"/>
  <c r="IR40" i="139"/>
  <c r="IR67" i="139" s="1"/>
  <c r="IF38" i="139"/>
  <c r="IF65" i="139" s="1"/>
  <c r="HH36" i="139"/>
  <c r="HH63" i="139" s="1"/>
  <c r="HH34" i="139"/>
  <c r="HH61" i="139" s="1"/>
  <c r="IR30" i="139"/>
  <c r="IR57" i="139" s="1"/>
  <c r="HT40" i="139"/>
  <c r="HT67" i="139" s="1"/>
  <c r="IF35" i="139"/>
  <c r="IF62" i="139" s="1"/>
  <c r="IR32" i="139"/>
  <c r="IR59" i="139" s="1"/>
  <c r="IC34" i="139"/>
  <c r="IC61" i="139" s="1"/>
  <c r="IW41" i="139"/>
  <c r="IW68" i="139" s="1"/>
  <c r="IB40" i="139"/>
  <c r="IB67" i="139" s="1"/>
  <c r="HQ41" i="139"/>
  <c r="HQ68" i="139" s="1"/>
  <c r="JE30" i="139"/>
  <c r="JE57" i="139" s="1"/>
  <c r="IR31" i="139"/>
  <c r="IR58" i="139" s="1"/>
  <c r="HU41" i="139"/>
  <c r="HU68" i="139" s="1"/>
  <c r="IO34" i="139"/>
  <c r="IO61" i="139" s="1"/>
  <c r="JE33" i="139"/>
  <c r="JE60" i="139" s="1"/>
  <c r="IG33" i="139"/>
  <c r="IG60" i="139" s="1"/>
  <c r="HU31" i="139"/>
  <c r="HU58" i="139" s="1"/>
  <c r="IG30" i="139"/>
  <c r="IG57" i="139" s="1"/>
  <c r="JA41" i="139"/>
  <c r="JA68" i="139" s="1"/>
  <c r="JE38" i="139"/>
  <c r="JE65" i="139" s="1"/>
  <c r="JE35" i="139"/>
  <c r="JE62" i="139" s="1"/>
  <c r="HI35" i="139"/>
  <c r="HI62" i="139" s="1"/>
  <c r="HU34" i="139"/>
  <c r="HU61" i="139" s="1"/>
  <c r="HI33" i="139"/>
  <c r="HI60" i="139" s="1"/>
  <c r="HU30" i="139"/>
  <c r="HU57" i="139" s="1"/>
  <c r="JE37" i="139"/>
  <c r="JE64" i="139" s="1"/>
  <c r="IS39" i="139"/>
  <c r="IS66" i="139" s="1"/>
  <c r="IS38" i="139"/>
  <c r="IS65" i="139" s="1"/>
  <c r="HU37" i="139"/>
  <c r="HU64" i="139" s="1"/>
  <c r="IS35" i="139"/>
  <c r="IS62" i="139" s="1"/>
  <c r="JE34" i="139"/>
  <c r="JE61" i="139" s="1"/>
  <c r="HI31" i="139"/>
  <c r="HI58" i="139" s="1"/>
  <c r="HI30" i="139"/>
  <c r="HI57" i="139" s="1"/>
  <c r="JE39" i="139"/>
  <c r="JE66" i="139" s="1"/>
  <c r="IG41" i="139"/>
  <c r="IG68" i="139" s="1"/>
  <c r="IG39" i="139"/>
  <c r="IG66" i="139" s="1"/>
  <c r="HI37" i="139"/>
  <c r="HI64" i="139" s="1"/>
  <c r="IG35" i="139"/>
  <c r="IG62" i="139" s="1"/>
  <c r="IS34" i="139"/>
  <c r="IS61" i="139" s="1"/>
  <c r="HI34" i="139"/>
  <c r="HI61" i="139" s="1"/>
  <c r="JE31" i="139"/>
  <c r="JE58" i="139" s="1"/>
  <c r="IS33" i="139"/>
  <c r="IS60" i="139" s="1"/>
  <c r="IS31" i="139"/>
  <c r="IS58" i="139" s="1"/>
  <c r="IC41" i="139"/>
  <c r="IC68" i="139" s="1"/>
  <c r="HP39" i="139"/>
  <c r="HP66" i="139" s="1"/>
  <c r="HU38" i="139"/>
  <c r="HU65" i="139" s="1"/>
  <c r="IG37" i="139"/>
  <c r="IG64" i="139" s="1"/>
  <c r="IG34" i="139"/>
  <c r="IG61" i="139" s="1"/>
  <c r="IS41" i="139"/>
  <c r="IS68" i="139" s="1"/>
  <c r="HI41" i="139"/>
  <c r="HI68" i="139" s="1"/>
  <c r="HP40" i="139"/>
  <c r="HP67" i="139" s="1"/>
  <c r="HU39" i="139"/>
  <c r="HU66" i="139" s="1"/>
  <c r="IG38" i="139"/>
  <c r="IG65" i="139" s="1"/>
  <c r="IS37" i="139"/>
  <c r="IS64" i="139" s="1"/>
  <c r="IN36" i="139"/>
  <c r="IN63" i="139" s="1"/>
  <c r="HQ34" i="139"/>
  <c r="HQ61" i="139" s="1"/>
  <c r="HY33" i="139"/>
  <c r="HY60" i="139" s="1"/>
  <c r="IZ40" i="139"/>
  <c r="IZ67" i="139" s="1"/>
  <c r="HH40" i="139"/>
  <c r="HH67" i="139" s="1"/>
  <c r="IR39" i="139"/>
  <c r="IR66" i="139" s="1"/>
  <c r="HP38" i="139"/>
  <c r="HP65" i="139" s="1"/>
  <c r="IF36" i="139"/>
  <c r="IF63" i="139" s="1"/>
  <c r="HU35" i="139"/>
  <c r="HU62" i="139" s="1"/>
  <c r="IZ34" i="139"/>
  <c r="IZ61" i="139" s="1"/>
  <c r="IB34" i="139"/>
  <c r="IB61" i="139" s="1"/>
  <c r="HE34" i="139"/>
  <c r="HE61" i="139" s="1"/>
  <c r="HT32" i="139"/>
  <c r="HT59" i="139" s="1"/>
  <c r="HP31" i="139"/>
  <c r="HP58" i="139" s="1"/>
  <c r="IN30" i="139"/>
  <c r="IN57" i="139" s="1"/>
  <c r="HD40" i="139"/>
  <c r="HD67" i="139" s="1"/>
  <c r="IN38" i="139"/>
  <c r="IN65" i="139" s="1"/>
  <c r="IB36" i="139"/>
  <c r="IB63" i="139" s="1"/>
  <c r="HD34" i="139"/>
  <c r="HD61" i="139" s="1"/>
  <c r="HD32" i="139"/>
  <c r="HD59" i="139" s="1"/>
  <c r="IN40" i="139"/>
  <c r="IN67" i="139" s="1"/>
  <c r="HD39" i="139"/>
  <c r="HD66" i="139" s="1"/>
  <c r="HP35" i="139"/>
  <c r="HP62" i="139" s="1"/>
  <c r="IZ32" i="139"/>
  <c r="IZ59" i="139" s="1"/>
  <c r="IB31" i="139"/>
  <c r="IB58" i="139" s="1"/>
  <c r="IB30" i="139"/>
  <c r="IB57" i="139" s="1"/>
  <c r="HD38" i="139"/>
  <c r="HD65" i="139" s="1"/>
  <c r="IZ31" i="139"/>
  <c r="IZ58" i="139" s="1"/>
  <c r="IZ39" i="139"/>
  <c r="IZ66" i="139" s="1"/>
  <c r="HD36" i="139"/>
  <c r="HD63" i="139" s="1"/>
  <c r="HE41" i="139"/>
  <c r="HE68" i="139" s="1"/>
  <c r="IF40" i="139"/>
  <c r="IF67" i="139" s="1"/>
  <c r="IN39" i="139"/>
  <c r="IN66" i="139" s="1"/>
  <c r="HL39" i="139"/>
  <c r="HL66" i="139" s="1"/>
  <c r="IZ36" i="139"/>
  <c r="IZ63" i="139" s="1"/>
  <c r="HP36" i="139"/>
  <c r="HP63" i="139" s="1"/>
  <c r="IZ35" i="139"/>
  <c r="IZ62" i="139" s="1"/>
  <c r="JD34" i="139"/>
  <c r="JD61" i="139" s="1"/>
  <c r="IF34" i="139"/>
  <c r="IF61" i="139" s="1"/>
  <c r="HP34" i="139"/>
  <c r="HP61" i="139" s="1"/>
  <c r="JD32" i="139"/>
  <c r="JD59" i="139" s="1"/>
  <c r="HH32" i="139"/>
  <c r="HH59" i="139" s="1"/>
  <c r="IZ30" i="139"/>
  <c r="IZ57" i="139" s="1"/>
  <c r="IV36" i="139"/>
  <c r="IV63" i="139" s="1"/>
  <c r="HL34" i="139"/>
  <c r="HL61" i="139" s="1"/>
  <c r="JH31" i="139"/>
  <c r="JH58" i="139" s="1"/>
  <c r="IV39" i="139"/>
  <c r="IV66" i="139" s="1"/>
  <c r="GZ36" i="139"/>
  <c r="GZ63" i="139" s="1"/>
  <c r="JD31" i="139"/>
  <c r="JD58" i="139" s="1"/>
  <c r="HD30" i="139"/>
  <c r="HD57" i="139" s="1"/>
  <c r="IO41" i="139"/>
  <c r="IO68" i="139" s="1"/>
  <c r="IV40" i="139"/>
  <c r="IV67" i="139" s="1"/>
  <c r="HX40" i="139"/>
  <c r="HX67" i="139" s="1"/>
  <c r="GZ40" i="139"/>
  <c r="GZ67" i="139" s="1"/>
  <c r="IB39" i="139"/>
  <c r="IB66" i="139" s="1"/>
  <c r="JD38" i="139"/>
  <c r="JD65" i="139" s="1"/>
  <c r="IJ38" i="139"/>
  <c r="IJ65" i="139" s="1"/>
  <c r="HT38" i="139"/>
  <c r="HT65" i="139" s="1"/>
  <c r="GZ38" i="139"/>
  <c r="GZ65" i="139" s="1"/>
  <c r="HM37" i="139"/>
  <c r="HM64" i="139" s="1"/>
  <c r="IR36" i="139"/>
  <c r="IR63" i="139" s="1"/>
  <c r="HT36" i="139"/>
  <c r="HT63" i="139" s="1"/>
  <c r="JH35" i="139"/>
  <c r="JH62" i="139" s="1"/>
  <c r="IR35" i="139"/>
  <c r="IR62" i="139" s="1"/>
  <c r="HX35" i="139"/>
  <c r="HX62" i="139" s="1"/>
  <c r="HH35" i="139"/>
  <c r="HH62" i="139" s="1"/>
  <c r="JA34" i="139"/>
  <c r="JA61" i="139" s="1"/>
  <c r="IN34" i="139"/>
  <c r="IN61" i="139" s="1"/>
  <c r="HX34" i="139"/>
  <c r="HX61" i="139" s="1"/>
  <c r="IW33" i="139"/>
  <c r="IW60" i="139" s="1"/>
  <c r="HA33" i="139"/>
  <c r="HA60" i="139" s="1"/>
  <c r="IN32" i="139"/>
  <c r="IN59" i="139" s="1"/>
  <c r="HP32" i="139"/>
  <c r="HP59" i="139" s="1"/>
  <c r="IN31" i="139"/>
  <c r="IN58" i="139" s="1"/>
  <c r="HD31" i="139"/>
  <c r="HD58" i="139" s="1"/>
  <c r="IV30" i="139"/>
  <c r="IV57" i="139" s="1"/>
  <c r="IF30" i="139"/>
  <c r="IF57" i="139" s="1"/>
  <c r="HL30" i="139"/>
  <c r="HL57" i="139" s="1"/>
  <c r="JH39" i="139"/>
  <c r="JH66" i="139" s="1"/>
  <c r="HX39" i="139"/>
  <c r="HX66" i="139" s="1"/>
  <c r="IJ34" i="139"/>
  <c r="IJ61" i="139" s="1"/>
  <c r="JH32" i="139"/>
  <c r="JH59" i="139" s="1"/>
  <c r="IJ32" i="139"/>
  <c r="IJ59" i="139" s="1"/>
  <c r="HL32" i="139"/>
  <c r="HL59" i="139" s="1"/>
  <c r="IJ31" i="139"/>
  <c r="IJ58" i="139" s="1"/>
  <c r="GZ31" i="139"/>
  <c r="GZ58" i="139" s="1"/>
  <c r="IV38" i="139"/>
  <c r="IV65" i="139" s="1"/>
  <c r="HL38" i="139"/>
  <c r="HL65" i="139" s="1"/>
  <c r="JH36" i="139"/>
  <c r="JH63" i="139" s="1"/>
  <c r="IJ36" i="139"/>
  <c r="IJ63" i="139" s="1"/>
  <c r="HL36" i="139"/>
  <c r="HL63" i="139" s="1"/>
  <c r="IJ35" i="139"/>
  <c r="IJ62" i="139" s="1"/>
  <c r="GZ35" i="139"/>
  <c r="GZ62" i="139" s="1"/>
  <c r="IV34" i="139"/>
  <c r="IV61" i="139" s="1"/>
  <c r="JH30" i="139"/>
  <c r="JH57" i="139" s="1"/>
  <c r="HX30" i="139"/>
  <c r="HX57" i="139" s="1"/>
  <c r="JH40" i="139"/>
  <c r="JH67" i="139" s="1"/>
  <c r="IJ40" i="139"/>
  <c r="IJ67" i="139" s="1"/>
  <c r="HL40" i="139"/>
  <c r="HL67" i="139" s="1"/>
  <c r="IJ39" i="139"/>
  <c r="IJ66" i="139" s="1"/>
  <c r="GZ39" i="139"/>
  <c r="GZ66" i="139" s="1"/>
  <c r="JH34" i="139"/>
  <c r="JH61" i="139" s="1"/>
  <c r="IV31" i="139"/>
  <c r="IV58" i="139" s="1"/>
  <c r="HL31" i="139"/>
  <c r="HL58" i="139" s="1"/>
  <c r="JH38" i="139"/>
  <c r="JH65" i="139" s="1"/>
  <c r="HX38" i="139"/>
  <c r="HX65" i="139" s="1"/>
  <c r="IV35" i="139"/>
  <c r="IV62" i="139" s="1"/>
  <c r="HL35" i="139"/>
  <c r="HL62" i="139" s="1"/>
  <c r="GZ34" i="139"/>
  <c r="GZ61" i="139" s="1"/>
  <c r="IV32" i="139"/>
  <c r="IV59" i="139" s="1"/>
  <c r="HX32" i="139"/>
  <c r="HX59" i="139" s="1"/>
  <c r="GZ32" i="139"/>
  <c r="GZ59" i="139" s="1"/>
  <c r="JD30" i="139"/>
  <c r="JD57" i="139" s="1"/>
  <c r="IJ30" i="139"/>
  <c r="IJ57" i="139" s="1"/>
  <c r="GZ30" i="139"/>
  <c r="GZ57" i="139" s="1"/>
  <c r="IW35" i="139"/>
  <c r="IW62" i="139" s="1"/>
  <c r="IK35" i="139"/>
  <c r="IK62" i="139" s="1"/>
  <c r="HY35" i="139"/>
  <c r="HY62" i="139" s="1"/>
  <c r="HM35" i="139"/>
  <c r="HM62" i="139" s="1"/>
  <c r="HA35" i="139"/>
  <c r="HA62" i="139" s="1"/>
  <c r="JA39" i="139"/>
  <c r="JA66" i="139" s="1"/>
  <c r="IO39" i="139"/>
  <c r="IO66" i="139" s="1"/>
  <c r="IC39" i="139"/>
  <c r="IC66" i="139" s="1"/>
  <c r="HQ39" i="139"/>
  <c r="HQ66" i="139" s="1"/>
  <c r="HE39" i="139"/>
  <c r="HE66" i="139" s="1"/>
  <c r="JA37" i="139"/>
  <c r="JA64" i="139" s="1"/>
  <c r="IC37" i="139"/>
  <c r="IC64" i="139" s="1"/>
  <c r="HE37" i="139"/>
  <c r="HE64" i="139" s="1"/>
  <c r="IW34" i="139"/>
  <c r="IW61" i="139" s="1"/>
  <c r="IK34" i="139"/>
  <c r="IK61" i="139" s="1"/>
  <c r="HY34" i="139"/>
  <c r="HY61" i="139" s="1"/>
  <c r="HM34" i="139"/>
  <c r="HM61" i="139" s="1"/>
  <c r="HA34" i="139"/>
  <c r="HA61" i="139" s="1"/>
  <c r="IO33" i="139"/>
  <c r="IO60" i="139" s="1"/>
  <c r="HQ33" i="139"/>
  <c r="HQ60" i="139" s="1"/>
  <c r="JA31" i="139"/>
  <c r="JA58" i="139" s="1"/>
  <c r="IO31" i="139"/>
  <c r="IO58" i="139" s="1"/>
  <c r="IC31" i="139"/>
  <c r="IC58" i="139" s="1"/>
  <c r="HQ31" i="139"/>
  <c r="HQ58" i="139" s="1"/>
  <c r="HE31" i="139"/>
  <c r="HE58" i="139" s="1"/>
  <c r="IK41" i="139"/>
  <c r="IK68" i="139" s="1"/>
  <c r="HM41" i="139"/>
  <c r="HM68" i="139" s="1"/>
  <c r="JA38" i="139"/>
  <c r="JA65" i="139" s="1"/>
  <c r="IO38" i="139"/>
  <c r="IO65" i="139" s="1"/>
  <c r="IC38" i="139"/>
  <c r="IC65" i="139" s="1"/>
  <c r="HQ38" i="139"/>
  <c r="HQ65" i="139" s="1"/>
  <c r="HE38" i="139"/>
  <c r="HE65" i="139" s="1"/>
  <c r="IW37" i="139"/>
  <c r="IW64" i="139" s="1"/>
  <c r="HY37" i="139"/>
  <c r="HY64" i="139" s="1"/>
  <c r="HA37" i="139"/>
  <c r="HA64" i="139" s="1"/>
  <c r="IK33" i="139"/>
  <c r="IK60" i="139" s="1"/>
  <c r="HM33" i="139"/>
  <c r="HM60" i="139" s="1"/>
  <c r="JA30" i="139"/>
  <c r="JA57" i="139" s="1"/>
  <c r="IO30" i="139"/>
  <c r="IO57" i="139" s="1"/>
  <c r="IC30" i="139"/>
  <c r="IC57" i="139" s="1"/>
  <c r="HQ30" i="139"/>
  <c r="HQ57" i="139" s="1"/>
  <c r="HE30" i="139"/>
  <c r="HE57" i="139" s="1"/>
  <c r="IW39" i="139"/>
  <c r="IW66" i="139" s="1"/>
  <c r="IK39" i="139"/>
  <c r="IK66" i="139" s="1"/>
  <c r="HY39" i="139"/>
  <c r="HY66" i="139" s="1"/>
  <c r="HM39" i="139"/>
  <c r="HM66" i="139" s="1"/>
  <c r="HA39" i="139"/>
  <c r="HA66" i="139" s="1"/>
  <c r="IW31" i="139"/>
  <c r="IW58" i="139" s="1"/>
  <c r="IK31" i="139"/>
  <c r="IK58" i="139" s="1"/>
  <c r="HY31" i="139"/>
  <c r="HY58" i="139" s="1"/>
  <c r="HM31" i="139"/>
  <c r="HM58" i="139" s="1"/>
  <c r="HA31" i="139"/>
  <c r="HA58" i="139" s="1"/>
  <c r="IW38" i="139"/>
  <c r="IW65" i="139" s="1"/>
  <c r="IK38" i="139"/>
  <c r="IK65" i="139" s="1"/>
  <c r="HY38" i="139"/>
  <c r="HY65" i="139" s="1"/>
  <c r="HM38" i="139"/>
  <c r="HM65" i="139" s="1"/>
  <c r="HA38" i="139"/>
  <c r="HA65" i="139" s="1"/>
  <c r="IO37" i="139"/>
  <c r="IO64" i="139" s="1"/>
  <c r="HQ37" i="139"/>
  <c r="HQ64" i="139" s="1"/>
  <c r="JA35" i="139"/>
  <c r="JA62" i="139" s="1"/>
  <c r="IC35" i="139"/>
  <c r="IC62" i="139" s="1"/>
  <c r="HE35" i="139"/>
  <c r="HE62" i="139" s="1"/>
  <c r="IK30" i="139"/>
  <c r="IK57" i="139" s="1"/>
  <c r="HM30" i="139"/>
  <c r="HM57" i="139" s="1"/>
  <c r="IV41" i="139"/>
  <c r="IV68" i="139" s="1"/>
  <c r="IV94" i="139"/>
  <c r="IJ41" i="139"/>
  <c r="IJ68" i="139" s="1"/>
  <c r="IJ94" i="139"/>
  <c r="HX41" i="139"/>
  <c r="HX68" i="139" s="1"/>
  <c r="HX94" i="139"/>
  <c r="HL41" i="139"/>
  <c r="HL68" i="139" s="1"/>
  <c r="HL94" i="139"/>
  <c r="GZ41" i="139"/>
  <c r="GZ68" i="139" s="1"/>
  <c r="IW40" i="139"/>
  <c r="IW67" i="139" s="1"/>
  <c r="IW93" i="139"/>
  <c r="IK40" i="139"/>
  <c r="IK67" i="139" s="1"/>
  <c r="IK93" i="139"/>
  <c r="HQ40" i="139"/>
  <c r="HQ67" i="139" s="1"/>
  <c r="HQ93" i="139"/>
  <c r="HE40" i="139"/>
  <c r="HE67" i="139" s="1"/>
  <c r="HE93" i="139"/>
  <c r="JB92" i="139"/>
  <c r="IP92" i="139"/>
  <c r="ID92" i="139"/>
  <c r="HR92" i="139"/>
  <c r="HB92" i="139"/>
  <c r="IY91" i="139"/>
  <c r="IQ91" i="139"/>
  <c r="IE91" i="139"/>
  <c r="HS91" i="139"/>
  <c r="HG91" i="139"/>
  <c r="JD37" i="139"/>
  <c r="JD64" i="139" s="1"/>
  <c r="JD90" i="139"/>
  <c r="IV37" i="139"/>
  <c r="IV64" i="139" s="1"/>
  <c r="IV90" i="139"/>
  <c r="IJ37" i="139"/>
  <c r="IJ64" i="139" s="1"/>
  <c r="IJ90" i="139"/>
  <c r="HX37" i="139"/>
  <c r="HX64" i="139" s="1"/>
  <c r="HX90" i="139"/>
  <c r="HL37" i="139"/>
  <c r="HL64" i="139" s="1"/>
  <c r="HL90" i="139"/>
  <c r="GZ37" i="139"/>
  <c r="GZ64" i="139" s="1"/>
  <c r="IW36" i="139"/>
  <c r="IW63" i="139" s="1"/>
  <c r="IW89" i="139"/>
  <c r="IG36" i="139"/>
  <c r="IG63" i="139" s="1"/>
  <c r="IG89" i="139"/>
  <c r="HU36" i="139"/>
  <c r="HU63" i="139" s="1"/>
  <c r="HU89" i="139"/>
  <c r="HI36" i="139"/>
  <c r="HI63" i="139" s="1"/>
  <c r="HI89" i="139"/>
  <c r="JF88" i="139"/>
  <c r="IT88" i="139"/>
  <c r="IL88" i="139"/>
  <c r="HZ88" i="139"/>
  <c r="HN88" i="139"/>
  <c r="HB88" i="139"/>
  <c r="IU87" i="139"/>
  <c r="II87" i="139"/>
  <c r="HW87" i="139"/>
  <c r="HK87" i="139"/>
  <c r="JD33" i="139"/>
  <c r="JD60" i="139" s="1"/>
  <c r="JD86" i="139"/>
  <c r="IR33" i="139"/>
  <c r="IR60" i="139" s="1"/>
  <c r="IR86" i="139"/>
  <c r="IF33" i="139"/>
  <c r="IF60" i="139" s="1"/>
  <c r="IF86" i="139"/>
  <c r="HT33" i="139"/>
  <c r="HT60" i="139" s="1"/>
  <c r="HT86" i="139"/>
  <c r="HL33" i="139"/>
  <c r="HL60" i="139" s="1"/>
  <c r="HL86" i="139"/>
  <c r="GZ33" i="139"/>
  <c r="GZ60" i="139" s="1"/>
  <c r="IW32" i="139"/>
  <c r="IW59" i="139" s="1"/>
  <c r="IW85" i="139"/>
  <c r="IK32" i="139"/>
  <c r="IK59" i="139" s="1"/>
  <c r="IK85" i="139"/>
  <c r="HY32" i="139"/>
  <c r="HY59" i="139" s="1"/>
  <c r="HY85" i="139"/>
  <c r="HM32" i="139"/>
  <c r="HM59" i="139" s="1"/>
  <c r="HM85" i="139"/>
  <c r="HA32" i="139"/>
  <c r="HA59" i="139" s="1"/>
  <c r="HA85" i="139"/>
  <c r="IT84" i="139"/>
  <c r="IH84" i="139"/>
  <c r="HV84" i="139"/>
  <c r="HJ84" i="139"/>
  <c r="JF28" i="139"/>
  <c r="JF35" i="139" s="1"/>
  <c r="JF62" i="139" s="1"/>
  <c r="JG28" i="139"/>
  <c r="JG34" i="139" s="1"/>
  <c r="JG61" i="139" s="1"/>
  <c r="JG83" i="139"/>
  <c r="IT28" i="139"/>
  <c r="IU28" i="139"/>
  <c r="IU38" i="139" s="1"/>
  <c r="IU65" i="139" s="1"/>
  <c r="IU83" i="139"/>
  <c r="IH28" i="139"/>
  <c r="IH31" i="139" s="1"/>
  <c r="IH58" i="139" s="1"/>
  <c r="II28" i="139"/>
  <c r="II83" i="139"/>
  <c r="HZ28" i="139"/>
  <c r="HZ31" i="139" s="1"/>
  <c r="HZ58" i="139" s="1"/>
  <c r="IA28" i="139"/>
  <c r="IA34" i="139" s="1"/>
  <c r="IA61" i="139" s="1"/>
  <c r="IA83" i="139"/>
  <c r="HF28" i="139"/>
  <c r="HF35" i="139" s="1"/>
  <c r="HF62" i="139" s="1"/>
  <c r="HG28" i="139"/>
  <c r="HG34" i="139" s="1"/>
  <c r="HG61" i="139" s="1"/>
  <c r="HG83" i="139"/>
  <c r="JH41" i="139"/>
  <c r="JH68" i="139" s="1"/>
  <c r="JH94" i="139"/>
  <c r="IZ41" i="139"/>
  <c r="IZ68" i="139" s="1"/>
  <c r="IZ94" i="139"/>
  <c r="IN41" i="139"/>
  <c r="IN68" i="139" s="1"/>
  <c r="IN94" i="139"/>
  <c r="IB41" i="139"/>
  <c r="IB68" i="139" s="1"/>
  <c r="IB94" i="139"/>
  <c r="HP41" i="139"/>
  <c r="HP68" i="139" s="1"/>
  <c r="HP94" i="139"/>
  <c r="HD41" i="139"/>
  <c r="HD68" i="139" s="1"/>
  <c r="HD94" i="139"/>
  <c r="JA40" i="139"/>
  <c r="JA67" i="139" s="1"/>
  <c r="JA93" i="139"/>
  <c r="IO40" i="139"/>
  <c r="IO67" i="139" s="1"/>
  <c r="IO93" i="139"/>
  <c r="IC40" i="139"/>
  <c r="IC67" i="139" s="1"/>
  <c r="IC93" i="139"/>
  <c r="HU40" i="139"/>
  <c r="HU67" i="139" s="1"/>
  <c r="HU93" i="139"/>
  <c r="HI40" i="139"/>
  <c r="HI67" i="139" s="1"/>
  <c r="HI93" i="139"/>
  <c r="JF92" i="139"/>
  <c r="IT92" i="139"/>
  <c r="IH92" i="139"/>
  <c r="HV92" i="139"/>
  <c r="HJ92" i="139"/>
  <c r="JG91" i="139"/>
  <c r="IU91" i="139"/>
  <c r="II91" i="139"/>
  <c r="HW91" i="139"/>
  <c r="HK91" i="139"/>
  <c r="JH37" i="139"/>
  <c r="JH64" i="139" s="1"/>
  <c r="JH90" i="139"/>
  <c r="IR37" i="139"/>
  <c r="IR64" i="139" s="1"/>
  <c r="IR90" i="139"/>
  <c r="IF37" i="139"/>
  <c r="IF64" i="139" s="1"/>
  <c r="IF90" i="139"/>
  <c r="HT37" i="139"/>
  <c r="HT64" i="139" s="1"/>
  <c r="HT90" i="139"/>
  <c r="HD37" i="139"/>
  <c r="HD64" i="139" s="1"/>
  <c r="HD90" i="139"/>
  <c r="JA36" i="139"/>
  <c r="JA63" i="139" s="1"/>
  <c r="JA89" i="139"/>
  <c r="IS36" i="139"/>
  <c r="IS63" i="139" s="1"/>
  <c r="IS89" i="139"/>
  <c r="IK36" i="139"/>
  <c r="IK63" i="139" s="1"/>
  <c r="IK89" i="139"/>
  <c r="HY36" i="139"/>
  <c r="HY63" i="139" s="1"/>
  <c r="HY89" i="139"/>
  <c r="HM36" i="139"/>
  <c r="HM63" i="139" s="1"/>
  <c r="HM89" i="139"/>
  <c r="HA36" i="139"/>
  <c r="HA63" i="139" s="1"/>
  <c r="HA89" i="139"/>
  <c r="IP88" i="139"/>
  <c r="ID88" i="139"/>
  <c r="HV88" i="139"/>
  <c r="HJ88" i="139"/>
  <c r="JG87" i="139"/>
  <c r="IY87" i="139"/>
  <c r="IM87" i="139"/>
  <c r="IA87" i="139"/>
  <c r="HG87" i="139"/>
  <c r="JH33" i="139"/>
  <c r="JH60" i="139" s="1"/>
  <c r="JH86" i="139"/>
  <c r="IZ33" i="139"/>
  <c r="IZ60" i="139" s="1"/>
  <c r="IZ86" i="139"/>
  <c r="IN33" i="139"/>
  <c r="IN60" i="139" s="1"/>
  <c r="IN86" i="139"/>
  <c r="IB33" i="139"/>
  <c r="IB60" i="139" s="1"/>
  <c r="IB86" i="139"/>
  <c r="HP33" i="139"/>
  <c r="HP60" i="139" s="1"/>
  <c r="HP86" i="139"/>
  <c r="HH33" i="139"/>
  <c r="HH60" i="139" s="1"/>
  <c r="HH86" i="139"/>
  <c r="JA32" i="139"/>
  <c r="JA59" i="139" s="1"/>
  <c r="JA85" i="139"/>
  <c r="IO32" i="139"/>
  <c r="IO59" i="139" s="1"/>
  <c r="IO85" i="139"/>
  <c r="IC32" i="139"/>
  <c r="IC59" i="139" s="1"/>
  <c r="IC85" i="139"/>
  <c r="HQ32" i="139"/>
  <c r="HQ59" i="139" s="1"/>
  <c r="HQ85" i="139"/>
  <c r="HE32" i="139"/>
  <c r="HE59" i="139" s="1"/>
  <c r="HE85" i="139"/>
  <c r="JB84" i="139"/>
  <c r="IP84" i="139"/>
  <c r="ID84" i="139"/>
  <c r="HR84" i="139"/>
  <c r="HF84" i="139"/>
  <c r="JB28" i="139"/>
  <c r="JC28" i="139"/>
  <c r="JC83" i="139"/>
  <c r="IP28" i="139"/>
  <c r="IQ28" i="139"/>
  <c r="IQ38" i="139" s="1"/>
  <c r="IQ65" i="139" s="1"/>
  <c r="IQ83" i="139"/>
  <c r="ID28" i="139"/>
  <c r="IE28" i="139"/>
  <c r="IE83" i="139"/>
  <c r="HV28" i="139"/>
  <c r="HW28" i="139"/>
  <c r="HW34" i="139" s="1"/>
  <c r="HW61" i="139" s="1"/>
  <c r="HW83" i="139"/>
  <c r="HR28" i="139"/>
  <c r="HR35" i="139" s="1"/>
  <c r="HR62" i="139" s="1"/>
  <c r="HS28" i="139"/>
  <c r="HS38" i="139" s="1"/>
  <c r="HS65" i="139" s="1"/>
  <c r="HS83" i="139"/>
  <c r="HN28" i="139"/>
  <c r="HN35" i="139" s="1"/>
  <c r="HN62" i="139" s="1"/>
  <c r="HO28" i="139"/>
  <c r="HO30" i="139" s="1"/>
  <c r="HO57" i="139" s="1"/>
  <c r="HO83" i="139"/>
  <c r="HB28" i="139"/>
  <c r="HC28" i="139"/>
  <c r="HC83" i="139"/>
  <c r="JD41" i="139"/>
  <c r="JD68" i="139" s="1"/>
  <c r="JD94" i="139"/>
  <c r="IR41" i="139"/>
  <c r="IR68" i="139" s="1"/>
  <c r="IR94" i="139"/>
  <c r="IF41" i="139"/>
  <c r="IF68" i="139" s="1"/>
  <c r="IF94" i="139"/>
  <c r="HT41" i="139"/>
  <c r="HT68" i="139" s="1"/>
  <c r="HT94" i="139"/>
  <c r="HH41" i="139"/>
  <c r="HH68" i="139" s="1"/>
  <c r="HH94" i="139"/>
  <c r="JE40" i="139"/>
  <c r="JE67" i="139" s="1"/>
  <c r="JE93" i="139"/>
  <c r="IS40" i="139"/>
  <c r="IS67" i="139" s="1"/>
  <c r="IS93" i="139"/>
  <c r="IG40" i="139"/>
  <c r="IG67" i="139" s="1"/>
  <c r="IG93" i="139"/>
  <c r="HY40" i="139"/>
  <c r="HY67" i="139" s="1"/>
  <c r="HY93" i="139"/>
  <c r="HM40" i="139"/>
  <c r="HM67" i="139" s="1"/>
  <c r="HM93" i="139"/>
  <c r="HA40" i="139"/>
  <c r="HA67" i="139" s="1"/>
  <c r="HA93" i="139"/>
  <c r="IX92" i="139"/>
  <c r="IL92" i="139"/>
  <c r="HZ92" i="139"/>
  <c r="HN92" i="139"/>
  <c r="HF92" i="139"/>
  <c r="JC91" i="139"/>
  <c r="IM91" i="139"/>
  <c r="IA91" i="139"/>
  <c r="HO91" i="139"/>
  <c r="HC91" i="139"/>
  <c r="IZ37" i="139"/>
  <c r="IZ64" i="139" s="1"/>
  <c r="IZ90" i="139"/>
  <c r="IN37" i="139"/>
  <c r="IN64" i="139" s="1"/>
  <c r="IN90" i="139"/>
  <c r="IB37" i="139"/>
  <c r="IB64" i="139" s="1"/>
  <c r="IB90" i="139"/>
  <c r="HP37" i="139"/>
  <c r="HP64" i="139" s="1"/>
  <c r="HP90" i="139"/>
  <c r="HH37" i="139"/>
  <c r="HH64" i="139" s="1"/>
  <c r="HH90" i="139"/>
  <c r="JE36" i="139"/>
  <c r="JE63" i="139" s="1"/>
  <c r="JE89" i="139"/>
  <c r="IO36" i="139"/>
  <c r="IO63" i="139" s="1"/>
  <c r="IO89" i="139"/>
  <c r="IC36" i="139"/>
  <c r="IC63" i="139" s="1"/>
  <c r="IC89" i="139"/>
  <c r="HQ36" i="139"/>
  <c r="HQ63" i="139" s="1"/>
  <c r="HQ89" i="139"/>
  <c r="HE36" i="139"/>
  <c r="HE63" i="139" s="1"/>
  <c r="HE89" i="139"/>
  <c r="JB88" i="139"/>
  <c r="IX88" i="139"/>
  <c r="IH88" i="139"/>
  <c r="HR88" i="139"/>
  <c r="HF88" i="139"/>
  <c r="JC87" i="139"/>
  <c r="IQ87" i="139"/>
  <c r="IE34" i="139"/>
  <c r="IE61" i="139" s="1"/>
  <c r="IE87" i="139"/>
  <c r="HS87" i="139"/>
  <c r="HO87" i="139"/>
  <c r="HC87" i="139"/>
  <c r="IV33" i="139"/>
  <c r="IV60" i="139" s="1"/>
  <c r="IV86" i="139"/>
  <c r="IJ33" i="139"/>
  <c r="IJ60" i="139" s="1"/>
  <c r="IJ86" i="139"/>
  <c r="HX33" i="139"/>
  <c r="HX60" i="139" s="1"/>
  <c r="HX86" i="139"/>
  <c r="HD33" i="139"/>
  <c r="HD60" i="139" s="1"/>
  <c r="HD86" i="139"/>
  <c r="JE32" i="139"/>
  <c r="JE59" i="139" s="1"/>
  <c r="JE85" i="139"/>
  <c r="IS32" i="139"/>
  <c r="IS59" i="139" s="1"/>
  <c r="IS85" i="139"/>
  <c r="IG32" i="139"/>
  <c r="IG59" i="139" s="1"/>
  <c r="IG85" i="139"/>
  <c r="HU32" i="139"/>
  <c r="HU59" i="139" s="1"/>
  <c r="HU85" i="139"/>
  <c r="HI32" i="139"/>
  <c r="HI59" i="139" s="1"/>
  <c r="HI85" i="139"/>
  <c r="JF84" i="139"/>
  <c r="IX84" i="139"/>
  <c r="IL84" i="139"/>
  <c r="HZ84" i="139"/>
  <c r="HN84" i="139"/>
  <c r="HB84" i="139"/>
  <c r="IX28" i="139"/>
  <c r="IX35" i="139" s="1"/>
  <c r="IX62" i="139" s="1"/>
  <c r="IY28" i="139"/>
  <c r="IY34" i="139" s="1"/>
  <c r="IY61" i="139" s="1"/>
  <c r="IY83" i="139"/>
  <c r="IL28" i="139"/>
  <c r="IL35" i="139" s="1"/>
  <c r="IL62" i="139" s="1"/>
  <c r="IM28" i="139"/>
  <c r="IM83" i="139"/>
  <c r="HJ28" i="139"/>
  <c r="HJ31" i="139" s="1"/>
  <c r="HJ58" i="139" s="1"/>
  <c r="HK28" i="139"/>
  <c r="HK83" i="139"/>
  <c r="IA38" i="139" l="1"/>
  <c r="IA65" i="139" s="1"/>
  <c r="HO34" i="139"/>
  <c r="HO61" i="139" s="1"/>
  <c r="HF31" i="139"/>
  <c r="HF58" i="139" s="1"/>
  <c r="JF31" i="139"/>
  <c r="JF58" i="139" s="1"/>
  <c r="JF39" i="139"/>
  <c r="JF66" i="139" s="1"/>
  <c r="IQ34" i="139"/>
  <c r="IQ61" i="139" s="1"/>
  <c r="HO38" i="139"/>
  <c r="HO65" i="139" s="1"/>
  <c r="HF39" i="139"/>
  <c r="HF66" i="139" s="1"/>
  <c r="IX31" i="139"/>
  <c r="IX58" i="139" s="1"/>
  <c r="HN31" i="139"/>
  <c r="HN58" i="139" s="1"/>
  <c r="IQ30" i="139"/>
  <c r="IQ57" i="139" s="1"/>
  <c r="IH35" i="139"/>
  <c r="IH62" i="139" s="1"/>
  <c r="JC38" i="139"/>
  <c r="JC65" i="139" s="1"/>
  <c r="HZ39" i="139"/>
  <c r="HZ66" i="139" s="1"/>
  <c r="IH39" i="139"/>
  <c r="IH66" i="139" s="1"/>
  <c r="HN39" i="139"/>
  <c r="HN66" i="139" s="1"/>
  <c r="ID35" i="139"/>
  <c r="ID62" i="139" s="1"/>
  <c r="HS34" i="139"/>
  <c r="HS61" i="139" s="1"/>
  <c r="JC34" i="139"/>
  <c r="JC61" i="139" s="1"/>
  <c r="HC38" i="139"/>
  <c r="HC65" i="139" s="1"/>
  <c r="HS30" i="139"/>
  <c r="HS57" i="139" s="1"/>
  <c r="HJ35" i="139"/>
  <c r="HJ62" i="139" s="1"/>
  <c r="HC34" i="139"/>
  <c r="HC61" i="139" s="1"/>
  <c r="IP35" i="139"/>
  <c r="IP62" i="139" s="1"/>
  <c r="IP31" i="139"/>
  <c r="IP58" i="139" s="1"/>
  <c r="HW38" i="139"/>
  <c r="HW65" i="139" s="1"/>
  <c r="JG38" i="139"/>
  <c r="JG65" i="139" s="1"/>
  <c r="HV35" i="139"/>
  <c r="HV62" i="139" s="1"/>
  <c r="IE30" i="139"/>
  <c r="IE57" i="139" s="1"/>
  <c r="HR31" i="139"/>
  <c r="HR58" i="139" s="1"/>
  <c r="JB31" i="139"/>
  <c r="JB58" i="139" s="1"/>
  <c r="II38" i="139"/>
  <c r="II65" i="139" s="1"/>
  <c r="HJ39" i="139"/>
  <c r="HJ66" i="139" s="1"/>
  <c r="IT39" i="139"/>
  <c r="IT66" i="139" s="1"/>
  <c r="HB31" i="139"/>
  <c r="HB58" i="139" s="1"/>
  <c r="JB35" i="139"/>
  <c r="JB62" i="139" s="1"/>
  <c r="HC30" i="139"/>
  <c r="HC57" i="139" s="1"/>
  <c r="HW30" i="139"/>
  <c r="HW57" i="139" s="1"/>
  <c r="JC30" i="139"/>
  <c r="JC57" i="139" s="1"/>
  <c r="ID31" i="139"/>
  <c r="ID58" i="139" s="1"/>
  <c r="HV39" i="139"/>
  <c r="HV66" i="139" s="1"/>
  <c r="HK31" i="139"/>
  <c r="HK58" i="139" s="1"/>
  <c r="HK32" i="139"/>
  <c r="HK59" i="139" s="1"/>
  <c r="HK36" i="139"/>
  <c r="HK63" i="139" s="1"/>
  <c r="HK35" i="139"/>
  <c r="HK62" i="139" s="1"/>
  <c r="HK33" i="139"/>
  <c r="HK60" i="139" s="1"/>
  <c r="HK40" i="139"/>
  <c r="HK67" i="139" s="1"/>
  <c r="HK41" i="139"/>
  <c r="HK68" i="139" s="1"/>
  <c r="HK37" i="139"/>
  <c r="HK64" i="139" s="1"/>
  <c r="HK39" i="139"/>
  <c r="HK66" i="139" s="1"/>
  <c r="IM36" i="139"/>
  <c r="IM63" i="139" s="1"/>
  <c r="IM32" i="139"/>
  <c r="IM59" i="139" s="1"/>
  <c r="IM33" i="139"/>
  <c r="IM60" i="139" s="1"/>
  <c r="IM40" i="139"/>
  <c r="IM67" i="139" s="1"/>
  <c r="IM31" i="139"/>
  <c r="IM58" i="139" s="1"/>
  <c r="IM37" i="139"/>
  <c r="IM64" i="139" s="1"/>
  <c r="IM41" i="139"/>
  <c r="IM68" i="139" s="1"/>
  <c r="IM35" i="139"/>
  <c r="IM62" i="139" s="1"/>
  <c r="IM39" i="139"/>
  <c r="IM66" i="139" s="1"/>
  <c r="IY31" i="139"/>
  <c r="IY58" i="139" s="1"/>
  <c r="IY33" i="139"/>
  <c r="IY60" i="139" s="1"/>
  <c r="IY36" i="139"/>
  <c r="IY63" i="139" s="1"/>
  <c r="IY32" i="139"/>
  <c r="IY59" i="139" s="1"/>
  <c r="IY40" i="139"/>
  <c r="IY67" i="139" s="1"/>
  <c r="IY41" i="139"/>
  <c r="IY68" i="139" s="1"/>
  <c r="IY35" i="139"/>
  <c r="IY62" i="139" s="1"/>
  <c r="IY39" i="139"/>
  <c r="IY66" i="139" s="1"/>
  <c r="IY37" i="139"/>
  <c r="IY64" i="139" s="1"/>
  <c r="IL39" i="139"/>
  <c r="IL66" i="139" s="1"/>
  <c r="HG31" i="139"/>
  <c r="HG58" i="139" s="1"/>
  <c r="HG36" i="139"/>
  <c r="HG63" i="139" s="1"/>
  <c r="HG32" i="139"/>
  <c r="HG59" i="139" s="1"/>
  <c r="HG35" i="139"/>
  <c r="HG62" i="139" s="1"/>
  <c r="HG33" i="139"/>
  <c r="HG60" i="139" s="1"/>
  <c r="HG40" i="139"/>
  <c r="HG67" i="139" s="1"/>
  <c r="HG37" i="139"/>
  <c r="HG64" i="139" s="1"/>
  <c r="HG41" i="139"/>
  <c r="HG68" i="139" s="1"/>
  <c r="HG39" i="139"/>
  <c r="HG66" i="139" s="1"/>
  <c r="IA32" i="139"/>
  <c r="IA59" i="139" s="1"/>
  <c r="IA36" i="139"/>
  <c r="IA63" i="139" s="1"/>
  <c r="IA35" i="139"/>
  <c r="IA62" i="139" s="1"/>
  <c r="IA31" i="139"/>
  <c r="IA58" i="139" s="1"/>
  <c r="IA33" i="139"/>
  <c r="IA60" i="139" s="1"/>
  <c r="IA40" i="139"/>
  <c r="IA67" i="139" s="1"/>
  <c r="IA41" i="139"/>
  <c r="IA68" i="139" s="1"/>
  <c r="IA37" i="139"/>
  <c r="IA64" i="139" s="1"/>
  <c r="IA39" i="139"/>
  <c r="IA66" i="139" s="1"/>
  <c r="II31" i="139"/>
  <c r="II58" i="139" s="1"/>
  <c r="II33" i="139"/>
  <c r="II60" i="139" s="1"/>
  <c r="II36" i="139"/>
  <c r="II63" i="139" s="1"/>
  <c r="II32" i="139"/>
  <c r="II59" i="139" s="1"/>
  <c r="II40" i="139"/>
  <c r="II67" i="139" s="1"/>
  <c r="II41" i="139"/>
  <c r="II68" i="139" s="1"/>
  <c r="II39" i="139"/>
  <c r="II66" i="139" s="1"/>
  <c r="II37" i="139"/>
  <c r="II64" i="139" s="1"/>
  <c r="II35" i="139"/>
  <c r="II62" i="139" s="1"/>
  <c r="IU36" i="139"/>
  <c r="IU63" i="139" s="1"/>
  <c r="IU31" i="139"/>
  <c r="IU58" i="139" s="1"/>
  <c r="IU33" i="139"/>
  <c r="IU60" i="139" s="1"/>
  <c r="IU35" i="139"/>
  <c r="IU62" i="139" s="1"/>
  <c r="IU40" i="139"/>
  <c r="IU67" i="139" s="1"/>
  <c r="IU37" i="139"/>
  <c r="IU64" i="139" s="1"/>
  <c r="IU41" i="139"/>
  <c r="IU68" i="139" s="1"/>
  <c r="IU32" i="139"/>
  <c r="IU59" i="139" s="1"/>
  <c r="IU39" i="139"/>
  <c r="IU66" i="139" s="1"/>
  <c r="JG32" i="139"/>
  <c r="JG59" i="139" s="1"/>
  <c r="JG36" i="139"/>
  <c r="JG63" i="139" s="1"/>
  <c r="JG31" i="139"/>
  <c r="JG58" i="139" s="1"/>
  <c r="JG33" i="139"/>
  <c r="JG60" i="139" s="1"/>
  <c r="JG40" i="139"/>
  <c r="JG67" i="139" s="1"/>
  <c r="JG35" i="139"/>
  <c r="JG62" i="139" s="1"/>
  <c r="JG41" i="139"/>
  <c r="JG68" i="139" s="1"/>
  <c r="JG37" i="139"/>
  <c r="JG64" i="139" s="1"/>
  <c r="JG39" i="139"/>
  <c r="JG66" i="139" s="1"/>
  <c r="IU34" i="139"/>
  <c r="IU61" i="139" s="1"/>
  <c r="HB39" i="139"/>
  <c r="HB66" i="139" s="1"/>
  <c r="ID39" i="139"/>
  <c r="ID66" i="139" s="1"/>
  <c r="JB39" i="139"/>
  <c r="JB66" i="139" s="1"/>
  <c r="HJ37" i="139"/>
  <c r="HJ64" i="139" s="1"/>
  <c r="HJ33" i="139"/>
  <c r="HJ60" i="139" s="1"/>
  <c r="HJ30" i="139"/>
  <c r="HJ57" i="139" s="1"/>
  <c r="HJ36" i="139"/>
  <c r="HJ63" i="139" s="1"/>
  <c r="HJ38" i="139"/>
  <c r="HJ65" i="139" s="1"/>
  <c r="HJ41" i="139"/>
  <c r="HJ68" i="139" s="1"/>
  <c r="HJ32" i="139"/>
  <c r="HJ59" i="139" s="1"/>
  <c r="HJ34" i="139"/>
  <c r="HJ61" i="139" s="1"/>
  <c r="HJ40" i="139"/>
  <c r="HJ67" i="139" s="1"/>
  <c r="IL32" i="139"/>
  <c r="IL59" i="139" s="1"/>
  <c r="IL34" i="139"/>
  <c r="IL61" i="139" s="1"/>
  <c r="IL37" i="139"/>
  <c r="IL64" i="139" s="1"/>
  <c r="IL33" i="139"/>
  <c r="IL60" i="139" s="1"/>
  <c r="IL30" i="139"/>
  <c r="IL57" i="139" s="1"/>
  <c r="IL41" i="139"/>
  <c r="IL68" i="139" s="1"/>
  <c r="IL38" i="139"/>
  <c r="IL65" i="139" s="1"/>
  <c r="IL36" i="139"/>
  <c r="IL63" i="139" s="1"/>
  <c r="IL40" i="139"/>
  <c r="IL67" i="139" s="1"/>
  <c r="IX30" i="139"/>
  <c r="IX57" i="139" s="1"/>
  <c r="IX37" i="139"/>
  <c r="IX64" i="139" s="1"/>
  <c r="IX32" i="139"/>
  <c r="IX59" i="139" s="1"/>
  <c r="IX34" i="139"/>
  <c r="IX61" i="139" s="1"/>
  <c r="IX33" i="139"/>
  <c r="IX60" i="139" s="1"/>
  <c r="IX36" i="139"/>
  <c r="IX63" i="139" s="1"/>
  <c r="IX41" i="139"/>
  <c r="IX68" i="139" s="1"/>
  <c r="IX38" i="139"/>
  <c r="IX65" i="139" s="1"/>
  <c r="IX40" i="139"/>
  <c r="IX67" i="139" s="1"/>
  <c r="HC31" i="139"/>
  <c r="HC58" i="139" s="1"/>
  <c r="HC33" i="139"/>
  <c r="HC60" i="139" s="1"/>
  <c r="HC36" i="139"/>
  <c r="HC63" i="139" s="1"/>
  <c r="HC32" i="139"/>
  <c r="HC59" i="139" s="1"/>
  <c r="HC39" i="139"/>
  <c r="HC66" i="139" s="1"/>
  <c r="HC40" i="139"/>
  <c r="HC67" i="139" s="1"/>
  <c r="HC35" i="139"/>
  <c r="HC62" i="139" s="1"/>
  <c r="HC41" i="139"/>
  <c r="HC68" i="139" s="1"/>
  <c r="HC37" i="139"/>
  <c r="HC64" i="139" s="1"/>
  <c r="HO31" i="139"/>
  <c r="HO58" i="139" s="1"/>
  <c r="HO35" i="139"/>
  <c r="HO62" i="139" s="1"/>
  <c r="HO36" i="139"/>
  <c r="HO63" i="139" s="1"/>
  <c r="HO33" i="139"/>
  <c r="HO60" i="139" s="1"/>
  <c r="HO40" i="139"/>
  <c r="HO67" i="139" s="1"/>
  <c r="HO37" i="139"/>
  <c r="HO64" i="139" s="1"/>
  <c r="HO41" i="139"/>
  <c r="HO68" i="139" s="1"/>
  <c r="HO39" i="139"/>
  <c r="HO66" i="139" s="1"/>
  <c r="HO32" i="139"/>
  <c r="HO59" i="139" s="1"/>
  <c r="HS31" i="139"/>
  <c r="HS58" i="139" s="1"/>
  <c r="HS33" i="139"/>
  <c r="HS60" i="139" s="1"/>
  <c r="HS36" i="139"/>
  <c r="HS63" i="139" s="1"/>
  <c r="HS32" i="139"/>
  <c r="HS59" i="139" s="1"/>
  <c r="HS40" i="139"/>
  <c r="HS67" i="139" s="1"/>
  <c r="HS41" i="139"/>
  <c r="HS68" i="139" s="1"/>
  <c r="HS35" i="139"/>
  <c r="HS62" i="139" s="1"/>
  <c r="HS39" i="139"/>
  <c r="HS66" i="139" s="1"/>
  <c r="HS37" i="139"/>
  <c r="HS64" i="139" s="1"/>
  <c r="HW31" i="139"/>
  <c r="HW58" i="139" s="1"/>
  <c r="HW36" i="139"/>
  <c r="HW63" i="139" s="1"/>
  <c r="HW32" i="139"/>
  <c r="HW59" i="139" s="1"/>
  <c r="HW35" i="139"/>
  <c r="HW62" i="139" s="1"/>
  <c r="HW40" i="139"/>
  <c r="HW67" i="139" s="1"/>
  <c r="HW37" i="139"/>
  <c r="HW64" i="139" s="1"/>
  <c r="HW41" i="139"/>
  <c r="HW68" i="139" s="1"/>
  <c r="HW33" i="139"/>
  <c r="HW60" i="139" s="1"/>
  <c r="HW39" i="139"/>
  <c r="HW66" i="139" s="1"/>
  <c r="IE35" i="139"/>
  <c r="IE62" i="139" s="1"/>
  <c r="IE36" i="139"/>
  <c r="IE63" i="139" s="1"/>
  <c r="IE31" i="139"/>
  <c r="IE58" i="139" s="1"/>
  <c r="IE33" i="139"/>
  <c r="IE60" i="139" s="1"/>
  <c r="IE40" i="139"/>
  <c r="IE67" i="139" s="1"/>
  <c r="IE32" i="139"/>
  <c r="IE59" i="139" s="1"/>
  <c r="IE37" i="139"/>
  <c r="IE64" i="139" s="1"/>
  <c r="IE41" i="139"/>
  <c r="IE68" i="139" s="1"/>
  <c r="IE39" i="139"/>
  <c r="IE66" i="139" s="1"/>
  <c r="IQ32" i="139"/>
  <c r="IQ59" i="139" s="1"/>
  <c r="IQ36" i="139"/>
  <c r="IQ63" i="139" s="1"/>
  <c r="IQ31" i="139"/>
  <c r="IQ58" i="139" s="1"/>
  <c r="IQ33" i="139"/>
  <c r="IQ60" i="139" s="1"/>
  <c r="IQ40" i="139"/>
  <c r="IQ67" i="139" s="1"/>
  <c r="IQ35" i="139"/>
  <c r="IQ62" i="139" s="1"/>
  <c r="IQ41" i="139"/>
  <c r="IQ68" i="139" s="1"/>
  <c r="IQ37" i="139"/>
  <c r="IQ64" i="139" s="1"/>
  <c r="IQ39" i="139"/>
  <c r="IQ66" i="139" s="1"/>
  <c r="JC36" i="139"/>
  <c r="JC63" i="139" s="1"/>
  <c r="JC32" i="139"/>
  <c r="JC59" i="139" s="1"/>
  <c r="JC40" i="139"/>
  <c r="JC67" i="139" s="1"/>
  <c r="JC37" i="139"/>
  <c r="JC64" i="139" s="1"/>
  <c r="JC41" i="139"/>
  <c r="JC68" i="139" s="1"/>
  <c r="JC31" i="139"/>
  <c r="JC58" i="139" s="1"/>
  <c r="JC33" i="139"/>
  <c r="JC60" i="139" s="1"/>
  <c r="JC35" i="139"/>
  <c r="JC62" i="139" s="1"/>
  <c r="JC39" i="139"/>
  <c r="JC66" i="139" s="1"/>
  <c r="IM34" i="139"/>
  <c r="IM61" i="139" s="1"/>
  <c r="HK38" i="139"/>
  <c r="HK65" i="139" s="1"/>
  <c r="HF32" i="139"/>
  <c r="HF59" i="139" s="1"/>
  <c r="HF34" i="139"/>
  <c r="HF61" i="139" s="1"/>
  <c r="HF37" i="139"/>
  <c r="HF64" i="139" s="1"/>
  <c r="HF33" i="139"/>
  <c r="HF60" i="139" s="1"/>
  <c r="HF41" i="139"/>
  <c r="HF68" i="139" s="1"/>
  <c r="HF38" i="139"/>
  <c r="HF65" i="139" s="1"/>
  <c r="HF30" i="139"/>
  <c r="HF57" i="139" s="1"/>
  <c r="HF36" i="139"/>
  <c r="HF63" i="139" s="1"/>
  <c r="HF40" i="139"/>
  <c r="HF67" i="139" s="1"/>
  <c r="HZ37" i="139"/>
  <c r="HZ64" i="139" s="1"/>
  <c r="HZ33" i="139"/>
  <c r="HZ60" i="139" s="1"/>
  <c r="HZ30" i="139"/>
  <c r="HZ57" i="139" s="1"/>
  <c r="HZ36" i="139"/>
  <c r="HZ63" i="139" s="1"/>
  <c r="HZ38" i="139"/>
  <c r="HZ65" i="139" s="1"/>
  <c r="HZ41" i="139"/>
  <c r="HZ68" i="139" s="1"/>
  <c r="HZ40" i="139"/>
  <c r="HZ67" i="139" s="1"/>
  <c r="HZ32" i="139"/>
  <c r="HZ59" i="139" s="1"/>
  <c r="HZ34" i="139"/>
  <c r="HZ61" i="139" s="1"/>
  <c r="IH30" i="139"/>
  <c r="IH57" i="139" s="1"/>
  <c r="IH37" i="139"/>
  <c r="IH64" i="139" s="1"/>
  <c r="IH32" i="139"/>
  <c r="IH59" i="139" s="1"/>
  <c r="IH34" i="139"/>
  <c r="IH61" i="139" s="1"/>
  <c r="IH36" i="139"/>
  <c r="IH63" i="139" s="1"/>
  <c r="IH41" i="139"/>
  <c r="IH68" i="139" s="1"/>
  <c r="IH33" i="139"/>
  <c r="IH60" i="139" s="1"/>
  <c r="IH38" i="139"/>
  <c r="IH65" i="139" s="1"/>
  <c r="IH40" i="139"/>
  <c r="IH67" i="139" s="1"/>
  <c r="IT33" i="139"/>
  <c r="IT60" i="139" s="1"/>
  <c r="IT37" i="139"/>
  <c r="IT64" i="139" s="1"/>
  <c r="IT30" i="139"/>
  <c r="IT57" i="139" s="1"/>
  <c r="IT32" i="139"/>
  <c r="IT59" i="139" s="1"/>
  <c r="IT34" i="139"/>
  <c r="IT61" i="139" s="1"/>
  <c r="IT41" i="139"/>
  <c r="IT68" i="139" s="1"/>
  <c r="IT36" i="139"/>
  <c r="IT63" i="139" s="1"/>
  <c r="IT38" i="139"/>
  <c r="IT65" i="139" s="1"/>
  <c r="IT40" i="139"/>
  <c r="IT67" i="139" s="1"/>
  <c r="JF37" i="139"/>
  <c r="JF64" i="139" s="1"/>
  <c r="JF33" i="139"/>
  <c r="JF60" i="139" s="1"/>
  <c r="JF30" i="139"/>
  <c r="JF57" i="139" s="1"/>
  <c r="JF36" i="139"/>
  <c r="JF63" i="139" s="1"/>
  <c r="JF38" i="139"/>
  <c r="JF65" i="139" s="1"/>
  <c r="JF41" i="139"/>
  <c r="JF68" i="139" s="1"/>
  <c r="JF34" i="139"/>
  <c r="JF61" i="139" s="1"/>
  <c r="JF32" i="139"/>
  <c r="JF59" i="139" s="1"/>
  <c r="JF40" i="139"/>
  <c r="JF67" i="139" s="1"/>
  <c r="HK30" i="139"/>
  <c r="HK57" i="139" s="1"/>
  <c r="IM30" i="139"/>
  <c r="IM57" i="139" s="1"/>
  <c r="IY30" i="139"/>
  <c r="IY57" i="139" s="1"/>
  <c r="IL31" i="139"/>
  <c r="IL58" i="139" s="1"/>
  <c r="IM38" i="139"/>
  <c r="IM65" i="139" s="1"/>
  <c r="IX39" i="139"/>
  <c r="IX66" i="139" s="1"/>
  <c r="HB30" i="139"/>
  <c r="HB57" i="139" s="1"/>
  <c r="HB37" i="139"/>
  <c r="HB64" i="139" s="1"/>
  <c r="HB32" i="139"/>
  <c r="HB59" i="139" s="1"/>
  <c r="HB34" i="139"/>
  <c r="HB61" i="139" s="1"/>
  <c r="HB36" i="139"/>
  <c r="HB63" i="139" s="1"/>
  <c r="HB41" i="139"/>
  <c r="HB68" i="139" s="1"/>
  <c r="HB33" i="139"/>
  <c r="HB60" i="139" s="1"/>
  <c r="HB38" i="139"/>
  <c r="HB65" i="139" s="1"/>
  <c r="HB40" i="139"/>
  <c r="HB67" i="139" s="1"/>
  <c r="HN33" i="139"/>
  <c r="HN60" i="139" s="1"/>
  <c r="HN37" i="139"/>
  <c r="HN64" i="139" s="1"/>
  <c r="HN30" i="139"/>
  <c r="HN57" i="139" s="1"/>
  <c r="HN32" i="139"/>
  <c r="HN59" i="139" s="1"/>
  <c r="HN34" i="139"/>
  <c r="HN61" i="139" s="1"/>
  <c r="HN41" i="139"/>
  <c r="HN68" i="139" s="1"/>
  <c r="HN36" i="139"/>
  <c r="HN63" i="139" s="1"/>
  <c r="HN38" i="139"/>
  <c r="HN65" i="139" s="1"/>
  <c r="HN40" i="139"/>
  <c r="HN67" i="139" s="1"/>
  <c r="HR30" i="139"/>
  <c r="HR57" i="139" s="1"/>
  <c r="HR37" i="139"/>
  <c r="HR64" i="139" s="1"/>
  <c r="HR32" i="139"/>
  <c r="HR59" i="139" s="1"/>
  <c r="HR34" i="139"/>
  <c r="HR61" i="139" s="1"/>
  <c r="HR33" i="139"/>
  <c r="HR60" i="139" s="1"/>
  <c r="HR36" i="139"/>
  <c r="HR63" i="139" s="1"/>
  <c r="HR41" i="139"/>
  <c r="HR68" i="139" s="1"/>
  <c r="HR38" i="139"/>
  <c r="HR65" i="139" s="1"/>
  <c r="HR40" i="139"/>
  <c r="HR67" i="139" s="1"/>
  <c r="HV32" i="139"/>
  <c r="HV59" i="139" s="1"/>
  <c r="HV34" i="139"/>
  <c r="HV61" i="139" s="1"/>
  <c r="HV37" i="139"/>
  <c r="HV64" i="139" s="1"/>
  <c r="HV33" i="139"/>
  <c r="HV60" i="139" s="1"/>
  <c r="HV41" i="139"/>
  <c r="HV68" i="139" s="1"/>
  <c r="HV38" i="139"/>
  <c r="HV65" i="139" s="1"/>
  <c r="HV36" i="139"/>
  <c r="HV63" i="139" s="1"/>
  <c r="HV40" i="139"/>
  <c r="HV67" i="139" s="1"/>
  <c r="HV30" i="139"/>
  <c r="HV57" i="139" s="1"/>
  <c r="ID33" i="139"/>
  <c r="ID60" i="139" s="1"/>
  <c r="ID37" i="139"/>
  <c r="ID64" i="139" s="1"/>
  <c r="ID30" i="139"/>
  <c r="ID57" i="139" s="1"/>
  <c r="ID32" i="139"/>
  <c r="ID59" i="139" s="1"/>
  <c r="ID34" i="139"/>
  <c r="ID61" i="139" s="1"/>
  <c r="ID41" i="139"/>
  <c r="ID68" i="139" s="1"/>
  <c r="ID36" i="139"/>
  <c r="ID63" i="139" s="1"/>
  <c r="ID38" i="139"/>
  <c r="ID65" i="139" s="1"/>
  <c r="ID40" i="139"/>
  <c r="ID67" i="139" s="1"/>
  <c r="IP37" i="139"/>
  <c r="IP64" i="139" s="1"/>
  <c r="IP33" i="139"/>
  <c r="IP60" i="139" s="1"/>
  <c r="IP30" i="139"/>
  <c r="IP57" i="139" s="1"/>
  <c r="IP34" i="139"/>
  <c r="IP61" i="139" s="1"/>
  <c r="IP36" i="139"/>
  <c r="IP63" i="139" s="1"/>
  <c r="IP38" i="139"/>
  <c r="IP65" i="139" s="1"/>
  <c r="IP41" i="139"/>
  <c r="IP68" i="139" s="1"/>
  <c r="IP32" i="139"/>
  <c r="IP59" i="139" s="1"/>
  <c r="IP40" i="139"/>
  <c r="IP67" i="139" s="1"/>
  <c r="JB32" i="139"/>
  <c r="JB59" i="139" s="1"/>
  <c r="JB34" i="139"/>
  <c r="JB61" i="139" s="1"/>
  <c r="JB37" i="139"/>
  <c r="JB64" i="139" s="1"/>
  <c r="JB33" i="139"/>
  <c r="JB60" i="139" s="1"/>
  <c r="JB41" i="139"/>
  <c r="JB68" i="139" s="1"/>
  <c r="JB30" i="139"/>
  <c r="JB57" i="139" s="1"/>
  <c r="JB38" i="139"/>
  <c r="JB65" i="139" s="1"/>
  <c r="JB36" i="139"/>
  <c r="JB63" i="139" s="1"/>
  <c r="JB40" i="139"/>
  <c r="JB67" i="139" s="1"/>
  <c r="HG30" i="139"/>
  <c r="HG57" i="139" s="1"/>
  <c r="IA30" i="139"/>
  <c r="IA57" i="139" s="1"/>
  <c r="II30" i="139"/>
  <c r="II57" i="139" s="1"/>
  <c r="IU30" i="139"/>
  <c r="IU57" i="139" s="1"/>
  <c r="JG30" i="139"/>
  <c r="JG57" i="139" s="1"/>
  <c r="HV31" i="139"/>
  <c r="HV58" i="139" s="1"/>
  <c r="IT31" i="139"/>
  <c r="IT58" i="139" s="1"/>
  <c r="HK34" i="139"/>
  <c r="HK61" i="139" s="1"/>
  <c r="II34" i="139"/>
  <c r="II61" i="139" s="1"/>
  <c r="HB35" i="139"/>
  <c r="HB62" i="139" s="1"/>
  <c r="HZ35" i="139"/>
  <c r="HZ62" i="139" s="1"/>
  <c r="IT35" i="139"/>
  <c r="IT62" i="139" s="1"/>
  <c r="HG38" i="139"/>
  <c r="HG65" i="139" s="1"/>
  <c r="IE38" i="139"/>
  <c r="IE65" i="139" s="1"/>
  <c r="IY38" i="139"/>
  <c r="IY65" i="139" s="1"/>
  <c r="HR39" i="139"/>
  <c r="HR66" i="139" s="1"/>
  <c r="IP39" i="139"/>
  <c r="IP66" i="139" s="1"/>
  <c r="GY28" i="139" l="1"/>
  <c r="GY34" i="139" s="1"/>
  <c r="GY61" i="139" s="1"/>
  <c r="GY33" i="139" l="1"/>
  <c r="GY60" i="139" s="1"/>
  <c r="GX28" i="139"/>
  <c r="GW28" i="139" s="1"/>
  <c r="GV28" i="139" s="1"/>
  <c r="GU28" i="139" s="1"/>
  <c r="GU39" i="139" s="1"/>
  <c r="GU66" i="139" s="1"/>
  <c r="GY38" i="139"/>
  <c r="GY65" i="139" s="1"/>
  <c r="GY31" i="139"/>
  <c r="GY58" i="139" s="1"/>
  <c r="GY39" i="139"/>
  <c r="GY66" i="139" s="1"/>
  <c r="GY32" i="139"/>
  <c r="GY59" i="139" s="1"/>
  <c r="GU41" i="139"/>
  <c r="GU68" i="139" s="1"/>
  <c r="GU40" i="139"/>
  <c r="GU67" i="139" s="1"/>
  <c r="GY37" i="139"/>
  <c r="GY64" i="139" s="1"/>
  <c r="GU32" i="139"/>
  <c r="GU59" i="139" s="1"/>
  <c r="GY40" i="139"/>
  <c r="GY67" i="139" s="1"/>
  <c r="GU35" i="139"/>
  <c r="GU62" i="139" s="1"/>
  <c r="GY36" i="139"/>
  <c r="GY63" i="139" s="1"/>
  <c r="GU34" i="139"/>
  <c r="GU61" i="139" s="1"/>
  <c r="GY30" i="139"/>
  <c r="GY57" i="139" s="1"/>
  <c r="GY35" i="139"/>
  <c r="GY62" i="139" s="1"/>
  <c r="GY41" i="139"/>
  <c r="GY68" i="139" s="1"/>
  <c r="GU36" i="139"/>
  <c r="GU63" i="139" s="1"/>
  <c r="GX40" i="139"/>
  <c r="GX67" i="139" s="1"/>
  <c r="GX30" i="139"/>
  <c r="GX57" i="139" s="1"/>
  <c r="GW30" i="139"/>
  <c r="GW57" i="139" s="1"/>
  <c r="GW38" i="139"/>
  <c r="GW65" i="139" s="1"/>
  <c r="GV41" i="139"/>
  <c r="GV68" i="139" s="1"/>
  <c r="GV32" i="139"/>
  <c r="GV59" i="139" s="1"/>
  <c r="GV36" i="139"/>
  <c r="GV63" i="139" s="1"/>
  <c r="GV30" i="139"/>
  <c r="GV57" i="139" s="1"/>
  <c r="GV38" i="139"/>
  <c r="GV65" i="139" s="1"/>
  <c r="GV33" i="139"/>
  <c r="GV60" i="139" s="1"/>
  <c r="GX32" i="139"/>
  <c r="GX59" i="139" s="1"/>
  <c r="GX38" i="139"/>
  <c r="GX65" i="139" s="1"/>
  <c r="GV31" i="139"/>
  <c r="GV58" i="139" s="1"/>
  <c r="GW31" i="139"/>
  <c r="GW58" i="139" s="1"/>
  <c r="GW33" i="139"/>
  <c r="GW60" i="139" s="1"/>
  <c r="GW41" i="139"/>
  <c r="GW68" i="139" s="1"/>
  <c r="GW37" i="139"/>
  <c r="GW64" i="139" s="1"/>
  <c r="GW32" i="139"/>
  <c r="GW59" i="139" s="1"/>
  <c r="GV37" i="139"/>
  <c r="GV64" i="139" s="1"/>
  <c r="GX35" i="139"/>
  <c r="GX62" i="139" s="1"/>
  <c r="GX39" i="139"/>
  <c r="GX66" i="139" s="1"/>
  <c r="GX37" i="139"/>
  <c r="GX64" i="139" s="1"/>
  <c r="GX33" i="139"/>
  <c r="GX60" i="139" s="1"/>
  <c r="GX34" i="139"/>
  <c r="GX61" i="139" s="1"/>
  <c r="GU38" i="139" l="1"/>
  <c r="GU65" i="139" s="1"/>
  <c r="GX31" i="139"/>
  <c r="GX58" i="139" s="1"/>
  <c r="GW39" i="139"/>
  <c r="GW66" i="139" s="1"/>
  <c r="GV34" i="139"/>
  <c r="GV61" i="139" s="1"/>
  <c r="GX36" i="139"/>
  <c r="GX63" i="139" s="1"/>
  <c r="GU33" i="139"/>
  <c r="GU60" i="139" s="1"/>
  <c r="GV35" i="139"/>
  <c r="GV62" i="139" s="1"/>
  <c r="GV39" i="139"/>
  <c r="GV66" i="139" s="1"/>
  <c r="GT28" i="139"/>
  <c r="GU31" i="139"/>
  <c r="GU58" i="139" s="1"/>
  <c r="GX41" i="139"/>
  <c r="GX68" i="139" s="1"/>
  <c r="GW34" i="139"/>
  <c r="GW61" i="139" s="1"/>
  <c r="GW35" i="139"/>
  <c r="GW62" i="139" s="1"/>
  <c r="GW36" i="139"/>
  <c r="GW63" i="139" s="1"/>
  <c r="GV40" i="139"/>
  <c r="GV67" i="139" s="1"/>
  <c r="GW40" i="139"/>
  <c r="GW67" i="139" s="1"/>
  <c r="GU30" i="139"/>
  <c r="GU57" i="139" s="1"/>
  <c r="GU37" i="139"/>
  <c r="GU64" i="139" s="1"/>
  <c r="GT37" i="139"/>
  <c r="GT64" i="139" s="1"/>
  <c r="GT38" i="139"/>
  <c r="GT65" i="139" s="1"/>
  <c r="GT39" i="139" l="1"/>
  <c r="GT66" i="139" s="1"/>
  <c r="GT32" i="139"/>
  <c r="GT59" i="139" s="1"/>
  <c r="GT40" i="139"/>
  <c r="GT67" i="139" s="1"/>
  <c r="GT41" i="139"/>
  <c r="GT68" i="139" s="1"/>
  <c r="GT31" i="139"/>
  <c r="GT58" i="139" s="1"/>
  <c r="GT36" i="139"/>
  <c r="GT63" i="139" s="1"/>
  <c r="GT34" i="139"/>
  <c r="GT61" i="139" s="1"/>
  <c r="GT30" i="139"/>
  <c r="GT57" i="139" s="1"/>
  <c r="GS28" i="139"/>
  <c r="GS37" i="139" s="1"/>
  <c r="GS64" i="139" s="1"/>
  <c r="GT33" i="139"/>
  <c r="GT60" i="139" s="1"/>
  <c r="GT35" i="139"/>
  <c r="GT62" i="139" s="1"/>
  <c r="JN56" i="139"/>
  <c r="GS30" i="139" l="1"/>
  <c r="GS57" i="139" s="1"/>
  <c r="GS33" i="139"/>
  <c r="GS60" i="139" s="1"/>
  <c r="GS34" i="139"/>
  <c r="GS61" i="139" s="1"/>
  <c r="GR28" i="139"/>
  <c r="GS32" i="139"/>
  <c r="GS59" i="139" s="1"/>
  <c r="GS38" i="139"/>
  <c r="GS65" i="139" s="1"/>
  <c r="GS39" i="139"/>
  <c r="GS66" i="139" s="1"/>
  <c r="GS35" i="139"/>
  <c r="GS62" i="139" s="1"/>
  <c r="GS31" i="139"/>
  <c r="GS58" i="139" s="1"/>
  <c r="GS41" i="139"/>
  <c r="GS68" i="139" s="1"/>
  <c r="GS36" i="139"/>
  <c r="GS63" i="139" s="1"/>
  <c r="GS40" i="139"/>
  <c r="GS67" i="139" s="1"/>
  <c r="GR32" i="139" l="1"/>
  <c r="GR59" i="139" s="1"/>
  <c r="GR41" i="139"/>
  <c r="GR68" i="139" s="1"/>
  <c r="GR38" i="139"/>
  <c r="GR65" i="139" s="1"/>
  <c r="GR35" i="139"/>
  <c r="GR62" i="139" s="1"/>
  <c r="GR34" i="139"/>
  <c r="GR61" i="139" s="1"/>
  <c r="GR39" i="139"/>
  <c r="GR66" i="139" s="1"/>
  <c r="GQ28" i="139"/>
  <c r="GR36" i="139"/>
  <c r="GR63" i="139" s="1"/>
  <c r="GR37" i="139"/>
  <c r="GR64" i="139" s="1"/>
  <c r="GR30" i="139"/>
  <c r="GR57" i="139" s="1"/>
  <c r="GR33" i="139"/>
  <c r="GR60" i="139" s="1"/>
  <c r="GR31" i="139"/>
  <c r="GR58" i="139" s="1"/>
  <c r="GR40" i="139"/>
  <c r="GR67" i="139" s="1"/>
  <c r="GQ36" i="139" l="1"/>
  <c r="GQ63" i="139" s="1"/>
  <c r="GQ41" i="139"/>
  <c r="GQ68" i="139" s="1"/>
  <c r="GQ31" i="139"/>
  <c r="GQ58" i="139" s="1"/>
  <c r="GQ35" i="139"/>
  <c r="GQ62" i="139" s="1"/>
  <c r="GQ39" i="139"/>
  <c r="GQ66" i="139" s="1"/>
  <c r="GQ38" i="139"/>
  <c r="GQ65" i="139" s="1"/>
  <c r="GP28" i="139"/>
  <c r="GQ32" i="139"/>
  <c r="GQ59" i="139" s="1"/>
  <c r="GQ37" i="139"/>
  <c r="GQ64" i="139" s="1"/>
  <c r="GQ34" i="139"/>
  <c r="GQ61" i="139" s="1"/>
  <c r="GQ30" i="139"/>
  <c r="GQ57" i="139" s="1"/>
  <c r="GQ33" i="139"/>
  <c r="GQ60" i="139" s="1"/>
  <c r="GQ40" i="139"/>
  <c r="GQ67" i="139" s="1"/>
  <c r="C209" i="1"/>
  <c r="C208" i="1"/>
  <c r="C207" i="1"/>
  <c r="C206" i="1"/>
  <c r="GP31" i="139" l="1"/>
  <c r="GP58" i="139" s="1"/>
  <c r="GP32" i="139"/>
  <c r="GP59" i="139" s="1"/>
  <c r="GO28" i="139"/>
  <c r="GP38" i="139"/>
  <c r="GP65" i="139" s="1"/>
  <c r="GP39" i="139"/>
  <c r="GP66" i="139" s="1"/>
  <c r="GP41" i="139"/>
  <c r="GP68" i="139" s="1"/>
  <c r="GP30" i="139"/>
  <c r="GP57" i="139" s="1"/>
  <c r="GP33" i="139"/>
  <c r="GP60" i="139" s="1"/>
  <c r="GP40" i="139"/>
  <c r="GP67" i="139" s="1"/>
  <c r="GP37" i="139"/>
  <c r="GP64" i="139" s="1"/>
  <c r="GP35" i="139"/>
  <c r="GP62" i="139" s="1"/>
  <c r="GP36" i="139"/>
  <c r="GP63" i="139" s="1"/>
  <c r="GP34" i="139"/>
  <c r="GP61" i="139" s="1"/>
  <c r="C205" i="1"/>
  <c r="C204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GO30" i="139" l="1"/>
  <c r="GO57" i="139" s="1"/>
  <c r="GO31" i="139"/>
  <c r="GO58" i="139" s="1"/>
  <c r="GO39" i="139"/>
  <c r="GO66" i="139" s="1"/>
  <c r="GO40" i="139"/>
  <c r="GO67" i="139" s="1"/>
  <c r="GO41" i="139"/>
  <c r="GO68" i="139" s="1"/>
  <c r="GN28" i="139"/>
  <c r="GO36" i="139"/>
  <c r="GO63" i="139" s="1"/>
  <c r="GO32" i="139"/>
  <c r="GO59" i="139" s="1"/>
  <c r="GO33" i="139"/>
  <c r="GO60" i="139" s="1"/>
  <c r="GO34" i="139"/>
  <c r="GO61" i="139" s="1"/>
  <c r="GO38" i="139"/>
  <c r="GO65" i="139" s="1"/>
  <c r="GO35" i="139"/>
  <c r="GO62" i="139" s="1"/>
  <c r="GO37" i="139"/>
  <c r="GO64" i="139" s="1"/>
  <c r="GN35" i="139" l="1"/>
  <c r="GN62" i="139" s="1"/>
  <c r="GN41" i="139"/>
  <c r="GN68" i="139" s="1"/>
  <c r="GN37" i="139"/>
  <c r="GN64" i="139" s="1"/>
  <c r="GM28" i="139"/>
  <c r="GN34" i="139"/>
  <c r="GN61" i="139" s="1"/>
  <c r="GN38" i="139"/>
  <c r="GN65" i="139" s="1"/>
  <c r="GN30" i="139"/>
  <c r="GN57" i="139" s="1"/>
  <c r="GN39" i="139"/>
  <c r="GN66" i="139" s="1"/>
  <c r="GN33" i="139"/>
  <c r="GN60" i="139" s="1"/>
  <c r="GN40" i="139"/>
  <c r="GN67" i="139" s="1"/>
  <c r="GN32" i="139"/>
  <c r="GN59" i="139" s="1"/>
  <c r="GN31" i="139"/>
  <c r="GN58" i="139" s="1"/>
  <c r="GN36" i="139"/>
  <c r="GN63" i="139" s="1"/>
  <c r="GM37" i="139" l="1"/>
  <c r="GM64" i="139" s="1"/>
  <c r="GM40" i="139"/>
  <c r="GM67" i="139" s="1"/>
  <c r="GM34" i="139"/>
  <c r="GM61" i="139" s="1"/>
  <c r="GM33" i="139"/>
  <c r="GM60" i="139" s="1"/>
  <c r="GM36" i="139"/>
  <c r="GM63" i="139" s="1"/>
  <c r="GM39" i="139"/>
  <c r="GM66" i="139" s="1"/>
  <c r="GM41" i="139"/>
  <c r="GM68" i="139" s="1"/>
  <c r="GL28" i="139"/>
  <c r="GM38" i="139"/>
  <c r="GM65" i="139" s="1"/>
  <c r="GM32" i="139"/>
  <c r="GM59" i="139" s="1"/>
  <c r="GM30" i="139"/>
  <c r="GM57" i="139" s="1"/>
  <c r="GM35" i="139"/>
  <c r="GM62" i="139" s="1"/>
  <c r="GM31" i="139"/>
  <c r="GM58" i="139" s="1"/>
  <c r="GL34" i="139" l="1"/>
  <c r="GL61" i="139" s="1"/>
  <c r="GK28" i="139"/>
  <c r="GL39" i="139"/>
  <c r="GL66" i="139" s="1"/>
  <c r="GL41" i="139"/>
  <c r="GL68" i="139" s="1"/>
  <c r="GL31" i="139"/>
  <c r="GL58" i="139" s="1"/>
  <c r="GL35" i="139"/>
  <c r="GL62" i="139" s="1"/>
  <c r="GL40" i="139"/>
  <c r="GL67" i="139" s="1"/>
  <c r="GL38" i="139"/>
  <c r="GL65" i="139" s="1"/>
  <c r="GL32" i="139"/>
  <c r="GL59" i="139" s="1"/>
  <c r="GL30" i="139"/>
  <c r="GL57" i="139" s="1"/>
  <c r="GL33" i="139"/>
  <c r="GL60" i="139" s="1"/>
  <c r="GL37" i="139"/>
  <c r="GL64" i="139" s="1"/>
  <c r="GL36" i="139"/>
  <c r="GL63" i="139" s="1"/>
  <c r="GK33" i="139" l="1"/>
  <c r="GK60" i="139" s="1"/>
  <c r="GK41" i="139"/>
  <c r="GK68" i="139" s="1"/>
  <c r="GK38" i="139"/>
  <c r="GK65" i="139" s="1"/>
  <c r="GK34" i="139"/>
  <c r="GK61" i="139" s="1"/>
  <c r="GK35" i="139"/>
  <c r="GK62" i="139" s="1"/>
  <c r="GK30" i="139"/>
  <c r="GK57" i="139" s="1"/>
  <c r="GK37" i="139"/>
  <c r="GK64" i="139" s="1"/>
  <c r="GK40" i="139"/>
  <c r="GK67" i="139" s="1"/>
  <c r="GK36" i="139"/>
  <c r="GK63" i="139" s="1"/>
  <c r="GK31" i="139"/>
  <c r="GK58" i="139" s="1"/>
  <c r="GJ28" i="139"/>
  <c r="GK39" i="139"/>
  <c r="GK66" i="139" s="1"/>
  <c r="GK32" i="139"/>
  <c r="GK59" i="139" s="1"/>
  <c r="GJ30" i="139" l="1"/>
  <c r="GJ57" i="139" s="1"/>
  <c r="GJ41" i="139"/>
  <c r="GJ68" i="139" s="1"/>
  <c r="GJ37" i="139"/>
  <c r="GJ64" i="139" s="1"/>
  <c r="GJ38" i="139"/>
  <c r="GJ65" i="139" s="1"/>
  <c r="GJ35" i="139"/>
  <c r="GJ62" i="139" s="1"/>
  <c r="GI28" i="139"/>
  <c r="GJ40" i="139"/>
  <c r="GJ67" i="139" s="1"/>
  <c r="GJ32" i="139"/>
  <c r="GJ59" i="139" s="1"/>
  <c r="GJ31" i="139"/>
  <c r="GJ58" i="139" s="1"/>
  <c r="GJ34" i="139"/>
  <c r="GJ61" i="139" s="1"/>
  <c r="GJ36" i="139"/>
  <c r="GJ63" i="139" s="1"/>
  <c r="GJ39" i="139"/>
  <c r="GJ66" i="139" s="1"/>
  <c r="GJ33" i="139"/>
  <c r="GJ60" i="139" s="1"/>
  <c r="GH28" i="139" l="1"/>
  <c r="GI30" i="139"/>
  <c r="GI57" i="139" s="1"/>
  <c r="GI37" i="139"/>
  <c r="GI64" i="139" s="1"/>
  <c r="GI31" i="139"/>
  <c r="GI58" i="139" s="1"/>
  <c r="GI35" i="139"/>
  <c r="GI62" i="139" s="1"/>
  <c r="GI39" i="139"/>
  <c r="GI66" i="139" s="1"/>
  <c r="GI38" i="139"/>
  <c r="GI65" i="139" s="1"/>
  <c r="GI33" i="139"/>
  <c r="GI60" i="139" s="1"/>
  <c r="GI41" i="139"/>
  <c r="GI68" i="139" s="1"/>
  <c r="GI34" i="139"/>
  <c r="GI61" i="139" s="1"/>
  <c r="GI40" i="139"/>
  <c r="GI67" i="139" s="1"/>
  <c r="GI36" i="139"/>
  <c r="GI63" i="139" s="1"/>
  <c r="GI32" i="139"/>
  <c r="GI59" i="139" s="1"/>
  <c r="GH40" i="139" l="1"/>
  <c r="GH67" i="139" s="1"/>
  <c r="GH39" i="139"/>
  <c r="GH66" i="139" s="1"/>
  <c r="GH35" i="139"/>
  <c r="GH62" i="139" s="1"/>
  <c r="GH32" i="139"/>
  <c r="GH59" i="139" s="1"/>
  <c r="GH37" i="139"/>
  <c r="GH64" i="139" s="1"/>
  <c r="GH30" i="139"/>
  <c r="GH57" i="139" s="1"/>
  <c r="GH31" i="139"/>
  <c r="GH58" i="139" s="1"/>
  <c r="GH34" i="139"/>
  <c r="GH61" i="139" s="1"/>
  <c r="GH36" i="139"/>
  <c r="GH63" i="139" s="1"/>
  <c r="GH38" i="139"/>
  <c r="GH65" i="139" s="1"/>
  <c r="GG28" i="139"/>
  <c r="GH33" i="139"/>
  <c r="GH60" i="139" s="1"/>
  <c r="GH41" i="139"/>
  <c r="GH68" i="139" s="1"/>
  <c r="GG38" i="139" l="1"/>
  <c r="GG65" i="139" s="1"/>
  <c r="GG30" i="139"/>
  <c r="GG57" i="139" s="1"/>
  <c r="GG34" i="139"/>
  <c r="GG61" i="139" s="1"/>
  <c r="GG35" i="139"/>
  <c r="GG62" i="139" s="1"/>
  <c r="GG36" i="139"/>
  <c r="GG63" i="139" s="1"/>
  <c r="GG40" i="139"/>
  <c r="GG67" i="139" s="1"/>
  <c r="GG39" i="139"/>
  <c r="GG66" i="139" s="1"/>
  <c r="GG33" i="139"/>
  <c r="GG60" i="139" s="1"/>
  <c r="GG32" i="139"/>
  <c r="GG59" i="139" s="1"/>
  <c r="GF28" i="139"/>
  <c r="GG37" i="139"/>
  <c r="GG64" i="139" s="1"/>
  <c r="GG31" i="139"/>
  <c r="GG58" i="139" s="1"/>
  <c r="GG41" i="139"/>
  <c r="GG68" i="139" s="1"/>
  <c r="GF37" i="139" l="1"/>
  <c r="GF64" i="139" s="1"/>
  <c r="GF39" i="139"/>
  <c r="GF66" i="139" s="1"/>
  <c r="GF30" i="139"/>
  <c r="GF57" i="139" s="1"/>
  <c r="GF41" i="139"/>
  <c r="GF68" i="139" s="1"/>
  <c r="GF34" i="139"/>
  <c r="GF61" i="139" s="1"/>
  <c r="GF35" i="139"/>
  <c r="GF62" i="139" s="1"/>
  <c r="GF36" i="139"/>
  <c r="GF63" i="139" s="1"/>
  <c r="GE28" i="139"/>
  <c r="GF40" i="139"/>
  <c r="GF67" i="139" s="1"/>
  <c r="GF32" i="139"/>
  <c r="GF59" i="139" s="1"/>
  <c r="GF38" i="139"/>
  <c r="GF65" i="139" s="1"/>
  <c r="GF33" i="139"/>
  <c r="GF60" i="139" s="1"/>
  <c r="GF31" i="139"/>
  <c r="GF58" i="139" s="1"/>
  <c r="GE38" i="139" l="1"/>
  <c r="GE65" i="139" s="1"/>
  <c r="GE34" i="139"/>
  <c r="GE61" i="139" s="1"/>
  <c r="GE39" i="139"/>
  <c r="GE66" i="139" s="1"/>
  <c r="GE30" i="139"/>
  <c r="GE57" i="139" s="1"/>
  <c r="GD28" i="139"/>
  <c r="GE31" i="139"/>
  <c r="GE58" i="139" s="1"/>
  <c r="GE32" i="139"/>
  <c r="GE59" i="139" s="1"/>
  <c r="GE36" i="139"/>
  <c r="GE63" i="139" s="1"/>
  <c r="GE35" i="139"/>
  <c r="GE62" i="139" s="1"/>
  <c r="GE33" i="139"/>
  <c r="GE60" i="139" s="1"/>
  <c r="GE37" i="139"/>
  <c r="GE64" i="139" s="1"/>
  <c r="GE41" i="139"/>
  <c r="GE68" i="139" s="1"/>
  <c r="GE40" i="139"/>
  <c r="GE67" i="139" s="1"/>
  <c r="GD38" i="139" l="1"/>
  <c r="GD65" i="139" s="1"/>
  <c r="GD34" i="139"/>
  <c r="GD61" i="139" s="1"/>
  <c r="GD35" i="139"/>
  <c r="GD62" i="139" s="1"/>
  <c r="GD37" i="139"/>
  <c r="GD64" i="139" s="1"/>
  <c r="GD31" i="139"/>
  <c r="GD58" i="139" s="1"/>
  <c r="GD33" i="139"/>
  <c r="GD60" i="139" s="1"/>
  <c r="GD41" i="139"/>
  <c r="GD68" i="139" s="1"/>
  <c r="GD39" i="139"/>
  <c r="GD66" i="139" s="1"/>
  <c r="GD30" i="139"/>
  <c r="GD57" i="139" s="1"/>
  <c r="GD40" i="139"/>
  <c r="GD67" i="139" s="1"/>
  <c r="GD32" i="139"/>
  <c r="GD59" i="139" s="1"/>
  <c r="GC28" i="139"/>
  <c r="GD36" i="139"/>
  <c r="GD63" i="139" s="1"/>
  <c r="GC39" i="139" l="1"/>
  <c r="GC66" i="139" s="1"/>
  <c r="GC41" i="139"/>
  <c r="GC68" i="139" s="1"/>
  <c r="GC32" i="139"/>
  <c r="GC59" i="139" s="1"/>
  <c r="GC33" i="139"/>
  <c r="GC60" i="139" s="1"/>
  <c r="GC38" i="139"/>
  <c r="GC65" i="139" s="1"/>
  <c r="GC35" i="139"/>
  <c r="GC62" i="139" s="1"/>
  <c r="GC30" i="139"/>
  <c r="GC57" i="139" s="1"/>
  <c r="GC40" i="139"/>
  <c r="GC67" i="139" s="1"/>
  <c r="GC34" i="139"/>
  <c r="GC61" i="139" s="1"/>
  <c r="GC37" i="139"/>
  <c r="GC64" i="139" s="1"/>
  <c r="GB28" i="139"/>
  <c r="GC31" i="139"/>
  <c r="GC58" i="139" s="1"/>
  <c r="GC36" i="139"/>
  <c r="GC63" i="139" s="1"/>
  <c r="GB34" i="139" l="1"/>
  <c r="GB61" i="139" s="1"/>
  <c r="GB32" i="139"/>
  <c r="GB59" i="139" s="1"/>
  <c r="GB39" i="139"/>
  <c r="GB66" i="139" s="1"/>
  <c r="GB33" i="139"/>
  <c r="GB60" i="139" s="1"/>
  <c r="GB38" i="139"/>
  <c r="GB65" i="139" s="1"/>
  <c r="GB30" i="139"/>
  <c r="GB57" i="139" s="1"/>
  <c r="GB31" i="139"/>
  <c r="GB58" i="139" s="1"/>
  <c r="GB35" i="139"/>
  <c r="GB62" i="139" s="1"/>
  <c r="GB40" i="139"/>
  <c r="GB67" i="139" s="1"/>
  <c r="GA28" i="139"/>
  <c r="GB41" i="139"/>
  <c r="GB68" i="139" s="1"/>
  <c r="GB37" i="139"/>
  <c r="GB64" i="139" s="1"/>
  <c r="GB36" i="139"/>
  <c r="GB63" i="139" s="1"/>
  <c r="GA41" i="139" l="1"/>
  <c r="GA68" i="139" s="1"/>
  <c r="GZ94" i="139" s="1"/>
  <c r="GA32" i="139"/>
  <c r="GA59" i="139" s="1"/>
  <c r="GZ85" i="139" s="1"/>
  <c r="GA30" i="139"/>
  <c r="GA57" i="139" s="1"/>
  <c r="GZ83" i="139" s="1"/>
  <c r="GA39" i="139"/>
  <c r="GA66" i="139" s="1"/>
  <c r="GZ92" i="139" s="1"/>
  <c r="GA35" i="139"/>
  <c r="GA62" i="139" s="1"/>
  <c r="GZ88" i="139" s="1"/>
  <c r="GA37" i="139"/>
  <c r="GA64" i="139" s="1"/>
  <c r="GZ90" i="139" s="1"/>
  <c r="GA38" i="139"/>
  <c r="GA65" i="139" s="1"/>
  <c r="GZ91" i="139" s="1"/>
  <c r="GA31" i="139"/>
  <c r="GA58" i="139" s="1"/>
  <c r="GZ84" i="139" s="1"/>
  <c r="GA36" i="139"/>
  <c r="GA63" i="139" s="1"/>
  <c r="GZ89" i="139" s="1"/>
  <c r="GA33" i="139"/>
  <c r="GA60" i="139" s="1"/>
  <c r="GZ86" i="139" s="1"/>
  <c r="FZ28" i="139"/>
  <c r="GA40" i="139"/>
  <c r="GA67" i="139" s="1"/>
  <c r="GZ93" i="139" s="1"/>
  <c r="GA34" i="139"/>
  <c r="GA61" i="139" s="1"/>
  <c r="GZ87" i="139" s="1"/>
  <c r="FZ32" i="139" l="1"/>
  <c r="FZ59" i="139" s="1"/>
  <c r="GY85" i="139" s="1"/>
  <c r="FZ33" i="139"/>
  <c r="FZ60" i="139" s="1"/>
  <c r="GY86" i="139" s="1"/>
  <c r="FZ39" i="139"/>
  <c r="FZ66" i="139" s="1"/>
  <c r="GY92" i="139" s="1"/>
  <c r="FZ41" i="139"/>
  <c r="FZ68" i="139" s="1"/>
  <c r="GY94" i="139" s="1"/>
  <c r="FY28" i="139"/>
  <c r="FZ40" i="139"/>
  <c r="FZ67" i="139" s="1"/>
  <c r="GY93" i="139" s="1"/>
  <c r="FZ38" i="139"/>
  <c r="FZ65" i="139" s="1"/>
  <c r="GY91" i="139" s="1"/>
  <c r="FZ31" i="139"/>
  <c r="FZ58" i="139" s="1"/>
  <c r="GY84" i="139" s="1"/>
  <c r="FZ35" i="139"/>
  <c r="FZ62" i="139" s="1"/>
  <c r="GY88" i="139" s="1"/>
  <c r="FZ30" i="139"/>
  <c r="FZ57" i="139" s="1"/>
  <c r="GY83" i="139" s="1"/>
  <c r="FZ37" i="139"/>
  <c r="FZ64" i="139" s="1"/>
  <c r="GY90" i="139" s="1"/>
  <c r="FZ36" i="139"/>
  <c r="FZ63" i="139" s="1"/>
  <c r="GY89" i="139" s="1"/>
  <c r="FZ34" i="139"/>
  <c r="FZ61" i="139" s="1"/>
  <c r="GY87" i="139" s="1"/>
  <c r="FY33" i="139" l="1"/>
  <c r="FY60" i="139" s="1"/>
  <c r="GX86" i="139" s="1"/>
  <c r="FY30" i="139"/>
  <c r="FY57" i="139" s="1"/>
  <c r="GX83" i="139" s="1"/>
  <c r="FY38" i="139"/>
  <c r="FY65" i="139" s="1"/>
  <c r="GX91" i="139" s="1"/>
  <c r="FY35" i="139"/>
  <c r="FY62" i="139" s="1"/>
  <c r="GX88" i="139" s="1"/>
  <c r="FY37" i="139"/>
  <c r="FY64" i="139" s="1"/>
  <c r="GX90" i="139" s="1"/>
  <c r="FY31" i="139"/>
  <c r="FY58" i="139" s="1"/>
  <c r="GX84" i="139" s="1"/>
  <c r="FY40" i="139"/>
  <c r="FY67" i="139" s="1"/>
  <c r="GX93" i="139" s="1"/>
  <c r="FY32" i="139"/>
  <c r="FY59" i="139" s="1"/>
  <c r="GX85" i="139" s="1"/>
  <c r="FX28" i="139"/>
  <c r="FY39" i="139"/>
  <c r="FY66" i="139" s="1"/>
  <c r="GX92" i="139" s="1"/>
  <c r="FY36" i="139"/>
  <c r="FY63" i="139" s="1"/>
  <c r="GX89" i="139" s="1"/>
  <c r="FY41" i="139"/>
  <c r="FY68" i="139" s="1"/>
  <c r="GX94" i="139" s="1"/>
  <c r="FY34" i="139"/>
  <c r="FY61" i="139" s="1"/>
  <c r="GX87" i="139" s="1"/>
  <c r="FX31" i="139" l="1"/>
  <c r="FX58" i="139" s="1"/>
  <c r="GW84" i="139" s="1"/>
  <c r="FX32" i="139"/>
  <c r="FX59" i="139" s="1"/>
  <c r="GW85" i="139" s="1"/>
  <c r="FW28" i="139"/>
  <c r="FX35" i="139"/>
  <c r="FX62" i="139" s="1"/>
  <c r="GW88" i="139" s="1"/>
  <c r="FX37" i="139"/>
  <c r="FX64" i="139" s="1"/>
  <c r="GW90" i="139" s="1"/>
  <c r="FX30" i="139"/>
  <c r="FX57" i="139" s="1"/>
  <c r="GW83" i="139" s="1"/>
  <c r="FX40" i="139"/>
  <c r="FX67" i="139" s="1"/>
  <c r="GW93" i="139" s="1"/>
  <c r="FX36" i="139"/>
  <c r="FX63" i="139" s="1"/>
  <c r="GW89" i="139" s="1"/>
  <c r="FX34" i="139"/>
  <c r="FX61" i="139" s="1"/>
  <c r="GW87" i="139" s="1"/>
  <c r="FX38" i="139"/>
  <c r="FX65" i="139" s="1"/>
  <c r="GW91" i="139" s="1"/>
  <c r="FX41" i="139"/>
  <c r="FX68" i="139" s="1"/>
  <c r="GW94" i="139" s="1"/>
  <c r="FX39" i="139"/>
  <c r="FX66" i="139" s="1"/>
  <c r="GW92" i="139" s="1"/>
  <c r="FX33" i="139"/>
  <c r="FX60" i="139" s="1"/>
  <c r="GW86" i="139" s="1"/>
  <c r="FW31" i="139" l="1"/>
  <c r="FW58" i="139" s="1"/>
  <c r="GV84" i="139" s="1"/>
  <c r="FW34" i="139"/>
  <c r="FW61" i="139" s="1"/>
  <c r="GV87" i="139" s="1"/>
  <c r="FW37" i="139"/>
  <c r="FW64" i="139" s="1"/>
  <c r="GV90" i="139" s="1"/>
  <c r="FW35" i="139"/>
  <c r="FW62" i="139" s="1"/>
  <c r="GV88" i="139" s="1"/>
  <c r="FW38" i="139"/>
  <c r="FW65" i="139" s="1"/>
  <c r="GV91" i="139" s="1"/>
  <c r="FW40" i="139"/>
  <c r="FW67" i="139" s="1"/>
  <c r="GV93" i="139" s="1"/>
  <c r="FW33" i="139"/>
  <c r="FW60" i="139" s="1"/>
  <c r="GV86" i="139" s="1"/>
  <c r="FW36" i="139"/>
  <c r="FW63" i="139" s="1"/>
  <c r="GV89" i="139" s="1"/>
  <c r="FV28" i="139"/>
  <c r="FW32" i="139"/>
  <c r="FW59" i="139" s="1"/>
  <c r="GV85" i="139" s="1"/>
  <c r="FW39" i="139"/>
  <c r="FW66" i="139" s="1"/>
  <c r="GV92" i="139" s="1"/>
  <c r="FW30" i="139"/>
  <c r="FW57" i="139" s="1"/>
  <c r="GV83" i="139" s="1"/>
  <c r="FW41" i="139"/>
  <c r="FW68" i="139" s="1"/>
  <c r="GV94" i="139" s="1"/>
  <c r="FV31" i="139" l="1"/>
  <c r="FV58" i="139" s="1"/>
  <c r="GU84" i="139" s="1"/>
  <c r="FV37" i="139"/>
  <c r="FV64" i="139" s="1"/>
  <c r="GU90" i="139" s="1"/>
  <c r="FV35" i="139"/>
  <c r="FV62" i="139" s="1"/>
  <c r="GU88" i="139" s="1"/>
  <c r="FV38" i="139"/>
  <c r="FV65" i="139" s="1"/>
  <c r="GU91" i="139" s="1"/>
  <c r="FV33" i="139"/>
  <c r="FV60" i="139" s="1"/>
  <c r="GU86" i="139" s="1"/>
  <c r="FV39" i="139"/>
  <c r="FV66" i="139" s="1"/>
  <c r="GU92" i="139" s="1"/>
  <c r="FV32" i="139"/>
  <c r="FV59" i="139" s="1"/>
  <c r="GU85" i="139" s="1"/>
  <c r="FV36" i="139"/>
  <c r="FV63" i="139" s="1"/>
  <c r="GU89" i="139" s="1"/>
  <c r="FV34" i="139"/>
  <c r="FV61" i="139" s="1"/>
  <c r="GU87" i="139" s="1"/>
  <c r="FV41" i="139"/>
  <c r="FV68" i="139" s="1"/>
  <c r="GU94" i="139" s="1"/>
  <c r="FV40" i="139"/>
  <c r="FV67" i="139" s="1"/>
  <c r="GU93" i="139" s="1"/>
  <c r="FV30" i="139"/>
  <c r="FV57" i="139" s="1"/>
  <c r="GU83" i="139" s="1"/>
  <c r="FU28" i="139"/>
  <c r="FU36" i="139" l="1"/>
  <c r="FU63" i="139" s="1"/>
  <c r="GT89" i="139" s="1"/>
  <c r="FU33" i="139"/>
  <c r="FU60" i="139" s="1"/>
  <c r="GT86" i="139" s="1"/>
  <c r="FU34" i="139"/>
  <c r="FU61" i="139" s="1"/>
  <c r="GT87" i="139" s="1"/>
  <c r="FU41" i="139"/>
  <c r="FU68" i="139" s="1"/>
  <c r="GT94" i="139" s="1"/>
  <c r="FU30" i="139"/>
  <c r="FU57" i="139" s="1"/>
  <c r="GT83" i="139" s="1"/>
  <c r="FU39" i="139"/>
  <c r="FU66" i="139" s="1"/>
  <c r="GT92" i="139" s="1"/>
  <c r="FU38" i="139"/>
  <c r="FU65" i="139" s="1"/>
  <c r="GT91" i="139" s="1"/>
  <c r="FU31" i="139"/>
  <c r="FU58" i="139" s="1"/>
  <c r="GT84" i="139" s="1"/>
  <c r="FU35" i="139"/>
  <c r="FU62" i="139" s="1"/>
  <c r="GT88" i="139" s="1"/>
  <c r="FT28" i="139"/>
  <c r="FU40" i="139"/>
  <c r="FU67" i="139" s="1"/>
  <c r="GT93" i="139" s="1"/>
  <c r="FU37" i="139"/>
  <c r="FU64" i="139" s="1"/>
  <c r="GT90" i="139" s="1"/>
  <c r="FU32" i="139"/>
  <c r="FU59" i="139" s="1"/>
  <c r="GT85" i="139" s="1"/>
  <c r="FT33" i="139" l="1"/>
  <c r="FT60" i="139" s="1"/>
  <c r="GS86" i="139" s="1"/>
  <c r="FT41" i="139"/>
  <c r="FT68" i="139" s="1"/>
  <c r="GS94" i="139" s="1"/>
  <c r="FT35" i="139"/>
  <c r="FT62" i="139" s="1"/>
  <c r="GS88" i="139" s="1"/>
  <c r="FT30" i="139"/>
  <c r="FT57" i="139" s="1"/>
  <c r="GS83" i="139" s="1"/>
  <c r="FT39" i="139"/>
  <c r="FT66" i="139" s="1"/>
  <c r="GS92" i="139" s="1"/>
  <c r="FT40" i="139"/>
  <c r="FT67" i="139" s="1"/>
  <c r="GS93" i="139" s="1"/>
  <c r="FT38" i="139"/>
  <c r="FT65" i="139" s="1"/>
  <c r="GS91" i="139" s="1"/>
  <c r="FT32" i="139"/>
  <c r="FT59" i="139" s="1"/>
  <c r="GS85" i="139" s="1"/>
  <c r="FT36" i="139"/>
  <c r="FT63" i="139" s="1"/>
  <c r="GS89" i="139" s="1"/>
  <c r="FT34" i="139"/>
  <c r="FT61" i="139" s="1"/>
  <c r="GS87" i="139" s="1"/>
  <c r="FT37" i="139"/>
  <c r="FT64" i="139" s="1"/>
  <c r="GS90" i="139" s="1"/>
  <c r="FS28" i="139"/>
  <c r="FT31" i="139"/>
  <c r="FT58" i="139" s="1"/>
  <c r="GS84" i="139" s="1"/>
  <c r="FS33" i="139" l="1"/>
  <c r="FS60" i="139" s="1"/>
  <c r="GR86" i="139" s="1"/>
  <c r="FS40" i="139"/>
  <c r="FS67" i="139" s="1"/>
  <c r="GR93" i="139" s="1"/>
  <c r="FS34" i="139"/>
  <c r="FS61" i="139" s="1"/>
  <c r="GR87" i="139" s="1"/>
  <c r="FS30" i="139"/>
  <c r="FS57" i="139" s="1"/>
  <c r="GR83" i="139" s="1"/>
  <c r="FS41" i="139"/>
  <c r="FS68" i="139" s="1"/>
  <c r="GR94" i="139" s="1"/>
  <c r="FS38" i="139"/>
  <c r="FS65" i="139" s="1"/>
  <c r="GR91" i="139" s="1"/>
  <c r="FS35" i="139"/>
  <c r="FS62" i="139" s="1"/>
  <c r="GR88" i="139" s="1"/>
  <c r="FS36" i="139"/>
  <c r="FS63" i="139" s="1"/>
  <c r="GR89" i="139" s="1"/>
  <c r="FS39" i="139"/>
  <c r="FS66" i="139" s="1"/>
  <c r="GR92" i="139" s="1"/>
  <c r="FS32" i="139"/>
  <c r="FS59" i="139" s="1"/>
  <c r="GR85" i="139" s="1"/>
  <c r="FS31" i="139"/>
  <c r="FS58" i="139" s="1"/>
  <c r="GR84" i="139" s="1"/>
  <c r="FR28" i="139"/>
  <c r="FS37" i="139"/>
  <c r="FS64" i="139" s="1"/>
  <c r="GR90" i="139" s="1"/>
  <c r="FR38" i="139" l="1"/>
  <c r="FR65" i="139" s="1"/>
  <c r="GQ91" i="139" s="1"/>
  <c r="FR40" i="139"/>
  <c r="FR67" i="139" s="1"/>
  <c r="GQ93" i="139" s="1"/>
  <c r="FR39" i="139"/>
  <c r="FR66" i="139" s="1"/>
  <c r="GQ92" i="139" s="1"/>
  <c r="FR32" i="139"/>
  <c r="FR59" i="139" s="1"/>
  <c r="GQ85" i="139" s="1"/>
  <c r="FR33" i="139"/>
  <c r="FR60" i="139" s="1"/>
  <c r="GQ86" i="139" s="1"/>
  <c r="FR34" i="139"/>
  <c r="FR61" i="139" s="1"/>
  <c r="GQ87" i="139" s="1"/>
  <c r="FQ28" i="139"/>
  <c r="FR30" i="139"/>
  <c r="FR57" i="139" s="1"/>
  <c r="GQ83" i="139" s="1"/>
  <c r="FR41" i="139"/>
  <c r="FR68" i="139" s="1"/>
  <c r="GQ94" i="139" s="1"/>
  <c r="FR31" i="139"/>
  <c r="FR58" i="139" s="1"/>
  <c r="GQ84" i="139" s="1"/>
  <c r="FR37" i="139"/>
  <c r="FR64" i="139" s="1"/>
  <c r="GQ90" i="139" s="1"/>
  <c r="FR36" i="139"/>
  <c r="FR63" i="139" s="1"/>
  <c r="GQ89" i="139" s="1"/>
  <c r="FR35" i="139"/>
  <c r="FR62" i="139" s="1"/>
  <c r="GQ88" i="139" s="1"/>
  <c r="FQ40" i="139" l="1"/>
  <c r="FQ67" i="139" s="1"/>
  <c r="GP93" i="139" s="1"/>
  <c r="FQ36" i="139"/>
  <c r="FQ63" i="139" s="1"/>
  <c r="GP89" i="139" s="1"/>
  <c r="FQ38" i="139"/>
  <c r="FQ65" i="139" s="1"/>
  <c r="GP91" i="139" s="1"/>
  <c r="FQ39" i="139"/>
  <c r="FQ66" i="139" s="1"/>
  <c r="GP92" i="139" s="1"/>
  <c r="FQ35" i="139"/>
  <c r="FQ62" i="139" s="1"/>
  <c r="GP88" i="139" s="1"/>
  <c r="FQ33" i="139"/>
  <c r="FQ60" i="139" s="1"/>
  <c r="GP86" i="139" s="1"/>
  <c r="FQ41" i="139"/>
  <c r="FQ68" i="139" s="1"/>
  <c r="GP94" i="139" s="1"/>
  <c r="FQ34" i="139"/>
  <c r="FQ61" i="139" s="1"/>
  <c r="GP87" i="139" s="1"/>
  <c r="FQ32" i="139"/>
  <c r="FQ59" i="139" s="1"/>
  <c r="GP85" i="139" s="1"/>
  <c r="FQ30" i="139"/>
  <c r="FQ57" i="139" s="1"/>
  <c r="GP83" i="139" s="1"/>
  <c r="FQ31" i="139"/>
  <c r="FQ58" i="139" s="1"/>
  <c r="GP84" i="139" s="1"/>
  <c r="FP28" i="139"/>
  <c r="FQ37" i="139"/>
  <c r="FQ64" i="139" s="1"/>
  <c r="GP90" i="139" s="1"/>
  <c r="FP40" i="139" l="1"/>
  <c r="FP67" i="139" s="1"/>
  <c r="GO93" i="139" s="1"/>
  <c r="FP39" i="139"/>
  <c r="FP66" i="139" s="1"/>
  <c r="GO92" i="139" s="1"/>
  <c r="FP35" i="139"/>
  <c r="FP62" i="139" s="1"/>
  <c r="GO88" i="139" s="1"/>
  <c r="FP34" i="139"/>
  <c r="FP61" i="139" s="1"/>
  <c r="GO87" i="139" s="1"/>
  <c r="FO28" i="139"/>
  <c r="FP38" i="139"/>
  <c r="FP65" i="139" s="1"/>
  <c r="GO91" i="139" s="1"/>
  <c r="FP33" i="139"/>
  <c r="FP60" i="139" s="1"/>
  <c r="GO86" i="139" s="1"/>
  <c r="FP36" i="139"/>
  <c r="FP63" i="139" s="1"/>
  <c r="GO89" i="139" s="1"/>
  <c r="FP41" i="139"/>
  <c r="FP68" i="139" s="1"/>
  <c r="GO94" i="139" s="1"/>
  <c r="FP31" i="139"/>
  <c r="FP58" i="139" s="1"/>
  <c r="GO84" i="139" s="1"/>
  <c r="FP32" i="139"/>
  <c r="FP59" i="139" s="1"/>
  <c r="GO85" i="139" s="1"/>
  <c r="FP30" i="139"/>
  <c r="FP57" i="139" s="1"/>
  <c r="GO83" i="139" s="1"/>
  <c r="FP37" i="139"/>
  <c r="FP64" i="139" s="1"/>
  <c r="GO90" i="139" s="1"/>
  <c r="FO38" i="139" l="1"/>
  <c r="FO65" i="139" s="1"/>
  <c r="GN91" i="139" s="1"/>
  <c r="FO32" i="139"/>
  <c r="FO59" i="139" s="1"/>
  <c r="GN85" i="139" s="1"/>
  <c r="FO35" i="139"/>
  <c r="FO62" i="139" s="1"/>
  <c r="GN88" i="139" s="1"/>
  <c r="FO34" i="139"/>
  <c r="FO61" i="139" s="1"/>
  <c r="GN87" i="139" s="1"/>
  <c r="FO30" i="139"/>
  <c r="FO57" i="139" s="1"/>
  <c r="GN83" i="139" s="1"/>
  <c r="FO31" i="139"/>
  <c r="FO58" i="139" s="1"/>
  <c r="GN84" i="139" s="1"/>
  <c r="FN28" i="139"/>
  <c r="FO39" i="139"/>
  <c r="FO66" i="139" s="1"/>
  <c r="GN92" i="139" s="1"/>
  <c r="FO40" i="139"/>
  <c r="FO67" i="139" s="1"/>
  <c r="GN93" i="139" s="1"/>
  <c r="FO33" i="139"/>
  <c r="FO60" i="139" s="1"/>
  <c r="GN86" i="139" s="1"/>
  <c r="FO37" i="139"/>
  <c r="FO64" i="139" s="1"/>
  <c r="GN90" i="139" s="1"/>
  <c r="FO41" i="139"/>
  <c r="FO68" i="139" s="1"/>
  <c r="GN94" i="139" s="1"/>
  <c r="FO36" i="139"/>
  <c r="FO63" i="139" s="1"/>
  <c r="GN89" i="139" s="1"/>
  <c r="FN33" i="139" l="1"/>
  <c r="FN60" i="139" s="1"/>
  <c r="GM86" i="139" s="1"/>
  <c r="FN37" i="139"/>
  <c r="FN64" i="139" s="1"/>
  <c r="GM90" i="139" s="1"/>
  <c r="FN41" i="139"/>
  <c r="FN68" i="139" s="1"/>
  <c r="GM94" i="139" s="1"/>
  <c r="FN32" i="139"/>
  <c r="FN59" i="139" s="1"/>
  <c r="GM85" i="139" s="1"/>
  <c r="FN38" i="139"/>
  <c r="FN65" i="139" s="1"/>
  <c r="GM91" i="139" s="1"/>
  <c r="FN31" i="139"/>
  <c r="FN58" i="139" s="1"/>
  <c r="GM84" i="139" s="1"/>
  <c r="FN39" i="139"/>
  <c r="FN66" i="139" s="1"/>
  <c r="GM92" i="139" s="1"/>
  <c r="FN30" i="139"/>
  <c r="FN57" i="139" s="1"/>
  <c r="GM83" i="139" s="1"/>
  <c r="FN36" i="139"/>
  <c r="FN63" i="139" s="1"/>
  <c r="GM89" i="139" s="1"/>
  <c r="FM28" i="139"/>
  <c r="FN34" i="139"/>
  <c r="FN61" i="139" s="1"/>
  <c r="GM87" i="139" s="1"/>
  <c r="FN40" i="139"/>
  <c r="FN67" i="139" s="1"/>
  <c r="GM93" i="139" s="1"/>
  <c r="FN35" i="139"/>
  <c r="FN62" i="139" s="1"/>
  <c r="GM88" i="139" s="1"/>
  <c r="FM31" i="139" l="1"/>
  <c r="FM58" i="139" s="1"/>
  <c r="GL84" i="139" s="1"/>
  <c r="FM33" i="139"/>
  <c r="FM60" i="139" s="1"/>
  <c r="GL86" i="139" s="1"/>
  <c r="FM40" i="139"/>
  <c r="FM67" i="139" s="1"/>
  <c r="GL93" i="139" s="1"/>
  <c r="FM39" i="139"/>
  <c r="FM66" i="139" s="1"/>
  <c r="GL92" i="139" s="1"/>
  <c r="FM35" i="139"/>
  <c r="FM62" i="139" s="1"/>
  <c r="GL88" i="139" s="1"/>
  <c r="FL28" i="139"/>
  <c r="FM30" i="139"/>
  <c r="FM57" i="139" s="1"/>
  <c r="GL83" i="139" s="1"/>
  <c r="FM37" i="139"/>
  <c r="FM64" i="139" s="1"/>
  <c r="GL90" i="139" s="1"/>
  <c r="FM38" i="139"/>
  <c r="FM65" i="139" s="1"/>
  <c r="GL91" i="139" s="1"/>
  <c r="FM36" i="139"/>
  <c r="FM63" i="139" s="1"/>
  <c r="GL89" i="139" s="1"/>
  <c r="FM34" i="139"/>
  <c r="FM61" i="139" s="1"/>
  <c r="GL87" i="139" s="1"/>
  <c r="FM41" i="139"/>
  <c r="FM68" i="139" s="1"/>
  <c r="GL94" i="139" s="1"/>
  <c r="FM32" i="139"/>
  <c r="FM59" i="139" s="1"/>
  <c r="GL85" i="139" s="1"/>
  <c r="FL39" i="139" l="1"/>
  <c r="FL66" i="139" s="1"/>
  <c r="GK92" i="139" s="1"/>
  <c r="FL35" i="139"/>
  <c r="FL62" i="139" s="1"/>
  <c r="GK88" i="139" s="1"/>
  <c r="FL41" i="139"/>
  <c r="FL68" i="139" s="1"/>
  <c r="GK94" i="139" s="1"/>
  <c r="FK28" i="139"/>
  <c r="FL34" i="139"/>
  <c r="FL61" i="139" s="1"/>
  <c r="GK87" i="139" s="1"/>
  <c r="FL31" i="139"/>
  <c r="FL58" i="139" s="1"/>
  <c r="GK84" i="139" s="1"/>
  <c r="FL38" i="139"/>
  <c r="FL65" i="139" s="1"/>
  <c r="GK91" i="139" s="1"/>
  <c r="FL32" i="139"/>
  <c r="FL59" i="139" s="1"/>
  <c r="GK85" i="139" s="1"/>
  <c r="FL36" i="139"/>
  <c r="FL63" i="139" s="1"/>
  <c r="GK89" i="139" s="1"/>
  <c r="FL33" i="139"/>
  <c r="FL60" i="139" s="1"/>
  <c r="GK86" i="139" s="1"/>
  <c r="FL30" i="139"/>
  <c r="FL57" i="139" s="1"/>
  <c r="GK83" i="139" s="1"/>
  <c r="FL40" i="139"/>
  <c r="FL67" i="139" s="1"/>
  <c r="GK93" i="139" s="1"/>
  <c r="FL37" i="139"/>
  <c r="FL64" i="139" s="1"/>
  <c r="GK90" i="139" s="1"/>
  <c r="FK38" i="139" l="1"/>
  <c r="FK65" i="139" s="1"/>
  <c r="GJ91" i="139" s="1"/>
  <c r="FK33" i="139"/>
  <c r="FK60" i="139" s="1"/>
  <c r="GJ86" i="139" s="1"/>
  <c r="FK30" i="139"/>
  <c r="FK57" i="139" s="1"/>
  <c r="GJ83" i="139" s="1"/>
  <c r="FK31" i="139"/>
  <c r="FK58" i="139" s="1"/>
  <c r="GJ84" i="139" s="1"/>
  <c r="FK32" i="139"/>
  <c r="FK59" i="139" s="1"/>
  <c r="GJ85" i="139" s="1"/>
  <c r="FK36" i="139"/>
  <c r="FK63" i="139" s="1"/>
  <c r="GJ89" i="139" s="1"/>
  <c r="FK41" i="139"/>
  <c r="FK68" i="139" s="1"/>
  <c r="GJ94" i="139" s="1"/>
  <c r="FK40" i="139"/>
  <c r="FK67" i="139" s="1"/>
  <c r="GJ93" i="139" s="1"/>
  <c r="FK34" i="139"/>
  <c r="FK61" i="139" s="1"/>
  <c r="GJ87" i="139" s="1"/>
  <c r="FK35" i="139"/>
  <c r="FK62" i="139" s="1"/>
  <c r="GJ88" i="139" s="1"/>
  <c r="FK37" i="139"/>
  <c r="FK64" i="139" s="1"/>
  <c r="GJ90" i="139" s="1"/>
  <c r="FK39" i="139"/>
  <c r="FK66" i="139" s="1"/>
  <c r="GJ92" i="139" s="1"/>
  <c r="FJ28" i="139"/>
  <c r="FJ30" i="139" l="1"/>
  <c r="FJ57" i="139" s="1"/>
  <c r="GI83" i="139" s="1"/>
  <c r="FJ40" i="139"/>
  <c r="FJ67" i="139" s="1"/>
  <c r="GI93" i="139" s="1"/>
  <c r="FI28" i="139"/>
  <c r="FJ33" i="139"/>
  <c r="FJ60" i="139" s="1"/>
  <c r="GI86" i="139" s="1"/>
  <c r="FJ41" i="139"/>
  <c r="FJ68" i="139" s="1"/>
  <c r="GI94" i="139" s="1"/>
  <c r="FJ39" i="139"/>
  <c r="FJ66" i="139" s="1"/>
  <c r="GI92" i="139" s="1"/>
  <c r="FJ32" i="139"/>
  <c r="FJ59" i="139" s="1"/>
  <c r="GI85" i="139" s="1"/>
  <c r="FJ31" i="139"/>
  <c r="FJ58" i="139" s="1"/>
  <c r="GI84" i="139" s="1"/>
  <c r="FJ36" i="139"/>
  <c r="FJ63" i="139" s="1"/>
  <c r="GI89" i="139" s="1"/>
  <c r="FJ38" i="139"/>
  <c r="FJ65" i="139" s="1"/>
  <c r="GI91" i="139" s="1"/>
  <c r="FJ37" i="139"/>
  <c r="FJ64" i="139" s="1"/>
  <c r="GI90" i="139" s="1"/>
  <c r="FJ34" i="139"/>
  <c r="FJ61" i="139" s="1"/>
  <c r="GI87" i="139" s="1"/>
  <c r="FJ35" i="139"/>
  <c r="FJ62" i="139" s="1"/>
  <c r="GI88" i="139" s="1"/>
  <c r="FI33" i="139" l="1"/>
  <c r="FI60" i="139" s="1"/>
  <c r="GH86" i="139" s="1"/>
  <c r="FI31" i="139"/>
  <c r="FI58" i="139" s="1"/>
  <c r="GH84" i="139" s="1"/>
  <c r="FI41" i="139"/>
  <c r="FI68" i="139" s="1"/>
  <c r="GH94" i="139" s="1"/>
  <c r="FI30" i="139"/>
  <c r="FI57" i="139" s="1"/>
  <c r="GH83" i="139" s="1"/>
  <c r="FI32" i="139"/>
  <c r="FI59" i="139" s="1"/>
  <c r="GH85" i="139" s="1"/>
  <c r="FI39" i="139"/>
  <c r="FI66" i="139" s="1"/>
  <c r="GH92" i="139" s="1"/>
  <c r="FI37" i="139"/>
  <c r="FI64" i="139" s="1"/>
  <c r="GH90" i="139" s="1"/>
  <c r="FI40" i="139"/>
  <c r="FI67" i="139" s="1"/>
  <c r="GH93" i="139" s="1"/>
  <c r="FI36" i="139"/>
  <c r="FI63" i="139" s="1"/>
  <c r="GH89" i="139" s="1"/>
  <c r="FI34" i="139"/>
  <c r="FI61" i="139" s="1"/>
  <c r="GH87" i="139" s="1"/>
  <c r="FI35" i="139"/>
  <c r="FI62" i="139" s="1"/>
  <c r="GH88" i="139" s="1"/>
  <c r="FH28" i="139"/>
  <c r="FI38" i="139"/>
  <c r="FI65" i="139" s="1"/>
  <c r="GH91" i="139" s="1"/>
  <c r="FH38" i="139" l="1"/>
  <c r="FH65" i="139" s="1"/>
  <c r="GG91" i="139" s="1"/>
  <c r="FH39" i="139"/>
  <c r="FH66" i="139" s="1"/>
  <c r="GG92" i="139" s="1"/>
  <c r="FH36" i="139"/>
  <c r="FH63" i="139" s="1"/>
  <c r="GG89" i="139" s="1"/>
  <c r="FH31" i="139"/>
  <c r="FH58" i="139" s="1"/>
  <c r="GG84" i="139" s="1"/>
  <c r="FH40" i="139"/>
  <c r="FH67" i="139" s="1"/>
  <c r="GG93" i="139" s="1"/>
  <c r="FH35" i="139"/>
  <c r="FH62" i="139" s="1"/>
  <c r="GG88" i="139" s="1"/>
  <c r="FH33" i="139"/>
  <c r="FH60" i="139" s="1"/>
  <c r="GG86" i="139" s="1"/>
  <c r="FH34" i="139"/>
  <c r="FH61" i="139" s="1"/>
  <c r="GG87" i="139" s="1"/>
  <c r="FG28" i="139"/>
  <c r="FH37" i="139"/>
  <c r="FH64" i="139" s="1"/>
  <c r="GG90" i="139" s="1"/>
  <c r="FH41" i="139"/>
  <c r="FH68" i="139" s="1"/>
  <c r="GG94" i="139" s="1"/>
  <c r="FH32" i="139"/>
  <c r="FH59" i="139" s="1"/>
  <c r="GG85" i="139" s="1"/>
  <c r="FH30" i="139"/>
  <c r="FH57" i="139" s="1"/>
  <c r="GG83" i="139" s="1"/>
  <c r="FG41" i="139" l="1"/>
  <c r="FG68" i="139" s="1"/>
  <c r="GF94" i="139" s="1"/>
  <c r="FG37" i="139"/>
  <c r="FG64" i="139" s="1"/>
  <c r="GF90" i="139" s="1"/>
  <c r="FG38" i="139"/>
  <c r="FG65" i="139" s="1"/>
  <c r="GF91" i="139" s="1"/>
  <c r="FG35" i="139"/>
  <c r="FG62" i="139" s="1"/>
  <c r="GF88" i="139" s="1"/>
  <c r="FG40" i="139"/>
  <c r="FG67" i="139" s="1"/>
  <c r="GF93" i="139" s="1"/>
  <c r="FG36" i="139"/>
  <c r="FG63" i="139" s="1"/>
  <c r="GF89" i="139" s="1"/>
  <c r="FG33" i="139"/>
  <c r="FG60" i="139" s="1"/>
  <c r="GF86" i="139" s="1"/>
  <c r="FG39" i="139"/>
  <c r="FG66" i="139" s="1"/>
  <c r="GF92" i="139" s="1"/>
  <c r="FG32" i="139"/>
  <c r="FG59" i="139" s="1"/>
  <c r="GF85" i="139" s="1"/>
  <c r="FG30" i="139"/>
  <c r="FG57" i="139" s="1"/>
  <c r="GF83" i="139" s="1"/>
  <c r="FF28" i="139"/>
  <c r="FG34" i="139"/>
  <c r="FG61" i="139" s="1"/>
  <c r="GF87" i="139" s="1"/>
  <c r="FG31" i="139"/>
  <c r="FG58" i="139" s="1"/>
  <c r="GF84" i="139" s="1"/>
  <c r="FF32" i="139" l="1"/>
  <c r="FF59" i="139" s="1"/>
  <c r="GE85" i="139" s="1"/>
  <c r="FF36" i="139"/>
  <c r="FF63" i="139" s="1"/>
  <c r="GE89" i="139" s="1"/>
  <c r="FF41" i="139"/>
  <c r="FF68" i="139" s="1"/>
  <c r="GE94" i="139" s="1"/>
  <c r="FE28" i="139"/>
  <c r="FF33" i="139"/>
  <c r="FF60" i="139" s="1"/>
  <c r="GE86" i="139" s="1"/>
  <c r="FF30" i="139"/>
  <c r="FF57" i="139" s="1"/>
  <c r="GE83" i="139" s="1"/>
  <c r="FF31" i="139"/>
  <c r="FF58" i="139" s="1"/>
  <c r="GE84" i="139" s="1"/>
  <c r="FF40" i="139"/>
  <c r="FF67" i="139" s="1"/>
  <c r="GE93" i="139" s="1"/>
  <c r="FF34" i="139"/>
  <c r="FF61" i="139" s="1"/>
  <c r="GE87" i="139" s="1"/>
  <c r="FF39" i="139"/>
  <c r="FF66" i="139" s="1"/>
  <c r="GE92" i="139" s="1"/>
  <c r="FF38" i="139"/>
  <c r="FF65" i="139" s="1"/>
  <c r="GE91" i="139" s="1"/>
  <c r="FF37" i="139"/>
  <c r="FF64" i="139" s="1"/>
  <c r="GE90" i="139" s="1"/>
  <c r="FF35" i="139"/>
  <c r="FF62" i="139" s="1"/>
  <c r="GE88" i="139" s="1"/>
  <c r="FE39" i="139" l="1"/>
  <c r="FE66" i="139" s="1"/>
  <c r="GD92" i="139" s="1"/>
  <c r="FE32" i="139"/>
  <c r="FE59" i="139" s="1"/>
  <c r="GD85" i="139" s="1"/>
  <c r="FE33" i="139"/>
  <c r="FE60" i="139" s="1"/>
  <c r="GD86" i="139" s="1"/>
  <c r="FD28" i="139"/>
  <c r="FE40" i="139"/>
  <c r="FE67" i="139" s="1"/>
  <c r="GD93" i="139" s="1"/>
  <c r="FE38" i="139"/>
  <c r="FE65" i="139" s="1"/>
  <c r="GD91" i="139" s="1"/>
  <c r="FE34" i="139"/>
  <c r="FE61" i="139" s="1"/>
  <c r="GD87" i="139" s="1"/>
  <c r="FE35" i="139"/>
  <c r="FE62" i="139" s="1"/>
  <c r="GD88" i="139" s="1"/>
  <c r="FE41" i="139"/>
  <c r="FE68" i="139" s="1"/>
  <c r="GD94" i="139" s="1"/>
  <c r="FE36" i="139"/>
  <c r="FE63" i="139" s="1"/>
  <c r="GD89" i="139" s="1"/>
  <c r="FE31" i="139"/>
  <c r="FE58" i="139" s="1"/>
  <c r="GD84" i="139" s="1"/>
  <c r="FE37" i="139"/>
  <c r="FE64" i="139" s="1"/>
  <c r="GD90" i="139" s="1"/>
  <c r="FE30" i="139"/>
  <c r="FE57" i="139" s="1"/>
  <c r="GD83" i="139" s="1"/>
  <c r="FD40" i="139" l="1"/>
  <c r="FD67" i="139" s="1"/>
  <c r="GC93" i="139" s="1"/>
  <c r="FC28" i="139"/>
  <c r="FD39" i="139"/>
  <c r="FD66" i="139" s="1"/>
  <c r="GC92" i="139" s="1"/>
  <c r="FD31" i="139"/>
  <c r="FD58" i="139" s="1"/>
  <c r="GC84" i="139" s="1"/>
  <c r="FD30" i="139"/>
  <c r="FD57" i="139" s="1"/>
  <c r="GC83" i="139" s="1"/>
  <c r="FD37" i="139"/>
  <c r="FD64" i="139" s="1"/>
  <c r="GC90" i="139" s="1"/>
  <c r="FD32" i="139"/>
  <c r="FD59" i="139" s="1"/>
  <c r="GC85" i="139" s="1"/>
  <c r="FD38" i="139"/>
  <c r="FD65" i="139" s="1"/>
  <c r="GC91" i="139" s="1"/>
  <c r="FD36" i="139"/>
  <c r="FD63" i="139" s="1"/>
  <c r="GC89" i="139" s="1"/>
  <c r="FD41" i="139"/>
  <c r="FD68" i="139" s="1"/>
  <c r="GC94" i="139" s="1"/>
  <c r="FD33" i="139"/>
  <c r="FD60" i="139" s="1"/>
  <c r="GC86" i="139" s="1"/>
  <c r="FD35" i="139"/>
  <c r="FD62" i="139" s="1"/>
  <c r="GC88" i="139" s="1"/>
  <c r="FD34" i="139"/>
  <c r="FD61" i="139" s="1"/>
  <c r="GC87" i="139" s="1"/>
  <c r="FC33" i="139" l="1"/>
  <c r="FC60" i="139" s="1"/>
  <c r="GB86" i="139" s="1"/>
  <c r="FB28" i="139"/>
  <c r="FC32" i="139"/>
  <c r="FC59" i="139" s="1"/>
  <c r="GB85" i="139" s="1"/>
  <c r="FC35" i="139"/>
  <c r="FC62" i="139" s="1"/>
  <c r="GB88" i="139" s="1"/>
  <c r="FC36" i="139"/>
  <c r="FC63" i="139" s="1"/>
  <c r="GB89" i="139" s="1"/>
  <c r="FC31" i="139"/>
  <c r="FC58" i="139" s="1"/>
  <c r="GB84" i="139" s="1"/>
  <c r="FC34" i="139"/>
  <c r="FC61" i="139" s="1"/>
  <c r="GB87" i="139" s="1"/>
  <c r="FC39" i="139"/>
  <c r="FC66" i="139" s="1"/>
  <c r="GB92" i="139" s="1"/>
  <c r="FC37" i="139"/>
  <c r="FC64" i="139" s="1"/>
  <c r="GB90" i="139" s="1"/>
  <c r="FC30" i="139"/>
  <c r="FC57" i="139" s="1"/>
  <c r="GB83" i="139" s="1"/>
  <c r="FC38" i="139"/>
  <c r="FC65" i="139" s="1"/>
  <c r="GB91" i="139" s="1"/>
  <c r="FC41" i="139"/>
  <c r="FC68" i="139" s="1"/>
  <c r="GB94" i="139" s="1"/>
  <c r="FC40" i="139"/>
  <c r="FC67" i="139" s="1"/>
  <c r="GB93" i="139" s="1"/>
  <c r="FB33" i="139" l="1"/>
  <c r="FB60" i="139" s="1"/>
  <c r="GA86" i="139" s="1"/>
  <c r="FB37" i="139"/>
  <c r="FB64" i="139" s="1"/>
  <c r="GA90" i="139" s="1"/>
  <c r="FB31" i="139"/>
  <c r="FB58" i="139" s="1"/>
  <c r="GA84" i="139" s="1"/>
  <c r="FB35" i="139"/>
  <c r="FB62" i="139" s="1"/>
  <c r="GA88" i="139" s="1"/>
  <c r="FB40" i="139"/>
  <c r="FB67" i="139" s="1"/>
  <c r="GA93" i="139" s="1"/>
  <c r="FB32" i="139"/>
  <c r="FB59" i="139" s="1"/>
  <c r="GA85" i="139" s="1"/>
  <c r="FB38" i="139"/>
  <c r="FB65" i="139" s="1"/>
  <c r="GA91" i="139" s="1"/>
  <c r="FB41" i="139"/>
  <c r="FB68" i="139" s="1"/>
  <c r="GA94" i="139" s="1"/>
  <c r="FA28" i="139"/>
  <c r="FB36" i="139"/>
  <c r="FB63" i="139" s="1"/>
  <c r="GA89" i="139" s="1"/>
  <c r="FB34" i="139"/>
  <c r="FB61" i="139" s="1"/>
  <c r="GA87" i="139" s="1"/>
  <c r="FB30" i="139"/>
  <c r="FB57" i="139" s="1"/>
  <c r="GA83" i="139" s="1"/>
  <c r="FB39" i="139"/>
  <c r="FB66" i="139" s="1"/>
  <c r="GA92" i="139" s="1"/>
  <c r="FA37" i="139" l="1"/>
  <c r="FA64" i="139" s="1"/>
  <c r="FZ90" i="139" s="1"/>
  <c r="FA30" i="139"/>
  <c r="FA57" i="139" s="1"/>
  <c r="FZ83" i="139" s="1"/>
  <c r="FA38" i="139"/>
  <c r="FA65" i="139" s="1"/>
  <c r="FZ91" i="139" s="1"/>
  <c r="FA39" i="139"/>
  <c r="FA66" i="139" s="1"/>
  <c r="FZ92" i="139" s="1"/>
  <c r="FA36" i="139"/>
  <c r="FA63" i="139" s="1"/>
  <c r="FZ89" i="139" s="1"/>
  <c r="FA33" i="139"/>
  <c r="FA60" i="139" s="1"/>
  <c r="FZ86" i="139" s="1"/>
  <c r="FA31" i="139"/>
  <c r="FA58" i="139" s="1"/>
  <c r="FZ84" i="139" s="1"/>
  <c r="FA40" i="139"/>
  <c r="FA67" i="139" s="1"/>
  <c r="FZ93" i="139" s="1"/>
  <c r="FA35" i="139"/>
  <c r="FA62" i="139" s="1"/>
  <c r="FZ88" i="139" s="1"/>
  <c r="EZ28" i="139"/>
  <c r="FA34" i="139"/>
  <c r="FA61" i="139" s="1"/>
  <c r="FZ87" i="139" s="1"/>
  <c r="FA32" i="139"/>
  <c r="FA59" i="139" s="1"/>
  <c r="FZ85" i="139" s="1"/>
  <c r="FA41" i="139"/>
  <c r="FA68" i="139" s="1"/>
  <c r="FZ94" i="139" s="1"/>
  <c r="EZ37" i="139" l="1"/>
  <c r="EZ64" i="139" s="1"/>
  <c r="FY90" i="139" s="1"/>
  <c r="EY28" i="139"/>
  <c r="EZ39" i="139"/>
  <c r="EZ66" i="139" s="1"/>
  <c r="FY92" i="139" s="1"/>
  <c r="EZ34" i="139"/>
  <c r="EZ61" i="139" s="1"/>
  <c r="FY87" i="139" s="1"/>
  <c r="EZ30" i="139"/>
  <c r="EZ57" i="139" s="1"/>
  <c r="FY83" i="139" s="1"/>
  <c r="EZ41" i="139"/>
  <c r="EZ68" i="139" s="1"/>
  <c r="FY94" i="139" s="1"/>
  <c r="EZ33" i="139"/>
  <c r="EZ60" i="139" s="1"/>
  <c r="FY86" i="139" s="1"/>
  <c r="EZ35" i="139"/>
  <c r="EZ62" i="139" s="1"/>
  <c r="FY88" i="139" s="1"/>
  <c r="EZ36" i="139"/>
  <c r="EZ63" i="139" s="1"/>
  <c r="FY89" i="139" s="1"/>
  <c r="EZ31" i="139"/>
  <c r="EZ58" i="139" s="1"/>
  <c r="FY84" i="139" s="1"/>
  <c r="EZ38" i="139"/>
  <c r="EZ65" i="139" s="1"/>
  <c r="FY91" i="139" s="1"/>
  <c r="EZ40" i="139"/>
  <c r="EZ67" i="139" s="1"/>
  <c r="FY93" i="139" s="1"/>
  <c r="EZ32" i="139"/>
  <c r="EZ59" i="139" s="1"/>
  <c r="FY85" i="139" s="1"/>
  <c r="EY39" i="139" l="1"/>
  <c r="EY66" i="139" s="1"/>
  <c r="FX92" i="139" s="1"/>
  <c r="EY40" i="139"/>
  <c r="EY67" i="139" s="1"/>
  <c r="FX93" i="139" s="1"/>
  <c r="EY38" i="139"/>
  <c r="EY65" i="139" s="1"/>
  <c r="FX91" i="139" s="1"/>
  <c r="EY41" i="139"/>
  <c r="EY68" i="139" s="1"/>
  <c r="FX94" i="139" s="1"/>
  <c r="EY34" i="139"/>
  <c r="EY61" i="139" s="1"/>
  <c r="FX87" i="139" s="1"/>
  <c r="EY37" i="139"/>
  <c r="EY64" i="139" s="1"/>
  <c r="FX90" i="139" s="1"/>
  <c r="EY33" i="139"/>
  <c r="EY60" i="139" s="1"/>
  <c r="FX86" i="139" s="1"/>
  <c r="EY31" i="139"/>
  <c r="EY58" i="139" s="1"/>
  <c r="FX84" i="139" s="1"/>
  <c r="EY30" i="139"/>
  <c r="EY57" i="139" s="1"/>
  <c r="FX83" i="139" s="1"/>
  <c r="EY36" i="139"/>
  <c r="EY63" i="139" s="1"/>
  <c r="FX89" i="139" s="1"/>
  <c r="EX28" i="139"/>
  <c r="EY32" i="139"/>
  <c r="EY59" i="139" s="1"/>
  <c r="FX85" i="139" s="1"/>
  <c r="EY35" i="139"/>
  <c r="EY62" i="139" s="1"/>
  <c r="FX88" i="139" s="1"/>
  <c r="EW28" i="139" l="1"/>
  <c r="EX30" i="139"/>
  <c r="EX57" i="139" s="1"/>
  <c r="FW83" i="139" s="1"/>
  <c r="EX34" i="139"/>
  <c r="EX61" i="139" s="1"/>
  <c r="FW87" i="139" s="1"/>
  <c r="EX39" i="139"/>
  <c r="EX66" i="139" s="1"/>
  <c r="FW92" i="139" s="1"/>
  <c r="EX36" i="139"/>
  <c r="EX63" i="139" s="1"/>
  <c r="FW89" i="139" s="1"/>
  <c r="EX37" i="139"/>
  <c r="EX64" i="139" s="1"/>
  <c r="FW90" i="139" s="1"/>
  <c r="EX40" i="139"/>
  <c r="EX67" i="139" s="1"/>
  <c r="FW93" i="139" s="1"/>
  <c r="EX33" i="139"/>
  <c r="EX60" i="139" s="1"/>
  <c r="FW86" i="139" s="1"/>
  <c r="EX41" i="139"/>
  <c r="EX68" i="139" s="1"/>
  <c r="FW94" i="139" s="1"/>
  <c r="EX31" i="139"/>
  <c r="EX58" i="139" s="1"/>
  <c r="FW84" i="139" s="1"/>
  <c r="EX35" i="139"/>
  <c r="EX62" i="139" s="1"/>
  <c r="FW88" i="139" s="1"/>
  <c r="EX32" i="139"/>
  <c r="EX59" i="139" s="1"/>
  <c r="FW85" i="139" s="1"/>
  <c r="EX38" i="139"/>
  <c r="EX65" i="139" s="1"/>
  <c r="FW91" i="139" s="1"/>
  <c r="EW30" i="139" l="1"/>
  <c r="EW57" i="139" s="1"/>
  <c r="FV83" i="139" s="1"/>
  <c r="EW34" i="139"/>
  <c r="EW61" i="139" s="1"/>
  <c r="FV87" i="139" s="1"/>
  <c r="EW41" i="139"/>
  <c r="EW68" i="139" s="1"/>
  <c r="FV94" i="139" s="1"/>
  <c r="EW39" i="139"/>
  <c r="EW66" i="139" s="1"/>
  <c r="FV92" i="139" s="1"/>
  <c r="EW38" i="139"/>
  <c r="EW65" i="139" s="1"/>
  <c r="FV91" i="139" s="1"/>
  <c r="EW40" i="139"/>
  <c r="EW67" i="139" s="1"/>
  <c r="FV93" i="139" s="1"/>
  <c r="EW36" i="139"/>
  <c r="EW63" i="139" s="1"/>
  <c r="FV89" i="139" s="1"/>
  <c r="EW33" i="139"/>
  <c r="EW60" i="139" s="1"/>
  <c r="FV86" i="139" s="1"/>
  <c r="EV28" i="139"/>
  <c r="EW31" i="139"/>
  <c r="EW58" i="139" s="1"/>
  <c r="FV84" i="139" s="1"/>
  <c r="EW32" i="139"/>
  <c r="EW59" i="139" s="1"/>
  <c r="FV85" i="139" s="1"/>
  <c r="EW35" i="139"/>
  <c r="EW62" i="139" s="1"/>
  <c r="FV88" i="139" s="1"/>
  <c r="EW37" i="139"/>
  <c r="EW64" i="139" s="1"/>
  <c r="FV90" i="139" s="1"/>
  <c r="EU28" i="139" l="1"/>
  <c r="EV35" i="139"/>
  <c r="EV62" i="139" s="1"/>
  <c r="FU88" i="139" s="1"/>
  <c r="EV41" i="139"/>
  <c r="EV68" i="139" s="1"/>
  <c r="FU94" i="139" s="1"/>
  <c r="EV37" i="139"/>
  <c r="EV64" i="139" s="1"/>
  <c r="FU90" i="139" s="1"/>
  <c r="EV32" i="139"/>
  <c r="EV59" i="139" s="1"/>
  <c r="FU85" i="139" s="1"/>
  <c r="EV30" i="139"/>
  <c r="EV57" i="139" s="1"/>
  <c r="FU83" i="139" s="1"/>
  <c r="EV34" i="139"/>
  <c r="EV61" i="139" s="1"/>
  <c r="FU87" i="139" s="1"/>
  <c r="EV31" i="139"/>
  <c r="EV58" i="139" s="1"/>
  <c r="FU84" i="139" s="1"/>
  <c r="EV40" i="139"/>
  <c r="EV67" i="139" s="1"/>
  <c r="FU93" i="139" s="1"/>
  <c r="EV38" i="139"/>
  <c r="EV65" i="139" s="1"/>
  <c r="FU91" i="139" s="1"/>
  <c r="EV39" i="139"/>
  <c r="EV66" i="139" s="1"/>
  <c r="FU92" i="139" s="1"/>
  <c r="EV36" i="139"/>
  <c r="EV63" i="139" s="1"/>
  <c r="FU89" i="139" s="1"/>
  <c r="EV33" i="139"/>
  <c r="EV60" i="139" s="1"/>
  <c r="FU86" i="139" s="1"/>
  <c r="EU32" i="139" l="1"/>
  <c r="EU59" i="139" s="1"/>
  <c r="FT85" i="139" s="1"/>
  <c r="EU34" i="139"/>
  <c r="EU61" i="139" s="1"/>
  <c r="FT87" i="139" s="1"/>
  <c r="EU30" i="139"/>
  <c r="EU57" i="139" s="1"/>
  <c r="FT83" i="139" s="1"/>
  <c r="EU39" i="139"/>
  <c r="EU66" i="139" s="1"/>
  <c r="FT92" i="139" s="1"/>
  <c r="EU40" i="139"/>
  <c r="EU67" i="139" s="1"/>
  <c r="FT93" i="139" s="1"/>
  <c r="EU35" i="139"/>
  <c r="EU62" i="139" s="1"/>
  <c r="FT88" i="139" s="1"/>
  <c r="EU38" i="139"/>
  <c r="EU65" i="139" s="1"/>
  <c r="FT91" i="139" s="1"/>
  <c r="EU33" i="139"/>
  <c r="EU60" i="139" s="1"/>
  <c r="FT86" i="139" s="1"/>
  <c r="EU37" i="139"/>
  <c r="EU64" i="139" s="1"/>
  <c r="FT90" i="139" s="1"/>
  <c r="EU41" i="139"/>
  <c r="EU68" i="139" s="1"/>
  <c r="FT94" i="139" s="1"/>
  <c r="EU31" i="139"/>
  <c r="EU58" i="139" s="1"/>
  <c r="FT84" i="139" s="1"/>
  <c r="ET28" i="139"/>
  <c r="EU36" i="139"/>
  <c r="EU63" i="139" s="1"/>
  <c r="FT89" i="139" s="1"/>
  <c r="ES28" i="139" l="1"/>
  <c r="ET40" i="139"/>
  <c r="ET67" i="139" s="1"/>
  <c r="FS93" i="139" s="1"/>
  <c r="ET35" i="139"/>
  <c r="ET62" i="139" s="1"/>
  <c r="FS88" i="139" s="1"/>
  <c r="ET30" i="139"/>
  <c r="ET57" i="139" s="1"/>
  <c r="FS83" i="139" s="1"/>
  <c r="ET41" i="139"/>
  <c r="ET68" i="139" s="1"/>
  <c r="FS94" i="139" s="1"/>
  <c r="ET36" i="139"/>
  <c r="ET63" i="139" s="1"/>
  <c r="FS89" i="139" s="1"/>
  <c r="ET38" i="139"/>
  <c r="ET65" i="139" s="1"/>
  <c r="FS91" i="139" s="1"/>
  <c r="ET31" i="139"/>
  <c r="ET58" i="139" s="1"/>
  <c r="FS84" i="139" s="1"/>
  <c r="ET37" i="139"/>
  <c r="ET64" i="139" s="1"/>
  <c r="FS90" i="139" s="1"/>
  <c r="ET33" i="139"/>
  <c r="ET60" i="139" s="1"/>
  <c r="FS86" i="139" s="1"/>
  <c r="ET34" i="139"/>
  <c r="ET61" i="139" s="1"/>
  <c r="FS87" i="139" s="1"/>
  <c r="ET39" i="139"/>
  <c r="ET66" i="139" s="1"/>
  <c r="FS92" i="139" s="1"/>
  <c r="ET32" i="139"/>
  <c r="ET59" i="139" s="1"/>
  <c r="FS85" i="139" s="1"/>
  <c r="ES41" i="139" l="1"/>
  <c r="ES68" i="139" s="1"/>
  <c r="FR94" i="139" s="1"/>
  <c r="ES32" i="139"/>
  <c r="ES59" i="139" s="1"/>
  <c r="FR85" i="139" s="1"/>
  <c r="ES30" i="139"/>
  <c r="ES57" i="139" s="1"/>
  <c r="FR83" i="139" s="1"/>
  <c r="ES31" i="139"/>
  <c r="ES58" i="139" s="1"/>
  <c r="FR84" i="139" s="1"/>
  <c r="ES39" i="139"/>
  <c r="ES66" i="139" s="1"/>
  <c r="FR92" i="139" s="1"/>
  <c r="ES37" i="139"/>
  <c r="ES64" i="139" s="1"/>
  <c r="FR90" i="139" s="1"/>
  <c r="ES33" i="139"/>
  <c r="ES60" i="139" s="1"/>
  <c r="FR86" i="139" s="1"/>
  <c r="ES35" i="139"/>
  <c r="ES62" i="139" s="1"/>
  <c r="FR88" i="139" s="1"/>
  <c r="ES38" i="139"/>
  <c r="ES65" i="139" s="1"/>
  <c r="FR91" i="139" s="1"/>
  <c r="ES34" i="139"/>
  <c r="ES61" i="139" s="1"/>
  <c r="FR87" i="139" s="1"/>
  <c r="ES36" i="139"/>
  <c r="ES63" i="139" s="1"/>
  <c r="FR89" i="139" s="1"/>
  <c r="ER28" i="139"/>
  <c r="ES40" i="139"/>
  <c r="ES67" i="139" s="1"/>
  <c r="FR93" i="139" s="1"/>
  <c r="ER31" i="139" l="1"/>
  <c r="ER58" i="139" s="1"/>
  <c r="FQ84" i="139" s="1"/>
  <c r="ER37" i="139"/>
  <c r="ER64" i="139" s="1"/>
  <c r="FQ90" i="139" s="1"/>
  <c r="ER39" i="139"/>
  <c r="ER66" i="139" s="1"/>
  <c r="FQ92" i="139" s="1"/>
  <c r="ER32" i="139"/>
  <c r="ER59" i="139" s="1"/>
  <c r="FQ85" i="139" s="1"/>
  <c r="ER36" i="139"/>
  <c r="ER63" i="139" s="1"/>
  <c r="FQ89" i="139" s="1"/>
  <c r="ER30" i="139"/>
  <c r="ER57" i="139" s="1"/>
  <c r="FQ83" i="139" s="1"/>
  <c r="ER40" i="139"/>
  <c r="ER67" i="139" s="1"/>
  <c r="FQ93" i="139" s="1"/>
  <c r="ER41" i="139"/>
  <c r="ER68" i="139" s="1"/>
  <c r="FQ94" i="139" s="1"/>
  <c r="ER35" i="139"/>
  <c r="ER62" i="139" s="1"/>
  <c r="FQ88" i="139" s="1"/>
  <c r="ER34" i="139"/>
  <c r="ER61" i="139" s="1"/>
  <c r="FQ87" i="139" s="1"/>
  <c r="ER33" i="139"/>
  <c r="ER60" i="139" s="1"/>
  <c r="FQ86" i="139" s="1"/>
  <c r="ER38" i="139"/>
  <c r="ER65" i="139" s="1"/>
  <c r="FQ91" i="139" s="1"/>
  <c r="EQ28" i="139"/>
  <c r="EQ40" i="139" l="1"/>
  <c r="EQ67" i="139" s="1"/>
  <c r="FP93" i="139" s="1"/>
  <c r="EQ36" i="139"/>
  <c r="EQ63" i="139" s="1"/>
  <c r="FP89" i="139" s="1"/>
  <c r="EQ39" i="139"/>
  <c r="EQ66" i="139" s="1"/>
  <c r="FP92" i="139" s="1"/>
  <c r="EQ34" i="139"/>
  <c r="EQ61" i="139" s="1"/>
  <c r="FP87" i="139" s="1"/>
  <c r="EQ30" i="139"/>
  <c r="EQ57" i="139" s="1"/>
  <c r="FP83" i="139" s="1"/>
  <c r="EQ31" i="139"/>
  <c r="EQ58" i="139" s="1"/>
  <c r="FP84" i="139" s="1"/>
  <c r="EQ37" i="139"/>
  <c r="EQ64" i="139" s="1"/>
  <c r="FP90" i="139" s="1"/>
  <c r="EP28" i="139"/>
  <c r="EQ41" i="139"/>
  <c r="EQ68" i="139" s="1"/>
  <c r="FP94" i="139" s="1"/>
  <c r="EQ32" i="139"/>
  <c r="EQ59" i="139" s="1"/>
  <c r="FP85" i="139" s="1"/>
  <c r="EQ38" i="139"/>
  <c r="EQ65" i="139" s="1"/>
  <c r="FP91" i="139" s="1"/>
  <c r="EQ33" i="139"/>
  <c r="EQ60" i="139" s="1"/>
  <c r="FP86" i="139" s="1"/>
  <c r="EQ35" i="139"/>
  <c r="EQ62" i="139" s="1"/>
  <c r="FP88" i="139" s="1"/>
  <c r="EP41" i="139" l="1"/>
  <c r="EP68" i="139" s="1"/>
  <c r="FO94" i="139" s="1"/>
  <c r="EP35" i="139"/>
  <c r="EP62" i="139" s="1"/>
  <c r="FO88" i="139" s="1"/>
  <c r="EP36" i="139"/>
  <c r="EP63" i="139" s="1"/>
  <c r="FO89" i="139" s="1"/>
  <c r="EO28" i="139"/>
  <c r="EP40" i="139"/>
  <c r="EP67" i="139" s="1"/>
  <c r="FO93" i="139" s="1"/>
  <c r="EP39" i="139"/>
  <c r="EP66" i="139" s="1"/>
  <c r="FO92" i="139" s="1"/>
  <c r="EP32" i="139"/>
  <c r="EP59" i="139" s="1"/>
  <c r="FO85" i="139" s="1"/>
  <c r="EP37" i="139"/>
  <c r="EP64" i="139" s="1"/>
  <c r="FO90" i="139" s="1"/>
  <c r="EP34" i="139"/>
  <c r="EP61" i="139" s="1"/>
  <c r="FO87" i="139" s="1"/>
  <c r="EP31" i="139"/>
  <c r="EP58" i="139" s="1"/>
  <c r="FO84" i="139" s="1"/>
  <c r="EP33" i="139"/>
  <c r="EP60" i="139" s="1"/>
  <c r="FO86" i="139" s="1"/>
  <c r="EP38" i="139"/>
  <c r="EP65" i="139" s="1"/>
  <c r="FO91" i="139" s="1"/>
  <c r="EP30" i="139"/>
  <c r="EP57" i="139" s="1"/>
  <c r="FO83" i="139" s="1"/>
  <c r="EO35" i="139" l="1"/>
  <c r="EO62" i="139" s="1"/>
  <c r="FN88" i="139" s="1"/>
  <c r="EO33" i="139"/>
  <c r="EO60" i="139" s="1"/>
  <c r="FN86" i="139" s="1"/>
  <c r="EN28" i="139"/>
  <c r="EO38" i="139"/>
  <c r="EO65" i="139" s="1"/>
  <c r="FN91" i="139" s="1"/>
  <c r="EO37" i="139"/>
  <c r="EO64" i="139" s="1"/>
  <c r="FN90" i="139" s="1"/>
  <c r="EO41" i="139"/>
  <c r="EO68" i="139" s="1"/>
  <c r="FN94" i="139" s="1"/>
  <c r="EO30" i="139"/>
  <c r="EO57" i="139" s="1"/>
  <c r="FN83" i="139" s="1"/>
  <c r="EO36" i="139"/>
  <c r="EO63" i="139" s="1"/>
  <c r="FN89" i="139" s="1"/>
  <c r="EO40" i="139"/>
  <c r="EO67" i="139" s="1"/>
  <c r="FN93" i="139" s="1"/>
  <c r="EO34" i="139"/>
  <c r="EO61" i="139" s="1"/>
  <c r="FN87" i="139" s="1"/>
  <c r="EO32" i="139"/>
  <c r="EO59" i="139" s="1"/>
  <c r="FN85" i="139" s="1"/>
  <c r="EO39" i="139"/>
  <c r="EO66" i="139" s="1"/>
  <c r="FN92" i="139" s="1"/>
  <c r="EO31" i="139"/>
  <c r="EO58" i="139" s="1"/>
  <c r="FN84" i="139" s="1"/>
  <c r="EN33" i="139" l="1"/>
  <c r="EN60" i="139" s="1"/>
  <c r="FM86" i="139" s="1"/>
  <c r="EN38" i="139"/>
  <c r="EN65" i="139" s="1"/>
  <c r="FM91" i="139" s="1"/>
  <c r="EN35" i="139"/>
  <c r="EN62" i="139" s="1"/>
  <c r="FM88" i="139" s="1"/>
  <c r="EN34" i="139"/>
  <c r="EN61" i="139" s="1"/>
  <c r="FM87" i="139" s="1"/>
  <c r="EN31" i="139"/>
  <c r="EN58" i="139" s="1"/>
  <c r="FM84" i="139" s="1"/>
  <c r="EN39" i="139"/>
  <c r="EN66" i="139" s="1"/>
  <c r="FM92" i="139" s="1"/>
  <c r="EN40" i="139"/>
  <c r="EN67" i="139" s="1"/>
  <c r="FM93" i="139" s="1"/>
  <c r="EN37" i="139"/>
  <c r="EN64" i="139" s="1"/>
  <c r="FM90" i="139" s="1"/>
  <c r="EN32" i="139"/>
  <c r="EN59" i="139" s="1"/>
  <c r="FM85" i="139" s="1"/>
  <c r="EN36" i="139"/>
  <c r="EN63" i="139" s="1"/>
  <c r="FM89" i="139" s="1"/>
  <c r="EN41" i="139"/>
  <c r="EN68" i="139" s="1"/>
  <c r="FM94" i="139" s="1"/>
  <c r="EN30" i="139"/>
  <c r="EN57" i="139" s="1"/>
  <c r="FM83" i="139" s="1"/>
  <c r="EM28" i="139"/>
  <c r="EM33" i="139" l="1"/>
  <c r="EM60" i="139" s="1"/>
  <c r="FL86" i="139" s="1"/>
  <c r="EM36" i="139"/>
  <c r="EM63" i="139" s="1"/>
  <c r="FL89" i="139" s="1"/>
  <c r="EM34" i="139"/>
  <c r="EM61" i="139" s="1"/>
  <c r="FL87" i="139" s="1"/>
  <c r="EM32" i="139"/>
  <c r="EM59" i="139" s="1"/>
  <c r="FL85" i="139" s="1"/>
  <c r="EM31" i="139"/>
  <c r="EM58" i="139" s="1"/>
  <c r="FL84" i="139" s="1"/>
  <c r="EM37" i="139"/>
  <c r="EM64" i="139" s="1"/>
  <c r="FL90" i="139" s="1"/>
  <c r="EM41" i="139"/>
  <c r="EM68" i="139" s="1"/>
  <c r="FL94" i="139" s="1"/>
  <c r="EM38" i="139"/>
  <c r="EM65" i="139" s="1"/>
  <c r="FL91" i="139" s="1"/>
  <c r="EM40" i="139"/>
  <c r="EM67" i="139" s="1"/>
  <c r="FL93" i="139" s="1"/>
  <c r="EM39" i="139"/>
  <c r="EM66" i="139" s="1"/>
  <c r="FL92" i="139" s="1"/>
  <c r="EM30" i="139"/>
  <c r="EM57" i="139" s="1"/>
  <c r="FL83" i="139" s="1"/>
  <c r="EL28" i="139"/>
  <c r="EM35" i="139"/>
  <c r="EM62" i="139" s="1"/>
  <c r="FL88" i="139" s="1"/>
  <c r="EL38" i="139" l="1"/>
  <c r="EL65" i="139" s="1"/>
  <c r="FK91" i="139" s="1"/>
  <c r="EL34" i="139"/>
  <c r="EL61" i="139" s="1"/>
  <c r="FK87" i="139" s="1"/>
  <c r="EL32" i="139"/>
  <c r="EL59" i="139" s="1"/>
  <c r="FK85" i="139" s="1"/>
  <c r="EL33" i="139"/>
  <c r="EL60" i="139" s="1"/>
  <c r="FK86" i="139" s="1"/>
  <c r="EL40" i="139"/>
  <c r="EL67" i="139" s="1"/>
  <c r="FK93" i="139" s="1"/>
  <c r="EL37" i="139"/>
  <c r="EL64" i="139" s="1"/>
  <c r="FK90" i="139" s="1"/>
  <c r="EK28" i="139"/>
  <c r="EL39" i="139"/>
  <c r="EL66" i="139" s="1"/>
  <c r="FK92" i="139" s="1"/>
  <c r="EL41" i="139"/>
  <c r="EL68" i="139" s="1"/>
  <c r="FK94" i="139" s="1"/>
  <c r="EL36" i="139"/>
  <c r="EL63" i="139" s="1"/>
  <c r="FK89" i="139" s="1"/>
  <c r="EL35" i="139"/>
  <c r="EL62" i="139" s="1"/>
  <c r="FK88" i="139" s="1"/>
  <c r="EL30" i="139"/>
  <c r="EL57" i="139" s="1"/>
  <c r="FK83" i="139" s="1"/>
  <c r="EL31" i="139"/>
  <c r="EL58" i="139" s="1"/>
  <c r="FK84" i="139" s="1"/>
  <c r="EK31" i="139" l="1"/>
  <c r="EK58" i="139" s="1"/>
  <c r="FJ84" i="139" s="1"/>
  <c r="EK30" i="139"/>
  <c r="EK57" i="139" s="1"/>
  <c r="FJ83" i="139" s="1"/>
  <c r="EK39" i="139"/>
  <c r="EK66" i="139" s="1"/>
  <c r="FJ92" i="139" s="1"/>
  <c r="EK32" i="139"/>
  <c r="EK59" i="139" s="1"/>
  <c r="FJ85" i="139" s="1"/>
  <c r="EK38" i="139"/>
  <c r="EK65" i="139" s="1"/>
  <c r="FJ91" i="139" s="1"/>
  <c r="EK37" i="139"/>
  <c r="EK64" i="139" s="1"/>
  <c r="FJ90" i="139" s="1"/>
  <c r="EK40" i="139"/>
  <c r="EK67" i="139" s="1"/>
  <c r="FJ93" i="139" s="1"/>
  <c r="EK33" i="139"/>
  <c r="EK60" i="139" s="1"/>
  <c r="FJ86" i="139" s="1"/>
  <c r="EK35" i="139"/>
  <c r="EK62" i="139" s="1"/>
  <c r="FJ88" i="139" s="1"/>
  <c r="EJ28" i="139"/>
  <c r="EK41" i="139"/>
  <c r="EK68" i="139" s="1"/>
  <c r="FJ94" i="139" s="1"/>
  <c r="EK34" i="139"/>
  <c r="EK61" i="139" s="1"/>
  <c r="FJ87" i="139" s="1"/>
  <c r="EK36" i="139"/>
  <c r="EK63" i="139" s="1"/>
  <c r="FJ89" i="139" s="1"/>
  <c r="EJ35" i="139" l="1"/>
  <c r="EJ62" i="139" s="1"/>
  <c r="FI88" i="139" s="1"/>
  <c r="EJ39" i="139"/>
  <c r="EJ66" i="139" s="1"/>
  <c r="FI92" i="139" s="1"/>
  <c r="EJ36" i="139"/>
  <c r="EJ63" i="139" s="1"/>
  <c r="FI89" i="139" s="1"/>
  <c r="EI28" i="139"/>
  <c r="EJ34" i="139"/>
  <c r="EJ61" i="139" s="1"/>
  <c r="FI87" i="139" s="1"/>
  <c r="EJ40" i="139"/>
  <c r="EJ67" i="139" s="1"/>
  <c r="FI93" i="139" s="1"/>
  <c r="EJ32" i="139"/>
  <c r="EJ59" i="139" s="1"/>
  <c r="FI85" i="139" s="1"/>
  <c r="EJ38" i="139"/>
  <c r="EJ65" i="139" s="1"/>
  <c r="FI91" i="139" s="1"/>
  <c r="EJ30" i="139"/>
  <c r="EJ57" i="139" s="1"/>
  <c r="FI83" i="139" s="1"/>
  <c r="EJ31" i="139"/>
  <c r="EJ58" i="139" s="1"/>
  <c r="FI84" i="139" s="1"/>
  <c r="EJ33" i="139"/>
  <c r="EJ60" i="139" s="1"/>
  <c r="FI86" i="139" s="1"/>
  <c r="EJ41" i="139"/>
  <c r="EJ68" i="139" s="1"/>
  <c r="FI94" i="139" s="1"/>
  <c r="EJ37" i="139"/>
  <c r="EJ64" i="139" s="1"/>
  <c r="FI90" i="139" s="1"/>
  <c r="EI31" i="139" l="1"/>
  <c r="EI58" i="139" s="1"/>
  <c r="FH84" i="139" s="1"/>
  <c r="EI38" i="139"/>
  <c r="EI65" i="139" s="1"/>
  <c r="FH91" i="139" s="1"/>
  <c r="EI30" i="139"/>
  <c r="EI57" i="139" s="1"/>
  <c r="FH83" i="139" s="1"/>
  <c r="EI36" i="139"/>
  <c r="EI63" i="139" s="1"/>
  <c r="FH89" i="139" s="1"/>
  <c r="EI34" i="139"/>
  <c r="EI61" i="139" s="1"/>
  <c r="FH87" i="139" s="1"/>
  <c r="EI39" i="139"/>
  <c r="EI66" i="139" s="1"/>
  <c r="FH92" i="139" s="1"/>
  <c r="EI33" i="139"/>
  <c r="EI60" i="139" s="1"/>
  <c r="FH86" i="139" s="1"/>
  <c r="EI40" i="139"/>
  <c r="EI67" i="139" s="1"/>
  <c r="FH93" i="139" s="1"/>
  <c r="EI37" i="139"/>
  <c r="EI64" i="139" s="1"/>
  <c r="FH90" i="139" s="1"/>
  <c r="EH28" i="139"/>
  <c r="EI41" i="139"/>
  <c r="EI68" i="139" s="1"/>
  <c r="FH94" i="139" s="1"/>
  <c r="EI32" i="139"/>
  <c r="EI59" i="139" s="1"/>
  <c r="FH85" i="139" s="1"/>
  <c r="EI35" i="139"/>
  <c r="EI62" i="139" s="1"/>
  <c r="FH88" i="139" s="1"/>
  <c r="EH35" i="139" l="1"/>
  <c r="EH62" i="139" s="1"/>
  <c r="FG88" i="139" s="1"/>
  <c r="EH39" i="139"/>
  <c r="EH66" i="139" s="1"/>
  <c r="FG92" i="139" s="1"/>
  <c r="EH36" i="139"/>
  <c r="EH63" i="139" s="1"/>
  <c r="FG89" i="139" s="1"/>
  <c r="EH40" i="139"/>
  <c r="EH67" i="139" s="1"/>
  <c r="FG93" i="139" s="1"/>
  <c r="EH34" i="139"/>
  <c r="EH61" i="139" s="1"/>
  <c r="FG87" i="139" s="1"/>
  <c r="EH38" i="139"/>
  <c r="EH65" i="139" s="1"/>
  <c r="FG91" i="139" s="1"/>
  <c r="EH32" i="139"/>
  <c r="EH59" i="139" s="1"/>
  <c r="FG85" i="139" s="1"/>
  <c r="EH31" i="139"/>
  <c r="EH58" i="139" s="1"/>
  <c r="FG84" i="139" s="1"/>
  <c r="EG28" i="139"/>
  <c r="EH41" i="139"/>
  <c r="EH68" i="139" s="1"/>
  <c r="FG94" i="139" s="1"/>
  <c r="EH33" i="139"/>
  <c r="EH60" i="139" s="1"/>
  <c r="FG86" i="139" s="1"/>
  <c r="EH30" i="139"/>
  <c r="EH57" i="139" s="1"/>
  <c r="FG83" i="139" s="1"/>
  <c r="EH37" i="139"/>
  <c r="EH64" i="139" s="1"/>
  <c r="FG90" i="139" s="1"/>
  <c r="EG35" i="139" l="1"/>
  <c r="EG62" i="139" s="1"/>
  <c r="FF88" i="139" s="1"/>
  <c r="EG33" i="139"/>
  <c r="EG60" i="139" s="1"/>
  <c r="FF86" i="139" s="1"/>
  <c r="EG37" i="139"/>
  <c r="EG64" i="139" s="1"/>
  <c r="FF90" i="139" s="1"/>
  <c r="EG32" i="139"/>
  <c r="EG59" i="139" s="1"/>
  <c r="FF85" i="139" s="1"/>
  <c r="EG36" i="139"/>
  <c r="EG63" i="139" s="1"/>
  <c r="FF89" i="139" s="1"/>
  <c r="EG31" i="139"/>
  <c r="EG58" i="139" s="1"/>
  <c r="FF84" i="139" s="1"/>
  <c r="EF28" i="139"/>
  <c r="EG34" i="139"/>
  <c r="EG61" i="139" s="1"/>
  <c r="FF87" i="139" s="1"/>
  <c r="EG38" i="139"/>
  <c r="EG65" i="139" s="1"/>
  <c r="FF91" i="139" s="1"/>
  <c r="EG40" i="139"/>
  <c r="EG67" i="139" s="1"/>
  <c r="FF93" i="139" s="1"/>
  <c r="EG41" i="139"/>
  <c r="EG68" i="139" s="1"/>
  <c r="FF94" i="139" s="1"/>
  <c r="EG39" i="139"/>
  <c r="EG66" i="139" s="1"/>
  <c r="FF92" i="139" s="1"/>
  <c r="EG30" i="139"/>
  <c r="EG57" i="139" s="1"/>
  <c r="FF83" i="139" s="1"/>
  <c r="EF33" i="139" l="1"/>
  <c r="EF60" i="139" s="1"/>
  <c r="FE86" i="139" s="1"/>
  <c r="EF34" i="139"/>
  <c r="EF61" i="139" s="1"/>
  <c r="FE87" i="139" s="1"/>
  <c r="EF30" i="139"/>
  <c r="EF57" i="139" s="1"/>
  <c r="FE83" i="139" s="1"/>
  <c r="EF32" i="139"/>
  <c r="EF59" i="139" s="1"/>
  <c r="FE85" i="139" s="1"/>
  <c r="EF41" i="139"/>
  <c r="EF68" i="139" s="1"/>
  <c r="FE94" i="139" s="1"/>
  <c r="EF39" i="139"/>
  <c r="EF66" i="139" s="1"/>
  <c r="FE92" i="139" s="1"/>
  <c r="EF36" i="139"/>
  <c r="EF63" i="139" s="1"/>
  <c r="FE89" i="139" s="1"/>
  <c r="EF35" i="139"/>
  <c r="EF62" i="139" s="1"/>
  <c r="FE88" i="139" s="1"/>
  <c r="EF37" i="139"/>
  <c r="EF64" i="139" s="1"/>
  <c r="FE90" i="139" s="1"/>
  <c r="EF40" i="139"/>
  <c r="EF67" i="139" s="1"/>
  <c r="FE93" i="139" s="1"/>
  <c r="EE28" i="139"/>
  <c r="EF38" i="139"/>
  <c r="EF65" i="139" s="1"/>
  <c r="FE91" i="139" s="1"/>
  <c r="EF31" i="139"/>
  <c r="EF58" i="139" s="1"/>
  <c r="FE84" i="139" s="1"/>
  <c r="EE34" i="139" l="1"/>
  <c r="EE61" i="139" s="1"/>
  <c r="FD87" i="139" s="1"/>
  <c r="EE35" i="139"/>
  <c r="EE62" i="139" s="1"/>
  <c r="FD88" i="139" s="1"/>
  <c r="EE32" i="139"/>
  <c r="EE59" i="139" s="1"/>
  <c r="FD85" i="139" s="1"/>
  <c r="EE33" i="139"/>
  <c r="EE60" i="139" s="1"/>
  <c r="FD86" i="139" s="1"/>
  <c r="EE36" i="139"/>
  <c r="EE63" i="139" s="1"/>
  <c r="FD89" i="139" s="1"/>
  <c r="EE38" i="139"/>
  <c r="EE65" i="139" s="1"/>
  <c r="FD91" i="139" s="1"/>
  <c r="EE37" i="139"/>
  <c r="EE64" i="139" s="1"/>
  <c r="FD90" i="139" s="1"/>
  <c r="EE40" i="139"/>
  <c r="EE67" i="139" s="1"/>
  <c r="FD93" i="139" s="1"/>
  <c r="EE39" i="139"/>
  <c r="EE66" i="139" s="1"/>
  <c r="FD92" i="139" s="1"/>
  <c r="EE30" i="139"/>
  <c r="EE57" i="139" s="1"/>
  <c r="FD83" i="139" s="1"/>
  <c r="EE41" i="139"/>
  <c r="EE68" i="139" s="1"/>
  <c r="FD94" i="139" s="1"/>
  <c r="EE31" i="139"/>
  <c r="EE58" i="139" s="1"/>
  <c r="FD84" i="139" s="1"/>
  <c r="ED28" i="139"/>
  <c r="EC28" i="139" l="1"/>
  <c r="ED38" i="139"/>
  <c r="ED65" i="139" s="1"/>
  <c r="FC91" i="139" s="1"/>
  <c r="ED36" i="139"/>
  <c r="ED63" i="139" s="1"/>
  <c r="FC89" i="139" s="1"/>
  <c r="ED41" i="139"/>
  <c r="ED68" i="139" s="1"/>
  <c r="FC94" i="139" s="1"/>
  <c r="ED37" i="139"/>
  <c r="ED64" i="139" s="1"/>
  <c r="FC90" i="139" s="1"/>
  <c r="ED31" i="139"/>
  <c r="ED58" i="139" s="1"/>
  <c r="FC84" i="139" s="1"/>
  <c r="ED40" i="139"/>
  <c r="ED67" i="139" s="1"/>
  <c r="FC93" i="139" s="1"/>
  <c r="ED33" i="139"/>
  <c r="ED60" i="139" s="1"/>
  <c r="FC86" i="139" s="1"/>
  <c r="ED34" i="139"/>
  <c r="ED61" i="139" s="1"/>
  <c r="FC87" i="139" s="1"/>
  <c r="ED32" i="139"/>
  <c r="ED59" i="139" s="1"/>
  <c r="FC85" i="139" s="1"/>
  <c r="ED39" i="139"/>
  <c r="ED66" i="139" s="1"/>
  <c r="FC92" i="139" s="1"/>
  <c r="ED30" i="139"/>
  <c r="ED57" i="139" s="1"/>
  <c r="FC83" i="139" s="1"/>
  <c r="ED35" i="139"/>
  <c r="ED62" i="139" s="1"/>
  <c r="FC88" i="139" s="1"/>
  <c r="EB28" i="139" l="1"/>
  <c r="EC35" i="139"/>
  <c r="EC62" i="139" s="1"/>
  <c r="FB88" i="139" s="1"/>
  <c r="EC31" i="139"/>
  <c r="EC58" i="139" s="1"/>
  <c r="FB84" i="139" s="1"/>
  <c r="EC39" i="139"/>
  <c r="EC66" i="139" s="1"/>
  <c r="FB92" i="139" s="1"/>
  <c r="EC33" i="139"/>
  <c r="EC60" i="139" s="1"/>
  <c r="FB86" i="139" s="1"/>
  <c r="EC37" i="139"/>
  <c r="EC64" i="139" s="1"/>
  <c r="FB90" i="139" s="1"/>
  <c r="EC41" i="139"/>
  <c r="EC68" i="139" s="1"/>
  <c r="FB94" i="139" s="1"/>
  <c r="EC40" i="139"/>
  <c r="EC67" i="139" s="1"/>
  <c r="FB93" i="139" s="1"/>
  <c r="EC30" i="139"/>
  <c r="EC57" i="139" s="1"/>
  <c r="FB83" i="139" s="1"/>
  <c r="EC34" i="139"/>
  <c r="EC61" i="139" s="1"/>
  <c r="FB87" i="139" s="1"/>
  <c r="EC38" i="139"/>
  <c r="EC65" i="139" s="1"/>
  <c r="FB91" i="139" s="1"/>
  <c r="EC32" i="139"/>
  <c r="EC59" i="139" s="1"/>
  <c r="FB85" i="139" s="1"/>
  <c r="EC36" i="139"/>
  <c r="EC63" i="139" s="1"/>
  <c r="FB89" i="139" s="1"/>
  <c r="EB32" i="139" l="1"/>
  <c r="EB59" i="139" s="1"/>
  <c r="FA85" i="139" s="1"/>
  <c r="EB30" i="139"/>
  <c r="EB57" i="139" s="1"/>
  <c r="FA83" i="139" s="1"/>
  <c r="EB41" i="139"/>
  <c r="EB68" i="139" s="1"/>
  <c r="FA94" i="139" s="1"/>
  <c r="EB36" i="139"/>
  <c r="EB63" i="139" s="1"/>
  <c r="FA89" i="139" s="1"/>
  <c r="EB38" i="139"/>
  <c r="EB65" i="139" s="1"/>
  <c r="FA91" i="139" s="1"/>
  <c r="EB34" i="139"/>
  <c r="EB61" i="139" s="1"/>
  <c r="FA87" i="139" s="1"/>
  <c r="EB39" i="139"/>
  <c r="EB66" i="139" s="1"/>
  <c r="FA92" i="139" s="1"/>
  <c r="EB31" i="139"/>
  <c r="EB58" i="139" s="1"/>
  <c r="FA84" i="139" s="1"/>
  <c r="EB33" i="139"/>
  <c r="EB60" i="139" s="1"/>
  <c r="FA86" i="139" s="1"/>
  <c r="EA28" i="139"/>
  <c r="EB37" i="139"/>
  <c r="EB64" i="139" s="1"/>
  <c r="FA90" i="139" s="1"/>
  <c r="EB35" i="139"/>
  <c r="EB62" i="139" s="1"/>
  <c r="FA88" i="139" s="1"/>
  <c r="EB40" i="139"/>
  <c r="EB67" i="139" s="1"/>
  <c r="FA93" i="139" s="1"/>
  <c r="EA38" i="139" l="1"/>
  <c r="EA65" i="139" s="1"/>
  <c r="EZ91" i="139" s="1"/>
  <c r="EA41" i="139"/>
  <c r="EA68" i="139" s="1"/>
  <c r="EZ94" i="139" s="1"/>
  <c r="EA39" i="139"/>
  <c r="EA66" i="139" s="1"/>
  <c r="EZ92" i="139" s="1"/>
  <c r="EA35" i="139"/>
  <c r="EA62" i="139" s="1"/>
  <c r="EZ88" i="139" s="1"/>
  <c r="DZ28" i="139"/>
  <c r="EA36" i="139"/>
  <c r="EA63" i="139" s="1"/>
  <c r="EZ89" i="139" s="1"/>
  <c r="EA37" i="139"/>
  <c r="EA64" i="139" s="1"/>
  <c r="EZ90" i="139" s="1"/>
  <c r="EA40" i="139"/>
  <c r="EA67" i="139" s="1"/>
  <c r="EZ93" i="139" s="1"/>
  <c r="EA32" i="139"/>
  <c r="EA59" i="139" s="1"/>
  <c r="EZ85" i="139" s="1"/>
  <c r="EA30" i="139"/>
  <c r="EA57" i="139" s="1"/>
  <c r="EZ83" i="139" s="1"/>
  <c r="EA33" i="139"/>
  <c r="EA60" i="139" s="1"/>
  <c r="EZ86" i="139" s="1"/>
  <c r="EA34" i="139"/>
  <c r="EA61" i="139" s="1"/>
  <c r="EZ87" i="139" s="1"/>
  <c r="EA31" i="139"/>
  <c r="EA58" i="139" s="1"/>
  <c r="EZ84" i="139" s="1"/>
  <c r="DZ34" i="139" l="1"/>
  <c r="DZ61" i="139" s="1"/>
  <c r="EY87" i="139" s="1"/>
  <c r="DZ37" i="139"/>
  <c r="DZ64" i="139" s="1"/>
  <c r="EY90" i="139" s="1"/>
  <c r="DZ41" i="139"/>
  <c r="DZ68" i="139" s="1"/>
  <c r="EY94" i="139" s="1"/>
  <c r="DZ32" i="139"/>
  <c r="DZ59" i="139" s="1"/>
  <c r="EY85" i="139" s="1"/>
  <c r="DZ39" i="139"/>
  <c r="DZ66" i="139" s="1"/>
  <c r="EY92" i="139" s="1"/>
  <c r="DY28" i="139"/>
  <c r="DZ33" i="139"/>
  <c r="DZ60" i="139" s="1"/>
  <c r="EY86" i="139" s="1"/>
  <c r="DZ31" i="139"/>
  <c r="DZ58" i="139" s="1"/>
  <c r="EY84" i="139" s="1"/>
  <c r="DZ30" i="139"/>
  <c r="DZ57" i="139" s="1"/>
  <c r="EY83" i="139" s="1"/>
  <c r="DZ35" i="139"/>
  <c r="DZ62" i="139" s="1"/>
  <c r="EY88" i="139" s="1"/>
  <c r="DZ38" i="139"/>
  <c r="DZ65" i="139" s="1"/>
  <c r="EY91" i="139" s="1"/>
  <c r="DZ36" i="139"/>
  <c r="DZ63" i="139" s="1"/>
  <c r="EY89" i="139" s="1"/>
  <c r="DZ40" i="139"/>
  <c r="DZ67" i="139" s="1"/>
  <c r="EY93" i="139" s="1"/>
  <c r="DY36" i="139" l="1"/>
  <c r="DY63" i="139" s="1"/>
  <c r="EX89" i="139" s="1"/>
  <c r="DY38" i="139"/>
  <c r="DY65" i="139" s="1"/>
  <c r="EX91" i="139" s="1"/>
  <c r="DY34" i="139"/>
  <c r="DY61" i="139" s="1"/>
  <c r="EX87" i="139" s="1"/>
  <c r="DY31" i="139"/>
  <c r="DY58" i="139" s="1"/>
  <c r="EX84" i="139" s="1"/>
  <c r="DX28" i="139"/>
  <c r="DY37" i="139"/>
  <c r="DY64" i="139" s="1"/>
  <c r="EX90" i="139" s="1"/>
  <c r="DY32" i="139"/>
  <c r="DY59" i="139" s="1"/>
  <c r="EX85" i="139" s="1"/>
  <c r="DY39" i="139"/>
  <c r="DY66" i="139" s="1"/>
  <c r="EX92" i="139" s="1"/>
  <c r="DY33" i="139"/>
  <c r="DY60" i="139" s="1"/>
  <c r="EX86" i="139" s="1"/>
  <c r="DY30" i="139"/>
  <c r="DY57" i="139" s="1"/>
  <c r="EX83" i="139" s="1"/>
  <c r="DY35" i="139"/>
  <c r="DY62" i="139" s="1"/>
  <c r="EX88" i="139" s="1"/>
  <c r="DY40" i="139"/>
  <c r="DY67" i="139" s="1"/>
  <c r="EX93" i="139" s="1"/>
  <c r="DY41" i="139"/>
  <c r="DY68" i="139" s="1"/>
  <c r="EX94" i="139" s="1"/>
  <c r="DX31" i="139" l="1"/>
  <c r="DX58" i="139" s="1"/>
  <c r="EW84" i="139" s="1"/>
  <c r="DX36" i="139"/>
  <c r="DX63" i="139" s="1"/>
  <c r="EW89" i="139" s="1"/>
  <c r="DX33" i="139"/>
  <c r="DX60" i="139" s="1"/>
  <c r="EW86" i="139" s="1"/>
  <c r="DX34" i="139"/>
  <c r="DX61" i="139" s="1"/>
  <c r="EW87" i="139" s="1"/>
  <c r="DX39" i="139"/>
  <c r="DX66" i="139" s="1"/>
  <c r="EW92" i="139" s="1"/>
  <c r="DX37" i="139"/>
  <c r="DX64" i="139" s="1"/>
  <c r="EW90" i="139" s="1"/>
  <c r="DW28" i="139"/>
  <c r="DX38" i="139"/>
  <c r="DX65" i="139" s="1"/>
  <c r="EW91" i="139" s="1"/>
  <c r="DX41" i="139"/>
  <c r="DX68" i="139" s="1"/>
  <c r="EW94" i="139" s="1"/>
  <c r="DX40" i="139"/>
  <c r="DX67" i="139" s="1"/>
  <c r="EW93" i="139" s="1"/>
  <c r="DX35" i="139"/>
  <c r="DX62" i="139" s="1"/>
  <c r="EW88" i="139" s="1"/>
  <c r="DX32" i="139"/>
  <c r="DX59" i="139" s="1"/>
  <c r="EW85" i="139" s="1"/>
  <c r="DX30" i="139"/>
  <c r="DX57" i="139" s="1"/>
  <c r="EW83" i="139" s="1"/>
  <c r="DW32" i="139" l="1"/>
  <c r="DW59" i="139" s="1"/>
  <c r="EV85" i="139" s="1"/>
  <c r="DW33" i="139"/>
  <c r="DW60" i="139" s="1"/>
  <c r="EV86" i="139" s="1"/>
  <c r="DW35" i="139"/>
  <c r="DW62" i="139" s="1"/>
  <c r="EV88" i="139" s="1"/>
  <c r="DW31" i="139"/>
  <c r="DW58" i="139" s="1"/>
  <c r="EV84" i="139" s="1"/>
  <c r="DW39" i="139"/>
  <c r="DW66" i="139" s="1"/>
  <c r="EV92" i="139" s="1"/>
  <c r="DW41" i="139"/>
  <c r="DW68" i="139" s="1"/>
  <c r="EV94" i="139" s="1"/>
  <c r="DW34" i="139"/>
  <c r="DW61" i="139" s="1"/>
  <c r="EV87" i="139" s="1"/>
  <c r="DW36" i="139"/>
  <c r="DW63" i="139" s="1"/>
  <c r="EV89" i="139" s="1"/>
  <c r="DW37" i="139"/>
  <c r="DW64" i="139" s="1"/>
  <c r="EV90" i="139" s="1"/>
  <c r="DW40" i="139"/>
  <c r="DW67" i="139" s="1"/>
  <c r="EV93" i="139" s="1"/>
  <c r="DW30" i="139"/>
  <c r="DW57" i="139" s="1"/>
  <c r="EV83" i="139" s="1"/>
  <c r="DW38" i="139"/>
  <c r="DW65" i="139" s="1"/>
  <c r="EV91" i="139" s="1"/>
  <c r="DV28" i="139"/>
  <c r="DV36" i="139" l="1"/>
  <c r="DV63" i="139" s="1"/>
  <c r="EU89" i="139" s="1"/>
  <c r="DV34" i="139"/>
  <c r="DV61" i="139" s="1"/>
  <c r="EU87" i="139" s="1"/>
  <c r="DV31" i="139"/>
  <c r="DV58" i="139" s="1"/>
  <c r="EU84" i="139" s="1"/>
  <c r="DV37" i="139"/>
  <c r="DV64" i="139" s="1"/>
  <c r="EU90" i="139" s="1"/>
  <c r="DV41" i="139"/>
  <c r="DV68" i="139" s="1"/>
  <c r="EU94" i="139" s="1"/>
  <c r="DV35" i="139"/>
  <c r="DV62" i="139" s="1"/>
  <c r="EU88" i="139" s="1"/>
  <c r="DV39" i="139"/>
  <c r="DV66" i="139" s="1"/>
  <c r="EU92" i="139" s="1"/>
  <c r="DV32" i="139"/>
  <c r="DV59" i="139" s="1"/>
  <c r="EU85" i="139" s="1"/>
  <c r="DV30" i="139"/>
  <c r="DV57" i="139" s="1"/>
  <c r="EU83" i="139" s="1"/>
  <c r="DU28" i="139"/>
  <c r="DV33" i="139"/>
  <c r="DV60" i="139" s="1"/>
  <c r="EU86" i="139" s="1"/>
  <c r="DV40" i="139"/>
  <c r="DV67" i="139" s="1"/>
  <c r="EU93" i="139" s="1"/>
  <c r="DV38" i="139"/>
  <c r="DV65" i="139" s="1"/>
  <c r="EU91" i="139" s="1"/>
  <c r="DU31" i="139" l="1"/>
  <c r="DU58" i="139" s="1"/>
  <c r="ET84" i="139" s="1"/>
  <c r="DU30" i="139"/>
  <c r="DU57" i="139" s="1"/>
  <c r="ET83" i="139" s="1"/>
  <c r="DU41" i="139"/>
  <c r="DU68" i="139" s="1"/>
  <c r="ET94" i="139" s="1"/>
  <c r="DU37" i="139"/>
  <c r="DU64" i="139" s="1"/>
  <c r="ET90" i="139" s="1"/>
  <c r="DU32" i="139"/>
  <c r="DU59" i="139" s="1"/>
  <c r="ET85" i="139" s="1"/>
  <c r="DT28" i="139"/>
  <c r="DU38" i="139"/>
  <c r="DU65" i="139" s="1"/>
  <c r="ET91" i="139" s="1"/>
  <c r="DU33" i="139"/>
  <c r="DU60" i="139" s="1"/>
  <c r="ET86" i="139" s="1"/>
  <c r="DU34" i="139"/>
  <c r="DU61" i="139" s="1"/>
  <c r="ET87" i="139" s="1"/>
  <c r="DU40" i="139"/>
  <c r="DU67" i="139" s="1"/>
  <c r="ET93" i="139" s="1"/>
  <c r="DU39" i="139"/>
  <c r="DU66" i="139" s="1"/>
  <c r="ET92" i="139" s="1"/>
  <c r="DU35" i="139"/>
  <c r="DU62" i="139" s="1"/>
  <c r="ET88" i="139" s="1"/>
  <c r="DU36" i="139"/>
  <c r="DU63" i="139" s="1"/>
  <c r="ET89" i="139" s="1"/>
  <c r="DT35" i="139" l="1"/>
  <c r="DT62" i="139" s="1"/>
  <c r="ES88" i="139" s="1"/>
  <c r="DT40" i="139"/>
  <c r="DT67" i="139" s="1"/>
  <c r="ES93" i="139" s="1"/>
  <c r="DT41" i="139"/>
  <c r="DT68" i="139" s="1"/>
  <c r="ES94" i="139" s="1"/>
  <c r="DT36" i="139"/>
  <c r="DT63" i="139" s="1"/>
  <c r="ES89" i="139" s="1"/>
  <c r="DS28" i="139"/>
  <c r="DT32" i="139"/>
  <c r="DT59" i="139" s="1"/>
  <c r="ES85" i="139" s="1"/>
  <c r="DT37" i="139"/>
  <c r="DT64" i="139" s="1"/>
  <c r="ES90" i="139" s="1"/>
  <c r="DT33" i="139"/>
  <c r="DT60" i="139" s="1"/>
  <c r="ES86" i="139" s="1"/>
  <c r="DT31" i="139"/>
  <c r="DT58" i="139" s="1"/>
  <c r="ES84" i="139" s="1"/>
  <c r="DT34" i="139"/>
  <c r="DT61" i="139" s="1"/>
  <c r="ES87" i="139" s="1"/>
  <c r="DT38" i="139"/>
  <c r="DT65" i="139" s="1"/>
  <c r="ES91" i="139" s="1"/>
  <c r="DT39" i="139"/>
  <c r="DT66" i="139" s="1"/>
  <c r="ES92" i="139" s="1"/>
  <c r="DT30" i="139"/>
  <c r="DT57" i="139" s="1"/>
  <c r="ES83" i="139" s="1"/>
  <c r="DS34" i="139" l="1"/>
  <c r="DS61" i="139" s="1"/>
  <c r="ER87" i="139" s="1"/>
  <c r="DS38" i="139"/>
  <c r="DS65" i="139" s="1"/>
  <c r="ER91" i="139" s="1"/>
  <c r="DS40" i="139"/>
  <c r="DS67" i="139" s="1"/>
  <c r="ER93" i="139" s="1"/>
  <c r="DS30" i="139"/>
  <c r="DS57" i="139" s="1"/>
  <c r="ER83" i="139" s="1"/>
  <c r="DS36" i="139"/>
  <c r="DS63" i="139" s="1"/>
  <c r="ER89" i="139" s="1"/>
  <c r="DS31" i="139"/>
  <c r="DS58" i="139" s="1"/>
  <c r="ER84" i="139" s="1"/>
  <c r="DS33" i="139"/>
  <c r="DS60" i="139" s="1"/>
  <c r="ER86" i="139" s="1"/>
  <c r="DR28" i="139"/>
  <c r="DS37" i="139"/>
  <c r="DS64" i="139" s="1"/>
  <c r="ER90" i="139" s="1"/>
  <c r="DS41" i="139"/>
  <c r="DS68" i="139" s="1"/>
  <c r="ER94" i="139" s="1"/>
  <c r="DS35" i="139"/>
  <c r="DS62" i="139" s="1"/>
  <c r="ER88" i="139" s="1"/>
  <c r="DS32" i="139"/>
  <c r="DS59" i="139" s="1"/>
  <c r="ER85" i="139" s="1"/>
  <c r="DS39" i="139"/>
  <c r="DS66" i="139" s="1"/>
  <c r="ER92" i="139" s="1"/>
  <c r="DR35" i="139" l="1"/>
  <c r="DR62" i="139" s="1"/>
  <c r="EQ88" i="139" s="1"/>
  <c r="DR41" i="139"/>
  <c r="DR68" i="139" s="1"/>
  <c r="EQ94" i="139" s="1"/>
  <c r="DR32" i="139"/>
  <c r="DR59" i="139" s="1"/>
  <c r="EQ85" i="139" s="1"/>
  <c r="DR39" i="139"/>
  <c r="DR66" i="139" s="1"/>
  <c r="EQ92" i="139" s="1"/>
  <c r="DR37" i="139"/>
  <c r="DR64" i="139" s="1"/>
  <c r="EQ90" i="139" s="1"/>
  <c r="DR38" i="139"/>
  <c r="DR65" i="139" s="1"/>
  <c r="EQ91" i="139" s="1"/>
  <c r="DR36" i="139"/>
  <c r="DR63" i="139" s="1"/>
  <c r="EQ89" i="139" s="1"/>
  <c r="DR31" i="139"/>
  <c r="DR58" i="139" s="1"/>
  <c r="EQ84" i="139" s="1"/>
  <c r="DR33" i="139"/>
  <c r="DR60" i="139" s="1"/>
  <c r="EQ86" i="139" s="1"/>
  <c r="DR30" i="139"/>
  <c r="DR57" i="139" s="1"/>
  <c r="EQ83" i="139" s="1"/>
  <c r="DR34" i="139"/>
  <c r="DR61" i="139" s="1"/>
  <c r="EQ87" i="139" s="1"/>
  <c r="DR40" i="139"/>
  <c r="DR67" i="139" s="1"/>
  <c r="EQ93" i="139" s="1"/>
  <c r="DQ28" i="139"/>
  <c r="DQ33" i="139" l="1"/>
  <c r="DQ60" i="139" s="1"/>
  <c r="EP86" i="139" s="1"/>
  <c r="DQ38" i="139"/>
  <c r="DQ65" i="139" s="1"/>
  <c r="EP91" i="139" s="1"/>
  <c r="DQ36" i="139"/>
  <c r="DQ63" i="139" s="1"/>
  <c r="EP89" i="139" s="1"/>
  <c r="DQ32" i="139"/>
  <c r="DQ59" i="139" s="1"/>
  <c r="EP85" i="139" s="1"/>
  <c r="DQ41" i="139"/>
  <c r="DQ68" i="139" s="1"/>
  <c r="EP94" i="139" s="1"/>
  <c r="DQ35" i="139"/>
  <c r="DQ62" i="139" s="1"/>
  <c r="EP88" i="139" s="1"/>
  <c r="DQ37" i="139"/>
  <c r="DQ64" i="139" s="1"/>
  <c r="EP90" i="139" s="1"/>
  <c r="DP28" i="139"/>
  <c r="DQ39" i="139"/>
  <c r="DQ66" i="139" s="1"/>
  <c r="EP92" i="139" s="1"/>
  <c r="DQ34" i="139"/>
  <c r="DQ61" i="139" s="1"/>
  <c r="EP87" i="139" s="1"/>
  <c r="DQ31" i="139"/>
  <c r="DQ58" i="139" s="1"/>
  <c r="EP84" i="139" s="1"/>
  <c r="DQ30" i="139"/>
  <c r="DQ57" i="139" s="1"/>
  <c r="EP83" i="139" s="1"/>
  <c r="DQ40" i="139"/>
  <c r="DQ67" i="139" s="1"/>
  <c r="EP93" i="139" s="1"/>
  <c r="DP39" i="139" l="1"/>
  <c r="DP66" i="139" s="1"/>
  <c r="EO92" i="139" s="1"/>
  <c r="DP33" i="139"/>
  <c r="DP60" i="139" s="1"/>
  <c r="EO86" i="139" s="1"/>
  <c r="DP32" i="139"/>
  <c r="DP59" i="139" s="1"/>
  <c r="EO85" i="139" s="1"/>
  <c r="DP36" i="139"/>
  <c r="DP63" i="139" s="1"/>
  <c r="EO89" i="139" s="1"/>
  <c r="DP35" i="139"/>
  <c r="DP62" i="139" s="1"/>
  <c r="EO88" i="139" s="1"/>
  <c r="DP40" i="139"/>
  <c r="DP67" i="139" s="1"/>
  <c r="EO93" i="139" s="1"/>
  <c r="DP34" i="139"/>
  <c r="DP61" i="139" s="1"/>
  <c r="EO87" i="139" s="1"/>
  <c r="DO28" i="139"/>
  <c r="DP31" i="139"/>
  <c r="DP58" i="139" s="1"/>
  <c r="EO84" i="139" s="1"/>
  <c r="DP38" i="139"/>
  <c r="DP65" i="139" s="1"/>
  <c r="EO91" i="139" s="1"/>
  <c r="DP41" i="139"/>
  <c r="DP68" i="139" s="1"/>
  <c r="EO94" i="139" s="1"/>
  <c r="DP30" i="139"/>
  <c r="DP57" i="139" s="1"/>
  <c r="EO83" i="139" s="1"/>
  <c r="DP37" i="139"/>
  <c r="DP64" i="139" s="1"/>
  <c r="EO90" i="139" s="1"/>
  <c r="DO36" i="139" l="1"/>
  <c r="DO63" i="139" s="1"/>
  <c r="EN89" i="139" s="1"/>
  <c r="DO41" i="139"/>
  <c r="DO68" i="139" s="1"/>
  <c r="EN94" i="139" s="1"/>
  <c r="DO39" i="139"/>
  <c r="DO66" i="139" s="1"/>
  <c r="EN92" i="139" s="1"/>
  <c r="DO38" i="139"/>
  <c r="DO65" i="139" s="1"/>
  <c r="EN91" i="139" s="1"/>
  <c r="DO32" i="139"/>
  <c r="DO59" i="139" s="1"/>
  <c r="EN85" i="139" s="1"/>
  <c r="DO37" i="139"/>
  <c r="DO64" i="139" s="1"/>
  <c r="EN90" i="139" s="1"/>
  <c r="DO40" i="139"/>
  <c r="DO67" i="139" s="1"/>
  <c r="EN93" i="139" s="1"/>
  <c r="DO35" i="139"/>
  <c r="DO62" i="139" s="1"/>
  <c r="EN88" i="139" s="1"/>
  <c r="DN28" i="139"/>
  <c r="DO34" i="139"/>
  <c r="DO61" i="139" s="1"/>
  <c r="EN87" i="139" s="1"/>
  <c r="DO30" i="139"/>
  <c r="DO57" i="139" s="1"/>
  <c r="EN83" i="139" s="1"/>
  <c r="DO31" i="139"/>
  <c r="DO58" i="139" s="1"/>
  <c r="EN84" i="139" s="1"/>
  <c r="DO33" i="139"/>
  <c r="DO60" i="139" s="1"/>
  <c r="EN86" i="139" s="1"/>
  <c r="DN34" i="139" l="1"/>
  <c r="DN61" i="139" s="1"/>
  <c r="EM87" i="139" s="1"/>
  <c r="DM28" i="139"/>
  <c r="DN33" i="139"/>
  <c r="DN60" i="139" s="1"/>
  <c r="EM86" i="139" s="1"/>
  <c r="DN36" i="139"/>
  <c r="DN63" i="139" s="1"/>
  <c r="EM89" i="139" s="1"/>
  <c r="DN32" i="139"/>
  <c r="DN59" i="139" s="1"/>
  <c r="EM85" i="139" s="1"/>
  <c r="DN40" i="139"/>
  <c r="DN67" i="139" s="1"/>
  <c r="EM93" i="139" s="1"/>
  <c r="DN35" i="139"/>
  <c r="DN62" i="139" s="1"/>
  <c r="EM88" i="139" s="1"/>
  <c r="DN39" i="139"/>
  <c r="DN66" i="139" s="1"/>
  <c r="EM92" i="139" s="1"/>
  <c r="DN37" i="139"/>
  <c r="DN64" i="139" s="1"/>
  <c r="EM90" i="139" s="1"/>
  <c r="DN30" i="139"/>
  <c r="DN57" i="139" s="1"/>
  <c r="EM83" i="139" s="1"/>
  <c r="DN38" i="139"/>
  <c r="DN65" i="139" s="1"/>
  <c r="EM91" i="139" s="1"/>
  <c r="DN41" i="139"/>
  <c r="DN68" i="139" s="1"/>
  <c r="EM94" i="139" s="1"/>
  <c r="DN31" i="139"/>
  <c r="DN58" i="139" s="1"/>
  <c r="EM84" i="139" s="1"/>
  <c r="DM40" i="139" l="1"/>
  <c r="DM67" i="139" s="1"/>
  <c r="EL93" i="139" s="1"/>
  <c r="DM41" i="139"/>
  <c r="DM68" i="139" s="1"/>
  <c r="EL94" i="139" s="1"/>
  <c r="DM33" i="139"/>
  <c r="DM60" i="139" s="1"/>
  <c r="EL86" i="139" s="1"/>
  <c r="DM39" i="139"/>
  <c r="DM66" i="139" s="1"/>
  <c r="EL92" i="139" s="1"/>
  <c r="DM37" i="139"/>
  <c r="DM64" i="139" s="1"/>
  <c r="EL90" i="139" s="1"/>
  <c r="DM35" i="139"/>
  <c r="DM62" i="139" s="1"/>
  <c r="EL88" i="139" s="1"/>
  <c r="DM30" i="139"/>
  <c r="DM57" i="139" s="1"/>
  <c r="EL83" i="139" s="1"/>
  <c r="DM38" i="139"/>
  <c r="DM65" i="139" s="1"/>
  <c r="EL91" i="139" s="1"/>
  <c r="DM32" i="139"/>
  <c r="DM59" i="139" s="1"/>
  <c r="EL85" i="139" s="1"/>
  <c r="DM34" i="139"/>
  <c r="DM61" i="139" s="1"/>
  <c r="EL87" i="139" s="1"/>
  <c r="DM36" i="139"/>
  <c r="DM63" i="139" s="1"/>
  <c r="EL89" i="139" s="1"/>
  <c r="DM31" i="139"/>
  <c r="DM58" i="139" s="1"/>
  <c r="EL84" i="139" s="1"/>
  <c r="DL28" i="139"/>
  <c r="DL35" i="139" l="1"/>
  <c r="DL62" i="139" s="1"/>
  <c r="EK88" i="139" s="1"/>
  <c r="DL31" i="139"/>
  <c r="DL58" i="139" s="1"/>
  <c r="EK84" i="139" s="1"/>
  <c r="DL40" i="139"/>
  <c r="DL67" i="139" s="1"/>
  <c r="EK93" i="139" s="1"/>
  <c r="DL39" i="139"/>
  <c r="DL66" i="139" s="1"/>
  <c r="EK92" i="139" s="1"/>
  <c r="DL36" i="139"/>
  <c r="DL63" i="139" s="1"/>
  <c r="EK89" i="139" s="1"/>
  <c r="DL32" i="139"/>
  <c r="DL59" i="139" s="1"/>
  <c r="EK85" i="139" s="1"/>
  <c r="DL38" i="139"/>
  <c r="DL65" i="139" s="1"/>
  <c r="EK91" i="139" s="1"/>
  <c r="DK28" i="139"/>
  <c r="DL30" i="139"/>
  <c r="DL57" i="139" s="1"/>
  <c r="EK83" i="139" s="1"/>
  <c r="DL33" i="139"/>
  <c r="DL60" i="139" s="1"/>
  <c r="EK86" i="139" s="1"/>
  <c r="DL41" i="139"/>
  <c r="DL68" i="139" s="1"/>
  <c r="EK94" i="139" s="1"/>
  <c r="DL34" i="139"/>
  <c r="DL61" i="139" s="1"/>
  <c r="EK87" i="139" s="1"/>
  <c r="DL37" i="139"/>
  <c r="DL64" i="139" s="1"/>
  <c r="EK90" i="139" s="1"/>
  <c r="DK38" i="139" l="1"/>
  <c r="DK65" i="139" s="1"/>
  <c r="EJ91" i="139" s="1"/>
  <c r="DK34" i="139"/>
  <c r="DK61" i="139" s="1"/>
  <c r="EJ87" i="139" s="1"/>
  <c r="DK33" i="139"/>
  <c r="DK60" i="139" s="1"/>
  <c r="EJ86" i="139" s="1"/>
  <c r="DK40" i="139"/>
  <c r="DK67" i="139" s="1"/>
  <c r="EJ93" i="139" s="1"/>
  <c r="DK35" i="139"/>
  <c r="DK62" i="139" s="1"/>
  <c r="EJ88" i="139" s="1"/>
  <c r="DJ28" i="139"/>
  <c r="DK37" i="139"/>
  <c r="DK64" i="139" s="1"/>
  <c r="EJ90" i="139" s="1"/>
  <c r="DK36" i="139"/>
  <c r="DK63" i="139" s="1"/>
  <c r="EJ89" i="139" s="1"/>
  <c r="DK39" i="139"/>
  <c r="DK66" i="139" s="1"/>
  <c r="EJ92" i="139" s="1"/>
  <c r="DK30" i="139"/>
  <c r="DK57" i="139" s="1"/>
  <c r="EJ83" i="139" s="1"/>
  <c r="DK32" i="139"/>
  <c r="DK59" i="139" s="1"/>
  <c r="EJ85" i="139" s="1"/>
  <c r="DK41" i="139"/>
  <c r="DK68" i="139" s="1"/>
  <c r="EJ94" i="139" s="1"/>
  <c r="DK31" i="139"/>
  <c r="DK58" i="139" s="1"/>
  <c r="EJ84" i="139" s="1"/>
  <c r="DJ30" i="139" l="1"/>
  <c r="DJ57" i="139" s="1"/>
  <c r="EI83" i="139" s="1"/>
  <c r="DJ35" i="139"/>
  <c r="DJ62" i="139" s="1"/>
  <c r="EI88" i="139" s="1"/>
  <c r="DJ36" i="139"/>
  <c r="DJ63" i="139" s="1"/>
  <c r="EI89" i="139" s="1"/>
  <c r="DI28" i="139"/>
  <c r="DJ34" i="139"/>
  <c r="DJ61" i="139" s="1"/>
  <c r="EI87" i="139" s="1"/>
  <c r="DJ40" i="139"/>
  <c r="DJ67" i="139" s="1"/>
  <c r="EI93" i="139" s="1"/>
  <c r="DJ38" i="139"/>
  <c r="DJ65" i="139" s="1"/>
  <c r="EI91" i="139" s="1"/>
  <c r="DJ39" i="139"/>
  <c r="DJ66" i="139" s="1"/>
  <c r="EI92" i="139" s="1"/>
  <c r="DJ32" i="139"/>
  <c r="DJ59" i="139" s="1"/>
  <c r="EI85" i="139" s="1"/>
  <c r="DJ37" i="139"/>
  <c r="DJ64" i="139" s="1"/>
  <c r="EI90" i="139" s="1"/>
  <c r="DJ33" i="139"/>
  <c r="DJ60" i="139" s="1"/>
  <c r="EI86" i="139" s="1"/>
  <c r="DJ31" i="139"/>
  <c r="DJ58" i="139" s="1"/>
  <c r="EI84" i="139" s="1"/>
  <c r="DJ41" i="139"/>
  <c r="DJ68" i="139" s="1"/>
  <c r="EI94" i="139" s="1"/>
  <c r="DI38" i="139" l="1"/>
  <c r="DI65" i="139" s="1"/>
  <c r="EH91" i="139" s="1"/>
  <c r="DI35" i="139"/>
  <c r="DI62" i="139" s="1"/>
  <c r="EH88" i="139" s="1"/>
  <c r="DH28" i="139"/>
  <c r="DI39" i="139"/>
  <c r="DI66" i="139" s="1"/>
  <c r="EH92" i="139" s="1"/>
  <c r="DI30" i="139"/>
  <c r="DI57" i="139" s="1"/>
  <c r="EH83" i="139" s="1"/>
  <c r="DI41" i="139"/>
  <c r="DI68" i="139" s="1"/>
  <c r="EH94" i="139" s="1"/>
  <c r="DI32" i="139"/>
  <c r="DI59" i="139" s="1"/>
  <c r="EH85" i="139" s="1"/>
  <c r="DI37" i="139"/>
  <c r="DI64" i="139" s="1"/>
  <c r="EH90" i="139" s="1"/>
  <c r="DI33" i="139"/>
  <c r="DI60" i="139" s="1"/>
  <c r="EH86" i="139" s="1"/>
  <c r="DI34" i="139"/>
  <c r="DI61" i="139" s="1"/>
  <c r="EH87" i="139" s="1"/>
  <c r="DI40" i="139"/>
  <c r="DI67" i="139" s="1"/>
  <c r="EH93" i="139" s="1"/>
  <c r="DI36" i="139"/>
  <c r="DI63" i="139" s="1"/>
  <c r="EH89" i="139" s="1"/>
  <c r="DI31" i="139"/>
  <c r="DI58" i="139" s="1"/>
  <c r="EH84" i="139" s="1"/>
  <c r="DH40" i="139" l="1"/>
  <c r="DH67" i="139" s="1"/>
  <c r="EG93" i="139" s="1"/>
  <c r="DH41" i="139"/>
  <c r="DH68" i="139" s="1"/>
  <c r="EG94" i="139" s="1"/>
  <c r="DH38" i="139"/>
  <c r="DH65" i="139" s="1"/>
  <c r="EG91" i="139" s="1"/>
  <c r="DH39" i="139"/>
  <c r="DH66" i="139" s="1"/>
  <c r="EG92" i="139" s="1"/>
  <c r="DH30" i="139"/>
  <c r="DH57" i="139" s="1"/>
  <c r="EG83" i="139" s="1"/>
  <c r="DH35" i="139"/>
  <c r="DH62" i="139" s="1"/>
  <c r="EG88" i="139" s="1"/>
  <c r="DH33" i="139"/>
  <c r="DH60" i="139" s="1"/>
  <c r="EG86" i="139" s="1"/>
  <c r="DH37" i="139"/>
  <c r="DH64" i="139" s="1"/>
  <c r="EG90" i="139" s="1"/>
  <c r="DH36" i="139"/>
  <c r="DH63" i="139" s="1"/>
  <c r="EG89" i="139" s="1"/>
  <c r="DH34" i="139"/>
  <c r="DH61" i="139" s="1"/>
  <c r="EG87" i="139" s="1"/>
  <c r="DH31" i="139"/>
  <c r="DH58" i="139" s="1"/>
  <c r="EG84" i="139" s="1"/>
  <c r="DH32" i="139"/>
  <c r="DH59" i="139" s="1"/>
  <c r="EG85" i="139" s="1"/>
  <c r="DG28" i="139"/>
  <c r="DG41" i="139" l="1"/>
  <c r="DG68" i="139" s="1"/>
  <c r="EF94" i="139" s="1"/>
  <c r="DG31" i="139"/>
  <c r="DG58" i="139" s="1"/>
  <c r="EF84" i="139" s="1"/>
  <c r="DF28" i="139"/>
  <c r="DG40" i="139"/>
  <c r="DG67" i="139" s="1"/>
  <c r="EF93" i="139" s="1"/>
  <c r="DG39" i="139"/>
  <c r="DG66" i="139" s="1"/>
  <c r="EF92" i="139" s="1"/>
  <c r="DG37" i="139"/>
  <c r="DG64" i="139" s="1"/>
  <c r="EF90" i="139" s="1"/>
  <c r="DG32" i="139"/>
  <c r="DG59" i="139" s="1"/>
  <c r="EF85" i="139" s="1"/>
  <c r="DG30" i="139"/>
  <c r="DG57" i="139" s="1"/>
  <c r="EF83" i="139" s="1"/>
  <c r="DG33" i="139"/>
  <c r="DG60" i="139" s="1"/>
  <c r="EF86" i="139" s="1"/>
  <c r="DG38" i="139"/>
  <c r="DG65" i="139" s="1"/>
  <c r="EF91" i="139" s="1"/>
  <c r="DG34" i="139"/>
  <c r="DG61" i="139" s="1"/>
  <c r="EF87" i="139" s="1"/>
  <c r="DG35" i="139"/>
  <c r="DG62" i="139" s="1"/>
  <c r="EF88" i="139" s="1"/>
  <c r="DG36" i="139"/>
  <c r="DG63" i="139" s="1"/>
  <c r="EF89" i="139" s="1"/>
  <c r="DF40" i="139" l="1"/>
  <c r="DF67" i="139" s="1"/>
  <c r="EE93" i="139" s="1"/>
  <c r="DF30" i="139"/>
  <c r="DF57" i="139" s="1"/>
  <c r="EE83" i="139" s="1"/>
  <c r="DF31" i="139"/>
  <c r="DF58" i="139" s="1"/>
  <c r="EE84" i="139" s="1"/>
  <c r="DF34" i="139"/>
  <c r="DF61" i="139" s="1"/>
  <c r="EE87" i="139" s="1"/>
  <c r="DF36" i="139"/>
  <c r="DF63" i="139" s="1"/>
  <c r="EE89" i="139" s="1"/>
  <c r="DF33" i="139"/>
  <c r="DF60" i="139" s="1"/>
  <c r="EE86" i="139" s="1"/>
  <c r="DE28" i="139"/>
  <c r="DF41" i="139"/>
  <c r="DF68" i="139" s="1"/>
  <c r="EE94" i="139" s="1"/>
  <c r="DF32" i="139"/>
  <c r="DF59" i="139" s="1"/>
  <c r="EE85" i="139" s="1"/>
  <c r="DF38" i="139"/>
  <c r="DF65" i="139" s="1"/>
  <c r="EE91" i="139" s="1"/>
  <c r="DF35" i="139"/>
  <c r="DF62" i="139" s="1"/>
  <c r="EE88" i="139" s="1"/>
  <c r="DF37" i="139"/>
  <c r="DF64" i="139" s="1"/>
  <c r="EE90" i="139" s="1"/>
  <c r="DF39" i="139"/>
  <c r="DF66" i="139" s="1"/>
  <c r="EE92" i="139" s="1"/>
  <c r="DE35" i="139" l="1"/>
  <c r="DE62" i="139" s="1"/>
  <c r="ED88" i="139" s="1"/>
  <c r="DE39" i="139"/>
  <c r="DE66" i="139" s="1"/>
  <c r="ED92" i="139" s="1"/>
  <c r="DE41" i="139"/>
  <c r="DE68" i="139" s="1"/>
  <c r="ED94" i="139" s="1"/>
  <c r="DD28" i="139"/>
  <c r="DE32" i="139"/>
  <c r="DE59" i="139" s="1"/>
  <c r="ED85" i="139" s="1"/>
  <c r="DE33" i="139"/>
  <c r="DE60" i="139" s="1"/>
  <c r="ED86" i="139" s="1"/>
  <c r="DE37" i="139"/>
  <c r="DE64" i="139" s="1"/>
  <c r="ED90" i="139" s="1"/>
  <c r="DE36" i="139"/>
  <c r="DE63" i="139" s="1"/>
  <c r="ED89" i="139" s="1"/>
  <c r="DE30" i="139"/>
  <c r="DE57" i="139" s="1"/>
  <c r="ED83" i="139" s="1"/>
  <c r="DE31" i="139"/>
  <c r="DE58" i="139" s="1"/>
  <c r="ED84" i="139" s="1"/>
  <c r="DE38" i="139"/>
  <c r="DE65" i="139" s="1"/>
  <c r="ED91" i="139" s="1"/>
  <c r="DE40" i="139"/>
  <c r="DE67" i="139" s="1"/>
  <c r="ED93" i="139" s="1"/>
  <c r="DE34" i="139"/>
  <c r="DE61" i="139" s="1"/>
  <c r="ED87" i="139" s="1"/>
  <c r="DD36" i="139" l="1"/>
  <c r="DD63" i="139" s="1"/>
  <c r="EC89" i="139" s="1"/>
  <c r="DD37" i="139"/>
  <c r="DD64" i="139" s="1"/>
  <c r="EC90" i="139" s="1"/>
  <c r="DD34" i="139"/>
  <c r="DD61" i="139" s="1"/>
  <c r="EC87" i="139" s="1"/>
  <c r="DD30" i="139"/>
  <c r="DD57" i="139" s="1"/>
  <c r="EC83" i="139" s="1"/>
  <c r="DD31" i="139"/>
  <c r="DD58" i="139" s="1"/>
  <c r="EC84" i="139" s="1"/>
  <c r="DD40" i="139"/>
  <c r="DD67" i="139" s="1"/>
  <c r="EC93" i="139" s="1"/>
  <c r="DD38" i="139"/>
  <c r="DD65" i="139" s="1"/>
  <c r="EC91" i="139" s="1"/>
  <c r="DD32" i="139"/>
  <c r="DD59" i="139" s="1"/>
  <c r="EC85" i="139" s="1"/>
  <c r="DD35" i="139"/>
  <c r="DD62" i="139" s="1"/>
  <c r="EC88" i="139" s="1"/>
  <c r="DD33" i="139"/>
  <c r="DD60" i="139" s="1"/>
  <c r="EC86" i="139" s="1"/>
  <c r="DD41" i="139"/>
  <c r="DD68" i="139" s="1"/>
  <c r="EC94" i="139" s="1"/>
  <c r="DC28" i="139"/>
  <c r="DD39" i="139"/>
  <c r="DD66" i="139" s="1"/>
  <c r="EC92" i="139" s="1"/>
  <c r="DC34" i="139" l="1"/>
  <c r="DC61" i="139" s="1"/>
  <c r="EB87" i="139" s="1"/>
  <c r="DC41" i="139"/>
  <c r="DC68" i="139" s="1"/>
  <c r="EB94" i="139" s="1"/>
  <c r="DC33" i="139"/>
  <c r="DC60" i="139" s="1"/>
  <c r="EB86" i="139" s="1"/>
  <c r="DC32" i="139"/>
  <c r="DC59" i="139" s="1"/>
  <c r="EB85" i="139" s="1"/>
  <c r="DB28" i="139"/>
  <c r="DC37" i="139"/>
  <c r="DC64" i="139" s="1"/>
  <c r="EB90" i="139" s="1"/>
  <c r="DC38" i="139"/>
  <c r="DC65" i="139" s="1"/>
  <c r="EB91" i="139" s="1"/>
  <c r="DC40" i="139"/>
  <c r="DC67" i="139" s="1"/>
  <c r="EB93" i="139" s="1"/>
  <c r="DC36" i="139"/>
  <c r="DC63" i="139" s="1"/>
  <c r="EB89" i="139" s="1"/>
  <c r="DC39" i="139"/>
  <c r="DC66" i="139" s="1"/>
  <c r="EB92" i="139" s="1"/>
  <c r="DC31" i="139"/>
  <c r="DC58" i="139" s="1"/>
  <c r="EB84" i="139" s="1"/>
  <c r="DC30" i="139"/>
  <c r="DC57" i="139" s="1"/>
  <c r="EB83" i="139" s="1"/>
  <c r="DC35" i="139"/>
  <c r="DC62" i="139" s="1"/>
  <c r="EB88" i="139" s="1"/>
  <c r="DB37" i="139" l="1"/>
  <c r="DB64" i="139" s="1"/>
  <c r="EA90" i="139" s="1"/>
  <c r="DB33" i="139"/>
  <c r="DB60" i="139" s="1"/>
  <c r="EA86" i="139" s="1"/>
  <c r="DB32" i="139"/>
  <c r="DB59" i="139" s="1"/>
  <c r="EA85" i="139" s="1"/>
  <c r="DB40" i="139"/>
  <c r="DB67" i="139" s="1"/>
  <c r="EA93" i="139" s="1"/>
  <c r="DB39" i="139"/>
  <c r="DB66" i="139" s="1"/>
  <c r="EA92" i="139" s="1"/>
  <c r="DA28" i="139"/>
  <c r="DB36" i="139"/>
  <c r="DB63" i="139" s="1"/>
  <c r="EA89" i="139" s="1"/>
  <c r="DB30" i="139"/>
  <c r="DB57" i="139" s="1"/>
  <c r="EA83" i="139" s="1"/>
  <c r="DB38" i="139"/>
  <c r="DB65" i="139" s="1"/>
  <c r="EA91" i="139" s="1"/>
  <c r="DB34" i="139"/>
  <c r="DB61" i="139" s="1"/>
  <c r="EA87" i="139" s="1"/>
  <c r="DB31" i="139"/>
  <c r="DB58" i="139" s="1"/>
  <c r="EA84" i="139" s="1"/>
  <c r="DB35" i="139"/>
  <c r="DB62" i="139" s="1"/>
  <c r="EA88" i="139" s="1"/>
  <c r="DB41" i="139"/>
  <c r="DB68" i="139" s="1"/>
  <c r="EA94" i="139" s="1"/>
  <c r="DA41" i="139" l="1"/>
  <c r="DA68" i="139" s="1"/>
  <c r="DZ94" i="139" s="1"/>
  <c r="DA36" i="139"/>
  <c r="DA63" i="139" s="1"/>
  <c r="DZ89" i="139" s="1"/>
  <c r="DA37" i="139"/>
  <c r="DA64" i="139" s="1"/>
  <c r="DZ90" i="139" s="1"/>
  <c r="DA30" i="139"/>
  <c r="DA57" i="139" s="1"/>
  <c r="DZ83" i="139" s="1"/>
  <c r="DA32" i="139"/>
  <c r="DA59" i="139" s="1"/>
  <c r="DZ85" i="139" s="1"/>
  <c r="DA40" i="139"/>
  <c r="DA67" i="139" s="1"/>
  <c r="DZ93" i="139" s="1"/>
  <c r="DA38" i="139"/>
  <c r="DA65" i="139" s="1"/>
  <c r="DZ91" i="139" s="1"/>
  <c r="DA39" i="139"/>
  <c r="DA66" i="139" s="1"/>
  <c r="DZ92" i="139" s="1"/>
  <c r="DA35" i="139"/>
  <c r="DA62" i="139" s="1"/>
  <c r="DZ88" i="139" s="1"/>
  <c r="DA33" i="139"/>
  <c r="DA60" i="139" s="1"/>
  <c r="DZ86" i="139" s="1"/>
  <c r="DA31" i="139"/>
  <c r="DA58" i="139" s="1"/>
  <c r="DZ84" i="139" s="1"/>
  <c r="DA34" i="139"/>
  <c r="DA61" i="139" s="1"/>
  <c r="DZ87" i="139" s="1"/>
  <c r="CZ28" i="139"/>
  <c r="CZ35" i="139" l="1"/>
  <c r="CZ62" i="139" s="1"/>
  <c r="DY88" i="139" s="1"/>
  <c r="CZ36" i="139"/>
  <c r="CZ63" i="139" s="1"/>
  <c r="DY89" i="139" s="1"/>
  <c r="CZ30" i="139"/>
  <c r="CZ57" i="139" s="1"/>
  <c r="DY83" i="139" s="1"/>
  <c r="CZ34" i="139"/>
  <c r="CZ61" i="139" s="1"/>
  <c r="DY87" i="139" s="1"/>
  <c r="CZ31" i="139"/>
  <c r="CZ58" i="139" s="1"/>
  <c r="DY84" i="139" s="1"/>
  <c r="CZ39" i="139"/>
  <c r="CZ66" i="139" s="1"/>
  <c r="DY92" i="139" s="1"/>
  <c r="CZ38" i="139"/>
  <c r="CZ65" i="139" s="1"/>
  <c r="DY91" i="139" s="1"/>
  <c r="CZ37" i="139"/>
  <c r="CZ64" i="139" s="1"/>
  <c r="DY90" i="139" s="1"/>
  <c r="CZ32" i="139"/>
  <c r="CZ59" i="139" s="1"/>
  <c r="DY85" i="139" s="1"/>
  <c r="CZ40" i="139"/>
  <c r="CZ67" i="139" s="1"/>
  <c r="DY93" i="139" s="1"/>
  <c r="CY28" i="139"/>
  <c r="CZ33" i="139"/>
  <c r="CZ60" i="139" s="1"/>
  <c r="DY86" i="139" s="1"/>
  <c r="CZ41" i="139"/>
  <c r="CZ68" i="139" s="1"/>
  <c r="DY94" i="139" s="1"/>
  <c r="CY33" i="139" l="1"/>
  <c r="CY60" i="139" s="1"/>
  <c r="DX86" i="139" s="1"/>
  <c r="CY30" i="139"/>
  <c r="CY57" i="139" s="1"/>
  <c r="DX83" i="139" s="1"/>
  <c r="CY38" i="139"/>
  <c r="CY65" i="139" s="1"/>
  <c r="DX91" i="139" s="1"/>
  <c r="CY36" i="139"/>
  <c r="CY63" i="139" s="1"/>
  <c r="DX89" i="139" s="1"/>
  <c r="CY31" i="139"/>
  <c r="CY58" i="139" s="1"/>
  <c r="DX84" i="139" s="1"/>
  <c r="CY35" i="139"/>
  <c r="CY62" i="139" s="1"/>
  <c r="DX88" i="139" s="1"/>
  <c r="CY32" i="139"/>
  <c r="CY59" i="139" s="1"/>
  <c r="DX85" i="139" s="1"/>
  <c r="CY37" i="139"/>
  <c r="CY64" i="139" s="1"/>
  <c r="DX90" i="139" s="1"/>
  <c r="CY34" i="139"/>
  <c r="CY61" i="139" s="1"/>
  <c r="DX87" i="139" s="1"/>
  <c r="CY40" i="139"/>
  <c r="CY67" i="139" s="1"/>
  <c r="DX93" i="139" s="1"/>
  <c r="CY39" i="139"/>
  <c r="CY66" i="139" s="1"/>
  <c r="DX92" i="139" s="1"/>
  <c r="CX28" i="139"/>
  <c r="CY41" i="139"/>
  <c r="CY68" i="139" s="1"/>
  <c r="DX94" i="139" s="1"/>
  <c r="CX40" i="139" l="1"/>
  <c r="CX67" i="139" s="1"/>
  <c r="DW93" i="139" s="1"/>
  <c r="CX37" i="139"/>
  <c r="CX64" i="139" s="1"/>
  <c r="DW90" i="139" s="1"/>
  <c r="CX39" i="139"/>
  <c r="CX66" i="139" s="1"/>
  <c r="DW92" i="139" s="1"/>
  <c r="CX41" i="139"/>
  <c r="CX68" i="139" s="1"/>
  <c r="DW94" i="139" s="1"/>
  <c r="CX36" i="139"/>
  <c r="CX63" i="139" s="1"/>
  <c r="DW89" i="139" s="1"/>
  <c r="CX30" i="139"/>
  <c r="CX57" i="139" s="1"/>
  <c r="DW83" i="139" s="1"/>
  <c r="CX38" i="139"/>
  <c r="CX65" i="139" s="1"/>
  <c r="DW91" i="139" s="1"/>
  <c r="CX34" i="139"/>
  <c r="CX61" i="139" s="1"/>
  <c r="DW87" i="139" s="1"/>
  <c r="CX31" i="139"/>
  <c r="CX58" i="139" s="1"/>
  <c r="DW84" i="139" s="1"/>
  <c r="CX35" i="139"/>
  <c r="CX62" i="139" s="1"/>
  <c r="DW88" i="139" s="1"/>
  <c r="CX32" i="139"/>
  <c r="CX59" i="139" s="1"/>
  <c r="DW85" i="139" s="1"/>
  <c r="CW28" i="139"/>
  <c r="CX33" i="139"/>
  <c r="CX60" i="139" s="1"/>
  <c r="DW86" i="139" s="1"/>
  <c r="CW35" i="139" l="1"/>
  <c r="CW62" i="139" s="1"/>
  <c r="DV88" i="139" s="1"/>
  <c r="CW41" i="139"/>
  <c r="CW68" i="139" s="1"/>
  <c r="DV94" i="139" s="1"/>
  <c r="CW31" i="139"/>
  <c r="CW58" i="139" s="1"/>
  <c r="DV84" i="139" s="1"/>
  <c r="CW36" i="139"/>
  <c r="CW63" i="139" s="1"/>
  <c r="DV89" i="139" s="1"/>
  <c r="CW40" i="139"/>
  <c r="CW67" i="139" s="1"/>
  <c r="DV93" i="139" s="1"/>
  <c r="CW30" i="139"/>
  <c r="CW57" i="139" s="1"/>
  <c r="DV83" i="139" s="1"/>
  <c r="CW33" i="139"/>
  <c r="CW60" i="139" s="1"/>
  <c r="DV86" i="139" s="1"/>
  <c r="CW34" i="139"/>
  <c r="CW61" i="139" s="1"/>
  <c r="DV87" i="139" s="1"/>
  <c r="CW39" i="139"/>
  <c r="CW66" i="139" s="1"/>
  <c r="DV92" i="139" s="1"/>
  <c r="CV28" i="139"/>
  <c r="CW38" i="139"/>
  <c r="CW65" i="139" s="1"/>
  <c r="DV91" i="139" s="1"/>
  <c r="CW32" i="139"/>
  <c r="CW59" i="139" s="1"/>
  <c r="DV85" i="139" s="1"/>
  <c r="CW37" i="139"/>
  <c r="CW64" i="139" s="1"/>
  <c r="DV90" i="139" s="1"/>
  <c r="CV40" i="139" l="1"/>
  <c r="CV67" i="139" s="1"/>
  <c r="DU93" i="139" s="1"/>
  <c r="CV37" i="139"/>
  <c r="CV64" i="139" s="1"/>
  <c r="DU90" i="139" s="1"/>
  <c r="CV38" i="139"/>
  <c r="CV65" i="139" s="1"/>
  <c r="DU91" i="139" s="1"/>
  <c r="CV41" i="139"/>
  <c r="CV68" i="139" s="1"/>
  <c r="DU94" i="139" s="1"/>
  <c r="CU28" i="139"/>
  <c r="CV35" i="139"/>
  <c r="CV62" i="139" s="1"/>
  <c r="DU88" i="139" s="1"/>
  <c r="CV39" i="139"/>
  <c r="CV66" i="139" s="1"/>
  <c r="DU92" i="139" s="1"/>
  <c r="CV36" i="139"/>
  <c r="CV63" i="139" s="1"/>
  <c r="DU89" i="139" s="1"/>
  <c r="CV30" i="139"/>
  <c r="CV57" i="139" s="1"/>
  <c r="DU83" i="139" s="1"/>
  <c r="CV32" i="139"/>
  <c r="CV59" i="139" s="1"/>
  <c r="DU85" i="139" s="1"/>
  <c r="CV31" i="139"/>
  <c r="CV58" i="139" s="1"/>
  <c r="DU84" i="139" s="1"/>
  <c r="CV34" i="139"/>
  <c r="CV61" i="139" s="1"/>
  <c r="DU87" i="139" s="1"/>
  <c r="CV33" i="139"/>
  <c r="CV60" i="139" s="1"/>
  <c r="DU86" i="139" s="1"/>
  <c r="CT28" i="139" l="1"/>
  <c r="CU36" i="139"/>
  <c r="CU63" i="139" s="1"/>
  <c r="DT89" i="139" s="1"/>
  <c r="CU38" i="139"/>
  <c r="CU65" i="139" s="1"/>
  <c r="DT91" i="139" s="1"/>
  <c r="CU34" i="139"/>
  <c r="CU61" i="139" s="1"/>
  <c r="DT87" i="139" s="1"/>
  <c r="CU37" i="139"/>
  <c r="CU64" i="139" s="1"/>
  <c r="DT90" i="139" s="1"/>
  <c r="CU32" i="139"/>
  <c r="CU59" i="139" s="1"/>
  <c r="DT85" i="139" s="1"/>
  <c r="CU31" i="139"/>
  <c r="CU58" i="139" s="1"/>
  <c r="DT84" i="139" s="1"/>
  <c r="CU35" i="139"/>
  <c r="CU62" i="139" s="1"/>
  <c r="DT88" i="139" s="1"/>
  <c r="CU30" i="139"/>
  <c r="CU57" i="139" s="1"/>
  <c r="DT83" i="139" s="1"/>
  <c r="CU40" i="139"/>
  <c r="CU67" i="139" s="1"/>
  <c r="DT93" i="139" s="1"/>
  <c r="CU33" i="139"/>
  <c r="CU60" i="139" s="1"/>
  <c r="DT86" i="139" s="1"/>
  <c r="CU39" i="139"/>
  <c r="CU66" i="139" s="1"/>
  <c r="DT92" i="139" s="1"/>
  <c r="CU41" i="139"/>
  <c r="CU68" i="139" s="1"/>
  <c r="DT94" i="139" s="1"/>
  <c r="CT30" i="139" l="1"/>
  <c r="CT57" i="139" s="1"/>
  <c r="DS83" i="139" s="1"/>
  <c r="CT40" i="139"/>
  <c r="CT67" i="139" s="1"/>
  <c r="DS93" i="139" s="1"/>
  <c r="CT41" i="139"/>
  <c r="CT68" i="139" s="1"/>
  <c r="DS94" i="139" s="1"/>
  <c r="CT37" i="139"/>
  <c r="CT64" i="139" s="1"/>
  <c r="DS90" i="139" s="1"/>
  <c r="CT33" i="139"/>
  <c r="CT60" i="139" s="1"/>
  <c r="DS86" i="139" s="1"/>
  <c r="CT31" i="139"/>
  <c r="CT58" i="139" s="1"/>
  <c r="DS84" i="139" s="1"/>
  <c r="CS28" i="139"/>
  <c r="CT38" i="139"/>
  <c r="CT65" i="139" s="1"/>
  <c r="DS91" i="139" s="1"/>
  <c r="CT32" i="139"/>
  <c r="CT59" i="139" s="1"/>
  <c r="DS85" i="139" s="1"/>
  <c r="CT35" i="139"/>
  <c r="CT62" i="139" s="1"/>
  <c r="DS88" i="139" s="1"/>
  <c r="CT39" i="139"/>
  <c r="CT66" i="139" s="1"/>
  <c r="DS92" i="139" s="1"/>
  <c r="CT34" i="139"/>
  <c r="CT61" i="139" s="1"/>
  <c r="DS87" i="139" s="1"/>
  <c r="CT36" i="139"/>
  <c r="CT63" i="139" s="1"/>
  <c r="DS89" i="139" s="1"/>
  <c r="CS35" i="139" l="1"/>
  <c r="CS62" i="139" s="1"/>
  <c r="DR88" i="139" s="1"/>
  <c r="CS41" i="139"/>
  <c r="CS68" i="139" s="1"/>
  <c r="DR94" i="139" s="1"/>
  <c r="CS31" i="139"/>
  <c r="CS58" i="139" s="1"/>
  <c r="DR84" i="139" s="1"/>
  <c r="CS40" i="139"/>
  <c r="CS67" i="139" s="1"/>
  <c r="DR93" i="139" s="1"/>
  <c r="CS38" i="139"/>
  <c r="CS65" i="139" s="1"/>
  <c r="DR91" i="139" s="1"/>
  <c r="CS37" i="139"/>
  <c r="CS64" i="139" s="1"/>
  <c r="DR90" i="139" s="1"/>
  <c r="CS36" i="139"/>
  <c r="CS63" i="139" s="1"/>
  <c r="DR89" i="139" s="1"/>
  <c r="CS33" i="139"/>
  <c r="CS60" i="139" s="1"/>
  <c r="DR86" i="139" s="1"/>
  <c r="CS34" i="139"/>
  <c r="CS61" i="139" s="1"/>
  <c r="DR87" i="139" s="1"/>
  <c r="CS39" i="139"/>
  <c r="CS66" i="139" s="1"/>
  <c r="DR92" i="139" s="1"/>
  <c r="CR28" i="139"/>
  <c r="CS30" i="139"/>
  <c r="CS57" i="139" s="1"/>
  <c r="DR83" i="139" s="1"/>
  <c r="CS32" i="139"/>
  <c r="CS59" i="139" s="1"/>
  <c r="DR85" i="139" s="1"/>
  <c r="CR39" i="139" l="1"/>
  <c r="CR66" i="139" s="1"/>
  <c r="DQ92" i="139" s="1"/>
  <c r="CR37" i="139"/>
  <c r="CR64" i="139" s="1"/>
  <c r="DQ90" i="139" s="1"/>
  <c r="CR33" i="139"/>
  <c r="CR60" i="139" s="1"/>
  <c r="DQ86" i="139" s="1"/>
  <c r="CR34" i="139"/>
  <c r="CR61" i="139" s="1"/>
  <c r="DQ87" i="139" s="1"/>
  <c r="CR38" i="139"/>
  <c r="CR65" i="139" s="1"/>
  <c r="DQ91" i="139" s="1"/>
  <c r="CQ28" i="139"/>
  <c r="CR30" i="139"/>
  <c r="CR57" i="139" s="1"/>
  <c r="DQ83" i="139" s="1"/>
  <c r="CR41" i="139"/>
  <c r="CR68" i="139" s="1"/>
  <c r="DQ94" i="139" s="1"/>
  <c r="CR35" i="139"/>
  <c r="CR62" i="139" s="1"/>
  <c r="DQ88" i="139" s="1"/>
  <c r="CR40" i="139"/>
  <c r="CR67" i="139" s="1"/>
  <c r="DQ93" i="139" s="1"/>
  <c r="CR31" i="139"/>
  <c r="CR58" i="139" s="1"/>
  <c r="DQ84" i="139" s="1"/>
  <c r="CR36" i="139"/>
  <c r="CR63" i="139" s="1"/>
  <c r="DQ89" i="139" s="1"/>
  <c r="CR32" i="139"/>
  <c r="CR59" i="139" s="1"/>
  <c r="DQ85" i="139" s="1"/>
  <c r="CQ37" i="139" l="1"/>
  <c r="CQ64" i="139" s="1"/>
  <c r="DP90" i="139" s="1"/>
  <c r="CQ36" i="139"/>
  <c r="CQ63" i="139" s="1"/>
  <c r="DP89" i="139" s="1"/>
  <c r="CQ31" i="139"/>
  <c r="CQ58" i="139" s="1"/>
  <c r="DP84" i="139" s="1"/>
  <c r="CQ30" i="139"/>
  <c r="CQ57" i="139" s="1"/>
  <c r="DP83" i="139" s="1"/>
  <c r="CQ41" i="139"/>
  <c r="CQ68" i="139" s="1"/>
  <c r="DP94" i="139" s="1"/>
  <c r="CP28" i="139"/>
  <c r="CQ38" i="139"/>
  <c r="CQ65" i="139" s="1"/>
  <c r="DP91" i="139" s="1"/>
  <c r="CQ32" i="139"/>
  <c r="CQ59" i="139" s="1"/>
  <c r="DP85" i="139" s="1"/>
  <c r="CQ33" i="139"/>
  <c r="CQ60" i="139" s="1"/>
  <c r="DP86" i="139" s="1"/>
  <c r="CQ39" i="139"/>
  <c r="CQ66" i="139" s="1"/>
  <c r="DP92" i="139" s="1"/>
  <c r="CQ34" i="139"/>
  <c r="CQ61" i="139" s="1"/>
  <c r="DP87" i="139" s="1"/>
  <c r="CQ40" i="139"/>
  <c r="CQ67" i="139" s="1"/>
  <c r="DP93" i="139" s="1"/>
  <c r="CQ35" i="139"/>
  <c r="CQ62" i="139" s="1"/>
  <c r="DP88" i="139" s="1"/>
  <c r="CP30" i="139" l="1"/>
  <c r="CP57" i="139" s="1"/>
  <c r="DO83" i="139" s="1"/>
  <c r="CO28" i="139"/>
  <c r="CP31" i="139"/>
  <c r="CP58" i="139" s="1"/>
  <c r="DO84" i="139" s="1"/>
  <c r="CP33" i="139"/>
  <c r="CP60" i="139" s="1"/>
  <c r="DO86" i="139" s="1"/>
  <c r="CP36" i="139"/>
  <c r="CP63" i="139" s="1"/>
  <c r="DO89" i="139" s="1"/>
  <c r="CP38" i="139"/>
  <c r="CP65" i="139" s="1"/>
  <c r="DO91" i="139" s="1"/>
  <c r="CP39" i="139"/>
  <c r="CP66" i="139" s="1"/>
  <c r="DO92" i="139" s="1"/>
  <c r="CP37" i="139"/>
  <c r="CP64" i="139" s="1"/>
  <c r="DO90" i="139" s="1"/>
  <c r="CP40" i="139"/>
  <c r="CP67" i="139" s="1"/>
  <c r="DO93" i="139" s="1"/>
  <c r="CP35" i="139"/>
  <c r="CP62" i="139" s="1"/>
  <c r="DO88" i="139" s="1"/>
  <c r="CP41" i="139"/>
  <c r="CP68" i="139" s="1"/>
  <c r="DO94" i="139" s="1"/>
  <c r="CP32" i="139"/>
  <c r="CP59" i="139" s="1"/>
  <c r="DO85" i="139" s="1"/>
  <c r="CP34" i="139"/>
  <c r="CP61" i="139" s="1"/>
  <c r="DO87" i="139" s="1"/>
  <c r="CO31" i="139" l="1"/>
  <c r="CO58" i="139" s="1"/>
  <c r="DN84" i="139" s="1"/>
  <c r="CO32" i="139"/>
  <c r="CO59" i="139" s="1"/>
  <c r="DN85" i="139" s="1"/>
  <c r="CO40" i="139"/>
  <c r="CO67" i="139" s="1"/>
  <c r="DN93" i="139" s="1"/>
  <c r="CO39" i="139"/>
  <c r="CO66" i="139" s="1"/>
  <c r="DN92" i="139" s="1"/>
  <c r="CO36" i="139"/>
  <c r="CO63" i="139" s="1"/>
  <c r="DN89" i="139" s="1"/>
  <c r="CO33" i="139"/>
  <c r="CO60" i="139" s="1"/>
  <c r="DN86" i="139" s="1"/>
  <c r="CO30" i="139"/>
  <c r="CO57" i="139" s="1"/>
  <c r="DN83" i="139" s="1"/>
  <c r="CO35" i="139"/>
  <c r="CO62" i="139" s="1"/>
  <c r="DN88" i="139" s="1"/>
  <c r="CO37" i="139"/>
  <c r="CO64" i="139" s="1"/>
  <c r="DN90" i="139" s="1"/>
  <c r="CO38" i="139"/>
  <c r="CO65" i="139" s="1"/>
  <c r="DN91" i="139" s="1"/>
  <c r="CO41" i="139"/>
  <c r="CO68" i="139" s="1"/>
  <c r="DN94" i="139" s="1"/>
  <c r="CN28" i="139"/>
  <c r="CO34" i="139"/>
  <c r="CO61" i="139" s="1"/>
  <c r="DN87" i="139" s="1"/>
  <c r="CN31" i="139" l="1"/>
  <c r="CN58" i="139" s="1"/>
  <c r="DM84" i="139" s="1"/>
  <c r="CN34" i="139"/>
  <c r="CN61" i="139" s="1"/>
  <c r="DM87" i="139" s="1"/>
  <c r="CN30" i="139"/>
  <c r="CN57" i="139" s="1"/>
  <c r="DM83" i="139" s="1"/>
  <c r="CN40" i="139"/>
  <c r="CN67" i="139" s="1"/>
  <c r="DM93" i="139" s="1"/>
  <c r="CN32" i="139"/>
  <c r="CN59" i="139" s="1"/>
  <c r="DM85" i="139" s="1"/>
  <c r="CN41" i="139"/>
  <c r="CN68" i="139" s="1"/>
  <c r="DM94" i="139" s="1"/>
  <c r="CN37" i="139"/>
  <c r="CN64" i="139" s="1"/>
  <c r="DM90" i="139" s="1"/>
  <c r="CM28" i="139"/>
  <c r="CN38" i="139"/>
  <c r="CN65" i="139" s="1"/>
  <c r="DM91" i="139" s="1"/>
  <c r="CN39" i="139"/>
  <c r="CN66" i="139" s="1"/>
  <c r="DM92" i="139" s="1"/>
  <c r="CN33" i="139"/>
  <c r="CN60" i="139" s="1"/>
  <c r="DM86" i="139" s="1"/>
  <c r="CN36" i="139"/>
  <c r="CN63" i="139" s="1"/>
  <c r="DM89" i="139" s="1"/>
  <c r="CN35" i="139"/>
  <c r="CN62" i="139" s="1"/>
  <c r="DM88" i="139" s="1"/>
  <c r="CM30" i="139" l="1"/>
  <c r="CM57" i="139" s="1"/>
  <c r="DL83" i="139" s="1"/>
  <c r="CL28" i="139"/>
  <c r="CM40" i="139"/>
  <c r="CM67" i="139" s="1"/>
  <c r="DL93" i="139" s="1"/>
  <c r="CM41" i="139"/>
  <c r="CM68" i="139" s="1"/>
  <c r="DL94" i="139" s="1"/>
  <c r="CM34" i="139"/>
  <c r="CM61" i="139" s="1"/>
  <c r="DL87" i="139" s="1"/>
  <c r="CM32" i="139"/>
  <c r="CM59" i="139" s="1"/>
  <c r="DL85" i="139" s="1"/>
  <c r="CM33" i="139"/>
  <c r="CM60" i="139" s="1"/>
  <c r="DL86" i="139" s="1"/>
  <c r="CM31" i="139"/>
  <c r="CM58" i="139" s="1"/>
  <c r="DL84" i="139" s="1"/>
  <c r="CM39" i="139"/>
  <c r="CM66" i="139" s="1"/>
  <c r="DL92" i="139" s="1"/>
  <c r="CM36" i="139"/>
  <c r="CM63" i="139" s="1"/>
  <c r="DL89" i="139" s="1"/>
  <c r="CM38" i="139"/>
  <c r="CM65" i="139" s="1"/>
  <c r="DL91" i="139" s="1"/>
  <c r="CM37" i="139"/>
  <c r="CM64" i="139" s="1"/>
  <c r="DL90" i="139" s="1"/>
  <c r="CM35" i="139"/>
  <c r="CM62" i="139" s="1"/>
  <c r="DL88" i="139" s="1"/>
  <c r="CL36" i="139" l="1"/>
  <c r="CL63" i="139" s="1"/>
  <c r="DK89" i="139" s="1"/>
  <c r="CL37" i="139"/>
  <c r="CL64" i="139" s="1"/>
  <c r="DK90" i="139" s="1"/>
  <c r="CL39" i="139"/>
  <c r="CL66" i="139" s="1"/>
  <c r="DK92" i="139" s="1"/>
  <c r="CL34" i="139"/>
  <c r="CL61" i="139" s="1"/>
  <c r="DK87" i="139" s="1"/>
  <c r="CL40" i="139"/>
  <c r="CL67" i="139" s="1"/>
  <c r="DK93" i="139" s="1"/>
  <c r="CL32" i="139"/>
  <c r="CL59" i="139" s="1"/>
  <c r="DK85" i="139" s="1"/>
  <c r="CL33" i="139"/>
  <c r="CL60" i="139" s="1"/>
  <c r="DK86" i="139" s="1"/>
  <c r="CL35" i="139"/>
  <c r="CL62" i="139" s="1"/>
  <c r="DK88" i="139" s="1"/>
  <c r="CL30" i="139"/>
  <c r="CL57" i="139" s="1"/>
  <c r="DK83" i="139" s="1"/>
  <c r="CL31" i="139"/>
  <c r="CL58" i="139" s="1"/>
  <c r="DK84" i="139" s="1"/>
  <c r="CL41" i="139"/>
  <c r="CL68" i="139" s="1"/>
  <c r="DK94" i="139" s="1"/>
  <c r="CL38" i="139"/>
  <c r="CL65" i="139" s="1"/>
  <c r="DK91" i="139" s="1"/>
  <c r="CK28" i="139"/>
  <c r="CK34" i="139" l="1"/>
  <c r="CK61" i="139" s="1"/>
  <c r="DJ87" i="139" s="1"/>
  <c r="CK37" i="139"/>
  <c r="CK64" i="139" s="1"/>
  <c r="DJ90" i="139" s="1"/>
  <c r="CK31" i="139"/>
  <c r="CK58" i="139" s="1"/>
  <c r="DJ84" i="139" s="1"/>
  <c r="CK33" i="139"/>
  <c r="CK60" i="139" s="1"/>
  <c r="DJ86" i="139" s="1"/>
  <c r="CK32" i="139"/>
  <c r="CK59" i="139" s="1"/>
  <c r="DJ85" i="139" s="1"/>
  <c r="CJ28" i="139"/>
  <c r="CK35" i="139"/>
  <c r="CK62" i="139" s="1"/>
  <c r="DJ88" i="139" s="1"/>
  <c r="CK30" i="139"/>
  <c r="CK57" i="139" s="1"/>
  <c r="DJ83" i="139" s="1"/>
  <c r="CK41" i="139"/>
  <c r="CK68" i="139" s="1"/>
  <c r="DJ94" i="139" s="1"/>
  <c r="CK40" i="139"/>
  <c r="CK67" i="139" s="1"/>
  <c r="DJ93" i="139" s="1"/>
  <c r="CK38" i="139"/>
  <c r="CK65" i="139" s="1"/>
  <c r="DJ91" i="139" s="1"/>
  <c r="CK39" i="139"/>
  <c r="CK66" i="139" s="1"/>
  <c r="DJ92" i="139" s="1"/>
  <c r="CK36" i="139"/>
  <c r="CK63" i="139" s="1"/>
  <c r="DJ89" i="139" s="1"/>
  <c r="CJ35" i="139" l="1"/>
  <c r="CJ62" i="139" s="1"/>
  <c r="DI88" i="139" s="1"/>
  <c r="CJ32" i="139"/>
  <c r="CJ59" i="139" s="1"/>
  <c r="DI85" i="139" s="1"/>
  <c r="CJ38" i="139"/>
  <c r="CJ65" i="139" s="1"/>
  <c r="DI91" i="139" s="1"/>
  <c r="CJ41" i="139"/>
  <c r="CJ68" i="139" s="1"/>
  <c r="DI94" i="139" s="1"/>
  <c r="CJ34" i="139"/>
  <c r="CJ61" i="139" s="1"/>
  <c r="DI87" i="139" s="1"/>
  <c r="CJ30" i="139"/>
  <c r="CJ57" i="139" s="1"/>
  <c r="DI83" i="139" s="1"/>
  <c r="CJ31" i="139"/>
  <c r="CJ58" i="139" s="1"/>
  <c r="DI84" i="139" s="1"/>
  <c r="CJ40" i="139"/>
  <c r="CJ67" i="139" s="1"/>
  <c r="DI93" i="139" s="1"/>
  <c r="CI28" i="139"/>
  <c r="CJ33" i="139"/>
  <c r="CJ60" i="139" s="1"/>
  <c r="DI86" i="139" s="1"/>
  <c r="CJ36" i="139"/>
  <c r="CJ63" i="139" s="1"/>
  <c r="DI89" i="139" s="1"/>
  <c r="CJ39" i="139"/>
  <c r="CJ66" i="139" s="1"/>
  <c r="DI92" i="139" s="1"/>
  <c r="CJ37" i="139"/>
  <c r="CJ64" i="139" s="1"/>
  <c r="DI90" i="139" s="1"/>
  <c r="CI33" i="139" l="1"/>
  <c r="CI60" i="139" s="1"/>
  <c r="DH86" i="139" s="1"/>
  <c r="CI32" i="139"/>
  <c r="CI59" i="139" s="1"/>
  <c r="DH85" i="139" s="1"/>
  <c r="CI41" i="139"/>
  <c r="CI68" i="139" s="1"/>
  <c r="DH94" i="139" s="1"/>
  <c r="CH28" i="139"/>
  <c r="CI38" i="139"/>
  <c r="CI65" i="139" s="1"/>
  <c r="DH91" i="139" s="1"/>
  <c r="CI31" i="139"/>
  <c r="CI58" i="139" s="1"/>
  <c r="DH84" i="139" s="1"/>
  <c r="CI40" i="139"/>
  <c r="CI67" i="139" s="1"/>
  <c r="DH93" i="139" s="1"/>
  <c r="CI37" i="139"/>
  <c r="CI64" i="139" s="1"/>
  <c r="DH90" i="139" s="1"/>
  <c r="CI35" i="139"/>
  <c r="CI62" i="139" s="1"/>
  <c r="DH88" i="139" s="1"/>
  <c r="CI30" i="139"/>
  <c r="CI57" i="139" s="1"/>
  <c r="DH83" i="139" s="1"/>
  <c r="CI34" i="139"/>
  <c r="CI61" i="139" s="1"/>
  <c r="DH87" i="139" s="1"/>
  <c r="CI36" i="139"/>
  <c r="CI63" i="139" s="1"/>
  <c r="DH89" i="139" s="1"/>
  <c r="CI39" i="139"/>
  <c r="CI66" i="139" s="1"/>
  <c r="DH92" i="139" s="1"/>
  <c r="CH30" i="139" l="1"/>
  <c r="CH57" i="139" s="1"/>
  <c r="DG83" i="139" s="1"/>
  <c r="CH40" i="139"/>
  <c r="CH67" i="139" s="1"/>
  <c r="DG93" i="139" s="1"/>
  <c r="CH32" i="139"/>
  <c r="CH59" i="139" s="1"/>
  <c r="DG85" i="139" s="1"/>
  <c r="CH35" i="139"/>
  <c r="CH62" i="139" s="1"/>
  <c r="DG88" i="139" s="1"/>
  <c r="CH33" i="139"/>
  <c r="CH60" i="139" s="1"/>
  <c r="DG86" i="139" s="1"/>
  <c r="CH31" i="139"/>
  <c r="CH58" i="139" s="1"/>
  <c r="DG84" i="139" s="1"/>
  <c r="CH39" i="139"/>
  <c r="CH66" i="139" s="1"/>
  <c r="DG92" i="139" s="1"/>
  <c r="CH36" i="139"/>
  <c r="CH63" i="139" s="1"/>
  <c r="DG89" i="139" s="1"/>
  <c r="CH34" i="139"/>
  <c r="CH61" i="139" s="1"/>
  <c r="DG87" i="139" s="1"/>
  <c r="CH38" i="139"/>
  <c r="CH65" i="139" s="1"/>
  <c r="DG91" i="139" s="1"/>
  <c r="CH41" i="139"/>
  <c r="CH68" i="139" s="1"/>
  <c r="DG94" i="139" s="1"/>
  <c r="CH37" i="139"/>
  <c r="CH64" i="139" s="1"/>
  <c r="DG90" i="139" s="1"/>
  <c r="CG28" i="139"/>
  <c r="CG38" i="139" l="1"/>
  <c r="CG65" i="139" s="1"/>
  <c r="DF91" i="139" s="1"/>
  <c r="CF28" i="139"/>
  <c r="CG30" i="139"/>
  <c r="CG57" i="139" s="1"/>
  <c r="DF83" i="139" s="1"/>
  <c r="CG41" i="139"/>
  <c r="CG68" i="139" s="1"/>
  <c r="DF94" i="139" s="1"/>
  <c r="CG34" i="139"/>
  <c r="CG61" i="139" s="1"/>
  <c r="DF87" i="139" s="1"/>
  <c r="CG33" i="139"/>
  <c r="CG60" i="139" s="1"/>
  <c r="DF86" i="139" s="1"/>
  <c r="CG31" i="139"/>
  <c r="CG58" i="139" s="1"/>
  <c r="DF84" i="139" s="1"/>
  <c r="CG35" i="139"/>
  <c r="CG62" i="139" s="1"/>
  <c r="DF88" i="139" s="1"/>
  <c r="CG37" i="139"/>
  <c r="CG64" i="139" s="1"/>
  <c r="DF90" i="139" s="1"/>
  <c r="CG40" i="139"/>
  <c r="CG67" i="139" s="1"/>
  <c r="DF93" i="139" s="1"/>
  <c r="CG32" i="139"/>
  <c r="CG59" i="139" s="1"/>
  <c r="DF85" i="139" s="1"/>
  <c r="CG39" i="139"/>
  <c r="CG66" i="139" s="1"/>
  <c r="DF92" i="139" s="1"/>
  <c r="CG36" i="139"/>
  <c r="CG63" i="139" s="1"/>
  <c r="DF89" i="139" s="1"/>
  <c r="CF39" i="139" l="1"/>
  <c r="CF66" i="139" s="1"/>
  <c r="DE92" i="139" s="1"/>
  <c r="CF40" i="139"/>
  <c r="CF67" i="139" s="1"/>
  <c r="DE93" i="139" s="1"/>
  <c r="CF37" i="139"/>
  <c r="CF64" i="139" s="1"/>
  <c r="DE90" i="139" s="1"/>
  <c r="CF34" i="139"/>
  <c r="CF61" i="139" s="1"/>
  <c r="DE87" i="139" s="1"/>
  <c r="CF33" i="139"/>
  <c r="CF60" i="139" s="1"/>
  <c r="DE86" i="139" s="1"/>
  <c r="CF31" i="139"/>
  <c r="CF58" i="139" s="1"/>
  <c r="DE84" i="139" s="1"/>
  <c r="CF32" i="139"/>
  <c r="CF59" i="139" s="1"/>
  <c r="DE85" i="139" s="1"/>
  <c r="CF30" i="139"/>
  <c r="CF57" i="139" s="1"/>
  <c r="DE83" i="139" s="1"/>
  <c r="CF41" i="139"/>
  <c r="CF68" i="139" s="1"/>
  <c r="DE94" i="139" s="1"/>
  <c r="CE28" i="139"/>
  <c r="CF36" i="139"/>
  <c r="CF63" i="139" s="1"/>
  <c r="DE89" i="139" s="1"/>
  <c r="CF35" i="139"/>
  <c r="CF62" i="139" s="1"/>
  <c r="DE88" i="139" s="1"/>
  <c r="CF38" i="139"/>
  <c r="CF65" i="139" s="1"/>
  <c r="DE91" i="139" s="1"/>
  <c r="CE41" i="139" l="1"/>
  <c r="CE68" i="139" s="1"/>
  <c r="DD94" i="139" s="1"/>
  <c r="CE36" i="139"/>
  <c r="CE63" i="139" s="1"/>
  <c r="DD89" i="139" s="1"/>
  <c r="CE38" i="139"/>
  <c r="CE65" i="139" s="1"/>
  <c r="DD91" i="139" s="1"/>
  <c r="CE34" i="139"/>
  <c r="CE61" i="139" s="1"/>
  <c r="DD87" i="139" s="1"/>
  <c r="CE30" i="139"/>
  <c r="CE57" i="139" s="1"/>
  <c r="DD83" i="139" s="1"/>
  <c r="CE33" i="139"/>
  <c r="CE60" i="139" s="1"/>
  <c r="DD86" i="139" s="1"/>
  <c r="CE40" i="139"/>
  <c r="CE67" i="139" s="1"/>
  <c r="DD93" i="139" s="1"/>
  <c r="CE37" i="139"/>
  <c r="CE64" i="139" s="1"/>
  <c r="DD90" i="139" s="1"/>
  <c r="CE35" i="139"/>
  <c r="CE62" i="139" s="1"/>
  <c r="DD88" i="139" s="1"/>
  <c r="CE32" i="139"/>
  <c r="CE59" i="139" s="1"/>
  <c r="DD85" i="139" s="1"/>
  <c r="CE31" i="139"/>
  <c r="CE58" i="139" s="1"/>
  <c r="DD84" i="139" s="1"/>
  <c r="CE39" i="139"/>
  <c r="CE66" i="139" s="1"/>
  <c r="DD92" i="139" s="1"/>
  <c r="CD28" i="139"/>
  <c r="CD38" i="139" l="1"/>
  <c r="CD65" i="139" s="1"/>
  <c r="DC91" i="139" s="1"/>
  <c r="CD35" i="139"/>
  <c r="CD62" i="139" s="1"/>
  <c r="DC88" i="139" s="1"/>
  <c r="CD41" i="139"/>
  <c r="CD68" i="139" s="1"/>
  <c r="DC94" i="139" s="1"/>
  <c r="CD36" i="139"/>
  <c r="CD63" i="139" s="1"/>
  <c r="DC89" i="139" s="1"/>
  <c r="CD37" i="139"/>
  <c r="CD64" i="139" s="1"/>
  <c r="DC90" i="139" s="1"/>
  <c r="CD30" i="139"/>
  <c r="CD57" i="139" s="1"/>
  <c r="DC83" i="139" s="1"/>
  <c r="CC28" i="139"/>
  <c r="CD34" i="139"/>
  <c r="CD61" i="139" s="1"/>
  <c r="DC87" i="139" s="1"/>
  <c r="CD32" i="139"/>
  <c r="CD59" i="139" s="1"/>
  <c r="DC85" i="139" s="1"/>
  <c r="CD40" i="139"/>
  <c r="CD67" i="139" s="1"/>
  <c r="DC93" i="139" s="1"/>
  <c r="CD33" i="139"/>
  <c r="CD60" i="139" s="1"/>
  <c r="DC86" i="139" s="1"/>
  <c r="CD39" i="139"/>
  <c r="CD66" i="139" s="1"/>
  <c r="DC92" i="139" s="1"/>
  <c r="CD31" i="139"/>
  <c r="CD58" i="139" s="1"/>
  <c r="DC84" i="139" s="1"/>
  <c r="CC38" i="139" l="1"/>
  <c r="CC65" i="139" s="1"/>
  <c r="DB91" i="139" s="1"/>
  <c r="CC30" i="139"/>
  <c r="CC57" i="139" s="1"/>
  <c r="DB83" i="139" s="1"/>
  <c r="CC31" i="139"/>
  <c r="CC58" i="139" s="1"/>
  <c r="DB84" i="139" s="1"/>
  <c r="CC41" i="139"/>
  <c r="CC68" i="139" s="1"/>
  <c r="DB94" i="139" s="1"/>
  <c r="CC40" i="139"/>
  <c r="CC67" i="139" s="1"/>
  <c r="DB93" i="139" s="1"/>
  <c r="CC39" i="139"/>
  <c r="CC66" i="139" s="1"/>
  <c r="DB92" i="139" s="1"/>
  <c r="CC32" i="139"/>
  <c r="CC59" i="139" s="1"/>
  <c r="DB85" i="139" s="1"/>
  <c r="CC34" i="139"/>
  <c r="CC61" i="139" s="1"/>
  <c r="DB87" i="139" s="1"/>
  <c r="CB28" i="139"/>
  <c r="CC37" i="139"/>
  <c r="CC64" i="139" s="1"/>
  <c r="DB90" i="139" s="1"/>
  <c r="CC36" i="139"/>
  <c r="CC63" i="139" s="1"/>
  <c r="DB89" i="139" s="1"/>
  <c r="CC33" i="139"/>
  <c r="CC60" i="139" s="1"/>
  <c r="DB86" i="139" s="1"/>
  <c r="CC35" i="139"/>
  <c r="CC62" i="139" s="1"/>
  <c r="DB88" i="139" s="1"/>
  <c r="CB35" i="139" l="1"/>
  <c r="CB62" i="139" s="1"/>
  <c r="DA88" i="139" s="1"/>
  <c r="CB31" i="139"/>
  <c r="CB58" i="139" s="1"/>
  <c r="DA84" i="139" s="1"/>
  <c r="CA28" i="139"/>
  <c r="CB40" i="139"/>
  <c r="CB67" i="139" s="1"/>
  <c r="DA93" i="139" s="1"/>
  <c r="CB36" i="139"/>
  <c r="CB63" i="139" s="1"/>
  <c r="DA89" i="139" s="1"/>
  <c r="CB32" i="139"/>
  <c r="CB59" i="139" s="1"/>
  <c r="DA85" i="139" s="1"/>
  <c r="CB33" i="139"/>
  <c r="CB60" i="139" s="1"/>
  <c r="DA86" i="139" s="1"/>
  <c r="CB41" i="139"/>
  <c r="CB68" i="139" s="1"/>
  <c r="DA94" i="139" s="1"/>
  <c r="CB39" i="139"/>
  <c r="CB66" i="139" s="1"/>
  <c r="DA92" i="139" s="1"/>
  <c r="CB38" i="139"/>
  <c r="CB65" i="139" s="1"/>
  <c r="DA91" i="139" s="1"/>
  <c r="CB30" i="139"/>
  <c r="CB57" i="139" s="1"/>
  <c r="DA83" i="139" s="1"/>
  <c r="CB34" i="139"/>
  <c r="CB61" i="139" s="1"/>
  <c r="DA87" i="139" s="1"/>
  <c r="CB37" i="139"/>
  <c r="CB64" i="139" s="1"/>
  <c r="DA90" i="139" s="1"/>
  <c r="BZ28" i="139" l="1"/>
  <c r="CA33" i="139"/>
  <c r="CA60" i="139" s="1"/>
  <c r="CZ86" i="139" s="1"/>
  <c r="CA38" i="139"/>
  <c r="CA65" i="139" s="1"/>
  <c r="CZ91" i="139" s="1"/>
  <c r="CA36" i="139"/>
  <c r="CA63" i="139" s="1"/>
  <c r="CZ89" i="139" s="1"/>
  <c r="CA35" i="139"/>
  <c r="CA62" i="139" s="1"/>
  <c r="CZ88" i="139" s="1"/>
  <c r="CA31" i="139"/>
  <c r="CA58" i="139" s="1"/>
  <c r="CZ84" i="139" s="1"/>
  <c r="CA32" i="139"/>
  <c r="CA59" i="139" s="1"/>
  <c r="CZ85" i="139" s="1"/>
  <c r="CA39" i="139"/>
  <c r="CA66" i="139" s="1"/>
  <c r="CZ92" i="139" s="1"/>
  <c r="CA41" i="139"/>
  <c r="CA68" i="139" s="1"/>
  <c r="CZ94" i="139" s="1"/>
  <c r="CA30" i="139"/>
  <c r="CA57" i="139" s="1"/>
  <c r="CZ83" i="139" s="1"/>
  <c r="CA37" i="139"/>
  <c r="CA64" i="139" s="1"/>
  <c r="CZ90" i="139" s="1"/>
  <c r="CA40" i="139"/>
  <c r="CA67" i="139" s="1"/>
  <c r="CZ93" i="139" s="1"/>
  <c r="CA34" i="139"/>
  <c r="CA61" i="139" s="1"/>
  <c r="CZ87" i="139" s="1"/>
  <c r="BY28" i="139" l="1"/>
  <c r="BZ41" i="139"/>
  <c r="BZ68" i="139" s="1"/>
  <c r="CY94" i="139" s="1"/>
  <c r="BZ34" i="139"/>
  <c r="BZ61" i="139" s="1"/>
  <c r="CY87" i="139" s="1"/>
  <c r="BZ35" i="139"/>
  <c r="BZ62" i="139" s="1"/>
  <c r="CY88" i="139" s="1"/>
  <c r="BZ30" i="139"/>
  <c r="BZ57" i="139" s="1"/>
  <c r="CY83" i="139" s="1"/>
  <c r="BZ31" i="139"/>
  <c r="BZ58" i="139" s="1"/>
  <c r="CY84" i="139" s="1"/>
  <c r="BZ32" i="139"/>
  <c r="BZ59" i="139" s="1"/>
  <c r="CY85" i="139" s="1"/>
  <c r="BZ39" i="139"/>
  <c r="BZ66" i="139" s="1"/>
  <c r="CY92" i="139" s="1"/>
  <c r="BZ37" i="139"/>
  <c r="BZ64" i="139" s="1"/>
  <c r="CY90" i="139" s="1"/>
  <c r="BZ40" i="139"/>
  <c r="BZ67" i="139" s="1"/>
  <c r="CY93" i="139" s="1"/>
  <c r="BZ38" i="139"/>
  <c r="BZ65" i="139" s="1"/>
  <c r="CY91" i="139" s="1"/>
  <c r="BZ33" i="139"/>
  <c r="BZ60" i="139" s="1"/>
  <c r="CY86" i="139" s="1"/>
  <c r="BZ36" i="139"/>
  <c r="BZ63" i="139" s="1"/>
  <c r="CY89" i="139" s="1"/>
  <c r="BY39" i="139" l="1"/>
  <c r="BY66" i="139" s="1"/>
  <c r="CX92" i="139" s="1"/>
  <c r="BY32" i="139"/>
  <c r="BY59" i="139" s="1"/>
  <c r="CX85" i="139" s="1"/>
  <c r="BY36" i="139"/>
  <c r="BY63" i="139" s="1"/>
  <c r="CX89" i="139" s="1"/>
  <c r="BY33" i="139"/>
  <c r="BY60" i="139" s="1"/>
  <c r="CX86" i="139" s="1"/>
  <c r="BY38" i="139"/>
  <c r="BY65" i="139" s="1"/>
  <c r="CX91" i="139" s="1"/>
  <c r="BY34" i="139"/>
  <c r="BY61" i="139" s="1"/>
  <c r="CX87" i="139" s="1"/>
  <c r="BY40" i="139"/>
  <c r="BY67" i="139" s="1"/>
  <c r="CX93" i="139" s="1"/>
  <c r="BY31" i="139"/>
  <c r="BY58" i="139" s="1"/>
  <c r="CX84" i="139" s="1"/>
  <c r="BY35" i="139"/>
  <c r="BY62" i="139" s="1"/>
  <c r="CX88" i="139" s="1"/>
  <c r="BY41" i="139"/>
  <c r="BY68" i="139" s="1"/>
  <c r="CX94" i="139" s="1"/>
  <c r="BY30" i="139"/>
  <c r="BY57" i="139" s="1"/>
  <c r="CX83" i="139" s="1"/>
  <c r="BY37" i="139"/>
  <c r="BY64" i="139" s="1"/>
  <c r="CX90" i="139" s="1"/>
  <c r="BX28" i="139"/>
  <c r="BX34" i="139" l="1"/>
  <c r="BX61" i="139" s="1"/>
  <c r="CW87" i="139" s="1"/>
  <c r="BX39" i="139"/>
  <c r="BX66" i="139" s="1"/>
  <c r="CW92" i="139" s="1"/>
  <c r="BX32" i="139"/>
  <c r="BX59" i="139" s="1"/>
  <c r="CW85" i="139" s="1"/>
  <c r="BX35" i="139"/>
  <c r="BX62" i="139" s="1"/>
  <c r="CW88" i="139" s="1"/>
  <c r="BX31" i="139"/>
  <c r="BX58" i="139" s="1"/>
  <c r="CW84" i="139" s="1"/>
  <c r="BX36" i="139"/>
  <c r="BX63" i="139" s="1"/>
  <c r="CW89" i="139" s="1"/>
  <c r="BX30" i="139"/>
  <c r="BX57" i="139" s="1"/>
  <c r="CW83" i="139" s="1"/>
  <c r="BX33" i="139"/>
  <c r="BX60" i="139" s="1"/>
  <c r="CW86" i="139" s="1"/>
  <c r="BW28" i="139"/>
  <c r="BX41" i="139"/>
  <c r="BX68" i="139" s="1"/>
  <c r="CW94" i="139" s="1"/>
  <c r="BX40" i="139"/>
  <c r="BX67" i="139" s="1"/>
  <c r="CW93" i="139" s="1"/>
  <c r="BX37" i="139"/>
  <c r="BX64" i="139" s="1"/>
  <c r="CW90" i="139" s="1"/>
  <c r="BX38" i="139"/>
  <c r="BX65" i="139" s="1"/>
  <c r="CW91" i="139" s="1"/>
  <c r="BW39" i="139" l="1"/>
  <c r="BW66" i="139" s="1"/>
  <c r="CV92" i="139" s="1"/>
  <c r="BV28" i="139"/>
  <c r="BW36" i="139"/>
  <c r="BW63" i="139" s="1"/>
  <c r="CV89" i="139" s="1"/>
  <c r="BW31" i="139"/>
  <c r="BW58" i="139" s="1"/>
  <c r="CV84" i="139" s="1"/>
  <c r="BW38" i="139"/>
  <c r="BW65" i="139" s="1"/>
  <c r="CV91" i="139" s="1"/>
  <c r="BW35" i="139"/>
  <c r="BW62" i="139" s="1"/>
  <c r="CV88" i="139" s="1"/>
  <c r="BW40" i="139"/>
  <c r="BW67" i="139" s="1"/>
  <c r="CV93" i="139" s="1"/>
  <c r="BW32" i="139"/>
  <c r="BW59" i="139" s="1"/>
  <c r="CV85" i="139" s="1"/>
  <c r="BW30" i="139"/>
  <c r="BW57" i="139" s="1"/>
  <c r="CV83" i="139" s="1"/>
  <c r="BW41" i="139"/>
  <c r="BW68" i="139" s="1"/>
  <c r="CV94" i="139" s="1"/>
  <c r="BW33" i="139"/>
  <c r="BW60" i="139" s="1"/>
  <c r="CV86" i="139" s="1"/>
  <c r="BW34" i="139"/>
  <c r="BW61" i="139" s="1"/>
  <c r="CV87" i="139" s="1"/>
  <c r="BW37" i="139"/>
  <c r="BW64" i="139" s="1"/>
  <c r="CV90" i="139" s="1"/>
  <c r="BV37" i="139" l="1"/>
  <c r="BV64" i="139" s="1"/>
  <c r="CU90" i="139" s="1"/>
  <c r="BV32" i="139"/>
  <c r="BV59" i="139" s="1"/>
  <c r="CU85" i="139" s="1"/>
  <c r="BV39" i="139"/>
  <c r="BV66" i="139" s="1"/>
  <c r="CU92" i="139" s="1"/>
  <c r="BV33" i="139"/>
  <c r="BV60" i="139" s="1"/>
  <c r="CU86" i="139" s="1"/>
  <c r="BV34" i="139"/>
  <c r="BV61" i="139" s="1"/>
  <c r="CU87" i="139" s="1"/>
  <c r="BV35" i="139"/>
  <c r="BV62" i="139" s="1"/>
  <c r="CU88" i="139" s="1"/>
  <c r="BV31" i="139"/>
  <c r="BV58" i="139" s="1"/>
  <c r="CU84" i="139" s="1"/>
  <c r="BV41" i="139"/>
  <c r="BV68" i="139" s="1"/>
  <c r="CU94" i="139" s="1"/>
  <c r="BV36" i="139"/>
  <c r="BV63" i="139" s="1"/>
  <c r="CU89" i="139" s="1"/>
  <c r="BV38" i="139"/>
  <c r="BV65" i="139" s="1"/>
  <c r="CU91" i="139" s="1"/>
  <c r="BV30" i="139"/>
  <c r="BV57" i="139" s="1"/>
  <c r="CU83" i="139" s="1"/>
  <c r="BV40" i="139"/>
  <c r="BV67" i="139" s="1"/>
  <c r="CU93" i="139" s="1"/>
  <c r="BU28" i="139"/>
  <c r="BT28" i="139" l="1"/>
  <c r="BU30" i="139"/>
  <c r="BU57" i="139" s="1"/>
  <c r="CT83" i="139" s="1"/>
  <c r="BU33" i="139"/>
  <c r="BU60" i="139" s="1"/>
  <c r="CT86" i="139" s="1"/>
  <c r="BU31" i="139"/>
  <c r="BU58" i="139" s="1"/>
  <c r="CT84" i="139" s="1"/>
  <c r="BU40" i="139"/>
  <c r="BU67" i="139" s="1"/>
  <c r="CT93" i="139" s="1"/>
  <c r="BU37" i="139"/>
  <c r="BU64" i="139" s="1"/>
  <c r="CT90" i="139" s="1"/>
  <c r="BU38" i="139"/>
  <c r="BU65" i="139" s="1"/>
  <c r="CT91" i="139" s="1"/>
  <c r="BU39" i="139"/>
  <c r="BU66" i="139" s="1"/>
  <c r="CT92" i="139" s="1"/>
  <c r="BU34" i="139"/>
  <c r="BU61" i="139" s="1"/>
  <c r="CT87" i="139" s="1"/>
  <c r="BU36" i="139"/>
  <c r="BU63" i="139" s="1"/>
  <c r="CT89" i="139" s="1"/>
  <c r="BU35" i="139"/>
  <c r="BU62" i="139" s="1"/>
  <c r="CT88" i="139" s="1"/>
  <c r="BU32" i="139"/>
  <c r="BU59" i="139" s="1"/>
  <c r="CT85" i="139" s="1"/>
  <c r="BU41" i="139"/>
  <c r="BU68" i="139" s="1"/>
  <c r="CT94" i="139" s="1"/>
  <c r="BT40" i="139" l="1"/>
  <c r="BT67" i="139" s="1"/>
  <c r="CS93" i="139" s="1"/>
  <c r="BT38" i="139"/>
  <c r="BT65" i="139" s="1"/>
  <c r="CS91" i="139" s="1"/>
  <c r="BT37" i="139"/>
  <c r="BT64" i="139" s="1"/>
  <c r="CS90" i="139" s="1"/>
  <c r="BT36" i="139"/>
  <c r="BT63" i="139" s="1"/>
  <c r="CS89" i="139" s="1"/>
  <c r="BT41" i="139"/>
  <c r="BT68" i="139" s="1"/>
  <c r="CS94" i="139" s="1"/>
  <c r="BT32" i="139"/>
  <c r="BT59" i="139" s="1"/>
  <c r="CS85" i="139" s="1"/>
  <c r="BT34" i="139"/>
  <c r="BT61" i="139" s="1"/>
  <c r="CS87" i="139" s="1"/>
  <c r="BT35" i="139"/>
  <c r="BT62" i="139" s="1"/>
  <c r="CS88" i="139" s="1"/>
  <c r="BT30" i="139"/>
  <c r="BT57" i="139" s="1"/>
  <c r="CS83" i="139" s="1"/>
  <c r="BT39" i="139"/>
  <c r="BT66" i="139" s="1"/>
  <c r="CS92" i="139" s="1"/>
  <c r="BT31" i="139"/>
  <c r="BT58" i="139" s="1"/>
  <c r="CS84" i="139" s="1"/>
  <c r="BT33" i="139"/>
  <c r="BT60" i="139" s="1"/>
  <c r="CS86" i="139" s="1"/>
  <c r="BS28" i="139"/>
  <c r="BS36" i="139" l="1"/>
  <c r="BS63" i="139" s="1"/>
  <c r="CR89" i="139" s="1"/>
  <c r="BS34" i="139"/>
  <c r="BS61" i="139" s="1"/>
  <c r="CR87" i="139" s="1"/>
  <c r="BS40" i="139"/>
  <c r="BS67" i="139" s="1"/>
  <c r="CR93" i="139" s="1"/>
  <c r="BS37" i="139"/>
  <c r="BS64" i="139" s="1"/>
  <c r="CR90" i="139" s="1"/>
  <c r="BS32" i="139"/>
  <c r="BS59" i="139" s="1"/>
  <c r="CR85" i="139" s="1"/>
  <c r="BR28" i="139"/>
  <c r="BS33" i="139"/>
  <c r="BS60" i="139" s="1"/>
  <c r="CR86" i="139" s="1"/>
  <c r="BS30" i="139"/>
  <c r="BS57" i="139" s="1"/>
  <c r="CR83" i="139" s="1"/>
  <c r="BS38" i="139"/>
  <c r="BS65" i="139" s="1"/>
  <c r="CR91" i="139" s="1"/>
  <c r="BS41" i="139"/>
  <c r="BS68" i="139" s="1"/>
  <c r="CR94" i="139" s="1"/>
  <c r="BS31" i="139"/>
  <c r="BS58" i="139" s="1"/>
  <c r="CR84" i="139" s="1"/>
  <c r="BS35" i="139"/>
  <c r="BS62" i="139" s="1"/>
  <c r="CR88" i="139" s="1"/>
  <c r="BS39" i="139"/>
  <c r="BS66" i="139" s="1"/>
  <c r="CR92" i="139" s="1"/>
  <c r="BR34" i="139" l="1"/>
  <c r="BR61" i="139" s="1"/>
  <c r="CQ87" i="139" s="1"/>
  <c r="BR38" i="139"/>
  <c r="BR65" i="139" s="1"/>
  <c r="CQ91" i="139" s="1"/>
  <c r="BR32" i="139"/>
  <c r="BR59" i="139" s="1"/>
  <c r="CQ85" i="139" s="1"/>
  <c r="BR31" i="139"/>
  <c r="BR58" i="139" s="1"/>
  <c r="CQ84" i="139" s="1"/>
  <c r="BR36" i="139"/>
  <c r="BR63" i="139" s="1"/>
  <c r="CQ89" i="139" s="1"/>
  <c r="BQ28" i="139"/>
  <c r="BR37" i="139"/>
  <c r="BR64" i="139" s="1"/>
  <c r="CQ90" i="139" s="1"/>
  <c r="BR41" i="139"/>
  <c r="BR68" i="139" s="1"/>
  <c r="CQ94" i="139" s="1"/>
  <c r="BR40" i="139"/>
  <c r="BR67" i="139" s="1"/>
  <c r="CQ93" i="139" s="1"/>
  <c r="BR39" i="139"/>
  <c r="BR66" i="139" s="1"/>
  <c r="CQ92" i="139" s="1"/>
  <c r="BR35" i="139"/>
  <c r="BR62" i="139" s="1"/>
  <c r="CQ88" i="139" s="1"/>
  <c r="BR30" i="139"/>
  <c r="BR57" i="139" s="1"/>
  <c r="CQ83" i="139" s="1"/>
  <c r="BR33" i="139"/>
  <c r="BR60" i="139" s="1"/>
  <c r="CQ86" i="139" s="1"/>
  <c r="BQ36" i="139" l="1"/>
  <c r="BQ63" i="139" s="1"/>
  <c r="CP89" i="139" s="1"/>
  <c r="BQ35" i="139"/>
  <c r="BQ62" i="139" s="1"/>
  <c r="CP88" i="139" s="1"/>
  <c r="BQ37" i="139"/>
  <c r="BQ64" i="139" s="1"/>
  <c r="CP90" i="139" s="1"/>
  <c r="BP28" i="139"/>
  <c r="BQ41" i="139"/>
  <c r="BQ68" i="139" s="1"/>
  <c r="CP94" i="139" s="1"/>
  <c r="BQ40" i="139"/>
  <c r="BQ67" i="139" s="1"/>
  <c r="CP93" i="139" s="1"/>
  <c r="BQ33" i="139"/>
  <c r="BQ60" i="139" s="1"/>
  <c r="CP86" i="139" s="1"/>
  <c r="BQ31" i="139"/>
  <c r="BQ58" i="139" s="1"/>
  <c r="CP84" i="139" s="1"/>
  <c r="BQ39" i="139"/>
  <c r="BQ66" i="139" s="1"/>
  <c r="CP92" i="139" s="1"/>
  <c r="BQ34" i="139"/>
  <c r="BQ61" i="139" s="1"/>
  <c r="CP87" i="139" s="1"/>
  <c r="BQ38" i="139"/>
  <c r="BQ65" i="139" s="1"/>
  <c r="CP91" i="139" s="1"/>
  <c r="BQ32" i="139"/>
  <c r="BQ59" i="139" s="1"/>
  <c r="CP85" i="139" s="1"/>
  <c r="BQ30" i="139"/>
  <c r="BQ57" i="139" s="1"/>
  <c r="CP83" i="139" s="1"/>
  <c r="BP40" i="139" l="1"/>
  <c r="BP67" i="139" s="1"/>
  <c r="CO93" i="139" s="1"/>
  <c r="BP36" i="139"/>
  <c r="BP63" i="139" s="1"/>
  <c r="CO89" i="139" s="1"/>
  <c r="BP33" i="139"/>
  <c r="BP60" i="139" s="1"/>
  <c r="CO86" i="139" s="1"/>
  <c r="BP34" i="139"/>
  <c r="BP61" i="139" s="1"/>
  <c r="CO87" i="139" s="1"/>
  <c r="BP41" i="139"/>
  <c r="BP68" i="139" s="1"/>
  <c r="CO94" i="139" s="1"/>
  <c r="BP31" i="139"/>
  <c r="BP58" i="139" s="1"/>
  <c r="CO84" i="139" s="1"/>
  <c r="BP39" i="139"/>
  <c r="BP66" i="139" s="1"/>
  <c r="CO92" i="139" s="1"/>
  <c r="BP38" i="139"/>
  <c r="BP65" i="139" s="1"/>
  <c r="CO91" i="139" s="1"/>
  <c r="BP30" i="139"/>
  <c r="BP57" i="139" s="1"/>
  <c r="CO83" i="139" s="1"/>
  <c r="BP32" i="139"/>
  <c r="BP59" i="139" s="1"/>
  <c r="CO85" i="139" s="1"/>
  <c r="BP37" i="139"/>
  <c r="BP64" i="139" s="1"/>
  <c r="CO90" i="139" s="1"/>
  <c r="BP35" i="139"/>
  <c r="BP62" i="139" s="1"/>
  <c r="CO88" i="139" s="1"/>
  <c r="BO28" i="139"/>
  <c r="BO32" i="139" l="1"/>
  <c r="BO59" i="139" s="1"/>
  <c r="CN85" i="139" s="1"/>
  <c r="BO33" i="139"/>
  <c r="BO60" i="139" s="1"/>
  <c r="CN86" i="139" s="1"/>
  <c r="BO41" i="139"/>
  <c r="BO68" i="139" s="1"/>
  <c r="CN94" i="139" s="1"/>
  <c r="BO36" i="139"/>
  <c r="BO63" i="139" s="1"/>
  <c r="CN89" i="139" s="1"/>
  <c r="BO30" i="139"/>
  <c r="BO57" i="139" s="1"/>
  <c r="CN83" i="139" s="1"/>
  <c r="BO39" i="139"/>
  <c r="BO66" i="139" s="1"/>
  <c r="CN92" i="139" s="1"/>
  <c r="BO40" i="139"/>
  <c r="BO67" i="139" s="1"/>
  <c r="CN93" i="139" s="1"/>
  <c r="BO34" i="139"/>
  <c r="BO61" i="139" s="1"/>
  <c r="CN87" i="139" s="1"/>
  <c r="BO37" i="139"/>
  <c r="BO64" i="139" s="1"/>
  <c r="CN90" i="139" s="1"/>
  <c r="BO35" i="139"/>
  <c r="BO62" i="139" s="1"/>
  <c r="CN88" i="139" s="1"/>
  <c r="BO31" i="139"/>
  <c r="BO58" i="139" s="1"/>
  <c r="CN84" i="139" s="1"/>
  <c r="BN28" i="139"/>
  <c r="BO38" i="139"/>
  <c r="BO65" i="139" s="1"/>
  <c r="CN91" i="139" s="1"/>
  <c r="BN40" i="139" l="1"/>
  <c r="BN67" i="139" s="1"/>
  <c r="CM93" i="139" s="1"/>
  <c r="BN38" i="139"/>
  <c r="BN65" i="139" s="1"/>
  <c r="CM91" i="139" s="1"/>
  <c r="BN30" i="139"/>
  <c r="BN57" i="139" s="1"/>
  <c r="CM83" i="139" s="1"/>
  <c r="BN39" i="139"/>
  <c r="BN66" i="139" s="1"/>
  <c r="CM92" i="139" s="1"/>
  <c r="BN41" i="139"/>
  <c r="BN68" i="139" s="1"/>
  <c r="CM94" i="139" s="1"/>
  <c r="BN34" i="139"/>
  <c r="BN61" i="139" s="1"/>
  <c r="CM87" i="139" s="1"/>
  <c r="BM28" i="139"/>
  <c r="BN36" i="139"/>
  <c r="BN63" i="139" s="1"/>
  <c r="CM89" i="139" s="1"/>
  <c r="BN37" i="139"/>
  <c r="BN64" i="139" s="1"/>
  <c r="CM90" i="139" s="1"/>
  <c r="BN31" i="139"/>
  <c r="BN58" i="139" s="1"/>
  <c r="CM84" i="139" s="1"/>
  <c r="BN33" i="139"/>
  <c r="BN60" i="139" s="1"/>
  <c r="CM86" i="139" s="1"/>
  <c r="BN32" i="139"/>
  <c r="BN59" i="139" s="1"/>
  <c r="CM85" i="139" s="1"/>
  <c r="BN35" i="139"/>
  <c r="BN62" i="139" s="1"/>
  <c r="CM88" i="139" s="1"/>
  <c r="BM35" i="139" l="1"/>
  <c r="BM62" i="139" s="1"/>
  <c r="CL88" i="139" s="1"/>
  <c r="BM34" i="139"/>
  <c r="BM61" i="139" s="1"/>
  <c r="CL87" i="139" s="1"/>
  <c r="BL28" i="139"/>
  <c r="BM33" i="139"/>
  <c r="BM60" i="139" s="1"/>
  <c r="CL86" i="139" s="1"/>
  <c r="BM30" i="139"/>
  <c r="BM57" i="139" s="1"/>
  <c r="CL83" i="139" s="1"/>
  <c r="BM36" i="139"/>
  <c r="BM63" i="139" s="1"/>
  <c r="CL89" i="139" s="1"/>
  <c r="BM39" i="139"/>
  <c r="BM66" i="139" s="1"/>
  <c r="CL92" i="139" s="1"/>
  <c r="BM31" i="139"/>
  <c r="BM58" i="139" s="1"/>
  <c r="CL84" i="139" s="1"/>
  <c r="BM32" i="139"/>
  <c r="BM59" i="139" s="1"/>
  <c r="CL85" i="139" s="1"/>
  <c r="BM37" i="139"/>
  <c r="BM64" i="139" s="1"/>
  <c r="CL90" i="139" s="1"/>
  <c r="BM38" i="139"/>
  <c r="BM65" i="139" s="1"/>
  <c r="CL91" i="139" s="1"/>
  <c r="BM41" i="139"/>
  <c r="BM68" i="139" s="1"/>
  <c r="CL94" i="139" s="1"/>
  <c r="BM40" i="139"/>
  <c r="BM67" i="139" s="1"/>
  <c r="CL93" i="139" s="1"/>
  <c r="BL38" i="139" l="1"/>
  <c r="BL65" i="139" s="1"/>
  <c r="CK91" i="139" s="1"/>
  <c r="BK28" i="139"/>
  <c r="BL34" i="139"/>
  <c r="BL61" i="139" s="1"/>
  <c r="CK87" i="139" s="1"/>
  <c r="BL36" i="139"/>
  <c r="BL63" i="139" s="1"/>
  <c r="CK89" i="139" s="1"/>
  <c r="BL37" i="139"/>
  <c r="BL64" i="139" s="1"/>
  <c r="CK90" i="139" s="1"/>
  <c r="BL41" i="139"/>
  <c r="BL68" i="139" s="1"/>
  <c r="CK94" i="139" s="1"/>
  <c r="BL40" i="139"/>
  <c r="BL67" i="139" s="1"/>
  <c r="CK93" i="139" s="1"/>
  <c r="BL33" i="139"/>
  <c r="BL60" i="139" s="1"/>
  <c r="CK86" i="139" s="1"/>
  <c r="BL35" i="139"/>
  <c r="BL62" i="139" s="1"/>
  <c r="CK88" i="139" s="1"/>
  <c r="BL30" i="139"/>
  <c r="BL57" i="139" s="1"/>
  <c r="CK83" i="139" s="1"/>
  <c r="BL32" i="139"/>
  <c r="BL59" i="139" s="1"/>
  <c r="CK85" i="139" s="1"/>
  <c r="BL39" i="139"/>
  <c r="BL66" i="139" s="1"/>
  <c r="CK92" i="139" s="1"/>
  <c r="BL31" i="139"/>
  <c r="BL58" i="139" s="1"/>
  <c r="CK84" i="139" s="1"/>
  <c r="BK40" i="139" l="1"/>
  <c r="BK67" i="139" s="1"/>
  <c r="CJ93" i="139" s="1"/>
  <c r="BK39" i="139"/>
  <c r="BK66" i="139" s="1"/>
  <c r="CJ92" i="139" s="1"/>
  <c r="BK37" i="139"/>
  <c r="BK64" i="139" s="1"/>
  <c r="CJ90" i="139" s="1"/>
  <c r="BK35" i="139"/>
  <c r="BK62" i="139" s="1"/>
  <c r="CJ88" i="139" s="1"/>
  <c r="BJ28" i="139"/>
  <c r="BK38" i="139"/>
  <c r="BK65" i="139" s="1"/>
  <c r="CJ91" i="139" s="1"/>
  <c r="BK30" i="139"/>
  <c r="BK57" i="139" s="1"/>
  <c r="CJ83" i="139" s="1"/>
  <c r="BK41" i="139"/>
  <c r="BK68" i="139" s="1"/>
  <c r="CJ94" i="139" s="1"/>
  <c r="BK34" i="139"/>
  <c r="BK61" i="139" s="1"/>
  <c r="CJ87" i="139" s="1"/>
  <c r="BK36" i="139"/>
  <c r="BK63" i="139" s="1"/>
  <c r="CJ89" i="139" s="1"/>
  <c r="BK32" i="139"/>
  <c r="BK59" i="139" s="1"/>
  <c r="CJ85" i="139" s="1"/>
  <c r="BK33" i="139"/>
  <c r="BK60" i="139" s="1"/>
  <c r="CJ86" i="139" s="1"/>
  <c r="BK31" i="139"/>
  <c r="BK58" i="139" s="1"/>
  <c r="CJ84" i="139" s="1"/>
  <c r="BJ38" i="139" l="1"/>
  <c r="BJ65" i="139" s="1"/>
  <c r="CI91" i="139" s="1"/>
  <c r="BJ35" i="139"/>
  <c r="BJ62" i="139" s="1"/>
  <c r="CI88" i="139" s="1"/>
  <c r="BI28" i="139"/>
  <c r="BJ30" i="139"/>
  <c r="BJ57" i="139" s="1"/>
  <c r="CI83" i="139" s="1"/>
  <c r="BJ41" i="139"/>
  <c r="BJ68" i="139" s="1"/>
  <c r="CI94" i="139" s="1"/>
  <c r="BJ39" i="139"/>
  <c r="BJ66" i="139" s="1"/>
  <c r="CI92" i="139" s="1"/>
  <c r="BJ40" i="139"/>
  <c r="BJ67" i="139" s="1"/>
  <c r="CI93" i="139" s="1"/>
  <c r="BJ32" i="139"/>
  <c r="BJ59" i="139" s="1"/>
  <c r="CI85" i="139" s="1"/>
  <c r="BJ37" i="139"/>
  <c r="BJ64" i="139" s="1"/>
  <c r="CI90" i="139" s="1"/>
  <c r="BJ31" i="139"/>
  <c r="BJ58" i="139" s="1"/>
  <c r="CI84" i="139" s="1"/>
  <c r="BJ36" i="139"/>
  <c r="BJ63" i="139" s="1"/>
  <c r="CI89" i="139" s="1"/>
  <c r="BJ33" i="139"/>
  <c r="BJ60" i="139" s="1"/>
  <c r="CI86" i="139" s="1"/>
  <c r="BJ34" i="139"/>
  <c r="BJ61" i="139" s="1"/>
  <c r="CI87" i="139" s="1"/>
  <c r="BI32" i="139" l="1"/>
  <c r="BI59" i="139" s="1"/>
  <c r="CH85" i="139" s="1"/>
  <c r="BH28" i="139"/>
  <c r="BI38" i="139"/>
  <c r="BI65" i="139" s="1"/>
  <c r="CH91" i="139" s="1"/>
  <c r="BI30" i="139"/>
  <c r="BI57" i="139" s="1"/>
  <c r="CH83" i="139" s="1"/>
  <c r="BI39" i="139"/>
  <c r="BI66" i="139" s="1"/>
  <c r="CH92" i="139" s="1"/>
  <c r="BI37" i="139"/>
  <c r="BI64" i="139" s="1"/>
  <c r="CH90" i="139" s="1"/>
  <c r="BI40" i="139"/>
  <c r="BI67" i="139" s="1"/>
  <c r="CH93" i="139" s="1"/>
  <c r="BI35" i="139"/>
  <c r="BI62" i="139" s="1"/>
  <c r="CH88" i="139" s="1"/>
  <c r="BI31" i="139"/>
  <c r="BI58" i="139" s="1"/>
  <c r="CH84" i="139" s="1"/>
  <c r="BI33" i="139"/>
  <c r="BI60" i="139" s="1"/>
  <c r="CH86" i="139" s="1"/>
  <c r="BI34" i="139"/>
  <c r="BI61" i="139" s="1"/>
  <c r="CH87" i="139" s="1"/>
  <c r="BI41" i="139"/>
  <c r="BI68" i="139" s="1"/>
  <c r="CH94" i="139" s="1"/>
  <c r="BI36" i="139"/>
  <c r="BI63" i="139" s="1"/>
  <c r="CH89" i="139" s="1"/>
  <c r="BH41" i="139" l="1"/>
  <c r="BH68" i="139" s="1"/>
  <c r="CG94" i="139" s="1"/>
  <c r="BG28" i="139"/>
  <c r="BH39" i="139"/>
  <c r="BH66" i="139" s="1"/>
  <c r="CG92" i="139" s="1"/>
  <c r="BH38" i="139"/>
  <c r="BH65" i="139" s="1"/>
  <c r="CG91" i="139" s="1"/>
  <c r="BH33" i="139"/>
  <c r="BH60" i="139" s="1"/>
  <c r="CG86" i="139" s="1"/>
  <c r="BH30" i="139"/>
  <c r="BH57" i="139" s="1"/>
  <c r="CG83" i="139" s="1"/>
  <c r="BH35" i="139"/>
  <c r="BH62" i="139" s="1"/>
  <c r="CG88" i="139" s="1"/>
  <c r="BH32" i="139"/>
  <c r="BH59" i="139" s="1"/>
  <c r="CG85" i="139" s="1"/>
  <c r="BH36" i="139"/>
  <c r="BH63" i="139" s="1"/>
  <c r="CG89" i="139" s="1"/>
  <c r="BH40" i="139"/>
  <c r="BH67" i="139" s="1"/>
  <c r="CG93" i="139" s="1"/>
  <c r="BH37" i="139"/>
  <c r="BH64" i="139" s="1"/>
  <c r="CG90" i="139" s="1"/>
  <c r="BH34" i="139"/>
  <c r="BH61" i="139" s="1"/>
  <c r="CG87" i="139" s="1"/>
  <c r="BH31" i="139"/>
  <c r="BH58" i="139" s="1"/>
  <c r="CG84" i="139" s="1"/>
  <c r="BG39" i="139" l="1"/>
  <c r="BG66" i="139" s="1"/>
  <c r="CF92" i="139" s="1"/>
  <c r="BG31" i="139"/>
  <c r="BG58" i="139" s="1"/>
  <c r="CF84" i="139" s="1"/>
  <c r="BF28" i="139"/>
  <c r="BG38" i="139"/>
  <c r="BG65" i="139" s="1"/>
  <c r="CF91" i="139" s="1"/>
  <c r="BG34" i="139"/>
  <c r="BG61" i="139" s="1"/>
  <c r="CF87" i="139" s="1"/>
  <c r="BG33" i="139"/>
  <c r="BG60" i="139" s="1"/>
  <c r="CF86" i="139" s="1"/>
  <c r="BG36" i="139"/>
  <c r="BG63" i="139" s="1"/>
  <c r="CF89" i="139" s="1"/>
  <c r="BG41" i="139"/>
  <c r="BG68" i="139" s="1"/>
  <c r="CF94" i="139" s="1"/>
  <c r="BG32" i="139"/>
  <c r="BG59" i="139" s="1"/>
  <c r="CF85" i="139" s="1"/>
  <c r="BG35" i="139"/>
  <c r="BG62" i="139" s="1"/>
  <c r="CF88" i="139" s="1"/>
  <c r="BG37" i="139"/>
  <c r="BG64" i="139" s="1"/>
  <c r="CF90" i="139" s="1"/>
  <c r="BG40" i="139"/>
  <c r="BG67" i="139" s="1"/>
  <c r="CF93" i="139" s="1"/>
  <c r="BG30" i="139"/>
  <c r="BG57" i="139" s="1"/>
  <c r="CF83" i="139" s="1"/>
  <c r="BF36" i="139" l="1"/>
  <c r="BF63" i="139" s="1"/>
  <c r="CE89" i="139" s="1"/>
  <c r="BF30" i="139"/>
  <c r="BF57" i="139" s="1"/>
  <c r="CE83" i="139" s="1"/>
  <c r="BF33" i="139"/>
  <c r="BF60" i="139" s="1"/>
  <c r="CE86" i="139" s="1"/>
  <c r="BF40" i="139"/>
  <c r="BF67" i="139" s="1"/>
  <c r="CE93" i="139" s="1"/>
  <c r="BF39" i="139"/>
  <c r="BF66" i="139" s="1"/>
  <c r="CE92" i="139" s="1"/>
  <c r="BE28" i="139"/>
  <c r="BF35" i="139"/>
  <c r="BF62" i="139" s="1"/>
  <c r="CE88" i="139" s="1"/>
  <c r="BF38" i="139"/>
  <c r="BF65" i="139" s="1"/>
  <c r="CE91" i="139" s="1"/>
  <c r="BF31" i="139"/>
  <c r="BF58" i="139" s="1"/>
  <c r="CE84" i="139" s="1"/>
  <c r="BF41" i="139"/>
  <c r="BF68" i="139" s="1"/>
  <c r="CE94" i="139" s="1"/>
  <c r="BF32" i="139"/>
  <c r="BF59" i="139" s="1"/>
  <c r="CE85" i="139" s="1"/>
  <c r="BF34" i="139"/>
  <c r="BF61" i="139" s="1"/>
  <c r="CE87" i="139" s="1"/>
  <c r="BF37" i="139"/>
  <c r="BF64" i="139" s="1"/>
  <c r="CE90" i="139" s="1"/>
  <c r="BD28" i="139" l="1"/>
  <c r="BE39" i="139"/>
  <c r="BE66" i="139" s="1"/>
  <c r="CD92" i="139" s="1"/>
  <c r="BE37" i="139"/>
  <c r="BE64" i="139" s="1"/>
  <c r="CD90" i="139" s="1"/>
  <c r="BE36" i="139"/>
  <c r="BE63" i="139" s="1"/>
  <c r="CD89" i="139" s="1"/>
  <c r="BE38" i="139"/>
  <c r="BE65" i="139" s="1"/>
  <c r="CD91" i="139" s="1"/>
  <c r="BE30" i="139"/>
  <c r="BE57" i="139" s="1"/>
  <c r="CD83" i="139" s="1"/>
  <c r="BE32" i="139"/>
  <c r="BE59" i="139" s="1"/>
  <c r="CD85" i="139" s="1"/>
  <c r="BE41" i="139"/>
  <c r="BE68" i="139" s="1"/>
  <c r="CD94" i="139" s="1"/>
  <c r="BE34" i="139"/>
  <c r="BE61" i="139" s="1"/>
  <c r="CD87" i="139" s="1"/>
  <c r="BE35" i="139"/>
  <c r="BE62" i="139" s="1"/>
  <c r="CD88" i="139" s="1"/>
  <c r="BE31" i="139"/>
  <c r="BE58" i="139" s="1"/>
  <c r="CD84" i="139" s="1"/>
  <c r="BE33" i="139"/>
  <c r="BE60" i="139" s="1"/>
  <c r="CD86" i="139" s="1"/>
  <c r="BE40" i="139"/>
  <c r="BE67" i="139" s="1"/>
  <c r="CD93" i="139" s="1"/>
  <c r="JK31" i="139"/>
  <c r="JL31" i="139" s="1"/>
  <c r="JN31" i="139" s="1"/>
  <c r="JJ31" i="139"/>
  <c r="JI31" i="139"/>
  <c r="JJ32" i="139"/>
  <c r="JI32" i="139"/>
  <c r="JK32" i="139"/>
  <c r="JL32" i="139" s="1"/>
  <c r="JN32" i="139" s="1"/>
  <c r="JJ35" i="139"/>
  <c r="JK35" i="139"/>
  <c r="JL35" i="139" s="1"/>
  <c r="JN35" i="139" s="1"/>
  <c r="JI35" i="139"/>
  <c r="JK30" i="139"/>
  <c r="JL30" i="139" s="1"/>
  <c r="JN30" i="139" s="1"/>
  <c r="JI30" i="139"/>
  <c r="JJ30" i="139"/>
  <c r="JI33" i="139"/>
  <c r="JK33" i="139"/>
  <c r="JL33" i="139" s="1"/>
  <c r="JN33" i="139" s="1"/>
  <c r="JJ33" i="139"/>
  <c r="JI36" i="139"/>
  <c r="JJ36" i="139"/>
  <c r="JK36" i="139"/>
  <c r="JL36" i="139" s="1"/>
  <c r="JN36" i="139" s="1"/>
  <c r="JI34" i="139"/>
  <c r="JJ34" i="139"/>
  <c r="JK34" i="139"/>
  <c r="JL34" i="139" s="1"/>
  <c r="JN34" i="139" s="1"/>
  <c r="JI38" i="139"/>
  <c r="JJ38" i="139"/>
  <c r="JK38" i="139"/>
  <c r="JL38" i="139" s="1"/>
  <c r="JN38" i="139" s="1"/>
  <c r="JI37" i="139"/>
  <c r="JJ37" i="139"/>
  <c r="JK37" i="139"/>
  <c r="JL37" i="139" s="1"/>
  <c r="JN37" i="139" s="1"/>
  <c r="JJ41" i="139"/>
  <c r="JK41" i="139"/>
  <c r="JL41" i="139" s="1"/>
  <c r="JN41" i="139" s="1"/>
  <c r="JI41" i="139"/>
  <c r="JK40" i="139"/>
  <c r="JL40" i="139" s="1"/>
  <c r="JN40" i="139" s="1"/>
  <c r="JI40" i="139"/>
  <c r="JJ40" i="139"/>
  <c r="JK39" i="139"/>
  <c r="JL39" i="139" s="1"/>
  <c r="JN39" i="139" s="1"/>
  <c r="JJ39" i="139"/>
  <c r="JI39" i="139"/>
  <c r="BD33" i="139" l="1"/>
  <c r="BD60" i="139" s="1"/>
  <c r="CC86" i="139" s="1"/>
  <c r="BD36" i="139"/>
  <c r="BD63" i="139" s="1"/>
  <c r="CC89" i="139" s="1"/>
  <c r="BD32" i="139"/>
  <c r="BD59" i="139" s="1"/>
  <c r="CC85" i="139" s="1"/>
  <c r="BD37" i="139"/>
  <c r="BD64" i="139" s="1"/>
  <c r="CC90" i="139" s="1"/>
  <c r="BD41" i="139"/>
  <c r="BD68" i="139" s="1"/>
  <c r="CC94" i="139" s="1"/>
  <c r="BC28" i="139"/>
  <c r="BD30" i="139"/>
  <c r="BD57" i="139" s="1"/>
  <c r="CC83" i="139" s="1"/>
  <c r="BD39" i="139"/>
  <c r="BD66" i="139" s="1"/>
  <c r="CC92" i="139" s="1"/>
  <c r="BD31" i="139"/>
  <c r="BD58" i="139" s="1"/>
  <c r="CC84" i="139" s="1"/>
  <c r="BD38" i="139"/>
  <c r="BD65" i="139" s="1"/>
  <c r="CC91" i="139" s="1"/>
  <c r="BD40" i="139"/>
  <c r="BD67" i="139" s="1"/>
  <c r="CC93" i="139" s="1"/>
  <c r="BD34" i="139"/>
  <c r="BD61" i="139" s="1"/>
  <c r="CC87" i="139" s="1"/>
  <c r="BD35" i="139"/>
  <c r="BD62" i="139" s="1"/>
  <c r="CC88" i="139" s="1"/>
  <c r="JM31" i="139"/>
  <c r="JM41" i="139"/>
  <c r="JJ64" i="139"/>
  <c r="JI64" i="139"/>
  <c r="JK64" i="139"/>
  <c r="JL64" i="139" s="1"/>
  <c r="JN64" i="139" s="1"/>
  <c r="JJ65" i="139"/>
  <c r="JI65" i="139"/>
  <c r="JK65" i="139"/>
  <c r="JL65" i="139" s="1"/>
  <c r="JN65" i="139" s="1"/>
  <c r="JJ61" i="139"/>
  <c r="JI61" i="139"/>
  <c r="JK61" i="139"/>
  <c r="JL61" i="139" s="1"/>
  <c r="JN61" i="139" s="1"/>
  <c r="JJ60" i="139"/>
  <c r="JK60" i="139"/>
  <c r="JL60" i="139" s="1"/>
  <c r="JN60" i="139" s="1"/>
  <c r="JI60" i="139"/>
  <c r="JI59" i="139"/>
  <c r="JK59" i="139"/>
  <c r="JL59" i="139" s="1"/>
  <c r="JN59" i="139" s="1"/>
  <c r="JJ59" i="139"/>
  <c r="JM39" i="139"/>
  <c r="JM40" i="139"/>
  <c r="JM36" i="139"/>
  <c r="JM32" i="139"/>
  <c r="JK66" i="139"/>
  <c r="JL66" i="139" s="1"/>
  <c r="JN66" i="139" s="1"/>
  <c r="JI66" i="139"/>
  <c r="JJ66" i="139"/>
  <c r="JK67" i="139"/>
  <c r="JL67" i="139" s="1"/>
  <c r="JN67" i="139" s="1"/>
  <c r="JJ67" i="139"/>
  <c r="JI67" i="139"/>
  <c r="JI68" i="139"/>
  <c r="JJ68" i="139"/>
  <c r="JK68" i="139"/>
  <c r="JL68" i="139" s="1"/>
  <c r="JN68" i="139" s="1"/>
  <c r="JK63" i="139"/>
  <c r="JL63" i="139" s="1"/>
  <c r="JN63" i="139" s="1"/>
  <c r="JI63" i="139"/>
  <c r="JJ63" i="139"/>
  <c r="JI57" i="139"/>
  <c r="JJ57" i="139"/>
  <c r="JK57" i="139"/>
  <c r="JL57" i="139" s="1"/>
  <c r="JN57" i="139" s="1"/>
  <c r="JI62" i="139"/>
  <c r="JJ62" i="139"/>
  <c r="JK62" i="139"/>
  <c r="JL62" i="139" s="1"/>
  <c r="JN62" i="139" s="1"/>
  <c r="JI58" i="139"/>
  <c r="JJ58" i="139"/>
  <c r="JK58" i="139"/>
  <c r="JL58" i="139" s="1"/>
  <c r="JN58" i="139" s="1"/>
  <c r="JM37" i="139"/>
  <c r="JM38" i="139"/>
  <c r="JM34" i="139"/>
  <c r="JM33" i="139"/>
  <c r="JM30" i="139"/>
  <c r="JM35" i="139"/>
  <c r="BC36" i="139" l="1"/>
  <c r="BC63" i="139" s="1"/>
  <c r="CB89" i="139" s="1"/>
  <c r="BC35" i="139"/>
  <c r="BC62" i="139" s="1"/>
  <c r="CB88" i="139" s="1"/>
  <c r="BC31" i="139"/>
  <c r="BC58" i="139" s="1"/>
  <c r="CB84" i="139" s="1"/>
  <c r="BB28" i="139"/>
  <c r="BC30" i="139"/>
  <c r="BC57" i="139" s="1"/>
  <c r="CB83" i="139" s="1"/>
  <c r="BC33" i="139"/>
  <c r="BC60" i="139" s="1"/>
  <c r="CB86" i="139" s="1"/>
  <c r="BC32" i="139"/>
  <c r="BC59" i="139" s="1"/>
  <c r="CB85" i="139" s="1"/>
  <c r="BC38" i="139"/>
  <c r="BC65" i="139" s="1"/>
  <c r="CB91" i="139" s="1"/>
  <c r="BC37" i="139"/>
  <c r="BC64" i="139" s="1"/>
  <c r="CB90" i="139" s="1"/>
  <c r="BC40" i="139"/>
  <c r="BC67" i="139" s="1"/>
  <c r="CB93" i="139" s="1"/>
  <c r="BC39" i="139"/>
  <c r="BC66" i="139" s="1"/>
  <c r="CB92" i="139" s="1"/>
  <c r="BC41" i="139"/>
  <c r="BC68" i="139" s="1"/>
  <c r="CB94" i="139" s="1"/>
  <c r="BC34" i="139"/>
  <c r="BC61" i="139" s="1"/>
  <c r="CB87" i="139" s="1"/>
  <c r="JM67" i="139"/>
  <c r="JM58" i="139"/>
  <c r="JM62" i="139"/>
  <c r="JM57" i="139"/>
  <c r="JM66" i="139"/>
  <c r="JM65" i="139"/>
  <c r="JM59" i="139"/>
  <c r="JM64" i="139"/>
  <c r="JM63" i="139"/>
  <c r="JM68" i="139"/>
  <c r="JM60" i="139"/>
  <c r="JM61" i="139"/>
  <c r="BB39" i="139" l="1"/>
  <c r="BB66" i="139" s="1"/>
  <c r="CA92" i="139" s="1"/>
  <c r="BB37" i="139"/>
  <c r="BB64" i="139" s="1"/>
  <c r="CA90" i="139" s="1"/>
  <c r="BB34" i="139"/>
  <c r="BB61" i="139" s="1"/>
  <c r="CA87" i="139" s="1"/>
  <c r="BB32" i="139"/>
  <c r="BB59" i="139" s="1"/>
  <c r="CA85" i="139" s="1"/>
  <c r="BB33" i="139"/>
  <c r="BB60" i="139" s="1"/>
  <c r="CA86" i="139" s="1"/>
  <c r="BB38" i="139"/>
  <c r="BB65" i="139" s="1"/>
  <c r="CA91" i="139" s="1"/>
  <c r="BB40" i="139"/>
  <c r="BB67" i="139" s="1"/>
  <c r="CA93" i="139" s="1"/>
  <c r="BA28" i="139"/>
  <c r="BB30" i="139"/>
  <c r="BB57" i="139" s="1"/>
  <c r="CA83" i="139" s="1"/>
  <c r="BB36" i="139"/>
  <c r="BB63" i="139" s="1"/>
  <c r="CA89" i="139" s="1"/>
  <c r="BB41" i="139"/>
  <c r="BB68" i="139" s="1"/>
  <c r="CA94" i="139" s="1"/>
  <c r="BB35" i="139"/>
  <c r="BB62" i="139" s="1"/>
  <c r="CA88" i="139" s="1"/>
  <c r="BB31" i="139"/>
  <c r="BB58" i="139" s="1"/>
  <c r="CA84" i="139" s="1"/>
  <c r="BA38" i="139" l="1"/>
  <c r="BA65" i="139" s="1"/>
  <c r="BZ91" i="139" s="1"/>
  <c r="BA31" i="139"/>
  <c r="BA58" i="139" s="1"/>
  <c r="BZ84" i="139" s="1"/>
  <c r="BA35" i="139"/>
  <c r="BA62" i="139" s="1"/>
  <c r="BZ88" i="139" s="1"/>
  <c r="BA39" i="139"/>
  <c r="BA66" i="139" s="1"/>
  <c r="BZ92" i="139" s="1"/>
  <c r="BA34" i="139"/>
  <c r="BA61" i="139" s="1"/>
  <c r="BZ87" i="139" s="1"/>
  <c r="BA41" i="139"/>
  <c r="BA68" i="139" s="1"/>
  <c r="BZ94" i="139" s="1"/>
  <c r="BA30" i="139"/>
  <c r="BA57" i="139" s="1"/>
  <c r="BZ83" i="139" s="1"/>
  <c r="BA32" i="139"/>
  <c r="BA59" i="139" s="1"/>
  <c r="BZ85" i="139" s="1"/>
  <c r="AZ28" i="139"/>
  <c r="BA40" i="139"/>
  <c r="BA67" i="139" s="1"/>
  <c r="BZ93" i="139" s="1"/>
  <c r="BA33" i="139"/>
  <c r="BA60" i="139" s="1"/>
  <c r="BZ86" i="139" s="1"/>
  <c r="BA36" i="139"/>
  <c r="BA63" i="139" s="1"/>
  <c r="BZ89" i="139" s="1"/>
  <c r="BA37" i="139"/>
  <c r="BA64" i="139" s="1"/>
  <c r="BZ90" i="139" s="1"/>
  <c r="AY28" i="139" l="1"/>
  <c r="AZ37" i="139"/>
  <c r="AZ64" i="139" s="1"/>
  <c r="BY90" i="139" s="1"/>
  <c r="AZ39" i="139"/>
  <c r="AZ66" i="139" s="1"/>
  <c r="BY92" i="139" s="1"/>
  <c r="AZ38" i="139"/>
  <c r="AZ65" i="139" s="1"/>
  <c r="BY91" i="139" s="1"/>
  <c r="AZ32" i="139"/>
  <c r="AZ59" i="139" s="1"/>
  <c r="BY85" i="139" s="1"/>
  <c r="AZ30" i="139"/>
  <c r="AZ57" i="139" s="1"/>
  <c r="BY83" i="139" s="1"/>
  <c r="AZ41" i="139"/>
  <c r="AZ68" i="139" s="1"/>
  <c r="BY94" i="139" s="1"/>
  <c r="AZ40" i="139"/>
  <c r="AZ67" i="139" s="1"/>
  <c r="BY93" i="139" s="1"/>
  <c r="AZ36" i="139"/>
  <c r="AZ63" i="139" s="1"/>
  <c r="BY89" i="139" s="1"/>
  <c r="AZ33" i="139"/>
  <c r="AZ60" i="139" s="1"/>
  <c r="BY86" i="139" s="1"/>
  <c r="AZ35" i="139"/>
  <c r="AZ62" i="139" s="1"/>
  <c r="BY88" i="139" s="1"/>
  <c r="AZ34" i="139"/>
  <c r="AZ61" i="139" s="1"/>
  <c r="BY87" i="139" s="1"/>
  <c r="AZ31" i="139"/>
  <c r="AZ58" i="139" s="1"/>
  <c r="BY84" i="139" s="1"/>
  <c r="AY40" i="139" l="1"/>
  <c r="AY67" i="139" s="1"/>
  <c r="BX93" i="139" s="1"/>
  <c r="AY36" i="139"/>
  <c r="AY63" i="139" s="1"/>
  <c r="BX89" i="139" s="1"/>
  <c r="AY32" i="139"/>
  <c r="AY59" i="139" s="1"/>
  <c r="BX85" i="139" s="1"/>
  <c r="AY38" i="139"/>
  <c r="AY65" i="139" s="1"/>
  <c r="BX91" i="139" s="1"/>
  <c r="AX28" i="139"/>
  <c r="AY39" i="139"/>
  <c r="AY66" i="139" s="1"/>
  <c r="BX92" i="139" s="1"/>
  <c r="AY37" i="139"/>
  <c r="AY64" i="139" s="1"/>
  <c r="BX90" i="139" s="1"/>
  <c r="AY41" i="139"/>
  <c r="AY68" i="139" s="1"/>
  <c r="BX94" i="139" s="1"/>
  <c r="AY35" i="139"/>
  <c r="AY62" i="139" s="1"/>
  <c r="BX88" i="139" s="1"/>
  <c r="AY33" i="139"/>
  <c r="AY60" i="139" s="1"/>
  <c r="BX86" i="139" s="1"/>
  <c r="AY34" i="139"/>
  <c r="AY61" i="139" s="1"/>
  <c r="BX87" i="139" s="1"/>
  <c r="AY30" i="139"/>
  <c r="AY57" i="139" s="1"/>
  <c r="BX83" i="139" s="1"/>
  <c r="AY31" i="139"/>
  <c r="AY58" i="139" s="1"/>
  <c r="BX84" i="139" s="1"/>
  <c r="AX38" i="139" l="1"/>
  <c r="AX65" i="139" s="1"/>
  <c r="BW91" i="139" s="1"/>
  <c r="AX31" i="139"/>
  <c r="AX58" i="139" s="1"/>
  <c r="BW84" i="139" s="1"/>
  <c r="AX40" i="139"/>
  <c r="AX67" i="139" s="1"/>
  <c r="BW93" i="139" s="1"/>
  <c r="AX32" i="139"/>
  <c r="AX59" i="139" s="1"/>
  <c r="BW85" i="139" s="1"/>
  <c r="AX33" i="139"/>
  <c r="AX60" i="139" s="1"/>
  <c r="BW86" i="139" s="1"/>
  <c r="AX41" i="139"/>
  <c r="AX68" i="139" s="1"/>
  <c r="BW94" i="139" s="1"/>
  <c r="AX30" i="139"/>
  <c r="AX57" i="139" s="1"/>
  <c r="BW83" i="139" s="1"/>
  <c r="AX37" i="139"/>
  <c r="AX64" i="139" s="1"/>
  <c r="BW90" i="139" s="1"/>
  <c r="AX36" i="139"/>
  <c r="AX63" i="139" s="1"/>
  <c r="BW89" i="139" s="1"/>
  <c r="AX35" i="139"/>
  <c r="AX62" i="139" s="1"/>
  <c r="BW88" i="139" s="1"/>
  <c r="AX34" i="139"/>
  <c r="AX61" i="139" s="1"/>
  <c r="BW87" i="139" s="1"/>
  <c r="AX39" i="139"/>
  <c r="AX66" i="139" s="1"/>
  <c r="BW92" i="139" s="1"/>
  <c r="AW28" i="139"/>
  <c r="AW32" i="139" l="1"/>
  <c r="AW59" i="139" s="1"/>
  <c r="BV85" i="139" s="1"/>
  <c r="AW38" i="139"/>
  <c r="AW65" i="139" s="1"/>
  <c r="BV91" i="139" s="1"/>
  <c r="AW40" i="139"/>
  <c r="AW67" i="139" s="1"/>
  <c r="BV93" i="139" s="1"/>
  <c r="AW33" i="139"/>
  <c r="AW60" i="139" s="1"/>
  <c r="BV86" i="139" s="1"/>
  <c r="AW34" i="139"/>
  <c r="AW61" i="139" s="1"/>
  <c r="BV87" i="139" s="1"/>
  <c r="AW31" i="139"/>
  <c r="AW58" i="139" s="1"/>
  <c r="BV84" i="139" s="1"/>
  <c r="AW30" i="139"/>
  <c r="AW57" i="139" s="1"/>
  <c r="BV83" i="139" s="1"/>
  <c r="AW36" i="139"/>
  <c r="AW63" i="139" s="1"/>
  <c r="BV89" i="139" s="1"/>
  <c r="AW37" i="139"/>
  <c r="AW64" i="139" s="1"/>
  <c r="BV90" i="139" s="1"/>
  <c r="AW39" i="139"/>
  <c r="AW66" i="139" s="1"/>
  <c r="BV92" i="139" s="1"/>
  <c r="AW35" i="139"/>
  <c r="AW62" i="139" s="1"/>
  <c r="BV88" i="139" s="1"/>
  <c r="AW41" i="139"/>
  <c r="AW68" i="139" s="1"/>
  <c r="BV94" i="139" s="1"/>
  <c r="AV28" i="139"/>
  <c r="AV33" i="139" l="1"/>
  <c r="AV60" i="139" s="1"/>
  <c r="BU86" i="139" s="1"/>
  <c r="AV34" i="139"/>
  <c r="AV61" i="139" s="1"/>
  <c r="BU87" i="139" s="1"/>
  <c r="AV39" i="139"/>
  <c r="AV66" i="139" s="1"/>
  <c r="BU92" i="139" s="1"/>
  <c r="AV38" i="139"/>
  <c r="AV65" i="139" s="1"/>
  <c r="BU91" i="139" s="1"/>
  <c r="AV30" i="139"/>
  <c r="AV57" i="139" s="1"/>
  <c r="BU83" i="139" s="1"/>
  <c r="AV41" i="139"/>
  <c r="AV68" i="139" s="1"/>
  <c r="BU94" i="139" s="1"/>
  <c r="AV32" i="139"/>
  <c r="AV59" i="139" s="1"/>
  <c r="BU85" i="139" s="1"/>
  <c r="AV36" i="139"/>
  <c r="AV63" i="139" s="1"/>
  <c r="BU89" i="139" s="1"/>
  <c r="AV31" i="139"/>
  <c r="AV58" i="139" s="1"/>
  <c r="BU84" i="139" s="1"/>
  <c r="AV35" i="139"/>
  <c r="AV62" i="139" s="1"/>
  <c r="BU88" i="139" s="1"/>
  <c r="AV37" i="139"/>
  <c r="AV64" i="139" s="1"/>
  <c r="BU90" i="139" s="1"/>
  <c r="AU28" i="139"/>
  <c r="AV40" i="139"/>
  <c r="AV67" i="139" s="1"/>
  <c r="BU93" i="139" s="1"/>
  <c r="AU39" i="139" l="1"/>
  <c r="AU66" i="139" s="1"/>
  <c r="BT92" i="139" s="1"/>
  <c r="AU32" i="139"/>
  <c r="AU59" i="139" s="1"/>
  <c r="BT85" i="139" s="1"/>
  <c r="AU36" i="139"/>
  <c r="AU63" i="139" s="1"/>
  <c r="BT89" i="139" s="1"/>
  <c r="AU30" i="139"/>
  <c r="AU57" i="139" s="1"/>
  <c r="BT83" i="139" s="1"/>
  <c r="AU31" i="139"/>
  <c r="AU58" i="139" s="1"/>
  <c r="BT84" i="139" s="1"/>
  <c r="AU34" i="139"/>
  <c r="AU61" i="139" s="1"/>
  <c r="BT87" i="139" s="1"/>
  <c r="AU35" i="139"/>
  <c r="AU62" i="139" s="1"/>
  <c r="BT88" i="139" s="1"/>
  <c r="AU37" i="139"/>
  <c r="AU64" i="139" s="1"/>
  <c r="BT90" i="139" s="1"/>
  <c r="AU40" i="139"/>
  <c r="AU67" i="139" s="1"/>
  <c r="BT93" i="139" s="1"/>
  <c r="AU38" i="139"/>
  <c r="AU65" i="139" s="1"/>
  <c r="BT91" i="139" s="1"/>
  <c r="AU33" i="139"/>
  <c r="AU60" i="139" s="1"/>
  <c r="BT86" i="139" s="1"/>
  <c r="AU41" i="139"/>
  <c r="AU68" i="139" s="1"/>
  <c r="BT94" i="139" s="1"/>
  <c r="AT28" i="139"/>
  <c r="AT30" i="139" l="1"/>
  <c r="AT57" i="139" s="1"/>
  <c r="BS83" i="139" s="1"/>
  <c r="AT33" i="139"/>
  <c r="AT60" i="139" s="1"/>
  <c r="BS86" i="139" s="1"/>
  <c r="AT38" i="139"/>
  <c r="AT65" i="139" s="1"/>
  <c r="BS91" i="139" s="1"/>
  <c r="AT35" i="139"/>
  <c r="AT62" i="139" s="1"/>
  <c r="BS88" i="139" s="1"/>
  <c r="AT40" i="139"/>
  <c r="AT67" i="139" s="1"/>
  <c r="BS93" i="139" s="1"/>
  <c r="AT37" i="139"/>
  <c r="AT64" i="139" s="1"/>
  <c r="BS90" i="139" s="1"/>
  <c r="AT39" i="139"/>
  <c r="AT66" i="139" s="1"/>
  <c r="BS92" i="139" s="1"/>
  <c r="AT41" i="139"/>
  <c r="AT68" i="139" s="1"/>
  <c r="BS94" i="139" s="1"/>
  <c r="AT36" i="139"/>
  <c r="AT63" i="139" s="1"/>
  <c r="BS89" i="139" s="1"/>
  <c r="AS28" i="139"/>
  <c r="AT32" i="139"/>
  <c r="AT59" i="139" s="1"/>
  <c r="BS85" i="139" s="1"/>
  <c r="AT34" i="139"/>
  <c r="AT61" i="139" s="1"/>
  <c r="BS87" i="139" s="1"/>
  <c r="AT31" i="139"/>
  <c r="AT58" i="139" s="1"/>
  <c r="BS84" i="139" s="1"/>
  <c r="AR28" i="139" l="1"/>
  <c r="AS36" i="139"/>
  <c r="AS63" i="139" s="1"/>
  <c r="BR89" i="139" s="1"/>
  <c r="AS32" i="139"/>
  <c r="AS59" i="139" s="1"/>
  <c r="BR85" i="139" s="1"/>
  <c r="AS34" i="139"/>
  <c r="AS61" i="139" s="1"/>
  <c r="BR87" i="139" s="1"/>
  <c r="AS38" i="139"/>
  <c r="AS65" i="139" s="1"/>
  <c r="BR91" i="139" s="1"/>
  <c r="AS39" i="139"/>
  <c r="AS66" i="139" s="1"/>
  <c r="BR92" i="139" s="1"/>
  <c r="AS37" i="139"/>
  <c r="AS64" i="139" s="1"/>
  <c r="BR90" i="139" s="1"/>
  <c r="AS35" i="139"/>
  <c r="AS62" i="139" s="1"/>
  <c r="BR88" i="139" s="1"/>
  <c r="AS31" i="139"/>
  <c r="AS58" i="139" s="1"/>
  <c r="BR84" i="139" s="1"/>
  <c r="AS40" i="139"/>
  <c r="AS67" i="139" s="1"/>
  <c r="BR93" i="139" s="1"/>
  <c r="AS41" i="139"/>
  <c r="AS68" i="139" s="1"/>
  <c r="BR94" i="139" s="1"/>
  <c r="AS30" i="139"/>
  <c r="AS57" i="139" s="1"/>
  <c r="BR83" i="139" s="1"/>
  <c r="AS33" i="139"/>
  <c r="AS60" i="139" s="1"/>
  <c r="BR86" i="139" s="1"/>
  <c r="AR36" i="139" l="1"/>
  <c r="AR63" i="139" s="1"/>
  <c r="BQ89" i="139" s="1"/>
  <c r="AR35" i="139"/>
  <c r="AR62" i="139" s="1"/>
  <c r="BQ88" i="139" s="1"/>
  <c r="AQ28" i="139"/>
  <c r="AR40" i="139"/>
  <c r="AR67" i="139" s="1"/>
  <c r="BQ93" i="139" s="1"/>
  <c r="AR33" i="139"/>
  <c r="AR60" i="139" s="1"/>
  <c r="BQ86" i="139" s="1"/>
  <c r="AR30" i="139"/>
  <c r="AR57" i="139" s="1"/>
  <c r="BQ83" i="139" s="1"/>
  <c r="AR39" i="139"/>
  <c r="AR66" i="139" s="1"/>
  <c r="BQ92" i="139" s="1"/>
  <c r="AR38" i="139"/>
  <c r="AR65" i="139" s="1"/>
  <c r="BQ91" i="139" s="1"/>
  <c r="AR37" i="139"/>
  <c r="AR64" i="139" s="1"/>
  <c r="BQ90" i="139" s="1"/>
  <c r="AR31" i="139"/>
  <c r="AR58" i="139" s="1"/>
  <c r="BQ84" i="139" s="1"/>
  <c r="AR41" i="139"/>
  <c r="AR68" i="139" s="1"/>
  <c r="BQ94" i="139" s="1"/>
  <c r="AR34" i="139"/>
  <c r="AR61" i="139" s="1"/>
  <c r="BQ87" i="139" s="1"/>
  <c r="AR32" i="139"/>
  <c r="AR59" i="139" s="1"/>
  <c r="BQ85" i="139" s="1"/>
  <c r="AQ39" i="139" l="1"/>
  <c r="AQ66" i="139" s="1"/>
  <c r="BP92" i="139" s="1"/>
  <c r="AQ34" i="139"/>
  <c r="AQ61" i="139" s="1"/>
  <c r="BP87" i="139" s="1"/>
  <c r="AQ33" i="139"/>
  <c r="AQ60" i="139" s="1"/>
  <c r="BP86" i="139" s="1"/>
  <c r="AQ37" i="139"/>
  <c r="AQ64" i="139" s="1"/>
  <c r="BP90" i="139" s="1"/>
  <c r="AQ38" i="139"/>
  <c r="AQ65" i="139" s="1"/>
  <c r="BP91" i="139" s="1"/>
  <c r="AQ41" i="139"/>
  <c r="AQ68" i="139" s="1"/>
  <c r="BP94" i="139" s="1"/>
  <c r="AQ35" i="139"/>
  <c r="AQ62" i="139" s="1"/>
  <c r="BP88" i="139" s="1"/>
  <c r="AQ31" i="139"/>
  <c r="AQ58" i="139" s="1"/>
  <c r="BP84" i="139" s="1"/>
  <c r="AQ36" i="139"/>
  <c r="AQ63" i="139" s="1"/>
  <c r="BP89" i="139" s="1"/>
  <c r="AQ30" i="139"/>
  <c r="AQ57" i="139" s="1"/>
  <c r="BP83" i="139" s="1"/>
  <c r="AQ32" i="139"/>
  <c r="AQ59" i="139" s="1"/>
  <c r="BP85" i="139" s="1"/>
  <c r="AP28" i="139"/>
  <c r="AQ40" i="139"/>
  <c r="AQ67" i="139" s="1"/>
  <c r="BP93" i="139" s="1"/>
  <c r="AO28" i="139" l="1"/>
  <c r="AP32" i="139"/>
  <c r="AP59" i="139" s="1"/>
  <c r="BO85" i="139" s="1"/>
  <c r="AP36" i="139"/>
  <c r="AP63" i="139" s="1"/>
  <c r="BO89" i="139" s="1"/>
  <c r="AP30" i="139"/>
  <c r="AP57" i="139" s="1"/>
  <c r="BO83" i="139" s="1"/>
  <c r="AP33" i="139"/>
  <c r="AP60" i="139" s="1"/>
  <c r="BO86" i="139" s="1"/>
  <c r="AP37" i="139"/>
  <c r="AP64" i="139" s="1"/>
  <c r="BO90" i="139" s="1"/>
  <c r="AP39" i="139"/>
  <c r="AP66" i="139" s="1"/>
  <c r="BO92" i="139" s="1"/>
  <c r="AP35" i="139"/>
  <c r="AP62" i="139" s="1"/>
  <c r="BO88" i="139" s="1"/>
  <c r="AP31" i="139"/>
  <c r="AP58" i="139" s="1"/>
  <c r="BO84" i="139" s="1"/>
  <c r="AP41" i="139"/>
  <c r="AP68" i="139" s="1"/>
  <c r="BO94" i="139" s="1"/>
  <c r="AP38" i="139"/>
  <c r="AP65" i="139" s="1"/>
  <c r="BO91" i="139" s="1"/>
  <c r="AP34" i="139"/>
  <c r="AP61" i="139" s="1"/>
  <c r="BO87" i="139" s="1"/>
  <c r="AP40" i="139"/>
  <c r="AP67" i="139" s="1"/>
  <c r="BO93" i="139" s="1"/>
  <c r="AO35" i="139" l="1"/>
  <c r="AO62" i="139" s="1"/>
  <c r="BN88" i="139" s="1"/>
  <c r="AO33" i="139"/>
  <c r="AO60" i="139" s="1"/>
  <c r="BN86" i="139" s="1"/>
  <c r="AO41" i="139"/>
  <c r="AO68" i="139" s="1"/>
  <c r="BN94" i="139" s="1"/>
  <c r="AO32" i="139"/>
  <c r="AO59" i="139" s="1"/>
  <c r="BN85" i="139" s="1"/>
  <c r="AO36" i="139"/>
  <c r="AO63" i="139" s="1"/>
  <c r="BN89" i="139" s="1"/>
  <c r="AO40" i="139"/>
  <c r="AO67" i="139" s="1"/>
  <c r="BN93" i="139" s="1"/>
  <c r="AO31" i="139"/>
  <c r="AO58" i="139" s="1"/>
  <c r="BN84" i="139" s="1"/>
  <c r="AO30" i="139"/>
  <c r="AO57" i="139" s="1"/>
  <c r="BN83" i="139" s="1"/>
  <c r="AN28" i="139"/>
  <c r="AO37" i="139"/>
  <c r="AO64" i="139" s="1"/>
  <c r="BN90" i="139" s="1"/>
  <c r="AO38" i="139"/>
  <c r="AO65" i="139" s="1"/>
  <c r="BN91" i="139" s="1"/>
  <c r="AO34" i="139"/>
  <c r="AO61" i="139" s="1"/>
  <c r="BN87" i="139" s="1"/>
  <c r="AO39" i="139"/>
  <c r="AO66" i="139" s="1"/>
  <c r="BN92" i="139" s="1"/>
  <c r="AN35" i="139" l="1"/>
  <c r="AN62" i="139" s="1"/>
  <c r="BM88" i="139" s="1"/>
  <c r="AN33" i="139"/>
  <c r="AN60" i="139" s="1"/>
  <c r="BM86" i="139" s="1"/>
  <c r="AN38" i="139"/>
  <c r="AN65" i="139" s="1"/>
  <c r="BM91" i="139" s="1"/>
  <c r="AN36" i="139"/>
  <c r="AN63" i="139" s="1"/>
  <c r="BM89" i="139" s="1"/>
  <c r="AN31" i="139"/>
  <c r="AN58" i="139" s="1"/>
  <c r="BM84" i="139" s="1"/>
  <c r="AM28" i="139"/>
  <c r="AN41" i="139"/>
  <c r="AN68" i="139" s="1"/>
  <c r="BM94" i="139" s="1"/>
  <c r="AN37" i="139"/>
  <c r="AN64" i="139" s="1"/>
  <c r="BM90" i="139" s="1"/>
  <c r="AN30" i="139"/>
  <c r="AN57" i="139" s="1"/>
  <c r="BM83" i="139" s="1"/>
  <c r="AN34" i="139"/>
  <c r="AN61" i="139" s="1"/>
  <c r="BM87" i="139" s="1"/>
  <c r="AN39" i="139"/>
  <c r="AN66" i="139" s="1"/>
  <c r="BM92" i="139" s="1"/>
  <c r="AN40" i="139"/>
  <c r="AN67" i="139" s="1"/>
  <c r="BM93" i="139" s="1"/>
  <c r="AN32" i="139"/>
  <c r="AN59" i="139" s="1"/>
  <c r="BM85" i="139" s="1"/>
  <c r="AM39" i="139" l="1"/>
  <c r="AM66" i="139" s="1"/>
  <c r="BL92" i="139" s="1"/>
  <c r="AM41" i="139"/>
  <c r="AM68" i="139" s="1"/>
  <c r="BL94" i="139" s="1"/>
  <c r="AM33" i="139"/>
  <c r="AM60" i="139" s="1"/>
  <c r="BL86" i="139" s="1"/>
  <c r="AM31" i="139"/>
  <c r="AM58" i="139" s="1"/>
  <c r="BL84" i="139" s="1"/>
  <c r="AM30" i="139"/>
  <c r="AM57" i="139" s="1"/>
  <c r="BL83" i="139" s="1"/>
  <c r="AM38" i="139"/>
  <c r="AM65" i="139" s="1"/>
  <c r="BL91" i="139" s="1"/>
  <c r="AM32" i="139"/>
  <c r="AM59" i="139" s="1"/>
  <c r="BL85" i="139" s="1"/>
  <c r="AL28" i="139"/>
  <c r="AM40" i="139"/>
  <c r="AM67" i="139" s="1"/>
  <c r="BL93" i="139" s="1"/>
  <c r="AM36" i="139"/>
  <c r="AM63" i="139" s="1"/>
  <c r="BL89" i="139" s="1"/>
  <c r="AM34" i="139"/>
  <c r="AM61" i="139" s="1"/>
  <c r="BL87" i="139" s="1"/>
  <c r="AM37" i="139"/>
  <c r="AM64" i="139" s="1"/>
  <c r="BL90" i="139" s="1"/>
  <c r="AM35" i="139"/>
  <c r="AM62" i="139" s="1"/>
  <c r="BL88" i="139" s="1"/>
  <c r="AL40" i="139" l="1"/>
  <c r="AL67" i="139" s="1"/>
  <c r="BK93" i="139" s="1"/>
  <c r="AL34" i="139"/>
  <c r="AL61" i="139" s="1"/>
  <c r="BK87" i="139" s="1"/>
  <c r="AK28" i="139"/>
  <c r="AL33" i="139"/>
  <c r="AL60" i="139" s="1"/>
  <c r="BK86" i="139" s="1"/>
  <c r="AL30" i="139"/>
  <c r="AL57" i="139" s="1"/>
  <c r="BK83" i="139" s="1"/>
  <c r="AL38" i="139"/>
  <c r="AL65" i="139" s="1"/>
  <c r="BK91" i="139" s="1"/>
  <c r="AL32" i="139"/>
  <c r="AL59" i="139" s="1"/>
  <c r="BK85" i="139" s="1"/>
  <c r="AL39" i="139"/>
  <c r="AL66" i="139" s="1"/>
  <c r="BK92" i="139" s="1"/>
  <c r="AL35" i="139"/>
  <c r="AL62" i="139" s="1"/>
  <c r="BK88" i="139" s="1"/>
  <c r="AL36" i="139"/>
  <c r="AL63" i="139" s="1"/>
  <c r="BK89" i="139" s="1"/>
  <c r="AL31" i="139"/>
  <c r="AL58" i="139" s="1"/>
  <c r="BK84" i="139" s="1"/>
  <c r="AL37" i="139"/>
  <c r="AL64" i="139" s="1"/>
  <c r="BK90" i="139" s="1"/>
  <c r="AL41" i="139"/>
  <c r="AL68" i="139" s="1"/>
  <c r="BK94" i="139" s="1"/>
  <c r="AJ28" i="139" l="1"/>
  <c r="AK41" i="139"/>
  <c r="AK68" i="139" s="1"/>
  <c r="BJ94" i="139" s="1"/>
  <c r="AK30" i="139"/>
  <c r="AK57" i="139" s="1"/>
  <c r="BJ83" i="139" s="1"/>
  <c r="AK33" i="139"/>
  <c r="AK60" i="139" s="1"/>
  <c r="BJ86" i="139" s="1"/>
  <c r="AK37" i="139"/>
  <c r="AK64" i="139" s="1"/>
  <c r="BJ90" i="139" s="1"/>
  <c r="AK32" i="139"/>
  <c r="AK59" i="139" s="1"/>
  <c r="BJ85" i="139" s="1"/>
  <c r="AK34" i="139"/>
  <c r="AK61" i="139" s="1"/>
  <c r="BJ87" i="139" s="1"/>
  <c r="AK40" i="139"/>
  <c r="AK67" i="139" s="1"/>
  <c r="BJ93" i="139" s="1"/>
  <c r="AK36" i="139"/>
  <c r="AK63" i="139" s="1"/>
  <c r="BJ89" i="139" s="1"/>
  <c r="AK31" i="139"/>
  <c r="AK58" i="139" s="1"/>
  <c r="BJ84" i="139" s="1"/>
  <c r="AK35" i="139"/>
  <c r="AK62" i="139" s="1"/>
  <c r="BJ88" i="139" s="1"/>
  <c r="AK38" i="139"/>
  <c r="AK65" i="139" s="1"/>
  <c r="BJ91" i="139" s="1"/>
  <c r="AK39" i="139"/>
  <c r="AK66" i="139" s="1"/>
  <c r="BJ92" i="139" s="1"/>
  <c r="AJ32" i="139" l="1"/>
  <c r="AJ59" i="139" s="1"/>
  <c r="BI85" i="139" s="1"/>
  <c r="AJ36" i="139"/>
  <c r="AJ63" i="139" s="1"/>
  <c r="BI89" i="139" s="1"/>
  <c r="AJ37" i="139"/>
  <c r="AJ64" i="139" s="1"/>
  <c r="BI90" i="139" s="1"/>
  <c r="AJ33" i="139"/>
  <c r="AJ60" i="139" s="1"/>
  <c r="BI86" i="139" s="1"/>
  <c r="AI28" i="139"/>
  <c r="AJ34" i="139"/>
  <c r="AJ61" i="139" s="1"/>
  <c r="BI87" i="139" s="1"/>
  <c r="AJ35" i="139"/>
  <c r="AJ62" i="139" s="1"/>
  <c r="BI88" i="139" s="1"/>
  <c r="AJ40" i="139"/>
  <c r="AJ67" i="139" s="1"/>
  <c r="BI93" i="139" s="1"/>
  <c r="AJ41" i="139"/>
  <c r="AJ68" i="139" s="1"/>
  <c r="BI94" i="139" s="1"/>
  <c r="AJ38" i="139"/>
  <c r="AJ65" i="139" s="1"/>
  <c r="BI91" i="139" s="1"/>
  <c r="AJ30" i="139"/>
  <c r="AJ57" i="139" s="1"/>
  <c r="BI83" i="139" s="1"/>
  <c r="AJ31" i="139"/>
  <c r="AJ58" i="139" s="1"/>
  <c r="BI84" i="139" s="1"/>
  <c r="AJ39" i="139"/>
  <c r="AJ66" i="139" s="1"/>
  <c r="BI92" i="139" s="1"/>
  <c r="AI38" i="139" l="1"/>
  <c r="AI65" i="139" s="1"/>
  <c r="BH91" i="139" s="1"/>
  <c r="AI33" i="139"/>
  <c r="AI60" i="139" s="1"/>
  <c r="BH86" i="139" s="1"/>
  <c r="AI34" i="139"/>
  <c r="AI61" i="139" s="1"/>
  <c r="BH87" i="139" s="1"/>
  <c r="AI30" i="139"/>
  <c r="AI57" i="139" s="1"/>
  <c r="BH83" i="139" s="1"/>
  <c r="AI35" i="139"/>
  <c r="AI62" i="139" s="1"/>
  <c r="BH88" i="139" s="1"/>
  <c r="AH28" i="139"/>
  <c r="AI41" i="139"/>
  <c r="AI68" i="139" s="1"/>
  <c r="BH94" i="139" s="1"/>
  <c r="AI39" i="139"/>
  <c r="AI66" i="139" s="1"/>
  <c r="BH92" i="139" s="1"/>
  <c r="AI40" i="139"/>
  <c r="AI67" i="139" s="1"/>
  <c r="BH93" i="139" s="1"/>
  <c r="AI32" i="139"/>
  <c r="AI59" i="139" s="1"/>
  <c r="BH85" i="139" s="1"/>
  <c r="AI37" i="139"/>
  <c r="AI64" i="139" s="1"/>
  <c r="BH90" i="139" s="1"/>
  <c r="AI36" i="139"/>
  <c r="AI63" i="139" s="1"/>
  <c r="BH89" i="139" s="1"/>
  <c r="AI31" i="139"/>
  <c r="AI58" i="139" s="1"/>
  <c r="BH84" i="139" s="1"/>
  <c r="AH30" i="139" l="1"/>
  <c r="AH57" i="139" s="1"/>
  <c r="BG83" i="139" s="1"/>
  <c r="AH41" i="139"/>
  <c r="AH68" i="139" s="1"/>
  <c r="BG94" i="139" s="1"/>
  <c r="AH37" i="139"/>
  <c r="AH64" i="139" s="1"/>
  <c r="BG90" i="139" s="1"/>
  <c r="AH33" i="139"/>
  <c r="AH60" i="139" s="1"/>
  <c r="BG86" i="139" s="1"/>
  <c r="AH39" i="139"/>
  <c r="AH66" i="139" s="1"/>
  <c r="BG92" i="139" s="1"/>
  <c r="AH38" i="139"/>
  <c r="AH65" i="139" s="1"/>
  <c r="BG91" i="139" s="1"/>
  <c r="AH35" i="139"/>
  <c r="AH62" i="139" s="1"/>
  <c r="BG88" i="139" s="1"/>
  <c r="AH40" i="139"/>
  <c r="AH67" i="139" s="1"/>
  <c r="BG93" i="139" s="1"/>
  <c r="AG28" i="139"/>
  <c r="AH31" i="139"/>
  <c r="AH58" i="139" s="1"/>
  <c r="BG84" i="139" s="1"/>
  <c r="AH36" i="139"/>
  <c r="AH63" i="139" s="1"/>
  <c r="BG89" i="139" s="1"/>
  <c r="AH34" i="139"/>
  <c r="AH61" i="139" s="1"/>
  <c r="BG87" i="139" s="1"/>
  <c r="AH32" i="139"/>
  <c r="AH59" i="139" s="1"/>
  <c r="BG85" i="139" s="1"/>
  <c r="AG41" i="139" l="1"/>
  <c r="AG68" i="139" s="1"/>
  <c r="BF94" i="139" s="1"/>
  <c r="AG31" i="139"/>
  <c r="AG58" i="139" s="1"/>
  <c r="BF84" i="139" s="1"/>
  <c r="AG34" i="139"/>
  <c r="AG61" i="139" s="1"/>
  <c r="BF87" i="139" s="1"/>
  <c r="AG39" i="139"/>
  <c r="AG66" i="139" s="1"/>
  <c r="BF92" i="139" s="1"/>
  <c r="AG35" i="139"/>
  <c r="AG62" i="139" s="1"/>
  <c r="BF88" i="139" s="1"/>
  <c r="AG36" i="139"/>
  <c r="AG63" i="139" s="1"/>
  <c r="BF89" i="139" s="1"/>
  <c r="AG32" i="139"/>
  <c r="AG59" i="139" s="1"/>
  <c r="BF85" i="139" s="1"/>
  <c r="AF28" i="139"/>
  <c r="AG33" i="139"/>
  <c r="AG60" i="139" s="1"/>
  <c r="BF86" i="139" s="1"/>
  <c r="AG40" i="139"/>
  <c r="AG67" i="139" s="1"/>
  <c r="BF93" i="139" s="1"/>
  <c r="AG30" i="139"/>
  <c r="AG57" i="139" s="1"/>
  <c r="BF83" i="139" s="1"/>
  <c r="AG38" i="139"/>
  <c r="AG65" i="139" s="1"/>
  <c r="BF91" i="139" s="1"/>
  <c r="AG37" i="139"/>
  <c r="AG64" i="139" s="1"/>
  <c r="BF90" i="139" s="1"/>
  <c r="AF39" i="139" l="1"/>
  <c r="AF66" i="139" s="1"/>
  <c r="BE92" i="139" s="1"/>
  <c r="AF35" i="139"/>
  <c r="AF62" i="139" s="1"/>
  <c r="BE88" i="139" s="1"/>
  <c r="AF34" i="139"/>
  <c r="AF61" i="139" s="1"/>
  <c r="BE87" i="139" s="1"/>
  <c r="AF33" i="139"/>
  <c r="AF60" i="139" s="1"/>
  <c r="BE86" i="139" s="1"/>
  <c r="AF30" i="139"/>
  <c r="AF57" i="139" s="1"/>
  <c r="BE83" i="139" s="1"/>
  <c r="AF40" i="139"/>
  <c r="AF67" i="139" s="1"/>
  <c r="BE93" i="139" s="1"/>
  <c r="AF31" i="139"/>
  <c r="AF58" i="139" s="1"/>
  <c r="BE84" i="139" s="1"/>
  <c r="AF37" i="139"/>
  <c r="AF64" i="139" s="1"/>
  <c r="BE90" i="139" s="1"/>
  <c r="AF32" i="139"/>
  <c r="AF59" i="139" s="1"/>
  <c r="BE85" i="139" s="1"/>
  <c r="AF38" i="139"/>
  <c r="AF65" i="139" s="1"/>
  <c r="BE91" i="139" s="1"/>
  <c r="AF36" i="139"/>
  <c r="AF63" i="139" s="1"/>
  <c r="BE89" i="139" s="1"/>
  <c r="AF41" i="139"/>
  <c r="AF68" i="139" s="1"/>
  <c r="BE94" i="139" s="1"/>
  <c r="AE28" i="139"/>
  <c r="AE32" i="139" l="1"/>
  <c r="AE59" i="139" s="1"/>
  <c r="BD85" i="139" s="1"/>
  <c r="AE31" i="139"/>
  <c r="AE58" i="139" s="1"/>
  <c r="BD84" i="139" s="1"/>
  <c r="AD28" i="139"/>
  <c r="AE38" i="139"/>
  <c r="AE65" i="139" s="1"/>
  <c r="BD91" i="139" s="1"/>
  <c r="AE41" i="139"/>
  <c r="AE68" i="139" s="1"/>
  <c r="BD94" i="139" s="1"/>
  <c r="AE40" i="139"/>
  <c r="AE67" i="139" s="1"/>
  <c r="BD93" i="139" s="1"/>
  <c r="AE34" i="139"/>
  <c r="AE61" i="139" s="1"/>
  <c r="BD87" i="139" s="1"/>
  <c r="AE35" i="139"/>
  <c r="AE62" i="139" s="1"/>
  <c r="BD88" i="139" s="1"/>
  <c r="AE39" i="139"/>
  <c r="AE66" i="139" s="1"/>
  <c r="BD92" i="139" s="1"/>
  <c r="AE36" i="139"/>
  <c r="AE63" i="139" s="1"/>
  <c r="BD89" i="139" s="1"/>
  <c r="AE37" i="139"/>
  <c r="AE64" i="139" s="1"/>
  <c r="BD90" i="139" s="1"/>
  <c r="AE30" i="139"/>
  <c r="AE57" i="139" s="1"/>
  <c r="BD83" i="139" s="1"/>
  <c r="AE33" i="139"/>
  <c r="AE60" i="139" s="1"/>
  <c r="BD86" i="139" s="1"/>
  <c r="AD35" i="139" l="1"/>
  <c r="AD62" i="139" s="1"/>
  <c r="BC88" i="139" s="1"/>
  <c r="AD34" i="139"/>
  <c r="AD61" i="139" s="1"/>
  <c r="BC87" i="139" s="1"/>
  <c r="AD33" i="139"/>
  <c r="AD60" i="139" s="1"/>
  <c r="BC86" i="139" s="1"/>
  <c r="AD40" i="139"/>
  <c r="AD67" i="139" s="1"/>
  <c r="BC93" i="139" s="1"/>
  <c r="AD36" i="139"/>
  <c r="AD63" i="139" s="1"/>
  <c r="BC89" i="139" s="1"/>
  <c r="AD31" i="139"/>
  <c r="AD58" i="139" s="1"/>
  <c r="BC84" i="139" s="1"/>
  <c r="AC28" i="139"/>
  <c r="AD41" i="139"/>
  <c r="AD68" i="139" s="1"/>
  <c r="BC94" i="139" s="1"/>
  <c r="AD32" i="139"/>
  <c r="AD59" i="139" s="1"/>
  <c r="BC85" i="139" s="1"/>
  <c r="AD39" i="139"/>
  <c r="AD66" i="139" s="1"/>
  <c r="BC92" i="139" s="1"/>
  <c r="AD38" i="139"/>
  <c r="AD65" i="139" s="1"/>
  <c r="BC91" i="139" s="1"/>
  <c r="AD30" i="139"/>
  <c r="AD57" i="139" s="1"/>
  <c r="BC83" i="139" s="1"/>
  <c r="AD37" i="139"/>
  <c r="AD64" i="139" s="1"/>
  <c r="BC90" i="139" s="1"/>
  <c r="AB28" i="139" l="1"/>
  <c r="AC34" i="139"/>
  <c r="AC61" i="139" s="1"/>
  <c r="BB87" i="139" s="1"/>
  <c r="AC35" i="139"/>
  <c r="AC62" i="139" s="1"/>
  <c r="BB88" i="139" s="1"/>
  <c r="AC38" i="139"/>
  <c r="AC65" i="139" s="1"/>
  <c r="BB91" i="139" s="1"/>
  <c r="AC41" i="139"/>
  <c r="AC68" i="139" s="1"/>
  <c r="BB94" i="139" s="1"/>
  <c r="AC32" i="139"/>
  <c r="AC59" i="139" s="1"/>
  <c r="BB85" i="139" s="1"/>
  <c r="AC36" i="139"/>
  <c r="AC63" i="139" s="1"/>
  <c r="BB89" i="139" s="1"/>
  <c r="AC37" i="139"/>
  <c r="AC64" i="139" s="1"/>
  <c r="BB90" i="139" s="1"/>
  <c r="AC39" i="139"/>
  <c r="AC66" i="139" s="1"/>
  <c r="BB92" i="139" s="1"/>
  <c r="AC30" i="139"/>
  <c r="AC57" i="139" s="1"/>
  <c r="BB83" i="139" s="1"/>
  <c r="AC31" i="139"/>
  <c r="AC58" i="139" s="1"/>
  <c r="BB84" i="139" s="1"/>
  <c r="AC40" i="139"/>
  <c r="AC67" i="139" s="1"/>
  <c r="BB93" i="139" s="1"/>
  <c r="AC33" i="139"/>
  <c r="AC60" i="139" s="1"/>
  <c r="BB86" i="139" s="1"/>
  <c r="AB40" i="139" l="1"/>
  <c r="AB67" i="139" s="1"/>
  <c r="BA93" i="139" s="1"/>
  <c r="AB35" i="139"/>
  <c r="AB62" i="139" s="1"/>
  <c r="BA88" i="139" s="1"/>
  <c r="AB39" i="139"/>
  <c r="AB66" i="139" s="1"/>
  <c r="BA92" i="139" s="1"/>
  <c r="AB31" i="139"/>
  <c r="AB58" i="139" s="1"/>
  <c r="BA84" i="139" s="1"/>
  <c r="AB33" i="139"/>
  <c r="AB60" i="139" s="1"/>
  <c r="BA86" i="139" s="1"/>
  <c r="AB30" i="139"/>
  <c r="AB57" i="139" s="1"/>
  <c r="BA83" i="139" s="1"/>
  <c r="AB38" i="139"/>
  <c r="AB65" i="139" s="1"/>
  <c r="BA91" i="139" s="1"/>
  <c r="AB36" i="139"/>
  <c r="AB63" i="139" s="1"/>
  <c r="BA89" i="139" s="1"/>
  <c r="AB34" i="139"/>
  <c r="AB61" i="139" s="1"/>
  <c r="BA87" i="139" s="1"/>
  <c r="AB37" i="139"/>
  <c r="AB64" i="139" s="1"/>
  <c r="BA90" i="139" s="1"/>
  <c r="AA28" i="139"/>
  <c r="AB32" i="139"/>
  <c r="AB59" i="139" s="1"/>
  <c r="BA85" i="139" s="1"/>
  <c r="AB41" i="139"/>
  <c r="AB68" i="139" s="1"/>
  <c r="BA94" i="139" s="1"/>
  <c r="AA31" i="139" l="1"/>
  <c r="AA58" i="139" s="1"/>
  <c r="AZ84" i="139" s="1"/>
  <c r="AA35" i="139"/>
  <c r="AA62" i="139" s="1"/>
  <c r="AZ88" i="139" s="1"/>
  <c r="AA32" i="139"/>
  <c r="AA59" i="139" s="1"/>
  <c r="AZ85" i="139" s="1"/>
  <c r="AA40" i="139"/>
  <c r="AA67" i="139" s="1"/>
  <c r="AZ93" i="139" s="1"/>
  <c r="AA41" i="139"/>
  <c r="AA68" i="139" s="1"/>
  <c r="AZ94" i="139" s="1"/>
  <c r="AA37" i="139"/>
  <c r="AA64" i="139" s="1"/>
  <c r="AZ90" i="139" s="1"/>
  <c r="AA33" i="139"/>
  <c r="AA60" i="139" s="1"/>
  <c r="AZ86" i="139" s="1"/>
  <c r="AA36" i="139"/>
  <c r="AA63" i="139" s="1"/>
  <c r="AZ89" i="139" s="1"/>
  <c r="AA34" i="139"/>
  <c r="AA61" i="139" s="1"/>
  <c r="AZ87" i="139" s="1"/>
  <c r="AA30" i="139"/>
  <c r="AA57" i="139" s="1"/>
  <c r="AZ83" i="139" s="1"/>
  <c r="AA38" i="139"/>
  <c r="AA65" i="139" s="1"/>
  <c r="AZ91" i="139" s="1"/>
  <c r="AA39" i="139"/>
  <c r="AA66" i="139" s="1"/>
  <c r="AZ92" i="139" s="1"/>
  <c r="Z28" i="139"/>
  <c r="Z30" i="139" l="1"/>
  <c r="Z57" i="139" s="1"/>
  <c r="AY83" i="139" s="1"/>
  <c r="Z35" i="139"/>
  <c r="Z62" i="139" s="1"/>
  <c r="AY88" i="139" s="1"/>
  <c r="Z38" i="139"/>
  <c r="Z65" i="139" s="1"/>
  <c r="AY91" i="139" s="1"/>
  <c r="Z37" i="139"/>
  <c r="Z64" i="139" s="1"/>
  <c r="AY90" i="139" s="1"/>
  <c r="Z34" i="139"/>
  <c r="Z61" i="139" s="1"/>
  <c r="AY87" i="139" s="1"/>
  <c r="Z31" i="139"/>
  <c r="Z58" i="139" s="1"/>
  <c r="AY84" i="139" s="1"/>
  <c r="Z41" i="139"/>
  <c r="Z68" i="139" s="1"/>
  <c r="AY94" i="139" s="1"/>
  <c r="Y28" i="139"/>
  <c r="Z32" i="139"/>
  <c r="Z59" i="139" s="1"/>
  <c r="AY85" i="139" s="1"/>
  <c r="Z33" i="139"/>
  <c r="Z60" i="139" s="1"/>
  <c r="AY86" i="139" s="1"/>
  <c r="Z39" i="139"/>
  <c r="Z66" i="139" s="1"/>
  <c r="AY92" i="139" s="1"/>
  <c r="Z36" i="139"/>
  <c r="Z63" i="139" s="1"/>
  <c r="AY89" i="139" s="1"/>
  <c r="Z40" i="139"/>
  <c r="Z67" i="139" s="1"/>
  <c r="AY93" i="139" s="1"/>
  <c r="Y32" i="139" l="1"/>
  <c r="Y59" i="139" s="1"/>
  <c r="AX85" i="139" s="1"/>
  <c r="Y30" i="139"/>
  <c r="Y57" i="139" s="1"/>
  <c r="AX83" i="139" s="1"/>
  <c r="Y41" i="139"/>
  <c r="Y68" i="139" s="1"/>
  <c r="AX94" i="139" s="1"/>
  <c r="Y39" i="139"/>
  <c r="Y66" i="139" s="1"/>
  <c r="AX92" i="139" s="1"/>
  <c r="Y33" i="139"/>
  <c r="Y60" i="139" s="1"/>
  <c r="AX86" i="139" s="1"/>
  <c r="Y35" i="139"/>
  <c r="Y62" i="139" s="1"/>
  <c r="AX88" i="139" s="1"/>
  <c r="X28" i="139"/>
  <c r="Y34" i="139"/>
  <c r="Y61" i="139" s="1"/>
  <c r="AX87" i="139" s="1"/>
  <c r="Y37" i="139"/>
  <c r="Y64" i="139" s="1"/>
  <c r="AX90" i="139" s="1"/>
  <c r="Y31" i="139"/>
  <c r="Y58" i="139" s="1"/>
  <c r="AX84" i="139" s="1"/>
  <c r="Y40" i="139"/>
  <c r="Y67" i="139" s="1"/>
  <c r="AX93" i="139" s="1"/>
  <c r="Y36" i="139"/>
  <c r="Y63" i="139" s="1"/>
  <c r="AX89" i="139" s="1"/>
  <c r="Y38" i="139"/>
  <c r="Y65" i="139" s="1"/>
  <c r="AX91" i="139" s="1"/>
  <c r="X40" i="139" l="1"/>
  <c r="X67" i="139" s="1"/>
  <c r="AW93" i="139" s="1"/>
  <c r="X37" i="139"/>
  <c r="X64" i="139" s="1"/>
  <c r="AW90" i="139" s="1"/>
  <c r="X39" i="139"/>
  <c r="X66" i="139" s="1"/>
  <c r="AW92" i="139" s="1"/>
  <c r="X30" i="139"/>
  <c r="X57" i="139" s="1"/>
  <c r="AW83" i="139" s="1"/>
  <c r="X35" i="139"/>
  <c r="X62" i="139" s="1"/>
  <c r="AW88" i="139" s="1"/>
  <c r="X33" i="139"/>
  <c r="X60" i="139" s="1"/>
  <c r="AW86" i="139" s="1"/>
  <c r="X36" i="139"/>
  <c r="X63" i="139" s="1"/>
  <c r="AW89" i="139" s="1"/>
  <c r="W28" i="139"/>
  <c r="X31" i="139"/>
  <c r="X58" i="139" s="1"/>
  <c r="AW84" i="139" s="1"/>
  <c r="X38" i="139"/>
  <c r="X65" i="139" s="1"/>
  <c r="AW91" i="139" s="1"/>
  <c r="X41" i="139"/>
  <c r="X68" i="139" s="1"/>
  <c r="AW94" i="139" s="1"/>
  <c r="X32" i="139"/>
  <c r="X59" i="139" s="1"/>
  <c r="AW85" i="139" s="1"/>
  <c r="X34" i="139"/>
  <c r="X61" i="139" s="1"/>
  <c r="AW87" i="139" s="1"/>
  <c r="W38" i="139" l="1"/>
  <c r="W65" i="139" s="1"/>
  <c r="AV91" i="139" s="1"/>
  <c r="W31" i="139"/>
  <c r="W58" i="139" s="1"/>
  <c r="AV84" i="139" s="1"/>
  <c r="W41" i="139"/>
  <c r="W68" i="139" s="1"/>
  <c r="AV94" i="139" s="1"/>
  <c r="W34" i="139"/>
  <c r="W61" i="139" s="1"/>
  <c r="AV87" i="139" s="1"/>
  <c r="V28" i="139"/>
  <c r="W40" i="139"/>
  <c r="W67" i="139" s="1"/>
  <c r="AV93" i="139" s="1"/>
  <c r="W33" i="139"/>
  <c r="W60" i="139" s="1"/>
  <c r="AV86" i="139" s="1"/>
  <c r="W37" i="139"/>
  <c r="W64" i="139" s="1"/>
  <c r="AV90" i="139" s="1"/>
  <c r="W30" i="139"/>
  <c r="W57" i="139" s="1"/>
  <c r="AV83" i="139" s="1"/>
  <c r="W36" i="139"/>
  <c r="W63" i="139" s="1"/>
  <c r="AV89" i="139" s="1"/>
  <c r="W35" i="139"/>
  <c r="W62" i="139" s="1"/>
  <c r="AV88" i="139" s="1"/>
  <c r="W39" i="139"/>
  <c r="W66" i="139" s="1"/>
  <c r="AV92" i="139" s="1"/>
  <c r="W32" i="139"/>
  <c r="W59" i="139" s="1"/>
  <c r="AV85" i="139" s="1"/>
  <c r="V41" i="139" l="1"/>
  <c r="V68" i="139" s="1"/>
  <c r="AU94" i="139" s="1"/>
  <c r="V40" i="139"/>
  <c r="V67" i="139" s="1"/>
  <c r="AU93" i="139" s="1"/>
  <c r="V32" i="139"/>
  <c r="V59" i="139" s="1"/>
  <c r="AU85" i="139" s="1"/>
  <c r="V35" i="139"/>
  <c r="V62" i="139" s="1"/>
  <c r="AU88" i="139" s="1"/>
  <c r="V39" i="139"/>
  <c r="V66" i="139" s="1"/>
  <c r="AU92" i="139" s="1"/>
  <c r="V30" i="139"/>
  <c r="V57" i="139" s="1"/>
  <c r="AU83" i="139" s="1"/>
  <c r="V36" i="139"/>
  <c r="V63" i="139" s="1"/>
  <c r="AU89" i="139" s="1"/>
  <c r="U28" i="139"/>
  <c r="V31" i="139"/>
  <c r="V58" i="139" s="1"/>
  <c r="AU84" i="139" s="1"/>
  <c r="V33" i="139"/>
  <c r="V60" i="139" s="1"/>
  <c r="AU86" i="139" s="1"/>
  <c r="V34" i="139"/>
  <c r="V61" i="139" s="1"/>
  <c r="AU87" i="139" s="1"/>
  <c r="V38" i="139"/>
  <c r="V65" i="139" s="1"/>
  <c r="AU91" i="139" s="1"/>
  <c r="V37" i="139"/>
  <c r="V64" i="139" s="1"/>
  <c r="AU90" i="139" s="1"/>
  <c r="U31" i="139" l="1"/>
  <c r="U58" i="139" s="1"/>
  <c r="AT84" i="139" s="1"/>
  <c r="U34" i="139"/>
  <c r="U61" i="139" s="1"/>
  <c r="AT87" i="139" s="1"/>
  <c r="U33" i="139"/>
  <c r="U60" i="139" s="1"/>
  <c r="AT86" i="139" s="1"/>
  <c r="U38" i="139"/>
  <c r="U65" i="139" s="1"/>
  <c r="AT91" i="139" s="1"/>
  <c r="U41" i="139"/>
  <c r="U68" i="139" s="1"/>
  <c r="AT94" i="139" s="1"/>
  <c r="U36" i="139"/>
  <c r="U63" i="139" s="1"/>
  <c r="AT89" i="139" s="1"/>
  <c r="T28" i="139"/>
  <c r="U39" i="139"/>
  <c r="U66" i="139" s="1"/>
  <c r="AT92" i="139" s="1"/>
  <c r="U32" i="139"/>
  <c r="U59" i="139" s="1"/>
  <c r="AT85" i="139" s="1"/>
  <c r="U30" i="139"/>
  <c r="U57" i="139" s="1"/>
  <c r="AT83" i="139" s="1"/>
  <c r="U40" i="139"/>
  <c r="U67" i="139" s="1"/>
  <c r="AT93" i="139" s="1"/>
  <c r="U35" i="139"/>
  <c r="U62" i="139" s="1"/>
  <c r="AT88" i="139" s="1"/>
  <c r="U37" i="139"/>
  <c r="U64" i="139" s="1"/>
  <c r="AT90" i="139" s="1"/>
  <c r="T31" i="139" l="1"/>
  <c r="T58" i="139" s="1"/>
  <c r="AS84" i="139" s="1"/>
  <c r="T38" i="139"/>
  <c r="T65" i="139" s="1"/>
  <c r="AS91" i="139" s="1"/>
  <c r="T37" i="139"/>
  <c r="T64" i="139" s="1"/>
  <c r="AS90" i="139" s="1"/>
  <c r="T34" i="139"/>
  <c r="T61" i="139" s="1"/>
  <c r="AS87" i="139" s="1"/>
  <c r="T33" i="139"/>
  <c r="T60" i="139" s="1"/>
  <c r="AS86" i="139" s="1"/>
  <c r="T36" i="139"/>
  <c r="T63" i="139" s="1"/>
  <c r="AS89" i="139" s="1"/>
  <c r="T39" i="139"/>
  <c r="T66" i="139" s="1"/>
  <c r="AS92" i="139" s="1"/>
  <c r="T40" i="139"/>
  <c r="T67" i="139" s="1"/>
  <c r="AS93" i="139" s="1"/>
  <c r="T32" i="139"/>
  <c r="T59" i="139" s="1"/>
  <c r="AS85" i="139" s="1"/>
  <c r="T41" i="139"/>
  <c r="T68" i="139" s="1"/>
  <c r="AS94" i="139" s="1"/>
  <c r="T35" i="139"/>
  <c r="T62" i="139" s="1"/>
  <c r="AS88" i="139" s="1"/>
  <c r="S28" i="139"/>
  <c r="T30" i="139"/>
  <c r="T57" i="139" s="1"/>
  <c r="AS83" i="139" s="1"/>
  <c r="R28" i="139" l="1"/>
  <c r="S37" i="139"/>
  <c r="S64" i="139" s="1"/>
  <c r="AR90" i="139" s="1"/>
  <c r="S36" i="139"/>
  <c r="S63" i="139" s="1"/>
  <c r="AR89" i="139" s="1"/>
  <c r="S30" i="139"/>
  <c r="S57" i="139" s="1"/>
  <c r="AR83" i="139" s="1"/>
  <c r="S35" i="139"/>
  <c r="S62" i="139" s="1"/>
  <c r="AR88" i="139" s="1"/>
  <c r="S39" i="139"/>
  <c r="S66" i="139" s="1"/>
  <c r="AR92" i="139" s="1"/>
  <c r="S34" i="139"/>
  <c r="S61" i="139" s="1"/>
  <c r="AR87" i="139" s="1"/>
  <c r="S38" i="139"/>
  <c r="S65" i="139" s="1"/>
  <c r="AR91" i="139" s="1"/>
  <c r="S32" i="139"/>
  <c r="S59" i="139" s="1"/>
  <c r="AR85" i="139" s="1"/>
  <c r="S41" i="139"/>
  <c r="S68" i="139" s="1"/>
  <c r="AR94" i="139" s="1"/>
  <c r="S31" i="139"/>
  <c r="S58" i="139" s="1"/>
  <c r="AR84" i="139" s="1"/>
  <c r="S33" i="139"/>
  <c r="S60" i="139" s="1"/>
  <c r="AR86" i="139" s="1"/>
  <c r="S40" i="139"/>
  <c r="S67" i="139" s="1"/>
  <c r="AR93" i="139" s="1"/>
  <c r="R31" i="139" l="1"/>
  <c r="R58" i="139" s="1"/>
  <c r="AQ84" i="139" s="1"/>
  <c r="R41" i="139"/>
  <c r="R68" i="139" s="1"/>
  <c r="AQ94" i="139" s="1"/>
  <c r="R38" i="139"/>
  <c r="R65" i="139" s="1"/>
  <c r="AQ91" i="139" s="1"/>
  <c r="R36" i="139"/>
  <c r="R63" i="139" s="1"/>
  <c r="AQ89" i="139" s="1"/>
  <c r="Q28" i="139"/>
  <c r="R33" i="139"/>
  <c r="R60" i="139" s="1"/>
  <c r="AQ86" i="139" s="1"/>
  <c r="R32" i="139"/>
  <c r="R59" i="139" s="1"/>
  <c r="AQ85" i="139" s="1"/>
  <c r="R39" i="139"/>
  <c r="R66" i="139" s="1"/>
  <c r="AQ92" i="139" s="1"/>
  <c r="R40" i="139"/>
  <c r="R67" i="139" s="1"/>
  <c r="AQ93" i="139" s="1"/>
  <c r="R30" i="139"/>
  <c r="R57" i="139" s="1"/>
  <c r="AQ83" i="139" s="1"/>
  <c r="R34" i="139"/>
  <c r="R61" i="139" s="1"/>
  <c r="AQ87" i="139" s="1"/>
  <c r="R37" i="139"/>
  <c r="R64" i="139" s="1"/>
  <c r="AQ90" i="139" s="1"/>
  <c r="R35" i="139"/>
  <c r="R62" i="139" s="1"/>
  <c r="AQ88" i="139" s="1"/>
  <c r="Q34" i="139" l="1"/>
  <c r="Q61" i="139" s="1"/>
  <c r="AP87" i="139" s="1"/>
  <c r="Q38" i="139"/>
  <c r="Q65" i="139" s="1"/>
  <c r="AP91" i="139" s="1"/>
  <c r="Q35" i="139"/>
  <c r="Q62" i="139" s="1"/>
  <c r="AP88" i="139" s="1"/>
  <c r="Q33" i="139"/>
  <c r="Q60" i="139" s="1"/>
  <c r="AP86" i="139" s="1"/>
  <c r="Q41" i="139"/>
  <c r="Q68" i="139" s="1"/>
  <c r="AP94" i="139" s="1"/>
  <c r="Q32" i="139"/>
  <c r="Q59" i="139" s="1"/>
  <c r="AP85" i="139" s="1"/>
  <c r="Q39" i="139"/>
  <c r="Q66" i="139" s="1"/>
  <c r="AP92" i="139" s="1"/>
  <c r="Q37" i="139"/>
  <c r="Q64" i="139" s="1"/>
  <c r="AP90" i="139" s="1"/>
  <c r="Q40" i="139"/>
  <c r="Q67" i="139" s="1"/>
  <c r="AP93" i="139" s="1"/>
  <c r="Q31" i="139"/>
  <c r="Q58" i="139" s="1"/>
  <c r="AP84" i="139" s="1"/>
  <c r="P28" i="139"/>
  <c r="Q30" i="139"/>
  <c r="Q57" i="139" s="1"/>
  <c r="AP83" i="139" s="1"/>
  <c r="Q36" i="139"/>
  <c r="Q63" i="139" s="1"/>
  <c r="AP89" i="139" s="1"/>
  <c r="P38" i="139" l="1"/>
  <c r="P65" i="139" s="1"/>
  <c r="AO91" i="139" s="1"/>
  <c r="P36" i="139"/>
  <c r="P63" i="139" s="1"/>
  <c r="AO89" i="139" s="1"/>
  <c r="P37" i="139"/>
  <c r="P64" i="139" s="1"/>
  <c r="AO90" i="139" s="1"/>
  <c r="O28" i="139"/>
  <c r="P39" i="139"/>
  <c r="P66" i="139" s="1"/>
  <c r="AO92" i="139" s="1"/>
  <c r="P31" i="139"/>
  <c r="P58" i="139" s="1"/>
  <c r="AO84" i="139" s="1"/>
  <c r="P40" i="139"/>
  <c r="P67" i="139" s="1"/>
  <c r="AO93" i="139" s="1"/>
  <c r="P30" i="139"/>
  <c r="P57" i="139" s="1"/>
  <c r="AO83" i="139" s="1"/>
  <c r="P32" i="139"/>
  <c r="P59" i="139" s="1"/>
  <c r="AO85" i="139" s="1"/>
  <c r="P41" i="139"/>
  <c r="P68" i="139" s="1"/>
  <c r="AO94" i="139" s="1"/>
  <c r="P33" i="139"/>
  <c r="P60" i="139" s="1"/>
  <c r="AO86" i="139" s="1"/>
  <c r="P35" i="139"/>
  <c r="P62" i="139" s="1"/>
  <c r="AO88" i="139" s="1"/>
  <c r="P34" i="139"/>
  <c r="P61" i="139" s="1"/>
  <c r="AO87" i="139" s="1"/>
  <c r="O32" i="139" l="1"/>
  <c r="O59" i="139" s="1"/>
  <c r="AN85" i="139" s="1"/>
  <c r="O30" i="139"/>
  <c r="O57" i="139" s="1"/>
  <c r="AN83" i="139" s="1"/>
  <c r="O38" i="139"/>
  <c r="O65" i="139" s="1"/>
  <c r="AN91" i="139" s="1"/>
  <c r="O40" i="139"/>
  <c r="O67" i="139" s="1"/>
  <c r="AN93" i="139" s="1"/>
  <c r="O31" i="139"/>
  <c r="O58" i="139" s="1"/>
  <c r="AN84" i="139" s="1"/>
  <c r="O41" i="139"/>
  <c r="O68" i="139" s="1"/>
  <c r="AN94" i="139" s="1"/>
  <c r="O39" i="139"/>
  <c r="O66" i="139" s="1"/>
  <c r="AN92" i="139" s="1"/>
  <c r="O36" i="139"/>
  <c r="O63" i="139" s="1"/>
  <c r="AN89" i="139" s="1"/>
  <c r="O34" i="139"/>
  <c r="O61" i="139" s="1"/>
  <c r="AN87" i="139" s="1"/>
  <c r="O37" i="139"/>
  <c r="O64" i="139" s="1"/>
  <c r="AN90" i="139" s="1"/>
  <c r="O35" i="139"/>
  <c r="O62" i="139" s="1"/>
  <c r="AN88" i="139" s="1"/>
  <c r="N28" i="139"/>
  <c r="O33" i="139"/>
  <c r="O60" i="139" s="1"/>
  <c r="AN86" i="139" s="1"/>
  <c r="N39" i="139" l="1"/>
  <c r="N66" i="139" s="1"/>
  <c r="AM92" i="139" s="1"/>
  <c r="N38" i="139"/>
  <c r="N65" i="139" s="1"/>
  <c r="AM91" i="139" s="1"/>
  <c r="N36" i="139"/>
  <c r="N63" i="139" s="1"/>
  <c r="AM89" i="139" s="1"/>
  <c r="N33" i="139"/>
  <c r="N60" i="139" s="1"/>
  <c r="AM86" i="139" s="1"/>
  <c r="N40" i="139"/>
  <c r="N67" i="139" s="1"/>
  <c r="AM93" i="139" s="1"/>
  <c r="N31" i="139"/>
  <c r="N58" i="139" s="1"/>
  <c r="AM84" i="139" s="1"/>
  <c r="N41" i="139"/>
  <c r="N68" i="139" s="1"/>
  <c r="AM94" i="139" s="1"/>
  <c r="N35" i="139"/>
  <c r="N62" i="139" s="1"/>
  <c r="AM88" i="139" s="1"/>
  <c r="N30" i="139"/>
  <c r="N57" i="139" s="1"/>
  <c r="AM83" i="139" s="1"/>
  <c r="M28" i="139"/>
  <c r="N32" i="139"/>
  <c r="N59" i="139" s="1"/>
  <c r="AM85" i="139" s="1"/>
  <c r="N37" i="139"/>
  <c r="N64" i="139" s="1"/>
  <c r="AM90" i="139" s="1"/>
  <c r="N34" i="139"/>
  <c r="N61" i="139" s="1"/>
  <c r="AM87" i="139" s="1"/>
  <c r="M39" i="139" l="1"/>
  <c r="M66" i="139" s="1"/>
  <c r="AL92" i="139" s="1"/>
  <c r="M40" i="139"/>
  <c r="M67" i="139" s="1"/>
  <c r="AL93" i="139" s="1"/>
  <c r="M37" i="139"/>
  <c r="M64" i="139" s="1"/>
  <c r="AL90" i="139" s="1"/>
  <c r="M38" i="139"/>
  <c r="M65" i="139" s="1"/>
  <c r="AL91" i="139" s="1"/>
  <c r="M36" i="139"/>
  <c r="M63" i="139" s="1"/>
  <c r="AL89" i="139" s="1"/>
  <c r="M34" i="139"/>
  <c r="M61" i="139" s="1"/>
  <c r="AL87" i="139" s="1"/>
  <c r="M35" i="139"/>
  <c r="M62" i="139" s="1"/>
  <c r="AL88" i="139" s="1"/>
  <c r="M30" i="139"/>
  <c r="M57" i="139" s="1"/>
  <c r="AL83" i="139" s="1"/>
  <c r="M32" i="139"/>
  <c r="M59" i="139" s="1"/>
  <c r="AL85" i="139" s="1"/>
  <c r="M41" i="139"/>
  <c r="M68" i="139" s="1"/>
  <c r="AL94" i="139" s="1"/>
  <c r="M31" i="139"/>
  <c r="M58" i="139" s="1"/>
  <c r="AL84" i="139" s="1"/>
  <c r="M33" i="139"/>
  <c r="M60" i="139" s="1"/>
  <c r="AL86" i="139" s="1"/>
  <c r="L28" i="139"/>
  <c r="L37" i="139" l="1"/>
  <c r="L64" i="139" s="1"/>
  <c r="AK90" i="139" s="1"/>
  <c r="L32" i="139"/>
  <c r="L59" i="139" s="1"/>
  <c r="AK85" i="139" s="1"/>
  <c r="L36" i="139"/>
  <c r="L63" i="139" s="1"/>
  <c r="AK89" i="139" s="1"/>
  <c r="L39" i="139"/>
  <c r="L66" i="139" s="1"/>
  <c r="AK92" i="139" s="1"/>
  <c r="L30" i="139"/>
  <c r="L57" i="139" s="1"/>
  <c r="AK83" i="139" s="1"/>
  <c r="K28" i="139"/>
  <c r="L31" i="139"/>
  <c r="L58" i="139" s="1"/>
  <c r="AK84" i="139" s="1"/>
  <c r="L34" i="139"/>
  <c r="L61" i="139" s="1"/>
  <c r="AK87" i="139" s="1"/>
  <c r="L35" i="139"/>
  <c r="L62" i="139" s="1"/>
  <c r="AK88" i="139" s="1"/>
  <c r="L38" i="139"/>
  <c r="L65" i="139" s="1"/>
  <c r="AK91" i="139" s="1"/>
  <c r="L33" i="139"/>
  <c r="L60" i="139" s="1"/>
  <c r="AK86" i="139" s="1"/>
  <c r="L40" i="139"/>
  <c r="L67" i="139" s="1"/>
  <c r="AK93" i="139" s="1"/>
  <c r="L41" i="139"/>
  <c r="L68" i="139" s="1"/>
  <c r="AK94" i="139" s="1"/>
  <c r="K39" i="139" l="1"/>
  <c r="K66" i="139" s="1"/>
  <c r="AJ92" i="139" s="1"/>
  <c r="J28" i="139"/>
  <c r="K38" i="139"/>
  <c r="K65" i="139" s="1"/>
  <c r="AJ91" i="139" s="1"/>
  <c r="K40" i="139"/>
  <c r="K67" i="139" s="1"/>
  <c r="AJ93" i="139" s="1"/>
  <c r="K33" i="139"/>
  <c r="K60" i="139" s="1"/>
  <c r="AJ86" i="139" s="1"/>
  <c r="K35" i="139"/>
  <c r="K62" i="139" s="1"/>
  <c r="AJ88" i="139" s="1"/>
  <c r="K36" i="139"/>
  <c r="K63" i="139" s="1"/>
  <c r="AJ89" i="139" s="1"/>
  <c r="K41" i="139"/>
  <c r="K68" i="139" s="1"/>
  <c r="AJ94" i="139" s="1"/>
  <c r="K30" i="139"/>
  <c r="K57" i="139" s="1"/>
  <c r="AJ83" i="139" s="1"/>
  <c r="K37" i="139"/>
  <c r="K64" i="139" s="1"/>
  <c r="AJ90" i="139" s="1"/>
  <c r="K34" i="139"/>
  <c r="K61" i="139" s="1"/>
  <c r="AJ87" i="139" s="1"/>
  <c r="K32" i="139"/>
  <c r="K59" i="139" s="1"/>
  <c r="AJ85" i="139" s="1"/>
  <c r="K31" i="139"/>
  <c r="K58" i="139" s="1"/>
  <c r="AJ84" i="139" s="1"/>
  <c r="J37" i="139" l="1"/>
  <c r="J64" i="139" s="1"/>
  <c r="AI90" i="139" s="1"/>
  <c r="J39" i="139"/>
  <c r="J66" i="139" s="1"/>
  <c r="AI92" i="139" s="1"/>
  <c r="J34" i="139"/>
  <c r="J61" i="139" s="1"/>
  <c r="AI87" i="139" s="1"/>
  <c r="J38" i="139"/>
  <c r="J65" i="139" s="1"/>
  <c r="AI91" i="139" s="1"/>
  <c r="J30" i="139"/>
  <c r="J57" i="139" s="1"/>
  <c r="AI83" i="139" s="1"/>
  <c r="J33" i="139"/>
  <c r="J60" i="139" s="1"/>
  <c r="AI86" i="139" s="1"/>
  <c r="J36" i="139"/>
  <c r="J63" i="139" s="1"/>
  <c r="AI89" i="139" s="1"/>
  <c r="J32" i="139"/>
  <c r="J59" i="139" s="1"/>
  <c r="AI85" i="139" s="1"/>
  <c r="J41" i="139"/>
  <c r="J68" i="139" s="1"/>
  <c r="AI94" i="139" s="1"/>
  <c r="J40" i="139"/>
  <c r="J67" i="139" s="1"/>
  <c r="AI93" i="139" s="1"/>
  <c r="I28" i="139"/>
  <c r="J31" i="139"/>
  <c r="J58" i="139" s="1"/>
  <c r="AI84" i="139" s="1"/>
  <c r="J35" i="139"/>
  <c r="J62" i="139" s="1"/>
  <c r="AI88" i="139" s="1"/>
  <c r="I35" i="139" l="1"/>
  <c r="I62" i="139" s="1"/>
  <c r="AH88" i="139" s="1"/>
  <c r="I37" i="139"/>
  <c r="I64" i="139" s="1"/>
  <c r="AH90" i="139" s="1"/>
  <c r="I34" i="139"/>
  <c r="I61" i="139" s="1"/>
  <c r="AH87" i="139" s="1"/>
  <c r="I33" i="139"/>
  <c r="I60" i="139" s="1"/>
  <c r="AH86" i="139" s="1"/>
  <c r="H28" i="139"/>
  <c r="I30" i="139"/>
  <c r="I57" i="139" s="1"/>
  <c r="AH83" i="139" s="1"/>
  <c r="I32" i="139"/>
  <c r="I59" i="139" s="1"/>
  <c r="AH85" i="139" s="1"/>
  <c r="I39" i="139"/>
  <c r="I66" i="139" s="1"/>
  <c r="AH92" i="139" s="1"/>
  <c r="I41" i="139"/>
  <c r="I68" i="139" s="1"/>
  <c r="AH94" i="139" s="1"/>
  <c r="I38" i="139"/>
  <c r="I65" i="139" s="1"/>
  <c r="AH91" i="139" s="1"/>
  <c r="I31" i="139"/>
  <c r="I58" i="139" s="1"/>
  <c r="AH84" i="139" s="1"/>
  <c r="I36" i="139"/>
  <c r="I63" i="139" s="1"/>
  <c r="AH89" i="139" s="1"/>
  <c r="I40" i="139"/>
  <c r="I67" i="139" s="1"/>
  <c r="AH93" i="139" s="1"/>
  <c r="H41" i="139" l="1"/>
  <c r="H68" i="139" s="1"/>
  <c r="AG94" i="139" s="1"/>
  <c r="H34" i="139"/>
  <c r="H61" i="139" s="1"/>
  <c r="AG87" i="139" s="1"/>
  <c r="G28" i="139"/>
  <c r="H37" i="139"/>
  <c r="H64" i="139" s="1"/>
  <c r="AG90" i="139" s="1"/>
  <c r="H31" i="139"/>
  <c r="H58" i="139" s="1"/>
  <c r="AG84" i="139" s="1"/>
  <c r="H30" i="139"/>
  <c r="H57" i="139" s="1"/>
  <c r="AG83" i="139" s="1"/>
  <c r="H32" i="139"/>
  <c r="H59" i="139" s="1"/>
  <c r="AG85" i="139" s="1"/>
  <c r="H38" i="139"/>
  <c r="H65" i="139" s="1"/>
  <c r="AG91" i="139" s="1"/>
  <c r="H40" i="139"/>
  <c r="H67" i="139" s="1"/>
  <c r="AG93" i="139" s="1"/>
  <c r="H33" i="139"/>
  <c r="H60" i="139" s="1"/>
  <c r="AG86" i="139" s="1"/>
  <c r="H39" i="139"/>
  <c r="H66" i="139" s="1"/>
  <c r="AG92" i="139" s="1"/>
  <c r="H36" i="139"/>
  <c r="H63" i="139" s="1"/>
  <c r="AG89" i="139" s="1"/>
  <c r="H35" i="139"/>
  <c r="H62" i="139" s="1"/>
  <c r="AG88" i="139" s="1"/>
  <c r="G38" i="139" l="1"/>
  <c r="G65" i="139" s="1"/>
  <c r="AF91" i="139" s="1"/>
  <c r="G34" i="139"/>
  <c r="G61" i="139" s="1"/>
  <c r="AF87" i="139" s="1"/>
  <c r="G36" i="139"/>
  <c r="G63" i="139" s="1"/>
  <c r="AF89" i="139" s="1"/>
  <c r="F28" i="139"/>
  <c r="G37" i="139"/>
  <c r="G64" i="139" s="1"/>
  <c r="AF90" i="139" s="1"/>
  <c r="G32" i="139"/>
  <c r="G59" i="139" s="1"/>
  <c r="AF85" i="139" s="1"/>
  <c r="G41" i="139"/>
  <c r="G68" i="139" s="1"/>
  <c r="AF94" i="139" s="1"/>
  <c r="G35" i="139"/>
  <c r="G62" i="139" s="1"/>
  <c r="AF88" i="139" s="1"/>
  <c r="G39" i="139"/>
  <c r="G66" i="139" s="1"/>
  <c r="AF92" i="139" s="1"/>
  <c r="G30" i="139"/>
  <c r="G57" i="139" s="1"/>
  <c r="AF83" i="139" s="1"/>
  <c r="G31" i="139"/>
  <c r="G58" i="139" s="1"/>
  <c r="AF84" i="139" s="1"/>
  <c r="G40" i="139"/>
  <c r="G67" i="139" s="1"/>
  <c r="AF93" i="139" s="1"/>
  <c r="G33" i="139"/>
  <c r="G60" i="139" s="1"/>
  <c r="AF86" i="139" s="1"/>
  <c r="F31" i="139" l="1"/>
  <c r="F58" i="139" s="1"/>
  <c r="AE84" i="139" s="1"/>
  <c r="F37" i="139"/>
  <c r="F64" i="139" s="1"/>
  <c r="AE90" i="139" s="1"/>
  <c r="F33" i="139"/>
  <c r="F60" i="139" s="1"/>
  <c r="AE86" i="139" s="1"/>
  <c r="F34" i="139"/>
  <c r="F61" i="139" s="1"/>
  <c r="AE87" i="139" s="1"/>
  <c r="F30" i="139"/>
  <c r="F57" i="139" s="1"/>
  <c r="AE83" i="139" s="1"/>
  <c r="F36" i="139"/>
  <c r="F63" i="139" s="1"/>
  <c r="AE89" i="139" s="1"/>
  <c r="F39" i="139"/>
  <c r="F66" i="139" s="1"/>
  <c r="AE92" i="139" s="1"/>
  <c r="F40" i="139"/>
  <c r="F67" i="139" s="1"/>
  <c r="AE93" i="139" s="1"/>
  <c r="F38" i="139"/>
  <c r="F65" i="139" s="1"/>
  <c r="AE91" i="139" s="1"/>
  <c r="F41" i="139"/>
  <c r="F68" i="139" s="1"/>
  <c r="AE94" i="139" s="1"/>
  <c r="E28" i="139"/>
  <c r="F32" i="139"/>
  <c r="F59" i="139" s="1"/>
  <c r="AE85" i="139" s="1"/>
  <c r="F35" i="139"/>
  <c r="F62" i="139" s="1"/>
  <c r="AE88" i="139" s="1"/>
  <c r="E38" i="139" l="1"/>
  <c r="E65" i="139" s="1"/>
  <c r="AD91" i="139" s="1"/>
  <c r="E34" i="139"/>
  <c r="E61" i="139" s="1"/>
  <c r="AD87" i="139" s="1"/>
  <c r="E40" i="139"/>
  <c r="E67" i="139" s="1"/>
  <c r="AD93" i="139" s="1"/>
  <c r="E41" i="139"/>
  <c r="E68" i="139" s="1"/>
  <c r="AD94" i="139" s="1"/>
  <c r="E36" i="139"/>
  <c r="E63" i="139" s="1"/>
  <c r="AD89" i="139" s="1"/>
  <c r="E35" i="139"/>
  <c r="E62" i="139" s="1"/>
  <c r="AD88" i="139" s="1"/>
  <c r="E30" i="139"/>
  <c r="E57" i="139" s="1"/>
  <c r="AD83" i="139" s="1"/>
  <c r="E37" i="139"/>
  <c r="E64" i="139" s="1"/>
  <c r="AD90" i="139" s="1"/>
  <c r="E31" i="139"/>
  <c r="E58" i="139" s="1"/>
  <c r="AD84" i="139" s="1"/>
  <c r="E33" i="139"/>
  <c r="E60" i="139" s="1"/>
  <c r="AD86" i="139" s="1"/>
  <c r="E39" i="139"/>
  <c r="E66" i="139" s="1"/>
  <c r="AD92" i="139" s="1"/>
  <c r="E32" i="139"/>
  <c r="E59" i="139" s="1"/>
  <c r="AD85" i="139" s="1"/>
  <c r="D28" i="139"/>
  <c r="D41" i="139" l="1"/>
  <c r="D68" i="139" s="1"/>
  <c r="AC94" i="139" s="1"/>
  <c r="D36" i="139"/>
  <c r="D63" i="139" s="1"/>
  <c r="AC89" i="139" s="1"/>
  <c r="C28" i="139"/>
  <c r="D40" i="139"/>
  <c r="D67" i="139" s="1"/>
  <c r="AC93" i="139" s="1"/>
  <c r="D35" i="139"/>
  <c r="D62" i="139" s="1"/>
  <c r="AC88" i="139" s="1"/>
  <c r="D34" i="139"/>
  <c r="D61" i="139" s="1"/>
  <c r="AC87" i="139" s="1"/>
  <c r="D33" i="139"/>
  <c r="D60" i="139" s="1"/>
  <c r="AC86" i="139" s="1"/>
  <c r="D39" i="139"/>
  <c r="D66" i="139" s="1"/>
  <c r="AC92" i="139" s="1"/>
  <c r="D31" i="139"/>
  <c r="D58" i="139" s="1"/>
  <c r="AC84" i="139" s="1"/>
  <c r="D30" i="139"/>
  <c r="D57" i="139" s="1"/>
  <c r="AC83" i="139" s="1"/>
  <c r="D38" i="139"/>
  <c r="D65" i="139" s="1"/>
  <c r="AC91" i="139" s="1"/>
  <c r="D32" i="139"/>
  <c r="D59" i="139" s="1"/>
  <c r="AC85" i="139" s="1"/>
  <c r="D37" i="139"/>
  <c r="D64" i="139" s="1"/>
  <c r="AC90" i="139" s="1"/>
  <c r="C36" i="139" l="1"/>
  <c r="C63" i="139" s="1"/>
  <c r="AB89" i="139" s="1"/>
  <c r="C37" i="139"/>
  <c r="C64" i="139" s="1"/>
  <c r="AB90" i="139" s="1"/>
  <c r="C32" i="139"/>
  <c r="C59" i="139" s="1"/>
  <c r="AB85" i="139" s="1"/>
  <c r="C40" i="139"/>
  <c r="C67" i="139" s="1"/>
  <c r="AB93" i="139" s="1"/>
  <c r="B28" i="139"/>
  <c r="C38" i="139"/>
  <c r="C65" i="139" s="1"/>
  <c r="AB91" i="139" s="1"/>
  <c r="C34" i="139"/>
  <c r="C61" i="139" s="1"/>
  <c r="AB87" i="139" s="1"/>
  <c r="C39" i="139"/>
  <c r="C66" i="139" s="1"/>
  <c r="AB92" i="139" s="1"/>
  <c r="C30" i="139"/>
  <c r="C57" i="139" s="1"/>
  <c r="AB83" i="139" s="1"/>
  <c r="C41" i="139"/>
  <c r="C68" i="139" s="1"/>
  <c r="AB94" i="139" s="1"/>
  <c r="C33" i="139"/>
  <c r="C60" i="139" s="1"/>
  <c r="AB86" i="139" s="1"/>
  <c r="C35" i="139"/>
  <c r="C62" i="139" s="1"/>
  <c r="AB88" i="139" s="1"/>
  <c r="C31" i="139"/>
  <c r="C58" i="139" s="1"/>
  <c r="AB84" i="139" s="1"/>
  <c r="B41" i="139" l="1"/>
  <c r="B68" i="139" s="1"/>
  <c r="AA94" i="139" s="1"/>
  <c r="B32" i="139"/>
  <c r="B59" i="139" s="1"/>
  <c r="AA85" i="139" s="1"/>
  <c r="B40" i="139"/>
  <c r="B67" i="139" s="1"/>
  <c r="AA93" i="139" s="1"/>
  <c r="B31" i="139"/>
  <c r="B58" i="139" s="1"/>
  <c r="AA84" i="139" s="1"/>
  <c r="B39" i="139"/>
  <c r="B66" i="139" s="1"/>
  <c r="AA92" i="139" s="1"/>
  <c r="B33" i="139"/>
  <c r="B60" i="139" s="1"/>
  <c r="AA86" i="139" s="1"/>
  <c r="B35" i="139"/>
  <c r="B62" i="139" s="1"/>
  <c r="AA88" i="139" s="1"/>
  <c r="B34" i="139"/>
  <c r="B61" i="139" s="1"/>
  <c r="AA87" i="139" s="1"/>
  <c r="B37" i="139"/>
  <c r="B64" i="139" s="1"/>
  <c r="AA90" i="139" s="1"/>
  <c r="B38" i="139"/>
  <c r="B65" i="139" s="1"/>
  <c r="AA91" i="139" s="1"/>
  <c r="B30" i="139"/>
  <c r="B57" i="139" s="1"/>
  <c r="AA83" i="139" s="1"/>
  <c r="B36" i="139"/>
  <c r="B63" i="139" s="1"/>
  <c r="AA89" i="139" s="1"/>
</calcChain>
</file>

<file path=xl/sharedStrings.xml><?xml version="1.0" encoding="utf-8"?>
<sst xmlns="http://schemas.openxmlformats.org/spreadsheetml/2006/main" count="18" uniqueCount="10">
  <si>
    <t>MES</t>
  </si>
  <si>
    <t>Period</t>
  </si>
  <si>
    <t>MEDIA</t>
  </si>
  <si>
    <t>MEDIANA</t>
  </si>
  <si>
    <t>VARIANZA</t>
  </si>
  <si>
    <t>σ</t>
  </si>
  <si>
    <r>
      <t xml:space="preserve">INTERVALO </t>
    </r>
    <r>
      <rPr>
        <b/>
        <sz val="8"/>
        <color theme="0"/>
        <rFont val="Calibri"/>
        <family val="2"/>
        <scheme val="minor"/>
      </rPr>
      <t>∓</t>
    </r>
    <r>
      <rPr>
        <b/>
        <sz val="11"/>
        <color theme="0"/>
        <rFont val="Calibri"/>
        <family val="2"/>
        <scheme val="minor"/>
      </rPr>
      <t>2σ</t>
    </r>
  </si>
  <si>
    <t>SSTotalESP</t>
  </si>
  <si>
    <t>Inicio</t>
  </si>
  <si>
    <t>Amplitud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</si>
</sst>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C0A]mmm\-yy;@"/>
    <numFmt numFmtId="165" formatCode="0.0%"/>
    <numFmt numFmtId="166" formatCode="0.000000"/>
    <numFmt numFmtId="167" formatCode="0.00\ &quot;σ&quot;"/>
  </numFmts>
  <fonts count="8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2">
    <xf numFmtId="0" fontId="0" fillId="0" borderId="0" xfId="0"/>
    <xf numFmtId="3" fontId="0" fillId="0" borderId="0" xfId="0" applyNumberFormat="1"/>
    <xf numFmtId="14" fontId="0" fillId="0" borderId="0" xfId="0" applyNumberFormat="1"/>
    <xf numFmtId="0" fontId="1" fillId="0" borderId="1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0" fillId="0" borderId="0" xfId="0" applyAlignment="1">
      <alignment vertical="center"/>
    </xf>
    <xf numFmtId="3" fontId="1" fillId="0" borderId="1" xfId="0" applyNumberFormat="1" applyFont="1" applyBorder="1"/>
    <xf numFmtId="164" fontId="1" fillId="0" borderId="1" xfId="0" applyNumberFormat="1" applyFont="1" applyBorder="1" applyAlignment="1">
      <alignment vertical="center"/>
    </xf>
    <xf numFmtId="164" fontId="1" fillId="0" borderId="1" xfId="0" applyNumberFormat="1" applyFont="1" applyBorder="1"/>
    <xf numFmtId="10" fontId="2" fillId="0" borderId="0" xfId="1" applyNumberFormat="1" applyFont="1"/>
    <xf numFmtId="164" fontId="4" fillId="2" borderId="0" xfId="0" applyNumberFormat="1" applyFont="1" applyFill="1" applyAlignment="1">
      <alignment horizontal="center" vertical="center"/>
    </xf>
    <xf numFmtId="164" fontId="4" fillId="2" borderId="0" xfId="0" applyNumberFormat="1" applyFont="1" applyFill="1" applyAlignment="1">
      <alignment horizontal="center"/>
    </xf>
    <xf numFmtId="164" fontId="5" fillId="2" borderId="0" xfId="0" applyNumberFormat="1" applyFont="1" applyFill="1" applyAlignment="1">
      <alignment horizontal="center" vertical="center"/>
    </xf>
    <xf numFmtId="10" fontId="7" fillId="3" borderId="0" xfId="0" applyNumberFormat="1" applyFont="1" applyFill="1"/>
    <xf numFmtId="166" fontId="7" fillId="3" borderId="0" xfId="0" applyNumberFormat="1" applyFont="1" applyFill="1"/>
    <xf numFmtId="165" fontId="7" fillId="3" borderId="0" xfId="1" applyNumberFormat="1" applyFont="1" applyFill="1" applyAlignment="1">
      <alignment horizontal="center" vertical="center"/>
    </xf>
    <xf numFmtId="10" fontId="0" fillId="0" borderId="0" xfId="0" applyNumberFormat="1"/>
    <xf numFmtId="10" fontId="7" fillId="3" borderId="0" xfId="1" applyNumberFormat="1" applyFont="1" applyFill="1" applyAlignment="1">
      <alignment horizontal="center" vertical="center"/>
    </xf>
    <xf numFmtId="10" fontId="0" fillId="0" borderId="0" xfId="1" applyNumberFormat="1" applyFont="1" applyFill="1"/>
    <xf numFmtId="167" fontId="5" fillId="2" borderId="0" xfId="0" applyNumberFormat="1" applyFont="1" applyFill="1" applyAlignment="1">
      <alignment horizontal="center" vertical="center"/>
    </xf>
    <xf numFmtId="9" fontId="0" fillId="0" borderId="0" xfId="1" applyNumberFormat="1" applyFont="1"/>
    <xf numFmtId="10" fontId="0" fillId="0" borderId="0" xfId="1" applyNumberFormat="1" applyFont="1"/>
  </cellXfs>
  <cellStyles count="2">
    <cellStyle name="Normal" xfId="0" builtinId="0"/>
    <cellStyle name="Porcentaje" xfId="1" builtinId="5"/>
  </cellStyles>
  <dxfs count="4">
    <dxf>
      <font>
        <b/>
        <i val="0"/>
        <strike val="0"/>
        <u val="none"/>
        <color auto="1"/>
      </font>
      <fill>
        <patternFill patternType="solid">
          <bgColor theme="3" tint="0.79998168889431442"/>
        </patternFill>
      </fill>
      <border>
        <left/>
        <right/>
        <top/>
        <bottom/>
      </border>
    </dxf>
    <dxf>
      <fill>
        <patternFill>
          <bgColor theme="0"/>
        </patternFill>
      </fill>
    </dxf>
    <dxf>
      <font>
        <b/>
        <i val="0"/>
        <u val="none"/>
        <color theme="0"/>
      </font>
      <fill>
        <patternFill patternType="solid">
          <bgColor rgb="FF00B050"/>
        </patternFill>
      </fill>
      <border>
        <left/>
        <right/>
        <top/>
        <bottom/>
      </border>
    </dxf>
    <dxf>
      <font>
        <b/>
        <i val="0"/>
        <strike val="0"/>
        <u val="none"/>
        <color rgb="FFFFFF00"/>
      </font>
      <fill>
        <patternFill patternType="solid">
          <bgColor rgb="FFFF3300"/>
        </patternFill>
      </fill>
      <border>
        <left/>
        <right/>
        <top/>
        <bottom/>
      </border>
    </dxf>
  </dxfs>
  <tableStyles count="0" defaultTableStyle="TableStyleMedium9" defaultPivotStyle="PivotStyleLight16"/>
  <colors>
    <mruColors>
      <color rgb="FF0066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C/OBSERVATORIOEMPLEO/An&#225;lisis/Previsiones/Serie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series"/>
    </sheetNames>
    <sheetDataSet>
      <sheetData sheetId="0">
        <row r="7">
          <cell r="C7">
            <v>15194299.220000001</v>
          </cell>
        </row>
        <row r="8">
          <cell r="C8">
            <v>15326583.35</v>
          </cell>
        </row>
        <row r="9">
          <cell r="C9">
            <v>15455386.4</v>
          </cell>
        </row>
        <row r="10">
          <cell r="C10">
            <v>15551821.039999999</v>
          </cell>
        </row>
        <row r="11">
          <cell r="C11">
            <v>15688072.27</v>
          </cell>
        </row>
        <row r="12">
          <cell r="C12">
            <v>15802406.550000001</v>
          </cell>
        </row>
        <row r="13">
          <cell r="C13">
            <v>15941613.6</v>
          </cell>
        </row>
        <row r="14">
          <cell r="C14">
            <v>15829410.01</v>
          </cell>
        </row>
        <row r="15">
          <cell r="C15">
            <v>15807572.640000001</v>
          </cell>
        </row>
        <row r="16">
          <cell r="C16">
            <v>15845332.529999999</v>
          </cell>
        </row>
        <row r="17">
          <cell r="C17">
            <v>15885774.66</v>
          </cell>
        </row>
        <row r="18">
          <cell r="C18">
            <v>15901915.26</v>
          </cell>
        </row>
        <row r="19">
          <cell r="C19">
            <v>15716520.01</v>
          </cell>
        </row>
        <row r="20">
          <cell r="C20">
            <v>15834338.25</v>
          </cell>
        </row>
        <row r="21">
          <cell r="C21">
            <v>15927218.199999999</v>
          </cell>
        </row>
        <row r="22">
          <cell r="C22">
            <v>16025754.18</v>
          </cell>
        </row>
        <row r="23">
          <cell r="C23">
            <v>16183522.4</v>
          </cell>
        </row>
        <row r="24">
          <cell r="C24">
            <v>16260265.76</v>
          </cell>
        </row>
        <row r="25">
          <cell r="C25">
            <v>16419239.07</v>
          </cell>
        </row>
        <row r="26">
          <cell r="C26">
            <v>16321804.82</v>
          </cell>
        </row>
        <row r="27">
          <cell r="C27">
            <v>16293662.039999999</v>
          </cell>
        </row>
        <row r="28">
          <cell r="C28">
            <v>16340244.6</v>
          </cell>
        </row>
        <row r="29">
          <cell r="C29">
            <v>16376762.68</v>
          </cell>
        </row>
        <row r="30">
          <cell r="C30">
            <v>16380197.689999999</v>
          </cell>
        </row>
        <row r="31">
          <cell r="C31">
            <v>16217209.48</v>
          </cell>
        </row>
        <row r="32">
          <cell r="C32">
            <v>16365395.65</v>
          </cell>
        </row>
        <row r="33">
          <cell r="C33">
            <v>16482972.57</v>
          </cell>
        </row>
        <row r="34">
          <cell r="C34">
            <v>16594317.07</v>
          </cell>
        </row>
        <row r="35">
          <cell r="C35">
            <v>16735791.039999999</v>
          </cell>
        </row>
        <row r="36">
          <cell r="C36">
            <v>16818072.16</v>
          </cell>
        </row>
        <row r="37">
          <cell r="C37">
            <v>16941956.129999999</v>
          </cell>
        </row>
        <row r="38">
          <cell r="C38">
            <v>16810036.199999999</v>
          </cell>
        </row>
        <row r="39">
          <cell r="C39">
            <v>16785475.829999998</v>
          </cell>
        </row>
        <row r="40">
          <cell r="C40">
            <v>16830082.649999999</v>
          </cell>
        </row>
        <row r="41">
          <cell r="C41">
            <v>16850235.600000001</v>
          </cell>
        </row>
        <row r="42">
          <cell r="C42">
            <v>16826224.210000001</v>
          </cell>
        </row>
        <row r="43">
          <cell r="C43">
            <v>16640851.449999999</v>
          </cell>
        </row>
        <row r="44">
          <cell r="C44">
            <v>16808648.850000001</v>
          </cell>
        </row>
        <row r="45">
          <cell r="C45">
            <v>16930836.649999999</v>
          </cell>
        </row>
        <row r="46">
          <cell r="C46">
            <v>17023372.149999999</v>
          </cell>
        </row>
        <row r="47">
          <cell r="C47">
            <v>17174293.949999999</v>
          </cell>
        </row>
        <row r="48">
          <cell r="C48">
            <v>17276512.780000001</v>
          </cell>
        </row>
        <row r="49">
          <cell r="C49">
            <v>17414516.309999999</v>
          </cell>
        </row>
        <row r="50">
          <cell r="C50">
            <v>17260174.649999999</v>
          </cell>
        </row>
        <row r="51">
          <cell r="C51">
            <v>17247118.719999999</v>
          </cell>
        </row>
        <row r="52">
          <cell r="C52">
            <v>17314217.050000001</v>
          </cell>
        </row>
        <row r="53">
          <cell r="C53">
            <v>17349474.239999998</v>
          </cell>
        </row>
        <row r="54">
          <cell r="C54">
            <v>17340361.050000001</v>
          </cell>
        </row>
        <row r="55">
          <cell r="C55">
            <v>17180940.449999999</v>
          </cell>
        </row>
        <row r="56">
          <cell r="C56">
            <v>17320383.800000001</v>
          </cell>
        </row>
        <row r="57">
          <cell r="C57">
            <v>17430544.379999999</v>
          </cell>
        </row>
        <row r="58">
          <cell r="C58">
            <v>17575463.010000002</v>
          </cell>
        </row>
        <row r="59">
          <cell r="C59">
            <v>17789655.539999999</v>
          </cell>
        </row>
        <row r="60">
          <cell r="C60">
            <v>18019758.109999999</v>
          </cell>
        </row>
        <row r="61">
          <cell r="C61">
            <v>18260394.07</v>
          </cell>
        </row>
        <row r="62">
          <cell r="C62">
            <v>18168312.59</v>
          </cell>
        </row>
        <row r="63">
          <cell r="C63">
            <v>18196939.539999999</v>
          </cell>
        </row>
        <row r="64">
          <cell r="C64">
            <v>18294813.399999999</v>
          </cell>
        </row>
        <row r="65">
          <cell r="C65">
            <v>18330429.809999999</v>
          </cell>
        </row>
        <row r="66">
          <cell r="C66">
            <v>18316322.949999999</v>
          </cell>
        </row>
        <row r="67">
          <cell r="C67">
            <v>18154960.289999999</v>
          </cell>
        </row>
        <row r="68">
          <cell r="C68">
            <v>18286896.75</v>
          </cell>
        </row>
        <row r="69">
          <cell r="C69">
            <v>18415427.050000001</v>
          </cell>
        </row>
        <row r="70">
          <cell r="C70">
            <v>18540308.850000001</v>
          </cell>
        </row>
        <row r="71">
          <cell r="C71">
            <v>18696526.289999999</v>
          </cell>
        </row>
        <row r="72">
          <cell r="C72">
            <v>18807670.370000001</v>
          </cell>
        </row>
        <row r="73">
          <cell r="C73">
            <v>18944956.34</v>
          </cell>
        </row>
        <row r="74">
          <cell r="C74">
            <v>18760546.600000001</v>
          </cell>
        </row>
        <row r="75">
          <cell r="C75">
            <v>18777097.109999999</v>
          </cell>
        </row>
        <row r="76">
          <cell r="C76">
            <v>18866359.010000002</v>
          </cell>
        </row>
        <row r="77">
          <cell r="C77">
            <v>18922822.34</v>
          </cell>
        </row>
        <row r="78">
          <cell r="C78">
            <v>18925995.789999999</v>
          </cell>
        </row>
        <row r="79">
          <cell r="C79">
            <v>18778596.859999999</v>
          </cell>
        </row>
        <row r="80">
          <cell r="C80">
            <v>18918020.949999999</v>
          </cell>
        </row>
        <row r="81">
          <cell r="C81">
            <v>19058951.27</v>
          </cell>
        </row>
        <row r="82">
          <cell r="C82">
            <v>19151216.010000002</v>
          </cell>
        </row>
        <row r="83">
          <cell r="C83">
            <v>19303188.690000001</v>
          </cell>
        </row>
        <row r="84">
          <cell r="C84">
            <v>19377776.300000001</v>
          </cell>
        </row>
        <row r="85">
          <cell r="C85">
            <v>19493050.199999999</v>
          </cell>
        </row>
        <row r="86">
          <cell r="C86">
            <v>19286185.190000001</v>
          </cell>
        </row>
        <row r="87">
          <cell r="C87">
            <v>19290985.350000001</v>
          </cell>
        </row>
        <row r="88">
          <cell r="C88">
            <v>19371683.5</v>
          </cell>
        </row>
        <row r="89">
          <cell r="C89">
            <v>19393158.91</v>
          </cell>
        </row>
        <row r="90">
          <cell r="C90">
            <v>19372777.079999998</v>
          </cell>
        </row>
        <row r="91">
          <cell r="C91">
            <v>19160798.010000002</v>
          </cell>
        </row>
        <row r="92">
          <cell r="C92">
            <v>19252124.84</v>
          </cell>
        </row>
        <row r="93">
          <cell r="C93">
            <v>19314403.530999999</v>
          </cell>
        </row>
        <row r="94">
          <cell r="C94">
            <v>19356269.149999999</v>
          </cell>
        </row>
        <row r="95">
          <cell r="C95">
            <v>19409641.57</v>
          </cell>
        </row>
        <row r="96">
          <cell r="C96">
            <v>19358953.440000001</v>
          </cell>
        </row>
        <row r="97">
          <cell r="C97">
            <v>19382222.559999999</v>
          </cell>
        </row>
        <row r="98">
          <cell r="C98">
            <v>19137556.149999999</v>
          </cell>
        </row>
        <row r="99">
          <cell r="C99">
            <v>19020359.469999999</v>
          </cell>
        </row>
        <row r="100">
          <cell r="C100">
            <v>18918473.210000001</v>
          </cell>
        </row>
        <row r="101">
          <cell r="C101">
            <v>18721386.649999999</v>
          </cell>
        </row>
        <row r="102">
          <cell r="C102">
            <v>18531311.739999998</v>
          </cell>
        </row>
        <row r="103">
          <cell r="C103">
            <v>18181742.699999999</v>
          </cell>
        </row>
        <row r="104">
          <cell r="C104">
            <v>18112610.600000001</v>
          </cell>
        </row>
        <row r="105">
          <cell r="C105">
            <v>18058121.780000001</v>
          </cell>
        </row>
        <row r="106">
          <cell r="C106">
            <v>18034183.25</v>
          </cell>
        </row>
        <row r="107">
          <cell r="C107">
            <v>18103487.350000001</v>
          </cell>
        </row>
        <row r="108">
          <cell r="C108">
            <v>18097986.02</v>
          </cell>
        </row>
        <row r="109">
          <cell r="C109">
            <v>18143554.010000002</v>
          </cell>
        </row>
        <row r="110">
          <cell r="C110">
            <v>18001310.039999999</v>
          </cell>
        </row>
        <row r="111">
          <cell r="C111">
            <v>17935094.550000001</v>
          </cell>
        </row>
        <row r="112">
          <cell r="C112">
            <v>17908945.329999998</v>
          </cell>
        </row>
        <row r="113">
          <cell r="C113">
            <v>17847669.059999999</v>
          </cell>
        </row>
        <row r="114">
          <cell r="C114">
            <v>17803838.940000001</v>
          </cell>
        </row>
        <row r="115">
          <cell r="C115">
            <v>17546011</v>
          </cell>
        </row>
        <row r="116">
          <cell r="C116">
            <v>17572351.149999999</v>
          </cell>
        </row>
        <row r="117">
          <cell r="C117">
            <v>17594808.350000001</v>
          </cell>
        </row>
        <row r="118">
          <cell r="C118">
            <v>17648660.100000001</v>
          </cell>
        </row>
        <row r="119">
          <cell r="C119">
            <v>17761897.34</v>
          </cell>
        </row>
        <row r="120">
          <cell r="C120">
            <v>17785781.68</v>
          </cell>
        </row>
        <row r="121">
          <cell r="C121">
            <v>17848322.600000001</v>
          </cell>
        </row>
        <row r="122">
          <cell r="C122">
            <v>17716464.23</v>
          </cell>
        </row>
        <row r="123">
          <cell r="C123">
            <v>17671479.600000001</v>
          </cell>
        </row>
        <row r="124">
          <cell r="C124">
            <v>17666149.050000001</v>
          </cell>
        </row>
        <row r="125">
          <cell r="C125">
            <v>17612709.350000001</v>
          </cell>
        </row>
        <row r="126">
          <cell r="C126">
            <v>17584981.609999999</v>
          </cell>
        </row>
        <row r="127">
          <cell r="C127">
            <v>17361838.5</v>
          </cell>
        </row>
        <row r="128">
          <cell r="C128">
            <v>17347094.300000001</v>
          </cell>
        </row>
        <row r="129">
          <cell r="C129">
            <v>17392754.170000002</v>
          </cell>
        </row>
        <row r="130">
          <cell r="C130">
            <v>17474200.739999998</v>
          </cell>
        </row>
        <row r="131">
          <cell r="C131">
            <v>17592190.640000001</v>
          </cell>
        </row>
        <row r="132">
          <cell r="C132">
            <v>17586578.649999999</v>
          </cell>
        </row>
        <row r="133">
          <cell r="C133">
            <v>17637351.629999999</v>
          </cell>
        </row>
        <row r="134">
          <cell r="C134">
            <v>17500517.370000001</v>
          </cell>
        </row>
        <row r="135">
          <cell r="C135">
            <v>17435561.629999999</v>
          </cell>
        </row>
        <row r="136">
          <cell r="C136">
            <v>17360312.550000001</v>
          </cell>
        </row>
        <row r="137">
          <cell r="C137">
            <v>17248530.059999999</v>
          </cell>
        </row>
        <row r="138">
          <cell r="C138">
            <v>17229921.5</v>
          </cell>
        </row>
        <row r="139">
          <cell r="C139">
            <v>16958267.140000001</v>
          </cell>
        </row>
        <row r="140">
          <cell r="C140">
            <v>16897111.537620001</v>
          </cell>
        </row>
        <row r="141">
          <cell r="C141">
            <v>16902530.414549999</v>
          </cell>
        </row>
        <row r="142">
          <cell r="C142">
            <v>16919079.149999999</v>
          </cell>
        </row>
        <row r="143">
          <cell r="C143">
            <v>16996510.359999999</v>
          </cell>
        </row>
        <row r="144">
          <cell r="C144">
            <v>17027842.57</v>
          </cell>
        </row>
        <row r="145">
          <cell r="C145">
            <v>17032738.449999999</v>
          </cell>
        </row>
        <row r="146">
          <cell r="C146">
            <v>16895976.899999999</v>
          </cell>
        </row>
        <row r="147">
          <cell r="C147">
            <v>16809803</v>
          </cell>
        </row>
        <row r="148">
          <cell r="C148">
            <v>16736727</v>
          </cell>
        </row>
        <row r="149">
          <cell r="C149">
            <v>16531048</v>
          </cell>
        </row>
        <row r="150">
          <cell r="C150">
            <v>16442681</v>
          </cell>
        </row>
        <row r="151">
          <cell r="C151">
            <v>16179438</v>
          </cell>
        </row>
        <row r="152">
          <cell r="C152">
            <v>16150747</v>
          </cell>
        </row>
        <row r="153">
          <cell r="C153">
            <v>16181275</v>
          </cell>
        </row>
        <row r="154">
          <cell r="C154">
            <v>16232352</v>
          </cell>
        </row>
        <row r="155">
          <cell r="C155">
            <v>16367013</v>
          </cell>
        </row>
        <row r="156">
          <cell r="C156">
            <v>16393866</v>
          </cell>
        </row>
        <row r="157">
          <cell r="C157">
            <v>16426756</v>
          </cell>
        </row>
        <row r="158">
          <cell r="C158">
            <v>16327687</v>
          </cell>
        </row>
        <row r="159">
          <cell r="C159">
            <v>16305445</v>
          </cell>
        </row>
        <row r="160">
          <cell r="C160">
            <v>16360373</v>
          </cell>
        </row>
        <row r="161">
          <cell r="C161">
            <v>16293543</v>
          </cell>
        </row>
        <row r="162">
          <cell r="C162">
            <v>16357640</v>
          </cell>
        </row>
        <row r="163">
          <cell r="C163">
            <v>16173610</v>
          </cell>
        </row>
        <row r="164">
          <cell r="C164">
            <v>16212304</v>
          </cell>
        </row>
        <row r="165">
          <cell r="C165">
            <v>16296288</v>
          </cell>
        </row>
        <row r="166">
          <cell r="C166">
            <v>16430053</v>
          </cell>
        </row>
        <row r="167">
          <cell r="C167">
            <v>16628373</v>
          </cell>
        </row>
        <row r="168">
          <cell r="C168">
            <v>16684995</v>
          </cell>
        </row>
        <row r="169">
          <cell r="C169">
            <v>16747103</v>
          </cell>
        </row>
        <row r="170">
          <cell r="C170">
            <v>16649521</v>
          </cell>
        </row>
        <row r="171">
          <cell r="C171">
            <v>16661703</v>
          </cell>
        </row>
        <row r="172">
          <cell r="C172">
            <v>16690520</v>
          </cell>
        </row>
        <row r="173">
          <cell r="C173">
            <v>16695752</v>
          </cell>
        </row>
        <row r="174">
          <cell r="C174">
            <v>16775214</v>
          </cell>
        </row>
        <row r="175">
          <cell r="C175">
            <v>16575312</v>
          </cell>
        </row>
        <row r="176">
          <cell r="C176">
            <v>16672222</v>
          </cell>
        </row>
        <row r="177">
          <cell r="C177">
            <v>16832801</v>
          </cell>
        </row>
        <row r="178">
          <cell r="C178">
            <v>17008296</v>
          </cell>
        </row>
        <row r="179">
          <cell r="C179">
            <v>17221310</v>
          </cell>
        </row>
        <row r="180">
          <cell r="C180">
            <v>17256395</v>
          </cell>
        </row>
        <row r="181">
          <cell r="C181">
            <v>17315188</v>
          </cell>
        </row>
        <row r="182">
          <cell r="C182">
            <v>17180899</v>
          </cell>
        </row>
        <row r="183">
          <cell r="C183">
            <v>17189815</v>
          </cell>
        </row>
        <row r="184">
          <cell r="C184">
            <v>17221467</v>
          </cell>
        </row>
        <row r="185">
          <cell r="C185">
            <v>17223086</v>
          </cell>
        </row>
        <row r="186">
          <cell r="C186">
            <v>17308400</v>
          </cell>
        </row>
        <row r="187">
          <cell r="C187">
            <v>17104357</v>
          </cell>
        </row>
        <row r="188">
          <cell r="C188">
            <v>17167712</v>
          </cell>
        </row>
        <row r="189">
          <cell r="C189">
            <v>17305798</v>
          </cell>
        </row>
        <row r="190">
          <cell r="C190">
            <v>17463836</v>
          </cell>
        </row>
        <row r="191">
          <cell r="C191">
            <v>17661840</v>
          </cell>
        </row>
        <row r="192">
          <cell r="C192">
            <v>17760271</v>
          </cell>
        </row>
        <row r="193">
          <cell r="C193">
            <v>17844992</v>
          </cell>
        </row>
        <row r="194">
          <cell r="C194">
            <v>17699995</v>
          </cell>
        </row>
        <row r="195">
          <cell r="C195">
            <v>17712021</v>
          </cell>
        </row>
        <row r="196">
          <cell r="C196">
            <v>17813356</v>
          </cell>
        </row>
        <row r="197">
          <cell r="C197">
            <v>17780524</v>
          </cell>
        </row>
        <row r="198">
          <cell r="C198">
            <v>17849055</v>
          </cell>
        </row>
        <row r="199">
          <cell r="C199">
            <v>17674175</v>
          </cell>
        </row>
        <row r="200">
          <cell r="C200">
            <v>17748254.850000001</v>
          </cell>
        </row>
        <row r="201">
          <cell r="C201">
            <v>17910006.649999999</v>
          </cell>
        </row>
        <row r="202">
          <cell r="C202">
            <v>18122222</v>
          </cell>
        </row>
        <row r="203">
          <cell r="C203">
            <v>18345414</v>
          </cell>
        </row>
        <row r="204">
          <cell r="C204">
            <v>18433107</v>
          </cell>
        </row>
        <row r="205">
          <cell r="C205">
            <v>18489329</v>
          </cell>
        </row>
        <row r="206">
          <cell r="C206">
            <v>18309844</v>
          </cell>
        </row>
        <row r="207">
          <cell r="C207">
            <v>18336161</v>
          </cell>
        </row>
        <row r="208">
          <cell r="C208">
            <v>18430529</v>
          </cell>
        </row>
        <row r="209">
          <cell r="C209">
            <v>18417756</v>
          </cell>
        </row>
        <row r="210">
          <cell r="C210">
            <v>18460201</v>
          </cell>
        </row>
        <row r="211">
          <cell r="C211">
            <v>18282031</v>
          </cell>
        </row>
        <row r="212">
          <cell r="C212">
            <v>18363514</v>
          </cell>
        </row>
        <row r="213">
          <cell r="C213">
            <v>18502088</v>
          </cell>
        </row>
        <row r="214">
          <cell r="C214">
            <v>18678461</v>
          </cell>
        </row>
        <row r="215">
          <cell r="C215">
            <v>18915668</v>
          </cell>
        </row>
        <row r="216">
          <cell r="C216">
            <v>19006990</v>
          </cell>
        </row>
        <row r="217">
          <cell r="C217">
            <v>19042810</v>
          </cell>
        </row>
        <row r="218">
          <cell r="C218">
            <v>18839814</v>
          </cell>
        </row>
        <row r="219">
          <cell r="C219">
            <v>18862713</v>
          </cell>
        </row>
        <row r="220">
          <cell r="C220">
            <v>18993073</v>
          </cell>
        </row>
        <row r="221">
          <cell r="C221">
            <v>18945624</v>
          </cell>
        </row>
        <row r="222">
          <cell r="C222">
            <v>19024165</v>
          </cell>
        </row>
        <row r="223">
          <cell r="C223">
            <v>18819300</v>
          </cell>
        </row>
        <row r="224">
          <cell r="C224">
            <v>18888472</v>
          </cell>
        </row>
        <row r="225">
          <cell r="C225">
            <v>19043576</v>
          </cell>
        </row>
        <row r="226">
          <cell r="C226">
            <v>19230362</v>
          </cell>
        </row>
        <row r="227">
          <cell r="C227">
            <v>19442113</v>
          </cell>
        </row>
        <row r="228">
          <cell r="C228">
            <v>19517697</v>
          </cell>
        </row>
        <row r="229">
          <cell r="C229">
            <v>19533211</v>
          </cell>
        </row>
        <row r="230">
          <cell r="C230">
            <v>19320227</v>
          </cell>
        </row>
        <row r="231">
          <cell r="C231">
            <v>19323451</v>
          </cell>
        </row>
        <row r="232">
          <cell r="C232">
            <v>19429993</v>
          </cell>
        </row>
        <row r="233">
          <cell r="C233">
            <v>19376878</v>
          </cell>
        </row>
        <row r="234">
          <cell r="C234">
            <v>19408538</v>
          </cell>
        </row>
        <row r="235">
          <cell r="C235">
            <v>19164494</v>
          </cell>
        </row>
        <row r="236">
          <cell r="C236">
            <v>19250228.949999999</v>
          </cell>
        </row>
        <row r="237">
          <cell r="C237">
            <v>19006759.59</v>
          </cell>
        </row>
        <row r="238">
          <cell r="C238">
            <v>18458666.800000001</v>
          </cell>
        </row>
        <row r="239">
          <cell r="C239">
            <v>18556128.850000001</v>
          </cell>
        </row>
        <row r="240">
          <cell r="C240">
            <v>18624336.681820001</v>
          </cell>
        </row>
        <row r="241">
          <cell r="C241">
            <v>18785554.300000001</v>
          </cell>
        </row>
        <row r="242">
          <cell r="C242">
            <v>18792376.140000001</v>
          </cell>
        </row>
        <row r="243">
          <cell r="C243">
            <v>18876389.219999999</v>
          </cell>
        </row>
        <row r="244">
          <cell r="C244">
            <v>18990363.949999999</v>
          </cell>
        </row>
        <row r="245">
          <cell r="C245">
            <v>19022001.57</v>
          </cell>
        </row>
        <row r="246">
          <cell r="C246">
            <v>19048433.309999999</v>
          </cell>
        </row>
        <row r="247">
          <cell r="C247">
            <v>18829480.149999999</v>
          </cell>
        </row>
        <row r="248">
          <cell r="C248">
            <v>18850111.649999999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Y94"/>
  <sheetViews>
    <sheetView tabSelected="1" topLeftCell="GF1" workbookViewId="0">
      <selection activeCell="HA3" sqref="HA3"/>
    </sheetView>
  </sheetViews>
  <sheetFormatPr baseColWidth="10" defaultRowHeight="15" x14ac:dyDescent="0.25"/>
  <cols>
    <col min="1" max="1" width="7.140625" style="1" bestFit="1" customWidth="1"/>
    <col min="2" max="109" width="10.28515625" style="1" bestFit="1" customWidth="1"/>
    <col min="110" max="124" width="10.140625" style="1" customWidth="1"/>
    <col min="125" max="148" width="10.140625" style="1" bestFit="1" customWidth="1"/>
    <col min="149" max="268" width="10.140625" style="1" customWidth="1"/>
    <col min="269" max="269" width="6.85546875" style="1" bestFit="1" customWidth="1"/>
    <col min="270" max="270" width="8.5703125" style="1" bestFit="1" customWidth="1"/>
    <col min="271" max="271" width="9.140625" style="1" bestFit="1" customWidth="1"/>
    <col min="272" max="272" width="6.140625" style="1" bestFit="1" customWidth="1"/>
    <col min="273" max="273" width="16.85546875" style="1" bestFit="1" customWidth="1"/>
    <col min="274" max="274" width="6.85546875" style="1" bestFit="1" customWidth="1"/>
    <col min="275" max="336" width="9" style="1" customWidth="1"/>
  </cols>
  <sheetData>
    <row r="1" spans="1:337" x14ac:dyDescent="0.25">
      <c r="B1" s="1">
        <v>36</v>
      </c>
      <c r="C1" s="1">
        <v>37</v>
      </c>
      <c r="D1" s="1">
        <v>38</v>
      </c>
      <c r="E1" s="1">
        <v>39</v>
      </c>
      <c r="F1" s="1">
        <v>40</v>
      </c>
      <c r="G1" s="1">
        <v>41</v>
      </c>
      <c r="H1" s="1">
        <v>42</v>
      </c>
      <c r="I1" s="1">
        <v>43</v>
      </c>
      <c r="J1" s="1">
        <v>44</v>
      </c>
      <c r="K1" s="1">
        <v>45</v>
      </c>
      <c r="L1" s="1">
        <v>46</v>
      </c>
      <c r="M1" s="1">
        <v>47</v>
      </c>
      <c r="N1" s="1">
        <v>48</v>
      </c>
      <c r="O1" s="1">
        <v>49</v>
      </c>
      <c r="P1" s="1">
        <v>50</v>
      </c>
      <c r="Q1" s="1">
        <v>51</v>
      </c>
      <c r="R1" s="1">
        <v>52</v>
      </c>
      <c r="S1" s="1">
        <v>53</v>
      </c>
      <c r="T1" s="1">
        <v>54</v>
      </c>
      <c r="U1" s="1">
        <v>55</v>
      </c>
      <c r="V1" s="1">
        <v>56</v>
      </c>
      <c r="W1" s="1">
        <v>57</v>
      </c>
      <c r="X1" s="1">
        <v>58</v>
      </c>
      <c r="Y1" s="1">
        <v>59</v>
      </c>
      <c r="Z1" s="1">
        <v>60</v>
      </c>
      <c r="AA1" s="1">
        <v>61</v>
      </c>
      <c r="AB1" s="1">
        <v>62</v>
      </c>
      <c r="AC1" s="1">
        <v>63</v>
      </c>
      <c r="AD1" s="1">
        <v>64</v>
      </c>
      <c r="AE1" s="1">
        <v>65</v>
      </c>
      <c r="AF1" s="1">
        <v>66</v>
      </c>
      <c r="AG1" s="1">
        <v>67</v>
      </c>
      <c r="AH1" s="1">
        <v>68</v>
      </c>
      <c r="AI1" s="1">
        <v>69</v>
      </c>
      <c r="AJ1" s="1">
        <v>70</v>
      </c>
      <c r="AK1" s="1">
        <v>71</v>
      </c>
      <c r="AL1" s="1">
        <v>72</v>
      </c>
      <c r="AM1" s="1">
        <v>73</v>
      </c>
      <c r="AN1" s="1">
        <v>74</v>
      </c>
      <c r="AO1" s="1">
        <v>75</v>
      </c>
      <c r="AP1" s="1">
        <v>76</v>
      </c>
      <c r="AQ1" s="1">
        <v>77</v>
      </c>
      <c r="AR1" s="1">
        <v>78</v>
      </c>
      <c r="AS1" s="1">
        <v>79</v>
      </c>
      <c r="AT1" s="1">
        <v>80</v>
      </c>
      <c r="AU1" s="1">
        <v>81</v>
      </c>
      <c r="AV1" s="1">
        <v>82</v>
      </c>
      <c r="AW1" s="1">
        <v>83</v>
      </c>
      <c r="AX1" s="1">
        <v>84</v>
      </c>
      <c r="AY1" s="1">
        <v>85</v>
      </c>
      <c r="AZ1" s="1">
        <v>86</v>
      </c>
      <c r="BA1" s="1">
        <v>87</v>
      </c>
      <c r="BB1" s="1">
        <v>88</v>
      </c>
      <c r="BC1" s="1">
        <v>89</v>
      </c>
      <c r="BD1" s="1">
        <v>90</v>
      </c>
      <c r="BE1" s="1">
        <v>91</v>
      </c>
      <c r="BF1" s="1">
        <v>92</v>
      </c>
      <c r="BG1" s="1">
        <v>93</v>
      </c>
      <c r="BH1" s="1">
        <v>94</v>
      </c>
      <c r="BI1" s="1">
        <v>95</v>
      </c>
      <c r="BJ1" s="1">
        <v>96</v>
      </c>
      <c r="BK1" s="1">
        <v>97</v>
      </c>
      <c r="BL1" s="1">
        <v>98</v>
      </c>
      <c r="BM1" s="1">
        <v>99</v>
      </c>
      <c r="BN1" s="1">
        <v>100</v>
      </c>
      <c r="BO1" s="1">
        <v>101</v>
      </c>
      <c r="BP1" s="1">
        <v>102</v>
      </c>
      <c r="BQ1" s="1">
        <v>103</v>
      </c>
      <c r="BR1" s="1">
        <v>104</v>
      </c>
      <c r="BS1" s="1">
        <v>105</v>
      </c>
      <c r="BT1" s="1">
        <v>106</v>
      </c>
      <c r="BU1" s="1">
        <v>107</v>
      </c>
      <c r="BV1" s="1">
        <v>108</v>
      </c>
      <c r="BW1" s="1">
        <v>109</v>
      </c>
      <c r="BX1" s="1">
        <v>110</v>
      </c>
      <c r="BY1" s="1">
        <v>111</v>
      </c>
      <c r="BZ1" s="1">
        <v>112</v>
      </c>
      <c r="CA1" s="1">
        <v>113</v>
      </c>
      <c r="CB1" s="1">
        <v>114</v>
      </c>
      <c r="CC1" s="1">
        <v>115</v>
      </c>
      <c r="CD1" s="1">
        <v>116</v>
      </c>
      <c r="CE1" s="1">
        <v>117</v>
      </c>
      <c r="CF1" s="1">
        <v>118</v>
      </c>
      <c r="CG1" s="1">
        <v>119</v>
      </c>
      <c r="CH1" s="1">
        <v>120</v>
      </c>
      <c r="CI1" s="1">
        <v>121</v>
      </c>
      <c r="CJ1" s="1">
        <v>122</v>
      </c>
      <c r="CK1" s="1">
        <v>123</v>
      </c>
      <c r="CL1" s="1">
        <v>124</v>
      </c>
      <c r="CM1" s="1">
        <v>125</v>
      </c>
      <c r="CN1" s="1">
        <v>126</v>
      </c>
      <c r="CO1" s="1">
        <v>127</v>
      </c>
      <c r="CP1" s="1">
        <v>128</v>
      </c>
      <c r="CQ1" s="1">
        <v>129</v>
      </c>
      <c r="CR1" s="1">
        <v>130</v>
      </c>
      <c r="CS1" s="1">
        <v>131</v>
      </c>
      <c r="CT1" s="1">
        <v>132</v>
      </c>
      <c r="CU1" s="1">
        <v>133</v>
      </c>
      <c r="CV1" s="1">
        <v>134</v>
      </c>
      <c r="CW1" s="1">
        <v>135</v>
      </c>
      <c r="CX1" s="1">
        <v>136</v>
      </c>
      <c r="CY1" s="1">
        <v>137</v>
      </c>
      <c r="CZ1" s="1">
        <v>138</v>
      </c>
      <c r="DA1" s="1">
        <v>139</v>
      </c>
      <c r="DB1" s="1">
        <v>140</v>
      </c>
      <c r="DC1" s="1">
        <v>141</v>
      </c>
      <c r="DD1" s="1">
        <v>142</v>
      </c>
      <c r="DE1" s="1">
        <v>143</v>
      </c>
      <c r="DF1" s="1">
        <v>144</v>
      </c>
      <c r="DG1" s="1">
        <v>145</v>
      </c>
      <c r="DH1" s="1">
        <v>146</v>
      </c>
      <c r="DI1" s="1">
        <v>147</v>
      </c>
      <c r="DJ1" s="1">
        <v>148</v>
      </c>
      <c r="DK1" s="1">
        <v>149</v>
      </c>
      <c r="DL1" s="1">
        <v>150</v>
      </c>
      <c r="DM1" s="1">
        <v>151</v>
      </c>
      <c r="DN1" s="1">
        <v>152</v>
      </c>
      <c r="DO1" s="1">
        <v>153</v>
      </c>
      <c r="DP1" s="1">
        <v>154</v>
      </c>
      <c r="DQ1" s="1">
        <v>155</v>
      </c>
      <c r="DR1" s="1">
        <v>156</v>
      </c>
      <c r="DS1" s="1">
        <v>157</v>
      </c>
      <c r="DT1" s="1">
        <v>158</v>
      </c>
      <c r="DU1" s="1">
        <v>159</v>
      </c>
      <c r="DV1" s="1">
        <v>160</v>
      </c>
      <c r="DW1" s="1">
        <v>161</v>
      </c>
      <c r="DX1" s="1">
        <v>162</v>
      </c>
      <c r="DY1" s="1">
        <v>163</v>
      </c>
      <c r="DZ1" s="1">
        <v>164</v>
      </c>
      <c r="EA1" s="1">
        <v>165</v>
      </c>
      <c r="EB1" s="1">
        <v>166</v>
      </c>
      <c r="EC1" s="1">
        <v>167</v>
      </c>
      <c r="ED1" s="1">
        <v>168</v>
      </c>
      <c r="EE1" s="1">
        <v>169</v>
      </c>
      <c r="EF1" s="1">
        <v>170</v>
      </c>
      <c r="EG1" s="1">
        <v>171</v>
      </c>
      <c r="EH1" s="1">
        <v>172</v>
      </c>
      <c r="EI1" s="1">
        <v>173</v>
      </c>
      <c r="EJ1" s="1">
        <v>174</v>
      </c>
      <c r="EK1" s="1">
        <v>175</v>
      </c>
      <c r="EL1" s="1">
        <v>176</v>
      </c>
      <c r="EM1" s="1">
        <v>177</v>
      </c>
      <c r="EN1" s="1">
        <v>178</v>
      </c>
      <c r="EO1" s="1">
        <v>179</v>
      </c>
      <c r="EP1" s="1">
        <v>180</v>
      </c>
      <c r="EQ1" s="1">
        <v>181</v>
      </c>
      <c r="ER1" s="1">
        <v>182</v>
      </c>
      <c r="ES1" s="1">
        <v>183</v>
      </c>
      <c r="ET1" s="1">
        <v>184</v>
      </c>
      <c r="EU1" s="1">
        <v>185</v>
      </c>
      <c r="EV1" s="1">
        <v>186</v>
      </c>
      <c r="EW1" s="1">
        <v>187</v>
      </c>
      <c r="EX1" s="1">
        <v>188</v>
      </c>
      <c r="EY1" s="1">
        <v>189</v>
      </c>
      <c r="EZ1" s="1">
        <v>190</v>
      </c>
      <c r="FA1" s="1">
        <v>191</v>
      </c>
      <c r="FB1" s="1">
        <v>192</v>
      </c>
      <c r="FC1" s="1">
        <v>193</v>
      </c>
      <c r="FD1" s="1">
        <v>194</v>
      </c>
      <c r="FE1" s="1">
        <v>195</v>
      </c>
      <c r="FF1" s="1">
        <v>196</v>
      </c>
      <c r="FG1" s="1">
        <v>197</v>
      </c>
      <c r="FH1" s="1">
        <v>198</v>
      </c>
      <c r="FI1" s="1">
        <v>199</v>
      </c>
      <c r="FJ1" s="1">
        <v>200</v>
      </c>
      <c r="FK1" s="1">
        <v>201</v>
      </c>
      <c r="FL1" s="1">
        <v>202</v>
      </c>
      <c r="FM1" s="1">
        <v>203</v>
      </c>
      <c r="FN1" s="1">
        <v>204</v>
      </c>
      <c r="FO1" s="1">
        <v>205</v>
      </c>
      <c r="FP1" s="1">
        <v>206</v>
      </c>
      <c r="FQ1" s="1">
        <v>207</v>
      </c>
      <c r="FR1" s="1">
        <v>208</v>
      </c>
      <c r="FS1" s="1">
        <v>209</v>
      </c>
      <c r="FT1" s="1">
        <v>210</v>
      </c>
      <c r="FU1" s="1">
        <v>211</v>
      </c>
      <c r="FV1" s="1">
        <v>212</v>
      </c>
      <c r="FW1" s="1">
        <v>213</v>
      </c>
      <c r="FX1" s="1">
        <v>214</v>
      </c>
      <c r="FY1" s="1">
        <v>215</v>
      </c>
      <c r="FZ1" s="1">
        <v>216</v>
      </c>
      <c r="GA1" s="1">
        <v>217</v>
      </c>
      <c r="GB1" s="1">
        <v>218</v>
      </c>
      <c r="GC1" s="1">
        <v>219</v>
      </c>
      <c r="GD1" s="1">
        <v>220</v>
      </c>
      <c r="GE1" s="1">
        <v>221</v>
      </c>
      <c r="GF1" s="1">
        <v>222</v>
      </c>
      <c r="GG1" s="1">
        <v>223</v>
      </c>
      <c r="GH1" s="1">
        <v>224</v>
      </c>
      <c r="GI1" s="1">
        <v>225</v>
      </c>
      <c r="GJ1" s="1">
        <v>226</v>
      </c>
      <c r="GK1" s="1">
        <v>227</v>
      </c>
      <c r="GL1" s="1">
        <v>228</v>
      </c>
      <c r="GM1" s="1">
        <v>229</v>
      </c>
      <c r="GN1" s="1">
        <v>230</v>
      </c>
      <c r="GO1" s="1">
        <v>231</v>
      </c>
      <c r="GP1" s="1">
        <v>232</v>
      </c>
      <c r="GQ1" s="1">
        <v>233</v>
      </c>
      <c r="GR1" s="1">
        <v>234</v>
      </c>
      <c r="GS1" s="1">
        <v>235</v>
      </c>
      <c r="GT1" s="1">
        <v>236</v>
      </c>
      <c r="GU1" s="1">
        <v>237</v>
      </c>
      <c r="GV1" s="1">
        <v>238</v>
      </c>
      <c r="GW1" s="1">
        <v>239</v>
      </c>
      <c r="GX1" s="1">
        <v>240</v>
      </c>
      <c r="GY1" s="1">
        <v>241</v>
      </c>
      <c r="GZ1" s="1">
        <v>242</v>
      </c>
      <c r="HA1" s="1">
        <v>243</v>
      </c>
      <c r="HB1" s="1">
        <v>244</v>
      </c>
      <c r="HC1" s="1">
        <v>245</v>
      </c>
      <c r="HD1" s="1">
        <v>246</v>
      </c>
      <c r="HE1" s="1">
        <v>247</v>
      </c>
      <c r="HF1" s="1">
        <v>248</v>
      </c>
      <c r="HG1" s="1">
        <v>249</v>
      </c>
      <c r="HH1" s="1">
        <v>250</v>
      </c>
      <c r="HI1" s="1">
        <v>251</v>
      </c>
      <c r="HJ1" s="1">
        <v>252</v>
      </c>
      <c r="HK1" s="1">
        <v>253</v>
      </c>
      <c r="HL1" s="1">
        <v>254</v>
      </c>
      <c r="HM1" s="1">
        <v>255</v>
      </c>
      <c r="HN1" s="1">
        <v>256</v>
      </c>
      <c r="HO1" s="1">
        <v>257</v>
      </c>
      <c r="HP1" s="1">
        <v>258</v>
      </c>
      <c r="HQ1" s="1">
        <v>259</v>
      </c>
      <c r="HR1" s="1">
        <v>260</v>
      </c>
      <c r="HS1" s="1">
        <v>261</v>
      </c>
      <c r="HT1" s="1">
        <v>262</v>
      </c>
      <c r="HU1" s="1">
        <v>263</v>
      </c>
      <c r="HV1" s="1">
        <v>264</v>
      </c>
      <c r="HW1" s="1">
        <v>265</v>
      </c>
      <c r="HX1" s="1">
        <v>266</v>
      </c>
      <c r="HY1" s="1">
        <v>267</v>
      </c>
      <c r="HZ1" s="1">
        <v>268</v>
      </c>
      <c r="IA1" s="1">
        <v>269</v>
      </c>
      <c r="IB1" s="1">
        <v>270</v>
      </c>
      <c r="IC1" s="1">
        <v>271</v>
      </c>
      <c r="ID1" s="1">
        <v>272</v>
      </c>
      <c r="IE1" s="1">
        <v>273</v>
      </c>
      <c r="IF1" s="1">
        <v>274</v>
      </c>
      <c r="IG1" s="1">
        <v>275</v>
      </c>
      <c r="IH1" s="1">
        <v>276</v>
      </c>
      <c r="II1" s="1">
        <v>277</v>
      </c>
      <c r="IJ1" s="1">
        <v>278</v>
      </c>
      <c r="IK1" s="1">
        <v>279</v>
      </c>
      <c r="IL1" s="1">
        <v>280</v>
      </c>
      <c r="IM1" s="1">
        <v>281</v>
      </c>
      <c r="IN1" s="1">
        <v>282</v>
      </c>
      <c r="IO1" s="1">
        <v>283</v>
      </c>
      <c r="IP1" s="1">
        <v>284</v>
      </c>
      <c r="IQ1" s="1">
        <v>285</v>
      </c>
      <c r="IR1" s="1">
        <v>286</v>
      </c>
      <c r="IS1" s="1">
        <v>287</v>
      </c>
      <c r="IT1" s="1">
        <v>288</v>
      </c>
      <c r="IU1" s="1">
        <v>289</v>
      </c>
      <c r="IV1" s="1">
        <v>290</v>
      </c>
      <c r="IW1" s="1">
        <v>291</v>
      </c>
      <c r="IX1" s="1">
        <v>292</v>
      </c>
      <c r="IY1" s="1">
        <v>293</v>
      </c>
      <c r="IZ1" s="1">
        <v>294</v>
      </c>
      <c r="JA1" s="1">
        <v>295</v>
      </c>
      <c r="JB1" s="1">
        <v>296</v>
      </c>
      <c r="JC1" s="1">
        <v>297</v>
      </c>
      <c r="JD1" s="1">
        <v>298</v>
      </c>
      <c r="JE1" s="1">
        <v>299</v>
      </c>
      <c r="JF1" s="1">
        <v>300</v>
      </c>
      <c r="JG1" s="1">
        <v>301</v>
      </c>
      <c r="JH1" s="1">
        <v>302</v>
      </c>
    </row>
    <row r="2" spans="1:337" x14ac:dyDescent="0.25">
      <c r="A2" s="3" t="s">
        <v>1</v>
      </c>
      <c r="B2" s="7">
        <v>37986</v>
      </c>
      <c r="C2" s="7">
        <v>38017</v>
      </c>
      <c r="D2" s="7">
        <v>38046</v>
      </c>
      <c r="E2" s="7">
        <v>38077</v>
      </c>
      <c r="F2" s="7">
        <v>38107</v>
      </c>
      <c r="G2" s="7">
        <v>38138</v>
      </c>
      <c r="H2" s="7">
        <v>38168</v>
      </c>
      <c r="I2" s="7">
        <v>38199</v>
      </c>
      <c r="J2" s="7">
        <v>38230</v>
      </c>
      <c r="K2" s="7">
        <v>38260</v>
      </c>
      <c r="L2" s="7">
        <v>38291</v>
      </c>
      <c r="M2" s="7">
        <v>38321</v>
      </c>
      <c r="N2" s="7">
        <v>38352</v>
      </c>
      <c r="O2" s="7">
        <v>38383</v>
      </c>
      <c r="P2" s="7">
        <v>38411</v>
      </c>
      <c r="Q2" s="7">
        <v>38442</v>
      </c>
      <c r="R2" s="7">
        <v>38472</v>
      </c>
      <c r="S2" s="7">
        <v>38503</v>
      </c>
      <c r="T2" s="7">
        <v>38533</v>
      </c>
      <c r="U2" s="7">
        <v>38564</v>
      </c>
      <c r="V2" s="7">
        <v>38595</v>
      </c>
      <c r="W2" s="7">
        <v>38625</v>
      </c>
      <c r="X2" s="7">
        <v>38656</v>
      </c>
      <c r="Y2" s="7">
        <v>38686</v>
      </c>
      <c r="Z2" s="7">
        <v>38717</v>
      </c>
      <c r="AA2" s="7">
        <v>38748</v>
      </c>
      <c r="AB2" s="7">
        <v>38776</v>
      </c>
      <c r="AC2" s="7">
        <v>38807</v>
      </c>
      <c r="AD2" s="7">
        <v>38837</v>
      </c>
      <c r="AE2" s="7">
        <v>38868</v>
      </c>
      <c r="AF2" s="7">
        <v>38898</v>
      </c>
      <c r="AG2" s="7">
        <v>38929</v>
      </c>
      <c r="AH2" s="7">
        <v>38960</v>
      </c>
      <c r="AI2" s="7">
        <v>38990</v>
      </c>
      <c r="AJ2" s="7">
        <v>39021</v>
      </c>
      <c r="AK2" s="7">
        <v>39051</v>
      </c>
      <c r="AL2" s="7">
        <v>39082</v>
      </c>
      <c r="AM2" s="7">
        <v>39113</v>
      </c>
      <c r="AN2" s="7">
        <v>39141</v>
      </c>
      <c r="AO2" s="7">
        <v>39172</v>
      </c>
      <c r="AP2" s="7">
        <v>39202</v>
      </c>
      <c r="AQ2" s="7">
        <v>39233</v>
      </c>
      <c r="AR2" s="7">
        <v>39263</v>
      </c>
      <c r="AS2" s="7">
        <v>39294</v>
      </c>
      <c r="AT2" s="7">
        <v>39325</v>
      </c>
      <c r="AU2" s="7">
        <v>39355</v>
      </c>
      <c r="AV2" s="7">
        <v>39386</v>
      </c>
      <c r="AW2" s="7">
        <v>39416</v>
      </c>
      <c r="AX2" s="7">
        <v>39447</v>
      </c>
      <c r="AY2" s="7">
        <v>39478</v>
      </c>
      <c r="AZ2" s="7">
        <v>39507</v>
      </c>
      <c r="BA2" s="7">
        <v>39538</v>
      </c>
      <c r="BB2" s="7">
        <v>39568</v>
      </c>
      <c r="BC2" s="7">
        <v>39599</v>
      </c>
      <c r="BD2" s="7">
        <v>39629</v>
      </c>
      <c r="BE2" s="7">
        <v>39660</v>
      </c>
      <c r="BF2" s="7">
        <v>39691</v>
      </c>
      <c r="BG2" s="7">
        <v>39721</v>
      </c>
      <c r="BH2" s="7">
        <v>39752</v>
      </c>
      <c r="BI2" s="7">
        <v>39782</v>
      </c>
      <c r="BJ2" s="7">
        <v>39813</v>
      </c>
      <c r="BK2" s="7">
        <v>39844</v>
      </c>
      <c r="BL2" s="7">
        <v>39872</v>
      </c>
      <c r="BM2" s="7">
        <v>39903</v>
      </c>
      <c r="BN2" s="7">
        <v>39933</v>
      </c>
      <c r="BO2" s="7">
        <v>39964</v>
      </c>
      <c r="BP2" s="7">
        <v>39994</v>
      </c>
      <c r="BQ2" s="7">
        <v>40025</v>
      </c>
      <c r="BR2" s="7">
        <v>40056</v>
      </c>
      <c r="BS2" s="7">
        <v>40086</v>
      </c>
      <c r="BT2" s="7">
        <v>40117</v>
      </c>
      <c r="BU2" s="7">
        <v>40147</v>
      </c>
      <c r="BV2" s="7">
        <v>40178</v>
      </c>
      <c r="BW2" s="7">
        <v>40209</v>
      </c>
      <c r="BX2" s="7">
        <v>40237</v>
      </c>
      <c r="BY2" s="7">
        <v>40268</v>
      </c>
      <c r="BZ2" s="7">
        <v>40298</v>
      </c>
      <c r="CA2" s="7">
        <v>40329</v>
      </c>
      <c r="CB2" s="7">
        <v>40359</v>
      </c>
      <c r="CC2" s="7">
        <v>40390</v>
      </c>
      <c r="CD2" s="7">
        <v>40421</v>
      </c>
      <c r="CE2" s="7">
        <v>40451</v>
      </c>
      <c r="CF2" s="7">
        <v>40482</v>
      </c>
      <c r="CG2" s="7">
        <v>40512</v>
      </c>
      <c r="CH2" s="7">
        <v>40543</v>
      </c>
      <c r="CI2" s="7">
        <v>40574</v>
      </c>
      <c r="CJ2" s="7">
        <v>40602</v>
      </c>
      <c r="CK2" s="7">
        <v>40633</v>
      </c>
      <c r="CL2" s="7">
        <v>40663</v>
      </c>
      <c r="CM2" s="7">
        <v>40694</v>
      </c>
      <c r="CN2" s="7">
        <v>40724</v>
      </c>
      <c r="CO2" s="7">
        <v>40755</v>
      </c>
      <c r="CP2" s="7">
        <v>40786</v>
      </c>
      <c r="CQ2" s="7">
        <v>40816</v>
      </c>
      <c r="CR2" s="7">
        <v>40847</v>
      </c>
      <c r="CS2" s="7">
        <v>40877</v>
      </c>
      <c r="CT2" s="7">
        <v>40908</v>
      </c>
      <c r="CU2" s="7">
        <v>40939</v>
      </c>
      <c r="CV2" s="8">
        <v>40968</v>
      </c>
      <c r="CW2" s="7">
        <v>40999</v>
      </c>
      <c r="CX2" s="7">
        <v>41029</v>
      </c>
      <c r="CY2" s="7">
        <v>41060</v>
      </c>
      <c r="CZ2" s="7">
        <v>41090</v>
      </c>
      <c r="DA2" s="7">
        <v>41121</v>
      </c>
      <c r="DB2" s="7">
        <v>41152</v>
      </c>
      <c r="DC2" s="7">
        <v>41182</v>
      </c>
      <c r="DD2" s="7">
        <v>41213</v>
      </c>
      <c r="DE2" s="7">
        <v>41243</v>
      </c>
      <c r="DF2" s="7">
        <v>41274</v>
      </c>
      <c r="DG2" s="7">
        <v>41305</v>
      </c>
      <c r="DH2" s="7">
        <v>41333</v>
      </c>
      <c r="DI2" s="7">
        <v>41364</v>
      </c>
      <c r="DJ2" s="7">
        <v>41394</v>
      </c>
      <c r="DK2" s="7">
        <v>41425</v>
      </c>
      <c r="DL2" s="7">
        <v>41455</v>
      </c>
      <c r="DM2" s="7">
        <v>41486</v>
      </c>
      <c r="DN2" s="7">
        <v>41517</v>
      </c>
      <c r="DO2" s="7">
        <v>41547</v>
      </c>
      <c r="DP2" s="7">
        <v>41578</v>
      </c>
      <c r="DQ2" s="7">
        <v>41608</v>
      </c>
      <c r="DR2" s="7">
        <v>41639</v>
      </c>
      <c r="DS2" s="7">
        <v>41670</v>
      </c>
      <c r="DT2" s="7">
        <v>41698</v>
      </c>
      <c r="DU2" s="7">
        <v>41729</v>
      </c>
      <c r="DV2" s="7">
        <v>41759</v>
      </c>
      <c r="DW2" s="7">
        <v>41790</v>
      </c>
      <c r="DX2" s="7">
        <v>41820</v>
      </c>
      <c r="DY2" s="7">
        <v>41851</v>
      </c>
      <c r="DZ2" s="7">
        <v>41882</v>
      </c>
      <c r="EA2" s="7">
        <v>41912</v>
      </c>
      <c r="EB2" s="7">
        <v>41943</v>
      </c>
      <c r="EC2" s="7">
        <v>41973</v>
      </c>
      <c r="ED2" s="7">
        <v>42004</v>
      </c>
      <c r="EE2" s="7">
        <v>42035</v>
      </c>
      <c r="EF2" s="7">
        <v>42063</v>
      </c>
      <c r="EG2" s="7">
        <v>42094</v>
      </c>
      <c r="EH2" s="7">
        <v>42124</v>
      </c>
      <c r="EI2" s="7">
        <v>42155</v>
      </c>
      <c r="EJ2" s="7">
        <v>42185</v>
      </c>
      <c r="EK2" s="7">
        <v>42216</v>
      </c>
      <c r="EL2" s="7">
        <v>42247</v>
      </c>
      <c r="EM2" s="7">
        <v>42277</v>
      </c>
      <c r="EN2" s="7">
        <v>42308</v>
      </c>
      <c r="EO2" s="7">
        <v>42338</v>
      </c>
      <c r="EP2" s="7">
        <v>42369</v>
      </c>
      <c r="EQ2" s="7">
        <v>42400</v>
      </c>
      <c r="ER2" s="7">
        <v>42429</v>
      </c>
      <c r="ES2" s="7">
        <v>42460</v>
      </c>
      <c r="ET2" s="7">
        <v>42490</v>
      </c>
      <c r="EU2" s="7">
        <v>42521</v>
      </c>
      <c r="EV2" s="7">
        <v>42551</v>
      </c>
      <c r="EW2" s="7">
        <v>42582</v>
      </c>
      <c r="EX2" s="7">
        <v>42613</v>
      </c>
      <c r="EY2" s="7">
        <v>42643</v>
      </c>
      <c r="EZ2" s="7">
        <v>42674</v>
      </c>
      <c r="FA2" s="7">
        <v>42704</v>
      </c>
      <c r="FB2" s="7">
        <v>42735</v>
      </c>
      <c r="FC2" s="7">
        <v>42766</v>
      </c>
      <c r="FD2" s="7">
        <v>42794</v>
      </c>
      <c r="FE2" s="7">
        <v>42825</v>
      </c>
      <c r="FF2" s="7">
        <v>42855</v>
      </c>
      <c r="FG2" s="7">
        <v>42886</v>
      </c>
      <c r="FH2" s="7">
        <v>42916</v>
      </c>
      <c r="FI2" s="7">
        <v>42947</v>
      </c>
      <c r="FJ2" s="7">
        <v>42978</v>
      </c>
      <c r="FK2" s="7">
        <v>43008</v>
      </c>
      <c r="FL2" s="7">
        <v>43039</v>
      </c>
      <c r="FM2" s="7">
        <v>43069</v>
      </c>
      <c r="FN2" s="7">
        <v>43100</v>
      </c>
      <c r="FO2" s="7">
        <v>43131</v>
      </c>
      <c r="FP2" s="7">
        <v>43159</v>
      </c>
      <c r="FQ2" s="7">
        <v>43190</v>
      </c>
      <c r="FR2" s="7">
        <v>43220</v>
      </c>
      <c r="FS2" s="7">
        <v>43251</v>
      </c>
      <c r="FT2" s="7">
        <v>43281</v>
      </c>
      <c r="FU2" s="7">
        <v>43312</v>
      </c>
      <c r="FV2" s="7">
        <v>43343</v>
      </c>
      <c r="FW2" s="7">
        <v>43373</v>
      </c>
      <c r="FX2" s="7">
        <v>43404</v>
      </c>
      <c r="FY2" s="7">
        <v>43434</v>
      </c>
      <c r="FZ2" s="7">
        <v>43465</v>
      </c>
      <c r="GA2" s="7">
        <v>43496</v>
      </c>
      <c r="GB2" s="7">
        <v>43524</v>
      </c>
      <c r="GC2" s="7">
        <v>43555</v>
      </c>
      <c r="GD2" s="7">
        <v>43585</v>
      </c>
      <c r="GE2" s="7">
        <v>43616</v>
      </c>
      <c r="GF2" s="7">
        <v>43646</v>
      </c>
      <c r="GG2" s="7">
        <v>43677</v>
      </c>
      <c r="GH2" s="7">
        <v>43708</v>
      </c>
      <c r="GI2" s="7">
        <v>43738</v>
      </c>
      <c r="GJ2" s="7">
        <v>43769</v>
      </c>
      <c r="GK2" s="7">
        <v>43799</v>
      </c>
      <c r="GL2" s="7">
        <v>43830</v>
      </c>
      <c r="GM2" s="7">
        <v>43861</v>
      </c>
      <c r="GN2" s="7">
        <v>43890</v>
      </c>
      <c r="GO2" s="7">
        <v>43921</v>
      </c>
      <c r="GP2" s="7">
        <v>43951</v>
      </c>
      <c r="GQ2" s="7">
        <v>43982</v>
      </c>
      <c r="GR2" s="7">
        <v>44012</v>
      </c>
      <c r="GS2" s="7">
        <v>44043</v>
      </c>
      <c r="GT2" s="7">
        <v>44074</v>
      </c>
      <c r="GU2" s="7">
        <v>44104</v>
      </c>
      <c r="GV2" s="7">
        <v>44135</v>
      </c>
      <c r="GW2" s="7">
        <v>44165</v>
      </c>
      <c r="GX2" s="7">
        <v>44196</v>
      </c>
      <c r="GY2" s="7">
        <v>44227</v>
      </c>
      <c r="GZ2" s="7">
        <v>44255</v>
      </c>
      <c r="HA2" s="7">
        <v>44286</v>
      </c>
      <c r="HB2" s="7">
        <v>44316</v>
      </c>
      <c r="HC2" s="7">
        <v>44347</v>
      </c>
      <c r="HD2" s="7">
        <v>44377</v>
      </c>
      <c r="HE2" s="7">
        <v>44408</v>
      </c>
      <c r="HF2" s="7">
        <v>44439</v>
      </c>
      <c r="HG2" s="7">
        <v>44469</v>
      </c>
      <c r="HH2" s="7">
        <v>44500</v>
      </c>
      <c r="HI2" s="7">
        <v>44530</v>
      </c>
      <c r="HJ2" s="7">
        <v>44561</v>
      </c>
      <c r="HK2" s="7">
        <v>44592</v>
      </c>
      <c r="HL2" s="7">
        <v>44620</v>
      </c>
      <c r="HM2" s="7">
        <v>44651</v>
      </c>
      <c r="HN2" s="7">
        <v>44681</v>
      </c>
      <c r="HO2" s="7">
        <v>44712</v>
      </c>
      <c r="HP2" s="7">
        <v>44742</v>
      </c>
      <c r="HQ2" s="7">
        <v>44773</v>
      </c>
      <c r="HR2" s="7">
        <v>44804</v>
      </c>
      <c r="HS2" s="7">
        <v>44834</v>
      </c>
      <c r="HT2" s="7">
        <v>44865</v>
      </c>
      <c r="HU2" s="7">
        <v>44895</v>
      </c>
      <c r="HV2" s="7">
        <v>44926</v>
      </c>
      <c r="HW2" s="7">
        <v>44957</v>
      </c>
      <c r="HX2" s="7">
        <v>44985</v>
      </c>
      <c r="HY2" s="7">
        <v>45016</v>
      </c>
      <c r="HZ2" s="7">
        <v>45046</v>
      </c>
      <c r="IA2" s="7">
        <v>45077</v>
      </c>
      <c r="IB2" s="7">
        <v>45107</v>
      </c>
      <c r="IC2" s="7">
        <v>45138</v>
      </c>
      <c r="ID2" s="7">
        <v>45169</v>
      </c>
      <c r="IE2" s="7">
        <v>45199</v>
      </c>
      <c r="IF2" s="7">
        <v>45230</v>
      </c>
      <c r="IG2" s="7">
        <v>45260</v>
      </c>
      <c r="IH2" s="7">
        <v>45291</v>
      </c>
      <c r="II2" s="7">
        <v>45322</v>
      </c>
      <c r="IJ2" s="7">
        <v>45351</v>
      </c>
      <c r="IK2" s="7">
        <v>45382</v>
      </c>
      <c r="IL2" s="7">
        <v>45412</v>
      </c>
      <c r="IM2" s="7">
        <v>45443</v>
      </c>
      <c r="IN2" s="7">
        <v>45473</v>
      </c>
      <c r="IO2" s="7">
        <v>45504</v>
      </c>
      <c r="IP2" s="7">
        <v>45535</v>
      </c>
      <c r="IQ2" s="7">
        <v>45565</v>
      </c>
      <c r="IR2" s="7">
        <v>45596</v>
      </c>
      <c r="IS2" s="7">
        <v>45626</v>
      </c>
      <c r="IT2" s="7">
        <v>45657</v>
      </c>
      <c r="IU2" s="7">
        <v>45688</v>
      </c>
      <c r="IV2" s="7">
        <v>45716</v>
      </c>
      <c r="IW2" s="7">
        <v>45747</v>
      </c>
      <c r="IX2" s="7">
        <v>45777</v>
      </c>
      <c r="IY2" s="7">
        <v>45808</v>
      </c>
      <c r="IZ2" s="7">
        <v>45838</v>
      </c>
      <c r="JA2" s="7">
        <v>45869</v>
      </c>
      <c r="JB2" s="7">
        <v>45900</v>
      </c>
      <c r="JC2" s="7">
        <v>45930</v>
      </c>
      <c r="JD2" s="7">
        <v>45961</v>
      </c>
      <c r="JE2" s="7">
        <v>45991</v>
      </c>
      <c r="JF2" s="7">
        <v>46022</v>
      </c>
      <c r="JG2" s="7">
        <v>46053</v>
      </c>
      <c r="JH2" s="7">
        <v>46081</v>
      </c>
      <c r="JI2" s="6"/>
      <c r="JJ2" s="6"/>
      <c r="JK2" s="6"/>
      <c r="JL2" s="6"/>
      <c r="JM2" s="6"/>
      <c r="JN2" s="6"/>
      <c r="JO2" s="6"/>
      <c r="JP2" s="6"/>
      <c r="JQ2" s="6"/>
      <c r="JR2" s="6"/>
      <c r="JS2" s="6"/>
      <c r="JT2" s="6"/>
      <c r="JU2" s="6"/>
      <c r="JV2" s="6"/>
      <c r="JW2" s="6"/>
      <c r="JX2" s="6"/>
      <c r="JY2" s="6"/>
      <c r="JZ2" s="6"/>
      <c r="KA2" s="6"/>
      <c r="KB2" s="6"/>
      <c r="KC2" s="6"/>
      <c r="KD2" s="6"/>
      <c r="KE2" s="6"/>
      <c r="KF2" s="6"/>
      <c r="KG2" s="6"/>
      <c r="KH2" s="6"/>
      <c r="KI2" s="6"/>
      <c r="KJ2" s="6"/>
      <c r="KK2" s="6"/>
      <c r="KL2" s="6"/>
      <c r="KM2" s="6"/>
      <c r="KN2" s="6"/>
      <c r="KO2" s="6"/>
      <c r="KP2" s="6"/>
      <c r="KQ2" s="6"/>
      <c r="KR2" s="6"/>
      <c r="KS2" s="6"/>
      <c r="KT2" s="6"/>
      <c r="KU2" s="6"/>
      <c r="KV2" s="6"/>
      <c r="KW2" s="6"/>
      <c r="KX2" s="6"/>
      <c r="KY2" s="6"/>
      <c r="KZ2" s="6"/>
      <c r="LA2" s="6"/>
      <c r="LB2" s="6"/>
      <c r="LC2" s="6"/>
      <c r="LD2" s="6"/>
      <c r="LE2" s="6"/>
      <c r="LF2" s="6"/>
      <c r="LG2" s="6"/>
      <c r="LH2" s="6"/>
      <c r="LI2" s="6"/>
      <c r="LJ2" s="6"/>
      <c r="LK2" s="6"/>
      <c r="LL2" s="6"/>
      <c r="LM2" s="6"/>
      <c r="LN2" s="6"/>
      <c r="LO2" s="6"/>
      <c r="LP2" s="6"/>
      <c r="LQ2" s="6"/>
      <c r="LR2" s="6"/>
      <c r="LS2" s="6"/>
      <c r="LT2" s="6"/>
      <c r="LU2" s="6"/>
      <c r="LV2" s="6"/>
      <c r="LW2" s="6"/>
      <c r="LX2" s="6"/>
      <c r="LY2" s="6"/>
    </row>
    <row r="3" spans="1:337" x14ac:dyDescent="0.25">
      <c r="A3" s="4">
        <v>1</v>
      </c>
      <c r="B3" s="1">
        <v>16639787.507338312</v>
      </c>
      <c r="C3" s="1">
        <v>16784193.222796775</v>
      </c>
      <c r="D3" s="1">
        <v>16923671.484995641</v>
      </c>
      <c r="E3" s="1">
        <v>17034772.615811594</v>
      </c>
      <c r="F3" s="1">
        <v>17168372.020255864</v>
      </c>
      <c r="G3" s="1">
        <v>17261026.941609748</v>
      </c>
      <c r="H3" s="1">
        <v>17415478.057333797</v>
      </c>
      <c r="I3" s="1">
        <v>17288340.022020914</v>
      </c>
      <c r="J3" s="1">
        <v>17230332.263382781</v>
      </c>
      <c r="K3" s="1">
        <v>17297130.217504352</v>
      </c>
      <c r="L3" s="1">
        <v>17338202.043531179</v>
      </c>
      <c r="M3" s="1">
        <v>17340185.456458904</v>
      </c>
      <c r="N3" s="1">
        <v>17159312.188903511</v>
      </c>
      <c r="O3" s="1">
        <v>17334672.49297905</v>
      </c>
      <c r="P3" s="1">
        <v>17432693.318023782</v>
      </c>
      <c r="Q3" s="1">
        <v>17531221.30452089</v>
      </c>
      <c r="R3" s="1">
        <v>17725001.385022156</v>
      </c>
      <c r="S3" s="1">
        <v>17878829.318408739</v>
      </c>
      <c r="T3" s="1">
        <v>18105462.01582633</v>
      </c>
      <c r="U3" s="1">
        <v>18139010.81910263</v>
      </c>
      <c r="V3" s="1">
        <v>18181039.997074455</v>
      </c>
      <c r="W3" s="1">
        <v>18281420.001565214</v>
      </c>
      <c r="X3" s="1">
        <v>18353987.513528623</v>
      </c>
      <c r="Y3" s="1">
        <v>18316176.226835422</v>
      </c>
      <c r="Z3" s="1">
        <v>18158567.833514504</v>
      </c>
      <c r="AA3" s="1">
        <v>18315726.61850509</v>
      </c>
      <c r="AB3" s="1">
        <v>18389708.963905431</v>
      </c>
      <c r="AC3" s="1">
        <v>18565183.944457363</v>
      </c>
      <c r="AD3" s="1">
        <v>18717766.984405786</v>
      </c>
      <c r="AE3" s="1">
        <v>18843273.834238</v>
      </c>
      <c r="AF3" s="1">
        <v>18972502.582739294</v>
      </c>
      <c r="AG3" s="1">
        <v>18814506.885941602</v>
      </c>
      <c r="AH3" s="1">
        <v>18716604.711077005</v>
      </c>
      <c r="AI3" s="1">
        <v>18853132.733310863</v>
      </c>
      <c r="AJ3" s="1">
        <v>18887777.060507745</v>
      </c>
      <c r="AK3" s="1">
        <v>18920077.158177156</v>
      </c>
      <c r="AL3" s="1">
        <v>18755568.981886555</v>
      </c>
      <c r="AM3" s="1">
        <v>18928515.574779406</v>
      </c>
      <c r="AN3" s="1">
        <v>19033662.392850779</v>
      </c>
      <c r="AO3" s="1">
        <v>19197538.910302348</v>
      </c>
      <c r="AP3" s="1">
        <v>19301250.698778547</v>
      </c>
      <c r="AQ3" s="1">
        <v>19420713.950034916</v>
      </c>
      <c r="AR3" s="1">
        <v>19504507.655591119</v>
      </c>
      <c r="AS3" s="1">
        <v>19321450.188028231</v>
      </c>
      <c r="AT3" s="1">
        <v>19265787.142104354</v>
      </c>
      <c r="AU3" s="1">
        <v>19362824.339140721</v>
      </c>
      <c r="AV3" s="1">
        <v>19406862.846353412</v>
      </c>
      <c r="AW3" s="1">
        <v>19372473.426724352</v>
      </c>
      <c r="AX3" s="1">
        <v>19200313.553751986</v>
      </c>
      <c r="AY3" s="1">
        <v>19273678.399696603</v>
      </c>
      <c r="AZ3" s="1">
        <v>19352482.310470238</v>
      </c>
      <c r="BA3" s="1">
        <v>19373659.107632209</v>
      </c>
      <c r="BB3" s="1">
        <v>19466292.192441396</v>
      </c>
      <c r="BC3" s="1">
        <v>19432179.564601295</v>
      </c>
      <c r="BD3" s="1">
        <v>19389889.815043345</v>
      </c>
      <c r="BE3" s="1">
        <v>19105515.126785219</v>
      </c>
      <c r="BF3" s="1">
        <v>19088259.631824441</v>
      </c>
      <c r="BG3" s="1">
        <v>19001611.767842572</v>
      </c>
      <c r="BH3" s="1">
        <v>18798635.018418763</v>
      </c>
      <c r="BI3" s="1">
        <v>18506374.371024556</v>
      </c>
      <c r="BJ3" s="1">
        <v>18201143.673186023</v>
      </c>
      <c r="BK3" s="1">
        <v>18155044.799281448</v>
      </c>
      <c r="BL3" s="1">
        <v>18044873.368216328</v>
      </c>
      <c r="BM3" s="1">
        <v>17986350.65176487</v>
      </c>
      <c r="BN3" s="1">
        <v>18041668.834704839</v>
      </c>
      <c r="BO3" s="1">
        <v>18093202.804533027</v>
      </c>
      <c r="BP3" s="1">
        <v>18141360.112175431</v>
      </c>
      <c r="BQ3" s="1">
        <v>17906608.427161381</v>
      </c>
      <c r="BR3" s="1">
        <v>17967778.245984152</v>
      </c>
      <c r="BS3" s="1">
        <v>17900179.22048128</v>
      </c>
      <c r="BT3" s="1">
        <v>17808701.960111272</v>
      </c>
      <c r="BU3" s="1">
        <v>17758278.002563249</v>
      </c>
      <c r="BV3" s="1">
        <v>17588844.100534506</v>
      </c>
      <c r="BW3" s="1">
        <v>17576190.928192601</v>
      </c>
      <c r="BX3" s="1">
        <v>17595687.814452603</v>
      </c>
      <c r="BY3" s="1">
        <v>17625471.993526194</v>
      </c>
      <c r="BZ3" s="1">
        <v>17754299.674032293</v>
      </c>
      <c r="CA3" s="1">
        <v>17797655.131642975</v>
      </c>
      <c r="CB3" s="1">
        <v>17859169.938508898</v>
      </c>
      <c r="CC3" s="1">
        <v>17668227.493715867</v>
      </c>
      <c r="CD3" s="1">
        <v>17677617.039334945</v>
      </c>
      <c r="CE3" s="1">
        <v>17674309.222778298</v>
      </c>
      <c r="CF3" s="1">
        <v>17616390.632081941</v>
      </c>
      <c r="CG3" s="1">
        <v>17551366.059870966</v>
      </c>
      <c r="CH3" s="1">
        <v>17358738.451370105</v>
      </c>
      <c r="CI3" s="1">
        <v>17428588.57228126</v>
      </c>
      <c r="CJ3" s="1">
        <v>17350598.334007628</v>
      </c>
      <c r="CK3" s="1">
        <v>17455271.568363763</v>
      </c>
      <c r="CL3" s="1">
        <v>17606747.884036221</v>
      </c>
      <c r="CM3" s="1">
        <v>17631015.330544449</v>
      </c>
      <c r="CN3" s="1">
        <v>17626957.687974758</v>
      </c>
      <c r="CO3" s="1">
        <v>17490496.171694942</v>
      </c>
      <c r="CP3" s="1">
        <v>17451220.288652048</v>
      </c>
      <c r="CQ3" s="1">
        <v>17411862.499889448</v>
      </c>
      <c r="CR3" s="1">
        <v>17251022.382935181</v>
      </c>
      <c r="CS3" s="1">
        <v>17163402.547614969</v>
      </c>
      <c r="CT3" s="1">
        <v>17011242.903174378</v>
      </c>
      <c r="CU3" s="1">
        <v>16933969.581265025</v>
      </c>
      <c r="CV3" s="1">
        <v>16897997.689209439</v>
      </c>
      <c r="CW3" s="1">
        <v>16942319.601027347</v>
      </c>
      <c r="CX3" s="1">
        <v>16986195.970133837</v>
      </c>
      <c r="CY3" s="1">
        <v>16989721.214039333</v>
      </c>
      <c r="CZ3" s="1">
        <v>17103484.870614402</v>
      </c>
      <c r="DA3" s="1">
        <v>16851682.946925264</v>
      </c>
      <c r="DB3" s="1">
        <v>16834001.937665187</v>
      </c>
      <c r="DC3" s="1">
        <v>16730792.482935362</v>
      </c>
      <c r="DD3" s="1">
        <v>16627846.895855734</v>
      </c>
      <c r="DE3" s="1">
        <v>16420049.614344601</v>
      </c>
      <c r="DF3" s="1">
        <v>16150152.061828054</v>
      </c>
      <c r="DG3" s="1">
        <v>16139115.886605499</v>
      </c>
      <c r="DH3" s="1">
        <v>16171633.625271507</v>
      </c>
      <c r="DI3" s="1">
        <v>16222184.889668254</v>
      </c>
      <c r="DJ3" s="1">
        <v>16333686.215263616</v>
      </c>
      <c r="DK3" s="1">
        <v>16418099.808835397</v>
      </c>
      <c r="DL3" s="1">
        <v>16421128.587581348</v>
      </c>
      <c r="DM3" s="1">
        <v>16302184.909346944</v>
      </c>
      <c r="DN3" s="1">
        <v>16278122.708774002</v>
      </c>
      <c r="DO3" s="1">
        <v>16285355.369763598</v>
      </c>
      <c r="DP3" s="1">
        <v>16298689.46092003</v>
      </c>
      <c r="DQ3" s="1">
        <v>16283823.546764396</v>
      </c>
      <c r="DR3" s="1">
        <v>16208525.513789531</v>
      </c>
      <c r="DS3" s="1">
        <v>16217528.417486066</v>
      </c>
      <c r="DT3" s="1">
        <v>16293001.092523202</v>
      </c>
      <c r="DU3" s="1">
        <v>16389519.615186915</v>
      </c>
      <c r="DV3" s="1">
        <v>16609860.506018057</v>
      </c>
      <c r="DW3" s="1">
        <v>16717917.336955782</v>
      </c>
      <c r="DX3" s="1">
        <v>16749752.645323727</v>
      </c>
      <c r="DY3" s="1">
        <v>16664660.661929712</v>
      </c>
      <c r="DZ3" s="1">
        <v>16626868.362234754</v>
      </c>
      <c r="EA3" s="1">
        <v>16713847.183123797</v>
      </c>
      <c r="EB3" s="1">
        <v>16610916.737775501</v>
      </c>
      <c r="EC3" s="1">
        <v>16761068.486971773</v>
      </c>
      <c r="ED3" s="1">
        <v>16624208.386852179</v>
      </c>
      <c r="EE3" s="1">
        <v>16615608.867137751</v>
      </c>
      <c r="EF3" s="1">
        <v>16792095.939416941</v>
      </c>
      <c r="EG3" s="1">
        <v>16998285.504172135</v>
      </c>
      <c r="EH3" s="1">
        <v>17229964.894922227</v>
      </c>
      <c r="EI3" s="1">
        <v>17319593.39093725</v>
      </c>
      <c r="EJ3" s="1">
        <v>17328464.801090498</v>
      </c>
      <c r="EK3" s="1">
        <v>17216095.34528067</v>
      </c>
      <c r="EL3" s="1">
        <v>17154278.432333652</v>
      </c>
      <c r="EM3" s="1">
        <v>17222248.841110691</v>
      </c>
      <c r="EN3" s="1">
        <v>17198446.142807692</v>
      </c>
      <c r="EO3" s="1">
        <v>17286615.070985623</v>
      </c>
      <c r="EP3" s="1">
        <v>17127937.377240267</v>
      </c>
      <c r="EQ3" s="1">
        <v>17181890.71658944</v>
      </c>
      <c r="ER3" s="1">
        <v>17285193.797353037</v>
      </c>
      <c r="ES3" s="1">
        <v>17453365.222563092</v>
      </c>
      <c r="ET3" s="1">
        <v>17662856.032595754</v>
      </c>
      <c r="EU3" s="1">
        <v>17721540.73426424</v>
      </c>
      <c r="EV3" s="1">
        <v>17863498.27109424</v>
      </c>
      <c r="EW3" s="1">
        <v>17753925.088813744</v>
      </c>
      <c r="EX3" s="1">
        <v>17692472.43132465</v>
      </c>
      <c r="EY3" s="1">
        <v>17746559.207621001</v>
      </c>
      <c r="EZ3" s="1">
        <v>17832210.251524739</v>
      </c>
      <c r="FA3" s="1">
        <v>17837572.119990118</v>
      </c>
      <c r="FB3" s="1">
        <v>17647520.550621413</v>
      </c>
      <c r="FC3" s="1">
        <v>17751895.526596934</v>
      </c>
      <c r="FD3" s="1">
        <v>17882428.851048373</v>
      </c>
      <c r="FE3" s="1">
        <v>18075945.96392265</v>
      </c>
      <c r="FF3" s="1">
        <v>18352502.13268951</v>
      </c>
      <c r="FG3" s="1">
        <v>18442694.591075376</v>
      </c>
      <c r="FH3" s="1">
        <v>18522232.38034828</v>
      </c>
      <c r="FI3" s="1">
        <v>18358402.614514831</v>
      </c>
      <c r="FJ3" s="1">
        <v>18290278.658458695</v>
      </c>
      <c r="FK3" s="1">
        <v>18398769.892582368</v>
      </c>
      <c r="FL3" s="1">
        <v>18415950.156977724</v>
      </c>
      <c r="FM3" s="1">
        <v>18491190.081530452</v>
      </c>
      <c r="FN3" s="1">
        <v>18264183.234914452</v>
      </c>
      <c r="FO3" s="1">
        <v>18352837.987580508</v>
      </c>
      <c r="FP3" s="1">
        <v>18505606.184739601</v>
      </c>
      <c r="FQ3" s="1">
        <v>18670099.535175413</v>
      </c>
      <c r="FR3" s="1">
        <v>18877257.586269394</v>
      </c>
      <c r="FS3" s="1">
        <v>19008643.586604245</v>
      </c>
      <c r="FT3" s="1">
        <v>19076049.957199909</v>
      </c>
      <c r="FU3" s="1">
        <v>18888381.270331137</v>
      </c>
      <c r="FV3" s="1">
        <v>18831678.504969276</v>
      </c>
      <c r="FW3" s="1">
        <v>18924533.627816007</v>
      </c>
      <c r="FX3" s="1">
        <v>18997076.379060976</v>
      </c>
      <c r="FY3" s="1">
        <v>18976317.332539272</v>
      </c>
      <c r="FZ3" s="1">
        <v>18852108.136612378</v>
      </c>
      <c r="GA3" s="1">
        <v>18882101.262675047</v>
      </c>
      <c r="GB3" s="1">
        <v>19011978.228460405</v>
      </c>
      <c r="GC3" s="1">
        <v>19212093.992761858</v>
      </c>
      <c r="GD3" s="1">
        <v>19445802.555759471</v>
      </c>
      <c r="GE3" s="1">
        <v>19520942.683031425</v>
      </c>
      <c r="GF3" s="1">
        <v>19563834.549363129</v>
      </c>
      <c r="GG3" s="1">
        <v>19347503.849906046</v>
      </c>
      <c r="GH3" s="1">
        <v>19322429.401186034</v>
      </c>
      <c r="GI3" s="1">
        <v>19393342.840848885</v>
      </c>
      <c r="GJ3" s="1">
        <v>19380660.600486472</v>
      </c>
      <c r="GK3" s="1">
        <v>19425963.571852211</v>
      </c>
      <c r="GL3" s="1">
        <v>19188761.89447391</v>
      </c>
      <c r="GM3" s="1">
        <v>19202402.459059801</v>
      </c>
      <c r="GN3" s="1">
        <v>19379902.70621153</v>
      </c>
      <c r="GO3" s="1">
        <v>19099535.336098649</v>
      </c>
      <c r="GP3" s="1">
        <v>18545816.785808101</v>
      </c>
      <c r="GQ3" s="1">
        <v>18545780.668385305</v>
      </c>
      <c r="GR3" s="1">
        <v>18619469.140445545</v>
      </c>
      <c r="GS3" s="1">
        <v>18620923.365338597</v>
      </c>
      <c r="GT3" s="1">
        <v>18882756.592734113</v>
      </c>
      <c r="GU3" s="1">
        <v>18976675.245007493</v>
      </c>
      <c r="GV3" s="1">
        <v>18952237.352802843</v>
      </c>
      <c r="GW3" s="1">
        <v>19083066.17739781</v>
      </c>
      <c r="GX3" s="1">
        <v>18811717.587343238</v>
      </c>
      <c r="GY3" s="1">
        <v>18812673.10029985</v>
      </c>
      <c r="GZ3" s="1">
        <v>18883123.823407002</v>
      </c>
      <c r="HA3" s="1" t="str">
        <f t="shared" ref="GZ3:JH6" si="0">IF(GZ3="","","")</f>
        <v/>
      </c>
      <c r="HB3" s="1" t="str">
        <f t="shared" si="0"/>
        <v/>
      </c>
      <c r="HC3" s="1" t="str">
        <f t="shared" si="0"/>
        <v/>
      </c>
      <c r="HD3" s="1" t="str">
        <f t="shared" si="0"/>
        <v/>
      </c>
      <c r="HE3" s="1" t="str">
        <f t="shared" si="0"/>
        <v/>
      </c>
      <c r="HF3" s="1" t="str">
        <f t="shared" si="0"/>
        <v/>
      </c>
      <c r="HG3" s="1" t="str">
        <f t="shared" si="0"/>
        <v/>
      </c>
      <c r="HH3" s="1" t="str">
        <f t="shared" si="0"/>
        <v/>
      </c>
      <c r="HI3" s="1" t="str">
        <f t="shared" si="0"/>
        <v/>
      </c>
      <c r="HJ3" s="1" t="str">
        <f t="shared" si="0"/>
        <v/>
      </c>
      <c r="HK3" s="1" t="str">
        <f t="shared" si="0"/>
        <v/>
      </c>
      <c r="HL3" s="1" t="str">
        <f t="shared" si="0"/>
        <v/>
      </c>
      <c r="HM3" s="1" t="str">
        <f t="shared" si="0"/>
        <v/>
      </c>
      <c r="HN3" s="1" t="str">
        <f t="shared" si="0"/>
        <v/>
      </c>
      <c r="HO3" s="1" t="str">
        <f t="shared" si="0"/>
        <v/>
      </c>
      <c r="HP3" s="1" t="str">
        <f t="shared" si="0"/>
        <v/>
      </c>
      <c r="HQ3" s="1" t="str">
        <f t="shared" si="0"/>
        <v/>
      </c>
      <c r="HR3" s="1" t="str">
        <f t="shared" si="0"/>
        <v/>
      </c>
      <c r="HS3" s="1" t="str">
        <f t="shared" si="0"/>
        <v/>
      </c>
      <c r="HT3" s="1" t="str">
        <f t="shared" si="0"/>
        <v/>
      </c>
      <c r="HU3" s="1" t="str">
        <f t="shared" si="0"/>
        <v/>
      </c>
      <c r="HV3" s="1" t="str">
        <f t="shared" si="0"/>
        <v/>
      </c>
      <c r="HW3" s="1" t="str">
        <f t="shared" si="0"/>
        <v/>
      </c>
      <c r="HX3" s="1" t="str">
        <f t="shared" si="0"/>
        <v/>
      </c>
      <c r="HY3" s="1" t="str">
        <f t="shared" si="0"/>
        <v/>
      </c>
      <c r="HZ3" s="1" t="str">
        <f t="shared" si="0"/>
        <v/>
      </c>
      <c r="IA3" s="1" t="str">
        <f t="shared" si="0"/>
        <v/>
      </c>
      <c r="IB3" s="1" t="str">
        <f t="shared" si="0"/>
        <v/>
      </c>
      <c r="IC3" s="1" t="str">
        <f t="shared" si="0"/>
        <v/>
      </c>
      <c r="ID3" s="1" t="str">
        <f t="shared" si="0"/>
        <v/>
      </c>
      <c r="IE3" s="1" t="str">
        <f t="shared" si="0"/>
        <v/>
      </c>
      <c r="IF3" s="1" t="str">
        <f t="shared" si="0"/>
        <v/>
      </c>
      <c r="IG3" s="1" t="str">
        <f t="shared" si="0"/>
        <v/>
      </c>
      <c r="IH3" s="1" t="str">
        <f t="shared" si="0"/>
        <v/>
      </c>
      <c r="II3" s="1" t="str">
        <f t="shared" si="0"/>
        <v/>
      </c>
      <c r="IJ3" s="1" t="str">
        <f t="shared" si="0"/>
        <v/>
      </c>
      <c r="IK3" s="1" t="str">
        <f t="shared" si="0"/>
        <v/>
      </c>
      <c r="IL3" s="1" t="str">
        <f t="shared" si="0"/>
        <v/>
      </c>
      <c r="IM3" s="1" t="str">
        <f t="shared" si="0"/>
        <v/>
      </c>
      <c r="IN3" s="1" t="str">
        <f t="shared" si="0"/>
        <v/>
      </c>
      <c r="IO3" s="1" t="str">
        <f t="shared" si="0"/>
        <v/>
      </c>
      <c r="IP3" s="1" t="str">
        <f t="shared" si="0"/>
        <v/>
      </c>
      <c r="IQ3" s="1" t="str">
        <f t="shared" si="0"/>
        <v/>
      </c>
      <c r="IR3" s="1" t="str">
        <f t="shared" si="0"/>
        <v/>
      </c>
      <c r="IS3" s="1" t="str">
        <f t="shared" si="0"/>
        <v/>
      </c>
      <c r="IT3" s="1" t="str">
        <f t="shared" si="0"/>
        <v/>
      </c>
      <c r="IU3" s="1" t="str">
        <f t="shared" si="0"/>
        <v/>
      </c>
      <c r="IV3" s="1" t="str">
        <f t="shared" si="0"/>
        <v/>
      </c>
      <c r="IW3" s="1" t="str">
        <f t="shared" si="0"/>
        <v/>
      </c>
      <c r="IX3" s="1" t="str">
        <f t="shared" si="0"/>
        <v/>
      </c>
      <c r="IY3" s="1" t="str">
        <f t="shared" si="0"/>
        <v/>
      </c>
      <c r="IZ3" s="1" t="str">
        <f t="shared" si="0"/>
        <v/>
      </c>
      <c r="JA3" s="1" t="str">
        <f t="shared" si="0"/>
        <v/>
      </c>
      <c r="JB3" s="1" t="str">
        <f t="shared" si="0"/>
        <v/>
      </c>
      <c r="JC3" s="1" t="str">
        <f t="shared" si="0"/>
        <v/>
      </c>
      <c r="JD3" s="1" t="str">
        <f t="shared" si="0"/>
        <v/>
      </c>
      <c r="JE3" s="1" t="str">
        <f t="shared" si="0"/>
        <v/>
      </c>
      <c r="JF3" s="1" t="str">
        <f t="shared" si="0"/>
        <v/>
      </c>
      <c r="JG3" s="1" t="str">
        <f t="shared" si="0"/>
        <v/>
      </c>
      <c r="JH3" s="1" t="str">
        <f t="shared" si="0"/>
        <v/>
      </c>
      <c r="LY3" s="1"/>
    </row>
    <row r="4" spans="1:337" x14ac:dyDescent="0.25">
      <c r="A4" s="4">
        <v>2</v>
      </c>
      <c r="B4" s="1">
        <v>16778438.255962934</v>
      </c>
      <c r="C4" s="1">
        <v>16899035.388765588</v>
      </c>
      <c r="D4" s="1">
        <v>17033756.344995238</v>
      </c>
      <c r="E4" s="1">
        <v>17183038.210990906</v>
      </c>
      <c r="F4" s="1">
        <v>17258327.129629493</v>
      </c>
      <c r="G4" s="1">
        <v>17410444.309009001</v>
      </c>
      <c r="H4" s="1">
        <v>17296973.648201317</v>
      </c>
      <c r="I4" s="1">
        <v>17263656.93036522</v>
      </c>
      <c r="J4" s="1">
        <v>17276809.240064926</v>
      </c>
      <c r="K4" s="1">
        <v>17320929.956026793</v>
      </c>
      <c r="L4" s="1">
        <v>17325621.643629771</v>
      </c>
      <c r="M4" s="1">
        <v>17160610.944365893</v>
      </c>
      <c r="N4" s="1">
        <v>17310861.792721175</v>
      </c>
      <c r="O4" s="1">
        <v>17448706.131535195</v>
      </c>
      <c r="P4" s="1">
        <v>17533155.467968106</v>
      </c>
      <c r="Q4" s="1">
        <v>17679080.032073364</v>
      </c>
      <c r="R4" s="1">
        <v>17805717.483406596</v>
      </c>
      <c r="S4" s="1">
        <v>18024275.496870495</v>
      </c>
      <c r="T4" s="1">
        <v>17992279.532198101</v>
      </c>
      <c r="U4" s="1">
        <v>18139654.174573854</v>
      </c>
      <c r="V4" s="1">
        <v>18270460.796239659</v>
      </c>
      <c r="W4" s="1">
        <v>18351853.865830712</v>
      </c>
      <c r="X4" s="1">
        <v>18363466.193590917</v>
      </c>
      <c r="Y4" s="1">
        <v>18163058.181957658</v>
      </c>
      <c r="Z4" s="1">
        <v>18330458.561692517</v>
      </c>
      <c r="AA4" s="1">
        <v>18446170.173812963</v>
      </c>
      <c r="AB4" s="1">
        <v>18517301.030224439</v>
      </c>
      <c r="AC4" s="1">
        <v>18767561.337211855</v>
      </c>
      <c r="AD4" s="1">
        <v>18898382.515732247</v>
      </c>
      <c r="AE4" s="1">
        <v>19026891.151776202</v>
      </c>
      <c r="AF4" s="1">
        <v>18846484.048431888</v>
      </c>
      <c r="AG4" s="1">
        <v>18804167.297225688</v>
      </c>
      <c r="AH4" s="1">
        <v>18759158.856905364</v>
      </c>
      <c r="AI4" s="1">
        <v>18884981.33390975</v>
      </c>
      <c r="AJ4" s="1">
        <v>18886184.065832186</v>
      </c>
      <c r="AK4" s="1">
        <v>18762752.146603562</v>
      </c>
      <c r="AL4" s="1">
        <v>18896327.492341474</v>
      </c>
      <c r="AM4" s="1">
        <v>19051490.814816691</v>
      </c>
      <c r="AN4" s="1">
        <v>19164751.760479867</v>
      </c>
      <c r="AO4" s="1">
        <v>19376913.485121101</v>
      </c>
      <c r="AP4" s="1">
        <v>19417655.980517332</v>
      </c>
      <c r="AQ4" s="1">
        <v>19574495.715776067</v>
      </c>
      <c r="AR4" s="1">
        <v>19335615.430063635</v>
      </c>
      <c r="AS4" s="1">
        <v>19310712.792967007</v>
      </c>
      <c r="AT4" s="1">
        <v>19323821.209953181</v>
      </c>
      <c r="AU4" s="1">
        <v>19393760.393815737</v>
      </c>
      <c r="AV4" s="1">
        <v>19396857.287433963</v>
      </c>
      <c r="AW4" s="1">
        <v>19199890.714694396</v>
      </c>
      <c r="AX4" s="1">
        <v>19338559.806695044</v>
      </c>
      <c r="AY4" s="1">
        <v>19378728.25475537</v>
      </c>
      <c r="AZ4" s="1">
        <v>19439883.431336675</v>
      </c>
      <c r="BA4" s="1">
        <v>19505028.177764166</v>
      </c>
      <c r="BB4" s="1">
        <v>19524625.167519711</v>
      </c>
      <c r="BC4" s="1">
        <v>19505806.502346884</v>
      </c>
      <c r="BD4" s="1">
        <v>19117242.095292527</v>
      </c>
      <c r="BE4" s="1">
        <v>19047865.29087995</v>
      </c>
      <c r="BF4" s="1">
        <v>19125014.444929011</v>
      </c>
      <c r="BG4" s="1">
        <v>18946532.050349161</v>
      </c>
      <c r="BH4" s="1">
        <v>18649303.510781512</v>
      </c>
      <c r="BI4" s="1">
        <v>18143610.454081025</v>
      </c>
      <c r="BJ4" s="1">
        <v>18169264.301611356</v>
      </c>
      <c r="BK4" s="1">
        <v>18110662.504331268</v>
      </c>
      <c r="BL4" s="1">
        <v>17973792.960230969</v>
      </c>
      <c r="BM4" s="1">
        <v>17946352.290877871</v>
      </c>
      <c r="BN4" s="1">
        <v>17984368.476426963</v>
      </c>
      <c r="BO4" s="1">
        <v>18141719.559924558</v>
      </c>
      <c r="BP4" s="1">
        <v>17900420.736614764</v>
      </c>
      <c r="BQ4" s="1">
        <v>17803127.253469467</v>
      </c>
      <c r="BR4" s="1">
        <v>17990558.214235246</v>
      </c>
      <c r="BS4" s="1">
        <v>17774288.230863914</v>
      </c>
      <c r="BT4" s="1">
        <v>17681610.462694466</v>
      </c>
      <c r="BU4" s="1">
        <v>17516861.999316949</v>
      </c>
      <c r="BV4" s="1">
        <v>17640193.152679708</v>
      </c>
      <c r="BW4" s="1">
        <v>17611751.668279123</v>
      </c>
      <c r="BX4" s="1">
        <v>17627995.433775604</v>
      </c>
      <c r="BY4" s="1">
        <v>17710067.224641018</v>
      </c>
      <c r="BZ4" s="1">
        <v>17790078.751524955</v>
      </c>
      <c r="CA4" s="1">
        <v>17872486.980307519</v>
      </c>
      <c r="CB4" s="1">
        <v>17676305.886822738</v>
      </c>
      <c r="CC4" s="1">
        <v>17597283.27022187</v>
      </c>
      <c r="CD4" s="1">
        <v>17678529.617305823</v>
      </c>
      <c r="CE4" s="1">
        <v>17636390.668769658</v>
      </c>
      <c r="CF4" s="1">
        <v>17562461.87570101</v>
      </c>
      <c r="CG4" s="1">
        <v>17313716.369774885</v>
      </c>
      <c r="CH4" s="1">
        <v>17423004.062928911</v>
      </c>
      <c r="CI4" s="1">
        <v>17483820.743489921</v>
      </c>
      <c r="CJ4" s="1">
        <v>17367087.166610554</v>
      </c>
      <c r="CK4" s="1">
        <v>17560670.078102551</v>
      </c>
      <c r="CL4" s="1">
        <v>17657941.907285415</v>
      </c>
      <c r="CM4" s="1">
        <v>17697952.940010004</v>
      </c>
      <c r="CN4" s="1">
        <v>17472486.154246561</v>
      </c>
      <c r="CO4" s="1">
        <v>17433376.701653115</v>
      </c>
      <c r="CP4" s="1">
        <v>17441688.792028617</v>
      </c>
      <c r="CQ4" s="1">
        <v>17342003.529354103</v>
      </c>
      <c r="CR4" s="1">
        <v>17165064.915837735</v>
      </c>
      <c r="CS4" s="1">
        <v>16898078.689531788</v>
      </c>
      <c r="CT4" s="1">
        <v>17029610.506634362</v>
      </c>
      <c r="CU4" s="1">
        <v>16961472.809211325</v>
      </c>
      <c r="CV4" s="1">
        <v>16924145.995670497</v>
      </c>
      <c r="CW4" s="1">
        <v>17021915.055596665</v>
      </c>
      <c r="CX4" s="1">
        <v>16959598.709236667</v>
      </c>
      <c r="CY4" s="1">
        <v>16996194.064692274</v>
      </c>
      <c r="CZ4" s="1">
        <v>16976312.843008853</v>
      </c>
      <c r="DA4" s="1">
        <v>16754212.774749078</v>
      </c>
      <c r="DB4" s="1">
        <v>16774708.661962505</v>
      </c>
      <c r="DC4" s="1">
        <v>16615874.471235866</v>
      </c>
      <c r="DD4" s="1">
        <v>16587012.103728492</v>
      </c>
      <c r="DE4" s="1">
        <v>16091351.909645122</v>
      </c>
      <c r="DF4" s="1">
        <v>16096339.210476588</v>
      </c>
      <c r="DG4" s="1">
        <v>16150643.077644449</v>
      </c>
      <c r="DH4" s="1">
        <v>16197291.927634683</v>
      </c>
      <c r="DI4" s="1">
        <v>16311646.3247639</v>
      </c>
      <c r="DJ4" s="1">
        <v>16363178.852761542</v>
      </c>
      <c r="DK4" s="1">
        <v>16479890.404781163</v>
      </c>
      <c r="DL4" s="1">
        <v>16294373.731623657</v>
      </c>
      <c r="DM4" s="1">
        <v>16234716.726262387</v>
      </c>
      <c r="DN4" s="1">
        <v>16239772.135812864</v>
      </c>
      <c r="DO4" s="1">
        <v>16157203.410950396</v>
      </c>
      <c r="DP4" s="1">
        <v>16300417.16018619</v>
      </c>
      <c r="DQ4" s="1">
        <v>16120594.141933942</v>
      </c>
      <c r="DR4" s="1">
        <v>16267909.38576605</v>
      </c>
      <c r="DS4" s="1">
        <v>16307029.903096929</v>
      </c>
      <c r="DT4" s="1">
        <v>16384393.742738817</v>
      </c>
      <c r="DU4" s="1">
        <v>16542872.881051395</v>
      </c>
      <c r="DV4" s="1">
        <v>16695101.329997659</v>
      </c>
      <c r="DW4" s="1">
        <v>16806303.113019701</v>
      </c>
      <c r="DX4" s="1">
        <v>16668589.568417355</v>
      </c>
      <c r="DY4" s="1">
        <v>16649194.941405669</v>
      </c>
      <c r="DZ4" s="1">
        <v>16651995.987301763</v>
      </c>
      <c r="EA4" s="1">
        <v>16664654.94258685</v>
      </c>
      <c r="EB4" s="1">
        <v>16639327.801394615</v>
      </c>
      <c r="EC4" s="1">
        <v>16627821.806310646</v>
      </c>
      <c r="ED4" s="1">
        <v>16711436.5845256</v>
      </c>
      <c r="EE4" s="1">
        <v>16712098.089686118</v>
      </c>
      <c r="EF4" s="1">
        <v>16930907.641537152</v>
      </c>
      <c r="EG4" s="1">
        <v>17220714.508319356</v>
      </c>
      <c r="EH4" s="1">
        <v>17340639.1201794</v>
      </c>
      <c r="EI4" s="1">
        <v>17423687.171266783</v>
      </c>
      <c r="EJ4" s="1">
        <v>17236015.964018404</v>
      </c>
      <c r="EK4" s="1">
        <v>17215826.724660099</v>
      </c>
      <c r="EL4" s="1">
        <v>17158853.042636968</v>
      </c>
      <c r="EM4" s="1">
        <v>17191564.506301157</v>
      </c>
      <c r="EN4" s="1">
        <v>17238596.545618977</v>
      </c>
      <c r="EO4" s="1">
        <v>17113998.023625083</v>
      </c>
      <c r="EP4" s="1">
        <v>17221857.145016357</v>
      </c>
      <c r="EQ4" s="1">
        <v>17307820.736048646</v>
      </c>
      <c r="ER4" s="1">
        <v>17418244.777884297</v>
      </c>
      <c r="ES4" s="1">
        <v>17648571.71792189</v>
      </c>
      <c r="ET4" s="1">
        <v>17707684.19409674</v>
      </c>
      <c r="EU4" s="1">
        <v>17786675.349466141</v>
      </c>
      <c r="EV4" s="1">
        <v>17776836.417330902</v>
      </c>
      <c r="EW4" s="1">
        <v>17778488.26043608</v>
      </c>
      <c r="EX4" s="1">
        <v>17713415.865709841</v>
      </c>
      <c r="EY4" s="1">
        <v>17736244.636670463</v>
      </c>
      <c r="EZ4" s="1">
        <v>17921798.69111558</v>
      </c>
      <c r="FA4" s="1">
        <v>17645102.708900519</v>
      </c>
      <c r="FB4" s="1">
        <v>17707492.49646873</v>
      </c>
      <c r="FC4" s="1">
        <v>17879667.041871935</v>
      </c>
      <c r="FD4" s="1">
        <v>18023196.045161352</v>
      </c>
      <c r="FE4" s="1">
        <v>18288192.431606099</v>
      </c>
      <c r="FF4" s="1">
        <v>18473149.936893385</v>
      </c>
      <c r="FG4" s="1">
        <v>18561532.942249738</v>
      </c>
      <c r="FH4" s="1">
        <v>18429030.463080861</v>
      </c>
      <c r="FI4" s="1">
        <v>18360485.289225601</v>
      </c>
      <c r="FJ4" s="1">
        <v>18340152.525467671</v>
      </c>
      <c r="FK4" s="1">
        <v>18382437.884623162</v>
      </c>
      <c r="FL4" s="1">
        <v>18486997.708579063</v>
      </c>
      <c r="FM4" s="1">
        <v>18322376.460612617</v>
      </c>
      <c r="FN4" s="1">
        <v>18326371.400933735</v>
      </c>
      <c r="FO4" s="1">
        <v>18495713.311162937</v>
      </c>
      <c r="FP4" s="1">
        <v>18681329.540810112</v>
      </c>
      <c r="FQ4" s="1">
        <v>18874089.358889181</v>
      </c>
      <c r="FR4" s="1">
        <v>18949334.407219652</v>
      </c>
      <c r="FS4" s="1">
        <v>19085311.544405263</v>
      </c>
      <c r="FT4" s="1">
        <v>18958635.027851544</v>
      </c>
      <c r="FU4" s="1">
        <v>18888333.889090031</v>
      </c>
      <c r="FV4" s="1">
        <v>18877571.590254799</v>
      </c>
      <c r="FW4" s="1">
        <v>18903280.336602069</v>
      </c>
      <c r="FX4" s="1">
        <v>19075155.106420591</v>
      </c>
      <c r="FY4" s="1">
        <v>18788610.799999796</v>
      </c>
      <c r="FZ4" s="1">
        <v>18943796.39208477</v>
      </c>
      <c r="GA4" s="1">
        <v>19014243.530618414</v>
      </c>
      <c r="GB4" s="1">
        <v>19171903.693086255</v>
      </c>
      <c r="GC4" s="1">
        <v>19432596.232675701</v>
      </c>
      <c r="GD4" s="1">
        <v>19538142.398768846</v>
      </c>
      <c r="GE4" s="1">
        <v>19571380.932793096</v>
      </c>
      <c r="GF4" s="1">
        <v>19402313.568345308</v>
      </c>
      <c r="GG4" s="1">
        <v>19341436.051621906</v>
      </c>
      <c r="GH4" s="1">
        <v>19378030.741987817</v>
      </c>
      <c r="GI4" s="1">
        <v>19349919.829904608</v>
      </c>
      <c r="GJ4" s="1">
        <v>19437422.834865265</v>
      </c>
      <c r="GK4" s="1">
        <v>19221029.327567481</v>
      </c>
      <c r="GL4" s="1">
        <v>19235392.957831845</v>
      </c>
      <c r="GM4" s="1">
        <v>19319670.940250784</v>
      </c>
      <c r="GN4" s="1">
        <v>19544973.56073558</v>
      </c>
      <c r="GO4" s="1">
        <v>19222869.143206101</v>
      </c>
      <c r="GP4" s="1">
        <v>18578417.088379845</v>
      </c>
      <c r="GQ4" s="1">
        <v>18491691.704180229</v>
      </c>
      <c r="GR4" s="1">
        <v>18380866.771427151</v>
      </c>
      <c r="GS4" s="1">
        <v>18586041.024161071</v>
      </c>
      <c r="GT4" s="1">
        <v>19026411.495868511</v>
      </c>
      <c r="GU4" s="1">
        <v>18964219.811392158</v>
      </c>
      <c r="GV4" s="1">
        <v>18987854.756495457</v>
      </c>
      <c r="GW4" s="1">
        <v>18917188.576124996</v>
      </c>
      <c r="GX4" s="1">
        <v>18839698.109252289</v>
      </c>
      <c r="GY4" s="1">
        <v>18814773.300828695</v>
      </c>
      <c r="GZ4" s="1">
        <v>18928440.732664999</v>
      </c>
      <c r="HA4" s="1" t="str">
        <f t="shared" si="0"/>
        <v/>
      </c>
      <c r="HB4" s="1" t="str">
        <f t="shared" si="0"/>
        <v/>
      </c>
      <c r="HC4" s="1" t="str">
        <f t="shared" si="0"/>
        <v/>
      </c>
      <c r="HD4" s="1" t="str">
        <f t="shared" si="0"/>
        <v/>
      </c>
      <c r="HE4" s="1" t="str">
        <f t="shared" si="0"/>
        <v/>
      </c>
      <c r="HF4" s="1" t="str">
        <f t="shared" si="0"/>
        <v/>
      </c>
      <c r="HG4" s="1" t="str">
        <f t="shared" si="0"/>
        <v/>
      </c>
      <c r="HH4" s="1" t="str">
        <f t="shared" si="0"/>
        <v/>
      </c>
      <c r="HI4" s="1" t="str">
        <f t="shared" si="0"/>
        <v/>
      </c>
      <c r="HJ4" s="1" t="str">
        <f t="shared" si="0"/>
        <v/>
      </c>
      <c r="HK4" s="1" t="str">
        <f t="shared" si="0"/>
        <v/>
      </c>
      <c r="HL4" s="1" t="str">
        <f t="shared" si="0"/>
        <v/>
      </c>
      <c r="HM4" s="1" t="str">
        <f t="shared" si="0"/>
        <v/>
      </c>
      <c r="HN4" s="1" t="str">
        <f t="shared" si="0"/>
        <v/>
      </c>
      <c r="HO4" s="1" t="str">
        <f t="shared" si="0"/>
        <v/>
      </c>
      <c r="HP4" s="1" t="str">
        <f t="shared" si="0"/>
        <v/>
      </c>
      <c r="HQ4" s="1" t="str">
        <f t="shared" si="0"/>
        <v/>
      </c>
      <c r="HR4" s="1" t="str">
        <f t="shared" si="0"/>
        <v/>
      </c>
      <c r="HS4" s="1" t="str">
        <f t="shared" si="0"/>
        <v/>
      </c>
      <c r="HT4" s="1" t="str">
        <f t="shared" si="0"/>
        <v/>
      </c>
      <c r="HU4" s="1" t="str">
        <f t="shared" si="0"/>
        <v/>
      </c>
      <c r="HV4" s="1" t="str">
        <f t="shared" si="0"/>
        <v/>
      </c>
      <c r="HW4" s="1" t="str">
        <f t="shared" si="0"/>
        <v/>
      </c>
      <c r="HX4" s="1" t="str">
        <f t="shared" si="0"/>
        <v/>
      </c>
      <c r="HY4" s="1" t="str">
        <f t="shared" si="0"/>
        <v/>
      </c>
      <c r="HZ4" s="1" t="str">
        <f t="shared" si="0"/>
        <v/>
      </c>
      <c r="IA4" s="1" t="str">
        <f t="shared" si="0"/>
        <v/>
      </c>
      <c r="IB4" s="1" t="str">
        <f t="shared" si="0"/>
        <v/>
      </c>
      <c r="IC4" s="1" t="str">
        <f t="shared" si="0"/>
        <v/>
      </c>
      <c r="ID4" s="1" t="str">
        <f t="shared" si="0"/>
        <v/>
      </c>
      <c r="IE4" s="1" t="str">
        <f t="shared" si="0"/>
        <v/>
      </c>
      <c r="IF4" s="1" t="str">
        <f t="shared" si="0"/>
        <v/>
      </c>
      <c r="IG4" s="1" t="str">
        <f t="shared" si="0"/>
        <v/>
      </c>
      <c r="IH4" s="1" t="str">
        <f t="shared" si="0"/>
        <v/>
      </c>
      <c r="II4" s="1" t="str">
        <f t="shared" si="0"/>
        <v/>
      </c>
      <c r="IJ4" s="1" t="str">
        <f t="shared" si="0"/>
        <v/>
      </c>
      <c r="IK4" s="1" t="str">
        <f t="shared" si="0"/>
        <v/>
      </c>
      <c r="IL4" s="1" t="str">
        <f t="shared" si="0"/>
        <v/>
      </c>
      <c r="IM4" s="1" t="str">
        <f t="shared" si="0"/>
        <v/>
      </c>
      <c r="IN4" s="1" t="str">
        <f t="shared" si="0"/>
        <v/>
      </c>
      <c r="IO4" s="1" t="str">
        <f t="shared" si="0"/>
        <v/>
      </c>
      <c r="IP4" s="1" t="str">
        <f t="shared" si="0"/>
        <v/>
      </c>
      <c r="IQ4" s="1" t="str">
        <f t="shared" si="0"/>
        <v/>
      </c>
      <c r="IR4" s="1" t="str">
        <f t="shared" si="0"/>
        <v/>
      </c>
      <c r="IS4" s="1" t="str">
        <f t="shared" si="0"/>
        <v/>
      </c>
      <c r="IT4" s="1" t="str">
        <f t="shared" si="0"/>
        <v/>
      </c>
      <c r="IU4" s="1" t="str">
        <f t="shared" si="0"/>
        <v/>
      </c>
      <c r="IV4" s="1" t="str">
        <f t="shared" si="0"/>
        <v/>
      </c>
      <c r="IW4" s="1" t="str">
        <f t="shared" si="0"/>
        <v/>
      </c>
      <c r="IX4" s="1" t="str">
        <f t="shared" si="0"/>
        <v/>
      </c>
      <c r="IY4" s="1" t="str">
        <f t="shared" si="0"/>
        <v/>
      </c>
      <c r="IZ4" s="1" t="str">
        <f t="shared" si="0"/>
        <v/>
      </c>
      <c r="JA4" s="1" t="str">
        <f t="shared" si="0"/>
        <v/>
      </c>
      <c r="JB4" s="1" t="str">
        <f t="shared" si="0"/>
        <v/>
      </c>
      <c r="JC4" s="1" t="str">
        <f t="shared" si="0"/>
        <v/>
      </c>
      <c r="JD4" s="1" t="str">
        <f t="shared" si="0"/>
        <v/>
      </c>
      <c r="JE4" s="1" t="str">
        <f t="shared" si="0"/>
        <v/>
      </c>
      <c r="JF4" s="1" t="str">
        <f t="shared" si="0"/>
        <v/>
      </c>
      <c r="JG4" s="1" t="str">
        <f t="shared" si="0"/>
        <v/>
      </c>
      <c r="JH4" s="1" t="str">
        <f t="shared" si="0"/>
        <v/>
      </c>
      <c r="LY4" s="1"/>
    </row>
    <row r="5" spans="1:337" x14ac:dyDescent="0.25">
      <c r="A5" s="5">
        <v>3</v>
      </c>
      <c r="B5" s="1">
        <v>16891660.641765788</v>
      </c>
      <c r="C5" s="1">
        <v>17003975.823695812</v>
      </c>
      <c r="D5" s="1">
        <v>17176447.066159777</v>
      </c>
      <c r="E5" s="1">
        <v>17270231.76257021</v>
      </c>
      <c r="F5" s="1">
        <v>17402453.615483612</v>
      </c>
      <c r="G5" s="1">
        <v>17289373.389411382</v>
      </c>
      <c r="H5" s="1">
        <v>17274218.63537275</v>
      </c>
      <c r="I5" s="1">
        <v>17309229.497380242</v>
      </c>
      <c r="J5" s="1">
        <v>17307887.275380589</v>
      </c>
      <c r="K5" s="1">
        <v>17314739.668201759</v>
      </c>
      <c r="L5" s="1">
        <v>17148986.527600721</v>
      </c>
      <c r="M5" s="1">
        <v>17314549.180100076</v>
      </c>
      <c r="N5" s="1">
        <v>17425051.564334825</v>
      </c>
      <c r="O5" s="1">
        <v>17548966.107681815</v>
      </c>
      <c r="P5" s="1">
        <v>17681442.627859183</v>
      </c>
      <c r="Q5" s="1">
        <v>17770706.961322568</v>
      </c>
      <c r="R5" s="1">
        <v>17950087.225398704</v>
      </c>
      <c r="S5" s="1">
        <v>17893499.628775559</v>
      </c>
      <c r="T5" s="1">
        <v>17988398.647675551</v>
      </c>
      <c r="U5" s="1">
        <v>18210508.999041475</v>
      </c>
      <c r="V5" s="1">
        <v>18338443.382193804</v>
      </c>
      <c r="W5" s="1">
        <v>18390681.664453514</v>
      </c>
      <c r="X5" s="1">
        <v>18215990.953136589</v>
      </c>
      <c r="Y5" s="1">
        <v>18330023.624923572</v>
      </c>
      <c r="Z5" s="1">
        <v>18470289.750487618</v>
      </c>
      <c r="AA5" s="1">
        <v>18580725.65699058</v>
      </c>
      <c r="AB5" s="1">
        <v>18712731.624499805</v>
      </c>
      <c r="AC5" s="1">
        <v>18956670.151573606</v>
      </c>
      <c r="AD5" s="1">
        <v>19104505.249372907</v>
      </c>
      <c r="AE5" s="1">
        <v>18918173.036141783</v>
      </c>
      <c r="AF5" s="1">
        <v>18832106.330300901</v>
      </c>
      <c r="AG5" s="1">
        <v>18869704.056519136</v>
      </c>
      <c r="AH5" s="1">
        <v>18767586.201809775</v>
      </c>
      <c r="AI5" s="1">
        <v>18872687.665469326</v>
      </c>
      <c r="AJ5" s="1">
        <v>18714054.618155032</v>
      </c>
      <c r="AK5" s="1">
        <v>18908878.026087925</v>
      </c>
      <c r="AL5" s="1">
        <v>19019050.089586865</v>
      </c>
      <c r="AM5" s="1">
        <v>19183126.031573646</v>
      </c>
      <c r="AN5" s="1">
        <v>19337066.614577264</v>
      </c>
      <c r="AO5" s="1">
        <v>19515673.495879382</v>
      </c>
      <c r="AP5" s="1">
        <v>19568452.354335278</v>
      </c>
      <c r="AQ5" s="1">
        <v>19422138.731212452</v>
      </c>
      <c r="AR5" s="1">
        <v>19312248.974152535</v>
      </c>
      <c r="AS5" s="1">
        <v>19386773.98154638</v>
      </c>
      <c r="AT5" s="1">
        <v>19351966.416988108</v>
      </c>
      <c r="AU5" s="1">
        <v>19380660.490060568</v>
      </c>
      <c r="AV5" s="1">
        <v>19226410.631869499</v>
      </c>
      <c r="AW5" s="1">
        <v>19334737.602538481</v>
      </c>
      <c r="AX5" s="1">
        <v>19451314.199559495</v>
      </c>
      <c r="AY5" s="1">
        <v>19472033.319367915</v>
      </c>
      <c r="AZ5" s="1">
        <v>19588283.963134609</v>
      </c>
      <c r="BA5" s="1">
        <v>19576160.809904132</v>
      </c>
      <c r="BB5" s="1">
        <v>19625831.164810684</v>
      </c>
      <c r="BC5" s="1">
        <v>19279029.027789295</v>
      </c>
      <c r="BD5" s="1">
        <v>19022709.699651025</v>
      </c>
      <c r="BE5" s="1">
        <v>19079504.152287036</v>
      </c>
      <c r="BF5" s="1">
        <v>19121681.777637839</v>
      </c>
      <c r="BG5" s="1">
        <v>18857253.424825437</v>
      </c>
      <c r="BH5" s="1">
        <v>18350757.194727868</v>
      </c>
      <c r="BI5" s="1">
        <v>18091639.879106265</v>
      </c>
      <c r="BJ5" s="1">
        <v>18124838.570561517</v>
      </c>
      <c r="BK5" s="1">
        <v>18054173.451442845</v>
      </c>
      <c r="BL5" s="1">
        <v>17936777.447502285</v>
      </c>
      <c r="BM5" s="1">
        <v>17862737.188049324</v>
      </c>
      <c r="BN5" s="1">
        <v>17956863.300611876</v>
      </c>
      <c r="BO5" s="1">
        <v>17907665.738804959</v>
      </c>
      <c r="BP5" s="1">
        <v>17808421.699407548</v>
      </c>
      <c r="BQ5" s="1">
        <v>17758190.981886499</v>
      </c>
      <c r="BR5" s="1">
        <v>17933704.69572746</v>
      </c>
      <c r="BS5" s="1">
        <v>17645530.314010091</v>
      </c>
      <c r="BT5" s="1">
        <v>17425423.165138058</v>
      </c>
      <c r="BU5" s="1">
        <v>17539874.354711998</v>
      </c>
      <c r="BV5" s="1">
        <v>17689401.762210988</v>
      </c>
      <c r="BW5" s="1">
        <v>17653756.708616074</v>
      </c>
      <c r="BX5" s="1">
        <v>17715939.917528909</v>
      </c>
      <c r="BY5" s="1">
        <v>17728632.099385772</v>
      </c>
      <c r="BZ5" s="1">
        <v>17872693.012674905</v>
      </c>
      <c r="CA5" s="1">
        <v>17715360.620832458</v>
      </c>
      <c r="CB5" s="1">
        <v>17619151.101753447</v>
      </c>
      <c r="CC5" s="1">
        <v>17595075.657464378</v>
      </c>
      <c r="CD5" s="1">
        <v>17638720.952857569</v>
      </c>
      <c r="CE5" s="1">
        <v>17582530.037241906</v>
      </c>
      <c r="CF5" s="1">
        <v>17330494.524917062</v>
      </c>
      <c r="CG5" s="1">
        <v>17361176.029659126</v>
      </c>
      <c r="CH5" s="1">
        <v>17475991.647702735</v>
      </c>
      <c r="CI5" s="1">
        <v>17555259.25549002</v>
      </c>
      <c r="CJ5" s="1">
        <v>17445834.507529575</v>
      </c>
      <c r="CK5" s="1">
        <v>17595441.894734714</v>
      </c>
      <c r="CL5" s="1">
        <v>17742637.294530962</v>
      </c>
      <c r="CM5" s="1">
        <v>17562041.180839993</v>
      </c>
      <c r="CN5" s="1">
        <v>17408707.970515069</v>
      </c>
      <c r="CO5" s="1">
        <v>17416251.223091878</v>
      </c>
      <c r="CP5" s="1">
        <v>17383295.587251492</v>
      </c>
      <c r="CQ5" s="1">
        <v>17295921.776384458</v>
      </c>
      <c r="CR5" s="1">
        <v>16907113.323786117</v>
      </c>
      <c r="CS5" s="1">
        <v>16869932.225621875</v>
      </c>
      <c r="CT5" s="1">
        <v>17074360.845078453</v>
      </c>
      <c r="CU5" s="1">
        <v>17002019.218866125</v>
      </c>
      <c r="CV5" s="1">
        <v>17005037.219654836</v>
      </c>
      <c r="CW5" s="1">
        <v>17013234.04430192</v>
      </c>
      <c r="CX5" s="1">
        <v>16967214.166066572</v>
      </c>
      <c r="CY5" s="1">
        <v>16854187.000860345</v>
      </c>
      <c r="CZ5" s="1">
        <v>16912860.378968149</v>
      </c>
      <c r="DA5" s="1">
        <v>16699647.50740391</v>
      </c>
      <c r="DB5" s="1">
        <v>16676357.509537719</v>
      </c>
      <c r="DC5" s="1">
        <v>16579072.033538062</v>
      </c>
      <c r="DD5" s="1">
        <v>16329452.205124041</v>
      </c>
      <c r="DE5" s="1">
        <v>15992601.598031707</v>
      </c>
      <c r="DF5" s="1">
        <v>16082091.87580896</v>
      </c>
      <c r="DG5" s="1">
        <v>16173587.777451569</v>
      </c>
      <c r="DH5" s="1">
        <v>16277711.80423896</v>
      </c>
      <c r="DI5" s="1">
        <v>16333272.74937816</v>
      </c>
      <c r="DJ5" s="1">
        <v>16399064.960853312</v>
      </c>
      <c r="DK5" s="1">
        <v>16349138.593303181</v>
      </c>
      <c r="DL5" s="1">
        <v>16226416.354508257</v>
      </c>
      <c r="DM5" s="1">
        <v>16176798.018522533</v>
      </c>
      <c r="DN5" s="1">
        <v>16091878.923674075</v>
      </c>
      <c r="DO5" s="1">
        <v>16127655.993807115</v>
      </c>
      <c r="DP5" s="1">
        <v>16107232.547972128</v>
      </c>
      <c r="DQ5" s="1">
        <v>16144843.785046015</v>
      </c>
      <c r="DR5" s="1">
        <v>16371142.286925472</v>
      </c>
      <c r="DS5" s="1">
        <v>16389470.238048127</v>
      </c>
      <c r="DT5" s="1">
        <v>16536448.754384011</v>
      </c>
      <c r="DU5" s="1">
        <v>16604632.363131702</v>
      </c>
      <c r="DV5" s="1">
        <v>16791386.278839435</v>
      </c>
      <c r="DW5" s="1">
        <v>16745634.508070152</v>
      </c>
      <c r="DX5" s="1">
        <v>16653866.352900334</v>
      </c>
      <c r="DY5" s="1">
        <v>16688990.826448355</v>
      </c>
      <c r="DZ5" s="1">
        <v>16571293.271518169</v>
      </c>
      <c r="EA5" s="1">
        <v>16695502.801349424</v>
      </c>
      <c r="EB5" s="1">
        <v>16448849.993806172</v>
      </c>
      <c r="EC5" s="1">
        <v>16678131.423481595</v>
      </c>
      <c r="ED5" s="1">
        <v>16840766.098402932</v>
      </c>
      <c r="EE5" s="1">
        <v>16825303.13656424</v>
      </c>
      <c r="EF5" s="1">
        <v>17128333.917967178</v>
      </c>
      <c r="EG5" s="1">
        <v>17328669.790568139</v>
      </c>
      <c r="EH5" s="1">
        <v>17462033.426655829</v>
      </c>
      <c r="EI5" s="1">
        <v>17371217.172374755</v>
      </c>
      <c r="EJ5" s="1">
        <v>17233538.426246285</v>
      </c>
      <c r="EK5" s="1">
        <v>17244612.934331458</v>
      </c>
      <c r="EL5" s="1">
        <v>17108797.707622178</v>
      </c>
      <c r="EM5" s="1">
        <v>17226262.91083527</v>
      </c>
      <c r="EN5" s="1">
        <v>17063072.002553836</v>
      </c>
      <c r="EO5" s="1">
        <v>17183932.175027259</v>
      </c>
      <c r="EP5" s="1">
        <v>17372086.977970663</v>
      </c>
      <c r="EQ5" s="1">
        <v>17440090.23226317</v>
      </c>
      <c r="ER5" s="1">
        <v>17600913.396233343</v>
      </c>
      <c r="ES5" s="1">
        <v>17704056.510061834</v>
      </c>
      <c r="ET5" s="1">
        <v>17769420.840080656</v>
      </c>
      <c r="EU5" s="1">
        <v>17694138.050163005</v>
      </c>
      <c r="EV5" s="1">
        <v>17809975.991756</v>
      </c>
      <c r="EW5" s="1">
        <v>17817625.762805521</v>
      </c>
      <c r="EX5" s="1">
        <v>17694388.278020889</v>
      </c>
      <c r="EY5" s="1">
        <v>17777560.280458532</v>
      </c>
      <c r="EZ5" s="1">
        <v>17754247.522456773</v>
      </c>
      <c r="FA5" s="1">
        <v>17705211.706810348</v>
      </c>
      <c r="FB5" s="1">
        <v>17834783.67986092</v>
      </c>
      <c r="FC5" s="1">
        <v>18017543.060151022</v>
      </c>
      <c r="FD5" s="1">
        <v>18218447.952831235</v>
      </c>
      <c r="FE5" s="1">
        <v>18387295.172192633</v>
      </c>
      <c r="FF5" s="1">
        <v>18591588.567499287</v>
      </c>
      <c r="FG5" s="1">
        <v>18468017.446085669</v>
      </c>
      <c r="FH5" s="1">
        <v>18450916.84358985</v>
      </c>
      <c r="FI5" s="1">
        <v>18412650.015573107</v>
      </c>
      <c r="FJ5" s="1">
        <v>18281433.555065993</v>
      </c>
      <c r="FK5" s="1">
        <v>18424864.325770773</v>
      </c>
      <c r="FL5" s="1">
        <v>18308883.110704318</v>
      </c>
      <c r="FM5" s="1">
        <v>18398069.185805153</v>
      </c>
      <c r="FN5" s="1">
        <v>18459349.95370122</v>
      </c>
      <c r="FO5" s="1">
        <v>18653401.428999756</v>
      </c>
      <c r="FP5" s="1">
        <v>18889645.00202807</v>
      </c>
      <c r="FQ5" s="1">
        <v>18952934.242072992</v>
      </c>
      <c r="FR5" s="1">
        <v>19002697.431776207</v>
      </c>
      <c r="FS5" s="1">
        <v>18974552.92268496</v>
      </c>
      <c r="FT5" s="1">
        <v>18983468.942237515</v>
      </c>
      <c r="FU5" s="1">
        <v>18944294.398281872</v>
      </c>
      <c r="FV5" s="1">
        <v>18843810.238663606</v>
      </c>
      <c r="FW5" s="1">
        <v>18928199.917392384</v>
      </c>
      <c r="FX5" s="1">
        <v>18910615.213816956</v>
      </c>
      <c r="FY5" s="1">
        <v>18855468.598760977</v>
      </c>
      <c r="FZ5" s="1">
        <v>19101661.387398425</v>
      </c>
      <c r="GA5" s="1">
        <v>19160702.408963442</v>
      </c>
      <c r="GB5" s="1">
        <v>19379330.504343383</v>
      </c>
      <c r="GC5" s="1">
        <v>19520839.184977397</v>
      </c>
      <c r="GD5" s="1">
        <v>19606017.72360076</v>
      </c>
      <c r="GE5" s="1">
        <v>19415756.01830025</v>
      </c>
      <c r="GF5" s="1">
        <v>19414291.364419576</v>
      </c>
      <c r="GG5" s="1">
        <v>19421771.518472511</v>
      </c>
      <c r="GH5" s="1">
        <v>19333478.930180736</v>
      </c>
      <c r="GI5" s="1">
        <v>19376631.544388741</v>
      </c>
      <c r="GJ5" s="1">
        <v>19231980.993650116</v>
      </c>
      <c r="GK5" s="1">
        <v>19282372.734339431</v>
      </c>
      <c r="GL5" s="1">
        <v>19364965.189220406</v>
      </c>
      <c r="GM5" s="1">
        <v>19445166.443439119</v>
      </c>
      <c r="GN5" s="1">
        <v>19748501.923347384</v>
      </c>
      <c r="GO5" s="1">
        <v>19253395.876997367</v>
      </c>
      <c r="GP5" s="1">
        <v>18520305.600912437</v>
      </c>
      <c r="GQ5" s="1">
        <v>18240156.194537979</v>
      </c>
      <c r="GR5" s="1">
        <v>18315510.915013831</v>
      </c>
      <c r="GS5" s="1">
        <v>18566285.209990721</v>
      </c>
      <c r="GT5" s="1">
        <v>19028605.506942391</v>
      </c>
      <c r="GU5" s="1">
        <v>19032249.621427216</v>
      </c>
      <c r="GV5" s="1">
        <v>18773522.373573333</v>
      </c>
      <c r="GW5" s="1">
        <v>18943586.936546471</v>
      </c>
      <c r="GX5" s="1">
        <v>18812945.097362436</v>
      </c>
      <c r="GY5" s="1">
        <v>18814885.698711962</v>
      </c>
      <c r="GZ5" s="1">
        <v>19044138.160983901</v>
      </c>
      <c r="HA5" s="1" t="str">
        <f t="shared" si="0"/>
        <v/>
      </c>
      <c r="HB5" s="1" t="str">
        <f t="shared" si="0"/>
        <v/>
      </c>
      <c r="HC5" s="1" t="str">
        <f t="shared" si="0"/>
        <v/>
      </c>
      <c r="HD5" s="1" t="str">
        <f t="shared" si="0"/>
        <v/>
      </c>
      <c r="HE5" s="1" t="str">
        <f t="shared" si="0"/>
        <v/>
      </c>
      <c r="HF5" s="1" t="str">
        <f t="shared" si="0"/>
        <v/>
      </c>
      <c r="HG5" s="1" t="str">
        <f t="shared" si="0"/>
        <v/>
      </c>
      <c r="HH5" s="1" t="str">
        <f t="shared" si="0"/>
        <v/>
      </c>
      <c r="HI5" s="1" t="str">
        <f t="shared" si="0"/>
        <v/>
      </c>
      <c r="HJ5" s="1" t="str">
        <f t="shared" si="0"/>
        <v/>
      </c>
      <c r="HK5" s="1" t="str">
        <f t="shared" si="0"/>
        <v/>
      </c>
      <c r="HL5" s="1" t="str">
        <f t="shared" si="0"/>
        <v/>
      </c>
      <c r="HM5" s="1" t="str">
        <f t="shared" si="0"/>
        <v/>
      </c>
      <c r="HN5" s="1" t="str">
        <f t="shared" si="0"/>
        <v/>
      </c>
      <c r="HO5" s="1" t="str">
        <f t="shared" si="0"/>
        <v/>
      </c>
      <c r="HP5" s="1" t="str">
        <f t="shared" si="0"/>
        <v/>
      </c>
      <c r="HQ5" s="1" t="str">
        <f t="shared" si="0"/>
        <v/>
      </c>
      <c r="HR5" s="1" t="str">
        <f t="shared" si="0"/>
        <v/>
      </c>
      <c r="HS5" s="1" t="str">
        <f t="shared" si="0"/>
        <v/>
      </c>
      <c r="HT5" s="1" t="str">
        <f t="shared" si="0"/>
        <v/>
      </c>
      <c r="HU5" s="1" t="str">
        <f t="shared" si="0"/>
        <v/>
      </c>
      <c r="HV5" s="1" t="str">
        <f t="shared" si="0"/>
        <v/>
      </c>
      <c r="HW5" s="1" t="str">
        <f t="shared" si="0"/>
        <v/>
      </c>
      <c r="HX5" s="1" t="str">
        <f t="shared" si="0"/>
        <v/>
      </c>
      <c r="HY5" s="1" t="str">
        <f t="shared" si="0"/>
        <v/>
      </c>
      <c r="HZ5" s="1" t="str">
        <f t="shared" si="0"/>
        <v/>
      </c>
      <c r="IA5" s="1" t="str">
        <f t="shared" si="0"/>
        <v/>
      </c>
      <c r="IB5" s="1" t="str">
        <f t="shared" si="0"/>
        <v/>
      </c>
      <c r="IC5" s="1" t="str">
        <f t="shared" si="0"/>
        <v/>
      </c>
      <c r="ID5" s="1" t="str">
        <f t="shared" si="0"/>
        <v/>
      </c>
      <c r="IE5" s="1" t="str">
        <f t="shared" si="0"/>
        <v/>
      </c>
      <c r="IF5" s="1" t="str">
        <f t="shared" si="0"/>
        <v/>
      </c>
      <c r="IG5" s="1" t="str">
        <f t="shared" si="0"/>
        <v/>
      </c>
      <c r="IH5" s="1" t="str">
        <f t="shared" si="0"/>
        <v/>
      </c>
      <c r="II5" s="1" t="str">
        <f t="shared" si="0"/>
        <v/>
      </c>
      <c r="IJ5" s="1" t="str">
        <f t="shared" si="0"/>
        <v/>
      </c>
      <c r="IK5" s="1" t="str">
        <f t="shared" si="0"/>
        <v/>
      </c>
      <c r="IL5" s="1" t="str">
        <f t="shared" si="0"/>
        <v/>
      </c>
      <c r="IM5" s="1" t="str">
        <f t="shared" si="0"/>
        <v/>
      </c>
      <c r="IN5" s="1" t="str">
        <f t="shared" si="0"/>
        <v/>
      </c>
      <c r="IO5" s="1" t="str">
        <f t="shared" si="0"/>
        <v/>
      </c>
      <c r="IP5" s="1" t="str">
        <f t="shared" si="0"/>
        <v/>
      </c>
      <c r="IQ5" s="1" t="str">
        <f t="shared" si="0"/>
        <v/>
      </c>
      <c r="IR5" s="1" t="str">
        <f t="shared" si="0"/>
        <v/>
      </c>
      <c r="IS5" s="1" t="str">
        <f t="shared" si="0"/>
        <v/>
      </c>
      <c r="IT5" s="1" t="str">
        <f t="shared" si="0"/>
        <v/>
      </c>
      <c r="IU5" s="1" t="str">
        <f t="shared" si="0"/>
        <v/>
      </c>
      <c r="IV5" s="1" t="str">
        <f t="shared" si="0"/>
        <v/>
      </c>
      <c r="IW5" s="1" t="str">
        <f t="shared" si="0"/>
        <v/>
      </c>
      <c r="IX5" s="1" t="str">
        <f t="shared" si="0"/>
        <v/>
      </c>
      <c r="IY5" s="1" t="str">
        <f t="shared" si="0"/>
        <v/>
      </c>
      <c r="IZ5" s="1" t="str">
        <f t="shared" si="0"/>
        <v/>
      </c>
      <c r="JA5" s="1" t="str">
        <f t="shared" si="0"/>
        <v/>
      </c>
      <c r="JB5" s="1" t="str">
        <f t="shared" si="0"/>
        <v/>
      </c>
      <c r="JC5" s="1" t="str">
        <f t="shared" si="0"/>
        <v/>
      </c>
      <c r="JD5" s="1" t="str">
        <f t="shared" si="0"/>
        <v/>
      </c>
      <c r="JE5" s="1" t="str">
        <f t="shared" si="0"/>
        <v/>
      </c>
      <c r="JF5" s="1" t="str">
        <f t="shared" si="0"/>
        <v/>
      </c>
      <c r="JG5" s="1" t="str">
        <f t="shared" si="0"/>
        <v/>
      </c>
      <c r="JH5" s="1" t="str">
        <f t="shared" si="0"/>
        <v/>
      </c>
      <c r="LY5" s="1"/>
    </row>
    <row r="6" spans="1:337" x14ac:dyDescent="0.25">
      <c r="A6" s="5">
        <v>4</v>
      </c>
      <c r="B6" s="1">
        <v>16998255.141513493</v>
      </c>
      <c r="C6" s="1">
        <v>17156117.585105725</v>
      </c>
      <c r="D6" s="1">
        <v>17265004.584539179</v>
      </c>
      <c r="E6" s="1">
        <v>17416222.308989245</v>
      </c>
      <c r="F6" s="1">
        <v>17284249.514917575</v>
      </c>
      <c r="G6" s="1">
        <v>17263655.435687579</v>
      </c>
      <c r="H6" s="1">
        <v>17319594.116128996</v>
      </c>
      <c r="I6" s="1">
        <v>17342553.318978466</v>
      </c>
      <c r="J6" s="1">
        <v>17299351.663427144</v>
      </c>
      <c r="K6" s="1">
        <v>17135274.028017223</v>
      </c>
      <c r="L6" s="1">
        <v>17303931.379045799</v>
      </c>
      <c r="M6" s="1">
        <v>17430580.553322114</v>
      </c>
      <c r="N6" s="1">
        <v>17527257.698934924</v>
      </c>
      <c r="O6" s="1">
        <v>17696118.353078663</v>
      </c>
      <c r="P6" s="1">
        <v>17772441.274825044</v>
      </c>
      <c r="Q6" s="1">
        <v>17911240.87196653</v>
      </c>
      <c r="R6" s="1">
        <v>17824522.785412848</v>
      </c>
      <c r="S6" s="1">
        <v>17871655.620538913</v>
      </c>
      <c r="T6" s="1">
        <v>18056638.167764388</v>
      </c>
      <c r="U6" s="1">
        <v>18259505.31617564</v>
      </c>
      <c r="V6" s="1">
        <v>18373114.601180699</v>
      </c>
      <c r="W6" s="1">
        <v>18242885.340170965</v>
      </c>
      <c r="X6" s="1">
        <v>18390807.165399596</v>
      </c>
      <c r="Y6" s="1">
        <v>18463866.06018652</v>
      </c>
      <c r="Z6" s="1">
        <v>18607237.43310573</v>
      </c>
      <c r="AA6" s="1">
        <v>18776931.744175948</v>
      </c>
      <c r="AB6" s="1">
        <v>18871706.001985565</v>
      </c>
      <c r="AC6" s="1">
        <v>19167746.19154821</v>
      </c>
      <c r="AD6" s="1">
        <v>18988580.590244912</v>
      </c>
      <c r="AE6" s="1">
        <v>18922587.774619311</v>
      </c>
      <c r="AF6" s="1">
        <v>18897710.449206773</v>
      </c>
      <c r="AG6" s="1">
        <v>18900747.610705338</v>
      </c>
      <c r="AH6" s="1">
        <v>18737632.769036304</v>
      </c>
      <c r="AI6" s="1">
        <v>18698783.306367591</v>
      </c>
      <c r="AJ6" s="1">
        <v>18864592.500362366</v>
      </c>
      <c r="AK6" s="1">
        <v>19029301.604319621</v>
      </c>
      <c r="AL6" s="1">
        <v>19159129.943228789</v>
      </c>
      <c r="AM6" s="1">
        <v>19364261.934999205</v>
      </c>
      <c r="AN6" s="1">
        <v>19474400.892332226</v>
      </c>
      <c r="AO6" s="1">
        <v>19690509.57121253</v>
      </c>
      <c r="AP6" s="1">
        <v>19418610.764690824</v>
      </c>
      <c r="AQ6" s="1">
        <v>19419480.478325859</v>
      </c>
      <c r="AR6" s="1">
        <v>19383502.864192363</v>
      </c>
      <c r="AS6" s="1">
        <v>19423277.741667364</v>
      </c>
      <c r="AT6" s="1">
        <v>19335057.619140625</v>
      </c>
      <c r="AU6" s="1">
        <v>19208263.887069397</v>
      </c>
      <c r="AV6" s="1">
        <v>19368729.740104645</v>
      </c>
      <c r="AW6" s="1">
        <v>19456720.643522166</v>
      </c>
      <c r="AX6" s="1">
        <v>19554166.511142142</v>
      </c>
      <c r="AY6" s="1">
        <v>19623902.726790015</v>
      </c>
      <c r="AZ6" s="1">
        <v>19682069.953981042</v>
      </c>
      <c r="BA6" s="1">
        <v>19694603.560632292</v>
      </c>
      <c r="BB6" s="1">
        <v>19421824.168445468</v>
      </c>
      <c r="BC6" s="1">
        <v>19243159.690678377</v>
      </c>
      <c r="BD6" s="1">
        <v>19047760.901609764</v>
      </c>
      <c r="BE6" s="1">
        <v>19068363.696141243</v>
      </c>
      <c r="BF6" s="1">
        <v>19070896.025635358</v>
      </c>
      <c r="BG6" s="1">
        <v>18602586.747467421</v>
      </c>
      <c r="BH6" s="1">
        <v>18360603.073791549</v>
      </c>
      <c r="BI6" s="1">
        <v>18022186.440692838</v>
      </c>
      <c r="BJ6" s="1">
        <v>18069612.440567479</v>
      </c>
      <c r="BK6" s="1">
        <v>18039829.837149736</v>
      </c>
      <c r="BL6" s="1">
        <v>17837586.263787303</v>
      </c>
      <c r="BM6" s="1">
        <v>17776927.423197813</v>
      </c>
      <c r="BN6" s="1">
        <v>17703562.271811705</v>
      </c>
      <c r="BO6" s="1">
        <v>17818306.404118795</v>
      </c>
      <c r="BP6" s="1">
        <v>17765577.117490262</v>
      </c>
      <c r="BQ6" s="1">
        <v>17654162.766075678</v>
      </c>
      <c r="BR6" s="1">
        <v>17846260.11104539</v>
      </c>
      <c r="BS6" s="1">
        <v>17401334.203168429</v>
      </c>
      <c r="BT6" s="1">
        <v>17452907.529448196</v>
      </c>
      <c r="BU6" s="1">
        <v>17563843.423583124</v>
      </c>
      <c r="BV6" s="1">
        <v>17746264.499830127</v>
      </c>
      <c r="BW6" s="1">
        <v>17752916.687314741</v>
      </c>
      <c r="BX6" s="1">
        <v>17741725.537120551</v>
      </c>
      <c r="BY6" s="1">
        <v>17794623.021214649</v>
      </c>
      <c r="BZ6" s="1">
        <v>17727982.745962966</v>
      </c>
      <c r="CA6" s="1">
        <v>17668155.62510154</v>
      </c>
      <c r="CB6" s="1">
        <v>17623987.932166114</v>
      </c>
      <c r="CC6" s="1">
        <v>17534977.339095436</v>
      </c>
      <c r="CD6" s="1">
        <v>17588652.075971793</v>
      </c>
      <c r="CE6" s="1">
        <v>17354653.773490448</v>
      </c>
      <c r="CF6" s="1">
        <v>17389166.971763328</v>
      </c>
      <c r="CG6" s="1">
        <v>17400126.854104578</v>
      </c>
      <c r="CH6" s="1">
        <v>17544808.817210067</v>
      </c>
      <c r="CI6" s="1">
        <v>17671620.365770906</v>
      </c>
      <c r="CJ6" s="1">
        <v>17451109.042345021</v>
      </c>
      <c r="CK6" s="1">
        <v>17673626.28866446</v>
      </c>
      <c r="CL6" s="1">
        <v>17606994.613592863</v>
      </c>
      <c r="CM6" s="1">
        <v>17520257.765283406</v>
      </c>
      <c r="CN6" s="1">
        <v>17389320.766887583</v>
      </c>
      <c r="CO6" s="1">
        <v>17351827.086326279</v>
      </c>
      <c r="CP6" s="1">
        <v>17346788.420976683</v>
      </c>
      <c r="CQ6" s="1">
        <v>17078255.642016929</v>
      </c>
      <c r="CR6" s="1">
        <v>16896114.973677434</v>
      </c>
      <c r="CS6" s="1">
        <v>16883321.588693537</v>
      </c>
      <c r="CT6" s="1">
        <v>17145874.668543722</v>
      </c>
      <c r="CU6" s="1">
        <v>17071001.139777467</v>
      </c>
      <c r="CV6" s="1">
        <v>16979445.658337496</v>
      </c>
      <c r="CW6" s="1">
        <v>17046341.986731768</v>
      </c>
      <c r="CX6" s="1">
        <v>16832175.23248399</v>
      </c>
      <c r="CY6" s="1">
        <v>16778892.435080487</v>
      </c>
      <c r="CZ6" s="1">
        <v>16876296.846068379</v>
      </c>
      <c r="DA6" s="1">
        <v>16600166.646747097</v>
      </c>
      <c r="DB6" s="1">
        <v>16652962.823966075</v>
      </c>
      <c r="DC6" s="1">
        <v>16351751.10257634</v>
      </c>
      <c r="DD6" s="1">
        <v>16284812.285689151</v>
      </c>
      <c r="DE6" s="1">
        <v>15949686.044875901</v>
      </c>
      <c r="DF6" s="1">
        <v>16084615.980842523</v>
      </c>
      <c r="DG6" s="1">
        <v>16259871.916697655</v>
      </c>
      <c r="DH6" s="1">
        <v>16290893.393915411</v>
      </c>
      <c r="DI6" s="1">
        <v>16370184.749853346</v>
      </c>
      <c r="DJ6" s="1">
        <v>16261420.208137229</v>
      </c>
      <c r="DK6" s="1">
        <v>16299190.595423721</v>
      </c>
      <c r="DL6" s="1">
        <v>16170083.759301862</v>
      </c>
      <c r="DM6" s="1">
        <v>16040431.811168948</v>
      </c>
      <c r="DN6" s="1">
        <v>16045742.293083187</v>
      </c>
      <c r="DO6" s="1">
        <v>15941800.808958288</v>
      </c>
      <c r="DP6" s="1">
        <v>16128467.282401998</v>
      </c>
      <c r="DQ6" s="1">
        <v>16217607.627152801</v>
      </c>
      <c r="DR6" s="1">
        <v>16481250.869597495</v>
      </c>
      <c r="DS6" s="1">
        <v>16534776.347375166</v>
      </c>
      <c r="DT6" s="1">
        <v>16596931.934080575</v>
      </c>
      <c r="DU6" s="1">
        <v>16664756.284564374</v>
      </c>
      <c r="DV6" s="1">
        <v>16705616.184613096</v>
      </c>
      <c r="DW6" s="1">
        <v>16749596.711540032</v>
      </c>
      <c r="DX6" s="1">
        <v>16687487.834668111</v>
      </c>
      <c r="DY6" s="1">
        <v>16606975.578339446</v>
      </c>
      <c r="DZ6" s="1">
        <v>16600766.149779284</v>
      </c>
      <c r="EA6" s="1">
        <v>16504642.673825214</v>
      </c>
      <c r="EB6" s="1">
        <v>16507653.331811648</v>
      </c>
      <c r="EC6" s="1">
        <v>16784974.559041783</v>
      </c>
      <c r="ED6" s="1">
        <v>16971523.03607063</v>
      </c>
      <c r="EE6" s="1">
        <v>16995464.525586538</v>
      </c>
      <c r="EF6" s="1">
        <v>17214201.103859507</v>
      </c>
      <c r="EG6" s="1">
        <v>17447299.652743831</v>
      </c>
      <c r="EH6" s="1">
        <v>17401500.558582015</v>
      </c>
      <c r="EI6" s="1">
        <v>17416100.060733739</v>
      </c>
      <c r="EJ6" s="1">
        <v>17262552.587109406</v>
      </c>
      <c r="EK6" s="1">
        <v>17219399.195460986</v>
      </c>
      <c r="EL6" s="1">
        <v>17143373.788967542</v>
      </c>
      <c r="EM6" s="1">
        <v>17047884.291194957</v>
      </c>
      <c r="EN6" s="1">
        <v>17140264.776945151</v>
      </c>
      <c r="EO6" s="1">
        <v>17310013.756868653</v>
      </c>
      <c r="EP6" s="1">
        <v>17520514.360600408</v>
      </c>
      <c r="EQ6" s="1">
        <v>17621077.339712299</v>
      </c>
      <c r="ER6" s="1">
        <v>17649997.115368493</v>
      </c>
      <c r="ES6" s="1">
        <v>17766083.075674295</v>
      </c>
      <c r="ET6" s="1">
        <v>17678880.610834148</v>
      </c>
      <c r="EU6" s="1">
        <v>17695002.165101759</v>
      </c>
      <c r="EV6" s="1">
        <v>17856888.961074002</v>
      </c>
      <c r="EW6" s="1">
        <v>17811855.227563266</v>
      </c>
      <c r="EX6" s="1">
        <v>17742363.259164579</v>
      </c>
      <c r="EY6" s="1">
        <v>17589202.860016543</v>
      </c>
      <c r="EZ6" s="1">
        <v>17838690.345297411</v>
      </c>
      <c r="FA6" s="1">
        <v>17821050.72594459</v>
      </c>
      <c r="FB6" s="1">
        <v>17984380.446721077</v>
      </c>
      <c r="FC6" s="1">
        <v>18211423.944451969</v>
      </c>
      <c r="FD6" s="1">
        <v>18302575.427614473</v>
      </c>
      <c r="FE6" s="1">
        <v>18486081.623307776</v>
      </c>
      <c r="FF6" s="1">
        <v>18478862.132906232</v>
      </c>
      <c r="FG6" s="1">
        <v>18495849.09455847</v>
      </c>
      <c r="FH6" s="1">
        <v>18526923.924154546</v>
      </c>
      <c r="FI6" s="1">
        <v>18376817.632983226</v>
      </c>
      <c r="FJ6" s="1">
        <v>18321017.70732699</v>
      </c>
      <c r="FK6" s="1">
        <v>18248743.239970047</v>
      </c>
      <c r="FL6" s="1">
        <v>18387203.319297962</v>
      </c>
      <c r="FM6" s="1">
        <v>18534905.971914783</v>
      </c>
      <c r="FN6" s="1">
        <v>18631373.155084729</v>
      </c>
      <c r="FO6" s="1">
        <v>18851966.692448299</v>
      </c>
      <c r="FP6" s="1">
        <v>18970524.938811384</v>
      </c>
      <c r="FQ6" s="1">
        <v>19023648.069611263</v>
      </c>
      <c r="FR6" s="1">
        <v>18885719.314337611</v>
      </c>
      <c r="FS6" s="1">
        <v>19000158.282238223</v>
      </c>
      <c r="FT6" s="1">
        <v>19061836.521358319</v>
      </c>
      <c r="FU6" s="1">
        <v>18916398.287344228</v>
      </c>
      <c r="FV6" s="1">
        <v>18856146.995639335</v>
      </c>
      <c r="FW6" s="1">
        <v>18744761.667109601</v>
      </c>
      <c r="FX6" s="1">
        <v>19000888.016200814</v>
      </c>
      <c r="FY6" s="1">
        <v>18983441.199490469</v>
      </c>
      <c r="FZ6" s="1">
        <v>19277307.604339298</v>
      </c>
      <c r="GA6" s="1">
        <v>19356376.822412319</v>
      </c>
      <c r="GB6" s="1">
        <v>19454180.05869253</v>
      </c>
      <c r="GC6" s="1">
        <v>19583517.232003585</v>
      </c>
      <c r="GD6" s="1">
        <v>19457027.16714599</v>
      </c>
      <c r="GE6" s="1">
        <v>19431031.616300352</v>
      </c>
      <c r="GF6" s="1">
        <v>19499127.258970529</v>
      </c>
      <c r="GG6" s="1">
        <v>19369116.664420068</v>
      </c>
      <c r="GH6" s="1">
        <v>19357849.565501176</v>
      </c>
      <c r="GI6" s="1">
        <v>19178330.788223311</v>
      </c>
      <c r="GJ6" s="1">
        <v>19297724.824779935</v>
      </c>
      <c r="GK6" s="1">
        <v>19401790.458515976</v>
      </c>
      <c r="GL6" s="1">
        <v>19519944.416934423</v>
      </c>
      <c r="GM6" s="1">
        <v>19612796.105807681</v>
      </c>
      <c r="GN6" s="1">
        <v>19818857.885758795</v>
      </c>
      <c r="GO6" s="1">
        <v>19276773.802451711</v>
      </c>
      <c r="GP6" s="1">
        <v>18330943.267159779</v>
      </c>
      <c r="GQ6" s="1">
        <v>18156022.109395634</v>
      </c>
      <c r="GR6" s="1">
        <v>18330853.547746502</v>
      </c>
      <c r="GS6" s="1">
        <v>18490850.110484533</v>
      </c>
      <c r="GT6" s="1">
        <v>19107745.606498159</v>
      </c>
      <c r="GU6" s="1">
        <v>18866942.692848027</v>
      </c>
      <c r="GV6" s="1">
        <v>18830036.281723674</v>
      </c>
      <c r="GW6" s="1">
        <v>18983326.451422468</v>
      </c>
      <c r="GX6" s="1">
        <v>18850920.985892609</v>
      </c>
      <c r="GY6" s="1">
        <v>18891130.166012622</v>
      </c>
      <c r="GZ6" s="1">
        <v>19096757.169624299</v>
      </c>
      <c r="HA6" s="1" t="str">
        <f t="shared" si="0"/>
        <v/>
      </c>
      <c r="HB6" s="1" t="str">
        <f t="shared" si="0"/>
        <v/>
      </c>
      <c r="HC6" s="1" t="str">
        <f t="shared" si="0"/>
        <v/>
      </c>
      <c r="HD6" s="1" t="str">
        <f t="shared" si="0"/>
        <v/>
      </c>
      <c r="HE6" s="1" t="str">
        <f t="shared" si="0"/>
        <v/>
      </c>
      <c r="HF6" s="1" t="str">
        <f t="shared" si="0"/>
        <v/>
      </c>
      <c r="HG6" s="1" t="str">
        <f t="shared" si="0"/>
        <v/>
      </c>
      <c r="HH6" s="1" t="str">
        <f t="shared" si="0"/>
        <v/>
      </c>
      <c r="HI6" s="1" t="str">
        <f t="shared" si="0"/>
        <v/>
      </c>
      <c r="HJ6" s="1" t="str">
        <f t="shared" si="0"/>
        <v/>
      </c>
      <c r="HK6" s="1" t="str">
        <f t="shared" si="0"/>
        <v/>
      </c>
      <c r="HL6" s="1" t="str">
        <f t="shared" si="0"/>
        <v/>
      </c>
      <c r="HM6" s="1" t="str">
        <f t="shared" si="0"/>
        <v/>
      </c>
      <c r="HN6" s="1" t="str">
        <f t="shared" si="0"/>
        <v/>
      </c>
      <c r="HO6" s="1" t="str">
        <f t="shared" si="0"/>
        <v/>
      </c>
      <c r="HP6" s="1" t="str">
        <f t="shared" si="0"/>
        <v/>
      </c>
      <c r="HQ6" s="1" t="str">
        <f t="shared" si="0"/>
        <v/>
      </c>
      <c r="HR6" s="1" t="str">
        <f t="shared" si="0"/>
        <v/>
      </c>
      <c r="HS6" s="1" t="str">
        <f t="shared" si="0"/>
        <v/>
      </c>
      <c r="HT6" s="1" t="str">
        <f t="shared" si="0"/>
        <v/>
      </c>
      <c r="HU6" s="1" t="str">
        <f t="shared" si="0"/>
        <v/>
      </c>
      <c r="HV6" s="1" t="str">
        <f t="shared" si="0"/>
        <v/>
      </c>
      <c r="HW6" s="1" t="str">
        <f t="shared" si="0"/>
        <v/>
      </c>
      <c r="HX6" s="1" t="str">
        <f t="shared" si="0"/>
        <v/>
      </c>
      <c r="HY6" s="1" t="str">
        <f t="shared" si="0"/>
        <v/>
      </c>
      <c r="HZ6" s="1" t="str">
        <f t="shared" si="0"/>
        <v/>
      </c>
      <c r="IA6" s="1" t="str">
        <f t="shared" si="0"/>
        <v/>
      </c>
      <c r="IB6" s="1" t="str">
        <f t="shared" si="0"/>
        <v/>
      </c>
      <c r="IC6" s="1" t="str">
        <f t="shared" si="0"/>
        <v/>
      </c>
      <c r="ID6" s="1" t="str">
        <f t="shared" si="0"/>
        <v/>
      </c>
      <c r="IE6" s="1" t="str">
        <f t="shared" si="0"/>
        <v/>
      </c>
      <c r="IF6" s="1" t="str">
        <f t="shared" si="0"/>
        <v/>
      </c>
      <c r="IG6" s="1" t="str">
        <f t="shared" si="0"/>
        <v/>
      </c>
      <c r="IH6" s="1" t="str">
        <f t="shared" si="0"/>
        <v/>
      </c>
      <c r="II6" s="1" t="str">
        <f t="shared" si="0"/>
        <v/>
      </c>
      <c r="IJ6" s="1" t="str">
        <f t="shared" si="0"/>
        <v/>
      </c>
      <c r="IK6" s="1" t="str">
        <f t="shared" si="0"/>
        <v/>
      </c>
      <c r="IL6" s="1" t="str">
        <f t="shared" si="0"/>
        <v/>
      </c>
      <c r="IM6" s="1" t="str">
        <f t="shared" si="0"/>
        <v/>
      </c>
      <c r="IN6" s="1" t="str">
        <f t="shared" si="0"/>
        <v/>
      </c>
      <c r="IO6" s="1" t="str">
        <f t="shared" si="0"/>
        <v/>
      </c>
      <c r="IP6" s="1" t="str">
        <f t="shared" si="0"/>
        <v/>
      </c>
      <c r="IQ6" s="1" t="str">
        <f t="shared" si="0"/>
        <v/>
      </c>
      <c r="IR6" s="1" t="str">
        <f t="shared" si="0"/>
        <v/>
      </c>
      <c r="IS6" s="1" t="str">
        <f t="shared" si="0"/>
        <v/>
      </c>
      <c r="IT6" s="1" t="str">
        <f t="shared" si="0"/>
        <v/>
      </c>
      <c r="IU6" s="1" t="str">
        <f t="shared" si="0"/>
        <v/>
      </c>
      <c r="IV6" s="1" t="str">
        <f t="shared" si="0"/>
        <v/>
      </c>
      <c r="IW6" s="1" t="str">
        <f t="shared" si="0"/>
        <v/>
      </c>
      <c r="IX6" s="1" t="str">
        <f t="shared" si="0"/>
        <v/>
      </c>
      <c r="IY6" s="1" t="str">
        <f t="shared" si="0"/>
        <v/>
      </c>
      <c r="IZ6" s="1" t="str">
        <f t="shared" si="0"/>
        <v/>
      </c>
      <c r="JA6" s="1" t="str">
        <f t="shared" si="0"/>
        <v/>
      </c>
      <c r="JB6" s="1" t="str">
        <f t="shared" si="0"/>
        <v/>
      </c>
      <c r="JC6" s="1" t="str">
        <f t="shared" si="0"/>
        <v/>
      </c>
      <c r="JD6" s="1" t="str">
        <f t="shared" si="0"/>
        <v/>
      </c>
      <c r="JE6" s="1" t="str">
        <f t="shared" si="0"/>
        <v/>
      </c>
      <c r="JF6" s="1" t="str">
        <f t="shared" si="0"/>
        <v/>
      </c>
      <c r="JG6" s="1" t="str">
        <f t="shared" si="0"/>
        <v/>
      </c>
      <c r="JH6" s="1" t="str">
        <f t="shared" ref="GZ6:JH10" si="1">IF(JG6="","","")</f>
        <v/>
      </c>
      <c r="LY6" s="1"/>
    </row>
    <row r="7" spans="1:337" x14ac:dyDescent="0.25">
      <c r="A7" s="5">
        <v>5</v>
      </c>
      <c r="B7" s="1">
        <v>17150435.960216291</v>
      </c>
      <c r="C7" s="1">
        <v>17248423.096572641</v>
      </c>
      <c r="D7" s="1">
        <v>17412078.335277624</v>
      </c>
      <c r="E7" s="1">
        <v>17298519.730509795</v>
      </c>
      <c r="F7" s="1">
        <v>17259410.394078277</v>
      </c>
      <c r="G7" s="1">
        <v>17314925.934085373</v>
      </c>
      <c r="H7" s="1">
        <v>17353839.92226902</v>
      </c>
      <c r="I7" s="1">
        <v>17338802.109175593</v>
      </c>
      <c r="J7" s="1">
        <v>17119151.85037772</v>
      </c>
      <c r="K7" s="1">
        <v>17286822.353064388</v>
      </c>
      <c r="L7" s="1">
        <v>17424173.730939008</v>
      </c>
      <c r="M7" s="1">
        <v>17530768.820069961</v>
      </c>
      <c r="N7" s="1">
        <v>17674825.380534731</v>
      </c>
      <c r="O7" s="1">
        <v>17785306.000884801</v>
      </c>
      <c r="P7" s="1">
        <v>17913623.937846169</v>
      </c>
      <c r="Q7" s="1">
        <v>17788870.795226481</v>
      </c>
      <c r="R7" s="1">
        <v>17804073.213563878</v>
      </c>
      <c r="S7" s="1">
        <v>17927054.305823639</v>
      </c>
      <c r="T7" s="1">
        <v>18104175.255481116</v>
      </c>
      <c r="U7" s="1">
        <v>18264073.14169246</v>
      </c>
      <c r="V7" s="1">
        <v>18228828.640995093</v>
      </c>
      <c r="W7" s="1">
        <v>18432635.043168642</v>
      </c>
      <c r="X7" s="1">
        <v>18535505.656697311</v>
      </c>
      <c r="Y7" s="1">
        <v>18597529.416805204</v>
      </c>
      <c r="Z7" s="1">
        <v>18798120.26989368</v>
      </c>
      <c r="AA7" s="1">
        <v>18952791.036862865</v>
      </c>
      <c r="AB7" s="1">
        <v>19060322.050321259</v>
      </c>
      <c r="AC7" s="1">
        <v>19053485.648712158</v>
      </c>
      <c r="AD7" s="1">
        <v>18998756.691534653</v>
      </c>
      <c r="AE7" s="1">
        <v>18998140.916470196</v>
      </c>
      <c r="AF7" s="1">
        <v>18928817.601368811</v>
      </c>
      <c r="AG7" s="1">
        <v>18890792.199091658</v>
      </c>
      <c r="AH7" s="1">
        <v>18559979.476886973</v>
      </c>
      <c r="AI7" s="1">
        <v>18845049.373167641</v>
      </c>
      <c r="AJ7" s="1">
        <v>18978163.075293131</v>
      </c>
      <c r="AK7" s="1">
        <v>19164042.116797745</v>
      </c>
      <c r="AL7" s="1">
        <v>19340320.530754387</v>
      </c>
      <c r="AM7" s="1">
        <v>19508589.056881979</v>
      </c>
      <c r="AN7" s="1">
        <v>19643469.713733494</v>
      </c>
      <c r="AO7" s="1">
        <v>19545314.180691466</v>
      </c>
      <c r="AP7" s="1">
        <v>19418408.793791793</v>
      </c>
      <c r="AQ7" s="1">
        <v>19493218.564608164</v>
      </c>
      <c r="AR7" s="1">
        <v>19426110.010945421</v>
      </c>
      <c r="AS7" s="1">
        <v>19414751.627095107</v>
      </c>
      <c r="AT7" s="1">
        <v>19155743.797954381</v>
      </c>
      <c r="AU7" s="1">
        <v>19345736.31143555</v>
      </c>
      <c r="AV7" s="1">
        <v>19498112.314821988</v>
      </c>
      <c r="AW7" s="1">
        <v>19560020.780157462</v>
      </c>
      <c r="AX7" s="1">
        <v>19713297.504050478</v>
      </c>
      <c r="AY7" s="1">
        <v>19727453.035563037</v>
      </c>
      <c r="AZ7" s="1">
        <v>19814112.903501641</v>
      </c>
      <c r="BA7" s="1">
        <v>19496302.153943498</v>
      </c>
      <c r="BB7" s="1">
        <v>19396268.742614552</v>
      </c>
      <c r="BC7" s="1">
        <v>19302397.04308955</v>
      </c>
      <c r="BD7" s="1">
        <v>19030994.264359266</v>
      </c>
      <c r="BE7" s="1">
        <v>19017625.774985395</v>
      </c>
      <c r="BF7" s="1">
        <v>18852922.273873109</v>
      </c>
      <c r="BG7" s="1">
        <v>18660562.0807174</v>
      </c>
      <c r="BH7" s="1">
        <v>18342116.172150198</v>
      </c>
      <c r="BI7" s="1">
        <v>17955934.392100886</v>
      </c>
      <c r="BJ7" s="1">
        <v>18056977.926931895</v>
      </c>
      <c r="BK7" s="1">
        <v>17952526.21756063</v>
      </c>
      <c r="BL7" s="1">
        <v>17791818.397857793</v>
      </c>
      <c r="BM7" s="1">
        <v>17483151.495396771</v>
      </c>
      <c r="BN7" s="1">
        <v>17554891.450636536</v>
      </c>
      <c r="BO7" s="1">
        <v>17769785.802699052</v>
      </c>
      <c r="BP7" s="1">
        <v>17668004.812341526</v>
      </c>
      <c r="BQ7" s="1">
        <v>17532058.285224333</v>
      </c>
      <c r="BR7" s="1">
        <v>17595607.73917548</v>
      </c>
      <c r="BS7" s="1">
        <v>17418676.585661657</v>
      </c>
      <c r="BT7" s="1">
        <v>17473784.731931388</v>
      </c>
      <c r="BU7" s="1">
        <v>17600861.263267122</v>
      </c>
      <c r="BV7" s="1">
        <v>17871074.409901626</v>
      </c>
      <c r="BW7" s="1">
        <v>17784294.158459321</v>
      </c>
      <c r="BX7" s="1">
        <v>17802083.000911802</v>
      </c>
      <c r="BY7" s="1">
        <v>17635429.181875188</v>
      </c>
      <c r="BZ7" s="1">
        <v>17659444.096447628</v>
      </c>
      <c r="CA7" s="1">
        <v>17667919.59216499</v>
      </c>
      <c r="CB7" s="1">
        <v>17569855.258356348</v>
      </c>
      <c r="CC7" s="1">
        <v>17466225.047549017</v>
      </c>
      <c r="CD7" s="1">
        <v>17348678.310989819</v>
      </c>
      <c r="CE7" s="1">
        <v>17409649.761476114</v>
      </c>
      <c r="CF7" s="1">
        <v>17435140.843622763</v>
      </c>
      <c r="CG7" s="1">
        <v>17457411.104445051</v>
      </c>
      <c r="CH7" s="1">
        <v>17666653.70033206</v>
      </c>
      <c r="CI7" s="1">
        <v>17713355.963750735</v>
      </c>
      <c r="CJ7" s="1">
        <v>17501523.367461484</v>
      </c>
      <c r="CK7" s="1">
        <v>17561522.860117886</v>
      </c>
      <c r="CL7" s="1">
        <v>17573848.492667757</v>
      </c>
      <c r="CM7" s="1">
        <v>17513525.866564814</v>
      </c>
      <c r="CN7" s="1">
        <v>17327275.918508232</v>
      </c>
      <c r="CO7" s="1">
        <v>17310082.159002163</v>
      </c>
      <c r="CP7" s="1">
        <v>17113203.420372218</v>
      </c>
      <c r="CQ7" s="1">
        <v>17063402.995946746</v>
      </c>
      <c r="CR7" s="1">
        <v>16909779.47714017</v>
      </c>
      <c r="CS7" s="1">
        <v>16924367.58907317</v>
      </c>
      <c r="CT7" s="1">
        <v>17267964.681191735</v>
      </c>
      <c r="CU7" s="1">
        <v>17078210.179842114</v>
      </c>
      <c r="CV7" s="1">
        <v>17009390.455668446</v>
      </c>
      <c r="CW7" s="1">
        <v>16895912.793895163</v>
      </c>
      <c r="CX7" s="1">
        <v>16754950.315889722</v>
      </c>
      <c r="CY7" s="1">
        <v>16726514.128672386</v>
      </c>
      <c r="CZ7" s="1">
        <v>16803785.92608007</v>
      </c>
      <c r="DA7" s="1">
        <v>16539795.813753348</v>
      </c>
      <c r="DB7" s="1">
        <v>16396126.308248438</v>
      </c>
      <c r="DC7" s="1">
        <v>16305822.79564615</v>
      </c>
      <c r="DD7" s="1">
        <v>16295145.751995329</v>
      </c>
      <c r="DE7" s="1">
        <v>15938739.334091665</v>
      </c>
      <c r="DF7" s="1">
        <v>16145650.049618583</v>
      </c>
      <c r="DG7" s="1">
        <v>16283122.549475785</v>
      </c>
      <c r="DH7" s="1">
        <v>16319937.904627871</v>
      </c>
      <c r="DI7" s="1">
        <v>16219483.749899484</v>
      </c>
      <c r="DJ7" s="1">
        <v>16197303.232593093</v>
      </c>
      <c r="DK7" s="1">
        <v>16264833.352081519</v>
      </c>
      <c r="DL7" s="1">
        <v>16043197.721752545</v>
      </c>
      <c r="DM7" s="1">
        <v>15975393.459491294</v>
      </c>
      <c r="DN7" s="1">
        <v>15859404.806713074</v>
      </c>
      <c r="DO7" s="1">
        <v>15951538.058051493</v>
      </c>
      <c r="DP7" s="1">
        <v>16198706.93526658</v>
      </c>
      <c r="DQ7" s="1">
        <v>16301514.756922802</v>
      </c>
      <c r="DR7" s="1">
        <v>16644545.13678214</v>
      </c>
      <c r="DS7" s="1">
        <v>16593844.618446887</v>
      </c>
      <c r="DT7" s="1">
        <v>16668872.360189889</v>
      </c>
      <c r="DU7" s="1">
        <v>16577190.259737208</v>
      </c>
      <c r="DV7" s="1">
        <v>16703276.29608161</v>
      </c>
      <c r="DW7" s="1">
        <v>16782526.083517477</v>
      </c>
      <c r="DX7" s="1">
        <v>16645812.847837098</v>
      </c>
      <c r="DY7" s="1">
        <v>16633237.317598388</v>
      </c>
      <c r="DZ7" s="1">
        <v>16404331.824072435</v>
      </c>
      <c r="EA7" s="1">
        <v>16551517.661589228</v>
      </c>
      <c r="EB7" s="1">
        <v>16590253.654314624</v>
      </c>
      <c r="EC7" s="1">
        <v>16917867.431042958</v>
      </c>
      <c r="ED7" s="1">
        <v>17150536.207754325</v>
      </c>
      <c r="EE7" s="1">
        <v>17061575.957706422</v>
      </c>
      <c r="EF7" s="1">
        <v>17313189.061049812</v>
      </c>
      <c r="EG7" s="1">
        <v>17384450.7970322</v>
      </c>
      <c r="EH7" s="1">
        <v>17435151.616961077</v>
      </c>
      <c r="EI7" s="1">
        <v>17474402.755499057</v>
      </c>
      <c r="EJ7" s="1">
        <v>17229365.514004305</v>
      </c>
      <c r="EK7" s="1">
        <v>17283811.299510986</v>
      </c>
      <c r="EL7" s="1">
        <v>16937349.570367306</v>
      </c>
      <c r="EM7" s="1">
        <v>17121141.892804272</v>
      </c>
      <c r="EN7" s="1">
        <v>17277452.329236545</v>
      </c>
      <c r="EO7" s="1">
        <v>17452996.751224115</v>
      </c>
      <c r="EP7" s="1">
        <v>17726447.812912092</v>
      </c>
      <c r="EQ7" s="1">
        <v>17679911.163071625</v>
      </c>
      <c r="ER7" s="1">
        <v>17720409.813617498</v>
      </c>
      <c r="ES7" s="1">
        <v>17648078.645741846</v>
      </c>
      <c r="ET7" s="1">
        <v>17684048.388452426</v>
      </c>
      <c r="EU7" s="1">
        <v>17732514.9335909</v>
      </c>
      <c r="EV7" s="1">
        <v>17849387.786417849</v>
      </c>
      <c r="EW7" s="1">
        <v>17869452.883393105</v>
      </c>
      <c r="EX7" s="1">
        <v>17537422.631597675</v>
      </c>
      <c r="EY7" s="1">
        <v>17652441.656040054</v>
      </c>
      <c r="EZ7" s="1">
        <v>17976480.523768671</v>
      </c>
      <c r="FA7" s="1">
        <v>17962843.805036411</v>
      </c>
      <c r="FB7" s="1">
        <v>18181332.914468762</v>
      </c>
      <c r="FC7" s="1">
        <v>18294282.482450835</v>
      </c>
      <c r="FD7" s="1">
        <v>18390911.809191212</v>
      </c>
      <c r="FE7" s="1">
        <v>18369416.369415008</v>
      </c>
      <c r="FF7" s="1">
        <v>18509026.504867349</v>
      </c>
      <c r="FG7" s="1">
        <v>18575017.909845546</v>
      </c>
      <c r="FH7" s="1">
        <v>18511618.738363475</v>
      </c>
      <c r="FI7" s="1">
        <v>18429912.069136214</v>
      </c>
      <c r="FJ7" s="1">
        <v>18130612.746151514</v>
      </c>
      <c r="FK7" s="1">
        <v>18316814.214474835</v>
      </c>
      <c r="FL7" s="1">
        <v>18528428.684537932</v>
      </c>
      <c r="FM7" s="1">
        <v>18710939.319552548</v>
      </c>
      <c r="FN7" s="1">
        <v>18832328.883093271</v>
      </c>
      <c r="FO7" s="1">
        <v>18929086.325801041</v>
      </c>
      <c r="FP7" s="1">
        <v>19043636.039629065</v>
      </c>
      <c r="FQ7" s="1">
        <v>18858753.265559006</v>
      </c>
      <c r="FR7" s="1">
        <v>18893976.454245433</v>
      </c>
      <c r="FS7" s="1">
        <v>19072547.990295857</v>
      </c>
      <c r="FT7" s="1">
        <v>19045162.470463388</v>
      </c>
      <c r="FU7" s="1">
        <v>18956962.997632541</v>
      </c>
      <c r="FV7" s="1">
        <v>18673354.832132384</v>
      </c>
      <c r="FW7" s="1">
        <v>18809282.749791831</v>
      </c>
      <c r="FX7" s="1">
        <v>19147540.472974621</v>
      </c>
      <c r="FY7" s="1">
        <v>19141029.661522444</v>
      </c>
      <c r="FZ7" s="1">
        <v>19467625.642957594</v>
      </c>
      <c r="GA7" s="1">
        <v>19436663.036366373</v>
      </c>
      <c r="GB7" s="1">
        <v>19503857.301254679</v>
      </c>
      <c r="GC7" s="1">
        <v>19418827.501998682</v>
      </c>
      <c r="GD7" s="1">
        <v>19476848.273027603</v>
      </c>
      <c r="GE7" s="1">
        <v>19518889.668930754</v>
      </c>
      <c r="GF7" s="1">
        <v>19458394.851576798</v>
      </c>
      <c r="GG7" s="1">
        <v>19427117.445610031</v>
      </c>
      <c r="GH7" s="1">
        <v>19183700.598808751</v>
      </c>
      <c r="GI7" s="1">
        <v>19227665.892244041</v>
      </c>
      <c r="GJ7" s="1">
        <v>19431105.691686247</v>
      </c>
      <c r="GK7" s="1">
        <v>19556722.542398967</v>
      </c>
      <c r="GL7" s="1">
        <v>19700173.61530219</v>
      </c>
      <c r="GM7" s="1">
        <v>19664827.744972408</v>
      </c>
      <c r="GN7" s="1">
        <v>19853346.108081251</v>
      </c>
      <c r="GO7" s="1">
        <v>19163842.399073929</v>
      </c>
      <c r="GP7" s="1">
        <v>18192898.300190479</v>
      </c>
      <c r="GQ7" s="1">
        <v>18100135.043462113</v>
      </c>
      <c r="GR7" s="1">
        <v>18234977.142209284</v>
      </c>
      <c r="GS7" s="1">
        <v>18529505.933870777</v>
      </c>
      <c r="GT7" s="1">
        <v>18915704.297332294</v>
      </c>
      <c r="GU7" s="1">
        <v>18896165.999262922</v>
      </c>
      <c r="GV7" s="1">
        <v>18836456.614091441</v>
      </c>
      <c r="GW7" s="1">
        <v>19073290.23939614</v>
      </c>
      <c r="GX7" s="1">
        <v>18995222.051279388</v>
      </c>
      <c r="GY7" s="1">
        <v>18926320.495972879</v>
      </c>
      <c r="GZ7" s="1">
        <v>19133603.262000799</v>
      </c>
      <c r="HA7" s="1" t="str">
        <f t="shared" si="1"/>
        <v/>
      </c>
      <c r="HB7" s="1" t="str">
        <f t="shared" si="1"/>
        <v/>
      </c>
      <c r="HC7" s="1" t="str">
        <f t="shared" si="1"/>
        <v/>
      </c>
      <c r="HD7" s="1" t="str">
        <f t="shared" si="1"/>
        <v/>
      </c>
      <c r="HE7" s="1" t="str">
        <f t="shared" si="1"/>
        <v/>
      </c>
      <c r="HF7" s="1" t="str">
        <f t="shared" si="1"/>
        <v/>
      </c>
      <c r="HG7" s="1" t="str">
        <f t="shared" si="1"/>
        <v/>
      </c>
      <c r="HH7" s="1" t="str">
        <f t="shared" si="1"/>
        <v/>
      </c>
      <c r="HI7" s="1" t="str">
        <f t="shared" si="1"/>
        <v/>
      </c>
      <c r="HJ7" s="1" t="str">
        <f t="shared" si="1"/>
        <v/>
      </c>
      <c r="HK7" s="1" t="str">
        <f t="shared" si="1"/>
        <v/>
      </c>
      <c r="HL7" s="1" t="str">
        <f t="shared" si="1"/>
        <v/>
      </c>
      <c r="HM7" s="1" t="str">
        <f t="shared" si="1"/>
        <v/>
      </c>
      <c r="HN7" s="1" t="str">
        <f t="shared" si="1"/>
        <v/>
      </c>
      <c r="HO7" s="1" t="str">
        <f t="shared" si="1"/>
        <v/>
      </c>
      <c r="HP7" s="1" t="str">
        <f t="shared" si="1"/>
        <v/>
      </c>
      <c r="HQ7" s="1" t="str">
        <f t="shared" si="1"/>
        <v/>
      </c>
      <c r="HR7" s="1" t="str">
        <f t="shared" si="1"/>
        <v/>
      </c>
      <c r="HS7" s="1" t="str">
        <f t="shared" si="1"/>
        <v/>
      </c>
      <c r="HT7" s="1" t="str">
        <f t="shared" si="1"/>
        <v/>
      </c>
      <c r="HU7" s="1" t="str">
        <f t="shared" si="1"/>
        <v/>
      </c>
      <c r="HV7" s="1" t="str">
        <f t="shared" si="1"/>
        <v/>
      </c>
      <c r="HW7" s="1" t="str">
        <f t="shared" si="1"/>
        <v/>
      </c>
      <c r="HX7" s="1" t="str">
        <f t="shared" si="1"/>
        <v/>
      </c>
      <c r="HY7" s="1" t="str">
        <f t="shared" si="1"/>
        <v/>
      </c>
      <c r="HZ7" s="1" t="str">
        <f t="shared" si="1"/>
        <v/>
      </c>
      <c r="IA7" s="1" t="str">
        <f t="shared" si="1"/>
        <v/>
      </c>
      <c r="IB7" s="1" t="str">
        <f t="shared" si="1"/>
        <v/>
      </c>
      <c r="IC7" s="1" t="str">
        <f t="shared" si="1"/>
        <v/>
      </c>
      <c r="ID7" s="1" t="str">
        <f t="shared" si="1"/>
        <v/>
      </c>
      <c r="IE7" s="1" t="str">
        <f t="shared" si="1"/>
        <v/>
      </c>
      <c r="IF7" s="1" t="str">
        <f t="shared" si="1"/>
        <v/>
      </c>
      <c r="IG7" s="1" t="str">
        <f t="shared" si="1"/>
        <v/>
      </c>
      <c r="IH7" s="1" t="str">
        <f t="shared" si="1"/>
        <v/>
      </c>
      <c r="II7" s="1" t="str">
        <f t="shared" si="1"/>
        <v/>
      </c>
      <c r="IJ7" s="1" t="str">
        <f t="shared" si="1"/>
        <v/>
      </c>
      <c r="IK7" s="1" t="str">
        <f t="shared" si="1"/>
        <v/>
      </c>
      <c r="IL7" s="1" t="str">
        <f t="shared" si="1"/>
        <v/>
      </c>
      <c r="IM7" s="1" t="str">
        <f t="shared" si="1"/>
        <v/>
      </c>
      <c r="IN7" s="1" t="str">
        <f t="shared" si="1"/>
        <v/>
      </c>
      <c r="IO7" s="1" t="str">
        <f t="shared" si="1"/>
        <v/>
      </c>
      <c r="IP7" s="1" t="str">
        <f t="shared" si="1"/>
        <v/>
      </c>
      <c r="IQ7" s="1" t="str">
        <f t="shared" si="1"/>
        <v/>
      </c>
      <c r="IR7" s="1" t="str">
        <f t="shared" si="1"/>
        <v/>
      </c>
      <c r="IS7" s="1" t="str">
        <f t="shared" si="1"/>
        <v/>
      </c>
      <c r="IT7" s="1" t="str">
        <f t="shared" si="1"/>
        <v/>
      </c>
      <c r="IU7" s="1" t="str">
        <f t="shared" si="1"/>
        <v/>
      </c>
      <c r="IV7" s="1" t="str">
        <f t="shared" si="1"/>
        <v/>
      </c>
      <c r="IW7" s="1" t="str">
        <f t="shared" si="1"/>
        <v/>
      </c>
      <c r="IX7" s="1" t="str">
        <f t="shared" si="1"/>
        <v/>
      </c>
      <c r="IY7" s="1" t="str">
        <f t="shared" si="1"/>
        <v/>
      </c>
      <c r="IZ7" s="1" t="str">
        <f t="shared" si="1"/>
        <v/>
      </c>
      <c r="JA7" s="1" t="str">
        <f t="shared" si="1"/>
        <v/>
      </c>
      <c r="JB7" s="1" t="str">
        <f t="shared" si="1"/>
        <v/>
      </c>
      <c r="JC7" s="1" t="str">
        <f t="shared" si="1"/>
        <v/>
      </c>
      <c r="JD7" s="1" t="str">
        <f t="shared" si="1"/>
        <v/>
      </c>
      <c r="JE7" s="1" t="str">
        <f t="shared" si="1"/>
        <v/>
      </c>
      <c r="JF7" s="1" t="str">
        <f t="shared" si="1"/>
        <v/>
      </c>
      <c r="JG7" s="1" t="str">
        <f t="shared" si="1"/>
        <v/>
      </c>
      <c r="JH7" s="1" t="str">
        <f t="shared" si="1"/>
        <v/>
      </c>
      <c r="LY7" s="1"/>
    </row>
    <row r="8" spans="1:337" x14ac:dyDescent="0.25">
      <c r="A8" s="5">
        <v>6</v>
      </c>
      <c r="B8" s="1">
        <v>17244670.323800191</v>
      </c>
      <c r="C8" s="1">
        <v>17389429.31038174</v>
      </c>
      <c r="D8" s="1">
        <v>17290729.22996591</v>
      </c>
      <c r="E8" s="1">
        <v>17274266.988460768</v>
      </c>
      <c r="F8" s="1">
        <v>17305468.577703647</v>
      </c>
      <c r="G8" s="1">
        <v>17344045.278058577</v>
      </c>
      <c r="H8" s="1">
        <v>17353093.750623778</v>
      </c>
      <c r="I8" s="1">
        <v>17158378.378272783</v>
      </c>
      <c r="J8" s="1">
        <v>17270203.929028437</v>
      </c>
      <c r="K8" s="1">
        <v>17402121.506253153</v>
      </c>
      <c r="L8" s="1">
        <v>17524036.528524674</v>
      </c>
      <c r="M8" s="1">
        <v>17679040.860345986</v>
      </c>
      <c r="N8" s="1">
        <v>17765537.282904953</v>
      </c>
      <c r="O8" s="1">
        <v>17920694.564990066</v>
      </c>
      <c r="P8" s="1">
        <v>17791184.044349007</v>
      </c>
      <c r="Q8" s="1">
        <v>17765716.114099003</v>
      </c>
      <c r="R8" s="1">
        <v>17858355.811832819</v>
      </c>
      <c r="S8" s="1">
        <v>17954002.582468443</v>
      </c>
      <c r="T8" s="1">
        <v>18112054.700907886</v>
      </c>
      <c r="U8" s="1">
        <v>18095886.594679549</v>
      </c>
      <c r="V8" s="1">
        <v>18415537.335010879</v>
      </c>
      <c r="W8" s="1">
        <v>18594661.083305269</v>
      </c>
      <c r="X8" s="1">
        <v>18681504.060585029</v>
      </c>
      <c r="Y8" s="1">
        <v>18793095.47528965</v>
      </c>
      <c r="Z8" s="1">
        <v>18956221.379033394</v>
      </c>
      <c r="AA8" s="1">
        <v>19156807.998851366</v>
      </c>
      <c r="AB8" s="1">
        <v>18954208.008300975</v>
      </c>
      <c r="AC8" s="1">
        <v>19066135.135893591</v>
      </c>
      <c r="AD8" s="1">
        <v>19083507.950281188</v>
      </c>
      <c r="AE8" s="1">
        <v>19038226.427338157</v>
      </c>
      <c r="AF8" s="1">
        <v>18918880.877822325</v>
      </c>
      <c r="AG8" s="1">
        <v>18721898.329911571</v>
      </c>
      <c r="AH8" s="1">
        <v>18689366.356379665</v>
      </c>
      <c r="AI8" s="1">
        <v>18963546.369715586</v>
      </c>
      <c r="AJ8" s="1">
        <v>19104201.028525464</v>
      </c>
      <c r="AK8" s="1">
        <v>19341483.140258323</v>
      </c>
      <c r="AL8" s="1">
        <v>19476124.82578104</v>
      </c>
      <c r="AM8" s="1">
        <v>19681807.796213645</v>
      </c>
      <c r="AN8" s="1">
        <v>19501939.907511257</v>
      </c>
      <c r="AO8" s="1">
        <v>19554288.089012511</v>
      </c>
      <c r="AP8" s="1">
        <v>19491021.069825917</v>
      </c>
      <c r="AQ8" s="1">
        <v>19536108.859045874</v>
      </c>
      <c r="AR8" s="1">
        <v>19419298.578976426</v>
      </c>
      <c r="AS8" s="1">
        <v>19247435.916069336</v>
      </c>
      <c r="AT8" s="1">
        <v>19292278.899232261</v>
      </c>
      <c r="AU8" s="1">
        <v>19466176.807859201</v>
      </c>
      <c r="AV8" s="1">
        <v>19605284.143656254</v>
      </c>
      <c r="AW8" s="1">
        <v>19719556.331395693</v>
      </c>
      <c r="AX8" s="1">
        <v>19808807.651718754</v>
      </c>
      <c r="AY8" s="1">
        <v>19867115.48523026</v>
      </c>
      <c r="AZ8" s="1">
        <v>19633180.759339899</v>
      </c>
      <c r="BA8" s="1">
        <v>19489677.440953329</v>
      </c>
      <c r="BB8" s="1">
        <v>19460121.154091742</v>
      </c>
      <c r="BC8" s="1">
        <v>19315666.497222535</v>
      </c>
      <c r="BD8" s="1">
        <v>18979028.201279938</v>
      </c>
      <c r="BE8" s="1">
        <v>18786897.975713909</v>
      </c>
      <c r="BF8" s="1">
        <v>18935126.661347065</v>
      </c>
      <c r="BG8" s="1">
        <v>18700231.523115434</v>
      </c>
      <c r="BH8" s="1">
        <v>18322735.533532485</v>
      </c>
      <c r="BI8" s="1">
        <v>17920224.985833105</v>
      </c>
      <c r="BJ8" s="1">
        <v>17980407.041460574</v>
      </c>
      <c r="BK8" s="1">
        <v>17937149.463613972</v>
      </c>
      <c r="BL8" s="1">
        <v>17472599.414452478</v>
      </c>
      <c r="BM8" s="1">
        <v>17295951.75750792</v>
      </c>
      <c r="BN8" s="1">
        <v>17486223.720454998</v>
      </c>
      <c r="BO8" s="1">
        <v>17650222.541407626</v>
      </c>
      <c r="BP8" s="1">
        <v>17545793.822947152</v>
      </c>
      <c r="BQ8" s="1">
        <v>17243203.555462435</v>
      </c>
      <c r="BR8" s="1">
        <v>17622140.420056332</v>
      </c>
      <c r="BS8" s="1">
        <v>17432129.889996484</v>
      </c>
      <c r="BT8" s="1">
        <v>17501351.628046542</v>
      </c>
      <c r="BU8" s="1">
        <v>17676512.114813574</v>
      </c>
      <c r="BV8" s="1">
        <v>17925392.979314119</v>
      </c>
      <c r="BW8" s="1">
        <v>17860639.35545443</v>
      </c>
      <c r="BX8" s="1">
        <v>17638961.253115091</v>
      </c>
      <c r="BY8" s="1">
        <v>17545789.399332725</v>
      </c>
      <c r="BZ8" s="1">
        <v>17658505.665570769</v>
      </c>
      <c r="CA8" s="1">
        <v>17603529.143693063</v>
      </c>
      <c r="CB8" s="1">
        <v>17506092.379384395</v>
      </c>
      <c r="CC8" s="1">
        <v>17215675.773983717</v>
      </c>
      <c r="CD8" s="1">
        <v>17417361.088656519</v>
      </c>
      <c r="CE8" s="1">
        <v>17457830.239457007</v>
      </c>
      <c r="CF8" s="1">
        <v>17491735.276832614</v>
      </c>
      <c r="CG8" s="1">
        <v>17560148.276743457</v>
      </c>
      <c r="CH8" s="1">
        <v>17705893.995022405</v>
      </c>
      <c r="CI8" s="1">
        <v>17798677.900095768</v>
      </c>
      <c r="CJ8" s="1">
        <v>17334007.781630255</v>
      </c>
      <c r="CK8" s="1">
        <v>17511058.896103851</v>
      </c>
      <c r="CL8" s="1">
        <v>17585786.045255002</v>
      </c>
      <c r="CM8" s="1">
        <v>17466046.868042458</v>
      </c>
      <c r="CN8" s="1">
        <v>17270884.991237082</v>
      </c>
      <c r="CO8" s="1">
        <v>17071884.674995609</v>
      </c>
      <c r="CP8" s="1">
        <v>17106454.722609952</v>
      </c>
      <c r="CQ8" s="1">
        <v>17090382.905201383</v>
      </c>
      <c r="CR8" s="1">
        <v>16945788.288161367</v>
      </c>
      <c r="CS8" s="1">
        <v>17018491.541252676</v>
      </c>
      <c r="CT8" s="1">
        <v>17273796.051766485</v>
      </c>
      <c r="CU8" s="1">
        <v>17098350.208532669</v>
      </c>
      <c r="CV8" s="1">
        <v>16856887.8625159</v>
      </c>
      <c r="CW8" s="1">
        <v>16819680.781991098</v>
      </c>
      <c r="CX8" s="1">
        <v>16673050.609084444</v>
      </c>
      <c r="CY8" s="1">
        <v>16614443.932493296</v>
      </c>
      <c r="CZ8" s="1">
        <v>16769379.275862891</v>
      </c>
      <c r="DA8" s="1">
        <v>16274717.307786973</v>
      </c>
      <c r="DB8" s="1">
        <v>16355084.63041427</v>
      </c>
      <c r="DC8" s="1">
        <v>16310879.884700621</v>
      </c>
      <c r="DD8" s="1">
        <v>16319344.806600714</v>
      </c>
      <c r="DE8" s="1">
        <v>15989484.018644042</v>
      </c>
      <c r="DF8" s="1">
        <v>16143553.703594612</v>
      </c>
      <c r="DG8" s="1">
        <v>16299699.882486437</v>
      </c>
      <c r="DH8" s="1">
        <v>16167098.873128027</v>
      </c>
      <c r="DI8" s="1">
        <v>16149783.59758072</v>
      </c>
      <c r="DJ8" s="1">
        <v>16136551.461861975</v>
      </c>
      <c r="DK8" s="1">
        <v>16104418.171666816</v>
      </c>
      <c r="DL8" s="1">
        <v>15968422.623482542</v>
      </c>
      <c r="DM8" s="1">
        <v>15720480.146968396</v>
      </c>
      <c r="DN8" s="1">
        <v>15862681.548856413</v>
      </c>
      <c r="DO8" s="1">
        <v>16005413.63441753</v>
      </c>
      <c r="DP8" s="1">
        <v>16280471.585006692</v>
      </c>
      <c r="DQ8" s="1">
        <v>16427878.541716766</v>
      </c>
      <c r="DR8" s="1">
        <v>16727928.262824476</v>
      </c>
      <c r="DS8" s="1">
        <v>16670120.330951037</v>
      </c>
      <c r="DT8" s="1">
        <v>16567410.991167139</v>
      </c>
      <c r="DU8" s="1">
        <v>16559215.210891176</v>
      </c>
      <c r="DV8" s="1">
        <v>16746821.219843622</v>
      </c>
      <c r="DW8" s="1">
        <v>16709568.844078809</v>
      </c>
      <c r="DX8" s="1">
        <v>16618653.573390735</v>
      </c>
      <c r="DY8" s="1">
        <v>16450189.1485686</v>
      </c>
      <c r="DZ8" s="1">
        <v>16453731.344067877</v>
      </c>
      <c r="EA8" s="1">
        <v>16635078.155270256</v>
      </c>
      <c r="EB8" s="1">
        <v>16688439.803376172</v>
      </c>
      <c r="EC8" s="1">
        <v>17110173.519968193</v>
      </c>
      <c r="ED8" s="1">
        <v>17236113.192118552</v>
      </c>
      <c r="EE8" s="1">
        <v>17136959.978516281</v>
      </c>
      <c r="EF8" s="1">
        <v>17229613.732853472</v>
      </c>
      <c r="EG8" s="1">
        <v>17415820.01545196</v>
      </c>
      <c r="EH8" s="1">
        <v>17497058.911427025</v>
      </c>
      <c r="EI8" s="1">
        <v>17460909.377240539</v>
      </c>
      <c r="EJ8" s="1">
        <v>17270214.271177292</v>
      </c>
      <c r="EK8" s="1">
        <v>17080236.515278839</v>
      </c>
      <c r="EL8" s="1">
        <v>16999625.507625617</v>
      </c>
      <c r="EM8" s="1">
        <v>17237424.497164026</v>
      </c>
      <c r="EN8" s="1">
        <v>17417975.93983832</v>
      </c>
      <c r="EO8" s="1">
        <v>17644604.152756527</v>
      </c>
      <c r="EP8" s="1">
        <v>17788985.809767794</v>
      </c>
      <c r="EQ8" s="1">
        <v>17764752.03404437</v>
      </c>
      <c r="ER8" s="1">
        <v>17601038.215492621</v>
      </c>
      <c r="ES8" s="1">
        <v>17655236.307224952</v>
      </c>
      <c r="ET8" s="1">
        <v>17694497.116227131</v>
      </c>
      <c r="EU8" s="1">
        <v>17720896.622196205</v>
      </c>
      <c r="EV8" s="1">
        <v>17915697.826159135</v>
      </c>
      <c r="EW8" s="1">
        <v>17700573.481151946</v>
      </c>
      <c r="EX8" s="1">
        <v>17608753.049199313</v>
      </c>
      <c r="EY8" s="1">
        <v>17765341.021573111</v>
      </c>
      <c r="EZ8" s="1">
        <v>18133032.589248866</v>
      </c>
      <c r="FA8" s="1">
        <v>18144481.220044564</v>
      </c>
      <c r="FB8" s="1">
        <v>18259685.736890398</v>
      </c>
      <c r="FC8" s="1">
        <v>18390038.715548575</v>
      </c>
      <c r="FD8" s="1">
        <v>18276853.036683097</v>
      </c>
      <c r="FE8" s="1">
        <v>18387636.347950533</v>
      </c>
      <c r="FF8" s="1">
        <v>18606571.69524119</v>
      </c>
      <c r="FG8" s="1">
        <v>18562550.944061413</v>
      </c>
      <c r="FH8" s="1">
        <v>18544959.170078255</v>
      </c>
      <c r="FI8" s="1">
        <v>18238417.628575291</v>
      </c>
      <c r="FJ8" s="1">
        <v>18201241.666212372</v>
      </c>
      <c r="FK8" s="1">
        <v>18445360.630372416</v>
      </c>
      <c r="FL8" s="1">
        <v>18702541.407834806</v>
      </c>
      <c r="FM8" s="1">
        <v>18917658.510116316</v>
      </c>
      <c r="FN8" s="1">
        <v>18913533.983956426</v>
      </c>
      <c r="FO8" s="1">
        <v>19013181.344959892</v>
      </c>
      <c r="FP8" s="1">
        <v>18907269.213590428</v>
      </c>
      <c r="FQ8" s="1">
        <v>18870698.562037051</v>
      </c>
      <c r="FR8" s="1">
        <v>18924695.000657935</v>
      </c>
      <c r="FS8" s="1">
        <v>19051983.185960181</v>
      </c>
      <c r="FT8" s="1">
        <v>19084957.097102452</v>
      </c>
      <c r="FU8" s="1">
        <v>18762314.922191076</v>
      </c>
      <c r="FV8" s="1">
        <v>18732278.307101518</v>
      </c>
      <c r="FW8" s="1">
        <v>18925865.50559853</v>
      </c>
      <c r="FX8" s="1">
        <v>19324549.572793216</v>
      </c>
      <c r="FY8" s="1">
        <v>19345813.578052886</v>
      </c>
      <c r="FZ8" s="1">
        <v>19570651.819498815</v>
      </c>
      <c r="GA8" s="1">
        <v>19504590.936312072</v>
      </c>
      <c r="GB8" s="1">
        <v>19341896.149093278</v>
      </c>
      <c r="GC8" s="1">
        <v>19438496.919576921</v>
      </c>
      <c r="GD8" s="1">
        <v>19560734.770635486</v>
      </c>
      <c r="GE8" s="1">
        <v>19480559.137937274</v>
      </c>
      <c r="GF8" s="1">
        <v>19515607.402975492</v>
      </c>
      <c r="GG8" s="1">
        <v>19215608.163771845</v>
      </c>
      <c r="GH8" s="1">
        <v>19218284.387722179</v>
      </c>
      <c r="GI8" s="1">
        <v>19340917.819998275</v>
      </c>
      <c r="GJ8" s="1">
        <v>19608139.478373192</v>
      </c>
      <c r="GK8" s="1">
        <v>19751558.855184846</v>
      </c>
      <c r="GL8" s="1">
        <v>19771894.337101325</v>
      </c>
      <c r="GM8" s="1">
        <v>19694509.835248522</v>
      </c>
      <c r="GN8" s="1">
        <v>19669694.83861874</v>
      </c>
      <c r="GO8" s="1">
        <v>19097651.435583711</v>
      </c>
      <c r="GP8" s="1">
        <v>18075758.137197919</v>
      </c>
      <c r="GQ8" s="1">
        <v>17972778.647633046</v>
      </c>
      <c r="GR8" s="1">
        <v>18202957.340147607</v>
      </c>
      <c r="GS8" s="1">
        <v>18328418.554768126</v>
      </c>
      <c r="GT8" s="1">
        <v>19002217.120954961</v>
      </c>
      <c r="GU8" s="1">
        <v>18910661.877196208</v>
      </c>
      <c r="GV8" s="1">
        <v>18893662.29683347</v>
      </c>
      <c r="GW8" s="1">
        <v>19229967.897081845</v>
      </c>
      <c r="GX8" s="1">
        <v>19052496.36559312</v>
      </c>
      <c r="GY8" s="1">
        <v>19040858.121322297</v>
      </c>
      <c r="GZ8" s="1">
        <v>19047736.096853599</v>
      </c>
      <c r="HA8" s="1" t="str">
        <f t="shared" si="1"/>
        <v/>
      </c>
      <c r="HB8" s="1" t="str">
        <f t="shared" si="1"/>
        <v/>
      </c>
      <c r="HC8" s="1" t="str">
        <f t="shared" si="1"/>
        <v/>
      </c>
      <c r="HD8" s="1" t="str">
        <f t="shared" si="1"/>
        <v/>
      </c>
      <c r="HE8" s="1" t="str">
        <f t="shared" si="1"/>
        <v/>
      </c>
      <c r="HF8" s="1" t="str">
        <f t="shared" si="1"/>
        <v/>
      </c>
      <c r="HG8" s="1" t="str">
        <f t="shared" si="1"/>
        <v/>
      </c>
      <c r="HH8" s="1" t="str">
        <f t="shared" si="1"/>
        <v/>
      </c>
      <c r="HI8" s="1" t="str">
        <f t="shared" si="1"/>
        <v/>
      </c>
      <c r="HJ8" s="1" t="str">
        <f t="shared" si="1"/>
        <v/>
      </c>
      <c r="HK8" s="1" t="str">
        <f t="shared" si="1"/>
        <v/>
      </c>
      <c r="HL8" s="1" t="str">
        <f t="shared" si="1"/>
        <v/>
      </c>
      <c r="HM8" s="1" t="str">
        <f t="shared" si="1"/>
        <v/>
      </c>
      <c r="HN8" s="1" t="str">
        <f t="shared" si="1"/>
        <v/>
      </c>
      <c r="HO8" s="1" t="str">
        <f t="shared" si="1"/>
        <v/>
      </c>
      <c r="HP8" s="1" t="str">
        <f t="shared" si="1"/>
        <v/>
      </c>
      <c r="HQ8" s="1" t="str">
        <f t="shared" si="1"/>
        <v/>
      </c>
      <c r="HR8" s="1" t="str">
        <f t="shared" si="1"/>
        <v/>
      </c>
      <c r="HS8" s="1" t="str">
        <f t="shared" si="1"/>
        <v/>
      </c>
      <c r="HT8" s="1" t="str">
        <f t="shared" si="1"/>
        <v/>
      </c>
      <c r="HU8" s="1" t="str">
        <f t="shared" si="1"/>
        <v/>
      </c>
      <c r="HV8" s="1" t="str">
        <f t="shared" si="1"/>
        <v/>
      </c>
      <c r="HW8" s="1" t="str">
        <f t="shared" si="1"/>
        <v/>
      </c>
      <c r="HX8" s="1" t="str">
        <f t="shared" si="1"/>
        <v/>
      </c>
      <c r="HY8" s="1" t="str">
        <f t="shared" si="1"/>
        <v/>
      </c>
      <c r="HZ8" s="1" t="str">
        <f t="shared" si="1"/>
        <v/>
      </c>
      <c r="IA8" s="1" t="str">
        <f t="shared" si="1"/>
        <v/>
      </c>
      <c r="IB8" s="1" t="str">
        <f t="shared" si="1"/>
        <v/>
      </c>
      <c r="IC8" s="1" t="str">
        <f t="shared" si="1"/>
        <v/>
      </c>
      <c r="ID8" s="1" t="str">
        <f t="shared" si="1"/>
        <v/>
      </c>
      <c r="IE8" s="1" t="str">
        <f t="shared" si="1"/>
        <v/>
      </c>
      <c r="IF8" s="1" t="str">
        <f t="shared" si="1"/>
        <v/>
      </c>
      <c r="IG8" s="1" t="str">
        <f t="shared" si="1"/>
        <v/>
      </c>
      <c r="IH8" s="1" t="str">
        <f t="shared" si="1"/>
        <v/>
      </c>
      <c r="II8" s="1" t="str">
        <f t="shared" si="1"/>
        <v/>
      </c>
      <c r="IJ8" s="1" t="str">
        <f t="shared" si="1"/>
        <v/>
      </c>
      <c r="IK8" s="1" t="str">
        <f t="shared" si="1"/>
        <v/>
      </c>
      <c r="IL8" s="1" t="str">
        <f t="shared" si="1"/>
        <v/>
      </c>
      <c r="IM8" s="1" t="str">
        <f t="shared" si="1"/>
        <v/>
      </c>
      <c r="IN8" s="1" t="str">
        <f t="shared" si="1"/>
        <v/>
      </c>
      <c r="IO8" s="1" t="str">
        <f t="shared" si="1"/>
        <v/>
      </c>
      <c r="IP8" s="1" t="str">
        <f t="shared" si="1"/>
        <v/>
      </c>
      <c r="IQ8" s="1" t="str">
        <f t="shared" si="1"/>
        <v/>
      </c>
      <c r="IR8" s="1" t="str">
        <f t="shared" si="1"/>
        <v/>
      </c>
      <c r="IS8" s="1" t="str">
        <f t="shared" si="1"/>
        <v/>
      </c>
      <c r="IT8" s="1" t="str">
        <f t="shared" si="1"/>
        <v/>
      </c>
      <c r="IU8" s="1" t="str">
        <f t="shared" si="1"/>
        <v/>
      </c>
      <c r="IV8" s="1" t="str">
        <f t="shared" si="1"/>
        <v/>
      </c>
      <c r="IW8" s="1" t="str">
        <f t="shared" si="1"/>
        <v/>
      </c>
      <c r="IX8" s="1" t="str">
        <f t="shared" si="1"/>
        <v/>
      </c>
      <c r="IY8" s="1" t="str">
        <f t="shared" si="1"/>
        <v/>
      </c>
      <c r="IZ8" s="1" t="str">
        <f t="shared" si="1"/>
        <v/>
      </c>
      <c r="JA8" s="1" t="str">
        <f t="shared" si="1"/>
        <v/>
      </c>
      <c r="JB8" s="1" t="str">
        <f t="shared" si="1"/>
        <v/>
      </c>
      <c r="JC8" s="1" t="str">
        <f t="shared" si="1"/>
        <v/>
      </c>
      <c r="JD8" s="1" t="str">
        <f t="shared" si="1"/>
        <v/>
      </c>
      <c r="JE8" s="1" t="str">
        <f t="shared" si="1"/>
        <v/>
      </c>
      <c r="JF8" s="1" t="str">
        <f t="shared" si="1"/>
        <v/>
      </c>
      <c r="JG8" s="1" t="str">
        <f t="shared" si="1"/>
        <v/>
      </c>
      <c r="JH8" s="1" t="str">
        <f t="shared" si="1"/>
        <v/>
      </c>
      <c r="LY8" s="1"/>
    </row>
    <row r="9" spans="1:337" x14ac:dyDescent="0.25">
      <c r="A9" s="4">
        <v>7</v>
      </c>
      <c r="B9" s="1">
        <v>17393714.297772858</v>
      </c>
      <c r="C9" s="1">
        <v>17270881.157956153</v>
      </c>
      <c r="D9" s="1">
        <v>17266996.092547208</v>
      </c>
      <c r="E9" s="1">
        <v>17321581.746210717</v>
      </c>
      <c r="F9" s="1">
        <v>17338024.864256006</v>
      </c>
      <c r="G9" s="1">
        <v>17348102.598544899</v>
      </c>
      <c r="H9" s="1">
        <v>17175928.297152586</v>
      </c>
      <c r="I9" s="1">
        <v>17304275.607361749</v>
      </c>
      <c r="J9" s="1">
        <v>17387362.385240432</v>
      </c>
      <c r="K9" s="1">
        <v>17501861.83518979</v>
      </c>
      <c r="L9" s="1">
        <v>17672625.049304705</v>
      </c>
      <c r="M9" s="1">
        <v>17768887.98692175</v>
      </c>
      <c r="N9" s="1">
        <v>17907772.668631472</v>
      </c>
      <c r="O9" s="1">
        <v>17796358.687972762</v>
      </c>
      <c r="P9" s="1">
        <v>17770525.25560569</v>
      </c>
      <c r="Q9" s="1">
        <v>17820097.542378381</v>
      </c>
      <c r="R9" s="1">
        <v>17888505.003521241</v>
      </c>
      <c r="S9" s="1">
        <v>17950839.130108654</v>
      </c>
      <c r="T9" s="1">
        <v>17939423.106553607</v>
      </c>
      <c r="U9" s="1">
        <v>18258515.991420832</v>
      </c>
      <c r="V9" s="1">
        <v>18573823.027956311</v>
      </c>
      <c r="W9" s="1">
        <v>18742301.801814623</v>
      </c>
      <c r="X9" s="1">
        <v>18882545.029290546</v>
      </c>
      <c r="Y9" s="1">
        <v>18952586.525156386</v>
      </c>
      <c r="Z9" s="1">
        <v>19153713.191578414</v>
      </c>
      <c r="AA9" s="1">
        <v>19045230.145363905</v>
      </c>
      <c r="AB9" s="1">
        <v>18953836.234417681</v>
      </c>
      <c r="AC9" s="1">
        <v>19153235.496574678</v>
      </c>
      <c r="AD9" s="1">
        <v>19118934.632382408</v>
      </c>
      <c r="AE9" s="1">
        <v>19033522.037822139</v>
      </c>
      <c r="AF9" s="1">
        <v>18741632.156570543</v>
      </c>
      <c r="AG9" s="1">
        <v>18861535.048406273</v>
      </c>
      <c r="AH9" s="1">
        <v>18804432.362166367</v>
      </c>
      <c r="AI9" s="1">
        <v>19080381.015501175</v>
      </c>
      <c r="AJ9" s="1">
        <v>19289092.181989513</v>
      </c>
      <c r="AK9" s="1">
        <v>19481626.643749125</v>
      </c>
      <c r="AL9" s="1">
        <v>19640752.942534078</v>
      </c>
      <c r="AM9" s="1">
        <v>19562857.960476853</v>
      </c>
      <c r="AN9" s="1">
        <v>19512773.658632345</v>
      </c>
      <c r="AO9" s="1">
        <v>19641295.699536048</v>
      </c>
      <c r="AP9" s="1">
        <v>19530616.824741907</v>
      </c>
      <c r="AQ9" s="1">
        <v>19531771.848094162</v>
      </c>
      <c r="AR9" s="1">
        <v>19258688.368291199</v>
      </c>
      <c r="AS9" s="1">
        <v>19382945.8594715</v>
      </c>
      <c r="AT9" s="1">
        <v>19409370.974599816</v>
      </c>
      <c r="AU9" s="1">
        <v>19563223.866277549</v>
      </c>
      <c r="AV9" s="1">
        <v>19764457.099359095</v>
      </c>
      <c r="AW9" s="1">
        <v>19820834.590315614</v>
      </c>
      <c r="AX9" s="1">
        <v>19941154.505536214</v>
      </c>
      <c r="AY9" s="1">
        <v>19679362.898803882</v>
      </c>
      <c r="AZ9" s="1">
        <v>19630235.048227601</v>
      </c>
      <c r="BA9" s="1">
        <v>19568053.388055392</v>
      </c>
      <c r="BB9" s="1">
        <v>19472529.622264646</v>
      </c>
      <c r="BC9" s="1">
        <v>19288072.066763766</v>
      </c>
      <c r="BD9" s="1">
        <v>18755269.057811894</v>
      </c>
      <c r="BE9" s="1">
        <v>18862443.902593061</v>
      </c>
      <c r="BF9" s="1">
        <v>18989613.177715387</v>
      </c>
      <c r="BG9" s="1">
        <v>18731522.95843583</v>
      </c>
      <c r="BH9" s="1">
        <v>18350098.419983335</v>
      </c>
      <c r="BI9" s="1">
        <v>17820331.384286739</v>
      </c>
      <c r="BJ9" s="1">
        <v>17957005.45945365</v>
      </c>
      <c r="BK9" s="1">
        <v>17637092.976065531</v>
      </c>
      <c r="BL9" s="1">
        <v>17302414.197470985</v>
      </c>
      <c r="BM9" s="1">
        <v>17163084.917060398</v>
      </c>
      <c r="BN9" s="1">
        <v>17372075.999150284</v>
      </c>
      <c r="BO9" s="1">
        <v>17517028.207244195</v>
      </c>
      <c r="BP9" s="1">
        <v>17252219.486075312</v>
      </c>
      <c r="BQ9" s="1">
        <v>17265337.411319923</v>
      </c>
      <c r="BR9" s="1">
        <v>17646030.83113062</v>
      </c>
      <c r="BS9" s="1">
        <v>17448664.334904879</v>
      </c>
      <c r="BT9" s="1">
        <v>17595163.478450879</v>
      </c>
      <c r="BU9" s="1">
        <v>17719406.989641905</v>
      </c>
      <c r="BV9" s="1">
        <v>18009281.172685016</v>
      </c>
      <c r="BW9" s="1">
        <v>17664289.816917971</v>
      </c>
      <c r="BX9" s="1">
        <v>17557618.159334049</v>
      </c>
      <c r="BY9" s="1">
        <v>17532965.606322125</v>
      </c>
      <c r="BZ9" s="1">
        <v>17609219.609252814</v>
      </c>
      <c r="CA9" s="1">
        <v>17518974.894183896</v>
      </c>
      <c r="CB9" s="1">
        <v>17259762.718099616</v>
      </c>
      <c r="CC9" s="1">
        <v>17254880.019066602</v>
      </c>
      <c r="CD9" s="1">
        <v>17469137.841166496</v>
      </c>
      <c r="CE9" s="1">
        <v>17518156.076723531</v>
      </c>
      <c r="CF9" s="1">
        <v>17604877.960018523</v>
      </c>
      <c r="CG9" s="1">
        <v>17600623.761103094</v>
      </c>
      <c r="CH9" s="1">
        <v>17793438.366344705</v>
      </c>
      <c r="CI9" s="1">
        <v>17634412.233233489</v>
      </c>
      <c r="CJ9" s="1">
        <v>17274075.869372733</v>
      </c>
      <c r="CK9" s="1">
        <v>17468009.026708037</v>
      </c>
      <c r="CL9" s="1">
        <v>17548075.964119919</v>
      </c>
      <c r="CM9" s="1">
        <v>17425695.259809308</v>
      </c>
      <c r="CN9" s="1">
        <v>17031721.305892006</v>
      </c>
      <c r="CO9" s="1">
        <v>17069075.005736604</v>
      </c>
      <c r="CP9" s="1">
        <v>17144617.616252933</v>
      </c>
      <c r="CQ9" s="1">
        <v>17148339.50839483</v>
      </c>
      <c r="CR9" s="1">
        <v>17032550.501914382</v>
      </c>
      <c r="CS9" s="1">
        <v>17006621.53795734</v>
      </c>
      <c r="CT9" s="1">
        <v>17335574.408355571</v>
      </c>
      <c r="CU9" s="1">
        <v>17004747.580892265</v>
      </c>
      <c r="CV9" s="1">
        <v>16781413.126195937</v>
      </c>
      <c r="CW9" s="1">
        <v>16742180.755573476</v>
      </c>
      <c r="CX9" s="1">
        <v>16555767.031393958</v>
      </c>
      <c r="CY9" s="1">
        <v>16547252.104460865</v>
      </c>
      <c r="CZ9" s="1">
        <v>16520965.965565279</v>
      </c>
      <c r="DA9" s="1">
        <v>16250368.686150637</v>
      </c>
      <c r="DB9" s="1">
        <v>16364359.087295042</v>
      </c>
      <c r="DC9" s="1">
        <v>16339583.378838312</v>
      </c>
      <c r="DD9" s="1">
        <v>16400023.843135674</v>
      </c>
      <c r="DE9" s="1">
        <v>15985279.98607406</v>
      </c>
      <c r="DF9" s="1">
        <v>16158762.944379682</v>
      </c>
      <c r="DG9" s="1">
        <v>16162569.515368242</v>
      </c>
      <c r="DH9" s="1">
        <v>16088193.702665087</v>
      </c>
      <c r="DI9" s="1">
        <v>16103610.351430381</v>
      </c>
      <c r="DJ9" s="1">
        <v>15973195.195726695</v>
      </c>
      <c r="DK9" s="1">
        <v>16045380.797516949</v>
      </c>
      <c r="DL9" s="1">
        <v>15746901.942113264</v>
      </c>
      <c r="DM9" s="1">
        <v>15732700.151874863</v>
      </c>
      <c r="DN9" s="1">
        <v>15904564.27088201</v>
      </c>
      <c r="DO9" s="1">
        <v>16074543.193593869</v>
      </c>
      <c r="DP9" s="1">
        <v>16431107.615060907</v>
      </c>
      <c r="DQ9" s="1">
        <v>16493564.941233417</v>
      </c>
      <c r="DR9" s="1">
        <v>16800009.164512426</v>
      </c>
      <c r="DS9" s="1">
        <v>16581690.323937174</v>
      </c>
      <c r="DT9" s="1">
        <v>16548942.676402384</v>
      </c>
      <c r="DU9" s="1">
        <v>16588143.39957203</v>
      </c>
      <c r="DV9" s="1">
        <v>16692750.482515119</v>
      </c>
      <c r="DW9" s="1">
        <v>16757036.579718504</v>
      </c>
      <c r="DX9" s="1">
        <v>16443979.545030601</v>
      </c>
      <c r="DY9" s="1">
        <v>16477633.869474739</v>
      </c>
      <c r="DZ9" s="1">
        <v>16516633.344889022</v>
      </c>
      <c r="EA9" s="1">
        <v>16746700.402930934</v>
      </c>
      <c r="EB9" s="1">
        <v>16820878.733556639</v>
      </c>
      <c r="EC9" s="1">
        <v>17190214.79617171</v>
      </c>
      <c r="ED9" s="1">
        <v>17334430.691110205</v>
      </c>
      <c r="EE9" s="1">
        <v>17084207.058444802</v>
      </c>
      <c r="EF9" s="1">
        <v>17242330.387896057</v>
      </c>
      <c r="EG9" s="1">
        <v>17475433.73718138</v>
      </c>
      <c r="EH9" s="1">
        <v>17494603.070675284</v>
      </c>
      <c r="EI9" s="1">
        <v>17495367.2768877</v>
      </c>
      <c r="EJ9" s="1">
        <v>17069751.913528465</v>
      </c>
      <c r="EK9" s="1">
        <v>17154835.926862568</v>
      </c>
      <c r="EL9" s="1">
        <v>17123665.463630497</v>
      </c>
      <c r="EM9" s="1">
        <v>17367585.766247671</v>
      </c>
      <c r="EN9" s="1">
        <v>17567783.17639678</v>
      </c>
      <c r="EO9" s="1">
        <v>17701734.470915481</v>
      </c>
      <c r="EP9" s="1">
        <v>17853675.465415314</v>
      </c>
      <c r="EQ9" s="1">
        <v>17642716.523216892</v>
      </c>
      <c r="ER9" s="1">
        <v>17599619.055788327</v>
      </c>
      <c r="ES9" s="1">
        <v>17676279.879929576</v>
      </c>
      <c r="ET9" s="1">
        <v>17677522.890709005</v>
      </c>
      <c r="EU9" s="1">
        <v>17745527.947152734</v>
      </c>
      <c r="EV9" s="1">
        <v>17754963.556993335</v>
      </c>
      <c r="EW9" s="1">
        <v>17771743.11959881</v>
      </c>
      <c r="EX9" s="1">
        <v>17718739.431808621</v>
      </c>
      <c r="EY9" s="1">
        <v>17893016.733895384</v>
      </c>
      <c r="EZ9" s="1">
        <v>18335511.320476048</v>
      </c>
      <c r="FA9" s="1">
        <v>18224159.35398148</v>
      </c>
      <c r="FB9" s="1">
        <v>18341661.054256652</v>
      </c>
      <c r="FC9" s="1">
        <v>18268508.609131254</v>
      </c>
      <c r="FD9" s="1">
        <v>18283815.255080171</v>
      </c>
      <c r="FE9" s="1">
        <v>18463087.791500643</v>
      </c>
      <c r="FF9" s="1">
        <v>18593014.944283701</v>
      </c>
      <c r="FG9" s="1">
        <v>18616087.869462382</v>
      </c>
      <c r="FH9" s="1">
        <v>18372951.523921121</v>
      </c>
      <c r="FI9" s="1">
        <v>18311348.251548495</v>
      </c>
      <c r="FJ9" s="1">
        <v>18316716.139776342</v>
      </c>
      <c r="FK9" s="1">
        <v>18597650.621522654</v>
      </c>
      <c r="FL9" s="1">
        <v>18908662.852544948</v>
      </c>
      <c r="FM9" s="1">
        <v>18997142.862071119</v>
      </c>
      <c r="FN9" s="1">
        <v>18965683.605756171</v>
      </c>
      <c r="FO9" s="1">
        <v>18870638.11409425</v>
      </c>
      <c r="FP9" s="1">
        <v>18921076.242102884</v>
      </c>
      <c r="FQ9" s="1">
        <v>18950367.1777317</v>
      </c>
      <c r="FR9" s="1">
        <v>18895888.387149978</v>
      </c>
      <c r="FS9" s="1">
        <v>19099493.507030591</v>
      </c>
      <c r="FT9" s="1">
        <v>18915828.561473332</v>
      </c>
      <c r="FU9" s="1">
        <v>18838545.323068321</v>
      </c>
      <c r="FV9" s="1">
        <v>18816303.784035556</v>
      </c>
      <c r="FW9" s="1">
        <v>19067020.575480998</v>
      </c>
      <c r="FX9" s="1">
        <v>19549334.145584114</v>
      </c>
      <c r="FY9" s="1">
        <v>19417187.992769741</v>
      </c>
      <c r="FZ9" s="1">
        <v>19634405.771376804</v>
      </c>
      <c r="GA9" s="1">
        <v>19335456.481990613</v>
      </c>
      <c r="GB9" s="1">
        <v>19341576.399102911</v>
      </c>
      <c r="GC9" s="1">
        <v>19535961.436869264</v>
      </c>
      <c r="GD9" s="1">
        <v>19528808.758120894</v>
      </c>
      <c r="GE9" s="1">
        <v>19527341.871497177</v>
      </c>
      <c r="GF9" s="1">
        <v>19315718.492605764</v>
      </c>
      <c r="GG9" s="1">
        <v>19279186.645541653</v>
      </c>
      <c r="GH9" s="1">
        <v>19315099.337536685</v>
      </c>
      <c r="GI9" s="1">
        <v>19476285.794601902</v>
      </c>
      <c r="GJ9" s="1">
        <v>19809447.54111002</v>
      </c>
      <c r="GK9" s="1">
        <v>19813431.509860449</v>
      </c>
      <c r="GL9" s="1">
        <v>19821268.380130436</v>
      </c>
      <c r="GM9" s="1">
        <v>19535427.054044195</v>
      </c>
      <c r="GN9" s="1">
        <v>19669367.908926722</v>
      </c>
      <c r="GO9" s="1">
        <v>19046190.392426681</v>
      </c>
      <c r="GP9" s="1">
        <v>17921449.173506998</v>
      </c>
      <c r="GQ9" s="1">
        <v>17902222.15235889</v>
      </c>
      <c r="GR9" s="1">
        <v>17920973.382550366</v>
      </c>
      <c r="GS9" s="1">
        <v>18349963.793294773</v>
      </c>
      <c r="GT9" s="1">
        <v>18994952.178587928</v>
      </c>
      <c r="GU9" s="1">
        <v>18957271.870253764</v>
      </c>
      <c r="GV9" s="1">
        <v>19049598.064963065</v>
      </c>
      <c r="GW9" s="1">
        <v>19316665.952447347</v>
      </c>
      <c r="GX9" s="1">
        <v>19139472.02473532</v>
      </c>
      <c r="GY9" s="1">
        <v>18972177.422863044</v>
      </c>
      <c r="GZ9" s="1">
        <v>19055930.236375701</v>
      </c>
      <c r="HA9" s="1" t="str">
        <f t="shared" si="1"/>
        <v/>
      </c>
      <c r="HB9" s="1" t="str">
        <f t="shared" si="1"/>
        <v/>
      </c>
      <c r="HC9" s="1" t="str">
        <f t="shared" si="1"/>
        <v/>
      </c>
      <c r="HD9" s="1" t="str">
        <f t="shared" si="1"/>
        <v/>
      </c>
      <c r="HE9" s="1" t="str">
        <f t="shared" si="1"/>
        <v/>
      </c>
      <c r="HF9" s="1" t="str">
        <f t="shared" si="1"/>
        <v/>
      </c>
      <c r="HG9" s="1" t="str">
        <f t="shared" si="1"/>
        <v/>
      </c>
      <c r="HH9" s="1" t="str">
        <f t="shared" si="1"/>
        <v/>
      </c>
      <c r="HI9" s="1" t="str">
        <f t="shared" si="1"/>
        <v/>
      </c>
      <c r="HJ9" s="1" t="str">
        <f t="shared" si="1"/>
        <v/>
      </c>
      <c r="HK9" s="1" t="str">
        <f t="shared" si="1"/>
        <v/>
      </c>
      <c r="HL9" s="1" t="str">
        <f t="shared" si="1"/>
        <v/>
      </c>
      <c r="HM9" s="1" t="str">
        <f t="shared" si="1"/>
        <v/>
      </c>
      <c r="HN9" s="1" t="str">
        <f t="shared" si="1"/>
        <v/>
      </c>
      <c r="HO9" s="1" t="str">
        <f t="shared" si="1"/>
        <v/>
      </c>
      <c r="HP9" s="1" t="str">
        <f t="shared" si="1"/>
        <v/>
      </c>
      <c r="HQ9" s="1" t="str">
        <f t="shared" si="1"/>
        <v/>
      </c>
      <c r="HR9" s="1" t="str">
        <f t="shared" si="1"/>
        <v/>
      </c>
      <c r="HS9" s="1" t="str">
        <f t="shared" si="1"/>
        <v/>
      </c>
      <c r="HT9" s="1" t="str">
        <f t="shared" si="1"/>
        <v/>
      </c>
      <c r="HU9" s="1" t="str">
        <f t="shared" si="1"/>
        <v/>
      </c>
      <c r="HV9" s="1" t="str">
        <f t="shared" si="1"/>
        <v/>
      </c>
      <c r="HW9" s="1" t="str">
        <f t="shared" si="1"/>
        <v/>
      </c>
      <c r="HX9" s="1" t="str">
        <f t="shared" si="1"/>
        <v/>
      </c>
      <c r="HY9" s="1" t="str">
        <f t="shared" si="1"/>
        <v/>
      </c>
      <c r="HZ9" s="1" t="str">
        <f t="shared" si="1"/>
        <v/>
      </c>
      <c r="IA9" s="1" t="str">
        <f t="shared" si="1"/>
        <v/>
      </c>
      <c r="IB9" s="1" t="str">
        <f t="shared" si="1"/>
        <v/>
      </c>
      <c r="IC9" s="1" t="str">
        <f t="shared" si="1"/>
        <v/>
      </c>
      <c r="ID9" s="1" t="str">
        <f t="shared" si="1"/>
        <v/>
      </c>
      <c r="IE9" s="1" t="str">
        <f t="shared" si="1"/>
        <v/>
      </c>
      <c r="IF9" s="1" t="str">
        <f t="shared" si="1"/>
        <v/>
      </c>
      <c r="IG9" s="1" t="str">
        <f t="shared" si="1"/>
        <v/>
      </c>
      <c r="IH9" s="1" t="str">
        <f t="shared" si="1"/>
        <v/>
      </c>
      <c r="II9" s="1" t="str">
        <f t="shared" si="1"/>
        <v/>
      </c>
      <c r="IJ9" s="1" t="str">
        <f t="shared" si="1"/>
        <v/>
      </c>
      <c r="IK9" s="1" t="str">
        <f t="shared" si="1"/>
        <v/>
      </c>
      <c r="IL9" s="1" t="str">
        <f t="shared" si="1"/>
        <v/>
      </c>
      <c r="IM9" s="1" t="str">
        <f t="shared" si="1"/>
        <v/>
      </c>
      <c r="IN9" s="1" t="str">
        <f t="shared" si="1"/>
        <v/>
      </c>
      <c r="IO9" s="1" t="str">
        <f t="shared" si="1"/>
        <v/>
      </c>
      <c r="IP9" s="1" t="str">
        <f t="shared" si="1"/>
        <v/>
      </c>
      <c r="IQ9" s="1" t="str">
        <f t="shared" si="1"/>
        <v/>
      </c>
      <c r="IR9" s="1" t="str">
        <f t="shared" si="1"/>
        <v/>
      </c>
      <c r="IS9" s="1" t="str">
        <f t="shared" si="1"/>
        <v/>
      </c>
      <c r="IT9" s="1" t="str">
        <f t="shared" si="1"/>
        <v/>
      </c>
      <c r="IU9" s="1" t="str">
        <f t="shared" si="1"/>
        <v/>
      </c>
      <c r="IV9" s="1" t="str">
        <f t="shared" si="1"/>
        <v/>
      </c>
      <c r="IW9" s="1" t="str">
        <f t="shared" si="1"/>
        <v/>
      </c>
      <c r="IX9" s="1" t="str">
        <f t="shared" si="1"/>
        <v/>
      </c>
      <c r="IY9" s="1" t="str">
        <f t="shared" si="1"/>
        <v/>
      </c>
      <c r="IZ9" s="1" t="str">
        <f t="shared" si="1"/>
        <v/>
      </c>
      <c r="JA9" s="1" t="str">
        <f t="shared" si="1"/>
        <v/>
      </c>
      <c r="JB9" s="1" t="str">
        <f t="shared" si="1"/>
        <v/>
      </c>
      <c r="JC9" s="1" t="str">
        <f t="shared" si="1"/>
        <v/>
      </c>
      <c r="JD9" s="1" t="str">
        <f t="shared" si="1"/>
        <v/>
      </c>
      <c r="JE9" s="1" t="str">
        <f t="shared" si="1"/>
        <v/>
      </c>
      <c r="JF9" s="1" t="str">
        <f t="shared" si="1"/>
        <v/>
      </c>
      <c r="JG9" s="1" t="str">
        <f t="shared" si="1"/>
        <v/>
      </c>
      <c r="JH9" s="1" t="str">
        <f t="shared" si="1"/>
        <v/>
      </c>
      <c r="LY9" s="1"/>
    </row>
    <row r="10" spans="1:337" x14ac:dyDescent="0.25">
      <c r="A10" s="4">
        <v>8</v>
      </c>
      <c r="B10" s="1">
        <v>17270434.457805518</v>
      </c>
      <c r="C10" s="1">
        <v>17246325.169643074</v>
      </c>
      <c r="D10" s="1">
        <v>17314579.868878081</v>
      </c>
      <c r="E10" s="1">
        <v>17353925.915301189</v>
      </c>
      <c r="F10" s="1">
        <v>17342175.569919944</v>
      </c>
      <c r="G10" s="1">
        <v>17163787.403174005</v>
      </c>
      <c r="H10" s="1">
        <v>17320321.881362863</v>
      </c>
      <c r="I10" s="1">
        <v>17425676.827346135</v>
      </c>
      <c r="J10" s="1">
        <v>17489821.481055863</v>
      </c>
      <c r="K10" s="1">
        <v>17651266.238004837</v>
      </c>
      <c r="L10" s="1">
        <v>17763972.04476586</v>
      </c>
      <c r="M10" s="1">
        <v>17911087.766598538</v>
      </c>
      <c r="N10" s="1">
        <v>17780384.810619254</v>
      </c>
      <c r="O10" s="1">
        <v>17777354.899995513</v>
      </c>
      <c r="P10" s="1">
        <v>17822310.672489516</v>
      </c>
      <c r="Q10" s="1">
        <v>17849670.381797984</v>
      </c>
      <c r="R10" s="1">
        <v>17883243.029681921</v>
      </c>
      <c r="S10" s="1">
        <v>17780537.901834164</v>
      </c>
      <c r="T10" s="1">
        <v>18112258.198268116</v>
      </c>
      <c r="U10" s="1">
        <v>18387813.153571956</v>
      </c>
      <c r="V10" s="1">
        <v>18721637.758871417</v>
      </c>
      <c r="W10" s="1">
        <v>18948247.173518166</v>
      </c>
      <c r="X10" s="1">
        <v>19053800.437849343</v>
      </c>
      <c r="Y10" s="1">
        <v>19148389.024316087</v>
      </c>
      <c r="Z10" s="1">
        <v>19044216.394688241</v>
      </c>
      <c r="AA10" s="1">
        <v>19057571.225633383</v>
      </c>
      <c r="AB10" s="1">
        <v>19031739.437720053</v>
      </c>
      <c r="AC10" s="1">
        <v>19188867.152897321</v>
      </c>
      <c r="AD10" s="1">
        <v>19105995.512083471</v>
      </c>
      <c r="AE10" s="1">
        <v>18868131.825053651</v>
      </c>
      <c r="AF10" s="1">
        <v>18888955.162620977</v>
      </c>
      <c r="AG10" s="1">
        <v>18980311.703429021</v>
      </c>
      <c r="AH10" s="1">
        <v>18923859.731525928</v>
      </c>
      <c r="AI10" s="1">
        <v>19246029.117705494</v>
      </c>
      <c r="AJ10" s="1">
        <v>19425161.978377186</v>
      </c>
      <c r="AK10" s="1">
        <v>19651733.655265134</v>
      </c>
      <c r="AL10" s="1">
        <v>19492901.24600777</v>
      </c>
      <c r="AM10" s="1">
        <v>19567844.830295701</v>
      </c>
      <c r="AN10" s="1">
        <v>19591193.366467211</v>
      </c>
      <c r="AO10" s="1">
        <v>19691703.393024504</v>
      </c>
      <c r="AP10" s="1">
        <v>19525179.575669605</v>
      </c>
      <c r="AQ10" s="1">
        <v>19368864.548803717</v>
      </c>
      <c r="AR10" s="1">
        <v>19399931.859325428</v>
      </c>
      <c r="AS10" s="1">
        <v>19504700.099212073</v>
      </c>
      <c r="AT10" s="1">
        <v>19510132.443659566</v>
      </c>
      <c r="AU10" s="1">
        <v>19715595.725932896</v>
      </c>
      <c r="AV10" s="1">
        <v>19865891.547963642</v>
      </c>
      <c r="AW10" s="1">
        <v>19955459.590817444</v>
      </c>
      <c r="AX10" s="1">
        <v>19771995.265491381</v>
      </c>
      <c r="AY10" s="1">
        <v>19688664.617153578</v>
      </c>
      <c r="AZ10" s="1">
        <v>19693861.779407054</v>
      </c>
      <c r="BA10" s="1">
        <v>19596324.708500654</v>
      </c>
      <c r="BB10" s="1">
        <v>19433498.147521481</v>
      </c>
      <c r="BC10" s="1">
        <v>19086115.53244783</v>
      </c>
      <c r="BD10" s="1">
        <v>18835645.916534107</v>
      </c>
      <c r="BE10" s="1">
        <v>18921113.547800131</v>
      </c>
      <c r="BF10" s="1">
        <v>19029654.115327351</v>
      </c>
      <c r="BG10" s="1">
        <v>18806771.434990041</v>
      </c>
      <c r="BH10" s="1">
        <v>18311213.043488652</v>
      </c>
      <c r="BI10" s="1">
        <v>17773439.42944409</v>
      </c>
      <c r="BJ10" s="1">
        <v>17657425.156752706</v>
      </c>
      <c r="BK10" s="1">
        <v>17486205.19530122</v>
      </c>
      <c r="BL10" s="1">
        <v>17184068.494748246</v>
      </c>
      <c r="BM10" s="1">
        <v>16970383.301417932</v>
      </c>
      <c r="BN10" s="1">
        <v>17192652.176649697</v>
      </c>
      <c r="BO10" s="1">
        <v>17225140.214289725</v>
      </c>
      <c r="BP10" s="1">
        <v>17249138.467355773</v>
      </c>
      <c r="BQ10" s="1">
        <v>17271866.315238453</v>
      </c>
      <c r="BR10" s="1">
        <v>17681294.240420546</v>
      </c>
      <c r="BS10" s="1">
        <v>17502985.632007271</v>
      </c>
      <c r="BT10" s="1">
        <v>17629445.636874977</v>
      </c>
      <c r="BU10" s="1">
        <v>17770059.76125849</v>
      </c>
      <c r="BV10" s="1">
        <v>17872598.651311971</v>
      </c>
      <c r="BW10" s="1">
        <v>17600560.643772312</v>
      </c>
      <c r="BX10" s="1">
        <v>17538927.832232293</v>
      </c>
      <c r="BY10" s="1">
        <v>17472960.622774646</v>
      </c>
      <c r="BZ10" s="1">
        <v>17550178.560084626</v>
      </c>
      <c r="CA10" s="1">
        <v>17289899.575070474</v>
      </c>
      <c r="CB10" s="1">
        <v>17301055.177014887</v>
      </c>
      <c r="CC10" s="1">
        <v>17300019.063897632</v>
      </c>
      <c r="CD10" s="1">
        <v>17527692.779478043</v>
      </c>
      <c r="CE10" s="1">
        <v>17631044.874095924</v>
      </c>
      <c r="CF10" s="1">
        <v>17646521.642131075</v>
      </c>
      <c r="CG10" s="1">
        <v>17686282.137585308</v>
      </c>
      <c r="CH10" s="1">
        <v>17640747.618977491</v>
      </c>
      <c r="CI10" s="1">
        <v>17586648.823253609</v>
      </c>
      <c r="CJ10" s="1">
        <v>17254027.404138934</v>
      </c>
      <c r="CK10" s="1">
        <v>17422466.555822596</v>
      </c>
      <c r="CL10" s="1">
        <v>17512147.202870123</v>
      </c>
      <c r="CM10" s="1">
        <v>17211285.930613868</v>
      </c>
      <c r="CN10" s="1">
        <v>17042024.067754813</v>
      </c>
      <c r="CO10" s="1">
        <v>17103560.321787998</v>
      </c>
      <c r="CP10" s="1">
        <v>17216405.614312641</v>
      </c>
      <c r="CQ10" s="1">
        <v>17250711.149704978</v>
      </c>
      <c r="CR10" s="1">
        <v>17029621.44612518</v>
      </c>
      <c r="CS10" s="1">
        <v>17051128.619572788</v>
      </c>
      <c r="CT10" s="1">
        <v>17198857.637867302</v>
      </c>
      <c r="CU10" s="1">
        <v>16930693.733087398</v>
      </c>
      <c r="CV10" s="1">
        <v>16709386.717979921</v>
      </c>
      <c r="CW10" s="1">
        <v>16649406.002265688</v>
      </c>
      <c r="CX10" s="1">
        <v>16497693.513755411</v>
      </c>
      <c r="CY10" s="1">
        <v>16331482.65695109</v>
      </c>
      <c r="CZ10" s="1">
        <v>16508126.730528668</v>
      </c>
      <c r="DA10" s="1">
        <v>16263173.324668195</v>
      </c>
      <c r="DB10" s="1">
        <v>16396769.893656414</v>
      </c>
      <c r="DC10" s="1">
        <v>16400860.827658769</v>
      </c>
      <c r="DD10" s="1">
        <v>16414434.228836965</v>
      </c>
      <c r="DE10" s="1">
        <v>15979148.5161984</v>
      </c>
      <c r="DF10" s="1">
        <v>15991352.471560437</v>
      </c>
      <c r="DG10" s="1">
        <v>16082371.162151232</v>
      </c>
      <c r="DH10" s="1">
        <v>16037618.082004549</v>
      </c>
      <c r="DI10" s="1">
        <v>15933184.224770062</v>
      </c>
      <c r="DJ10" s="1">
        <v>15901269.521168763</v>
      </c>
      <c r="DK10" s="1">
        <v>15848681.443015471</v>
      </c>
      <c r="DL10" s="1">
        <v>15759434.174729779</v>
      </c>
      <c r="DM10" s="1">
        <v>15768051.834592741</v>
      </c>
      <c r="DN10" s="1">
        <v>15971636.697786324</v>
      </c>
      <c r="DO10" s="1">
        <v>16163879.873101929</v>
      </c>
      <c r="DP10" s="1">
        <v>16481207.559088785</v>
      </c>
      <c r="DQ10" s="1">
        <v>16542719.254840357</v>
      </c>
      <c r="DR10" s="1">
        <v>16722338.36063884</v>
      </c>
      <c r="DS10" s="1">
        <v>16550661.999462776</v>
      </c>
      <c r="DT10" s="1">
        <v>16577955.572410144</v>
      </c>
      <c r="DU10" s="1">
        <v>16507675.139448401</v>
      </c>
      <c r="DV10" s="1">
        <v>16718498.026423112</v>
      </c>
      <c r="DW10" s="1">
        <v>16595456.069118053</v>
      </c>
      <c r="DX10" s="1">
        <v>16497492.399144109</v>
      </c>
      <c r="DY10" s="1">
        <v>16553090.482396305</v>
      </c>
      <c r="DZ10" s="1">
        <v>16611813.16176156</v>
      </c>
      <c r="EA10" s="1">
        <v>16920576.314461045</v>
      </c>
      <c r="EB10" s="1">
        <v>16894411.17080979</v>
      </c>
      <c r="EC10" s="1">
        <v>17280972.226398122</v>
      </c>
      <c r="ED10" s="1">
        <v>17303961.73424704</v>
      </c>
      <c r="EE10" s="1">
        <v>17063902.836825315</v>
      </c>
      <c r="EF10" s="1">
        <v>17280839.49821797</v>
      </c>
      <c r="EG10" s="1">
        <v>17470766.56789127</v>
      </c>
      <c r="EH10" s="1">
        <v>17560537.298660681</v>
      </c>
      <c r="EI10" s="1">
        <v>17392348.547468673</v>
      </c>
      <c r="EJ10" s="1">
        <v>17142748.843283303</v>
      </c>
      <c r="EK10" s="1">
        <v>17289469.877764471</v>
      </c>
      <c r="EL10" s="1">
        <v>17242609.546658456</v>
      </c>
      <c r="EM10" s="1">
        <v>17516498.68867512</v>
      </c>
      <c r="EN10" s="1">
        <v>17624045.943726804</v>
      </c>
      <c r="EO10" s="1">
        <v>17779332.756607257</v>
      </c>
      <c r="EP10" s="1">
        <v>17778981.521832243</v>
      </c>
      <c r="EQ10" s="1">
        <v>17638439.146172583</v>
      </c>
      <c r="ER10" s="1">
        <v>17617690.061926112</v>
      </c>
      <c r="ES10" s="1">
        <v>17666014.932651602</v>
      </c>
      <c r="ET10" s="1">
        <v>17746202.118732728</v>
      </c>
      <c r="EU10" s="1">
        <v>17568828.497218147</v>
      </c>
      <c r="EV10" s="1">
        <v>17810943.169242039</v>
      </c>
      <c r="EW10" s="1">
        <v>17912389.32319203</v>
      </c>
      <c r="EX10" s="1">
        <v>17843059.990829535</v>
      </c>
      <c r="EY10" s="1">
        <v>18069015.11870604</v>
      </c>
      <c r="EZ10" s="1">
        <v>18425939.336346563</v>
      </c>
      <c r="FA10" s="1">
        <v>18292126.415694721</v>
      </c>
      <c r="FB10" s="1">
        <v>18202666.461001091</v>
      </c>
      <c r="FC10" s="1">
        <v>18274116.710975505</v>
      </c>
      <c r="FD10" s="1">
        <v>18343827.282841176</v>
      </c>
      <c r="FE10" s="1">
        <v>18439490.382689454</v>
      </c>
      <c r="FF10" s="1">
        <v>18676171.535138376</v>
      </c>
      <c r="FG10" s="1">
        <v>18467167.768834546</v>
      </c>
      <c r="FH10" s="1">
        <v>18455907.750408612</v>
      </c>
      <c r="FI10" s="1">
        <v>18450013.578397702</v>
      </c>
      <c r="FJ10" s="1">
        <v>18426165.891202938</v>
      </c>
      <c r="FK10" s="1">
        <v>18786456.996137667</v>
      </c>
      <c r="FL10" s="1">
        <v>18987645.751690146</v>
      </c>
      <c r="FM10" s="1">
        <v>19068799.029458418</v>
      </c>
      <c r="FN10" s="1">
        <v>18812625.705184139</v>
      </c>
      <c r="FO10" s="1">
        <v>18878177.993413009</v>
      </c>
      <c r="FP10" s="1">
        <v>18985213.276021723</v>
      </c>
      <c r="FQ10" s="1">
        <v>18929008.839220181</v>
      </c>
      <c r="FR10" s="1">
        <v>18943217.782042813</v>
      </c>
      <c r="FS10" s="1">
        <v>18941777.227434453</v>
      </c>
      <c r="FT10" s="1">
        <v>18995289.548204109</v>
      </c>
      <c r="FU10" s="1">
        <v>18969730.388133191</v>
      </c>
      <c r="FV10" s="1">
        <v>18944801.80384516</v>
      </c>
      <c r="FW10" s="1">
        <v>19256886.455399297</v>
      </c>
      <c r="FX10" s="1">
        <v>19640774.236948274</v>
      </c>
      <c r="FY10" s="1">
        <v>19463151.195246335</v>
      </c>
      <c r="FZ10" s="1">
        <v>19505261.871120937</v>
      </c>
      <c r="GA10" s="1">
        <v>19333810.17830975</v>
      </c>
      <c r="GB10" s="1">
        <v>19419998.005530059</v>
      </c>
      <c r="GC10" s="1">
        <v>19499049.186346121</v>
      </c>
      <c r="GD10" s="1">
        <v>19585971.233968981</v>
      </c>
      <c r="GE10" s="1">
        <v>19342019.606445394</v>
      </c>
      <c r="GF10" s="1">
        <v>19375754.835511595</v>
      </c>
      <c r="GG10" s="1">
        <v>19424335.334090121</v>
      </c>
      <c r="GH10" s="1">
        <v>19448442.430851463</v>
      </c>
      <c r="GI10" s="1">
        <v>19653365.135776237</v>
      </c>
      <c r="GJ10" s="1">
        <v>19877045.933545999</v>
      </c>
      <c r="GK10" s="1">
        <v>19839630.844785318</v>
      </c>
      <c r="GL10" s="1">
        <v>19602350.264703125</v>
      </c>
      <c r="GM10" s="1">
        <v>19529989.145975538</v>
      </c>
      <c r="GN10" s="1">
        <v>19749739.197232302</v>
      </c>
      <c r="GO10" s="1">
        <v>18958877.344765335</v>
      </c>
      <c r="GP10" s="1">
        <v>17795527.443968721</v>
      </c>
      <c r="GQ10" s="1">
        <v>17595924.190684207</v>
      </c>
      <c r="GR10" s="1">
        <v>17942162.683611572</v>
      </c>
      <c r="GS10" s="1">
        <v>18427750.181427866</v>
      </c>
      <c r="GT10" s="1">
        <v>18882495.086547296</v>
      </c>
      <c r="GU10" s="1">
        <v>19072847.139983602</v>
      </c>
      <c r="GV10" s="1">
        <v>19114469.079205185</v>
      </c>
      <c r="GW10" s="1">
        <v>19384032.891995497</v>
      </c>
      <c r="GX10" s="1">
        <v>19039886.354502372</v>
      </c>
      <c r="GY10" s="1">
        <v>19008058.472862788</v>
      </c>
      <c r="GZ10" s="1">
        <v>19074152.039424799</v>
      </c>
      <c r="HA10" s="1" t="str">
        <f t="shared" si="1"/>
        <v/>
      </c>
      <c r="HB10" s="1" t="str">
        <f t="shared" si="1"/>
        <v/>
      </c>
      <c r="HC10" s="1" t="str">
        <f t="shared" si="1"/>
        <v/>
      </c>
      <c r="HD10" s="1" t="str">
        <f t="shared" si="1"/>
        <v/>
      </c>
      <c r="HE10" s="1" t="str">
        <f t="shared" si="1"/>
        <v/>
      </c>
      <c r="HF10" s="1" t="str">
        <f t="shared" si="1"/>
        <v/>
      </c>
      <c r="HG10" s="1" t="str">
        <f t="shared" si="1"/>
        <v/>
      </c>
      <c r="HH10" s="1" t="str">
        <f t="shared" si="1"/>
        <v/>
      </c>
      <c r="HI10" s="1" t="str">
        <f t="shared" si="1"/>
        <v/>
      </c>
      <c r="HJ10" s="1" t="str">
        <f t="shared" si="1"/>
        <v/>
      </c>
      <c r="HK10" s="1" t="str">
        <f t="shared" si="1"/>
        <v/>
      </c>
      <c r="HL10" s="1" t="str">
        <f t="shared" si="1"/>
        <v/>
      </c>
      <c r="HM10" s="1" t="str">
        <f t="shared" si="1"/>
        <v/>
      </c>
      <c r="HN10" s="1" t="str">
        <f t="shared" si="1"/>
        <v/>
      </c>
      <c r="HO10" s="1" t="str">
        <f t="shared" si="1"/>
        <v/>
      </c>
      <c r="HP10" s="1" t="str">
        <f t="shared" si="1"/>
        <v/>
      </c>
      <c r="HQ10" s="1" t="str">
        <f t="shared" si="1"/>
        <v/>
      </c>
      <c r="HR10" s="1" t="str">
        <f t="shared" si="1"/>
        <v/>
      </c>
      <c r="HS10" s="1" t="str">
        <f t="shared" si="1"/>
        <v/>
      </c>
      <c r="HT10" s="1" t="str">
        <f t="shared" si="1"/>
        <v/>
      </c>
      <c r="HU10" s="1" t="str">
        <f t="shared" si="1"/>
        <v/>
      </c>
      <c r="HV10" s="1" t="str">
        <f t="shared" si="1"/>
        <v/>
      </c>
      <c r="HW10" s="1" t="str">
        <f t="shared" si="1"/>
        <v/>
      </c>
      <c r="HX10" s="1" t="str">
        <f t="shared" si="1"/>
        <v/>
      </c>
      <c r="HY10" s="1" t="str">
        <f t="shared" si="1"/>
        <v/>
      </c>
      <c r="HZ10" s="1" t="str">
        <f t="shared" si="1"/>
        <v/>
      </c>
      <c r="IA10" s="1" t="str">
        <f t="shared" si="1"/>
        <v/>
      </c>
      <c r="IB10" s="1" t="str">
        <f t="shared" si="1"/>
        <v/>
      </c>
      <c r="IC10" s="1" t="str">
        <f t="shared" si="1"/>
        <v/>
      </c>
      <c r="ID10" s="1" t="str">
        <f t="shared" si="1"/>
        <v/>
      </c>
      <c r="IE10" s="1" t="str">
        <f t="shared" si="1"/>
        <v/>
      </c>
      <c r="IF10" s="1" t="str">
        <f t="shared" si="1"/>
        <v/>
      </c>
      <c r="IG10" s="1" t="str">
        <f t="shared" si="1"/>
        <v/>
      </c>
      <c r="IH10" s="1" t="str">
        <f t="shared" si="1"/>
        <v/>
      </c>
      <c r="II10" s="1" t="str">
        <f t="shared" si="1"/>
        <v/>
      </c>
      <c r="IJ10" s="1" t="str">
        <f t="shared" si="1"/>
        <v/>
      </c>
      <c r="IK10" s="1" t="str">
        <f t="shared" si="1"/>
        <v/>
      </c>
      <c r="IL10" s="1" t="str">
        <f t="shared" si="1"/>
        <v/>
      </c>
      <c r="IM10" s="1" t="str">
        <f t="shared" si="1"/>
        <v/>
      </c>
      <c r="IN10" s="1" t="str">
        <f t="shared" si="1"/>
        <v/>
      </c>
      <c r="IO10" s="1" t="str">
        <f t="shared" si="1"/>
        <v/>
      </c>
      <c r="IP10" s="1" t="str">
        <f t="shared" si="1"/>
        <v/>
      </c>
      <c r="IQ10" s="1" t="str">
        <f t="shared" si="1"/>
        <v/>
      </c>
      <c r="IR10" s="1" t="str">
        <f t="shared" si="1"/>
        <v/>
      </c>
      <c r="IS10" s="1" t="str">
        <f t="shared" si="1"/>
        <v/>
      </c>
      <c r="IT10" s="1" t="str">
        <f t="shared" si="1"/>
        <v/>
      </c>
      <c r="IU10" s="1" t="str">
        <f t="shared" si="1"/>
        <v/>
      </c>
      <c r="IV10" s="1" t="str">
        <f t="shared" si="1"/>
        <v/>
      </c>
      <c r="IW10" s="1" t="str">
        <f t="shared" si="1"/>
        <v/>
      </c>
      <c r="IX10" s="1" t="str">
        <f t="shared" si="1"/>
        <v/>
      </c>
      <c r="IY10" s="1" t="str">
        <f t="shared" si="1"/>
        <v/>
      </c>
      <c r="IZ10" s="1" t="str">
        <f t="shared" si="1"/>
        <v/>
      </c>
      <c r="JA10" s="1" t="str">
        <f t="shared" si="1"/>
        <v/>
      </c>
      <c r="JB10" s="1" t="str">
        <f t="shared" si="1"/>
        <v/>
      </c>
      <c r="JC10" s="1" t="str">
        <f t="shared" si="1"/>
        <v/>
      </c>
      <c r="JD10" s="1" t="str">
        <f t="shared" si="1"/>
        <v/>
      </c>
      <c r="JE10" s="1" t="str">
        <f t="shared" si="1"/>
        <v/>
      </c>
      <c r="JF10" s="1" t="str">
        <f t="shared" si="1"/>
        <v/>
      </c>
      <c r="JG10" s="1" t="str">
        <f t="shared" si="1"/>
        <v/>
      </c>
      <c r="JH10" s="1" t="str">
        <f t="shared" si="1"/>
        <v/>
      </c>
      <c r="LY10" s="1"/>
    </row>
    <row r="11" spans="1:337" x14ac:dyDescent="0.25">
      <c r="A11" s="5">
        <v>9</v>
      </c>
      <c r="B11" s="1">
        <v>17243049.505113736</v>
      </c>
      <c r="C11" s="1">
        <v>17293555.247891374</v>
      </c>
      <c r="D11" s="1">
        <v>17346240.227045111</v>
      </c>
      <c r="E11" s="1">
        <v>17355185.573372703</v>
      </c>
      <c r="F11" s="1">
        <v>17159559.209218938</v>
      </c>
      <c r="G11" s="1">
        <v>17308487.66327849</v>
      </c>
      <c r="H11" s="1">
        <v>17433880.651725404</v>
      </c>
      <c r="I11" s="1">
        <v>17530366.77696877</v>
      </c>
      <c r="J11" s="1">
        <v>17637842.930959336</v>
      </c>
      <c r="K11" s="1">
        <v>17743268.290200509</v>
      </c>
      <c r="L11" s="1">
        <v>17904040.164566182</v>
      </c>
      <c r="M11" s="1">
        <v>17778956.848205179</v>
      </c>
      <c r="N11" s="1">
        <v>17757537.055488206</v>
      </c>
      <c r="O11" s="1">
        <v>17826228.145833157</v>
      </c>
      <c r="P11" s="1">
        <v>17851871.999575317</v>
      </c>
      <c r="Q11" s="1">
        <v>17844395.512787178</v>
      </c>
      <c r="R11" s="1">
        <v>17714113.589224406</v>
      </c>
      <c r="S11" s="1">
        <v>17921523.438956156</v>
      </c>
      <c r="T11" s="1">
        <v>18245311.141064648</v>
      </c>
      <c r="U11" s="1">
        <v>18522294.03737504</v>
      </c>
      <c r="V11" s="1">
        <v>18929176.281169489</v>
      </c>
      <c r="W11" s="1">
        <v>19109388.059056036</v>
      </c>
      <c r="X11" s="1">
        <v>19258304.557322111</v>
      </c>
      <c r="Y11" s="1">
        <v>19036425.812061496</v>
      </c>
      <c r="Z11" s="1">
        <v>19047154.154371548</v>
      </c>
      <c r="AA11" s="1">
        <v>19144929.964796856</v>
      </c>
      <c r="AB11" s="1">
        <v>19076796.632098295</v>
      </c>
      <c r="AC11" s="1">
        <v>19175575.505558781</v>
      </c>
      <c r="AD11" s="1">
        <v>18935997.056376189</v>
      </c>
      <c r="AE11" s="1">
        <v>19020109.35668312</v>
      </c>
      <c r="AF11" s="1">
        <v>19014118.286340125</v>
      </c>
      <c r="AG11" s="1">
        <v>19098869.568645503</v>
      </c>
      <c r="AH11" s="1">
        <v>19089481.826107115</v>
      </c>
      <c r="AI11" s="1">
        <v>19375392.678606074</v>
      </c>
      <c r="AJ11" s="1">
        <v>19594250.276746668</v>
      </c>
      <c r="AK11" s="1">
        <v>19518195.079340842</v>
      </c>
      <c r="AL11" s="1">
        <v>19496598.636661269</v>
      </c>
      <c r="AM11" s="1">
        <v>19649753.30124132</v>
      </c>
      <c r="AN11" s="1">
        <v>19636310.510324314</v>
      </c>
      <c r="AO11" s="1">
        <v>19693354.581358954</v>
      </c>
      <c r="AP11" s="1">
        <v>19369555.959012479</v>
      </c>
      <c r="AQ11" s="1">
        <v>19510631.722131163</v>
      </c>
      <c r="AR11" s="1">
        <v>19534436.357145756</v>
      </c>
      <c r="AS11" s="1">
        <v>19609126.316450149</v>
      </c>
      <c r="AT11" s="1">
        <v>19666579.091926098</v>
      </c>
      <c r="AU11" s="1">
        <v>19811981.455298156</v>
      </c>
      <c r="AV11" s="1">
        <v>20003349.009827133</v>
      </c>
      <c r="AW11" s="1">
        <v>19780472.36929442</v>
      </c>
      <c r="AX11" s="1">
        <v>19767494.166465852</v>
      </c>
      <c r="AY11" s="1">
        <v>19761723.526149198</v>
      </c>
      <c r="AZ11" s="1">
        <v>19718226.124882132</v>
      </c>
      <c r="BA11" s="1">
        <v>19576483.181328818</v>
      </c>
      <c r="BB11" s="1">
        <v>19224660.011122212</v>
      </c>
      <c r="BC11" s="1">
        <v>19187854.885312255</v>
      </c>
      <c r="BD11" s="1">
        <v>18899127.207784638</v>
      </c>
      <c r="BE11" s="1">
        <v>18965094.535790719</v>
      </c>
      <c r="BF11" s="1">
        <v>19093274.341103736</v>
      </c>
      <c r="BG11" s="1">
        <v>18806559.467697471</v>
      </c>
      <c r="BH11" s="1">
        <v>18336565.68755291</v>
      </c>
      <c r="BI11" s="1">
        <v>17452466.347385671</v>
      </c>
      <c r="BJ11" s="1">
        <v>17507113.936912272</v>
      </c>
      <c r="BK11" s="1">
        <v>17386929.193751238</v>
      </c>
      <c r="BL11" s="1">
        <v>17010244.506775986</v>
      </c>
      <c r="BM11" s="1">
        <v>16755265.403449383</v>
      </c>
      <c r="BN11" s="1">
        <v>16935975.154234998</v>
      </c>
      <c r="BO11" s="1">
        <v>17233929.622917693</v>
      </c>
      <c r="BP11" s="1">
        <v>17252432.407286495</v>
      </c>
      <c r="BQ11" s="1">
        <v>17278841.618450888</v>
      </c>
      <c r="BR11" s="1">
        <v>17786064.412693866</v>
      </c>
      <c r="BS11" s="1">
        <v>17544980.23763267</v>
      </c>
      <c r="BT11" s="1">
        <v>17708407.207048438</v>
      </c>
      <c r="BU11" s="1">
        <v>17614989.415650263</v>
      </c>
      <c r="BV11" s="1">
        <v>17821210.015836012</v>
      </c>
      <c r="BW11" s="1">
        <v>17600323.641741656</v>
      </c>
      <c r="BX11" s="1">
        <v>17491762.32032048</v>
      </c>
      <c r="BY11" s="1">
        <v>17403952.362358142</v>
      </c>
      <c r="BZ11" s="1">
        <v>17305483.379282214</v>
      </c>
      <c r="CA11" s="1">
        <v>17312951.211509608</v>
      </c>
      <c r="CB11" s="1">
        <v>17338368.475799389</v>
      </c>
      <c r="CC11" s="1">
        <v>17344188.006963812</v>
      </c>
      <c r="CD11" s="1">
        <v>17641046.643974423</v>
      </c>
      <c r="CE11" s="1">
        <v>17674123.604321346</v>
      </c>
      <c r="CF11" s="1">
        <v>17710968.711408906</v>
      </c>
      <c r="CG11" s="1">
        <v>17503501.09523005</v>
      </c>
      <c r="CH11" s="1">
        <v>17600711.896540351</v>
      </c>
      <c r="CI11" s="1">
        <v>17591267.470773518</v>
      </c>
      <c r="CJ11" s="1">
        <v>17187761.564326391</v>
      </c>
      <c r="CK11" s="1">
        <v>17373591.532822445</v>
      </c>
      <c r="CL11" s="1">
        <v>17287981.607383884</v>
      </c>
      <c r="CM11" s="1">
        <v>17243406.69699977</v>
      </c>
      <c r="CN11" s="1">
        <v>17078923.338308692</v>
      </c>
      <c r="CO11" s="1">
        <v>17171494.965401083</v>
      </c>
      <c r="CP11" s="1">
        <v>17331321.947468095</v>
      </c>
      <c r="CQ11" s="1">
        <v>17255902.844689716</v>
      </c>
      <c r="CR11" s="1">
        <v>17076741.4475164</v>
      </c>
      <c r="CS11" s="1">
        <v>16899393.933852632</v>
      </c>
      <c r="CT11" s="1">
        <v>17140873.61968413</v>
      </c>
      <c r="CU11" s="1">
        <v>16844827.007092755</v>
      </c>
      <c r="CV11" s="1">
        <v>16601205.640652999</v>
      </c>
      <c r="CW11" s="1">
        <v>16597887.927637242</v>
      </c>
      <c r="CX11" s="1">
        <v>16298791.965761691</v>
      </c>
      <c r="CY11" s="1">
        <v>16320964.722296454</v>
      </c>
      <c r="CZ11" s="1">
        <v>16527256.654603826</v>
      </c>
      <c r="DA11" s="1">
        <v>16290044.868202031</v>
      </c>
      <c r="DB11" s="1">
        <v>16473200.038230538</v>
      </c>
      <c r="DC11" s="1">
        <v>16426544.40287504</v>
      </c>
      <c r="DD11" s="1">
        <v>16444804.614550214</v>
      </c>
      <c r="DE11" s="1">
        <v>15828934.576105909</v>
      </c>
      <c r="DF11" s="1">
        <v>15898437.066518493</v>
      </c>
      <c r="DG11" s="1">
        <v>16012534.444687542</v>
      </c>
      <c r="DH11" s="1">
        <v>15904596.151548799</v>
      </c>
      <c r="DI11" s="1">
        <v>15863861.984371834</v>
      </c>
      <c r="DJ11" s="1">
        <v>15655403.115903791</v>
      </c>
      <c r="DK11" s="1">
        <v>15831298.460866405</v>
      </c>
      <c r="DL11" s="1">
        <v>15796532.780635692</v>
      </c>
      <c r="DM11" s="1">
        <v>15815801.349998262</v>
      </c>
      <c r="DN11" s="1">
        <v>16081681.147278905</v>
      </c>
      <c r="DO11" s="1">
        <v>16214595.092327371</v>
      </c>
      <c r="DP11" s="1">
        <v>16530063.202669702</v>
      </c>
      <c r="DQ11" s="1">
        <v>16463613.927667599</v>
      </c>
      <c r="DR11" s="1">
        <v>16717966.206093231</v>
      </c>
      <c r="DS11" s="1">
        <v>16554487.652496019</v>
      </c>
      <c r="DT11" s="1">
        <v>16511256.458713617</v>
      </c>
      <c r="DU11" s="1">
        <v>16536436.006636687</v>
      </c>
      <c r="DV11" s="1">
        <v>16524365.089316588</v>
      </c>
      <c r="DW11" s="1">
        <v>16632963.917266667</v>
      </c>
      <c r="DX11" s="1">
        <v>16575499.623335775</v>
      </c>
      <c r="DY11" s="1">
        <v>16669064.029271748</v>
      </c>
      <c r="DZ11" s="1">
        <v>16774459.781504732</v>
      </c>
      <c r="EA11" s="1">
        <v>16981624.450549446</v>
      </c>
      <c r="EB11" s="1">
        <v>16968138.721564345</v>
      </c>
      <c r="EC11" s="1">
        <v>17188527.779817373</v>
      </c>
      <c r="ED11" s="1">
        <v>17307489.186992493</v>
      </c>
      <c r="EE11" s="1">
        <v>17054292.05550779</v>
      </c>
      <c r="EF11" s="1">
        <v>17259895.857145768</v>
      </c>
      <c r="EG11" s="1">
        <v>17534487.562178575</v>
      </c>
      <c r="EH11" s="1">
        <v>17385441.962616771</v>
      </c>
      <c r="EI11" s="1">
        <v>17456901.671156008</v>
      </c>
      <c r="EJ11" s="1">
        <v>17273550.088192485</v>
      </c>
      <c r="EK11" s="1">
        <v>17447204.330654562</v>
      </c>
      <c r="EL11" s="1">
        <v>17387385.265032448</v>
      </c>
      <c r="EM11" s="1">
        <v>17570758.809632633</v>
      </c>
      <c r="EN11" s="1">
        <v>17669112.947697747</v>
      </c>
      <c r="EO11" s="1">
        <v>17668622.580528863</v>
      </c>
      <c r="EP11" s="1">
        <v>17788540.27116283</v>
      </c>
      <c r="EQ11" s="1">
        <v>17671714.10246544</v>
      </c>
      <c r="ER11" s="1">
        <v>17594514.263655651</v>
      </c>
      <c r="ES11" s="1">
        <v>17739576.002019111</v>
      </c>
      <c r="ET11" s="1">
        <v>17553733.946136605</v>
      </c>
      <c r="EU11" s="1">
        <v>17640816.86664886</v>
      </c>
      <c r="EV11" s="1">
        <v>17919782.537405349</v>
      </c>
      <c r="EW11" s="1">
        <v>18054228.67533423</v>
      </c>
      <c r="EX11" s="1">
        <v>18016708.404304661</v>
      </c>
      <c r="EY11" s="1">
        <v>18148098.010560088</v>
      </c>
      <c r="EZ11" s="1">
        <v>18519190.321337089</v>
      </c>
      <c r="FA11" s="1">
        <v>18173948.956195705</v>
      </c>
      <c r="FB11" s="1">
        <v>18210524.295607265</v>
      </c>
      <c r="FC11" s="1">
        <v>18333186.663082499</v>
      </c>
      <c r="FD11" s="1">
        <v>18311459.831148226</v>
      </c>
      <c r="FE11" s="1">
        <v>18503676.602943279</v>
      </c>
      <c r="FF11" s="1">
        <v>18497672.860446222</v>
      </c>
      <c r="FG11" s="1">
        <v>18542123.405210845</v>
      </c>
      <c r="FH11" s="1">
        <v>18584679.421701185</v>
      </c>
      <c r="FI11" s="1">
        <v>18643040.679924175</v>
      </c>
      <c r="FJ11" s="1">
        <v>18596455.115269311</v>
      </c>
      <c r="FK11" s="1">
        <v>18867518.805829018</v>
      </c>
      <c r="FL11" s="1">
        <v>19058922.778293945</v>
      </c>
      <c r="FM11" s="1">
        <v>18933619.785071567</v>
      </c>
      <c r="FN11" s="1">
        <v>18820636.330360293</v>
      </c>
      <c r="FO11" s="1">
        <v>18940864.151340611</v>
      </c>
      <c r="FP11" s="1">
        <v>18958446.762634516</v>
      </c>
      <c r="FQ11" s="1">
        <v>18973410.276784249</v>
      </c>
      <c r="FR11" s="1">
        <v>18793804.844725586</v>
      </c>
      <c r="FS11" s="1">
        <v>19034349.781026885</v>
      </c>
      <c r="FT11" s="1">
        <v>19115879.874254454</v>
      </c>
      <c r="FU11" s="1">
        <v>19127869.282744467</v>
      </c>
      <c r="FV11" s="1">
        <v>19122198.865789779</v>
      </c>
      <c r="FW11" s="1">
        <v>19335370.153597631</v>
      </c>
      <c r="FX11" s="1">
        <v>19706976.899818245</v>
      </c>
      <c r="FY11" s="1">
        <v>19304175.514172971</v>
      </c>
      <c r="FZ11" s="1">
        <v>19532822.565771144</v>
      </c>
      <c r="GA11" s="1">
        <v>19415358.119463976</v>
      </c>
      <c r="GB11" s="1">
        <v>19371830.762571659</v>
      </c>
      <c r="GC11" s="1">
        <v>19559591.286155961</v>
      </c>
      <c r="GD11" s="1">
        <v>19395489.39816846</v>
      </c>
      <c r="GE11" s="1">
        <v>19403967.817789309</v>
      </c>
      <c r="GF11" s="1">
        <v>19507637.779027753</v>
      </c>
      <c r="GG11" s="1">
        <v>19605170.407569461</v>
      </c>
      <c r="GH11" s="1">
        <v>19623325.606009603</v>
      </c>
      <c r="GI11" s="1">
        <v>19716076.138092749</v>
      </c>
      <c r="GJ11" s="1">
        <v>19903226.146494921</v>
      </c>
      <c r="GK11" s="1">
        <v>19679531.911639407</v>
      </c>
      <c r="GL11" s="1">
        <v>19602747.245171964</v>
      </c>
      <c r="GM11" s="1">
        <v>19542061.928279974</v>
      </c>
      <c r="GN11" s="1">
        <v>19696337.51464491</v>
      </c>
      <c r="GO11" s="1">
        <v>18895132.605540797</v>
      </c>
      <c r="GP11" s="1">
        <v>17584545.469289385</v>
      </c>
      <c r="GQ11" s="1">
        <v>17586231.898936182</v>
      </c>
      <c r="GR11" s="1">
        <v>18000498.777921364</v>
      </c>
      <c r="GS11" s="1">
        <v>18378928.662297562</v>
      </c>
      <c r="GT11" s="1">
        <v>19047829.384498455</v>
      </c>
      <c r="GU11" s="1">
        <v>19137531.003953412</v>
      </c>
      <c r="GV11" s="1">
        <v>19210132.379166443</v>
      </c>
      <c r="GW11" s="1">
        <v>19262702.456635829</v>
      </c>
      <c r="GX11" s="1">
        <v>19067904.124491904</v>
      </c>
      <c r="GY11" s="1">
        <v>19057656.517201193</v>
      </c>
      <c r="GZ11" s="1">
        <v>19039008.561547101</v>
      </c>
      <c r="HA11" s="1" t="str">
        <f t="shared" ref="GZ11:JH14" si="2">IF(GZ11="","","")</f>
        <v/>
      </c>
      <c r="HB11" s="1" t="str">
        <f t="shared" si="2"/>
        <v/>
      </c>
      <c r="HC11" s="1" t="str">
        <f t="shared" si="2"/>
        <v/>
      </c>
      <c r="HD11" s="1" t="str">
        <f t="shared" si="2"/>
        <v/>
      </c>
      <c r="HE11" s="1" t="str">
        <f t="shared" si="2"/>
        <v/>
      </c>
      <c r="HF11" s="1" t="str">
        <f t="shared" si="2"/>
        <v/>
      </c>
      <c r="HG11" s="1" t="str">
        <f t="shared" si="2"/>
        <v/>
      </c>
      <c r="HH11" s="1" t="str">
        <f t="shared" si="2"/>
        <v/>
      </c>
      <c r="HI11" s="1" t="str">
        <f t="shared" si="2"/>
        <v/>
      </c>
      <c r="HJ11" s="1" t="str">
        <f t="shared" si="2"/>
        <v/>
      </c>
      <c r="HK11" s="1" t="str">
        <f t="shared" si="2"/>
        <v/>
      </c>
      <c r="HL11" s="1" t="str">
        <f t="shared" si="2"/>
        <v/>
      </c>
      <c r="HM11" s="1" t="str">
        <f t="shared" si="2"/>
        <v/>
      </c>
      <c r="HN11" s="1" t="str">
        <f t="shared" si="2"/>
        <v/>
      </c>
      <c r="HO11" s="1" t="str">
        <f t="shared" si="2"/>
        <v/>
      </c>
      <c r="HP11" s="1" t="str">
        <f t="shared" si="2"/>
        <v/>
      </c>
      <c r="HQ11" s="1" t="str">
        <f t="shared" si="2"/>
        <v/>
      </c>
      <c r="HR11" s="1" t="str">
        <f t="shared" si="2"/>
        <v/>
      </c>
      <c r="HS11" s="1" t="str">
        <f t="shared" si="2"/>
        <v/>
      </c>
      <c r="HT11" s="1" t="str">
        <f t="shared" si="2"/>
        <v/>
      </c>
      <c r="HU11" s="1" t="str">
        <f t="shared" si="2"/>
        <v/>
      </c>
      <c r="HV11" s="1" t="str">
        <f t="shared" si="2"/>
        <v/>
      </c>
      <c r="HW11" s="1" t="str">
        <f t="shared" si="2"/>
        <v/>
      </c>
      <c r="HX11" s="1" t="str">
        <f t="shared" si="2"/>
        <v/>
      </c>
      <c r="HY11" s="1" t="str">
        <f t="shared" si="2"/>
        <v/>
      </c>
      <c r="HZ11" s="1" t="str">
        <f t="shared" si="2"/>
        <v/>
      </c>
      <c r="IA11" s="1" t="str">
        <f t="shared" si="2"/>
        <v/>
      </c>
      <c r="IB11" s="1" t="str">
        <f t="shared" si="2"/>
        <v/>
      </c>
      <c r="IC11" s="1" t="str">
        <f t="shared" si="2"/>
        <v/>
      </c>
      <c r="ID11" s="1" t="str">
        <f t="shared" si="2"/>
        <v/>
      </c>
      <c r="IE11" s="1" t="str">
        <f t="shared" si="2"/>
        <v/>
      </c>
      <c r="IF11" s="1" t="str">
        <f t="shared" si="2"/>
        <v/>
      </c>
      <c r="IG11" s="1" t="str">
        <f t="shared" si="2"/>
        <v/>
      </c>
      <c r="IH11" s="1" t="str">
        <f t="shared" si="2"/>
        <v/>
      </c>
      <c r="II11" s="1" t="str">
        <f t="shared" si="2"/>
        <v/>
      </c>
      <c r="IJ11" s="1" t="str">
        <f t="shared" si="2"/>
        <v/>
      </c>
      <c r="IK11" s="1" t="str">
        <f t="shared" si="2"/>
        <v/>
      </c>
      <c r="IL11" s="1" t="str">
        <f t="shared" si="2"/>
        <v/>
      </c>
      <c r="IM11" s="1" t="str">
        <f t="shared" si="2"/>
        <v/>
      </c>
      <c r="IN11" s="1" t="str">
        <f t="shared" si="2"/>
        <v/>
      </c>
      <c r="IO11" s="1" t="str">
        <f t="shared" si="2"/>
        <v/>
      </c>
      <c r="IP11" s="1" t="str">
        <f t="shared" si="2"/>
        <v/>
      </c>
      <c r="IQ11" s="1" t="str">
        <f t="shared" si="2"/>
        <v/>
      </c>
      <c r="IR11" s="1" t="str">
        <f t="shared" si="2"/>
        <v/>
      </c>
      <c r="IS11" s="1" t="str">
        <f t="shared" si="2"/>
        <v/>
      </c>
      <c r="IT11" s="1" t="str">
        <f t="shared" si="2"/>
        <v/>
      </c>
      <c r="IU11" s="1" t="str">
        <f t="shared" si="2"/>
        <v/>
      </c>
      <c r="IV11" s="1" t="str">
        <f t="shared" si="2"/>
        <v/>
      </c>
      <c r="IW11" s="1" t="str">
        <f t="shared" si="2"/>
        <v/>
      </c>
      <c r="IX11" s="1" t="str">
        <f t="shared" si="2"/>
        <v/>
      </c>
      <c r="IY11" s="1" t="str">
        <f t="shared" si="2"/>
        <v/>
      </c>
      <c r="IZ11" s="1" t="str">
        <f t="shared" si="2"/>
        <v/>
      </c>
      <c r="JA11" s="1" t="str">
        <f t="shared" si="2"/>
        <v/>
      </c>
      <c r="JB11" s="1" t="str">
        <f t="shared" si="2"/>
        <v/>
      </c>
      <c r="JC11" s="1" t="str">
        <f t="shared" si="2"/>
        <v/>
      </c>
      <c r="JD11" s="1" t="str">
        <f t="shared" si="2"/>
        <v/>
      </c>
      <c r="JE11" s="1" t="str">
        <f t="shared" si="2"/>
        <v/>
      </c>
      <c r="JF11" s="1" t="str">
        <f t="shared" si="2"/>
        <v/>
      </c>
      <c r="JG11" s="1" t="str">
        <f t="shared" si="2"/>
        <v/>
      </c>
      <c r="JH11" s="1" t="str">
        <f t="shared" si="2"/>
        <v/>
      </c>
      <c r="LY11" s="1"/>
    </row>
    <row r="12" spans="1:337" x14ac:dyDescent="0.25">
      <c r="A12" s="5">
        <v>10</v>
      </c>
      <c r="B12" s="1">
        <v>17291608.271671146</v>
      </c>
      <c r="C12" s="1">
        <v>17324544.714914523</v>
      </c>
      <c r="D12" s="1">
        <v>17346428.826033503</v>
      </c>
      <c r="E12" s="1">
        <v>17173267.171624098</v>
      </c>
      <c r="F12" s="1">
        <v>17300064.033395812</v>
      </c>
      <c r="G12" s="1">
        <v>17423935.578673445</v>
      </c>
      <c r="H12" s="1">
        <v>17538594.576447941</v>
      </c>
      <c r="I12" s="1">
        <v>17683240.403108552</v>
      </c>
      <c r="J12" s="1">
        <v>17727653.616313487</v>
      </c>
      <c r="K12" s="1">
        <v>17882858.444935955</v>
      </c>
      <c r="L12" s="1">
        <v>17769855.758090049</v>
      </c>
      <c r="M12" s="1">
        <v>17757055.013408683</v>
      </c>
      <c r="N12" s="1">
        <v>17808541.56776448</v>
      </c>
      <c r="O12" s="1">
        <v>17860567.091352902</v>
      </c>
      <c r="P12" s="1">
        <v>17846565.899729148</v>
      </c>
      <c r="Q12" s="1">
        <v>17675305.595009737</v>
      </c>
      <c r="R12" s="1">
        <v>17854129.428946801</v>
      </c>
      <c r="S12" s="1">
        <v>18033628.423090898</v>
      </c>
      <c r="T12" s="1">
        <v>18372088.691397965</v>
      </c>
      <c r="U12" s="1">
        <v>18715493.109841727</v>
      </c>
      <c r="V12" s="1">
        <v>19091643.521623515</v>
      </c>
      <c r="W12" s="1">
        <v>19311122.594239585</v>
      </c>
      <c r="X12" s="1">
        <v>19171521.928661138</v>
      </c>
      <c r="Y12" s="1">
        <v>19047840.55513908</v>
      </c>
      <c r="Z12" s="1">
        <v>19126194.74560371</v>
      </c>
      <c r="AA12" s="1">
        <v>19188122.854524799</v>
      </c>
      <c r="AB12" s="1">
        <v>19079177.214418031</v>
      </c>
      <c r="AC12" s="1">
        <v>19006214.108998396</v>
      </c>
      <c r="AD12" s="1">
        <v>19079125.174701393</v>
      </c>
      <c r="AE12" s="1">
        <v>19143410.75057305</v>
      </c>
      <c r="AF12" s="1">
        <v>19138977.494913321</v>
      </c>
      <c r="AG12" s="1">
        <v>19264544.371649869</v>
      </c>
      <c r="AH12" s="1">
        <v>19224358.754688948</v>
      </c>
      <c r="AI12" s="1">
        <v>19536502.365941644</v>
      </c>
      <c r="AJ12" s="1">
        <v>19446026.838771537</v>
      </c>
      <c r="AK12" s="1">
        <v>19532288.943689331</v>
      </c>
      <c r="AL12" s="1">
        <v>19579362.358361028</v>
      </c>
      <c r="AM12" s="1">
        <v>19697713.202741593</v>
      </c>
      <c r="AN12" s="1">
        <v>19635172.561338231</v>
      </c>
      <c r="AO12" s="1">
        <v>19531567.389106251</v>
      </c>
      <c r="AP12" s="1">
        <v>19507151.552695148</v>
      </c>
      <c r="AQ12" s="1">
        <v>19637179.887398049</v>
      </c>
      <c r="AR12" s="1">
        <v>19644887.751950644</v>
      </c>
      <c r="AS12" s="1">
        <v>19771387.475531884</v>
      </c>
      <c r="AT12" s="1">
        <v>19770398.496883538</v>
      </c>
      <c r="AU12" s="1">
        <v>19944697.585506819</v>
      </c>
      <c r="AV12" s="1">
        <v>19837611.092173189</v>
      </c>
      <c r="AW12" s="1">
        <v>19782199.296946399</v>
      </c>
      <c r="AX12" s="1">
        <v>19835819.157377481</v>
      </c>
      <c r="AY12" s="1">
        <v>19789145.920007035</v>
      </c>
      <c r="AZ12" s="1">
        <v>19698597.106816273</v>
      </c>
      <c r="BA12" s="1">
        <v>19384233.836487327</v>
      </c>
      <c r="BB12" s="1">
        <v>19319906.336295407</v>
      </c>
      <c r="BC12" s="1">
        <v>19271284.648053974</v>
      </c>
      <c r="BD12" s="1">
        <v>18942212.215478428</v>
      </c>
      <c r="BE12" s="1">
        <v>19047145.432961021</v>
      </c>
      <c r="BF12" s="1">
        <v>19096935.286861431</v>
      </c>
      <c r="BG12" s="1">
        <v>18867923.089683261</v>
      </c>
      <c r="BH12" s="1">
        <v>18074204.618911754</v>
      </c>
      <c r="BI12" s="1">
        <v>17280819.7608013</v>
      </c>
      <c r="BJ12" s="1">
        <v>17408345.513133392</v>
      </c>
      <c r="BK12" s="1">
        <v>17231222.322565302</v>
      </c>
      <c r="BL12" s="1">
        <v>16817127.695488736</v>
      </c>
      <c r="BM12" s="1">
        <v>16386476.88719254</v>
      </c>
      <c r="BN12" s="1">
        <v>16889341.632120822</v>
      </c>
      <c r="BO12" s="1">
        <v>17236518.387465909</v>
      </c>
      <c r="BP12" s="1">
        <v>17256765.294939823</v>
      </c>
      <c r="BQ12" s="1">
        <v>17343440.662763737</v>
      </c>
      <c r="BR12" s="1">
        <v>17814855.098203897</v>
      </c>
      <c r="BS12" s="1">
        <v>17611898.157303013</v>
      </c>
      <c r="BT12" s="1">
        <v>17537265.810166892</v>
      </c>
      <c r="BU12" s="1">
        <v>17542309.556109942</v>
      </c>
      <c r="BV12" s="1">
        <v>17834905.235451765</v>
      </c>
      <c r="BW12" s="1">
        <v>17559388.378410339</v>
      </c>
      <c r="BX12" s="1">
        <v>17404518.990834981</v>
      </c>
      <c r="BY12" s="1">
        <v>17152106.442986075</v>
      </c>
      <c r="BZ12" s="1">
        <v>17337362.961164013</v>
      </c>
      <c r="CA12" s="1">
        <v>17343520.439946037</v>
      </c>
      <c r="CB12" s="1">
        <v>17385187.383702118</v>
      </c>
      <c r="CC12" s="1">
        <v>17443629.151215419</v>
      </c>
      <c r="CD12" s="1">
        <v>17684462.82250765</v>
      </c>
      <c r="CE12" s="1">
        <v>17760818.945370328</v>
      </c>
      <c r="CF12" s="1">
        <v>17567499.186080724</v>
      </c>
      <c r="CG12" s="1">
        <v>17451978.605859276</v>
      </c>
      <c r="CH12" s="1">
        <v>17605499.441616364</v>
      </c>
      <c r="CI12" s="1">
        <v>17550325.167573258</v>
      </c>
      <c r="CJ12" s="1">
        <v>17143860.508422334</v>
      </c>
      <c r="CK12" s="1">
        <v>17196680.360412486</v>
      </c>
      <c r="CL12" s="1">
        <v>17297163.898710914</v>
      </c>
      <c r="CM12" s="1">
        <v>17297015.288200915</v>
      </c>
      <c r="CN12" s="1">
        <v>17135985.261643499</v>
      </c>
      <c r="CO12" s="1">
        <v>17282055.657527559</v>
      </c>
      <c r="CP12" s="1">
        <v>17331683.390192583</v>
      </c>
      <c r="CQ12" s="1">
        <v>17297699.342468299</v>
      </c>
      <c r="CR12" s="1">
        <v>16909158.21576494</v>
      </c>
      <c r="CS12" s="1">
        <v>16830954.05114831</v>
      </c>
      <c r="CT12" s="1">
        <v>17087584.576570593</v>
      </c>
      <c r="CU12" s="1">
        <v>16736589.991920346</v>
      </c>
      <c r="CV12" s="1">
        <v>16563991.661448387</v>
      </c>
      <c r="CW12" s="1">
        <v>16365994.474587288</v>
      </c>
      <c r="CX12" s="1">
        <v>16270438.842585694</v>
      </c>
      <c r="CY12" s="1">
        <v>16341028.402504459</v>
      </c>
      <c r="CZ12" s="1">
        <v>16561970.964867556</v>
      </c>
      <c r="DA12" s="1">
        <v>16373184.566327784</v>
      </c>
      <c r="DB12" s="1">
        <v>16496039.114109369</v>
      </c>
      <c r="DC12" s="1">
        <v>16434411.370567046</v>
      </c>
      <c r="DD12" s="1">
        <v>16288919.469763141</v>
      </c>
      <c r="DE12" s="1">
        <v>15736818.141477594</v>
      </c>
      <c r="DF12" s="1">
        <v>15836652.724301681</v>
      </c>
      <c r="DG12" s="1">
        <v>15833269.721011655</v>
      </c>
      <c r="DH12" s="1">
        <v>15834622.33472277</v>
      </c>
      <c r="DI12" s="1">
        <v>15602909.247068131</v>
      </c>
      <c r="DJ12" s="1">
        <v>15639433.50301235</v>
      </c>
      <c r="DK12" s="1">
        <v>15860394.811303817</v>
      </c>
      <c r="DL12" s="1">
        <v>15846005.81233599</v>
      </c>
      <c r="DM12" s="1">
        <v>15928108.451015295</v>
      </c>
      <c r="DN12" s="1">
        <v>16129384.478396351</v>
      </c>
      <c r="DO12" s="1">
        <v>16269632.808135185</v>
      </c>
      <c r="DP12" s="1">
        <v>16452969.206892282</v>
      </c>
      <c r="DQ12" s="1">
        <v>16439575.679980518</v>
      </c>
      <c r="DR12" s="1">
        <v>16757388.844167551</v>
      </c>
      <c r="DS12" s="1">
        <v>16496554.104861027</v>
      </c>
      <c r="DT12" s="1">
        <v>16525335.728016049</v>
      </c>
      <c r="DU12" s="1">
        <v>16345900.81223524</v>
      </c>
      <c r="DV12" s="1">
        <v>16568897.384846501</v>
      </c>
      <c r="DW12" s="1">
        <v>16706995.285866316</v>
      </c>
      <c r="DX12" s="1">
        <v>16664289.702108948</v>
      </c>
      <c r="DY12" s="1">
        <v>16852238.26377501</v>
      </c>
      <c r="DZ12" s="1">
        <v>16829435.995713875</v>
      </c>
      <c r="EA12" s="1">
        <v>17057264.044210222</v>
      </c>
      <c r="EB12" s="1">
        <v>16872906.811515015</v>
      </c>
      <c r="EC12" s="1">
        <v>17194236.342736751</v>
      </c>
      <c r="ED12" s="1">
        <v>17313201.193728983</v>
      </c>
      <c r="EE12" s="1">
        <v>17030154.03382637</v>
      </c>
      <c r="EF12" s="1">
        <v>17304381.616652459</v>
      </c>
      <c r="EG12" s="1">
        <v>17357150.870814018</v>
      </c>
      <c r="EH12" s="1">
        <v>17470719.312183049</v>
      </c>
      <c r="EI12" s="1">
        <v>17558198.519524679</v>
      </c>
      <c r="EJ12" s="1">
        <v>17400857.203533567</v>
      </c>
      <c r="EK12" s="1">
        <v>17637002.1423354</v>
      </c>
      <c r="EL12" s="1">
        <v>17442482.654001005</v>
      </c>
      <c r="EM12" s="1">
        <v>17651187.086735465</v>
      </c>
      <c r="EN12" s="1">
        <v>17600856.361155316</v>
      </c>
      <c r="EO12" s="1">
        <v>17670512.194756061</v>
      </c>
      <c r="EP12" s="1">
        <v>17798083.145821832</v>
      </c>
      <c r="EQ12" s="1">
        <v>17657090.45339736</v>
      </c>
      <c r="ER12" s="1">
        <v>17640400.076628163</v>
      </c>
      <c r="ES12" s="1">
        <v>17531823.451311629</v>
      </c>
      <c r="ET12" s="1">
        <v>17611603.995736677</v>
      </c>
      <c r="EU12" s="1">
        <v>17758466.57013531</v>
      </c>
      <c r="EV12" s="1">
        <v>18056865.771274917</v>
      </c>
      <c r="EW12" s="1">
        <v>18212689.861395583</v>
      </c>
      <c r="EX12" s="1">
        <v>18093950.65670424</v>
      </c>
      <c r="EY12" s="1">
        <v>18240878.804867666</v>
      </c>
      <c r="EZ12" s="1">
        <v>18409025.59648367</v>
      </c>
      <c r="FA12" s="1">
        <v>18182018.580501605</v>
      </c>
      <c r="FB12" s="1">
        <v>18281976.236124035</v>
      </c>
      <c r="FC12" s="1">
        <v>18314177.257320039</v>
      </c>
      <c r="FD12" s="1">
        <v>18363120.73371299</v>
      </c>
      <c r="FE12" s="1">
        <v>18314305.919227876</v>
      </c>
      <c r="FF12" s="1">
        <v>18577647.025189009</v>
      </c>
      <c r="FG12" s="1">
        <v>18682247.023502342</v>
      </c>
      <c r="FH12" s="1">
        <v>18768972.201099202</v>
      </c>
      <c r="FI12" s="1">
        <v>18851927.27678201</v>
      </c>
      <c r="FJ12" s="1">
        <v>18659424.419152338</v>
      </c>
      <c r="FK12" s="1">
        <v>18953431.994800501</v>
      </c>
      <c r="FL12" s="1">
        <v>18920799.208379976</v>
      </c>
      <c r="FM12" s="1">
        <v>18943294.15382497</v>
      </c>
      <c r="FN12" s="1">
        <v>18882164.9188798</v>
      </c>
      <c r="FO12" s="1">
        <v>18927030.025125064</v>
      </c>
      <c r="FP12" s="1">
        <v>19003369.749254689</v>
      </c>
      <c r="FQ12" s="1">
        <v>18780822.097428836</v>
      </c>
      <c r="FR12" s="1">
        <v>18858534.29778222</v>
      </c>
      <c r="FS12" s="1">
        <v>19152945.900362875</v>
      </c>
      <c r="FT12" s="1">
        <v>19289387.172322229</v>
      </c>
      <c r="FU12" s="1">
        <v>19346217.847230591</v>
      </c>
      <c r="FV12" s="1">
        <v>19188339.80239971</v>
      </c>
      <c r="FW12" s="1">
        <v>19398442.786827076</v>
      </c>
      <c r="FX12" s="1">
        <v>19556427.689039029</v>
      </c>
      <c r="FY12" s="1">
        <v>19310524.271074206</v>
      </c>
      <c r="FZ12" s="1">
        <v>19603972.379407689</v>
      </c>
      <c r="GA12" s="1">
        <v>19382774.869264428</v>
      </c>
      <c r="GB12" s="1">
        <v>19421724.236611843</v>
      </c>
      <c r="GC12" s="1">
        <v>19362441.660297997</v>
      </c>
      <c r="GD12" s="1">
        <v>19470643.997577302</v>
      </c>
      <c r="GE12" s="1">
        <v>19537585.199862003</v>
      </c>
      <c r="GF12" s="1">
        <v>19686534.343498323</v>
      </c>
      <c r="GG12" s="1">
        <v>19811251.442948662</v>
      </c>
      <c r="GH12" s="1">
        <v>19683865.657213084</v>
      </c>
      <c r="GI12" s="1">
        <v>19762008.132026374</v>
      </c>
      <c r="GJ12" s="1">
        <v>19716637.780675344</v>
      </c>
      <c r="GK12" s="1">
        <v>19669566.784309074</v>
      </c>
      <c r="GL12" s="1">
        <v>19705808.752366699</v>
      </c>
      <c r="GM12" s="1">
        <v>19472983.410155177</v>
      </c>
      <c r="GN12" s="1">
        <v>19734256.956525661</v>
      </c>
      <c r="GO12" s="1">
        <v>18744174.874949612</v>
      </c>
      <c r="GP12" s="1">
        <v>17538826.021656252</v>
      </c>
      <c r="GQ12" s="1">
        <v>17597637.42321413</v>
      </c>
      <c r="GR12" s="1">
        <v>18071381.802820586</v>
      </c>
      <c r="GS12" s="1">
        <v>18475350.863896165</v>
      </c>
      <c r="GT12" s="1">
        <v>19104692.907708976</v>
      </c>
      <c r="GU12" s="1">
        <v>19208561.232509535</v>
      </c>
      <c r="GV12" s="1">
        <v>19098548.328377537</v>
      </c>
      <c r="GW12" s="1">
        <v>19256142.071203936</v>
      </c>
      <c r="GX12" s="1">
        <v>19118501.61865982</v>
      </c>
      <c r="GY12" s="1">
        <v>19033291.972955734</v>
      </c>
      <c r="GZ12" s="1">
        <v>19033672.0165492</v>
      </c>
      <c r="HA12" s="1" t="str">
        <f t="shared" si="2"/>
        <v/>
      </c>
      <c r="HB12" s="1" t="str">
        <f t="shared" si="2"/>
        <v/>
      </c>
      <c r="HC12" s="1" t="str">
        <f t="shared" si="2"/>
        <v/>
      </c>
      <c r="HD12" s="1" t="str">
        <f t="shared" si="2"/>
        <v/>
      </c>
      <c r="HE12" s="1" t="str">
        <f t="shared" si="2"/>
        <v/>
      </c>
      <c r="HF12" s="1" t="str">
        <f t="shared" si="2"/>
        <v/>
      </c>
      <c r="HG12" s="1" t="str">
        <f t="shared" si="2"/>
        <v/>
      </c>
      <c r="HH12" s="1" t="str">
        <f t="shared" si="2"/>
        <v/>
      </c>
      <c r="HI12" s="1" t="str">
        <f t="shared" si="2"/>
        <v/>
      </c>
      <c r="HJ12" s="1" t="str">
        <f t="shared" si="2"/>
        <v/>
      </c>
      <c r="HK12" s="1" t="str">
        <f t="shared" si="2"/>
        <v/>
      </c>
      <c r="HL12" s="1" t="str">
        <f t="shared" si="2"/>
        <v/>
      </c>
      <c r="HM12" s="1" t="str">
        <f t="shared" si="2"/>
        <v/>
      </c>
      <c r="HN12" s="1" t="str">
        <f t="shared" si="2"/>
        <v/>
      </c>
      <c r="HO12" s="1" t="str">
        <f t="shared" si="2"/>
        <v/>
      </c>
      <c r="HP12" s="1" t="str">
        <f t="shared" si="2"/>
        <v/>
      </c>
      <c r="HQ12" s="1" t="str">
        <f t="shared" si="2"/>
        <v/>
      </c>
      <c r="HR12" s="1" t="str">
        <f t="shared" si="2"/>
        <v/>
      </c>
      <c r="HS12" s="1" t="str">
        <f t="shared" si="2"/>
        <v/>
      </c>
      <c r="HT12" s="1" t="str">
        <f t="shared" si="2"/>
        <v/>
      </c>
      <c r="HU12" s="1" t="str">
        <f t="shared" si="2"/>
        <v/>
      </c>
      <c r="HV12" s="1" t="str">
        <f t="shared" si="2"/>
        <v/>
      </c>
      <c r="HW12" s="1" t="str">
        <f t="shared" si="2"/>
        <v/>
      </c>
      <c r="HX12" s="1" t="str">
        <f t="shared" si="2"/>
        <v/>
      </c>
      <c r="HY12" s="1" t="str">
        <f t="shared" si="2"/>
        <v/>
      </c>
      <c r="HZ12" s="1" t="str">
        <f t="shared" si="2"/>
        <v/>
      </c>
      <c r="IA12" s="1" t="str">
        <f t="shared" si="2"/>
        <v/>
      </c>
      <c r="IB12" s="1" t="str">
        <f t="shared" si="2"/>
        <v/>
      </c>
      <c r="IC12" s="1" t="str">
        <f t="shared" si="2"/>
        <v/>
      </c>
      <c r="ID12" s="1" t="str">
        <f t="shared" si="2"/>
        <v/>
      </c>
      <c r="IE12" s="1" t="str">
        <f t="shared" si="2"/>
        <v/>
      </c>
      <c r="IF12" s="1" t="str">
        <f t="shared" si="2"/>
        <v/>
      </c>
      <c r="IG12" s="1" t="str">
        <f t="shared" si="2"/>
        <v/>
      </c>
      <c r="IH12" s="1" t="str">
        <f t="shared" si="2"/>
        <v/>
      </c>
      <c r="II12" s="1" t="str">
        <f t="shared" si="2"/>
        <v/>
      </c>
      <c r="IJ12" s="1" t="str">
        <f t="shared" si="2"/>
        <v/>
      </c>
      <c r="IK12" s="1" t="str">
        <f t="shared" si="2"/>
        <v/>
      </c>
      <c r="IL12" s="1" t="str">
        <f t="shared" si="2"/>
        <v/>
      </c>
      <c r="IM12" s="1" t="str">
        <f t="shared" si="2"/>
        <v/>
      </c>
      <c r="IN12" s="1" t="str">
        <f t="shared" si="2"/>
        <v/>
      </c>
      <c r="IO12" s="1" t="str">
        <f t="shared" si="2"/>
        <v/>
      </c>
      <c r="IP12" s="1" t="str">
        <f t="shared" si="2"/>
        <v/>
      </c>
      <c r="IQ12" s="1" t="str">
        <f t="shared" si="2"/>
        <v/>
      </c>
      <c r="IR12" s="1" t="str">
        <f t="shared" si="2"/>
        <v/>
      </c>
      <c r="IS12" s="1" t="str">
        <f t="shared" si="2"/>
        <v/>
      </c>
      <c r="IT12" s="1" t="str">
        <f t="shared" si="2"/>
        <v/>
      </c>
      <c r="IU12" s="1" t="str">
        <f t="shared" si="2"/>
        <v/>
      </c>
      <c r="IV12" s="1" t="str">
        <f t="shared" si="2"/>
        <v/>
      </c>
      <c r="IW12" s="1" t="str">
        <f t="shared" si="2"/>
        <v/>
      </c>
      <c r="IX12" s="1" t="str">
        <f t="shared" si="2"/>
        <v/>
      </c>
      <c r="IY12" s="1" t="str">
        <f t="shared" si="2"/>
        <v/>
      </c>
      <c r="IZ12" s="1" t="str">
        <f t="shared" si="2"/>
        <v/>
      </c>
      <c r="JA12" s="1" t="str">
        <f t="shared" si="2"/>
        <v/>
      </c>
      <c r="JB12" s="1" t="str">
        <f t="shared" si="2"/>
        <v/>
      </c>
      <c r="JC12" s="1" t="str">
        <f t="shared" si="2"/>
        <v/>
      </c>
      <c r="JD12" s="1" t="str">
        <f t="shared" si="2"/>
        <v/>
      </c>
      <c r="JE12" s="1" t="str">
        <f t="shared" si="2"/>
        <v/>
      </c>
      <c r="JF12" s="1" t="str">
        <f t="shared" si="2"/>
        <v/>
      </c>
      <c r="JG12" s="1" t="str">
        <f t="shared" si="2"/>
        <v/>
      </c>
      <c r="JH12" s="1" t="str">
        <f t="shared" si="2"/>
        <v/>
      </c>
      <c r="LY12" s="1"/>
    </row>
    <row r="13" spans="1:337" x14ac:dyDescent="0.25">
      <c r="A13" s="5">
        <v>11</v>
      </c>
      <c r="B13" s="1">
        <v>17320997.822735243</v>
      </c>
      <c r="C13" s="1">
        <v>17315369.950054653</v>
      </c>
      <c r="D13" s="1">
        <v>17165044.182619728</v>
      </c>
      <c r="E13" s="1">
        <v>17318045.734014459</v>
      </c>
      <c r="F13" s="1">
        <v>17411978.275355581</v>
      </c>
      <c r="G13" s="1">
        <v>17531276.933804657</v>
      </c>
      <c r="H13" s="1">
        <v>17687223.872852445</v>
      </c>
      <c r="I13" s="1">
        <v>17773741.129423551</v>
      </c>
      <c r="J13" s="1">
        <v>17869658.872301638</v>
      </c>
      <c r="K13" s="1">
        <v>17763003.519811675</v>
      </c>
      <c r="L13" s="1">
        <v>17750519.303296976</v>
      </c>
      <c r="M13" s="1">
        <v>17812037.667904004</v>
      </c>
      <c r="N13" s="1">
        <v>17840676.15502587</v>
      </c>
      <c r="O13" s="1">
        <v>17858152.267621465</v>
      </c>
      <c r="P13" s="1">
        <v>17675599.456436019</v>
      </c>
      <c r="Q13" s="1">
        <v>17815594.86921031</v>
      </c>
      <c r="R13" s="1">
        <v>17966883.369045664</v>
      </c>
      <c r="S13" s="1">
        <v>18149427.367211152</v>
      </c>
      <c r="T13" s="1">
        <v>18552656.25326908</v>
      </c>
      <c r="U13" s="1">
        <v>18878392.998184811</v>
      </c>
      <c r="V13" s="1">
        <v>19292625.184504382</v>
      </c>
      <c r="W13" s="1">
        <v>19212987.410029609</v>
      </c>
      <c r="X13" s="1">
        <v>19197830.377169766</v>
      </c>
      <c r="Y13" s="1">
        <v>19128743.644339088</v>
      </c>
      <c r="Z13" s="1">
        <v>19169324.381065443</v>
      </c>
      <c r="AA13" s="1">
        <v>19184266.242197741</v>
      </c>
      <c r="AB13" s="1">
        <v>18919976.282222845</v>
      </c>
      <c r="AC13" s="1">
        <v>19148268.469915926</v>
      </c>
      <c r="AD13" s="1">
        <v>19208937.27732306</v>
      </c>
      <c r="AE13" s="1">
        <v>19270262.495880008</v>
      </c>
      <c r="AF13" s="1">
        <v>19313511.892569538</v>
      </c>
      <c r="AG13" s="1">
        <v>19395778.183975205</v>
      </c>
      <c r="AH13" s="1">
        <v>19385740.573698275</v>
      </c>
      <c r="AI13" s="1">
        <v>19400447.074358102</v>
      </c>
      <c r="AJ13" s="1">
        <v>19450787.803919479</v>
      </c>
      <c r="AK13" s="1">
        <v>19618491.3461136</v>
      </c>
      <c r="AL13" s="1">
        <v>19626560.517760813</v>
      </c>
      <c r="AM13" s="1">
        <v>19693874.513308931</v>
      </c>
      <c r="AN13" s="1">
        <v>19470145.900687046</v>
      </c>
      <c r="AO13" s="1">
        <v>19683960.633165561</v>
      </c>
      <c r="AP13" s="1">
        <v>19639897.228992932</v>
      </c>
      <c r="AQ13" s="1">
        <v>19747060.478036307</v>
      </c>
      <c r="AR13" s="1">
        <v>19813647.712644152</v>
      </c>
      <c r="AS13" s="1">
        <v>19871659.161721952</v>
      </c>
      <c r="AT13" s="1">
        <v>19901283.6383074</v>
      </c>
      <c r="AU13" s="1">
        <v>19775585.778566308</v>
      </c>
      <c r="AV13" s="1">
        <v>19833800.491971787</v>
      </c>
      <c r="AW13" s="1">
        <v>19849247.346834127</v>
      </c>
      <c r="AX13" s="1">
        <v>19866233.131995529</v>
      </c>
      <c r="AY13" s="1">
        <v>19770490.941710711</v>
      </c>
      <c r="AZ13" s="1">
        <v>19507092.842235971</v>
      </c>
      <c r="BA13" s="1">
        <v>19496138.270681284</v>
      </c>
      <c r="BB13" s="1">
        <v>19394283.611580148</v>
      </c>
      <c r="BC13" s="1">
        <v>19332166.028261282</v>
      </c>
      <c r="BD13" s="1">
        <v>19011454.583800875</v>
      </c>
      <c r="BE13" s="1">
        <v>19042569.366335303</v>
      </c>
      <c r="BF13" s="1">
        <v>19159991.484806031</v>
      </c>
      <c r="BG13" s="1">
        <v>18638816.016010448</v>
      </c>
      <c r="BH13" s="1">
        <v>17959788.769029871</v>
      </c>
      <c r="BI13" s="1">
        <v>17161464.09617798</v>
      </c>
      <c r="BJ13" s="1">
        <v>17252591.222125079</v>
      </c>
      <c r="BK13" s="1">
        <v>17055342.869152039</v>
      </c>
      <c r="BL13" s="1">
        <v>16470957.174552269</v>
      </c>
      <c r="BM13" s="1">
        <v>16299834.143860362</v>
      </c>
      <c r="BN13" s="1">
        <v>16890642.98477345</v>
      </c>
      <c r="BO13" s="1">
        <v>17243911.894896422</v>
      </c>
      <c r="BP13" s="1">
        <v>17328394.935431387</v>
      </c>
      <c r="BQ13" s="1">
        <v>17342695.608876545</v>
      </c>
      <c r="BR13" s="1">
        <v>17892432.10362538</v>
      </c>
      <c r="BS13" s="1">
        <v>17435203.948769648</v>
      </c>
      <c r="BT13" s="1">
        <v>17487053.936182201</v>
      </c>
      <c r="BU13" s="1">
        <v>17535555.898880333</v>
      </c>
      <c r="BV13" s="1">
        <v>17821545.926991209</v>
      </c>
      <c r="BW13" s="1">
        <v>17488589.881076597</v>
      </c>
      <c r="BX13" s="1">
        <v>17186565.732881214</v>
      </c>
      <c r="BY13" s="1">
        <v>17189587.442376271</v>
      </c>
      <c r="BZ13" s="1">
        <v>17377531.322640933</v>
      </c>
      <c r="CA13" s="1">
        <v>17386978.110111028</v>
      </c>
      <c r="CB13" s="1">
        <v>17489972.655343983</v>
      </c>
      <c r="CC13" s="1">
        <v>17481871.052252237</v>
      </c>
      <c r="CD13" s="1">
        <v>17771334.160406329</v>
      </c>
      <c r="CE13" s="1">
        <v>17597343.658092968</v>
      </c>
      <c r="CF13" s="1">
        <v>17517137.374153636</v>
      </c>
      <c r="CG13" s="1">
        <v>17459284.695741341</v>
      </c>
      <c r="CH13" s="1">
        <v>17564939.754853338</v>
      </c>
      <c r="CI13" s="1">
        <v>17503860.821297061</v>
      </c>
      <c r="CJ13" s="1">
        <v>16908722.301732708</v>
      </c>
      <c r="CK13" s="1">
        <v>17191680.802953541</v>
      </c>
      <c r="CL13" s="1">
        <v>17340528.662548151</v>
      </c>
      <c r="CM13" s="1">
        <v>17364066.005145825</v>
      </c>
      <c r="CN13" s="1">
        <v>17241807.954275031</v>
      </c>
      <c r="CO13" s="1">
        <v>17281781.668080244</v>
      </c>
      <c r="CP13" s="1">
        <v>17384892.446606867</v>
      </c>
      <c r="CQ13" s="1">
        <v>17207075.065685526</v>
      </c>
      <c r="CR13" s="1">
        <v>16841864.411054194</v>
      </c>
      <c r="CS13" s="1">
        <v>16769332.362356314</v>
      </c>
      <c r="CT13" s="1">
        <v>17020274.935488187</v>
      </c>
      <c r="CU13" s="1">
        <v>16674708.925298568</v>
      </c>
      <c r="CV13" s="1">
        <v>16305738.995594708</v>
      </c>
      <c r="CW13" s="1">
        <v>16328825.537007984</v>
      </c>
      <c r="CX13" s="1">
        <v>16276823.298527867</v>
      </c>
      <c r="CY13" s="1">
        <v>16374315.698062763</v>
      </c>
      <c r="CZ13" s="1">
        <v>16652431.764486641</v>
      </c>
      <c r="DA13" s="1">
        <v>16390138.047399871</v>
      </c>
      <c r="DB13" s="1">
        <v>16512188.344884235</v>
      </c>
      <c r="DC13" s="1">
        <v>16349189.074317578</v>
      </c>
      <c r="DD13" s="1">
        <v>16216420.860118084</v>
      </c>
      <c r="DE13" s="1">
        <v>15657391.176555675</v>
      </c>
      <c r="DF13" s="1">
        <v>15704665.617040329</v>
      </c>
      <c r="DG13" s="1">
        <v>15760961.076694228</v>
      </c>
      <c r="DH13" s="1">
        <v>15574382.587878674</v>
      </c>
      <c r="DI13" s="1">
        <v>15582511.557686467</v>
      </c>
      <c r="DJ13" s="1">
        <v>15657634.735652208</v>
      </c>
      <c r="DK13" s="1">
        <v>15907322.190514363</v>
      </c>
      <c r="DL13" s="1">
        <v>15960015.960709866</v>
      </c>
      <c r="DM13" s="1">
        <v>15960512.722617406</v>
      </c>
      <c r="DN13" s="1">
        <v>16179593.641501557</v>
      </c>
      <c r="DO13" s="1">
        <v>16178710.700306647</v>
      </c>
      <c r="DP13" s="1">
        <v>16421062.01849968</v>
      </c>
      <c r="DQ13" s="1">
        <v>16452268.335393572</v>
      </c>
      <c r="DR13" s="1">
        <v>16689354.603286896</v>
      </c>
      <c r="DS13" s="1">
        <v>16500741.812230438</v>
      </c>
      <c r="DT13" s="1">
        <v>16322154.79143244</v>
      </c>
      <c r="DU13" s="1">
        <v>16373118.097177012</v>
      </c>
      <c r="DV13" s="1">
        <v>16650721.539257493</v>
      </c>
      <c r="DW13" s="1">
        <v>16814967.497034103</v>
      </c>
      <c r="DX13" s="1">
        <v>16830893.270840529</v>
      </c>
      <c r="DY13" s="1">
        <v>16904607.653482482</v>
      </c>
      <c r="DZ13" s="1">
        <v>16898289.259291336</v>
      </c>
      <c r="EA13" s="1">
        <v>16953409.435447991</v>
      </c>
      <c r="EB13" s="1">
        <v>16852990.169405676</v>
      </c>
      <c r="EC13" s="1">
        <v>17230520.728410617</v>
      </c>
      <c r="ED13" s="1">
        <v>17294576.572660342</v>
      </c>
      <c r="EE13" s="1">
        <v>17056183.75391835</v>
      </c>
      <c r="EF13" s="1">
        <v>17110771.951033793</v>
      </c>
      <c r="EG13" s="1">
        <v>17440257.541967154</v>
      </c>
      <c r="EH13" s="1">
        <v>17601493.759755224</v>
      </c>
      <c r="EI13" s="1">
        <v>17681788.481237367</v>
      </c>
      <c r="EJ13" s="1">
        <v>17591708.408489987</v>
      </c>
      <c r="EK13" s="1">
        <v>17692973.62217392</v>
      </c>
      <c r="EL13" s="1">
        <v>17475331.593925308</v>
      </c>
      <c r="EM13" s="1">
        <v>17538982.248861924</v>
      </c>
      <c r="EN13" s="1">
        <v>17578157.912637688</v>
      </c>
      <c r="EO13" s="1">
        <v>17700379.850566804</v>
      </c>
      <c r="EP13" s="1">
        <v>17769064.752765231</v>
      </c>
      <c r="EQ13" s="1">
        <v>17692111.258910261</v>
      </c>
      <c r="ER13" s="1">
        <v>17435684.502513465</v>
      </c>
      <c r="ES13" s="1">
        <v>17595159.158967737</v>
      </c>
      <c r="ET13" s="1">
        <v>17731696.152886678</v>
      </c>
      <c r="EU13" s="1">
        <v>17896598.645919073</v>
      </c>
      <c r="EV13" s="1">
        <v>18245977.872134067</v>
      </c>
      <c r="EW13" s="1">
        <v>18307582.444865756</v>
      </c>
      <c r="EX13" s="1">
        <v>18187413.678421959</v>
      </c>
      <c r="EY13" s="1">
        <v>18111966.9835748</v>
      </c>
      <c r="EZ13" s="1">
        <v>18421126.179639146</v>
      </c>
      <c r="FA13" s="1">
        <v>18230197.855274156</v>
      </c>
      <c r="FB13" s="1">
        <v>18248199.844147418</v>
      </c>
      <c r="FC13" s="1">
        <v>18351017.4879454</v>
      </c>
      <c r="FD13" s="1">
        <v>18170744.916121278</v>
      </c>
      <c r="FE13" s="1">
        <v>18382434.006989278</v>
      </c>
      <c r="FF13" s="1">
        <v>18724666.199884839</v>
      </c>
      <c r="FG13" s="1">
        <v>18819353.80446294</v>
      </c>
      <c r="FH13" s="1">
        <v>18972027.18099416</v>
      </c>
      <c r="FI13" s="1">
        <v>18928139.956415467</v>
      </c>
      <c r="FJ13" s="1">
        <v>18729252.94577001</v>
      </c>
      <c r="FK13" s="1">
        <v>18804939.065525513</v>
      </c>
      <c r="FL13" s="1">
        <v>18933178.645738542</v>
      </c>
      <c r="FM13" s="1">
        <v>19006328.265386544</v>
      </c>
      <c r="FN13" s="1">
        <v>18865145.455289431</v>
      </c>
      <c r="FO13" s="1">
        <v>18956433.452107139</v>
      </c>
      <c r="FP13" s="1">
        <v>18812296.814230084</v>
      </c>
      <c r="FQ13" s="1">
        <v>18841117.615267374</v>
      </c>
      <c r="FR13" s="1">
        <v>18971143.110572517</v>
      </c>
      <c r="FS13" s="1">
        <v>19302223.733353361</v>
      </c>
      <c r="FT13" s="1">
        <v>19483101.933280602</v>
      </c>
      <c r="FU13" s="1">
        <v>19424791.503661547</v>
      </c>
      <c r="FV13" s="1">
        <v>19239302.019408971</v>
      </c>
      <c r="FW13" s="1">
        <v>19230213.225847751</v>
      </c>
      <c r="FX13" s="1">
        <v>19575631.847874932</v>
      </c>
      <c r="FY13" s="1">
        <v>19369706.688943073</v>
      </c>
      <c r="FZ13" s="1">
        <v>19562939.099168237</v>
      </c>
      <c r="GA13" s="1">
        <v>19415625.02289822</v>
      </c>
      <c r="GB13" s="1">
        <v>19214102.491997309</v>
      </c>
      <c r="GC13" s="1">
        <v>19425209.024147771</v>
      </c>
      <c r="GD13" s="1">
        <v>19599410.010311075</v>
      </c>
      <c r="GE13" s="1">
        <v>19703142.407985903</v>
      </c>
      <c r="GF13" s="1">
        <v>19902313.9599507</v>
      </c>
      <c r="GG13" s="1">
        <v>19866083.876126282</v>
      </c>
      <c r="GH13" s="1">
        <v>19727660.643456377</v>
      </c>
      <c r="GI13" s="1">
        <v>19576201.072202578</v>
      </c>
      <c r="GJ13" s="1">
        <v>19712771.497241132</v>
      </c>
      <c r="GK13" s="1">
        <v>19712506.094879851</v>
      </c>
      <c r="GL13" s="1">
        <v>19650292.728335597</v>
      </c>
      <c r="GM13" s="1">
        <v>19496811.015622921</v>
      </c>
      <c r="GN13" s="1">
        <v>19508252.403583668</v>
      </c>
      <c r="GO13" s="1">
        <v>18756470.46782966</v>
      </c>
      <c r="GP13" s="1">
        <v>17524642.216980547</v>
      </c>
      <c r="GQ13" s="1">
        <v>17473360.496517479</v>
      </c>
      <c r="GR13" s="1">
        <v>18167583.791308504</v>
      </c>
      <c r="GS13" s="1">
        <v>18534319.468816884</v>
      </c>
      <c r="GT13" s="1">
        <v>19207948.269195866</v>
      </c>
      <c r="GU13" s="1">
        <v>19054817.714552492</v>
      </c>
      <c r="GV13" s="1">
        <v>19097618.561531942</v>
      </c>
      <c r="GW13" s="1">
        <v>19279498.904156987</v>
      </c>
      <c r="GX13" s="1">
        <v>19058418.000158541</v>
      </c>
      <c r="GY13" s="1">
        <v>19059806.078820124</v>
      </c>
      <c r="GZ13" s="1">
        <v>18879302.032358602</v>
      </c>
      <c r="HA13" s="1" t="str">
        <f t="shared" si="2"/>
        <v/>
      </c>
      <c r="HB13" s="1" t="str">
        <f t="shared" si="2"/>
        <v/>
      </c>
      <c r="HC13" s="1" t="str">
        <f t="shared" si="2"/>
        <v/>
      </c>
      <c r="HD13" s="1" t="str">
        <f t="shared" si="2"/>
        <v/>
      </c>
      <c r="HE13" s="1" t="str">
        <f t="shared" si="2"/>
        <v/>
      </c>
      <c r="HF13" s="1" t="str">
        <f t="shared" si="2"/>
        <v/>
      </c>
      <c r="HG13" s="1" t="str">
        <f t="shared" si="2"/>
        <v/>
      </c>
      <c r="HH13" s="1" t="str">
        <f t="shared" si="2"/>
        <v/>
      </c>
      <c r="HI13" s="1" t="str">
        <f t="shared" si="2"/>
        <v/>
      </c>
      <c r="HJ13" s="1" t="str">
        <f t="shared" si="2"/>
        <v/>
      </c>
      <c r="HK13" s="1" t="str">
        <f t="shared" si="2"/>
        <v/>
      </c>
      <c r="HL13" s="1" t="str">
        <f t="shared" si="2"/>
        <v/>
      </c>
      <c r="HM13" s="1" t="str">
        <f t="shared" si="2"/>
        <v/>
      </c>
      <c r="HN13" s="1" t="str">
        <f t="shared" si="2"/>
        <v/>
      </c>
      <c r="HO13" s="1" t="str">
        <f t="shared" si="2"/>
        <v/>
      </c>
      <c r="HP13" s="1" t="str">
        <f t="shared" si="2"/>
        <v/>
      </c>
      <c r="HQ13" s="1" t="str">
        <f t="shared" si="2"/>
        <v/>
      </c>
      <c r="HR13" s="1" t="str">
        <f t="shared" si="2"/>
        <v/>
      </c>
      <c r="HS13" s="1" t="str">
        <f t="shared" si="2"/>
        <v/>
      </c>
      <c r="HT13" s="1" t="str">
        <f t="shared" si="2"/>
        <v/>
      </c>
      <c r="HU13" s="1" t="str">
        <f t="shared" si="2"/>
        <v/>
      </c>
      <c r="HV13" s="1" t="str">
        <f t="shared" si="2"/>
        <v/>
      </c>
      <c r="HW13" s="1" t="str">
        <f t="shared" si="2"/>
        <v/>
      </c>
      <c r="HX13" s="1" t="str">
        <f t="shared" si="2"/>
        <v/>
      </c>
      <c r="HY13" s="1" t="str">
        <f t="shared" si="2"/>
        <v/>
      </c>
      <c r="HZ13" s="1" t="str">
        <f t="shared" si="2"/>
        <v/>
      </c>
      <c r="IA13" s="1" t="str">
        <f t="shared" si="2"/>
        <v/>
      </c>
      <c r="IB13" s="1" t="str">
        <f t="shared" si="2"/>
        <v/>
      </c>
      <c r="IC13" s="1" t="str">
        <f t="shared" si="2"/>
        <v/>
      </c>
      <c r="ID13" s="1" t="str">
        <f t="shared" si="2"/>
        <v/>
      </c>
      <c r="IE13" s="1" t="str">
        <f t="shared" si="2"/>
        <v/>
      </c>
      <c r="IF13" s="1" t="str">
        <f t="shared" si="2"/>
        <v/>
      </c>
      <c r="IG13" s="1" t="str">
        <f t="shared" si="2"/>
        <v/>
      </c>
      <c r="IH13" s="1" t="str">
        <f t="shared" si="2"/>
        <v/>
      </c>
      <c r="II13" s="1" t="str">
        <f t="shared" si="2"/>
        <v/>
      </c>
      <c r="IJ13" s="1" t="str">
        <f t="shared" si="2"/>
        <v/>
      </c>
      <c r="IK13" s="1" t="str">
        <f t="shared" si="2"/>
        <v/>
      </c>
      <c r="IL13" s="1" t="str">
        <f t="shared" si="2"/>
        <v/>
      </c>
      <c r="IM13" s="1" t="str">
        <f t="shared" si="2"/>
        <v/>
      </c>
      <c r="IN13" s="1" t="str">
        <f t="shared" si="2"/>
        <v/>
      </c>
      <c r="IO13" s="1" t="str">
        <f t="shared" si="2"/>
        <v/>
      </c>
      <c r="IP13" s="1" t="str">
        <f t="shared" si="2"/>
        <v/>
      </c>
      <c r="IQ13" s="1" t="str">
        <f t="shared" si="2"/>
        <v/>
      </c>
      <c r="IR13" s="1" t="str">
        <f t="shared" si="2"/>
        <v/>
      </c>
      <c r="IS13" s="1" t="str">
        <f t="shared" si="2"/>
        <v/>
      </c>
      <c r="IT13" s="1" t="str">
        <f t="shared" si="2"/>
        <v/>
      </c>
      <c r="IU13" s="1" t="str">
        <f t="shared" si="2"/>
        <v/>
      </c>
      <c r="IV13" s="1" t="str">
        <f t="shared" si="2"/>
        <v/>
      </c>
      <c r="IW13" s="1" t="str">
        <f t="shared" si="2"/>
        <v/>
      </c>
      <c r="IX13" s="1" t="str">
        <f t="shared" si="2"/>
        <v/>
      </c>
      <c r="IY13" s="1" t="str">
        <f t="shared" si="2"/>
        <v/>
      </c>
      <c r="IZ13" s="1" t="str">
        <f t="shared" si="2"/>
        <v/>
      </c>
      <c r="JA13" s="1" t="str">
        <f t="shared" si="2"/>
        <v/>
      </c>
      <c r="JB13" s="1" t="str">
        <f t="shared" si="2"/>
        <v/>
      </c>
      <c r="JC13" s="1" t="str">
        <f t="shared" si="2"/>
        <v/>
      </c>
      <c r="JD13" s="1" t="str">
        <f t="shared" si="2"/>
        <v/>
      </c>
      <c r="JE13" s="1" t="str">
        <f t="shared" si="2"/>
        <v/>
      </c>
      <c r="JF13" s="1" t="str">
        <f t="shared" si="2"/>
        <v/>
      </c>
      <c r="JG13" s="1" t="str">
        <f t="shared" si="2"/>
        <v/>
      </c>
      <c r="JH13" s="1" t="str">
        <f t="shared" si="2"/>
        <v/>
      </c>
      <c r="LY13" s="1"/>
    </row>
    <row r="14" spans="1:337" x14ac:dyDescent="0.25">
      <c r="A14" s="5">
        <v>12</v>
      </c>
      <c r="B14" s="1">
        <v>17319143.554696225</v>
      </c>
      <c r="C14" s="1">
        <v>17125933.6482381</v>
      </c>
      <c r="D14" s="1">
        <v>17305990.414075024</v>
      </c>
      <c r="E14" s="1">
        <v>17430825.603275865</v>
      </c>
      <c r="F14" s="1">
        <v>17517199.778394654</v>
      </c>
      <c r="G14" s="1">
        <v>17677725.893906344</v>
      </c>
      <c r="H14" s="1">
        <v>17782077.437822968</v>
      </c>
      <c r="I14" s="1">
        <v>17915510.189614072</v>
      </c>
      <c r="J14" s="1">
        <v>17737858.751642346</v>
      </c>
      <c r="K14" s="1">
        <v>17740940.538239352</v>
      </c>
      <c r="L14" s="1">
        <v>17807897.659492329</v>
      </c>
      <c r="M14" s="1">
        <v>17844354.791707218</v>
      </c>
      <c r="N14" s="1">
        <v>17834930.202344783</v>
      </c>
      <c r="O14" s="1">
        <v>17677449.610873468</v>
      </c>
      <c r="P14" s="1">
        <v>17817775.195713282</v>
      </c>
      <c r="Q14" s="1">
        <v>17927839.953856349</v>
      </c>
      <c r="R14" s="1">
        <v>18076264.338547103</v>
      </c>
      <c r="S14" s="1">
        <v>18309434.081554454</v>
      </c>
      <c r="T14" s="1">
        <v>18675979.225619107</v>
      </c>
      <c r="U14" s="1">
        <v>19078228.890910644</v>
      </c>
      <c r="V14" s="1">
        <v>19196026.348569125</v>
      </c>
      <c r="W14" s="1">
        <v>19227462.223129831</v>
      </c>
      <c r="X14" s="1">
        <v>19295703.179239526</v>
      </c>
      <c r="Y14" s="1">
        <v>19172007.271715511</v>
      </c>
      <c r="Z14" s="1">
        <v>19165611.144092701</v>
      </c>
      <c r="AA14" s="1">
        <v>19032789.267807938</v>
      </c>
      <c r="AB14" s="1">
        <v>19068928.121865097</v>
      </c>
      <c r="AC14" s="1">
        <v>19275926.529771607</v>
      </c>
      <c r="AD14" s="1">
        <v>19341831.435087241</v>
      </c>
      <c r="AE14" s="1">
        <v>19441333.579109199</v>
      </c>
      <c r="AF14" s="1">
        <v>19451660.302417509</v>
      </c>
      <c r="AG14" s="1">
        <v>19557424.000754334</v>
      </c>
      <c r="AH14" s="1">
        <v>19233428.168196373</v>
      </c>
      <c r="AI14" s="1">
        <v>19404171.544314392</v>
      </c>
      <c r="AJ14" s="1">
        <v>19531613.864136178</v>
      </c>
      <c r="AK14" s="1">
        <v>19669284.111365225</v>
      </c>
      <c r="AL14" s="1">
        <v>19626656.439344548</v>
      </c>
      <c r="AM14" s="1">
        <v>19532043.596321248</v>
      </c>
      <c r="AN14" s="1">
        <v>19619174.21591099</v>
      </c>
      <c r="AO14" s="1">
        <v>19822659.259056978</v>
      </c>
      <c r="AP14" s="1">
        <v>19744898.086848281</v>
      </c>
      <c r="AQ14" s="1">
        <v>19909321.769967981</v>
      </c>
      <c r="AR14" s="1">
        <v>19917551.612920284</v>
      </c>
      <c r="AS14" s="1">
        <v>20007909.017009798</v>
      </c>
      <c r="AT14" s="1">
        <v>19730554.534034103</v>
      </c>
      <c r="AU14" s="1">
        <v>19767733.173944347</v>
      </c>
      <c r="AV14" s="1">
        <v>19910239.71996161</v>
      </c>
      <c r="AW14" s="1">
        <v>19877424.070532411</v>
      </c>
      <c r="AX14" s="1">
        <v>19852939.919433244</v>
      </c>
      <c r="AY14" s="1">
        <v>19581960.167673457</v>
      </c>
      <c r="AZ14" s="1">
        <v>19625286.055915285</v>
      </c>
      <c r="BA14" s="1">
        <v>19587501.67255329</v>
      </c>
      <c r="BB14" s="1">
        <v>19450993.48577613</v>
      </c>
      <c r="BC14" s="1">
        <v>19420972.685022436</v>
      </c>
      <c r="BD14" s="1">
        <v>18990360.280731857</v>
      </c>
      <c r="BE14" s="1">
        <v>19086726.498085532</v>
      </c>
      <c r="BF14" s="1">
        <v>18938022.499692827</v>
      </c>
      <c r="BG14" s="1">
        <v>18556216.926340207</v>
      </c>
      <c r="BH14" s="1">
        <v>17908580.673743561</v>
      </c>
      <c r="BI14" s="1">
        <v>16986734.078495286</v>
      </c>
      <c r="BJ14" s="1">
        <v>17076282.900230899</v>
      </c>
      <c r="BK14" s="1">
        <v>16724953.781277008</v>
      </c>
      <c r="BL14" s="1">
        <v>16410763.465878373</v>
      </c>
      <c r="BM14" s="1">
        <v>16207069.338571627</v>
      </c>
      <c r="BN14" s="1">
        <v>16872938.096527286</v>
      </c>
      <c r="BO14" s="1">
        <v>17307206.155862793</v>
      </c>
      <c r="BP14" s="1">
        <v>17332182.877728235</v>
      </c>
      <c r="BQ14" s="1">
        <v>17391512.607368294</v>
      </c>
      <c r="BR14" s="1">
        <v>17747908.334970538</v>
      </c>
      <c r="BS14" s="1">
        <v>17371427.314144634</v>
      </c>
      <c r="BT14" s="1">
        <v>17491489.389122594</v>
      </c>
      <c r="BU14" s="1">
        <v>17493288.825427487</v>
      </c>
      <c r="BV14" s="1">
        <v>17741501.340943452</v>
      </c>
      <c r="BW14" s="1">
        <v>17242899.970395382</v>
      </c>
      <c r="BX14" s="1">
        <v>17190492.947147366</v>
      </c>
      <c r="BY14" s="1">
        <v>17236225.864112545</v>
      </c>
      <c r="BZ14" s="1">
        <v>17403868.291281771</v>
      </c>
      <c r="CA14" s="1">
        <v>17487343.731974099</v>
      </c>
      <c r="CB14" s="1">
        <v>17527598.115670066</v>
      </c>
      <c r="CC14" s="1">
        <v>17564611.271799311</v>
      </c>
      <c r="CD14" s="1">
        <v>17607717.608287662</v>
      </c>
      <c r="CE14" s="1">
        <v>17550455.760279104</v>
      </c>
      <c r="CF14" s="1">
        <v>17519304.583601691</v>
      </c>
      <c r="CG14" s="1">
        <v>17423337.090816557</v>
      </c>
      <c r="CH14" s="1">
        <v>17520014.386343136</v>
      </c>
      <c r="CI14" s="1">
        <v>17271137.428735621</v>
      </c>
      <c r="CJ14" s="1">
        <v>16906957.37077602</v>
      </c>
      <c r="CK14" s="1">
        <v>17227726.881319154</v>
      </c>
      <c r="CL14" s="1">
        <v>17416283.206047192</v>
      </c>
      <c r="CM14" s="1">
        <v>17478810.650077779</v>
      </c>
      <c r="CN14" s="1">
        <v>17255497.373701684</v>
      </c>
      <c r="CO14" s="1">
        <v>17333087.85350471</v>
      </c>
      <c r="CP14" s="1">
        <v>17265153.564343687</v>
      </c>
      <c r="CQ14" s="1">
        <v>17144200.505094029</v>
      </c>
      <c r="CR14" s="1">
        <v>16799569.100707274</v>
      </c>
      <c r="CS14" s="1">
        <v>16681269.62203056</v>
      </c>
      <c r="CT14" s="1">
        <v>16978197.814954765</v>
      </c>
      <c r="CU14" s="1">
        <v>16509783.305789556</v>
      </c>
      <c r="CV14" s="1">
        <v>16251641.050494181</v>
      </c>
      <c r="CW14" s="1">
        <v>16346956.73288811</v>
      </c>
      <c r="CX14" s="1">
        <v>16306462.333161663</v>
      </c>
      <c r="CY14" s="1">
        <v>16454024.771365635</v>
      </c>
      <c r="CZ14" s="1">
        <v>16679605.589585254</v>
      </c>
      <c r="DA14" s="1">
        <v>16423339.180165686</v>
      </c>
      <c r="DB14" s="1">
        <v>16416671.155087721</v>
      </c>
      <c r="DC14" s="1">
        <v>16271931.62359193</v>
      </c>
      <c r="DD14" s="1">
        <v>16167902.231107183</v>
      </c>
      <c r="DE14" s="1">
        <v>15474449.853260621</v>
      </c>
      <c r="DF14" s="1">
        <v>15617069.373058643</v>
      </c>
      <c r="DG14" s="1">
        <v>15519576.811514959</v>
      </c>
      <c r="DH14" s="1">
        <v>15562329.436309773</v>
      </c>
      <c r="DI14" s="1">
        <v>15607677.233847613</v>
      </c>
      <c r="DJ14" s="1">
        <v>15700388.919660503</v>
      </c>
      <c r="DK14" s="1">
        <v>16000548.560496036</v>
      </c>
      <c r="DL14" s="1">
        <v>15994094.424533308</v>
      </c>
      <c r="DM14" s="1">
        <v>16014886.851545084</v>
      </c>
      <c r="DN14" s="1">
        <v>16083930.615630412</v>
      </c>
      <c r="DO14" s="1">
        <v>16124185.155626785</v>
      </c>
      <c r="DP14" s="1">
        <v>16443130.114179932</v>
      </c>
      <c r="DQ14" s="1">
        <v>16370294.638842449</v>
      </c>
      <c r="DR14" s="1">
        <v>16709676.349180587</v>
      </c>
      <c r="DS14" s="1">
        <v>16330655.556428211</v>
      </c>
      <c r="DT14" s="1">
        <v>16357203.910760421</v>
      </c>
      <c r="DU14" s="1">
        <v>16443760.330589384</v>
      </c>
      <c r="DV14" s="1">
        <v>16760935.320295371</v>
      </c>
      <c r="DW14" s="1">
        <v>16985854.561378729</v>
      </c>
      <c r="DX14" s="1">
        <v>16886922.374240518</v>
      </c>
      <c r="DY14" s="1">
        <v>16961137.207628757</v>
      </c>
      <c r="DZ14" s="1">
        <v>16794045.602006357</v>
      </c>
      <c r="EA14" s="1">
        <v>16949083.045170449</v>
      </c>
      <c r="EB14" s="1">
        <v>16867303.534973282</v>
      </c>
      <c r="EC14" s="1">
        <v>17203092.861112975</v>
      </c>
      <c r="ED14" s="1">
        <v>17345583.799117025</v>
      </c>
      <c r="EE14" s="1">
        <v>16869606.348480731</v>
      </c>
      <c r="EF14" s="1">
        <v>17180442.480065927</v>
      </c>
      <c r="EG14" s="1">
        <v>17568921.080037419</v>
      </c>
      <c r="EH14" s="1">
        <v>17751510.751048718</v>
      </c>
      <c r="EI14" s="1">
        <v>17863653.561869442</v>
      </c>
      <c r="EJ14" s="1">
        <v>17640816.687334307</v>
      </c>
      <c r="EK14" s="1">
        <v>17751291.30936265</v>
      </c>
      <c r="EL14" s="1">
        <v>17392362.953550462</v>
      </c>
      <c r="EM14" s="1">
        <v>17512420.776554618</v>
      </c>
      <c r="EN14" s="1">
        <v>17560212.152036835</v>
      </c>
      <c r="EO14" s="1">
        <v>17674132.365078609</v>
      </c>
      <c r="EP14" s="1">
        <v>17846522.879483942</v>
      </c>
      <c r="EQ14" s="1">
        <v>17492017.632395029</v>
      </c>
      <c r="ER14" s="1">
        <v>17488321.145285603</v>
      </c>
      <c r="ES14" s="1">
        <v>17720200.070776127</v>
      </c>
      <c r="ET14" s="1">
        <v>17887954.402625442</v>
      </c>
      <c r="EU14" s="1">
        <v>18081620.710046843</v>
      </c>
      <c r="EV14" s="1">
        <v>18323831.163030095</v>
      </c>
      <c r="EW14" s="1">
        <v>18381855.242554173</v>
      </c>
      <c r="EX14" s="1">
        <v>18052975.37803819</v>
      </c>
      <c r="EY14" s="1">
        <v>18109425.514780868</v>
      </c>
      <c r="EZ14" s="1">
        <v>18486215.625464804</v>
      </c>
      <c r="FA14" s="1">
        <v>18194814.284116931</v>
      </c>
      <c r="FB14" s="1">
        <v>18307226.891223267</v>
      </c>
      <c r="FC14" s="1">
        <v>18163988.17917699</v>
      </c>
      <c r="FD14" s="1">
        <v>18231629.350339301</v>
      </c>
      <c r="FE14" s="1">
        <v>18519940.938233718</v>
      </c>
      <c r="FF14" s="1">
        <v>18905105.364375755</v>
      </c>
      <c r="FG14" s="1">
        <v>19011978.366240561</v>
      </c>
      <c r="FH14" s="1">
        <v>19068011.798253499</v>
      </c>
      <c r="FI14" s="1">
        <v>18984062.233069986</v>
      </c>
      <c r="FJ14" s="1">
        <v>18640462.302587114</v>
      </c>
      <c r="FK14" s="1">
        <v>18809050.809982851</v>
      </c>
      <c r="FL14" s="1">
        <v>18996200.803799227</v>
      </c>
      <c r="FM14" s="1">
        <v>18978382.464643896</v>
      </c>
      <c r="FN14" s="1">
        <v>18888850.82736399</v>
      </c>
      <c r="FO14" s="1">
        <v>18768523.300810948</v>
      </c>
      <c r="FP14" s="1">
        <v>18874756.703006145</v>
      </c>
      <c r="FQ14" s="1">
        <v>18962905.45611896</v>
      </c>
      <c r="FR14" s="1">
        <v>19140122.25451434</v>
      </c>
      <c r="FS14" s="1">
        <v>19510213.907609351</v>
      </c>
      <c r="FT14" s="1">
        <v>19581073.364572488</v>
      </c>
      <c r="FU14" s="1">
        <v>19460741.016185924</v>
      </c>
      <c r="FV14" s="1">
        <v>19104385.932980612</v>
      </c>
      <c r="FW14" s="1">
        <v>19228759.713001519</v>
      </c>
      <c r="FX14" s="1">
        <v>19666800.491456524</v>
      </c>
      <c r="FY14" s="1">
        <v>19318609.08169898</v>
      </c>
      <c r="FZ14" s="1">
        <v>19585114.578950834</v>
      </c>
      <c r="GA14" s="1">
        <v>19213482.432347339</v>
      </c>
      <c r="GB14" s="1">
        <v>19271102.748355895</v>
      </c>
      <c r="GC14" s="1">
        <v>19559442.747516651</v>
      </c>
      <c r="GD14" s="1">
        <v>19771069.469608299</v>
      </c>
      <c r="GE14" s="1">
        <v>19912988.048195712</v>
      </c>
      <c r="GF14" s="1">
        <v>19983107.010583114</v>
      </c>
      <c r="GG14" s="1">
        <v>19897245.042831019</v>
      </c>
      <c r="GH14" s="1">
        <v>19548259.463742111</v>
      </c>
      <c r="GI14" s="1">
        <v>19561005.140845627</v>
      </c>
      <c r="GJ14" s="1">
        <v>19791267.527109049</v>
      </c>
      <c r="GK14" s="1">
        <v>19651846.253558297</v>
      </c>
      <c r="GL14" s="1">
        <v>19686500.922686066</v>
      </c>
      <c r="GM14" s="1">
        <v>19326038.585338753</v>
      </c>
      <c r="GN14" s="1">
        <v>19569647.781644169</v>
      </c>
      <c r="GO14" s="1">
        <v>18798170.192054052</v>
      </c>
      <c r="GP14" s="1">
        <v>17535564.189823359</v>
      </c>
      <c r="GQ14" s="1">
        <v>17536664.039917875</v>
      </c>
      <c r="GR14" s="1">
        <v>18184124.924657758</v>
      </c>
      <c r="GS14" s="1">
        <v>18588094.047728583</v>
      </c>
      <c r="GT14" s="1">
        <v>19110538.47523538</v>
      </c>
      <c r="GU14" s="1">
        <v>19044441.450097889</v>
      </c>
      <c r="GV14" s="1">
        <v>19146216.883109719</v>
      </c>
      <c r="GW14" s="1">
        <v>19244438.390677553</v>
      </c>
      <c r="GX14" s="1">
        <v>19043836.471852079</v>
      </c>
      <c r="GY14" s="1">
        <v>18878872.882678676</v>
      </c>
      <c r="GZ14" s="1">
        <v>18905547.2336035</v>
      </c>
      <c r="HA14" s="1" t="str">
        <f t="shared" si="2"/>
        <v/>
      </c>
      <c r="HB14" s="1" t="str">
        <f t="shared" si="2"/>
        <v/>
      </c>
      <c r="HC14" s="1" t="str">
        <f t="shared" si="2"/>
        <v/>
      </c>
      <c r="HD14" s="1" t="str">
        <f t="shared" si="2"/>
        <v/>
      </c>
      <c r="HE14" s="1" t="str">
        <f t="shared" si="2"/>
        <v/>
      </c>
      <c r="HF14" s="1" t="str">
        <f t="shared" si="2"/>
        <v/>
      </c>
      <c r="HG14" s="1" t="str">
        <f t="shared" si="2"/>
        <v/>
      </c>
      <c r="HH14" s="1" t="str">
        <f t="shared" si="2"/>
        <v/>
      </c>
      <c r="HI14" s="1" t="str">
        <f t="shared" si="2"/>
        <v/>
      </c>
      <c r="HJ14" s="1" t="str">
        <f t="shared" si="2"/>
        <v/>
      </c>
      <c r="HK14" s="1" t="str">
        <f t="shared" si="2"/>
        <v/>
      </c>
      <c r="HL14" s="1" t="str">
        <f t="shared" si="2"/>
        <v/>
      </c>
      <c r="HM14" s="1" t="str">
        <f t="shared" si="2"/>
        <v/>
      </c>
      <c r="HN14" s="1" t="str">
        <f t="shared" si="2"/>
        <v/>
      </c>
      <c r="HO14" s="1" t="str">
        <f t="shared" si="2"/>
        <v/>
      </c>
      <c r="HP14" s="1" t="str">
        <f t="shared" si="2"/>
        <v/>
      </c>
      <c r="HQ14" s="1" t="str">
        <f t="shared" si="2"/>
        <v/>
      </c>
      <c r="HR14" s="1" t="str">
        <f t="shared" si="2"/>
        <v/>
      </c>
      <c r="HS14" s="1" t="str">
        <f t="shared" si="2"/>
        <v/>
      </c>
      <c r="HT14" s="1" t="str">
        <f t="shared" si="2"/>
        <v/>
      </c>
      <c r="HU14" s="1" t="str">
        <f t="shared" si="2"/>
        <v/>
      </c>
      <c r="HV14" s="1" t="str">
        <f t="shared" si="2"/>
        <v/>
      </c>
      <c r="HW14" s="1" t="str">
        <f t="shared" si="2"/>
        <v/>
      </c>
      <c r="HX14" s="1" t="str">
        <f t="shared" si="2"/>
        <v/>
      </c>
      <c r="HY14" s="1" t="str">
        <f t="shared" si="2"/>
        <v/>
      </c>
      <c r="HZ14" s="1" t="str">
        <f t="shared" si="2"/>
        <v/>
      </c>
      <c r="IA14" s="1" t="str">
        <f t="shared" si="2"/>
        <v/>
      </c>
      <c r="IB14" s="1" t="str">
        <f t="shared" si="2"/>
        <v/>
      </c>
      <c r="IC14" s="1" t="str">
        <f t="shared" si="2"/>
        <v/>
      </c>
      <c r="ID14" s="1" t="str">
        <f t="shared" si="2"/>
        <v/>
      </c>
      <c r="IE14" s="1" t="str">
        <f t="shared" si="2"/>
        <v/>
      </c>
      <c r="IF14" s="1" t="str">
        <f t="shared" si="2"/>
        <v/>
      </c>
      <c r="IG14" s="1" t="str">
        <f t="shared" si="2"/>
        <v/>
      </c>
      <c r="IH14" s="1" t="str">
        <f t="shared" si="2"/>
        <v/>
      </c>
      <c r="II14" s="1" t="str">
        <f t="shared" si="2"/>
        <v/>
      </c>
      <c r="IJ14" s="1" t="str">
        <f t="shared" si="2"/>
        <v/>
      </c>
      <c r="IK14" s="1" t="str">
        <f t="shared" si="2"/>
        <v/>
      </c>
      <c r="IL14" s="1" t="str">
        <f t="shared" si="2"/>
        <v/>
      </c>
      <c r="IM14" s="1" t="str">
        <f t="shared" si="2"/>
        <v/>
      </c>
      <c r="IN14" s="1" t="str">
        <f t="shared" si="2"/>
        <v/>
      </c>
      <c r="IO14" s="1" t="str">
        <f t="shared" si="2"/>
        <v/>
      </c>
      <c r="IP14" s="1" t="str">
        <f t="shared" si="2"/>
        <v/>
      </c>
      <c r="IQ14" s="1" t="str">
        <f t="shared" si="2"/>
        <v/>
      </c>
      <c r="IR14" s="1" t="str">
        <f t="shared" si="2"/>
        <v/>
      </c>
      <c r="IS14" s="1" t="str">
        <f t="shared" si="2"/>
        <v/>
      </c>
      <c r="IT14" s="1" t="str">
        <f t="shared" si="2"/>
        <v/>
      </c>
      <c r="IU14" s="1" t="str">
        <f t="shared" si="2"/>
        <v/>
      </c>
      <c r="IV14" s="1" t="str">
        <f t="shared" si="2"/>
        <v/>
      </c>
      <c r="IW14" s="1" t="str">
        <f t="shared" si="2"/>
        <v/>
      </c>
      <c r="IX14" s="1" t="str">
        <f t="shared" si="2"/>
        <v/>
      </c>
      <c r="IY14" s="1" t="str">
        <f t="shared" si="2"/>
        <v/>
      </c>
      <c r="IZ14" s="1" t="str">
        <f t="shared" si="2"/>
        <v/>
      </c>
      <c r="JA14" s="1" t="str">
        <f t="shared" si="2"/>
        <v/>
      </c>
      <c r="JB14" s="1" t="str">
        <f t="shared" si="2"/>
        <v/>
      </c>
      <c r="JC14" s="1" t="str">
        <f t="shared" si="2"/>
        <v/>
      </c>
      <c r="JD14" s="1" t="str">
        <f t="shared" si="2"/>
        <v/>
      </c>
      <c r="JE14" s="1" t="str">
        <f t="shared" si="2"/>
        <v/>
      </c>
      <c r="JF14" s="1" t="str">
        <f t="shared" si="2"/>
        <v/>
      </c>
      <c r="JG14" s="1" t="str">
        <f t="shared" si="2"/>
        <v/>
      </c>
      <c r="JH14" s="1" t="str">
        <f t="shared" si="2"/>
        <v/>
      </c>
      <c r="LY14" s="1"/>
    </row>
    <row r="15" spans="1:337" hidden="1" x14ac:dyDescent="0.25">
      <c r="A15" s="5"/>
      <c r="LY15" s="1"/>
    </row>
    <row r="16" spans="1:337" hidden="1" x14ac:dyDescent="0.25">
      <c r="A16" s="5"/>
      <c r="LY16" s="1"/>
    </row>
    <row r="17" spans="1:337" hidden="1" x14ac:dyDescent="0.25">
      <c r="A17" s="5"/>
      <c r="LY17" s="1"/>
    </row>
    <row r="18" spans="1:337" hidden="1" x14ac:dyDescent="0.25">
      <c r="A18" s="5"/>
      <c r="LY18" s="1"/>
    </row>
    <row r="19" spans="1:337" hidden="1" x14ac:dyDescent="0.25">
      <c r="A19" s="5"/>
      <c r="LY19" s="1"/>
    </row>
    <row r="20" spans="1:337" hidden="1" x14ac:dyDescent="0.25">
      <c r="A20" s="5"/>
      <c r="LY20" s="1"/>
    </row>
    <row r="21" spans="1:337" hidden="1" x14ac:dyDescent="0.25">
      <c r="A21" s="5"/>
      <c r="LY21" s="1"/>
    </row>
    <row r="22" spans="1:337" hidden="1" x14ac:dyDescent="0.25">
      <c r="A22" s="5"/>
      <c r="LY22" s="1"/>
    </row>
    <row r="23" spans="1:337" hidden="1" x14ac:dyDescent="0.25">
      <c r="A23" s="5"/>
      <c r="LY23" s="1"/>
    </row>
    <row r="24" spans="1:337" hidden="1" x14ac:dyDescent="0.25">
      <c r="A24" s="5"/>
      <c r="LY24" s="1"/>
    </row>
    <row r="25" spans="1:337" hidden="1" x14ac:dyDescent="0.25">
      <c r="A25" s="5"/>
      <c r="LY25" s="1"/>
    </row>
    <row r="26" spans="1:337" hidden="1" x14ac:dyDescent="0.25">
      <c r="A26" s="5"/>
      <c r="LY26" s="1"/>
    </row>
    <row r="27" spans="1:337" x14ac:dyDescent="0.25">
      <c r="A27" s="5"/>
      <c r="JN27" s="18"/>
      <c r="LY27" s="1"/>
    </row>
    <row r="28" spans="1:337" x14ac:dyDescent="0.25">
      <c r="A28" s="5"/>
      <c r="B28" s="1">
        <f t="shared" ref="B28:BM28" si="3">IF(OR(B3="",C3=""),0,MIN(24,C28+1))</f>
        <v>24</v>
      </c>
      <c r="C28" s="1">
        <f t="shared" si="3"/>
        <v>24</v>
      </c>
      <c r="D28" s="1">
        <f t="shared" si="3"/>
        <v>24</v>
      </c>
      <c r="E28" s="1">
        <f t="shared" si="3"/>
        <v>24</v>
      </c>
      <c r="F28" s="1">
        <f t="shared" si="3"/>
        <v>24</v>
      </c>
      <c r="G28" s="1">
        <f t="shared" si="3"/>
        <v>24</v>
      </c>
      <c r="H28" s="1">
        <f t="shared" si="3"/>
        <v>24</v>
      </c>
      <c r="I28" s="1">
        <f t="shared" si="3"/>
        <v>24</v>
      </c>
      <c r="J28" s="1">
        <f t="shared" si="3"/>
        <v>24</v>
      </c>
      <c r="K28" s="1">
        <f t="shared" si="3"/>
        <v>24</v>
      </c>
      <c r="L28" s="1">
        <f t="shared" si="3"/>
        <v>24</v>
      </c>
      <c r="M28" s="1">
        <f t="shared" si="3"/>
        <v>24</v>
      </c>
      <c r="N28" s="1">
        <f t="shared" si="3"/>
        <v>24</v>
      </c>
      <c r="O28" s="1">
        <f t="shared" si="3"/>
        <v>24</v>
      </c>
      <c r="P28" s="1">
        <f t="shared" si="3"/>
        <v>24</v>
      </c>
      <c r="Q28" s="1">
        <f t="shared" si="3"/>
        <v>24</v>
      </c>
      <c r="R28" s="1">
        <f t="shared" si="3"/>
        <v>24</v>
      </c>
      <c r="S28" s="1">
        <f t="shared" si="3"/>
        <v>24</v>
      </c>
      <c r="T28" s="1">
        <f t="shared" si="3"/>
        <v>24</v>
      </c>
      <c r="U28" s="1">
        <f t="shared" si="3"/>
        <v>24</v>
      </c>
      <c r="V28" s="1">
        <f t="shared" si="3"/>
        <v>24</v>
      </c>
      <c r="W28" s="1">
        <f t="shared" si="3"/>
        <v>24</v>
      </c>
      <c r="X28" s="1">
        <f t="shared" si="3"/>
        <v>24</v>
      </c>
      <c r="Y28" s="1">
        <f t="shared" si="3"/>
        <v>24</v>
      </c>
      <c r="Z28" s="1">
        <f t="shared" si="3"/>
        <v>24</v>
      </c>
      <c r="AA28" s="1">
        <f t="shared" si="3"/>
        <v>24</v>
      </c>
      <c r="AB28" s="1">
        <f t="shared" si="3"/>
        <v>24</v>
      </c>
      <c r="AC28" s="1">
        <f t="shared" si="3"/>
        <v>24</v>
      </c>
      <c r="AD28" s="1">
        <f t="shared" si="3"/>
        <v>24</v>
      </c>
      <c r="AE28" s="1">
        <f t="shared" si="3"/>
        <v>24</v>
      </c>
      <c r="AF28" s="1">
        <f t="shared" si="3"/>
        <v>24</v>
      </c>
      <c r="AG28" s="1">
        <f t="shared" si="3"/>
        <v>24</v>
      </c>
      <c r="AH28" s="1">
        <f t="shared" si="3"/>
        <v>24</v>
      </c>
      <c r="AI28" s="1">
        <f t="shared" si="3"/>
        <v>24</v>
      </c>
      <c r="AJ28" s="1">
        <f t="shared" si="3"/>
        <v>24</v>
      </c>
      <c r="AK28" s="1">
        <f t="shared" si="3"/>
        <v>24</v>
      </c>
      <c r="AL28" s="1">
        <f t="shared" si="3"/>
        <v>24</v>
      </c>
      <c r="AM28" s="1">
        <f t="shared" si="3"/>
        <v>24</v>
      </c>
      <c r="AN28" s="1">
        <f t="shared" si="3"/>
        <v>24</v>
      </c>
      <c r="AO28" s="1">
        <f t="shared" si="3"/>
        <v>24</v>
      </c>
      <c r="AP28" s="1">
        <f t="shared" si="3"/>
        <v>24</v>
      </c>
      <c r="AQ28" s="1">
        <f t="shared" si="3"/>
        <v>24</v>
      </c>
      <c r="AR28" s="1">
        <f t="shared" si="3"/>
        <v>24</v>
      </c>
      <c r="AS28" s="1">
        <f t="shared" si="3"/>
        <v>24</v>
      </c>
      <c r="AT28" s="1">
        <f t="shared" si="3"/>
        <v>24</v>
      </c>
      <c r="AU28" s="1">
        <f t="shared" si="3"/>
        <v>24</v>
      </c>
      <c r="AV28" s="1">
        <f t="shared" si="3"/>
        <v>24</v>
      </c>
      <c r="AW28" s="1">
        <f t="shared" si="3"/>
        <v>24</v>
      </c>
      <c r="AX28" s="1">
        <f t="shared" si="3"/>
        <v>24</v>
      </c>
      <c r="AY28" s="1">
        <f t="shared" si="3"/>
        <v>24</v>
      </c>
      <c r="AZ28" s="1">
        <f t="shared" si="3"/>
        <v>24</v>
      </c>
      <c r="BA28" s="1">
        <f t="shared" si="3"/>
        <v>24</v>
      </c>
      <c r="BB28" s="1">
        <f t="shared" si="3"/>
        <v>24</v>
      </c>
      <c r="BC28" s="1">
        <f t="shared" si="3"/>
        <v>24</v>
      </c>
      <c r="BD28" s="1">
        <f t="shared" si="3"/>
        <v>24</v>
      </c>
      <c r="BE28" s="1">
        <f t="shared" si="3"/>
        <v>24</v>
      </c>
      <c r="BF28" s="1">
        <f t="shared" si="3"/>
        <v>24</v>
      </c>
      <c r="BG28" s="1">
        <f t="shared" si="3"/>
        <v>24</v>
      </c>
      <c r="BH28" s="1">
        <f t="shared" si="3"/>
        <v>24</v>
      </c>
      <c r="BI28" s="1">
        <f t="shared" si="3"/>
        <v>24</v>
      </c>
      <c r="BJ28" s="1">
        <f t="shared" si="3"/>
        <v>24</v>
      </c>
      <c r="BK28" s="1">
        <f t="shared" si="3"/>
        <v>24</v>
      </c>
      <c r="BL28" s="1">
        <f t="shared" si="3"/>
        <v>24</v>
      </c>
      <c r="BM28" s="1">
        <f t="shared" si="3"/>
        <v>24</v>
      </c>
      <c r="BN28" s="1">
        <f t="shared" ref="BN28:DY28" si="4">IF(OR(BN3="",BO3=""),0,MIN(24,BO28+1))</f>
        <v>24</v>
      </c>
      <c r="BO28" s="1">
        <f t="shared" si="4"/>
        <v>24</v>
      </c>
      <c r="BP28" s="1">
        <f t="shared" si="4"/>
        <v>24</v>
      </c>
      <c r="BQ28" s="1">
        <f t="shared" si="4"/>
        <v>24</v>
      </c>
      <c r="BR28" s="1">
        <f t="shared" si="4"/>
        <v>24</v>
      </c>
      <c r="BS28" s="1">
        <f t="shared" si="4"/>
        <v>24</v>
      </c>
      <c r="BT28" s="1">
        <f t="shared" si="4"/>
        <v>24</v>
      </c>
      <c r="BU28" s="1">
        <f t="shared" si="4"/>
        <v>24</v>
      </c>
      <c r="BV28" s="1">
        <f t="shared" si="4"/>
        <v>24</v>
      </c>
      <c r="BW28" s="1">
        <f t="shared" si="4"/>
        <v>24</v>
      </c>
      <c r="BX28" s="1">
        <f t="shared" si="4"/>
        <v>24</v>
      </c>
      <c r="BY28" s="1">
        <f t="shared" si="4"/>
        <v>24</v>
      </c>
      <c r="BZ28" s="1">
        <f t="shared" si="4"/>
        <v>24</v>
      </c>
      <c r="CA28" s="1">
        <f t="shared" si="4"/>
        <v>24</v>
      </c>
      <c r="CB28" s="1">
        <f t="shared" si="4"/>
        <v>24</v>
      </c>
      <c r="CC28" s="1">
        <f t="shared" si="4"/>
        <v>24</v>
      </c>
      <c r="CD28" s="1">
        <f t="shared" si="4"/>
        <v>24</v>
      </c>
      <c r="CE28" s="1">
        <f t="shared" si="4"/>
        <v>24</v>
      </c>
      <c r="CF28" s="1">
        <f t="shared" si="4"/>
        <v>24</v>
      </c>
      <c r="CG28" s="1">
        <f t="shared" si="4"/>
        <v>24</v>
      </c>
      <c r="CH28" s="1">
        <f t="shared" si="4"/>
        <v>24</v>
      </c>
      <c r="CI28" s="1">
        <f t="shared" si="4"/>
        <v>24</v>
      </c>
      <c r="CJ28" s="1">
        <f t="shared" si="4"/>
        <v>24</v>
      </c>
      <c r="CK28" s="1">
        <f t="shared" si="4"/>
        <v>24</v>
      </c>
      <c r="CL28" s="1">
        <f t="shared" si="4"/>
        <v>24</v>
      </c>
      <c r="CM28" s="1">
        <f t="shared" si="4"/>
        <v>24</v>
      </c>
      <c r="CN28" s="1">
        <f t="shared" si="4"/>
        <v>24</v>
      </c>
      <c r="CO28" s="1">
        <f t="shared" si="4"/>
        <v>24</v>
      </c>
      <c r="CP28" s="1">
        <f t="shared" si="4"/>
        <v>24</v>
      </c>
      <c r="CQ28" s="1">
        <f t="shared" si="4"/>
        <v>24</v>
      </c>
      <c r="CR28" s="1">
        <f t="shared" si="4"/>
        <v>24</v>
      </c>
      <c r="CS28" s="1">
        <f t="shared" si="4"/>
        <v>24</v>
      </c>
      <c r="CT28" s="1">
        <f t="shared" si="4"/>
        <v>24</v>
      </c>
      <c r="CU28" s="1">
        <f t="shared" si="4"/>
        <v>24</v>
      </c>
      <c r="CV28" s="1">
        <f t="shared" si="4"/>
        <v>24</v>
      </c>
      <c r="CW28" s="1">
        <f t="shared" si="4"/>
        <v>24</v>
      </c>
      <c r="CX28" s="1">
        <f t="shared" si="4"/>
        <v>24</v>
      </c>
      <c r="CY28" s="1">
        <f t="shared" si="4"/>
        <v>24</v>
      </c>
      <c r="CZ28" s="1">
        <f t="shared" si="4"/>
        <v>24</v>
      </c>
      <c r="DA28" s="1">
        <f t="shared" si="4"/>
        <v>24</v>
      </c>
      <c r="DB28" s="1">
        <f t="shared" si="4"/>
        <v>24</v>
      </c>
      <c r="DC28" s="1">
        <f t="shared" si="4"/>
        <v>24</v>
      </c>
      <c r="DD28" s="1">
        <f t="shared" si="4"/>
        <v>24</v>
      </c>
      <c r="DE28" s="1">
        <f t="shared" si="4"/>
        <v>24</v>
      </c>
      <c r="DF28" s="1">
        <f t="shared" si="4"/>
        <v>24</v>
      </c>
      <c r="DG28" s="1">
        <f t="shared" si="4"/>
        <v>24</v>
      </c>
      <c r="DH28" s="1">
        <f t="shared" si="4"/>
        <v>24</v>
      </c>
      <c r="DI28" s="1">
        <f t="shared" si="4"/>
        <v>24</v>
      </c>
      <c r="DJ28" s="1">
        <f t="shared" si="4"/>
        <v>24</v>
      </c>
      <c r="DK28" s="1">
        <f t="shared" si="4"/>
        <v>24</v>
      </c>
      <c r="DL28" s="1">
        <f t="shared" si="4"/>
        <v>24</v>
      </c>
      <c r="DM28" s="1">
        <f t="shared" si="4"/>
        <v>24</v>
      </c>
      <c r="DN28" s="1">
        <f t="shared" si="4"/>
        <v>24</v>
      </c>
      <c r="DO28" s="1">
        <f t="shared" si="4"/>
        <v>24</v>
      </c>
      <c r="DP28" s="1">
        <f t="shared" si="4"/>
        <v>24</v>
      </c>
      <c r="DQ28" s="1">
        <f t="shared" si="4"/>
        <v>24</v>
      </c>
      <c r="DR28" s="1">
        <f t="shared" si="4"/>
        <v>24</v>
      </c>
      <c r="DS28" s="1">
        <f t="shared" si="4"/>
        <v>24</v>
      </c>
      <c r="DT28" s="1">
        <f t="shared" si="4"/>
        <v>24</v>
      </c>
      <c r="DU28" s="1">
        <f t="shared" si="4"/>
        <v>24</v>
      </c>
      <c r="DV28" s="1">
        <f t="shared" si="4"/>
        <v>24</v>
      </c>
      <c r="DW28" s="1">
        <f t="shared" si="4"/>
        <v>24</v>
      </c>
      <c r="DX28" s="1">
        <f t="shared" si="4"/>
        <v>24</v>
      </c>
      <c r="DY28" s="1">
        <f t="shared" si="4"/>
        <v>24</v>
      </c>
      <c r="DZ28" s="1">
        <f t="shared" ref="DZ28:GK28" si="5">IF(OR(DZ3="",EA3=""),0,MIN(24,EA28+1))</f>
        <v>24</v>
      </c>
      <c r="EA28" s="1">
        <f t="shared" si="5"/>
        <v>24</v>
      </c>
      <c r="EB28" s="1">
        <f t="shared" si="5"/>
        <v>24</v>
      </c>
      <c r="EC28" s="1">
        <f t="shared" si="5"/>
        <v>24</v>
      </c>
      <c r="ED28" s="1">
        <f t="shared" si="5"/>
        <v>24</v>
      </c>
      <c r="EE28" s="1">
        <f t="shared" si="5"/>
        <v>24</v>
      </c>
      <c r="EF28" s="1">
        <f t="shared" si="5"/>
        <v>24</v>
      </c>
      <c r="EG28" s="1">
        <f t="shared" si="5"/>
        <v>24</v>
      </c>
      <c r="EH28" s="1">
        <f t="shared" si="5"/>
        <v>24</v>
      </c>
      <c r="EI28" s="1">
        <f t="shared" si="5"/>
        <v>24</v>
      </c>
      <c r="EJ28" s="1">
        <f t="shared" si="5"/>
        <v>24</v>
      </c>
      <c r="EK28" s="1">
        <f t="shared" si="5"/>
        <v>24</v>
      </c>
      <c r="EL28" s="1">
        <f t="shared" si="5"/>
        <v>24</v>
      </c>
      <c r="EM28" s="1">
        <f t="shared" si="5"/>
        <v>24</v>
      </c>
      <c r="EN28" s="1">
        <f t="shared" si="5"/>
        <v>24</v>
      </c>
      <c r="EO28" s="1">
        <f t="shared" si="5"/>
        <v>24</v>
      </c>
      <c r="EP28" s="1">
        <f t="shared" si="5"/>
        <v>24</v>
      </c>
      <c r="EQ28" s="1">
        <f t="shared" si="5"/>
        <v>24</v>
      </c>
      <c r="ER28" s="1">
        <f t="shared" si="5"/>
        <v>24</v>
      </c>
      <c r="ES28" s="1">
        <f t="shared" si="5"/>
        <v>24</v>
      </c>
      <c r="ET28" s="1">
        <f t="shared" si="5"/>
        <v>24</v>
      </c>
      <c r="EU28" s="1">
        <f t="shared" si="5"/>
        <v>24</v>
      </c>
      <c r="EV28" s="1">
        <f t="shared" si="5"/>
        <v>24</v>
      </c>
      <c r="EW28" s="1">
        <f t="shared" si="5"/>
        <v>24</v>
      </c>
      <c r="EX28" s="1">
        <f t="shared" si="5"/>
        <v>24</v>
      </c>
      <c r="EY28" s="1">
        <f t="shared" si="5"/>
        <v>24</v>
      </c>
      <c r="EZ28" s="1">
        <f t="shared" si="5"/>
        <v>24</v>
      </c>
      <c r="FA28" s="1">
        <f t="shared" si="5"/>
        <v>24</v>
      </c>
      <c r="FB28" s="1">
        <f t="shared" si="5"/>
        <v>24</v>
      </c>
      <c r="FC28" s="1">
        <f t="shared" si="5"/>
        <v>24</v>
      </c>
      <c r="FD28" s="1">
        <f t="shared" si="5"/>
        <v>24</v>
      </c>
      <c r="FE28" s="1">
        <f t="shared" si="5"/>
        <v>24</v>
      </c>
      <c r="FF28" s="1">
        <f t="shared" si="5"/>
        <v>24</v>
      </c>
      <c r="FG28" s="1">
        <f t="shared" si="5"/>
        <v>24</v>
      </c>
      <c r="FH28" s="1">
        <f t="shared" si="5"/>
        <v>24</v>
      </c>
      <c r="FI28" s="1">
        <f t="shared" si="5"/>
        <v>24</v>
      </c>
      <c r="FJ28" s="1">
        <f t="shared" si="5"/>
        <v>24</v>
      </c>
      <c r="FK28" s="1">
        <f t="shared" si="5"/>
        <v>24</v>
      </c>
      <c r="FL28" s="1">
        <f t="shared" si="5"/>
        <v>24</v>
      </c>
      <c r="FM28" s="1">
        <f t="shared" si="5"/>
        <v>24</v>
      </c>
      <c r="FN28" s="1">
        <f t="shared" si="5"/>
        <v>24</v>
      </c>
      <c r="FO28" s="1">
        <f t="shared" si="5"/>
        <v>24</v>
      </c>
      <c r="FP28" s="1">
        <f t="shared" si="5"/>
        <v>24</v>
      </c>
      <c r="FQ28" s="1">
        <f t="shared" si="5"/>
        <v>24</v>
      </c>
      <c r="FR28" s="1">
        <f t="shared" si="5"/>
        <v>24</v>
      </c>
      <c r="FS28" s="1">
        <f t="shared" si="5"/>
        <v>24</v>
      </c>
      <c r="FT28" s="1">
        <f t="shared" si="5"/>
        <v>24</v>
      </c>
      <c r="FU28" s="1">
        <f t="shared" si="5"/>
        <v>24</v>
      </c>
      <c r="FV28" s="1">
        <f t="shared" si="5"/>
        <v>24</v>
      </c>
      <c r="FW28" s="1">
        <f t="shared" si="5"/>
        <v>24</v>
      </c>
      <c r="FX28" s="1">
        <f t="shared" si="5"/>
        <v>24</v>
      </c>
      <c r="FY28" s="1">
        <f t="shared" si="5"/>
        <v>24</v>
      </c>
      <c r="FZ28" s="1">
        <f t="shared" si="5"/>
        <v>24</v>
      </c>
      <c r="GA28" s="1">
        <f t="shared" si="5"/>
        <v>24</v>
      </c>
      <c r="GB28" s="1">
        <f t="shared" si="5"/>
        <v>23</v>
      </c>
      <c r="GC28" s="1">
        <f t="shared" si="5"/>
        <v>22</v>
      </c>
      <c r="GD28" s="1">
        <f t="shared" si="5"/>
        <v>21</v>
      </c>
      <c r="GE28" s="1">
        <f t="shared" si="5"/>
        <v>20</v>
      </c>
      <c r="GF28" s="1">
        <f t="shared" si="5"/>
        <v>19</v>
      </c>
      <c r="GG28" s="1">
        <f t="shared" si="5"/>
        <v>18</v>
      </c>
      <c r="GH28" s="1">
        <f t="shared" si="5"/>
        <v>17</v>
      </c>
      <c r="GI28" s="1">
        <f t="shared" si="5"/>
        <v>16</v>
      </c>
      <c r="GJ28" s="1">
        <f t="shared" si="5"/>
        <v>15</v>
      </c>
      <c r="GK28" s="1">
        <f t="shared" si="5"/>
        <v>14</v>
      </c>
      <c r="GL28" s="1">
        <f t="shared" ref="GL28:GX28" si="6">IF(OR(GL3="",GM3=""),0,MIN(24,GM28+1))</f>
        <v>13</v>
      </c>
      <c r="GM28" s="1">
        <f t="shared" si="6"/>
        <v>12</v>
      </c>
      <c r="GN28" s="1">
        <f t="shared" si="6"/>
        <v>11</v>
      </c>
      <c r="GO28" s="1">
        <f t="shared" si="6"/>
        <v>10</v>
      </c>
      <c r="GP28" s="1">
        <f t="shared" si="6"/>
        <v>9</v>
      </c>
      <c r="GQ28" s="1">
        <f t="shared" si="6"/>
        <v>8</v>
      </c>
      <c r="GR28" s="1">
        <f t="shared" si="6"/>
        <v>7</v>
      </c>
      <c r="GS28" s="1">
        <f t="shared" si="6"/>
        <v>6</v>
      </c>
      <c r="GT28" s="1">
        <f t="shared" si="6"/>
        <v>5</v>
      </c>
      <c r="GU28" s="1">
        <f t="shared" si="6"/>
        <v>4</v>
      </c>
      <c r="GV28" s="1">
        <f t="shared" si="6"/>
        <v>3</v>
      </c>
      <c r="GW28" s="1">
        <f t="shared" si="6"/>
        <v>2</v>
      </c>
      <c r="GX28" s="1">
        <f t="shared" si="6"/>
        <v>1</v>
      </c>
      <c r="GY28" s="1">
        <f>IF(OR(GY3="",JH3=""),0,MIN(24,JH28+1))</f>
        <v>0</v>
      </c>
      <c r="GZ28" s="1">
        <f t="shared" ref="GZ28:HH28" si="7">IF(OR(GZ3="",HA3=""),0,MIN(24,HA28+1))</f>
        <v>0</v>
      </c>
      <c r="HA28" s="1">
        <f t="shared" si="7"/>
        <v>0</v>
      </c>
      <c r="HB28" s="1">
        <f t="shared" si="7"/>
        <v>0</v>
      </c>
      <c r="HC28" s="1">
        <f t="shared" si="7"/>
        <v>0</v>
      </c>
      <c r="HD28" s="1">
        <f t="shared" si="7"/>
        <v>0</v>
      </c>
      <c r="HE28" s="1">
        <f t="shared" si="7"/>
        <v>0</v>
      </c>
      <c r="HF28" s="1">
        <f t="shared" si="7"/>
        <v>0</v>
      </c>
      <c r="HG28" s="1">
        <f t="shared" si="7"/>
        <v>0</v>
      </c>
      <c r="HH28" s="1">
        <f t="shared" si="7"/>
        <v>0</v>
      </c>
      <c r="HI28" s="1">
        <f>IF(OR(HI3="",JR3=""),0,MIN(24,JR28+1))</f>
        <v>0</v>
      </c>
      <c r="HJ28" s="1">
        <f t="shared" ref="HJ28:HR28" si="8">IF(OR(HJ3="",HK3=""),0,MIN(24,HK28+1))</f>
        <v>0</v>
      </c>
      <c r="HK28" s="1">
        <f t="shared" si="8"/>
        <v>0</v>
      </c>
      <c r="HL28" s="1">
        <f t="shared" si="8"/>
        <v>0</v>
      </c>
      <c r="HM28" s="1">
        <f t="shared" si="8"/>
        <v>0</v>
      </c>
      <c r="HN28" s="1">
        <f t="shared" si="8"/>
        <v>0</v>
      </c>
      <c r="HO28" s="1">
        <f t="shared" si="8"/>
        <v>0</v>
      </c>
      <c r="HP28" s="1">
        <f t="shared" si="8"/>
        <v>0</v>
      </c>
      <c r="HQ28" s="1">
        <f t="shared" si="8"/>
        <v>0</v>
      </c>
      <c r="HR28" s="1">
        <f t="shared" si="8"/>
        <v>0</v>
      </c>
      <c r="HS28" s="1">
        <f>IF(OR(HS3="",KB3=""),0,MIN(24,KB28+1))</f>
        <v>0</v>
      </c>
      <c r="HT28" s="1">
        <f t="shared" ref="HT28:IB28" si="9">IF(OR(HT3="",HU3=""),0,MIN(24,HU28+1))</f>
        <v>0</v>
      </c>
      <c r="HU28" s="1">
        <f t="shared" si="9"/>
        <v>0</v>
      </c>
      <c r="HV28" s="1">
        <f t="shared" si="9"/>
        <v>0</v>
      </c>
      <c r="HW28" s="1">
        <f t="shared" si="9"/>
        <v>0</v>
      </c>
      <c r="HX28" s="1">
        <f t="shared" si="9"/>
        <v>0</v>
      </c>
      <c r="HY28" s="1">
        <f t="shared" si="9"/>
        <v>0</v>
      </c>
      <c r="HZ28" s="1">
        <f t="shared" si="9"/>
        <v>0</v>
      </c>
      <c r="IA28" s="1">
        <f t="shared" si="9"/>
        <v>0</v>
      </c>
      <c r="IB28" s="1">
        <f t="shared" si="9"/>
        <v>0</v>
      </c>
      <c r="IC28" s="1">
        <f>IF(OR(IC3="",KL3=""),0,MIN(24,KL28+1))</f>
        <v>0</v>
      </c>
      <c r="ID28" s="1">
        <f t="shared" ref="ID28:IL28" si="10">IF(OR(ID3="",IE3=""),0,MIN(24,IE28+1))</f>
        <v>0</v>
      </c>
      <c r="IE28" s="1">
        <f t="shared" si="10"/>
        <v>0</v>
      </c>
      <c r="IF28" s="1">
        <f t="shared" si="10"/>
        <v>0</v>
      </c>
      <c r="IG28" s="1">
        <f t="shared" si="10"/>
        <v>0</v>
      </c>
      <c r="IH28" s="1">
        <f t="shared" si="10"/>
        <v>0</v>
      </c>
      <c r="II28" s="1">
        <f t="shared" si="10"/>
        <v>0</v>
      </c>
      <c r="IJ28" s="1">
        <f t="shared" si="10"/>
        <v>0</v>
      </c>
      <c r="IK28" s="1">
        <f t="shared" si="10"/>
        <v>0</v>
      </c>
      <c r="IL28" s="1">
        <f t="shared" si="10"/>
        <v>0</v>
      </c>
      <c r="IM28" s="1">
        <f>IF(OR(IM3="",KV3=""),0,MIN(24,KV28+1))</f>
        <v>0</v>
      </c>
      <c r="IN28" s="1">
        <f t="shared" ref="IN28:IV28" si="11">IF(OR(IN3="",IO3=""),0,MIN(24,IO28+1))</f>
        <v>0</v>
      </c>
      <c r="IO28" s="1">
        <f t="shared" si="11"/>
        <v>0</v>
      </c>
      <c r="IP28" s="1">
        <f t="shared" si="11"/>
        <v>0</v>
      </c>
      <c r="IQ28" s="1">
        <f t="shared" si="11"/>
        <v>0</v>
      </c>
      <c r="IR28" s="1">
        <f t="shared" si="11"/>
        <v>0</v>
      </c>
      <c r="IS28" s="1">
        <f t="shared" si="11"/>
        <v>0</v>
      </c>
      <c r="IT28" s="1">
        <f t="shared" si="11"/>
        <v>0</v>
      </c>
      <c r="IU28" s="1">
        <f t="shared" si="11"/>
        <v>0</v>
      </c>
      <c r="IV28" s="1">
        <f t="shared" si="11"/>
        <v>0</v>
      </c>
      <c r="IW28" s="1">
        <f>IF(OR(IW3="",LF3=""),0,MIN(24,LF28+1))</f>
        <v>0</v>
      </c>
      <c r="IX28" s="1">
        <f t="shared" ref="IX28:JF28" si="12">IF(OR(IX3="",IY3=""),0,MIN(24,IY28+1))</f>
        <v>0</v>
      </c>
      <c r="IY28" s="1">
        <f t="shared" si="12"/>
        <v>0</v>
      </c>
      <c r="IZ28" s="1">
        <f t="shared" si="12"/>
        <v>0</v>
      </c>
      <c r="JA28" s="1">
        <f t="shared" si="12"/>
        <v>0</v>
      </c>
      <c r="JB28" s="1">
        <f t="shared" si="12"/>
        <v>0</v>
      </c>
      <c r="JC28" s="1">
        <f t="shared" si="12"/>
        <v>0</v>
      </c>
      <c r="JD28" s="1">
        <f t="shared" si="12"/>
        <v>0</v>
      </c>
      <c r="JE28" s="1">
        <f t="shared" si="12"/>
        <v>0</v>
      </c>
      <c r="JF28" s="1">
        <f t="shared" si="12"/>
        <v>0</v>
      </c>
      <c r="JG28" s="1">
        <f>IF(OR(JG3="",LP3=""),0,MIN(24,LP28+1))</f>
        <v>0</v>
      </c>
      <c r="JH28" s="1">
        <f>IF(OR(JH3="",JI3=""),0,MIN(24,JI28+1))</f>
        <v>0</v>
      </c>
      <c r="LY28" s="1"/>
    </row>
    <row r="29" spans="1:337" ht="15.75" x14ac:dyDescent="0.25">
      <c r="A29" s="3" t="s">
        <v>1</v>
      </c>
      <c r="B29" s="7">
        <v>37986</v>
      </c>
      <c r="C29" s="7">
        <v>38017</v>
      </c>
      <c r="D29" s="7">
        <v>38046</v>
      </c>
      <c r="E29" s="7">
        <v>38077</v>
      </c>
      <c r="F29" s="7">
        <v>38107</v>
      </c>
      <c r="G29" s="7">
        <v>38138</v>
      </c>
      <c r="H29" s="7">
        <v>38168</v>
      </c>
      <c r="I29" s="7">
        <v>38199</v>
      </c>
      <c r="J29" s="7">
        <v>38230</v>
      </c>
      <c r="K29" s="7">
        <v>38260</v>
      </c>
      <c r="L29" s="7">
        <v>38291</v>
      </c>
      <c r="M29" s="7">
        <v>38321</v>
      </c>
      <c r="N29" s="7">
        <v>38352</v>
      </c>
      <c r="O29" s="7">
        <v>38383</v>
      </c>
      <c r="P29" s="7">
        <v>38411</v>
      </c>
      <c r="Q29" s="7">
        <v>38442</v>
      </c>
      <c r="R29" s="7">
        <v>38472</v>
      </c>
      <c r="S29" s="7">
        <v>38503</v>
      </c>
      <c r="T29" s="7">
        <v>38533</v>
      </c>
      <c r="U29" s="7">
        <v>38564</v>
      </c>
      <c r="V29" s="7">
        <v>38595</v>
      </c>
      <c r="W29" s="7">
        <v>38625</v>
      </c>
      <c r="X29" s="7">
        <v>38656</v>
      </c>
      <c r="Y29" s="7">
        <v>38686</v>
      </c>
      <c r="Z29" s="7">
        <v>38717</v>
      </c>
      <c r="AA29" s="7">
        <v>38748</v>
      </c>
      <c r="AB29" s="7">
        <v>38776</v>
      </c>
      <c r="AC29" s="7">
        <v>38807</v>
      </c>
      <c r="AD29" s="7">
        <v>38837</v>
      </c>
      <c r="AE29" s="7">
        <v>38868</v>
      </c>
      <c r="AF29" s="7">
        <v>38898</v>
      </c>
      <c r="AG29" s="7">
        <v>38929</v>
      </c>
      <c r="AH29" s="7">
        <v>38960</v>
      </c>
      <c r="AI29" s="7">
        <v>38990</v>
      </c>
      <c r="AJ29" s="7">
        <v>39021</v>
      </c>
      <c r="AK29" s="7">
        <v>39051</v>
      </c>
      <c r="AL29" s="7">
        <v>39082</v>
      </c>
      <c r="AM29" s="7">
        <v>39113</v>
      </c>
      <c r="AN29" s="7">
        <v>39141</v>
      </c>
      <c r="AO29" s="7">
        <v>39172</v>
      </c>
      <c r="AP29" s="7">
        <v>39202</v>
      </c>
      <c r="AQ29" s="7">
        <v>39233</v>
      </c>
      <c r="AR29" s="7">
        <v>39263</v>
      </c>
      <c r="AS29" s="7">
        <v>39294</v>
      </c>
      <c r="AT29" s="7">
        <v>39325</v>
      </c>
      <c r="AU29" s="7">
        <v>39355</v>
      </c>
      <c r="AV29" s="7">
        <v>39386</v>
      </c>
      <c r="AW29" s="7">
        <v>39416</v>
      </c>
      <c r="AX29" s="7">
        <v>39447</v>
      </c>
      <c r="AY29" s="7">
        <v>39478</v>
      </c>
      <c r="AZ29" s="7">
        <v>39507</v>
      </c>
      <c r="BA29" s="7">
        <v>39538</v>
      </c>
      <c r="BB29" s="7">
        <v>39568</v>
      </c>
      <c r="BC29" s="7">
        <v>39599</v>
      </c>
      <c r="BD29" s="7">
        <v>39629</v>
      </c>
      <c r="BE29" s="7">
        <v>39660</v>
      </c>
      <c r="BF29" s="7">
        <v>39691</v>
      </c>
      <c r="BG29" s="7">
        <v>39721</v>
      </c>
      <c r="BH29" s="7">
        <v>39752</v>
      </c>
      <c r="BI29" s="7">
        <v>39782</v>
      </c>
      <c r="BJ29" s="7">
        <v>39813</v>
      </c>
      <c r="BK29" s="7">
        <v>39844</v>
      </c>
      <c r="BL29" s="7">
        <v>39872</v>
      </c>
      <c r="BM29" s="7">
        <v>39903</v>
      </c>
      <c r="BN29" s="7">
        <v>39933</v>
      </c>
      <c r="BO29" s="7">
        <v>39964</v>
      </c>
      <c r="BP29" s="7">
        <v>39994</v>
      </c>
      <c r="BQ29" s="7">
        <v>40025</v>
      </c>
      <c r="BR29" s="7">
        <v>40056</v>
      </c>
      <c r="BS29" s="7">
        <v>40086</v>
      </c>
      <c r="BT29" s="7">
        <v>40117</v>
      </c>
      <c r="BU29" s="7">
        <v>40147</v>
      </c>
      <c r="BV29" s="7">
        <v>40178</v>
      </c>
      <c r="BW29" s="7">
        <v>40209</v>
      </c>
      <c r="BX29" s="7">
        <v>40237</v>
      </c>
      <c r="BY29" s="7">
        <v>40268</v>
      </c>
      <c r="BZ29" s="7">
        <v>40298</v>
      </c>
      <c r="CA29" s="7">
        <v>40329</v>
      </c>
      <c r="CB29" s="7">
        <v>40359</v>
      </c>
      <c r="CC29" s="7">
        <v>40390</v>
      </c>
      <c r="CD29" s="7">
        <v>40421</v>
      </c>
      <c r="CE29" s="7">
        <v>40451</v>
      </c>
      <c r="CF29" s="7">
        <v>40482</v>
      </c>
      <c r="CG29" s="7">
        <v>40512</v>
      </c>
      <c r="CH29" s="7">
        <v>40543</v>
      </c>
      <c r="CI29" s="7">
        <v>40574</v>
      </c>
      <c r="CJ29" s="7">
        <v>40602</v>
      </c>
      <c r="CK29" s="7">
        <v>40633</v>
      </c>
      <c r="CL29" s="7">
        <v>40663</v>
      </c>
      <c r="CM29" s="7">
        <v>40694</v>
      </c>
      <c r="CN29" s="7">
        <v>40724</v>
      </c>
      <c r="CO29" s="7">
        <v>40755</v>
      </c>
      <c r="CP29" s="7">
        <v>40786</v>
      </c>
      <c r="CQ29" s="7">
        <v>40816</v>
      </c>
      <c r="CR29" s="7">
        <v>40847</v>
      </c>
      <c r="CS29" s="7">
        <v>40877</v>
      </c>
      <c r="CT29" s="7">
        <v>40908</v>
      </c>
      <c r="CU29" s="7">
        <v>40939</v>
      </c>
      <c r="CV29" s="8">
        <v>40968</v>
      </c>
      <c r="CW29" s="7">
        <v>40999</v>
      </c>
      <c r="CX29" s="7">
        <v>41029</v>
      </c>
      <c r="CY29" s="7">
        <v>41060</v>
      </c>
      <c r="CZ29" s="7">
        <v>41090</v>
      </c>
      <c r="DA29" s="7">
        <v>41121</v>
      </c>
      <c r="DB29" s="7">
        <v>41152</v>
      </c>
      <c r="DC29" s="7">
        <v>41182</v>
      </c>
      <c r="DD29" s="7">
        <v>41213</v>
      </c>
      <c r="DE29" s="7">
        <v>41243</v>
      </c>
      <c r="DF29" s="7">
        <v>41274</v>
      </c>
      <c r="DG29" s="7">
        <v>41305</v>
      </c>
      <c r="DH29" s="7">
        <v>41333</v>
      </c>
      <c r="DI29" s="7">
        <v>41364</v>
      </c>
      <c r="DJ29" s="7">
        <v>41394</v>
      </c>
      <c r="DK29" s="7">
        <v>41425</v>
      </c>
      <c r="DL29" s="7">
        <v>41455</v>
      </c>
      <c r="DM29" s="7">
        <v>41486</v>
      </c>
      <c r="DN29" s="7">
        <v>41517</v>
      </c>
      <c r="DO29" s="7">
        <v>41547</v>
      </c>
      <c r="DP29" s="7">
        <v>41578</v>
      </c>
      <c r="DQ29" s="7">
        <v>41608</v>
      </c>
      <c r="DR29" s="7">
        <v>41639</v>
      </c>
      <c r="DS29" s="7">
        <v>41670</v>
      </c>
      <c r="DT29" s="7">
        <v>41698</v>
      </c>
      <c r="DU29" s="7">
        <v>41729</v>
      </c>
      <c r="DV29" s="7">
        <v>41759</v>
      </c>
      <c r="DW29" s="7">
        <v>41790</v>
      </c>
      <c r="DX29" s="7">
        <v>41820</v>
      </c>
      <c r="DY29" s="7">
        <v>41851</v>
      </c>
      <c r="DZ29" s="7">
        <v>41882</v>
      </c>
      <c r="EA29" s="7">
        <v>41912</v>
      </c>
      <c r="EB29" s="7">
        <v>41943</v>
      </c>
      <c r="EC29" s="7">
        <v>41973</v>
      </c>
      <c r="ED29" s="7">
        <v>42004</v>
      </c>
      <c r="EE29" s="7">
        <v>42035</v>
      </c>
      <c r="EF29" s="7">
        <v>42063</v>
      </c>
      <c r="EG29" s="7">
        <v>42094</v>
      </c>
      <c r="EH29" s="7">
        <v>42124</v>
      </c>
      <c r="EI29" s="7">
        <v>42155</v>
      </c>
      <c r="EJ29" s="7">
        <v>42185</v>
      </c>
      <c r="EK29" s="7">
        <v>42216</v>
      </c>
      <c r="EL29" s="7">
        <v>42247</v>
      </c>
      <c r="EM29" s="7">
        <v>42277</v>
      </c>
      <c r="EN29" s="7">
        <v>42308</v>
      </c>
      <c r="EO29" s="7">
        <v>42338</v>
      </c>
      <c r="EP29" s="7">
        <v>42369</v>
      </c>
      <c r="EQ29" s="7">
        <v>42400</v>
      </c>
      <c r="ER29" s="7">
        <v>42429</v>
      </c>
      <c r="ES29" s="7">
        <v>42460</v>
      </c>
      <c r="ET29" s="7">
        <v>42490</v>
      </c>
      <c r="EU29" s="7">
        <v>42521</v>
      </c>
      <c r="EV29" s="7">
        <v>42551</v>
      </c>
      <c r="EW29" s="7">
        <v>42582</v>
      </c>
      <c r="EX29" s="7">
        <v>42613</v>
      </c>
      <c r="EY29" s="7">
        <v>42643</v>
      </c>
      <c r="EZ29" s="7">
        <v>42674</v>
      </c>
      <c r="FA29" s="7">
        <v>42704</v>
      </c>
      <c r="FB29" s="7">
        <v>42735</v>
      </c>
      <c r="FC29" s="7">
        <v>42766</v>
      </c>
      <c r="FD29" s="7">
        <v>42794</v>
      </c>
      <c r="FE29" s="7">
        <v>42825</v>
      </c>
      <c r="FF29" s="7">
        <v>42855</v>
      </c>
      <c r="FG29" s="7">
        <v>42886</v>
      </c>
      <c r="FH29" s="7">
        <v>42916</v>
      </c>
      <c r="FI29" s="7">
        <v>42947</v>
      </c>
      <c r="FJ29" s="7">
        <v>42978</v>
      </c>
      <c r="FK29" s="7">
        <v>43008</v>
      </c>
      <c r="FL29" s="7">
        <v>43039</v>
      </c>
      <c r="FM29" s="7">
        <v>43069</v>
      </c>
      <c r="FN29" s="7">
        <v>43100</v>
      </c>
      <c r="FO29" s="7">
        <v>43131</v>
      </c>
      <c r="FP29" s="7">
        <v>43159</v>
      </c>
      <c r="FQ29" s="7">
        <v>43190</v>
      </c>
      <c r="FR29" s="7">
        <v>43220</v>
      </c>
      <c r="FS29" s="7">
        <v>43251</v>
      </c>
      <c r="FT29" s="7">
        <v>43281</v>
      </c>
      <c r="FU29" s="7">
        <v>43312</v>
      </c>
      <c r="FV29" s="7">
        <v>43343</v>
      </c>
      <c r="FW29" s="7">
        <v>43373</v>
      </c>
      <c r="FX29" s="7">
        <v>43404</v>
      </c>
      <c r="FY29" s="7">
        <v>43434</v>
      </c>
      <c r="FZ29" s="7">
        <v>43465</v>
      </c>
      <c r="GA29" s="7">
        <v>43496</v>
      </c>
      <c r="GB29" s="7">
        <v>43524</v>
      </c>
      <c r="GC29" s="7">
        <v>43555</v>
      </c>
      <c r="GD29" s="7">
        <v>43585</v>
      </c>
      <c r="GE29" s="7">
        <v>43616</v>
      </c>
      <c r="GF29" s="7">
        <v>43646</v>
      </c>
      <c r="GG29" s="7">
        <v>43677</v>
      </c>
      <c r="GH29" s="7">
        <v>43708</v>
      </c>
      <c r="GI29" s="7">
        <v>43738</v>
      </c>
      <c r="GJ29" s="7">
        <v>43769</v>
      </c>
      <c r="GK29" s="7">
        <v>43799</v>
      </c>
      <c r="GL29" s="7">
        <v>43830</v>
      </c>
      <c r="GM29" s="7">
        <v>43861</v>
      </c>
      <c r="GN29" s="7">
        <v>43890</v>
      </c>
      <c r="GO29" s="7">
        <v>43921</v>
      </c>
      <c r="GP29" s="7">
        <v>43951</v>
      </c>
      <c r="GQ29" s="7">
        <v>43982</v>
      </c>
      <c r="GR29" s="7">
        <v>44012</v>
      </c>
      <c r="GS29" s="7">
        <v>44043</v>
      </c>
      <c r="GT29" s="7">
        <v>44074</v>
      </c>
      <c r="GU29" s="7">
        <v>44104</v>
      </c>
      <c r="GV29" s="7">
        <v>44135</v>
      </c>
      <c r="GW29" s="7">
        <v>44165</v>
      </c>
      <c r="GX29" s="7">
        <v>44196</v>
      </c>
      <c r="GY29" s="7">
        <v>44227</v>
      </c>
      <c r="GZ29" s="7">
        <v>44255</v>
      </c>
      <c r="HA29" s="7">
        <v>44286</v>
      </c>
      <c r="HB29" s="7">
        <v>44316</v>
      </c>
      <c r="HC29" s="7">
        <v>44347</v>
      </c>
      <c r="HD29" s="7">
        <v>44377</v>
      </c>
      <c r="HE29" s="7">
        <v>44408</v>
      </c>
      <c r="HF29" s="7">
        <v>44439</v>
      </c>
      <c r="HG29" s="7">
        <v>44469</v>
      </c>
      <c r="HH29" s="7">
        <v>44500</v>
      </c>
      <c r="HI29" s="7">
        <v>44530</v>
      </c>
      <c r="HJ29" s="7">
        <v>44561</v>
      </c>
      <c r="HK29" s="7">
        <v>44592</v>
      </c>
      <c r="HL29" s="7">
        <v>44620</v>
      </c>
      <c r="HM29" s="7">
        <v>44651</v>
      </c>
      <c r="HN29" s="7">
        <v>44681</v>
      </c>
      <c r="HO29" s="7">
        <v>44712</v>
      </c>
      <c r="HP29" s="7">
        <v>44742</v>
      </c>
      <c r="HQ29" s="7">
        <v>44773</v>
      </c>
      <c r="HR29" s="7">
        <v>44804</v>
      </c>
      <c r="HS29" s="7">
        <v>44834</v>
      </c>
      <c r="HT29" s="7">
        <v>44865</v>
      </c>
      <c r="HU29" s="7">
        <v>44895</v>
      </c>
      <c r="HV29" s="7">
        <v>44926</v>
      </c>
      <c r="HW29" s="7">
        <v>44957</v>
      </c>
      <c r="HX29" s="7">
        <v>44985</v>
      </c>
      <c r="HY29" s="7">
        <v>45016</v>
      </c>
      <c r="HZ29" s="7">
        <v>45046</v>
      </c>
      <c r="IA29" s="7">
        <v>45077</v>
      </c>
      <c r="IB29" s="7">
        <v>45107</v>
      </c>
      <c r="IC29" s="7">
        <v>45138</v>
      </c>
      <c r="ID29" s="7">
        <v>45169</v>
      </c>
      <c r="IE29" s="7">
        <v>45199</v>
      </c>
      <c r="IF29" s="7">
        <v>45230</v>
      </c>
      <c r="IG29" s="7">
        <v>45260</v>
      </c>
      <c r="IH29" s="7">
        <v>45291</v>
      </c>
      <c r="II29" s="7">
        <v>45322</v>
      </c>
      <c r="IJ29" s="7">
        <v>45351</v>
      </c>
      <c r="IK29" s="7">
        <v>45382</v>
      </c>
      <c r="IL29" s="7">
        <v>45412</v>
      </c>
      <c r="IM29" s="7">
        <v>45443</v>
      </c>
      <c r="IN29" s="7">
        <v>45473</v>
      </c>
      <c r="IO29" s="7">
        <v>45504</v>
      </c>
      <c r="IP29" s="7">
        <v>45535</v>
      </c>
      <c r="IQ29" s="7">
        <v>45565</v>
      </c>
      <c r="IR29" s="7">
        <v>45596</v>
      </c>
      <c r="IS29" s="7">
        <v>45626</v>
      </c>
      <c r="IT29" s="7">
        <v>45657</v>
      </c>
      <c r="IU29" s="7">
        <v>45688</v>
      </c>
      <c r="IV29" s="7">
        <v>45716</v>
      </c>
      <c r="IW29" s="7">
        <v>45747</v>
      </c>
      <c r="IX29" s="7">
        <v>45777</v>
      </c>
      <c r="IY29" s="7">
        <v>45808</v>
      </c>
      <c r="IZ29" s="7">
        <v>45838</v>
      </c>
      <c r="JA29" s="7">
        <v>45869</v>
      </c>
      <c r="JB29" s="7">
        <v>45900</v>
      </c>
      <c r="JC29" s="7">
        <v>45930</v>
      </c>
      <c r="JD29" s="7">
        <v>45961</v>
      </c>
      <c r="JE29" s="7">
        <v>45991</v>
      </c>
      <c r="JF29" s="7">
        <v>46022</v>
      </c>
      <c r="JG29" s="7">
        <v>46053</v>
      </c>
      <c r="JH29" s="7">
        <v>46081</v>
      </c>
      <c r="JI29" s="10" t="s">
        <v>2</v>
      </c>
      <c r="JJ29" s="11" t="s">
        <v>3</v>
      </c>
      <c r="JK29" s="10" t="s">
        <v>4</v>
      </c>
      <c r="JL29" s="12" t="s">
        <v>5</v>
      </c>
      <c r="JM29" s="10" t="s">
        <v>6</v>
      </c>
      <c r="JN29" s="19">
        <v>1.28</v>
      </c>
      <c r="LY29" s="1"/>
    </row>
    <row r="30" spans="1:337" x14ac:dyDescent="0.25">
      <c r="A30" s="4">
        <v>1</v>
      </c>
      <c r="B30" s="9">
        <f ca="1">IF(OR(B3="",B$28&lt;$A30),"",B3/OFFSET(SSTotalESP!$A$2,MATCH(B$29,SSTotalESP!$A$2:$A$500)+$A30-1,1)-1)</f>
        <v>-6.3935590368324746E-5</v>
      </c>
      <c r="C30" s="9">
        <f ca="1">IF(OR(C3="",C$28&lt;$A30),"",C3/OFFSET(SSTotalESP!$A$2,MATCH(C$29,SSTotalESP!$A$2:$A$500)+$A30-1,1)-1)</f>
        <v>-1.4549430725495638E-3</v>
      </c>
      <c r="D30" s="9">
        <f ca="1">IF(OR(D3="",D$28&lt;$A30),"",D3/OFFSET(SSTotalESP!$A$2,MATCH(D$29,SSTotalESP!$A$2:$A$500)+$A30-1,1)-1)</f>
        <v>-4.2320206334034438E-4</v>
      </c>
      <c r="E30" s="9">
        <f ca="1">IF(OR(E3="",E$28&lt;$A30),"",E3/OFFSET(SSTotalESP!$A$2,MATCH(E$29,SSTotalESP!$A$2:$A$500)+$A30-1,1)-1)</f>
        <v>6.6969491773671841E-4</v>
      </c>
      <c r="F30" s="9">
        <f ca="1">IF(OR(F3="",F$28&lt;$A30),"",F3/OFFSET(SSTotalESP!$A$2,MATCH(F$29,SSTotalESP!$A$2:$A$500)+$A30-1,1)-1)</f>
        <v>-3.4481357786098066E-4</v>
      </c>
      <c r="G30" s="9">
        <f ca="1">IF(OR(G3="",G$28&lt;$A30),"",G3/OFFSET(SSTotalESP!$A$2,MATCH(G$29,SSTotalESP!$A$2:$A$500)+$A30-1,1)-1)</f>
        <v>-8.963520930092006E-4</v>
      </c>
      <c r="H30" s="9">
        <f ca="1">IF(OR(H3="",H$28&lt;$A30),"",H3/OFFSET(SSTotalESP!$A$2,MATCH(H$29,SSTotalESP!$A$2:$A$500)+$A30-1,1)-1)</f>
        <v>5.5226761207727293E-5</v>
      </c>
      <c r="I30" s="9">
        <f ca="1">IF(OR(I3="",I$28&lt;$A30),"",I3/OFFSET(SSTotalESP!$A$2,MATCH(I$29,SSTotalESP!$A$2:$A$500)+$A30-1,1)-1)</f>
        <v>1.6318126897352236E-3</v>
      </c>
      <c r="J30" s="9">
        <f ca="1">IF(OR(J3="",J$28&lt;$A30),"",J3/OFFSET(SSTotalESP!$A$2,MATCH(J$29,SSTotalESP!$A$2:$A$500)+$A30-1,1)-1)</f>
        <v>-9.7329048925443029E-4</v>
      </c>
      <c r="K30" s="9">
        <f ca="1">IF(OR(K3="",K$28&lt;$A30),"",K3/OFFSET(SSTotalESP!$A$2,MATCH(K$29,SSTotalESP!$A$2:$A$500)+$A30-1,1)-1)</f>
        <v>-9.8686717662743728E-4</v>
      </c>
      <c r="L30" s="9">
        <f ca="1">IF(OR(L3="",L$28&lt;$A30),"",L3/OFFSET(SSTotalESP!$A$2,MATCH(L$29,SSTotalESP!$A$2:$A$500)+$A30-1,1)-1)</f>
        <v>-6.4971400936353341E-4</v>
      </c>
      <c r="M30" s="9">
        <f ca="1">IF(OR(M3="",M$28&lt;$A30),"",M3/OFFSET(SSTotalESP!$A$2,MATCH(M$29,SSTotalESP!$A$2:$A$500)+$A30-1,1)-1)</f>
        <v>-1.0126290945766669E-5</v>
      </c>
      <c r="N30" s="9">
        <f ca="1">IF(OR(N3="",N$28&lt;$A30),"",N3/OFFSET(SSTotalESP!$A$2,MATCH(N$29,SSTotalESP!$A$2:$A$500)+$A30-1,1)-1)</f>
        <v>-1.2588519912184459E-3</v>
      </c>
      <c r="O30" s="9">
        <f ca="1">IF(OR(O3="",O$28&lt;$A30),"",O3/OFFSET(SSTotalESP!$A$2,MATCH(O$29,SSTotalESP!$A$2:$A$500)+$A30-1,1)-1)</f>
        <v>8.2496399294851308E-4</v>
      </c>
      <c r="P30" s="9">
        <f ca="1">IF(OR(P3="",P$28&lt;$A30),"",P3/OFFSET(SSTotalESP!$A$2,MATCH(P$29,SSTotalESP!$A$2:$A$500)+$A30-1,1)-1)</f>
        <v>1.23285766464587E-4</v>
      </c>
      <c r="Q30" s="9">
        <f ca="1">IF(OR(Q3="",Q$28&lt;$A30),"",Q3/OFFSET(SSTotalESP!$A$2,MATCH(Q$29,SSTotalESP!$A$2:$A$500)+$A30-1,1)-1)</f>
        <v>-2.5172426725793562E-3</v>
      </c>
      <c r="R30" s="9">
        <f ca="1">IF(OR(R3="",R$28&lt;$A30),"",R3/OFFSET(SSTotalESP!$A$2,MATCH(R$29,SSTotalESP!$A$2:$A$500)+$A30-1,1)-1)</f>
        <v>-3.6343680085579866E-3</v>
      </c>
      <c r="S30" s="9">
        <f ca="1">IF(OR(S3="",S$28&lt;$A30),"",S3/OFFSET(SSTotalESP!$A$2,MATCH(S$29,SSTotalESP!$A$2:$A$500)+$A30-1,1)-1)</f>
        <v>-7.8207926394445737E-3</v>
      </c>
      <c r="T30" s="9">
        <f ca="1">IF(OR(T3="",T$28&lt;$A30),"",T3/OFFSET(SSTotalESP!$A$2,MATCH(T$29,SSTotalESP!$A$2:$A$500)+$A30-1,1)-1)</f>
        <v>-8.4845953258044782E-3</v>
      </c>
      <c r="U30" s="9">
        <f ca="1">IF(OR(U3="",U$28&lt;$A30),"",U3/OFFSET(SSTotalESP!$A$2,MATCH(U$29,SSTotalESP!$A$2:$A$500)+$A30-1,1)-1)</f>
        <v>-1.6127953959520491E-3</v>
      </c>
      <c r="V30" s="9">
        <f ca="1">IF(OR(V3="",V$28&lt;$A30),"",V3/OFFSET(SSTotalESP!$A$2,MATCH(V$29,SSTotalESP!$A$2:$A$500)+$A30-1,1)-1)</f>
        <v>-8.7374818664387455E-4</v>
      </c>
      <c r="W30" s="9">
        <f ca="1">IF(OR(W3="",W$28&lt;$A30),"",W3/OFFSET(SSTotalESP!$A$2,MATCH(W$29,SSTotalESP!$A$2:$A$500)+$A30-1,1)-1)</f>
        <v>-7.320871845998278E-4</v>
      </c>
      <c r="X30" s="9">
        <f ca="1">IF(OR(X3="",X$28&lt;$A30),"",X3/OFFSET(SSTotalESP!$A$2,MATCH(X$29,SSTotalESP!$A$2:$A$500)+$A30-1,1)-1)</f>
        <v>1.2851691844002477E-3</v>
      </c>
      <c r="Y30" s="9">
        <f ca="1">IF(OR(Y3="",Y$28&lt;$A30),"",Y3/OFFSET(SSTotalESP!$A$2,MATCH(Y$29,SSTotalESP!$A$2:$A$500)+$A30-1,1)-1)</f>
        <v>-8.0105141724295947E-6</v>
      </c>
      <c r="Z30" s="9">
        <f ca="1">IF(OR(Z3="",Z$28&lt;$A30),"",Z3/OFFSET(SSTotalESP!$A$2,MATCH(Z$29,SSTotalESP!$A$2:$A$500)+$A30-1,1)-1)</f>
        <v>1.9870842220970353E-4</v>
      </c>
      <c r="AA30" s="9">
        <f ca="1">IF(OR(AA3="",AA$28&lt;$A30),"",AA3/OFFSET(SSTotalESP!$A$2,MATCH(AA$29,SSTotalESP!$A$2:$A$500)+$A30-1,1)-1)</f>
        <v>1.5765314858624535E-3</v>
      </c>
      <c r="AB30" s="9">
        <f ca="1">IF(OR(AB3="",AB$28&lt;$A30),"",AB3/OFFSET(SSTotalESP!$A$2,MATCH(AB$29,SSTotalESP!$A$2:$A$500)+$A30-1,1)-1)</f>
        <v>-1.396551164669857E-3</v>
      </c>
      <c r="AC30" s="9">
        <f ca="1">IF(OR(AC3="",AC$28&lt;$A30),"",AC3/OFFSET(SSTotalESP!$A$2,MATCH(AC$29,SSTotalESP!$A$2:$A$500)+$A30-1,1)-1)</f>
        <v>1.3416763797524656E-3</v>
      </c>
      <c r="AD30" s="9">
        <f ca="1">IF(OR(AD3="",AD$28&lt;$A30),"",AD3/OFFSET(SSTotalESP!$A$2,MATCH(AD$29,SSTotalESP!$A$2:$A$500)+$A30-1,1)-1)</f>
        <v>1.1360770485555616E-3</v>
      </c>
      <c r="AE30" s="9">
        <f ca="1">IF(OR(AE3="",AE$28&lt;$A30),"",AE3/OFFSET(SSTotalESP!$A$2,MATCH(AE$29,SSTotalESP!$A$2:$A$500)+$A30-1,1)-1)</f>
        <v>1.8930289364700315E-3</v>
      </c>
      <c r="AF30" s="9">
        <f ca="1">IF(OR(AF3="",AF$28&lt;$A30),"",AF3/OFFSET(SSTotalESP!$A$2,MATCH(AF$29,SSTotalESP!$A$2:$A$500)+$A30-1,1)-1)</f>
        <v>1.4540145801831272E-3</v>
      </c>
      <c r="AG30" s="9">
        <f ca="1">IF(OR(AG3="",AG$28&lt;$A30),"",AG3/OFFSET(SSTotalESP!$A$2,MATCH(AG$29,SSTotalESP!$A$2:$A$500)+$A30-1,1)-1)</f>
        <v>2.8762640605364265E-3</v>
      </c>
      <c r="AH30" s="9">
        <f ca="1">IF(OR(AH3="",AH$28&lt;$A30),"",AH3/OFFSET(SSTotalESP!$A$2,MATCH(AH$29,SSTotalESP!$A$2:$A$500)+$A30-1,1)-1)</f>
        <v>-3.2216054786646797E-3</v>
      </c>
      <c r="AI30" s="9">
        <f ca="1">IF(OR(AI3="",AI$28&lt;$A30),"",AI3/OFFSET(SSTotalESP!$A$2,MATCH(AI$29,SSTotalESP!$A$2:$A$500)+$A30-1,1)-1)</f>
        <v>-7.0105083244353938E-4</v>
      </c>
      <c r="AJ30" s="9">
        <f ca="1">IF(OR(AJ3="",AJ$28&lt;$A30),"",AJ3/OFFSET(SSTotalESP!$A$2,MATCH(AJ$29,SSTotalESP!$A$2:$A$500)+$A30-1,1)-1)</f>
        <v>-1.852011230807471E-3</v>
      </c>
      <c r="AK30" s="9">
        <f ca="1">IF(OR(AK3="",AK$28&lt;$A30),"",AK3/OFFSET(SSTotalESP!$A$2,MATCH(AK$29,SSTotalESP!$A$2:$A$500)+$A30-1,1)-1)</f>
        <v>-3.1272498887324751E-4</v>
      </c>
      <c r="AL30" s="9">
        <f ca="1">IF(OR(AL3="",AL$28&lt;$A30),"",AL3/OFFSET(SSTotalESP!$A$2,MATCH(AL$29,SSTotalESP!$A$2:$A$500)+$A30-1,1)-1)</f>
        <v>-1.2262832140826907E-3</v>
      </c>
      <c r="AM30" s="9">
        <f ca="1">IF(OR(AM3="",AM$28&lt;$A30),"",AM3/OFFSET(SSTotalESP!$A$2,MATCH(AM$29,SSTotalESP!$A$2:$A$500)+$A30-1,1)-1)</f>
        <v>5.5474221152107539E-4</v>
      </c>
      <c r="AN30" s="9">
        <f ca="1">IF(OR(AN3="",AN$28&lt;$A30),"",AN3/OFFSET(SSTotalESP!$A$2,MATCH(AN$29,SSTotalESP!$A$2:$A$500)+$A30-1,1)-1)</f>
        <v>-1.326876636125629E-3</v>
      </c>
      <c r="AO30" s="9">
        <f ca="1">IF(OR(AO3="",AO$28&lt;$A30),"",AO3/OFFSET(SSTotalESP!$A$2,MATCH(AO$29,SSTotalESP!$A$2:$A$500)+$A30-1,1)-1)</f>
        <v>2.4187968157300954E-3</v>
      </c>
      <c r="AP30" s="9">
        <f ca="1">IF(OR(AP3="",AP$28&lt;$A30),"",AP3/OFFSET(SSTotalESP!$A$2,MATCH(AP$29,SSTotalESP!$A$2:$A$500)+$A30-1,1)-1)</f>
        <v>-1.0039746554713069E-4</v>
      </c>
      <c r="AQ30" s="9">
        <f ca="1">IF(OR(AQ3="",AQ$28&lt;$A30),"",AQ3/OFFSET(SSTotalESP!$A$2,MATCH(AQ$29,SSTotalESP!$A$2:$A$500)+$A30-1,1)-1)</f>
        <v>2.2158192648200625E-3</v>
      </c>
      <c r="AR30" s="9">
        <f ca="1">IF(OR(AR3="",AR$28&lt;$A30),"",AR3/OFFSET(SSTotalESP!$A$2,MATCH(AR$29,SSTotalESP!$A$2:$A$500)+$A30-1,1)-1)</f>
        <v>5.8777130687936996E-4</v>
      </c>
      <c r="AS30" s="9">
        <f ca="1">IF(OR(AS3="",AS$28&lt;$A30),"",AS3/OFFSET(SSTotalESP!$A$2,MATCH(AS$29,SSTotalESP!$A$2:$A$500)+$A30-1,1)-1)</f>
        <v>1.8285108060931421E-3</v>
      </c>
      <c r="AT30" s="9">
        <f ca="1">IF(OR(AT3="",AT$28&lt;$A30),"",AT3/OFFSET(SSTotalESP!$A$2,MATCH(AT$29,SSTotalESP!$A$2:$A$500)+$A30-1,1)-1)</f>
        <v>-1.3062167348361076E-3</v>
      </c>
      <c r="AU30" s="9">
        <f ca="1">IF(OR(AU3="",AU$28&lt;$A30),"",AU3/OFFSET(SSTotalESP!$A$2,MATCH(AU$29,SSTotalESP!$A$2:$A$500)+$A30-1,1)-1)</f>
        <v>-4.5732529438025082E-4</v>
      </c>
      <c r="AV30" s="9">
        <f ca="1">IF(OR(AV3="",AV$28&lt;$A30),"",AV3/OFFSET(SSTotalESP!$A$2,MATCH(AV$29,SSTotalESP!$A$2:$A$500)+$A30-1,1)-1)</f>
        <v>7.0663765593881323E-4</v>
      </c>
      <c r="AW30" s="9">
        <f ca="1">IF(OR(AW3="",AW$28&lt;$A30),"",AW3/OFFSET(SSTotalESP!$A$2,MATCH(AW$29,SSTotalESP!$A$2:$A$500)+$A30-1,1)-1)</f>
        <v>-1.5674225455231117E-5</v>
      </c>
      <c r="AX30" s="9">
        <f ca="1">IF(OR(AX3="",AX$28&lt;$A30),"",AX3/OFFSET(SSTotalESP!$A$2,MATCH(AX$29,SSTotalESP!$A$2:$A$500)+$A30-1,1)-1)</f>
        <v>2.0623120045084598E-3</v>
      </c>
      <c r="AY30" s="9">
        <f ca="1">IF(OR(AY3="",AY$28&lt;$A30),"",AY3/OFFSET(SSTotalESP!$A$2,MATCH(AY$29,SSTotalESP!$A$2:$A$500)+$A30-1,1)-1)</f>
        <v>1.1195418622997888E-3</v>
      </c>
      <c r="AZ30" s="9">
        <f ca="1">IF(OR(AZ3="",AZ$28&lt;$A30),"",AZ3/OFFSET(SSTotalESP!$A$2,MATCH(AZ$29,SSTotalESP!$A$2:$A$500)+$A30-1,1)-1)</f>
        <v>1.9715224137841769E-3</v>
      </c>
      <c r="BA30" s="9">
        <f ca="1">IF(OR(BA3="",BA$28&lt;$A30),"",BA3/OFFSET(SSTotalESP!$A$2,MATCH(BA$29,SSTotalESP!$A$2:$A$500)+$A30-1,1)-1)</f>
        <v>8.9841474601581872E-4</v>
      </c>
      <c r="BB30" s="9">
        <f ca="1">IF(OR(BB3="",BB$28&lt;$A30),"",BB3/OFFSET(SSTotalESP!$A$2,MATCH(BB$29,SSTotalESP!$A$2:$A$500)+$A30-1,1)-1)</f>
        <v>2.9186846257356347E-3</v>
      </c>
      <c r="BC30" s="9">
        <f ca="1">IF(OR(BC3="",BC$28&lt;$A30),"",BC3/OFFSET(SSTotalESP!$A$2,MATCH(BC$29,SSTotalESP!$A$2:$A$500)+$A30-1,1)-1)</f>
        <v>3.7825456230495824E-3</v>
      </c>
      <c r="BD30" s="9">
        <f ca="1">IF(OR(BD3="",BD$28&lt;$A30),"",BD3/OFFSET(SSTotalESP!$A$2,MATCH(BD$29,SSTotalESP!$A$2:$A$500)+$A30-1,1)-1)</f>
        <v>3.9558182863763669E-4</v>
      </c>
      <c r="BE30" s="9">
        <f ca="1">IF(OR(BE3="",BE$28&lt;$A30),"",BE3/OFFSET(SSTotalESP!$A$2,MATCH(BE$29,SSTotalESP!$A$2:$A$500)+$A30-1,1)-1)</f>
        <v>-1.6742484235522381E-3</v>
      </c>
      <c r="BF30" s="9">
        <f ca="1">IF(OR(BF3="",BF$28&lt;$A30),"",BF3/OFFSET(SSTotalESP!$A$2,MATCH(BF$29,SSTotalESP!$A$2:$A$500)+$A30-1,1)-1)</f>
        <v>3.5698674323974E-3</v>
      </c>
      <c r="BG30" s="9">
        <f ca="1">IF(OR(BG3="",BG$28&lt;$A30),"",BG3/OFFSET(SSTotalESP!$A$2,MATCH(BG$29,SSTotalESP!$A$2:$A$500)+$A30-1,1)-1)</f>
        <v>4.3945701600605069E-3</v>
      </c>
      <c r="BH30" s="9">
        <f ca="1">IF(OR(BH3="",BH$28&lt;$A30),"",BH3/OFFSET(SSTotalESP!$A$2,MATCH(BH$29,SSTotalESP!$A$2:$A$500)+$A30-1,1)-1)</f>
        <v>4.1262097654910512E-3</v>
      </c>
      <c r="BI30" s="9">
        <f ca="1">IF(OR(BI3="",BI$28&lt;$A30),"",BI3/OFFSET(SSTotalESP!$A$2,MATCH(BI$29,SSTotalESP!$A$2:$A$500)+$A30-1,1)-1)</f>
        <v>-1.3456882775121359E-3</v>
      </c>
      <c r="BJ30" s="9">
        <f ca="1">IF(OR(BJ3="",BJ$28&lt;$A30),"",BJ3/OFFSET(SSTotalESP!$A$2,MATCH(BJ$29,SSTotalESP!$A$2:$A$500)+$A30-1,1)-1)</f>
        <v>1.067057955122408E-3</v>
      </c>
      <c r="BK30" s="9">
        <f ca="1">IF(OR(BK3="",BK$28&lt;$A30),"",BK3/OFFSET(SSTotalESP!$A$2,MATCH(BK$29,SSTotalESP!$A$2:$A$500)+$A30-1,1)-1)</f>
        <v>2.3427986290085467E-3</v>
      </c>
      <c r="BL30" s="9">
        <f ca="1">IF(OR(BL3="",BL$28&lt;$A30),"",BL3/OFFSET(SSTotalESP!$A$2,MATCH(BL$29,SSTotalESP!$A$2:$A$500)+$A30-1,1)-1)</f>
        <v>-7.3365391733848373E-4</v>
      </c>
      <c r="BM30" s="9">
        <f ca="1">IF(OR(BM3="",BM$28&lt;$A30),"",BM3/OFFSET(SSTotalESP!$A$2,MATCH(BM$29,SSTotalESP!$A$2:$A$500)+$A30-1,1)-1)</f>
        <v>-2.6523296104984384E-3</v>
      </c>
      <c r="BN30" s="9">
        <f ca="1">IF(OR(BN3="",BN$28&lt;$A30),"",BN3/OFFSET(SSTotalESP!$A$2,MATCH(BN$29,SSTotalESP!$A$2:$A$500)+$A30-1,1)-1)</f>
        <v>-3.4147296650643977E-3</v>
      </c>
      <c r="BO30" s="9">
        <f ca="1">IF(OR(BO3="",BO$28&lt;$A30),"",BO3/OFFSET(SSTotalESP!$A$2,MATCH(BO$29,SSTotalESP!$A$2:$A$500)+$A30-1,1)-1)</f>
        <v>-2.6429545595219039E-4</v>
      </c>
      <c r="BP30" s="9">
        <f ca="1">IF(OR(BP3="",BP$28&lt;$A30),"",BP3/OFFSET(SSTotalESP!$A$2,MATCH(BP$29,SSTotalESP!$A$2:$A$500)+$A30-1,1)-1)</f>
        <v>-1.2091885764831112E-4</v>
      </c>
      <c r="BQ30" s="9">
        <f ca="1">IF(OR(BQ3="",BQ$28&lt;$A30),"",BQ3/OFFSET(SSTotalESP!$A$2,MATCH(BQ$29,SSTotalESP!$A$2:$A$500)+$A30-1,1)-1)</f>
        <v>-5.2608178309347942E-3</v>
      </c>
      <c r="BR30" s="9">
        <f ca="1">IF(OR(BR3="",BR$28&lt;$A30),"",BR3/OFFSET(SSTotalESP!$A$2,MATCH(BR$29,SSTotalESP!$A$2:$A$500)+$A30-1,1)-1)</f>
        <v>1.822331958888368E-3</v>
      </c>
      <c r="BS30" s="9">
        <f ca="1">IF(OR(BS3="",BS$28&lt;$A30),"",BS3/OFFSET(SSTotalESP!$A$2,MATCH(BS$29,SSTotalESP!$A$2:$A$500)+$A30-1,1)-1)</f>
        <v>-4.8948217537037042E-4</v>
      </c>
      <c r="BT30" s="9">
        <f ca="1">IF(OR(BT3="",BT$28&lt;$A30),"",BT3/OFFSET(SSTotalESP!$A$2,MATCH(BT$29,SSTotalESP!$A$2:$A$500)+$A30-1,1)-1)</f>
        <v>-2.1833159141245728E-3</v>
      </c>
      <c r="BU30" s="9">
        <f ca="1">IF(OR(BU3="",BU$28&lt;$A30),"",BU3/OFFSET(SSTotalESP!$A$2,MATCH(BU$29,SSTotalESP!$A$2:$A$500)+$A30-1,1)-1)</f>
        <v>-2.55905131417411E-3</v>
      </c>
      <c r="BV30" s="9">
        <f ca="1">IF(OR(BV3="",BV$28&lt;$A30),"",BV3/OFFSET(SSTotalESP!$A$2,MATCH(BV$29,SSTotalESP!$A$2:$A$500)+$A30-1,1)-1)</f>
        <v>2.4411873749825563E-3</v>
      </c>
      <c r="BW30" s="9">
        <f ca="1">IF(OR(BW3="",BW$28&lt;$A30),"",BW3/OFFSET(SSTotalESP!$A$2,MATCH(BW$29,SSTotalESP!$A$2:$A$500)+$A30-1,1)-1)</f>
        <v>2.1851248929793954E-4</v>
      </c>
      <c r="BX30" s="9">
        <f ca="1">IF(OR(BX3="",BX$28&lt;$A30),"",BX3/OFFSET(SSTotalESP!$A$2,MATCH(BX$29,SSTotalESP!$A$2:$A$500)+$A30-1,1)-1)</f>
        <v>4.9984315549700398E-5</v>
      </c>
      <c r="BY30" s="9">
        <f ca="1">IF(OR(BY3="",BY$28&lt;$A30),"",BY3/OFFSET(SSTotalESP!$A$2,MATCH(BY$29,SSTotalESP!$A$2:$A$500)+$A30-1,1)-1)</f>
        <v>-1.313873480616623E-3</v>
      </c>
      <c r="BZ30" s="9">
        <f ca="1">IF(OR(BZ3="",BZ$28&lt;$A30),"",BZ3/OFFSET(SSTotalESP!$A$2,MATCH(BZ$29,SSTotalESP!$A$2:$A$500)+$A30-1,1)-1)</f>
        <v>-4.277508096275362E-4</v>
      </c>
      <c r="CA30" s="9">
        <f ca="1">IF(OR(CA3="",CA$28&lt;$A30),"",CA3/OFFSET(SSTotalESP!$A$2,MATCH(CA$29,SSTotalESP!$A$2:$A$500)+$A30-1,1)-1)</f>
        <v>6.6758109688969114E-4</v>
      </c>
      <c r="CB30" s="9">
        <f ca="1">IF(OR(CB3="",CB$28&lt;$A30),"",CB3/OFFSET(SSTotalESP!$A$2,MATCH(CB$29,SSTotalESP!$A$2:$A$500)+$A30-1,1)-1)</f>
        <v>6.0775114569566746E-4</v>
      </c>
      <c r="CC30" s="9">
        <f ca="1">IF(OR(CC3="",CC$28&lt;$A30),"",CC3/OFFSET(SSTotalESP!$A$2,MATCH(CC$29,SSTotalESP!$A$2:$A$500)+$A30-1,1)-1)</f>
        <v>-2.7227067239777858E-3</v>
      </c>
      <c r="CD30" s="9">
        <f ca="1">IF(OR(CD3="",CD$28&lt;$A30),"",CD3/OFFSET(SSTotalESP!$A$2,MATCH(CD$29,SSTotalESP!$A$2:$A$500)+$A30-1,1)-1)</f>
        <v>3.473076094286931E-4</v>
      </c>
      <c r="CE30" s="9">
        <f ca="1">IF(OR(CE3="",CE$28&lt;$A30),"",CE3/OFFSET(SSTotalESP!$A$2,MATCH(CE$29,SSTotalESP!$A$2:$A$500)+$A30-1,1)-1)</f>
        <v>4.6191010588669812E-4</v>
      </c>
      <c r="CF30" s="9">
        <f ca="1">IF(OR(CF3="",CF$28&lt;$A30),"",CF3/OFFSET(SSTotalESP!$A$2,MATCH(CF$29,SSTotalESP!$A$2:$A$500)+$A30-1,1)-1)</f>
        <v>2.0901282186547299E-4</v>
      </c>
      <c r="CG30" s="9">
        <f ca="1">IF(OR(CG3="",CG$28&lt;$A30),"",CG3/OFFSET(SSTotalESP!$A$2,MATCH(CG$29,SSTotalESP!$A$2:$A$500)+$A30-1,1)-1)</f>
        <v>-1.9116056459176356E-3</v>
      </c>
      <c r="CH30" s="9">
        <f ca="1">IF(OR(CH3="",CH$28&lt;$A30),"",CH3/OFFSET(SSTotalESP!$A$2,MATCH(CH$29,SSTotalESP!$A$2:$A$500)+$A30-1,1)-1)</f>
        <v>-1.7855532004251717E-4</v>
      </c>
      <c r="CI30" s="9">
        <f ca="1">IF(OR(CI3="",CI$28&lt;$A30),"",CI3/OFFSET(SSTotalESP!$A$2,MATCH(CI$29,SSTotalESP!$A$2:$A$500)+$A30-1,1)-1)</f>
        <v>4.6978629891496482E-3</v>
      </c>
      <c r="CJ30" s="9">
        <f ca="1">IF(OR(CJ3="",CJ$28&lt;$A30),"",CJ3/OFFSET(SSTotalESP!$A$2,MATCH(CJ$29,SSTotalESP!$A$2:$A$500)+$A30-1,1)-1)</f>
        <v>-2.4237585134783135E-3</v>
      </c>
      <c r="CK30" s="9">
        <f ca="1">IF(OR(CK3="",CK$28&lt;$A30),"",CK3/OFFSET(SSTotalESP!$A$2,MATCH(CK$29,SSTotalESP!$A$2:$A$500)+$A30-1,1)-1)</f>
        <v>-1.08326394539493E-3</v>
      </c>
      <c r="CL30" s="9">
        <f ca="1">IF(OR(CL3="",CL$28&lt;$A30),"",CL3/OFFSET(SSTotalESP!$A$2,MATCH(CL$29,SSTotalESP!$A$2:$A$500)+$A30-1,1)-1)</f>
        <v>8.2748330404736059E-4</v>
      </c>
      <c r="CM30" s="9">
        <f ca="1">IF(OR(CM3="",CM$28&lt;$A30),"",CM3/OFFSET(SSTotalESP!$A$2,MATCH(CM$29,SSTotalESP!$A$2:$A$500)+$A30-1,1)-1)</f>
        <v>2.5267382262810223E-3</v>
      </c>
      <c r="CN30" s="9">
        <f ca="1">IF(OR(CN3="",CN$28&lt;$A30),"",CN3/OFFSET(SSTotalESP!$A$2,MATCH(CN$29,SSTotalESP!$A$2:$A$500)+$A30-1,1)-1)</f>
        <v>-5.8931421470109768E-4</v>
      </c>
      <c r="CO30" s="9">
        <f ca="1">IF(OR(CO3="",CO$28&lt;$A30),"",CO3/OFFSET(SSTotalESP!$A$2,MATCH(CO$29,SSTotalESP!$A$2:$A$500)+$A30-1,1)-1)</f>
        <v>-5.7262297412064012E-4</v>
      </c>
      <c r="CP30" s="9">
        <f ca="1">IF(OR(CP3="",CP$28&lt;$A30),"",CP3/OFFSET(SSTotalESP!$A$2,MATCH(CP$29,SSTotalESP!$A$2:$A$500)+$A30-1,1)-1)</f>
        <v>8.9808742524843943E-4</v>
      </c>
      <c r="CQ30" s="9">
        <f ca="1">IF(OR(CQ3="",CQ$28&lt;$A30),"",CQ3/OFFSET(SSTotalESP!$A$2,MATCH(CQ$29,SSTotalESP!$A$2:$A$500)+$A30-1,1)-1)</f>
        <v>2.9694136981104347E-3</v>
      </c>
      <c r="CR30" s="9">
        <f ca="1">IF(OR(CR3="",CR$28&lt;$A30),"",CR3/OFFSET(SSTotalESP!$A$2,MATCH(CR$29,SSTotalESP!$A$2:$A$500)+$A30-1,1)-1)</f>
        <v>1.4449480196354614E-4</v>
      </c>
      <c r="CS30" s="9">
        <f ca="1">IF(OR(CS3="",CS$28&lt;$A30),"",CS3/OFFSET(SSTotalESP!$A$2,MATCH(CS$29,SSTotalESP!$A$2:$A$500)+$A30-1,1)-1)</f>
        <v>-3.8606648547430122E-3</v>
      </c>
      <c r="CT30" s="9">
        <f ca="1">IF(OR(CT3="",CT$28&lt;$A30),"",CT3/OFFSET(SSTotalESP!$A$2,MATCH(CT$29,SSTotalESP!$A$2:$A$500)+$A30-1,1)-1)</f>
        <v>3.1238901202010894E-3</v>
      </c>
      <c r="CU30" s="9">
        <f ca="1">IF(OR(CU3="",CU$28&lt;$A30),"",CU3/OFFSET(SSTotalESP!$A$2,MATCH(CU$29,SSTotalESP!$A$2:$A$500)+$A30-1,1)-1)</f>
        <v>2.1813221486384204E-3</v>
      </c>
      <c r="CV30" s="9">
        <f ca="1">IF(OR(CV3="",CV$28&lt;$A30),"",CV3/OFFSET(SSTotalESP!$A$2,MATCH(CV$29,SSTotalESP!$A$2:$A$500)+$A30-1,1)-1)</f>
        <v>-2.6816844752775015E-4</v>
      </c>
      <c r="CW30" s="9">
        <f ca="1">IF(OR(CW3="",CW$28&lt;$A30),"",CW3/OFFSET(SSTotalESP!$A$2,MATCH(CW$29,SSTotalESP!$A$2:$A$500)+$A30-1,1)-1)</f>
        <v>1.3736238728658812E-3</v>
      </c>
      <c r="CX30" s="9">
        <f ca="1">IF(OR(CX3="",CX$28&lt;$A30),"",CX3/OFFSET(SSTotalESP!$A$2,MATCH(CX$29,SSTotalESP!$A$2:$A$500)+$A30-1,1)-1)</f>
        <v>-6.0685338623600593E-4</v>
      </c>
      <c r="CY30" s="9">
        <f ca="1">IF(OR(CY3="",CY$28&lt;$A30),"",CY3/OFFSET(SSTotalESP!$A$2,MATCH(CY$29,SSTotalESP!$A$2:$A$500)+$A30-1,1)-1)</f>
        <v>-2.2387660564721079E-3</v>
      </c>
      <c r="CZ30" s="9">
        <f ca="1">IF(OR(CZ3="",CZ$28&lt;$A30),"",CZ3/OFFSET(SSTotalESP!$A$2,MATCH(CZ$29,SSTotalESP!$A$2:$A$500)+$A30-1,1)-1)</f>
        <v>4.1535552736913228E-3</v>
      </c>
      <c r="DA30" s="9">
        <f ca="1">IF(OR(DA3="",DA$28&lt;$A30),"",DA3/OFFSET(SSTotalESP!$A$2,MATCH(DA$29,SSTotalESP!$A$2:$A$500)+$A30-1,1)-1)</f>
        <v>-2.62156804172331E-3</v>
      </c>
      <c r="DB30" s="9">
        <f ca="1">IF(OR(DB3="",DB$28&lt;$A30),"",DB3/OFFSET(SSTotalESP!$A$2,MATCH(DB$29,SSTotalESP!$A$2:$A$500)+$A30-1,1)-1)</f>
        <v>1.4395729483080988E-3</v>
      </c>
      <c r="DC30" s="9">
        <f ca="1">IF(OR(DC3="",DC$28&lt;$A30),"",DC3/OFFSET(SSTotalESP!$A$2,MATCH(DC$29,SSTotalESP!$A$2:$A$500)+$A30-1,1)-1)</f>
        <v>-3.5458050218772907E-4</v>
      </c>
      <c r="DD30" s="9">
        <f ca="1">IF(OR(DD3="",DD$28&lt;$A30),"",DD3/OFFSET(SSTotalESP!$A$2,MATCH(DD$29,SSTotalESP!$A$2:$A$500)+$A30-1,1)-1)</f>
        <v>5.8555813192082695E-3</v>
      </c>
      <c r="DE30" s="9">
        <f ca="1">IF(OR(DE3="",DE$28&lt;$A30),"",DE3/OFFSET(SSTotalESP!$A$2,MATCH(DE$29,SSTotalESP!$A$2:$A$500)+$A30-1,1)-1)</f>
        <v>-1.3763805096869142E-3</v>
      </c>
      <c r="DF30" s="9">
        <f ca="1">IF(OR(DF3="",DF$28&lt;$A30),"",DF3/OFFSET(SSTotalESP!$A$2,MATCH(DF$29,SSTotalESP!$A$2:$A$500)+$A30-1,1)-1)</f>
        <v>-1.8100714111296545E-3</v>
      </c>
      <c r="DG30" s="9">
        <f ca="1">IF(OR(DG3="",DG$28&lt;$A30),"",DG3/OFFSET(SSTotalESP!$A$2,MATCH(DG$29,SSTotalESP!$A$2:$A$500)+$A30-1,1)-1)</f>
        <v>-7.2015946968273514E-4</v>
      </c>
      <c r="DH30" s="9">
        <f ca="1">IF(OR(DH3="",DH$28&lt;$A30),"",DH3/OFFSET(SSTotalESP!$A$2,MATCH(DH$29,SSTotalESP!$A$2:$A$500)+$A30-1,1)-1)</f>
        <v>-5.9583529286122427E-4</v>
      </c>
      <c r="DI30" s="9">
        <f ca="1">IF(OR(DI3="",DI$28&lt;$A30),"",DI3/OFFSET(SSTotalESP!$A$2,MATCH(DI$29,SSTotalESP!$A$2:$A$500)+$A30-1,1)-1)</f>
        <v>-6.2634856191789989E-4</v>
      </c>
      <c r="DJ30" s="9">
        <f ca="1">IF(OR(DJ3="",DJ$28&lt;$A30),"",DJ3/OFFSET(SSTotalESP!$A$2,MATCH(DJ$29,SSTotalESP!$A$2:$A$500)+$A30-1,1)-1)</f>
        <v>-2.0362166716910712E-3</v>
      </c>
      <c r="DK30" s="9">
        <f ca="1">IF(OR(DK3="",DK$28&lt;$A30),"",DK3/OFFSET(SSTotalESP!$A$2,MATCH(DK$29,SSTotalESP!$A$2:$A$500)+$A30-1,1)-1)</f>
        <v>1.4782241623418901E-3</v>
      </c>
      <c r="DL30" s="9">
        <f ca="1">IF(OR(DL3="",DL$28&lt;$A30),"",DL3/OFFSET(SSTotalESP!$A$2,MATCH(DL$29,SSTotalESP!$A$2:$A$500)+$A30-1,1)-1)</f>
        <v>-3.4257600336018434E-4</v>
      </c>
      <c r="DM30" s="9">
        <f ca="1">IF(OR(DM3="",DM$28&lt;$A30),"",DM3/OFFSET(SSTotalESP!$A$2,MATCH(DM$29,SSTotalESP!$A$2:$A$500)+$A30-1,1)-1)</f>
        <v>-1.5618924256115552E-3</v>
      </c>
      <c r="DN30" s="9">
        <f ca="1">IF(OR(DN3="",DN$28&lt;$A30),"",DN3/OFFSET(SSTotalESP!$A$2,MATCH(DN$29,SSTotalESP!$A$2:$A$500)+$A30-1,1)-1)</f>
        <v>-1.6756544348220936E-3</v>
      </c>
      <c r="DO30" s="9">
        <f ca="1">IF(OR(DO3="",DO$28&lt;$A30),"",DO3/OFFSET(SSTotalESP!$A$2,MATCH(DO$29,SSTotalESP!$A$2:$A$500)+$A30-1,1)-1)</f>
        <v>-4.5853251778796844E-3</v>
      </c>
      <c r="DP30" s="9">
        <f ca="1">IF(OR(DP3="",DP$28&lt;$A30),"",DP3/OFFSET(SSTotalESP!$A$2,MATCH(DP$29,SSTotalESP!$A$2:$A$500)+$A30-1,1)-1)</f>
        <v>3.1585892153906947E-4</v>
      </c>
      <c r="DQ30" s="9">
        <f ca="1">IF(OR(DQ3="",DQ$28&lt;$A30),"",DQ3/OFFSET(SSTotalESP!$A$2,MATCH(DQ$29,SSTotalESP!$A$2:$A$500)+$A30-1,1)-1)</f>
        <v>-4.5126591143712647E-3</v>
      </c>
      <c r="DR30" s="9">
        <f ca="1">IF(OR(DR3="",DR$28&lt;$A30),"",DR3/OFFSET(SSTotalESP!$A$2,MATCH(DR$29,SSTotalESP!$A$2:$A$500)+$A30-1,1)-1)</f>
        <v>2.1587953332329324E-3</v>
      </c>
      <c r="DS30" s="9">
        <f ca="1">IF(OR(DS3="",DS$28&lt;$A30),"",DS3/OFFSET(SSTotalESP!$A$2,MATCH(DS$29,SSTotalESP!$A$2:$A$500)+$A30-1,1)-1)</f>
        <v>3.2225015556486269E-4</v>
      </c>
      <c r="DT30" s="9">
        <f ca="1">IF(OR(DT3="",DT$28&lt;$A30),"",DT3/OFFSET(SSTotalESP!$A$2,MATCH(DT$29,SSTotalESP!$A$2:$A$500)+$A30-1,1)-1)</f>
        <v>-2.0169669784908528E-4</v>
      </c>
      <c r="DU30" s="9">
        <f ca="1">IF(OR(DU3="",DU$28&lt;$A30),"",DU3/OFFSET(SSTotalESP!$A$2,MATCH(DU$29,SSTotalESP!$A$2:$A$500)+$A30-1,1)-1)</f>
        <v>-2.4670270274286255E-3</v>
      </c>
      <c r="DV30" s="9">
        <f ca="1">IF(OR(DV3="",DV$28&lt;$A30),"",DV3/OFFSET(SSTotalESP!$A$2,MATCH(DV$29,SSTotalESP!$A$2:$A$500)+$A30-1,1)-1)</f>
        <v>-1.1133075967169059E-3</v>
      </c>
      <c r="DW30" s="9">
        <f ca="1">IF(OR(DW3="",DW$28&lt;$A30),"",DW3/OFFSET(SSTotalESP!$A$2,MATCH(DW$29,SSTotalESP!$A$2:$A$500)+$A30-1,1)-1)</f>
        <v>1.9731703219438845E-3</v>
      </c>
      <c r="DX30" s="9">
        <f ca="1">IF(OR(DX3="",DX$28&lt;$A30),"",DX3/OFFSET(SSTotalESP!$A$2,MATCH(DX$29,SSTotalESP!$A$2:$A$500)+$A30-1,1)-1)</f>
        <v>1.5821514465685915E-4</v>
      </c>
      <c r="DY30" s="9">
        <f ca="1">IF(OR(DY3="",DY$28&lt;$A30),"",DY3/OFFSET(SSTotalESP!$A$2,MATCH(DY$29,SSTotalESP!$A$2:$A$500)+$A30-1,1)-1)</f>
        <v>9.0931516466530304E-4</v>
      </c>
      <c r="DZ30" s="9">
        <f ca="1">IF(OR(DZ3="",DZ$28&lt;$A30),"",DZ3/OFFSET(SSTotalESP!$A$2,MATCH(DZ$29,SSTotalESP!$A$2:$A$500)+$A30-1,1)-1)</f>
        <v>-2.0907009184623071E-3</v>
      </c>
      <c r="EA30" s="9">
        <f ca="1">IF(OR(EA3="",EA$28&lt;$A30),"",EA3/OFFSET(SSTotalESP!$A$2,MATCH(EA$29,SSTotalESP!$A$2:$A$500)+$A30-1,1)-1)</f>
        <v>1.3976306983722875E-3</v>
      </c>
      <c r="EB30" s="9">
        <f ca="1">IF(OR(EB3="",EB$28&lt;$A30),"",EB3/OFFSET(SSTotalESP!$A$2,MATCH(EB$29,SSTotalESP!$A$2:$A$500)+$A30-1,1)-1)</f>
        <v>-5.081248345357503E-3</v>
      </c>
      <c r="EC30" s="9">
        <f ca="1">IF(OR(EC3="",EC$28&lt;$A30),"",EC3/OFFSET(SSTotalESP!$A$2,MATCH(EC$29,SSTotalESP!$A$2:$A$500)+$A30-1,1)-1)</f>
        <v>-8.4323890164539339E-4</v>
      </c>
      <c r="ED30" s="9">
        <f ca="1">IF(OR(ED3="",ED$28&lt;$A30),"",ED3/OFFSET(SSTotalESP!$A$2,MATCH(ED$29,SSTotalESP!$A$2:$A$500)+$A30-1,1)-1)</f>
        <v>2.949952728019678E-3</v>
      </c>
      <c r="EE30" s="9">
        <f ca="1">IF(OR(EE3="",EE$28&lt;$A30),"",EE3/OFFSET(SSTotalESP!$A$2,MATCH(EE$29,SSTotalESP!$A$2:$A$500)+$A30-1,1)-1)</f>
        <v>-3.3956561316331735E-3</v>
      </c>
      <c r="EF30" s="9">
        <f ca="1">IF(OR(EF3="",EF$28&lt;$A30),"",EF3/OFFSET(SSTotalESP!$A$2,MATCH(EF$29,SSTotalESP!$A$2:$A$500)+$A30-1,1)-1)</f>
        <v>-2.4181988834216517E-3</v>
      </c>
      <c r="EG30" s="9">
        <f ca="1">IF(OR(EG3="",EG$28&lt;$A30),"",EG3/OFFSET(SSTotalESP!$A$2,MATCH(EG$29,SSTotalESP!$A$2:$A$500)+$A30-1,1)-1)</f>
        <v>-5.8856547580454777E-4</v>
      </c>
      <c r="EH30" s="9">
        <f ca="1">IF(OR(EH3="",EH$28&lt;$A30),"",EH3/OFFSET(SSTotalESP!$A$2,MATCH(EH$29,SSTotalESP!$A$2:$A$500)+$A30-1,1)-1)</f>
        <v>5.0256890574673641E-4</v>
      </c>
      <c r="EI30" s="9">
        <f ca="1">IF(OR(EI3="",EI$28&lt;$A30),"",EI3/OFFSET(SSTotalESP!$A$2,MATCH(EI$29,SSTotalESP!$A$2:$A$500)+$A30-1,1)-1)</f>
        <v>3.662317125752601E-3</v>
      </c>
      <c r="EJ30" s="9">
        <f ca="1">IF(OR(EJ3="",EJ$28&lt;$A30),"",EJ3/OFFSET(SSTotalESP!$A$2,MATCH(EJ$29,SSTotalESP!$A$2:$A$500)+$A30-1,1)-1)</f>
        <v>7.6677198598695817E-4</v>
      </c>
      <c r="EK30" s="9">
        <f ca="1">IF(OR(EK3="",EK$28&lt;$A30),"",EK3/OFFSET(SSTotalESP!$A$2,MATCH(EK$29,SSTotalESP!$A$2:$A$500)+$A30-1,1)-1)</f>
        <v>2.0485741334415053E-3</v>
      </c>
      <c r="EL30" s="9">
        <f ca="1">IF(OR(EL3="",EL$28&lt;$A30),"",EL3/OFFSET(SSTotalESP!$A$2,MATCH(EL$29,SSTotalESP!$A$2:$A$500)+$A30-1,1)-1)</f>
        <v>-2.067303671758447E-3</v>
      </c>
      <c r="EM30" s="9">
        <f ca="1">IF(OR(EM3="",EM$28&lt;$A30),"",EM3/OFFSET(SSTotalESP!$A$2,MATCH(EM$29,SSTotalESP!$A$2:$A$500)+$A30-1,1)-1)</f>
        <v>4.5399216610952919E-5</v>
      </c>
      <c r="EN30" s="9">
        <f ca="1">IF(OR(EN3="",EN$28&lt;$A30),"",EN3/OFFSET(SSTotalESP!$A$2,MATCH(EN$29,SSTotalESP!$A$2:$A$500)+$A30-1,1)-1)</f>
        <v>-1.430629632361291E-3</v>
      </c>
      <c r="EO30" s="9">
        <f ca="1">IF(OR(EO3="",EO$28&lt;$A30),"",EO3/OFFSET(SSTotalESP!$A$2,MATCH(EO$29,SSTotalESP!$A$2:$A$500)+$A30-1,1)-1)</f>
        <v>-1.2586333233792768E-3</v>
      </c>
      <c r="EP30" s="9">
        <f ca="1">IF(OR(EP3="",EP$28&lt;$A30),"",EP3/OFFSET(SSTotalESP!$A$2,MATCH(EP$29,SSTotalESP!$A$2:$A$500)+$A30-1,1)-1)</f>
        <v>1.3786181637969186E-3</v>
      </c>
      <c r="EQ30" s="9">
        <f ca="1">IF(OR(EQ3="",EQ$28&lt;$A30),"",EQ3/OFFSET(SSTotalESP!$A$2,MATCH(EQ$29,SSTotalESP!$A$2:$A$500)+$A30-1,1)-1)</f>
        <v>8.2589436434155061E-4</v>
      </c>
      <c r="ER30" s="9">
        <f ca="1">IF(OR(ER3="",ER$28&lt;$A30),"",ER3/OFFSET(SSTotalESP!$A$2,MATCH(ER$29,SSTotalESP!$A$2:$A$500)+$A30-1,1)-1)</f>
        <v>-1.1905953511628375E-3</v>
      </c>
      <c r="ES30" s="9">
        <f ca="1">IF(OR(ES3="",ES$28&lt;$A30),"",ES3/OFFSET(SSTotalESP!$A$2,MATCH(ES$29,SSTotalESP!$A$2:$A$500)+$A30-1,1)-1)</f>
        <v>-5.9956915748116124E-4</v>
      </c>
      <c r="ET30" s="9">
        <f ca="1">IF(OR(ET3="",ET$28&lt;$A30),"",ET3/OFFSET(SSTotalESP!$A$2,MATCH(ET$29,SSTotalESP!$A$2:$A$500)+$A30-1,1)-1)</f>
        <v>5.7526995814294324E-5</v>
      </c>
      <c r="EU30" s="9">
        <f ca="1">IF(OR(EU3="",EU$28&lt;$A30),"",EU3/OFFSET(SSTotalESP!$A$2,MATCH(EU$29,SSTotalESP!$A$2:$A$500)+$A30-1,1)-1)</f>
        <v>-2.180724930140987E-3</v>
      </c>
      <c r="EV30" s="9">
        <f ca="1">IF(OR(EV3="",EV$28&lt;$A30),"",EV3/OFFSET(SSTotalESP!$A$2,MATCH(EV$29,SSTotalESP!$A$2:$A$500)+$A30-1,1)-1)</f>
        <v>1.0370568445332573E-3</v>
      </c>
      <c r="EW30" s="9">
        <f ca="1">IF(OR(EW3="",EW$28&lt;$A30),"",EW3/OFFSET(SSTotalESP!$A$2,MATCH(EW$29,SSTotalESP!$A$2:$A$500)+$A30-1,1)-1)</f>
        <v>3.046898533798803E-3</v>
      </c>
      <c r="EX30" s="9">
        <f ca="1">IF(OR(EX3="",EX$28&lt;$A30),"",EX3/OFFSET(SSTotalESP!$A$2,MATCH(EX$29,SSTotalESP!$A$2:$A$500)+$A30-1,1)-1)</f>
        <v>-1.1036893347942112E-3</v>
      </c>
      <c r="EY30" s="9">
        <f ca="1">IF(OR(EY3="",EY$28&lt;$A30),"",EY3/OFFSET(SSTotalESP!$A$2,MATCH(EY$29,SSTotalESP!$A$2:$A$500)+$A30-1,1)-1)</f>
        <v>-3.7498151599844043E-3</v>
      </c>
      <c r="EZ30" s="9">
        <f ca="1">IF(OR(EZ3="",EZ$28&lt;$A30),"",EZ3/OFFSET(SSTotalESP!$A$2,MATCH(EZ$29,SSTotalESP!$A$2:$A$500)+$A30-1,1)-1)</f>
        <v>2.9069026044867829E-3</v>
      </c>
      <c r="FA30" s="9">
        <f ca="1">IF(OR(FA3="",FA$28&lt;$A30),"",FA3/OFFSET(SSTotalESP!$A$2,MATCH(FA$29,SSTotalESP!$A$2:$A$500)+$A30-1,1)-1)</f>
        <v>-6.4333265878124823E-4</v>
      </c>
      <c r="FB30" s="9">
        <f ca="1">IF(OR(FB3="",FB$28&lt;$A30),"",FB3/OFFSET(SSTotalESP!$A$2,MATCH(FB$29,SSTotalESP!$A$2:$A$500)+$A30-1,1)-1)</f>
        <v>-1.5081014745291776E-3</v>
      </c>
      <c r="FC30" s="9">
        <f ca="1">IF(OR(FC3="",FC$28&lt;$A30),"",FC3/OFFSET(SSTotalESP!$A$2,MATCH(FC$29,SSTotalESP!$A$2:$A$500)+$A30-1,1)-1)</f>
        <v>2.051287085802489E-4</v>
      </c>
      <c r="FD30" s="9">
        <f ca="1">IF(OR(FD3="",FD$28&lt;$A30),"",FD3/OFFSET(SSTotalESP!$A$2,MATCH(FD$29,SSTotalESP!$A$2:$A$500)+$A30-1,1)-1)</f>
        <v>-1.5397983647106317E-3</v>
      </c>
      <c r="FE30" s="9">
        <f ca="1">IF(OR(FE3="",FE$28&lt;$A30),"",FE3/OFFSET(SSTotalESP!$A$2,MATCH(FE$29,SSTotalESP!$A$2:$A$500)+$A30-1,1)-1)</f>
        <v>-2.5535519914362537E-3</v>
      </c>
      <c r="FF30" s="9">
        <f ca="1">IF(OR(FF3="",FF$28&lt;$A30),"",FF3/OFFSET(SSTotalESP!$A$2,MATCH(FF$29,SSTotalESP!$A$2:$A$500)+$A30-1,1)-1)</f>
        <v>3.8637082213077711E-4</v>
      </c>
      <c r="FG30" s="9">
        <f ca="1">IF(OR(FG3="",FG$28&lt;$A30),"",FG3/OFFSET(SSTotalESP!$A$2,MATCH(FG$29,SSTotalESP!$A$2:$A$500)+$A30-1,1)-1)</f>
        <v>5.2012886787755619E-4</v>
      </c>
      <c r="FH30" s="9">
        <f ca="1">IF(OR(FH3="",FH$28&lt;$A30),"",FH3/OFFSET(SSTotalESP!$A$2,MATCH(FH$29,SSTotalESP!$A$2:$A$500)+$A30-1,1)-1)</f>
        <v>1.7795875852650855E-3</v>
      </c>
      <c r="FI30" s="9">
        <f ca="1">IF(OR(FI3="",FI$28&lt;$A30),"",FI3/OFFSET(SSTotalESP!$A$2,MATCH(FI$29,SSTotalESP!$A$2:$A$500)+$A30-1,1)-1)</f>
        <v>2.6520496031987584E-3</v>
      </c>
      <c r="FJ30" s="9">
        <f ca="1">IF(OR(FJ3="",FJ$28&lt;$A30),"",FJ3/OFFSET(SSTotalESP!$A$2,MATCH(FJ$29,SSTotalESP!$A$2:$A$500)+$A30-1,1)-1)</f>
        <v>-2.5022872312969735E-3</v>
      </c>
      <c r="FK30" s="9">
        <f ca="1">IF(OR(FK3="",FK$28&lt;$A30),"",FK3/OFFSET(SSTotalESP!$A$2,MATCH(FK$29,SSTotalESP!$A$2:$A$500)+$A30-1,1)-1)</f>
        <v>-1.7231793736159906E-3</v>
      </c>
      <c r="FL30" s="9">
        <f ca="1">IF(OR(FL3="",FL$28&lt;$A30),"",FL3/OFFSET(SSTotalESP!$A$2,MATCH(FL$29,SSTotalESP!$A$2:$A$500)+$A30-1,1)-1)</f>
        <v>-9.8049025205715346E-5</v>
      </c>
      <c r="FM30" s="9">
        <f ca="1">IF(OR(FM3="",FM$28&lt;$A30),"",FM3/OFFSET(SSTotalESP!$A$2,MATCH(FM$29,SSTotalESP!$A$2:$A$500)+$A30-1,1)-1)</f>
        <v>1.6786968641593347E-3</v>
      </c>
      <c r="FN30" s="9">
        <f ca="1">IF(OR(FN3="",FN$28&lt;$A30),"",FN3/OFFSET(SSTotalESP!$A$2,MATCH(FN$29,SSTotalESP!$A$2:$A$500)+$A30-1,1)-1)</f>
        <v>-9.7624629810266761E-4</v>
      </c>
      <c r="FO30" s="9">
        <f ca="1">IF(OR(FO3="",FO$28&lt;$A30),"",FO3/OFFSET(SSTotalESP!$A$2,MATCH(FO$29,SSTotalESP!$A$2:$A$500)+$A30-1,1)-1)</f>
        <v>-5.8137088682985727E-4</v>
      </c>
      <c r="FP30" s="9">
        <f ca="1">IF(OR(FP3="",FP$28&lt;$A30),"",FP3/OFFSET(SSTotalESP!$A$2,MATCH(FP$29,SSTotalESP!$A$2:$A$500)+$A30-1,1)-1)</f>
        <v>1.9015068675498625E-4</v>
      </c>
      <c r="FQ30" s="9">
        <f ca="1">IF(OR(FQ3="",FQ$28&lt;$A30),"",FQ3/OFFSET(SSTotalESP!$A$2,MATCH(FQ$29,SSTotalESP!$A$2:$A$500)+$A30-1,1)-1)</f>
        <v>-4.4765277099578782E-4</v>
      </c>
      <c r="FR30" s="9">
        <f ca="1">IF(OR(FR3="",FR$28&lt;$A30),"",FR3/OFFSET(SSTotalESP!$A$2,MATCH(FR$29,SSTotalESP!$A$2:$A$500)+$A30-1,1)-1)</f>
        <v>-2.0306136548076115E-3</v>
      </c>
      <c r="FS30" s="9">
        <f ca="1">IF(OR(FS3="",FS$28&lt;$A30),"",FS3/OFFSET(SSTotalESP!$A$2,MATCH(FS$29,SSTotalESP!$A$2:$A$500)+$A30-1,1)-1)</f>
        <v>8.6998867482090958E-5</v>
      </c>
      <c r="FT30" s="9">
        <f ca="1">IF(OR(FT3="",FT$28&lt;$A30),"",FT3/OFFSET(SSTotalESP!$A$2,MATCH(FT$29,SSTotalESP!$A$2:$A$500)+$A30-1,1)-1)</f>
        <v>1.7455384578173305E-3</v>
      </c>
      <c r="FU30" s="9">
        <f ca="1">IF(OR(FU3="",FU$28&lt;$A30),"",FU3/OFFSET(SSTotalESP!$A$2,MATCH(FU$29,SSTotalESP!$A$2:$A$500)+$A30-1,1)-1)</f>
        <v>2.5779060414894417E-3</v>
      </c>
      <c r="FV30" s="9">
        <f ca="1">IF(OR(FV3="",FV$28&lt;$A30),"",FV3/OFFSET(SSTotalESP!$A$2,MATCH(FV$29,SSTotalESP!$A$2:$A$500)+$A30-1,1)-1)</f>
        <v>-1.6452826818031951E-3</v>
      </c>
      <c r="FW30" s="9">
        <f ca="1">IF(OR(FW3="",FW$28&lt;$A30),"",FW3/OFFSET(SSTotalESP!$A$2,MATCH(FW$29,SSTotalESP!$A$2:$A$500)+$A30-1,1)-1)</f>
        <v>-3.6086510162938179E-3</v>
      </c>
      <c r="FX30" s="9">
        <f ca="1">IF(OR(FX3="",FX$28&lt;$A30),"",FX3/OFFSET(SSTotalESP!$A$2,MATCH(FX$29,SSTotalESP!$A$2:$A$500)+$A30-1,1)-1)</f>
        <v>2.7157922621592334E-3</v>
      </c>
      <c r="FY30" s="9">
        <f ca="1">IF(OR(FY3="",FY$28&lt;$A30),"",FY3/OFFSET(SSTotalESP!$A$2,MATCH(FY$29,SSTotalESP!$A$2:$A$500)+$A30-1,1)-1)</f>
        <v>-2.5150994779917779E-3</v>
      </c>
      <c r="FZ30" s="9">
        <f ca="1">IF(OR(FZ3="",FZ$28&lt;$A30),"",FZ3/OFFSET(SSTotalESP!$A$2,MATCH(FZ$29,SSTotalESP!$A$2:$A$500)+$A30-1,1)-1)</f>
        <v>1.7433239606350348E-3</v>
      </c>
      <c r="GA30" s="9">
        <f ca="1">IF(OR(GA3="",GA$28&lt;$A30),"",GA3/OFFSET(SSTotalESP!$A$2,MATCH(GA$29,SSTotalESP!$A$2:$A$500)+$A30-1,1)-1)</f>
        <v>-3.3728177297520645E-4</v>
      </c>
      <c r="GB30" s="9">
        <f ca="1">IF(OR(GB3="",GB$28&lt;$A30),"",GB3/OFFSET(SSTotalESP!$A$2,MATCH(GB$29,SSTotalESP!$A$2:$A$500)+$A30-1,1)-1)</f>
        <v>-1.6592351950912576E-3</v>
      </c>
      <c r="GC30" s="9">
        <f ca="1">IF(OR(GC3="",GC$28&lt;$A30),"",GC3/OFFSET(SSTotalESP!$A$2,MATCH(GC$29,SSTotalESP!$A$2:$A$500)+$A30-1,1)-1)</f>
        <v>-9.4995649266205184E-4</v>
      </c>
      <c r="GD30" s="9">
        <f ca="1">IF(OR(GD3="",GD$28&lt;$A30),"",GD3/OFFSET(SSTotalESP!$A$2,MATCH(GD$29,SSTotalESP!$A$2:$A$500)+$A30-1,1)-1)</f>
        <v>1.8977133604103358E-4</v>
      </c>
      <c r="GE30" s="9">
        <f ca="1">IF(OR(GE3="",GE$28&lt;$A30),"",GE3/OFFSET(SSTotalESP!$A$2,MATCH(GE$29,SSTotalESP!$A$2:$A$500)+$A30-1,1)-1)</f>
        <v>1.6629436513060369E-4</v>
      </c>
      <c r="GF30" s="9">
        <f ca="1">IF(OR(GF3="",GF$28&lt;$A30),"",GF3/OFFSET(SSTotalESP!$A$2,MATCH(GF$29,SSTotalESP!$A$2:$A$500)+$A30-1,1)-1)</f>
        <v>1.5677683184360802E-3</v>
      </c>
      <c r="GG30" s="9">
        <f ca="1">IF(OR(GG3="",GG$28&lt;$A30),"",GG3/OFFSET(SSTotalESP!$A$2,MATCH(GG$29,SSTotalESP!$A$2:$A$500)+$A30-1,1)-1)</f>
        <v>1.411828644976465E-3</v>
      </c>
      <c r="GH30" s="9">
        <f ca="1">IF(OR(GH3="",GH$28&lt;$A30),"",GH3/OFFSET(SSTotalESP!$A$2,MATCH(GH$29,SSTotalESP!$A$2:$A$500)+$A30-1,1)-1)</f>
        <v>-5.2868341890222048E-5</v>
      </c>
      <c r="GI30" s="9">
        <f ca="1">IF(OR(GI3="",GI$28&lt;$A30),"",GI3/OFFSET(SSTotalESP!$A$2,MATCH(GI$29,SSTotalESP!$A$2:$A$500)+$A30-1,1)-1)</f>
        <v>-1.8862672339158282E-3</v>
      </c>
      <c r="GJ30" s="9">
        <f ca="1">IF(OR(GJ3="",GJ$28&lt;$A30),"",GJ3/OFFSET(SSTotalESP!$A$2,MATCH(GJ$29,SSTotalESP!$A$2:$A$500)+$A30-1,1)-1)</f>
        <v>1.9521207113304406E-4</v>
      </c>
      <c r="GK30" s="9">
        <f ca="1">IF(OR(GK3="",GK$28&lt;$A30),"",GK3/OFFSET(SSTotalESP!$A$2,MATCH(GK$29,SSTotalESP!$A$2:$A$500)+$A30-1,1)-1)</f>
        <v>8.9783021535216889E-4</v>
      </c>
      <c r="GL30" s="9">
        <f ca="1">IF(OR(GL3="",GL$28&lt;$A30),"",GL3/OFFSET(SSTotalESP!$A$2,MATCH(GL$29,SSTotalESP!$A$2:$A$500)+$A30-1,1)-1)</f>
        <v>1.2662945587766927E-3</v>
      </c>
      <c r="GM30" s="9">
        <f ca="1">IF(OR(GM3="",GM$28&lt;$A30),"",GM3/OFFSET(SSTotalESP!$A$2,MATCH(GM$29,SSTotalESP!$A$2:$A$500)+$A30-1,1)-1)</f>
        <v>-2.484463486871813E-3</v>
      </c>
      <c r="GN30" s="9">
        <f ca="1">IF(OR(GN3="",GN$28&lt;$A30),"",GN3/OFFSET(SSTotalESP!$A$2,MATCH(GN$29,SSTotalESP!$A$2:$A$500)+$A30-1,1)-1)</f>
        <v>1.9632126899098212E-2</v>
      </c>
      <c r="GO30" s="9">
        <f ca="1">IF(OR(GO3="",GO$28&lt;$A30),"",GO3/OFFSET(SSTotalESP!$A$2,MATCH(GO$29,SSTotalESP!$A$2:$A$500)+$A30-1,1)-1)</f>
        <v>3.4719112872152236E-2</v>
      </c>
      <c r="GP30" s="9">
        <f ca="1">IF(OR(GP3="",GP$28&lt;$A30),"",GP3/OFFSET(SSTotalESP!$A$2,MATCH(GP$29,SSTotalESP!$A$2:$A$500)+$A30-1,1)-1)</f>
        <v>-5.5572281671778523E-4</v>
      </c>
      <c r="GQ30" s="9">
        <f ca="1">IF(OR(GQ3="",GQ$28&lt;$A30),"",GQ3/OFFSET(SSTotalESP!$A$2,MATCH(GQ$29,SSTotalESP!$A$2:$A$500)+$A30-1,1)-1)</f>
        <v>-4.2179227521901286E-3</v>
      </c>
      <c r="GR30" s="9">
        <f ca="1">IF(OR(GR3="",GR$28&lt;$A30),"",GR3/OFFSET(SSTotalESP!$A$2,MATCH(GR$29,SSTotalESP!$A$2:$A$500)+$A30-1,1)-1)</f>
        <v>-8.8411104033515597E-3</v>
      </c>
      <c r="GS30" s="9">
        <f ca="1">IF(OR(GS3="",GS$28&lt;$A30),"",GS3/OFFSET(SSTotalESP!$A$2,MATCH(GS$29,SSTotalESP!$A$2:$A$500)+$A30-1,1)-1)</f>
        <v>-9.1235282533783657E-3</v>
      </c>
      <c r="GT30" s="9">
        <f ca="1">IF(OR(GT3="",GT$28&lt;$A30),"",GT3/OFFSET(SSTotalESP!$A$2,MATCH(GT$29,SSTotalESP!$A$2:$A$500)+$A30-1,1)-1)</f>
        <v>3.3731942374704005E-4</v>
      </c>
      <c r="GU30" s="9">
        <f ca="1">IF(OR(GU3="",GU$28&lt;$A30),"",GU3/OFFSET(SSTotalESP!$A$2,MATCH(GU$29,SSTotalESP!$A$2:$A$500)+$A30-1,1)-1)</f>
        <v>-7.208237308430343E-4</v>
      </c>
      <c r="GV30" s="9">
        <f ca="1">IF(OR(GV3="",GV$28&lt;$A30),"",GV3/OFFSET(SSTotalESP!$A$2,MATCH(GV$29,SSTotalESP!$A$2:$A$500)+$A30-1,1)-1)</f>
        <v>-3.667553960629677E-3</v>
      </c>
      <c r="GW30" s="9">
        <f ca="1">IF(OR(GW3="",GW$28&lt;$A30),"",GW3/OFFSET(SSTotalESP!$A$2,MATCH(GW$29,SSTotalESP!$A$2:$A$500)+$A30-1,1)-1)</f>
        <v>1.8181478147931696E-3</v>
      </c>
      <c r="GX30" s="9">
        <f ca="1">IF(OR(GX3="",GX$28&lt;$A30),"",GX3/OFFSET(SSTotalESP!$A$2,MATCH(GX$29,SSTotalESP!$A$2:$A$500)+$A30-1,1)-1)</f>
        <v>-9.4333792092293756E-4</v>
      </c>
      <c r="GY30" s="9" t="str">
        <f ca="1">IF(OR(GY3="",GY$28&lt;$A30),"",GY3/OFFSET(SSTotalESP!$A$2,MATCH(GY$29,SSTotalESP!$A$2:$A$500)+$A30-1,1)-1)</f>
        <v/>
      </c>
      <c r="GZ30" s="9" t="str">
        <f ca="1">IF(OR(GZ3="",GZ$28&lt;$A30),"",GZ3/OFFSET(SSTotalESP!$A$2,MATCH(GZ$29,SSTotalESP!$A$2:$A$500)+$A30-1,1)-1)</f>
        <v/>
      </c>
      <c r="HA30" s="9" t="str">
        <f ca="1">IF(OR(HA3="",HA$28&lt;$A30),"",HA3/OFFSET(SSTotalESP!$A$2,MATCH(HA$29,SSTotalESP!$A$2:$A$500)+$A30-1,1)-1)</f>
        <v/>
      </c>
      <c r="HB30" s="9" t="str">
        <f ca="1">IF(OR(HB3="",HB$28&lt;$A30),"",HB3/OFFSET(SSTotalESP!$A$2,MATCH(HB$29,SSTotalESP!$A$2:$A$500)+$A30-1,1)-1)</f>
        <v/>
      </c>
      <c r="HC30" s="9" t="str">
        <f ca="1">IF(OR(HC3="",HC$28&lt;$A30),"",HC3/OFFSET(SSTotalESP!$A$2,MATCH(HC$29,SSTotalESP!$A$2:$A$500)+$A30-1,1)-1)</f>
        <v/>
      </c>
      <c r="HD30" s="9" t="str">
        <f ca="1">IF(OR(HD3="",HD$28&lt;$A30),"",HD3/OFFSET(SSTotalESP!$A$2,MATCH(HD$29,SSTotalESP!$A$2:$A$500)+$A30-1,1)-1)</f>
        <v/>
      </c>
      <c r="HE30" s="9" t="str">
        <f ca="1">IF(OR(HE3="",HE$28&lt;$A30),"",HE3/OFFSET(SSTotalESP!$A$2,MATCH(HE$29,SSTotalESP!$A$2:$A$500)+$A30-1,1)-1)</f>
        <v/>
      </c>
      <c r="HF30" s="9" t="str">
        <f ca="1">IF(OR(HF3="",HF$28&lt;$A30),"",HF3/OFFSET(SSTotalESP!$A$2,MATCH(HF$29,SSTotalESP!$A$2:$A$500)+$A30-1,1)-1)</f>
        <v/>
      </c>
      <c r="HG30" s="9" t="str">
        <f ca="1">IF(OR(HG3="",HG$28&lt;$A30),"",HG3/OFFSET(SSTotalESP!$A$2,MATCH(HG$29,SSTotalESP!$A$2:$A$500)+$A30-1,1)-1)</f>
        <v/>
      </c>
      <c r="HH30" s="9" t="str">
        <f ca="1">IF(OR(HH3="",HH$28&lt;$A30),"",HH3/OFFSET(SSTotalESP!$A$2,MATCH(HH$29,SSTotalESP!$A$2:$A$500)+$A30-1,1)-1)</f>
        <v/>
      </c>
      <c r="HI30" s="9" t="str">
        <f ca="1">IF(OR(HI3="",HI$28&lt;$A30),"",HI3/OFFSET(SSTotalESP!$A$2,MATCH(HI$29,SSTotalESP!$A$2:$A$500)+$A30-1,1)-1)</f>
        <v/>
      </c>
      <c r="HJ30" s="9" t="str">
        <f ca="1">IF(OR(HJ3="",HJ$28&lt;$A30),"",HJ3/OFFSET(SSTotalESP!$A$2,MATCH(HJ$29,SSTotalESP!$A$2:$A$500)+$A30-1,1)-1)</f>
        <v/>
      </c>
      <c r="HK30" s="9" t="str">
        <f ca="1">IF(OR(HK3="",HK$28&lt;$A30),"",HK3/OFFSET(SSTotalESP!$A$2,MATCH(HK$29,SSTotalESP!$A$2:$A$500)+$A30-1,1)-1)</f>
        <v/>
      </c>
      <c r="HL30" s="9" t="str">
        <f ca="1">IF(OR(HL3="",HL$28&lt;$A30),"",HL3/OFFSET(SSTotalESP!$A$2,MATCH(HL$29,SSTotalESP!$A$2:$A$500)+$A30-1,1)-1)</f>
        <v/>
      </c>
      <c r="HM30" s="9" t="str">
        <f ca="1">IF(OR(HM3="",HM$28&lt;$A30),"",HM3/OFFSET(SSTotalESP!$A$2,MATCH(HM$29,SSTotalESP!$A$2:$A$500)+$A30-1,1)-1)</f>
        <v/>
      </c>
      <c r="HN30" s="9" t="str">
        <f ca="1">IF(OR(HN3="",HN$28&lt;$A30),"",HN3/OFFSET(SSTotalESP!$A$2,MATCH(HN$29,SSTotalESP!$A$2:$A$500)+$A30-1,1)-1)</f>
        <v/>
      </c>
      <c r="HO30" s="9" t="str">
        <f ca="1">IF(OR(HO3="",HO$28&lt;$A30),"",HO3/OFFSET(SSTotalESP!$A$2,MATCH(HO$29,SSTotalESP!$A$2:$A$500)+$A30-1,1)-1)</f>
        <v/>
      </c>
      <c r="HP30" s="9" t="str">
        <f ca="1">IF(OR(HP3="",HP$28&lt;$A30),"",HP3/OFFSET(SSTotalESP!$A$2,MATCH(HP$29,SSTotalESP!$A$2:$A$500)+$A30-1,1)-1)</f>
        <v/>
      </c>
      <c r="HQ30" s="9" t="str">
        <f ca="1">IF(OR(HQ3="",HQ$28&lt;$A30),"",HQ3/OFFSET(SSTotalESP!$A$2,MATCH(HQ$29,SSTotalESP!$A$2:$A$500)+$A30-1,1)-1)</f>
        <v/>
      </c>
      <c r="HR30" s="9" t="str">
        <f ca="1">IF(OR(HR3="",HR$28&lt;$A30),"",HR3/OFFSET(SSTotalESP!$A$2,MATCH(HR$29,SSTotalESP!$A$2:$A$500)+$A30-1,1)-1)</f>
        <v/>
      </c>
      <c r="HS30" s="9" t="str">
        <f ca="1">IF(OR(HS3="",HS$28&lt;$A30),"",HS3/OFFSET(SSTotalESP!$A$2,MATCH(HS$29,SSTotalESP!$A$2:$A$500)+$A30-1,1)-1)</f>
        <v/>
      </c>
      <c r="HT30" s="9" t="str">
        <f ca="1">IF(OR(HT3="",HT$28&lt;$A30),"",HT3/OFFSET(SSTotalESP!$A$2,MATCH(HT$29,SSTotalESP!$A$2:$A$500)+$A30-1,1)-1)</f>
        <v/>
      </c>
      <c r="HU30" s="9" t="str">
        <f ca="1">IF(OR(HU3="",HU$28&lt;$A30),"",HU3/OFFSET(SSTotalESP!$A$2,MATCH(HU$29,SSTotalESP!$A$2:$A$500)+$A30-1,1)-1)</f>
        <v/>
      </c>
      <c r="HV30" s="9" t="str">
        <f ca="1">IF(OR(HV3="",HV$28&lt;$A30),"",HV3/OFFSET(SSTotalESP!$A$2,MATCH(HV$29,SSTotalESP!$A$2:$A$500)+$A30-1,1)-1)</f>
        <v/>
      </c>
      <c r="HW30" s="9" t="str">
        <f ca="1">IF(OR(HW3="",HW$28&lt;$A30),"",HW3/OFFSET(SSTotalESP!$A$2,MATCH(HW$29,SSTotalESP!$A$2:$A$500)+$A30-1,1)-1)</f>
        <v/>
      </c>
      <c r="HX30" s="9" t="str">
        <f ca="1">IF(OR(HX3="",HX$28&lt;$A30),"",HX3/OFFSET(SSTotalESP!$A$2,MATCH(HX$29,SSTotalESP!$A$2:$A$500)+$A30-1,1)-1)</f>
        <v/>
      </c>
      <c r="HY30" s="9" t="str">
        <f ca="1">IF(OR(HY3="",HY$28&lt;$A30),"",HY3/OFFSET(SSTotalESP!$A$2,MATCH(HY$29,SSTotalESP!$A$2:$A$500)+$A30-1,1)-1)</f>
        <v/>
      </c>
      <c r="HZ30" s="9" t="str">
        <f ca="1">IF(OR(HZ3="",HZ$28&lt;$A30),"",HZ3/OFFSET(SSTotalESP!$A$2,MATCH(HZ$29,SSTotalESP!$A$2:$A$500)+$A30-1,1)-1)</f>
        <v/>
      </c>
      <c r="IA30" s="9" t="str">
        <f ca="1">IF(OR(IA3="",IA$28&lt;$A30),"",IA3/OFFSET(SSTotalESP!$A$2,MATCH(IA$29,SSTotalESP!$A$2:$A$500)+$A30-1,1)-1)</f>
        <v/>
      </c>
      <c r="IB30" s="9" t="str">
        <f ca="1">IF(OR(IB3="",IB$28&lt;$A30),"",IB3/OFFSET(SSTotalESP!$A$2,MATCH(IB$29,SSTotalESP!$A$2:$A$500)+$A30-1,1)-1)</f>
        <v/>
      </c>
      <c r="IC30" s="9" t="str">
        <f ca="1">IF(OR(IC3="",IC$28&lt;$A30),"",IC3/OFFSET(SSTotalESP!$A$2,MATCH(IC$29,SSTotalESP!$A$2:$A$500)+$A30-1,1)-1)</f>
        <v/>
      </c>
      <c r="ID30" s="9" t="str">
        <f ca="1">IF(OR(ID3="",ID$28&lt;$A30),"",ID3/OFFSET(SSTotalESP!$A$2,MATCH(ID$29,SSTotalESP!$A$2:$A$500)+$A30-1,1)-1)</f>
        <v/>
      </c>
      <c r="IE30" s="9" t="str">
        <f ca="1">IF(OR(IE3="",IE$28&lt;$A30),"",IE3/OFFSET(SSTotalESP!$A$2,MATCH(IE$29,SSTotalESP!$A$2:$A$500)+$A30-1,1)-1)</f>
        <v/>
      </c>
      <c r="IF30" s="9" t="str">
        <f ca="1">IF(OR(IF3="",IF$28&lt;$A30),"",IF3/OFFSET(SSTotalESP!$A$2,MATCH(IF$29,SSTotalESP!$A$2:$A$500)+$A30-1,1)-1)</f>
        <v/>
      </c>
      <c r="IG30" s="9" t="str">
        <f ca="1">IF(OR(IG3="",IG$28&lt;$A30),"",IG3/OFFSET(SSTotalESP!$A$2,MATCH(IG$29,SSTotalESP!$A$2:$A$500)+$A30-1,1)-1)</f>
        <v/>
      </c>
      <c r="IH30" s="9" t="str">
        <f ca="1">IF(OR(IH3="",IH$28&lt;$A30),"",IH3/OFFSET(SSTotalESP!$A$2,MATCH(IH$29,SSTotalESP!$A$2:$A$500)+$A30-1,1)-1)</f>
        <v/>
      </c>
      <c r="II30" s="9" t="str">
        <f ca="1">IF(OR(II3="",II$28&lt;$A30),"",II3/OFFSET(SSTotalESP!$A$2,MATCH(II$29,SSTotalESP!$A$2:$A$500)+$A30-1,1)-1)</f>
        <v/>
      </c>
      <c r="IJ30" s="9" t="str">
        <f ca="1">IF(OR(IJ3="",IJ$28&lt;$A30),"",IJ3/OFFSET(SSTotalESP!$A$2,MATCH(IJ$29,SSTotalESP!$A$2:$A$500)+$A30-1,1)-1)</f>
        <v/>
      </c>
      <c r="IK30" s="9" t="str">
        <f ca="1">IF(OR(IK3="",IK$28&lt;$A30),"",IK3/OFFSET(SSTotalESP!$A$2,MATCH(IK$29,SSTotalESP!$A$2:$A$500)+$A30-1,1)-1)</f>
        <v/>
      </c>
      <c r="IL30" s="9" t="str">
        <f ca="1">IF(OR(IL3="",IL$28&lt;$A30),"",IL3/OFFSET(SSTotalESP!$A$2,MATCH(IL$29,SSTotalESP!$A$2:$A$500)+$A30-1,1)-1)</f>
        <v/>
      </c>
      <c r="IM30" s="9" t="str">
        <f ca="1">IF(OR(IM3="",IM$28&lt;$A30),"",IM3/OFFSET(SSTotalESP!$A$2,MATCH(IM$29,SSTotalESP!$A$2:$A$500)+$A30-1,1)-1)</f>
        <v/>
      </c>
      <c r="IN30" s="9" t="str">
        <f ca="1">IF(OR(IN3="",IN$28&lt;$A30),"",IN3/OFFSET(SSTotalESP!$A$2,MATCH(IN$29,SSTotalESP!$A$2:$A$500)+$A30-1,1)-1)</f>
        <v/>
      </c>
      <c r="IO30" s="9" t="str">
        <f ca="1">IF(OR(IO3="",IO$28&lt;$A30),"",IO3/OFFSET(SSTotalESP!$A$2,MATCH(IO$29,SSTotalESP!$A$2:$A$500)+$A30-1,1)-1)</f>
        <v/>
      </c>
      <c r="IP30" s="9" t="str">
        <f ca="1">IF(OR(IP3="",IP$28&lt;$A30),"",IP3/OFFSET(SSTotalESP!$A$2,MATCH(IP$29,SSTotalESP!$A$2:$A$500)+$A30-1,1)-1)</f>
        <v/>
      </c>
      <c r="IQ30" s="9" t="str">
        <f ca="1">IF(OR(IQ3="",IQ$28&lt;$A30),"",IQ3/OFFSET(SSTotalESP!$A$2,MATCH(IQ$29,SSTotalESP!$A$2:$A$500)+$A30-1,1)-1)</f>
        <v/>
      </c>
      <c r="IR30" s="9" t="str">
        <f ca="1">IF(OR(IR3="",IR$28&lt;$A30),"",IR3/OFFSET(SSTotalESP!$A$2,MATCH(IR$29,SSTotalESP!$A$2:$A$500)+$A30-1,1)-1)</f>
        <v/>
      </c>
      <c r="IS30" s="9" t="str">
        <f ca="1">IF(OR(IS3="",IS$28&lt;$A30),"",IS3/OFFSET(SSTotalESP!$A$2,MATCH(IS$29,SSTotalESP!$A$2:$A$500)+$A30-1,1)-1)</f>
        <v/>
      </c>
      <c r="IT30" s="9" t="str">
        <f ca="1">IF(OR(IT3="",IT$28&lt;$A30),"",IT3/OFFSET(SSTotalESP!$A$2,MATCH(IT$29,SSTotalESP!$A$2:$A$500)+$A30-1,1)-1)</f>
        <v/>
      </c>
      <c r="IU30" s="9" t="str">
        <f ca="1">IF(OR(IU3="",IU$28&lt;$A30),"",IU3/OFFSET(SSTotalESP!$A$2,MATCH(IU$29,SSTotalESP!$A$2:$A$500)+$A30-1,1)-1)</f>
        <v/>
      </c>
      <c r="IV30" s="9" t="str">
        <f ca="1">IF(OR(IV3="",IV$28&lt;$A30),"",IV3/OFFSET(SSTotalESP!$A$2,MATCH(IV$29,SSTotalESP!$A$2:$A$500)+$A30-1,1)-1)</f>
        <v/>
      </c>
      <c r="IW30" s="9" t="str">
        <f ca="1">IF(OR(IW3="",IW$28&lt;$A30),"",IW3/OFFSET(SSTotalESP!$A$2,MATCH(IW$29,SSTotalESP!$A$2:$A$500)+$A30-1,1)-1)</f>
        <v/>
      </c>
      <c r="IX30" s="9" t="str">
        <f ca="1">IF(OR(IX3="",IX$28&lt;$A30),"",IX3/OFFSET(SSTotalESP!$A$2,MATCH(IX$29,SSTotalESP!$A$2:$A$500)+$A30-1,1)-1)</f>
        <v/>
      </c>
      <c r="IY30" s="9" t="str">
        <f ca="1">IF(OR(IY3="",IY$28&lt;$A30),"",IY3/OFFSET(SSTotalESP!$A$2,MATCH(IY$29,SSTotalESP!$A$2:$A$500)+$A30-1,1)-1)</f>
        <v/>
      </c>
      <c r="IZ30" s="9" t="str">
        <f ca="1">IF(OR(IZ3="",IZ$28&lt;$A30),"",IZ3/OFFSET(SSTotalESP!$A$2,MATCH(IZ$29,SSTotalESP!$A$2:$A$500)+$A30-1,1)-1)</f>
        <v/>
      </c>
      <c r="JA30" s="9" t="str">
        <f ca="1">IF(OR(JA3="",JA$28&lt;$A30),"",JA3/OFFSET(SSTotalESP!$A$2,MATCH(JA$29,SSTotalESP!$A$2:$A$500)+$A30-1,1)-1)</f>
        <v/>
      </c>
      <c r="JB30" s="9" t="str">
        <f ca="1">IF(OR(JB3="",JB$28&lt;$A30),"",JB3/OFFSET(SSTotalESP!$A$2,MATCH(JB$29,SSTotalESP!$A$2:$A$500)+$A30-1,1)-1)</f>
        <v/>
      </c>
      <c r="JC30" s="9" t="str">
        <f ca="1">IF(OR(JC3="",JC$28&lt;$A30),"",JC3/OFFSET(SSTotalESP!$A$2,MATCH(JC$29,SSTotalESP!$A$2:$A$500)+$A30-1,1)-1)</f>
        <v/>
      </c>
      <c r="JD30" s="9" t="str">
        <f ca="1">IF(OR(JD3="",JD$28&lt;$A30),"",JD3/OFFSET(SSTotalESP!$A$2,MATCH(JD$29,SSTotalESP!$A$2:$A$500)+$A30-1,1)-1)</f>
        <v/>
      </c>
      <c r="JE30" s="9" t="str">
        <f ca="1">IF(OR(JE3="",JE$28&lt;$A30),"",JE3/OFFSET(SSTotalESP!$A$2,MATCH(JE$29,SSTotalESP!$A$2:$A$500)+$A30-1,1)-1)</f>
        <v/>
      </c>
      <c r="JF30" s="9" t="str">
        <f ca="1">IF(OR(JF3="",JF$28&lt;$A30),"",JF3/OFFSET(SSTotalESP!$A$2,MATCH(JF$29,SSTotalESP!$A$2:$A$500)+$A30-1,1)-1)</f>
        <v/>
      </c>
      <c r="JG30" s="9" t="str">
        <f ca="1">IF(OR(JG3="",JG$28&lt;$A30),"",JG3/OFFSET(SSTotalESP!$A$2,MATCH(JG$29,SSTotalESP!$A$2:$A$500)+$A30-1,1)-1)</f>
        <v/>
      </c>
      <c r="JH30" s="9" t="str">
        <f ca="1">IF(OR(JH3="",JH$28&lt;$A30),"",JH3/OFFSET(SSTotalESP!$A$2,MATCH(JH$29,SSTotalESP!$A$2:$A$500)+$A30-1,1)-1)</f>
        <v/>
      </c>
      <c r="JI30" s="13">
        <f t="shared" ref="JI30:JI41" ca="1" si="13">AVERAGE(OFFSET($B30,0,Inicio-1,1,Amplitud))</f>
        <v>7.4658512193787703E-4</v>
      </c>
      <c r="JJ30" s="13">
        <f t="shared" ref="JJ30:JJ41" ca="1" si="14">MEDIAN(OFFSET($B30,0,Inicio-1,1,Amplitud))</f>
        <v>-1.9507505743271425E-4</v>
      </c>
      <c r="JK30" s="14">
        <f t="shared" ref="JK30:JK41" ca="1" si="15">VARP(OFFSET($B30,0,Inicio-1,1,Amplitud))</f>
        <v>5.4018478685724668E-5</v>
      </c>
      <c r="JL30" s="17">
        <f ca="1">SQRT(JK30)</f>
        <v>7.3497264361147936E-3</v>
      </c>
      <c r="JM30" s="15" t="str">
        <f t="shared" ref="JM30:JM41" ca="1" si="16">CONCATENATE("[ ",TEXT(JI30-2*JL30,"0,00%")," ; ",TEXT(JI30+2*JL30,"0,00%")," ]")</f>
        <v>[ -1,40% ; 1,54% ]</v>
      </c>
      <c r="JN30" s="17">
        <f t="shared" ref="JN30:JN41" ca="1" si="17">JL30*JN$29</f>
        <v>9.4076498382269363E-3</v>
      </c>
      <c r="LY30" s="1"/>
    </row>
    <row r="31" spans="1:337" x14ac:dyDescent="0.25">
      <c r="A31" s="4">
        <v>2</v>
      </c>
      <c r="B31" s="9">
        <f ca="1">IF(OR(B4="",B$28&lt;$A31),"",B4/OFFSET(SSTotalESP!$A$2,MATCH(B$29,SSTotalESP!$A$2:$A$500)+$A31-1,1)-1)</f>
        <v>-1.7973243600164501E-3</v>
      </c>
      <c r="C31" s="9">
        <f ca="1">IF(OR(C4="",C$28&lt;$A31),"",C4/OFFSET(SSTotalESP!$A$2,MATCH(C$29,SSTotalESP!$A$2:$A$500)+$A31-1,1)-1)</f>
        <v>-1.8783041790442212E-3</v>
      </c>
      <c r="D31" s="9">
        <f ca="1">IF(OR(D4="",D$28&lt;$A31),"",D4/OFFSET(SSTotalESP!$A$2,MATCH(D$29,SSTotalESP!$A$2:$A$500)+$A31-1,1)-1)</f>
        <v>6.0999635699321431E-4</v>
      </c>
      <c r="E31" s="9">
        <f ca="1">IF(OR(E4="",E$28&lt;$A31),"",E4/OFFSET(SSTotalESP!$A$2,MATCH(E$29,SSTotalESP!$A$2:$A$500)+$A31-1,1)-1)</f>
        <v>5.0914820815139983E-4</v>
      </c>
      <c r="F31" s="9">
        <f ca="1">IF(OR(F4="",F$28&lt;$A31),"",F4/OFFSET(SSTotalESP!$A$2,MATCH(F$29,SSTotalESP!$A$2:$A$500)+$A31-1,1)-1)</f>
        <v>-1.0526227487043238E-3</v>
      </c>
      <c r="G31" s="9">
        <f ca="1">IF(OR(G4="",G$28&lt;$A31),"",G4/OFFSET(SSTotalESP!$A$2,MATCH(G$29,SSTotalESP!$A$2:$A$500)+$A31-1,1)-1)</f>
        <v>-2.3382796963811181E-4</v>
      </c>
      <c r="H31" s="9">
        <f ca="1">IF(OR(H4="",H$28&lt;$A31),"",H4/OFFSET(SSTotalESP!$A$2,MATCH(H$29,SSTotalESP!$A$2:$A$500)+$A31-1,1)-1)</f>
        <v>2.1320177198391743E-3</v>
      </c>
      <c r="I31" s="9">
        <f ca="1">IF(OR(I4="",I$28&lt;$A31),"",I4/OFFSET(SSTotalESP!$A$2,MATCH(I$29,SSTotalESP!$A$2:$A$500)+$A31-1,1)-1)</f>
        <v>9.5889699802675921E-4</v>
      </c>
      <c r="J31" s="9">
        <f ca="1">IF(OR(J4="",J$28&lt;$A31),"",J4/OFFSET(SSTotalESP!$A$2,MATCH(J$29,SSTotalESP!$A$2:$A$500)+$A31-1,1)-1)</f>
        <v>-2.1605256435822673E-3</v>
      </c>
      <c r="K31" s="9">
        <f ca="1">IF(OR(K4="",K$28&lt;$A31),"",K4/OFFSET(SSTotalESP!$A$2,MATCH(K$29,SSTotalESP!$A$2:$A$500)+$A31-1,1)-1)</f>
        <v>-1.6452535436143334E-3</v>
      </c>
      <c r="L31" s="9">
        <f ca="1">IF(OR(L4="",L$28&lt;$A31),"",L4/OFFSET(SSTotalESP!$A$2,MATCH(L$29,SSTotalESP!$A$2:$A$500)+$A31-1,1)-1)</f>
        <v>-8.5000573677385116E-4</v>
      </c>
      <c r="M31" s="9">
        <f ca="1">IF(OR(M4="",M$28&lt;$A31),"",M4/OFFSET(SSTotalESP!$A$2,MATCH(M$29,SSTotalESP!$A$2:$A$500)+$A31-1,1)-1)</f>
        <v>-1.1832591873111031E-3</v>
      </c>
      <c r="N31" s="9">
        <f ca="1">IF(OR(N4="",N$28&lt;$A31),"",N4/OFFSET(SSTotalESP!$A$2,MATCH(N$29,SSTotalESP!$A$2:$A$500)+$A31-1,1)-1)</f>
        <v>-5.4975729110728899E-4</v>
      </c>
      <c r="O31" s="9">
        <f ca="1">IF(OR(O4="",O$28&lt;$A31),"",O4/OFFSET(SSTotalESP!$A$2,MATCH(O$29,SSTotalESP!$A$2:$A$500)+$A31-1,1)-1)</f>
        <v>1.0419497601024119E-3</v>
      </c>
      <c r="P31" s="9">
        <f ca="1">IF(OR(P4="",P$28&lt;$A31),"",P4/OFFSET(SSTotalESP!$A$2,MATCH(P$29,SSTotalESP!$A$2:$A$500)+$A31-1,1)-1)</f>
        <v>-2.407193597564028E-3</v>
      </c>
      <c r="Q31" s="9">
        <f ca="1">IF(OR(Q4="",Q$28&lt;$A31),"",Q4/OFFSET(SSTotalESP!$A$2,MATCH(Q$29,SSTotalESP!$A$2:$A$500)+$A31-1,1)-1)</f>
        <v>-6.2157194487553191E-3</v>
      </c>
      <c r="R31" s="9">
        <f ca="1">IF(OR(R4="",R$28&lt;$A31),"",R4/OFFSET(SSTotalESP!$A$2,MATCH(R$29,SSTotalESP!$A$2:$A$500)+$A31-1,1)-1)</f>
        <v>-1.1878107646440705E-2</v>
      </c>
      <c r="S31" s="9">
        <f ca="1">IF(OR(S4="",S$28&lt;$A31),"",S4/OFFSET(SSTotalESP!$A$2,MATCH(S$29,SSTotalESP!$A$2:$A$500)+$A31-1,1)-1)</f>
        <v>-1.2930639515465026E-2</v>
      </c>
      <c r="T31" s="9">
        <f ca="1">IF(OR(T4="",T$28&lt;$A31),"",T4/OFFSET(SSTotalESP!$A$2,MATCH(T$29,SSTotalESP!$A$2:$A$500)+$A31-1,1)-1)</f>
        <v>-9.6890152527862039E-3</v>
      </c>
      <c r="U31" s="9">
        <f ca="1">IF(OR(U4="",U$28&lt;$A31),"",U4/OFFSET(SSTotalESP!$A$2,MATCH(U$29,SSTotalESP!$A$2:$A$500)+$A31-1,1)-1)</f>
        <v>-3.1480769225078475E-3</v>
      </c>
      <c r="V31" s="9">
        <f ca="1">IF(OR(V4="",V$28&lt;$A31),"",V4/OFFSET(SSTotalESP!$A$2,MATCH(V$29,SSTotalESP!$A$2:$A$500)+$A31-1,1)-1)</f>
        <v>-1.3311206421127153E-3</v>
      </c>
      <c r="W31" s="9">
        <f ca="1">IF(OR(W4="",W$28&lt;$A31),"",W4/OFFSET(SSTotalESP!$A$2,MATCH(W$29,SSTotalESP!$A$2:$A$500)+$A31-1,1)-1)</f>
        <v>1.168769966268135E-3</v>
      </c>
      <c r="X31" s="9">
        <f ca="1">IF(OR(X4="",X$28&lt;$A31),"",X4/OFFSET(SSTotalESP!$A$2,MATCH(X$29,SSTotalESP!$A$2:$A$500)+$A31-1,1)-1)</f>
        <v>2.5738377576989269E-3</v>
      </c>
      <c r="Y31" s="9">
        <f ca="1">IF(OR(Y4="",Y$28&lt;$A31),"",Y4/OFFSET(SSTotalESP!$A$2,MATCH(Y$29,SSTotalESP!$A$2:$A$500)+$A31-1,1)-1)</f>
        <v>4.4604294519556831E-4</v>
      </c>
      <c r="Z31" s="9">
        <f ca="1">IF(OR(Z4="",Z$28&lt;$A31),"",Z4/OFFSET(SSTotalESP!$A$2,MATCH(Z$29,SSTotalESP!$A$2:$A$500)+$A31-1,1)-1)</f>
        <v>2.382132533914838E-3</v>
      </c>
      <c r="AA31" s="9">
        <f ca="1">IF(OR(AA4="",AA$28&lt;$A31),"",AA4/OFFSET(SSTotalESP!$A$2,MATCH(AA$29,SSTotalESP!$A$2:$A$500)+$A31-1,1)-1)</f>
        <v>1.6694222582778195E-3</v>
      </c>
      <c r="AB31" s="9">
        <f ca="1">IF(OR(AB4="",AB$28&lt;$A31),"",AB4/OFFSET(SSTotalESP!$A$2,MATCH(AB$29,SSTotalESP!$A$2:$A$500)+$A31-1,1)-1)</f>
        <v>-1.2409620552552569E-3</v>
      </c>
      <c r="AC31" s="9">
        <f ca="1">IF(OR(AC4="",AC$28&lt;$A31),"",AC4/OFFSET(SSTotalESP!$A$2,MATCH(AC$29,SSTotalESP!$A$2:$A$500)+$A31-1,1)-1)</f>
        <v>3.7993713971267162E-3</v>
      </c>
      <c r="AD31" s="9">
        <f ca="1">IF(OR(AD4="",AD$28&lt;$A31),"",AD4/OFFSET(SSTotalESP!$A$2,MATCH(AD$29,SSTotalESP!$A$2:$A$500)+$A31-1,1)-1)</f>
        <v>4.8231462987005091E-3</v>
      </c>
      <c r="AE31" s="9">
        <f ca="1">IF(OR(AE4="",AE$28&lt;$A31),"",AE4/OFFSET(SSTotalESP!$A$2,MATCH(AE$29,SSTotalESP!$A$2:$A$500)+$A31-1,1)-1)</f>
        <v>4.3248878649144729E-3</v>
      </c>
      <c r="AF31" s="9">
        <f ca="1">IF(OR(AF4="",AF$28&lt;$A31),"",AF4/OFFSET(SSTotalESP!$A$2,MATCH(AF$29,SSTotalESP!$A$2:$A$500)+$A31-1,1)-1)</f>
        <v>4.5807539761066884E-3</v>
      </c>
      <c r="AG31" s="9">
        <f ca="1">IF(OR(AG4="",AG$28&lt;$A31),"",AG4/OFFSET(SSTotalESP!$A$2,MATCH(AG$29,SSTotalESP!$A$2:$A$500)+$A31-1,1)-1)</f>
        <v>1.4416598618576248E-3</v>
      </c>
      <c r="AH31" s="9">
        <f ca="1">IF(OR(AH4="",AH$28&lt;$A31),"",AH4/OFFSET(SSTotalESP!$A$2,MATCH(AH$29,SSTotalESP!$A$2:$A$500)+$A31-1,1)-1)</f>
        <v>-5.6820795701925109E-3</v>
      </c>
      <c r="AI31" s="9">
        <f ca="1">IF(OR(AI4="",AI$28&lt;$A31),"",AI4/OFFSET(SSTotalESP!$A$2,MATCH(AI$29,SSTotalESP!$A$2:$A$500)+$A31-1,1)-1)</f>
        <v>-1.999754867975434E-3</v>
      </c>
      <c r="AJ31" s="9">
        <f ca="1">IF(OR(AJ4="",AJ$28&lt;$A31),"",AJ4/OFFSET(SSTotalESP!$A$2,MATCH(AJ$29,SSTotalESP!$A$2:$A$500)+$A31-1,1)-1)</f>
        <v>-2.1035471321856347E-3</v>
      </c>
      <c r="AK31" s="9">
        <f ca="1">IF(OR(AK4="",AK$28&lt;$A31),"",AK4/OFFSET(SSTotalESP!$A$2,MATCH(AK$29,SSTotalESP!$A$2:$A$500)+$A31-1,1)-1)</f>
        <v>-8.4376450032797035E-4</v>
      </c>
      <c r="AL31" s="9">
        <f ca="1">IF(OR(AL4="",AL$28&lt;$A31),"",AL4/OFFSET(SSTotalESP!$A$2,MATCH(AL$29,SSTotalESP!$A$2:$A$500)+$A31-1,1)-1)</f>
        <v>-1.1467086179818287E-3</v>
      </c>
      <c r="AM31" s="9">
        <f ca="1">IF(OR(AM4="",AM$28&lt;$A31),"",AM4/OFFSET(SSTotalESP!$A$2,MATCH(AM$29,SSTotalESP!$A$2:$A$500)+$A31-1,1)-1)</f>
        <v>-3.9144101255206287E-4</v>
      </c>
      <c r="AN31" s="9">
        <f ca="1">IF(OR(AN4="",AN$28&lt;$A31),"",AN4/OFFSET(SSTotalESP!$A$2,MATCH(AN$29,SSTotalESP!$A$2:$A$500)+$A31-1,1)-1)</f>
        <v>7.0678282114289281E-4</v>
      </c>
      <c r="AO31" s="9">
        <f ca="1">IF(OR(AO4="",AO$28&lt;$A31),"",AO4/OFFSET(SSTotalESP!$A$2,MATCH(AO$29,SSTotalESP!$A$2:$A$500)+$A31-1,1)-1)</f>
        <v>3.8193065562941442E-3</v>
      </c>
      <c r="AP31" s="9">
        <f ca="1">IF(OR(AP4="",AP$28&lt;$A31),"",AP4/OFFSET(SSTotalESP!$A$2,MATCH(AP$29,SSTotalESP!$A$2:$A$500)+$A31-1,1)-1)</f>
        <v>2.0580111928183431E-3</v>
      </c>
      <c r="AQ31" s="9">
        <f ca="1">IF(OR(AQ4="",AQ$28&lt;$A31),"",AQ4/OFFSET(SSTotalESP!$A$2,MATCH(AQ$29,SSTotalESP!$A$2:$A$500)+$A31-1,1)-1)</f>
        <v>4.1781822208648567E-3</v>
      </c>
      <c r="AR31" s="9">
        <f ca="1">IF(OR(AR4="",AR$28&lt;$A31),"",AR4/OFFSET(SSTotalESP!$A$2,MATCH(AR$29,SSTotalESP!$A$2:$A$500)+$A31-1,1)-1)</f>
        <v>2.5629869036654096E-3</v>
      </c>
      <c r="AS31" s="9">
        <f ca="1">IF(OR(AS4="",AS$28&lt;$A31),"",AS4/OFFSET(SSTotalESP!$A$2,MATCH(AS$29,SSTotalESP!$A$2:$A$500)+$A31-1,1)-1)</f>
        <v>1.0226249519704744E-3</v>
      </c>
      <c r="AT31" s="9">
        <f ca="1">IF(OR(AT4="",AT$28&lt;$A31),"",AT4/OFFSET(SSTotalESP!$A$2,MATCH(AT$29,SSTotalESP!$A$2:$A$500)+$A31-1,1)-1)</f>
        <v>-2.4707346703666255E-3</v>
      </c>
      <c r="AU31" s="9">
        <f ca="1">IF(OR(AU4="",AU$28&lt;$A31),"",AU4/OFFSET(SSTotalESP!$A$2,MATCH(AU$29,SSTotalESP!$A$2:$A$500)+$A31-1,1)-1)</f>
        <v>3.1015257417665865E-5</v>
      </c>
      <c r="AV31" s="9">
        <f ca="1">IF(OR(AV4="",AV$28&lt;$A31),"",AV4/OFFSET(SSTotalESP!$A$2,MATCH(AV$29,SSTotalESP!$A$2:$A$500)+$A31-1,1)-1)</f>
        <v>1.2429920261058935E-3</v>
      </c>
      <c r="AW31" s="9">
        <f ca="1">IF(OR(AW4="",AW$28&lt;$A31),"",AW4/OFFSET(SSTotalESP!$A$2,MATCH(AW$29,SSTotalESP!$A$2:$A$500)+$A31-1,1)-1)</f>
        <v>2.0402440792910426E-3</v>
      </c>
      <c r="AX31" s="9">
        <f ca="1">IF(OR(AX4="",AX$28&lt;$A31),"",AX4/OFFSET(SSTotalESP!$A$2,MATCH(AX$29,SSTotalESP!$A$2:$A$500)+$A31-1,1)-1)</f>
        <v>4.4896325685286342E-3</v>
      </c>
      <c r="AY31" s="9">
        <f ca="1">IF(OR(AY4="",AY$28&lt;$A31),"",AY4/OFFSET(SSTotalESP!$A$2,MATCH(AY$29,SSTotalESP!$A$2:$A$500)+$A31-1,1)-1)</f>
        <v>3.3304017725490631E-3</v>
      </c>
      <c r="AZ31" s="9">
        <f ca="1">IF(OR(AZ4="",AZ$28&lt;$A31),"",AZ4/OFFSET(SSTotalESP!$A$2,MATCH(AZ$29,SSTotalESP!$A$2:$A$500)+$A31-1,1)-1)</f>
        <v>4.3197519464475143E-3</v>
      </c>
      <c r="BA31" s="9">
        <f ca="1">IF(OR(BA4="",BA$28&lt;$A31),"",BA4/OFFSET(SSTotalESP!$A$2,MATCH(BA$29,SSTotalESP!$A$2:$A$500)+$A31-1,1)-1)</f>
        <v>4.9143930566752925E-3</v>
      </c>
      <c r="BB31" s="9">
        <f ca="1">IF(OR(BB4="",BB$28&lt;$A31),"",BB4/OFFSET(SSTotalESP!$A$2,MATCH(BB$29,SSTotalESP!$A$2:$A$500)+$A31-1,1)-1)</f>
        <v>8.5578865630924206E-3</v>
      </c>
      <c r="BC31" s="9">
        <f ca="1">IF(OR(BC4="",BC$28&lt;$A31),"",BC4/OFFSET(SSTotalESP!$A$2,MATCH(BC$29,SSTotalESP!$A$2:$A$500)+$A31-1,1)-1)</f>
        <v>6.3761491730021103E-3</v>
      </c>
      <c r="BD31" s="9">
        <f ca="1">IF(OR(BD4="",BD$28&lt;$A31),"",BD4/OFFSET(SSTotalESP!$A$2,MATCH(BD$29,SSTotalESP!$A$2:$A$500)+$A31-1,1)-1)</f>
        <v>-1.0614759036237098E-3</v>
      </c>
      <c r="BE31" s="9">
        <f ca="1">IF(OR(BE4="",BE$28&lt;$A31),"",BE4/OFFSET(SSTotalESP!$A$2,MATCH(BE$29,SSTotalESP!$A$2:$A$500)+$A31-1,1)-1)</f>
        <v>1.4461251861899171E-3</v>
      </c>
      <c r="BF31" s="9">
        <f ca="1">IF(OR(BF4="",BF$28&lt;$A31),"",BF4/OFFSET(SSTotalESP!$A$2,MATCH(BF$29,SSTotalESP!$A$2:$A$500)+$A31-1,1)-1)</f>
        <v>1.0917436763334454E-2</v>
      </c>
      <c r="BG31" s="9">
        <f ca="1">IF(OR(BG4="",BG$28&lt;$A31),"",BG4/OFFSET(SSTotalESP!$A$2,MATCH(BG$29,SSTotalESP!$A$2:$A$500)+$A31-1,1)-1)</f>
        <v>1.2026107069860847E-2</v>
      </c>
      <c r="BH31" s="9">
        <f ca="1">IF(OR(BH4="",BH$28&lt;$A31),"",BH4/OFFSET(SSTotalESP!$A$2,MATCH(BH$29,SSTotalESP!$A$2:$A$500)+$A31-1,1)-1)</f>
        <v>6.3671569739354172E-3</v>
      </c>
      <c r="BI31" s="9">
        <f ca="1">IF(OR(BI4="",BI$28&lt;$A31),"",BI4/OFFSET(SSTotalESP!$A$2,MATCH(BI$29,SSTotalESP!$A$2:$A$500)+$A31-1,1)-1)</f>
        <v>-2.0972822324107909E-3</v>
      </c>
      <c r="BJ31" s="9">
        <f ca="1">IF(OR(BJ4="",BJ$28&lt;$A31),"",BJ4/OFFSET(SSTotalESP!$A$2,MATCH(BJ$29,SSTotalESP!$A$2:$A$500)+$A31-1,1)-1)</f>
        <v>3.127859526299126E-3</v>
      </c>
      <c r="BK31" s="9">
        <f ca="1">IF(OR(BK4="",BK$28&lt;$A31),"",BK4/OFFSET(SSTotalESP!$A$2,MATCH(BK$29,SSTotalESP!$A$2:$A$500)+$A31-1,1)-1)</f>
        <v>2.9095342788891809E-3</v>
      </c>
      <c r="BL31" s="9">
        <f ca="1">IF(OR(BL4="",BL$28&lt;$A31),"",BL4/OFFSET(SSTotalESP!$A$2,MATCH(BL$29,SSTotalESP!$A$2:$A$500)+$A31-1,1)-1)</f>
        <v>-3.3486567665342859E-3</v>
      </c>
      <c r="BM31" s="9">
        <f ca="1">IF(OR(BM4="",BM$28&lt;$A31),"",BM4/OFFSET(SSTotalESP!$A$2,MATCH(BM$29,SSTotalESP!$A$2:$A$500)+$A31-1,1)-1)</f>
        <v>-8.67982262666811E-3</v>
      </c>
      <c r="BN31" s="9">
        <f ca="1">IF(OR(BN4="",BN$28&lt;$A31),"",BN4/OFFSET(SSTotalESP!$A$2,MATCH(BN$29,SSTotalESP!$A$2:$A$500)+$A31-1,1)-1)</f>
        <v>-6.2779108928185945E-3</v>
      </c>
      <c r="BO31" s="9">
        <f ca="1">IF(OR(BO4="",BO$28&lt;$A31),"",BO4/OFFSET(SSTotalESP!$A$2,MATCH(BO$29,SSTotalESP!$A$2:$A$500)+$A31-1,1)-1)</f>
        <v>-1.0110753794057015E-4</v>
      </c>
      <c r="BP31" s="9">
        <f ca="1">IF(OR(BP4="",BP$28&lt;$A31),"",BP4/OFFSET(SSTotalESP!$A$2,MATCH(BP$29,SSTotalESP!$A$2:$A$500)+$A31-1,1)-1)</f>
        <v>-5.6045533997832742E-3</v>
      </c>
      <c r="BQ31" s="9">
        <f ca="1">IF(OR(BQ4="",BQ$28&lt;$A31),"",BQ4/OFFSET(SSTotalESP!$A$2,MATCH(BQ$29,SSTotalESP!$A$2:$A$500)+$A31-1,1)-1)</f>
        <v>-7.3580485546163032E-3</v>
      </c>
      <c r="BR31" s="9">
        <f ca="1">IF(OR(BR4="",BR$28&lt;$A31),"",BR4/OFFSET(SSTotalESP!$A$2,MATCH(BR$29,SSTotalESP!$A$2:$A$500)+$A31-1,1)-1)</f>
        <v>4.5571016456527058E-3</v>
      </c>
      <c r="BS31" s="9">
        <f ca="1">IF(OR(BS4="",BS$28&lt;$A31),"",BS4/OFFSET(SSTotalESP!$A$2,MATCH(BS$29,SSTotalESP!$A$2:$A$500)+$A31-1,1)-1)</f>
        <v>-4.1115077206661521E-3</v>
      </c>
      <c r="BT31" s="9">
        <f ca="1">IF(OR(BT4="",BT$28&lt;$A31),"",BT4/OFFSET(SSTotalESP!$A$2,MATCH(BT$29,SSTotalESP!$A$2:$A$500)+$A31-1,1)-1)</f>
        <v>-6.8652877459436379E-3</v>
      </c>
      <c r="BU31" s="9">
        <f ca="1">IF(OR(BU4="",BU$28&lt;$A31),"",BU4/OFFSET(SSTotalESP!$A$2,MATCH(BU$29,SSTotalESP!$A$2:$A$500)+$A31-1,1)-1)</f>
        <v>-1.6612893200084189E-3</v>
      </c>
      <c r="BV31" s="9">
        <f ca="1">IF(OR(BV4="",BV$28&lt;$A31),"",BV4/OFFSET(SSTotalESP!$A$2,MATCH(BV$29,SSTotalESP!$A$2:$A$500)+$A31-1,1)-1)</f>
        <v>3.8607242764840954E-3</v>
      </c>
      <c r="BW31" s="9">
        <f ca="1">IF(OR(BW4="",BW$28&lt;$A31),"",BW4/OFFSET(SSTotalESP!$A$2,MATCH(BW$29,SSTotalESP!$A$2:$A$500)+$A31-1,1)-1)</f>
        <v>9.6297259635225174E-4</v>
      </c>
      <c r="BX31" s="9">
        <f ca="1">IF(OR(BX4="",BX$28&lt;$A31),"",BX4/OFFSET(SSTotalESP!$A$2,MATCH(BX$29,SSTotalESP!$A$2:$A$500)+$A31-1,1)-1)</f>
        <v>-1.1708915071914072E-3</v>
      </c>
      <c r="BY31" s="9">
        <f ca="1">IF(OR(BY4="",BY$28&lt;$A31),"",BY4/OFFSET(SSTotalESP!$A$2,MATCH(BY$29,SSTotalESP!$A$2:$A$500)+$A31-1,1)-1)</f>
        <v>-2.9180506095066727E-3</v>
      </c>
      <c r="BZ31" s="9">
        <f ca="1">IF(OR(BZ4="",BZ$28&lt;$A31),"",BZ4/OFFSET(SSTotalESP!$A$2,MATCH(BZ$29,SSTotalESP!$A$2:$A$500)+$A31-1,1)-1)</f>
        <v>2.4160149957230814E-4</v>
      </c>
      <c r="CA31" s="9">
        <f ca="1">IF(OR(CA4="",CA$28&lt;$A31),"",CA4/OFFSET(SSTotalESP!$A$2,MATCH(CA$29,SSTotalESP!$A$2:$A$500)+$A31-1,1)-1)</f>
        <v>1.3538740221739065E-3</v>
      </c>
      <c r="CB31" s="9">
        <f ca="1">IF(OR(CB4="",CB$28&lt;$A31),"",CB4/OFFSET(SSTotalESP!$A$2,MATCH(CB$29,SSTotalESP!$A$2:$A$500)+$A31-1,1)-1)</f>
        <v>-2.2667244804559505E-3</v>
      </c>
      <c r="CC31" s="9">
        <f ca="1">IF(OR(CC4="",CC$28&lt;$A31),"",CC4/OFFSET(SSTotalESP!$A$2,MATCH(CC$29,SSTotalESP!$A$2:$A$500)+$A31-1,1)-1)</f>
        <v>-4.1986484130129842E-3</v>
      </c>
      <c r="CD31" s="9">
        <f ca="1">IF(OR(CD4="",CD$28&lt;$A31),"",CD4/OFFSET(SSTotalESP!$A$2,MATCH(CD$29,SSTotalESP!$A$2:$A$500)+$A31-1,1)-1)</f>
        <v>7.0080736162592139E-4</v>
      </c>
      <c r="CE31" s="9">
        <f ca="1">IF(OR(CE4="",CE$28&lt;$A31),"",CE4/OFFSET(SSTotalESP!$A$2,MATCH(CE$29,SSTotalESP!$A$2:$A$500)+$A31-1,1)-1)</f>
        <v>1.3445585400326809E-3</v>
      </c>
      <c r="CF31" s="9">
        <f ca="1">IF(OR(CF4="",CF$28&lt;$A31),"",CF4/OFFSET(SSTotalESP!$A$2,MATCH(CF$29,SSTotalESP!$A$2:$A$500)+$A31-1,1)-1)</f>
        <v>-1.2806231361756071E-3</v>
      </c>
      <c r="CG31" s="9">
        <f ca="1">IF(OR(CG4="",CG$28&lt;$A31),"",CG4/OFFSET(SSTotalESP!$A$2,MATCH(CG$29,SSTotalESP!$A$2:$A$500)+$A31-1,1)-1)</f>
        <v>-2.7717185726104931E-3</v>
      </c>
      <c r="CH31" s="9">
        <f ca="1">IF(OR(CH4="",CH$28&lt;$A31),"",CH4/OFFSET(SSTotalESP!$A$2,MATCH(CH$29,SSTotalESP!$A$2:$A$500)+$A31-1,1)-1)</f>
        <v>4.3759353362660125E-3</v>
      </c>
      <c r="CI31" s="9">
        <f ca="1">IF(OR(CI4="",CI$28&lt;$A31),"",CI4/OFFSET(SSTotalESP!$A$2,MATCH(CI$29,SSTotalESP!$A$2:$A$500)+$A31-1,1)-1)</f>
        <v>5.2358914867547401E-3</v>
      </c>
      <c r="CJ31" s="9">
        <f ca="1">IF(OR(CJ4="",CJ$28&lt;$A31),"",CJ4/OFFSET(SSTotalESP!$A$2,MATCH(CJ$29,SSTotalESP!$A$2:$A$500)+$A31-1,1)-1)</f>
        <v>-6.1298124579884927E-3</v>
      </c>
      <c r="CK31" s="9">
        <f ca="1">IF(OR(CK4="",CK$28&lt;$A31),"",CK4/OFFSET(SSTotalESP!$A$2,MATCH(CK$29,SSTotalESP!$A$2:$A$500)+$A31-1,1)-1)</f>
        <v>-1.7917360346118016E-3</v>
      </c>
      <c r="CL31" s="9">
        <f ca="1">IF(OR(CL4="",CL$28&lt;$A31),"",CL4/OFFSET(SSTotalESP!$A$2,MATCH(CL$29,SSTotalESP!$A$2:$A$500)+$A31-1,1)-1)</f>
        <v>4.0578249303435676E-3</v>
      </c>
      <c r="CM31" s="9">
        <f ca="1">IF(OR(CM4="",CM$28&lt;$A31),"",CM4/OFFSET(SSTotalESP!$A$2,MATCH(CM$29,SSTotalESP!$A$2:$A$500)+$A31-1,1)-1)</f>
        <v>3.4359642695407366E-3</v>
      </c>
      <c r="CN31" s="9">
        <f ca="1">IF(OR(CN4="",CN$28&lt;$A31),"",CN4/OFFSET(SSTotalESP!$A$2,MATCH(CN$29,SSTotalESP!$A$2:$A$500)+$A31-1,1)-1)</f>
        <v>-1.6017364036043924E-3</v>
      </c>
      <c r="CO31" s="9">
        <f ca="1">IF(OR(CO4="",CO$28&lt;$A31),"",CO4/OFFSET(SSTotalESP!$A$2,MATCH(CO$29,SSTotalESP!$A$2:$A$500)+$A31-1,1)-1)</f>
        <v>-1.2531448044228455E-4</v>
      </c>
      <c r="CP31" s="9">
        <f ca="1">IF(OR(CP4="",CP$28&lt;$A31),"",CP4/OFFSET(SSTotalESP!$A$2,MATCH(CP$29,SSTotalESP!$A$2:$A$500)+$A31-1,1)-1)</f>
        <v>4.6874871517572636E-3</v>
      </c>
      <c r="CQ31" s="9">
        <f ca="1">IF(OR(CQ4="",CQ$28&lt;$A31),"",CQ4/OFFSET(SSTotalESP!$A$2,MATCH(CQ$29,SSTotalESP!$A$2:$A$500)+$A31-1,1)-1)</f>
        <v>5.4192136390145418E-3</v>
      </c>
      <c r="CR31" s="9">
        <f ca="1">IF(OR(CR4="",CR$28&lt;$A31),"",CR4/OFFSET(SSTotalESP!$A$2,MATCH(CR$29,SSTotalESP!$A$2:$A$500)+$A31-1,1)-1)</f>
        <v>-3.7641833807695591E-3</v>
      </c>
      <c r="CS31" s="9">
        <f ca="1">IF(OR(CS4="",CS$28&lt;$A31),"",CS4/OFFSET(SSTotalESP!$A$2,MATCH(CS$29,SSTotalESP!$A$2:$A$500)+$A31-1,1)-1)</f>
        <v>-3.5492099500098462E-3</v>
      </c>
      <c r="CT31" s="9">
        <f ca="1">IF(OR(CT4="",CT$28&lt;$A31),"",CT4/OFFSET(SSTotalESP!$A$2,MATCH(CT$29,SSTotalESP!$A$2:$A$500)+$A31-1,1)-1)</f>
        <v>7.8415159134959111E-3</v>
      </c>
      <c r="CU31" s="9">
        <f ca="1">IF(OR(CU4="",CU$28&lt;$A31),"",CU4/OFFSET(SSTotalESP!$A$2,MATCH(CU$29,SSTotalESP!$A$2:$A$500)+$A31-1,1)-1)</f>
        <v>3.4871935275790911E-3</v>
      </c>
      <c r="CV31" s="9">
        <f ca="1">IF(OR(CV4="",CV$28&lt;$A31),"",CV4/OFFSET(SSTotalESP!$A$2,MATCH(CV$29,SSTotalESP!$A$2:$A$500)+$A31-1,1)-1)</f>
        <v>2.9947526254692214E-4</v>
      </c>
      <c r="CW31" s="9">
        <f ca="1">IF(OR(CW4="",CW$28&lt;$A31),"",CW4/OFFSET(SSTotalESP!$A$2,MATCH(CW$29,SSTotalESP!$A$2:$A$500)+$A31-1,1)-1)</f>
        <v>1.4947006802321638E-3</v>
      </c>
      <c r="CX31" s="9">
        <f ca="1">IF(OR(CX4="",CX$28&lt;$A31),"",CX4/OFFSET(SSTotalESP!$A$2,MATCH(CX$29,SSTotalESP!$A$2:$A$500)+$A31-1,1)-1)</f>
        <v>-4.007780814438977E-3</v>
      </c>
      <c r="CY31" s="9">
        <f ca="1">IF(OR(CY4="",CY$28&lt;$A31),"",CY4/OFFSET(SSTotalESP!$A$2,MATCH(CY$29,SSTotalESP!$A$2:$A$500)+$A31-1,1)-1)</f>
        <v>-2.1455378660925062E-3</v>
      </c>
      <c r="CZ31" s="9">
        <f ca="1">IF(OR(CZ4="",CZ$28&lt;$A31),"",CZ4/OFFSET(SSTotalESP!$A$2,MATCH(CZ$29,SSTotalESP!$A$2:$A$500)+$A31-1,1)-1)</f>
        <v>4.7547379760477515E-3</v>
      </c>
      <c r="DA31" s="9">
        <f ca="1">IF(OR(DA4="",DA$28&lt;$A31),"",DA4/OFFSET(SSTotalESP!$A$2,MATCH(DA$29,SSTotalESP!$A$2:$A$500)+$A31-1,1)-1)</f>
        <v>-3.3070122981764261E-3</v>
      </c>
      <c r="DB31" s="9">
        <f ca="1">IF(OR(DB4="",DB$28&lt;$A31),"",DB4/OFFSET(SSTotalESP!$A$2,MATCH(DB$29,SSTotalESP!$A$2:$A$500)+$A31-1,1)-1)</f>
        <v>2.2693601898688964E-3</v>
      </c>
      <c r="DC31" s="9">
        <f ca="1">IF(OR(DC4="",DC$28&lt;$A31),"",DC4/OFFSET(SSTotalESP!$A$2,MATCH(DC$29,SSTotalESP!$A$2:$A$500)+$A31-1,1)-1)</f>
        <v>5.131342624851376E-3</v>
      </c>
      <c r="DD31" s="9">
        <f ca="1">IF(OR(DD4="",DD$28&lt;$A31),"",DD4/OFFSET(SSTotalESP!$A$2,MATCH(DD$29,SSTotalESP!$A$2:$A$500)+$A31-1,1)-1)</f>
        <v>8.7778327468914785E-3</v>
      </c>
      <c r="DE31" s="9">
        <f ca="1">IF(OR(DE4="",DE$28&lt;$A31),"",DE4/OFFSET(SSTotalESP!$A$2,MATCH(DE$29,SSTotalESP!$A$2:$A$500)+$A31-1,1)-1)</f>
        <v>-5.4443232425550603E-3</v>
      </c>
      <c r="DF31" s="9">
        <f ca="1">IF(OR(DF4="",DF$28&lt;$A31),"",DF4/OFFSET(SSTotalESP!$A$2,MATCH(DF$29,SSTotalESP!$A$2:$A$500)+$A31-1,1)-1)</f>
        <v>-3.3687475584510684E-3</v>
      </c>
      <c r="DG31" s="9">
        <f ca="1">IF(OR(DG4="",DG$28&lt;$A31),"",DG4/OFFSET(SSTotalESP!$A$2,MATCH(DG$29,SSTotalESP!$A$2:$A$500)+$A31-1,1)-1)</f>
        <v>-1.8930475105052302E-3</v>
      </c>
      <c r="DH31" s="9">
        <f ca="1">IF(OR(DH4="",DH$28&lt;$A31),"",DH4/OFFSET(SSTotalESP!$A$2,MATCH(DH$29,SSTotalESP!$A$2:$A$500)+$A31-1,1)-1)</f>
        <v>-2.1598886202884859E-3</v>
      </c>
      <c r="DI31" s="9">
        <f ca="1">IF(OR(DI4="",DI$28&lt;$A31),"",DI4/OFFSET(SSTotalESP!$A$2,MATCH(DI$29,SSTotalESP!$A$2:$A$500)+$A31-1,1)-1)</f>
        <v>-3.3828209970934164E-3</v>
      </c>
      <c r="DJ31" s="9">
        <f ca="1">IF(OR(DJ4="",DJ$28&lt;$A31),"",DJ4/OFFSET(SSTotalESP!$A$2,MATCH(DJ$29,SSTotalESP!$A$2:$A$500)+$A31-1,1)-1)</f>
        <v>-1.8718676386922928E-3</v>
      </c>
      <c r="DK31" s="9">
        <f ca="1">IF(OR(DK4="",DK$28&lt;$A31),"",DK4/OFFSET(SSTotalESP!$A$2,MATCH(DK$29,SSTotalESP!$A$2:$A$500)+$A31-1,1)-1)</f>
        <v>3.2346255573019178E-3</v>
      </c>
      <c r="DL31" s="9">
        <f ca="1">IF(OR(DL4="",DL$28&lt;$A31),"",DL4/OFFSET(SSTotalESP!$A$2,MATCH(DL$29,SSTotalESP!$A$2:$A$500)+$A31-1,1)-1)</f>
        <v>-2.0402931766356769E-3</v>
      </c>
      <c r="DM31" s="9">
        <f ca="1">IF(OR(DM4="",DM$28&lt;$A31),"",DM4/OFFSET(SSTotalESP!$A$2,MATCH(DM$29,SSTotalESP!$A$2:$A$500)+$A31-1,1)-1)</f>
        <v>-4.3377088903500116E-3</v>
      </c>
      <c r="DN31" s="9">
        <f ca="1">IF(OR(DN4="",DN$28&lt;$A31),"",DN4/OFFSET(SSTotalESP!$A$2,MATCH(DN$29,SSTotalESP!$A$2:$A$500)+$A31-1,1)-1)</f>
        <v>-7.3715228978664671E-3</v>
      </c>
      <c r="DO31" s="9">
        <f ca="1">IF(OR(DO4="",DO$28&lt;$A31),"",DO4/OFFSET(SSTotalESP!$A$2,MATCH(DO$29,SSTotalESP!$A$2:$A$500)+$A31-1,1)-1)</f>
        <v>-8.3677067074732214E-3</v>
      </c>
      <c r="DP31" s="9">
        <f ca="1">IF(OR(DP4="",DP$28&lt;$A31),"",DP4/OFFSET(SSTotalESP!$A$2,MATCH(DP$29,SSTotalESP!$A$2:$A$500)+$A31-1,1)-1)</f>
        <v>-3.4982332300875774E-3</v>
      </c>
      <c r="DQ31" s="9">
        <f ca="1">IF(OR(DQ4="",DQ$28&lt;$A31),"",DQ4/OFFSET(SSTotalESP!$A$2,MATCH(DQ$29,SSTotalESP!$A$2:$A$500)+$A31-1,1)-1)</f>
        <v>-3.2779236092658204E-3</v>
      </c>
      <c r="DR31" s="9">
        <f ca="1">IF(OR(DR4="",DR$28&lt;$A31),"",DR4/OFFSET(SSTotalESP!$A$2,MATCH(DR$29,SSTotalESP!$A$2:$A$500)+$A31-1,1)-1)</f>
        <v>3.4298262459209194E-3</v>
      </c>
      <c r="DS31" s="9">
        <f ca="1">IF(OR(DS4="",DS$28&lt;$A31),"",DS4/OFFSET(SSTotalESP!$A$2,MATCH(DS$29,SSTotalESP!$A$2:$A$500)+$A31-1,1)-1)</f>
        <v>6.5916257106701792E-4</v>
      </c>
      <c r="DT31" s="9">
        <f ca="1">IF(OR(DT4="",DT$28&lt;$A31),"",DT4/OFFSET(SSTotalESP!$A$2,MATCH(DT$29,SSTotalESP!$A$2:$A$500)+$A31-1,1)-1)</f>
        <v>-2.7790085193993841E-3</v>
      </c>
      <c r="DU31" s="9">
        <f ca="1">IF(OR(DU4="",DU$28&lt;$A31),"",DU4/OFFSET(SSTotalESP!$A$2,MATCH(DU$29,SSTotalESP!$A$2:$A$500)+$A31-1,1)-1)</f>
        <v>-5.1418210878841908E-3</v>
      </c>
      <c r="DV31" s="9">
        <f ca="1">IF(OR(DV4="",DV$28&lt;$A31),"",DV4/OFFSET(SSTotalESP!$A$2,MATCH(DV$29,SSTotalESP!$A$2:$A$500)+$A31-1,1)-1)</f>
        <v>6.0571369650741502E-4</v>
      </c>
      <c r="DW31" s="9">
        <f ca="1">IF(OR(DW4="",DW$28&lt;$A31),"",DW4/OFFSET(SSTotalESP!$A$2,MATCH(DW$29,SSTotalESP!$A$2:$A$500)+$A31-1,1)-1)</f>
        <v>3.5349464931158092E-3</v>
      </c>
      <c r="DX31" s="9">
        <f ca="1">IF(OR(DX4="",DX$28&lt;$A31),"",DX4/OFFSET(SSTotalESP!$A$2,MATCH(DX$29,SSTotalESP!$A$2:$A$500)+$A31-1,1)-1)</f>
        <v>1.1452923130554904E-3</v>
      </c>
      <c r="DY31" s="9">
        <f ca="1">IF(OR(DY4="",DY$28&lt;$A31),"",DY4/OFFSET(SSTotalESP!$A$2,MATCH(DY$29,SSTotalESP!$A$2:$A$500)+$A31-1,1)-1)</f>
        <v>-7.5070709124580581E-4</v>
      </c>
      <c r="DZ31" s="9">
        <f ca="1">IF(OR(DZ4="",DZ$28&lt;$A31),"",DZ4/OFFSET(SSTotalESP!$A$2,MATCH(DZ$29,SSTotalESP!$A$2:$A$500)+$A31-1,1)-1)</f>
        <v>-2.308137355710671E-3</v>
      </c>
      <c r="EA31" s="9">
        <f ca="1">IF(OR(EA4="",EA$28&lt;$A31),"",EA4/OFFSET(SSTotalESP!$A$2,MATCH(EA$29,SSTotalESP!$A$2:$A$500)+$A31-1,1)-1)</f>
        <v>-1.8625730313405198E-3</v>
      </c>
      <c r="EB31" s="9">
        <f ca="1">IF(OR(EB4="",EB$28&lt;$A31),"",EB4/OFFSET(SSTotalESP!$A$2,MATCH(EB$29,SSTotalESP!$A$2:$A$500)+$A31-1,1)-1)</f>
        <v>-8.100415208138867E-3</v>
      </c>
      <c r="EC31" s="9">
        <f ca="1">IF(OR(EC4="",EC$28&lt;$A31),"",EC4/OFFSET(SSTotalESP!$A$2,MATCH(EC$29,SSTotalESP!$A$2:$A$500)+$A31-1,1)-1)</f>
        <v>3.1679528150447833E-3</v>
      </c>
      <c r="ED31" s="9">
        <f ca="1">IF(OR(ED4="",ED$28&lt;$A31),"",ED4/OFFSET(SSTotalESP!$A$2,MATCH(ED$29,SSTotalESP!$A$2:$A$500)+$A31-1,1)-1)</f>
        <v>2.3520910725396416E-3</v>
      </c>
      <c r="EE31" s="9">
        <f ca="1">IF(OR(EE4="",EE$28&lt;$A31),"",EE4/OFFSET(SSTotalESP!$A$2,MATCH(EE$29,SSTotalESP!$A$2:$A$500)+$A31-1,1)-1)</f>
        <v>-7.1706966840445752E-3</v>
      </c>
      <c r="EF31" s="9">
        <f ca="1">IF(OR(EF4="",EF$28&lt;$A31),"",EF4/OFFSET(SSTotalESP!$A$2,MATCH(EF$29,SSTotalESP!$A$2:$A$500)+$A31-1,1)-1)</f>
        <v>-4.5500359626177156E-3</v>
      </c>
      <c r="EG31" s="9">
        <f ca="1">IF(OR(EG4="",EG$28&lt;$A31),"",EG4/OFFSET(SSTotalESP!$A$2,MATCH(EG$29,SSTotalESP!$A$2:$A$500)+$A31-1,1)-1)</f>
        <v>-3.4578767854731574E-5</v>
      </c>
      <c r="EH31" s="9">
        <f ca="1">IF(OR(EH4="",EH$28&lt;$A31),"",EH4/OFFSET(SSTotalESP!$A$2,MATCH(EH$29,SSTotalESP!$A$2:$A$500)+$A31-1,1)-1)</f>
        <v>4.8819072685459819E-3</v>
      </c>
      <c r="EI31" s="9">
        <f ca="1">IF(OR(EI4="",EI$28&lt;$A31),"",EI4/OFFSET(SSTotalESP!$A$2,MATCH(EI$29,SSTotalESP!$A$2:$A$500)+$A31-1,1)-1)</f>
        <v>6.2661272442887661E-3</v>
      </c>
      <c r="EJ31" s="9">
        <f ca="1">IF(OR(EJ4="",EJ$28&lt;$A31),"",EJ4/OFFSET(SSTotalESP!$A$2,MATCH(EJ$29,SSTotalESP!$A$2:$A$500)+$A31-1,1)-1)</f>
        <v>3.2080372522069744E-3</v>
      </c>
      <c r="EK31" s="9">
        <f ca="1">IF(OR(EK4="",EK$28&lt;$A31),"",EK4/OFFSET(SSTotalESP!$A$2,MATCH(EK$29,SSTotalESP!$A$2:$A$500)+$A31-1,1)-1)</f>
        <v>1.5132056197288968E-3</v>
      </c>
      <c r="EL31" s="9">
        <f ca="1">IF(OR(EL4="",EL$28&lt;$A31),"",EL4/OFFSET(SSTotalESP!$A$2,MATCH(EL$29,SSTotalESP!$A$2:$A$500)+$A31-1,1)-1)</f>
        <v>-3.6358085732784984E-3</v>
      </c>
      <c r="EM31" s="9">
        <f ca="1">IF(OR(EM4="",EM$28&lt;$A31),"",EM4/OFFSET(SSTotalESP!$A$2,MATCH(EM$29,SSTotalESP!$A$2:$A$500)+$A31-1,1)-1)</f>
        <v>-1.8301884864793116E-3</v>
      </c>
      <c r="EN31" s="9">
        <f ca="1">IF(OR(EN4="",EN$28&lt;$A31),"",EN4/OFFSET(SSTotalESP!$A$2,MATCH(EN$29,SSTotalESP!$A$2:$A$500)+$A31-1,1)-1)</f>
        <v>-4.0329235735840907E-3</v>
      </c>
      <c r="EO31" s="9">
        <f ca="1">IF(OR(EO4="",EO$28&lt;$A31),"",EO4/OFFSET(SSTotalESP!$A$2,MATCH(EO$29,SSTotalESP!$A$2:$A$500)+$A31-1,1)-1)</f>
        <v>5.6365893351517649E-4</v>
      </c>
      <c r="EP31" s="9">
        <f ca="1">IF(OR(EP4="",EP$28&lt;$A31),"",EP4/OFFSET(SSTotalESP!$A$2,MATCH(EP$29,SSTotalESP!$A$2:$A$500)+$A31-1,1)-1)</f>
        <v>3.153894066743268E-3</v>
      </c>
      <c r="EQ31" s="9">
        <f ca="1">IF(OR(EQ4="",EQ$28&lt;$A31),"",EQ4/OFFSET(SSTotalESP!$A$2,MATCH(EQ$29,SSTotalESP!$A$2:$A$500)+$A31-1,1)-1)</f>
        <v>1.1688198652537451E-4</v>
      </c>
      <c r="ER31" s="9">
        <f ca="1">IF(OR(ER4="",ER$28&lt;$A31),"",ER4/OFFSET(SSTotalESP!$A$2,MATCH(ER$29,SSTotalESP!$A$2:$A$500)+$A31-1,1)-1)</f>
        <v>-2.6106075501226567E-3</v>
      </c>
      <c r="ES31" s="9">
        <f ca="1">IF(OR(ES4="",ES$28&lt;$A31),"",ES4/OFFSET(SSTotalESP!$A$2,MATCH(ES$29,SSTotalESP!$A$2:$A$500)+$A31-1,1)-1)</f>
        <v>-7.5124007906934853E-4</v>
      </c>
      <c r="ET31" s="9">
        <f ca="1">IF(OR(ET4="",ET$28&lt;$A31),"",ET4/OFFSET(SSTotalESP!$A$2,MATCH(ET$29,SSTotalESP!$A$2:$A$500)+$A31-1,1)-1)</f>
        <v>-2.9609236200990319E-3</v>
      </c>
      <c r="EU31" s="9">
        <f ca="1">IF(OR(EU4="",EU$28&lt;$A31),"",EU4/OFFSET(SSTotalESP!$A$2,MATCH(EU$29,SSTotalESP!$A$2:$A$500)+$A31-1,1)-1)</f>
        <v>-3.2679561040912519E-3</v>
      </c>
      <c r="EV31" s="9">
        <f ca="1">IF(OR(EV4="",EV$28&lt;$A31),"",EV4/OFFSET(SSTotalESP!$A$2,MATCH(EV$29,SSTotalESP!$A$2:$A$500)+$A31-1,1)-1)</f>
        <v>4.3413242394081397E-3</v>
      </c>
      <c r="EW31" s="9">
        <f ca="1">IF(OR(EW4="",EW$28&lt;$A31),"",EW4/OFFSET(SSTotalESP!$A$2,MATCH(EW$29,SSTotalESP!$A$2:$A$500)+$A31-1,1)-1)</f>
        <v>3.7526638228397857E-3</v>
      </c>
      <c r="EX31" s="9">
        <f ca="1">IF(OR(EX4="",EX$28&lt;$A31),"",EX4/OFFSET(SSTotalESP!$A$2,MATCH(EX$29,SSTotalESP!$A$2:$A$500)+$A31-1,1)-1)</f>
        <v>-5.6104045913728529E-3</v>
      </c>
      <c r="EY31" s="9">
        <f ca="1">IF(OR(EY4="",EY$28&lt;$A31),"",EY4/OFFSET(SSTotalESP!$A$2,MATCH(EY$29,SSTotalESP!$A$2:$A$500)+$A31-1,1)-1)</f>
        <v>-2.4903294936379217E-3</v>
      </c>
      <c r="EZ31" s="9">
        <f ca="1">IF(OR(EZ4="",EZ$28&lt;$A31),"",EZ4/OFFSET(SSTotalESP!$A$2,MATCH(EZ$29,SSTotalESP!$A$2:$A$500)+$A31-1,1)-1)</f>
        <v>4.0754925745694059E-3</v>
      </c>
      <c r="FA31" s="9">
        <f ca="1">IF(OR(FA4="",FA$28&lt;$A31),"",FA4/OFFSET(SSTotalESP!$A$2,MATCH(FA$29,SSTotalESP!$A$2:$A$500)+$A31-1,1)-1)</f>
        <v>-1.6449022995121965E-3</v>
      </c>
      <c r="FB31" s="9">
        <f ca="1">IF(OR(FB4="",FB$28&lt;$A31),"",FB4/OFFSET(SSTotalESP!$A$2,MATCH(FB$29,SSTotalESP!$A$2:$A$500)+$A31-1,1)-1)</f>
        <v>-2.2966964287911562E-3</v>
      </c>
      <c r="FC31" s="9">
        <f ca="1">IF(OR(FC4="",FC$28&lt;$A31),"",FC4/OFFSET(SSTotalESP!$A$2,MATCH(FC$29,SSTotalESP!$A$2:$A$500)+$A31-1,1)-1)</f>
        <v>-1.6940031749269613E-3</v>
      </c>
      <c r="FD31" s="9">
        <f ca="1">IF(OR(FD4="",FD$28&lt;$A31),"",FD4/OFFSET(SSTotalESP!$A$2,MATCH(FD$29,SSTotalESP!$A$2:$A$500)+$A31-1,1)-1)</f>
        <v>-5.4643384701196229E-3</v>
      </c>
      <c r="FE31" s="9">
        <f ca="1">IF(OR(FE4="",FE$28&lt;$A31),"",FE4/OFFSET(SSTotalESP!$A$2,MATCH(FE$29,SSTotalESP!$A$2:$A$500)+$A31-1,1)-1)</f>
        <v>-3.1191211271601738E-3</v>
      </c>
      <c r="FF31" s="9">
        <f ca="1">IF(OR(FF4="",FF$28&lt;$A31),"",FF4/OFFSET(SSTotalESP!$A$2,MATCH(FF$29,SSTotalESP!$A$2:$A$500)+$A31-1,1)-1)</f>
        <v>2.1723378968823148E-3</v>
      </c>
      <c r="FG31" s="9">
        <f ca="1">IF(OR(FG4="",FG$28&lt;$A31),"",FG4/OFFSET(SSTotalESP!$A$2,MATCH(FG$29,SSTotalESP!$A$2:$A$500)+$A31-1,1)-1)</f>
        <v>3.9051683405999515E-3</v>
      </c>
      <c r="FH31" s="9">
        <f ca="1">IF(OR(FH4="",FH$28&lt;$A31),"",FH4/OFFSET(SSTotalESP!$A$2,MATCH(FH$29,SSTotalESP!$A$2:$A$500)+$A31-1,1)-1)</f>
        <v>6.5094199099053895E-3</v>
      </c>
      <c r="FI31" s="9">
        <f ca="1">IF(OR(FI4="",FI$28&lt;$A31),"",FI4/OFFSET(SSTotalESP!$A$2,MATCH(FI$29,SSTotalESP!$A$2:$A$500)+$A31-1,1)-1)</f>
        <v>1.3265748062312177E-3</v>
      </c>
      <c r="FJ31" s="9">
        <f ca="1">IF(OR(FJ4="",FJ$28&lt;$A31),"",FJ4/OFFSET(SSTotalESP!$A$2,MATCH(FJ$29,SSTotalESP!$A$2:$A$500)+$A31-1,1)-1)</f>
        <v>-4.9036288937951422E-3</v>
      </c>
      <c r="FK31" s="9">
        <f ca="1">IF(OR(FK4="",FK$28&lt;$A31),"",FK4/OFFSET(SSTotalESP!$A$2,MATCH(FK$29,SSTotalESP!$A$2:$A$500)+$A31-1,1)-1)</f>
        <v>-1.9176122963534548E-3</v>
      </c>
      <c r="FL31" s="9">
        <f ca="1">IF(OR(FL4="",FL$28&lt;$A31),"",FL4/OFFSET(SSTotalESP!$A$2,MATCH(FL$29,SSTotalESP!$A$2:$A$500)+$A31-1,1)-1)</f>
        <v>1.4515935432697358E-3</v>
      </c>
      <c r="FM31" s="9">
        <f ca="1">IF(OR(FM4="",FM$28&lt;$A31),"",FM4/OFFSET(SSTotalESP!$A$2,MATCH(FM$29,SSTotalESP!$A$2:$A$500)+$A31-1,1)-1)</f>
        <v>2.2068368997196774E-3</v>
      </c>
      <c r="FN31" s="9">
        <f ca="1">IF(OR(FN4="",FN$28&lt;$A31),"",FN4/OFFSET(SSTotalESP!$A$2,MATCH(FN$29,SSTotalESP!$A$2:$A$500)+$A31-1,1)-1)</f>
        <v>-2.0226302583625788E-3</v>
      </c>
      <c r="FO31" s="9">
        <f ca="1">IF(OR(FO4="",FO$28&lt;$A31),"",FO4/OFFSET(SSTotalESP!$A$2,MATCH(FO$29,SSTotalESP!$A$2:$A$500)+$A31-1,1)-1)</f>
        <v>-3.4453888864127702E-4</v>
      </c>
      <c r="FP31" s="9">
        <f ca="1">IF(OR(FP4="",FP$28&lt;$A31),"",FP4/OFFSET(SSTotalESP!$A$2,MATCH(FP$29,SSTotalESP!$A$2:$A$500)+$A31-1,1)-1)</f>
        <v>1.5357479452471345E-4</v>
      </c>
      <c r="FQ31" s="9">
        <f ca="1">IF(OR(FQ4="",FQ$28&lt;$A31),"",FQ4/OFFSET(SSTotalESP!$A$2,MATCH(FQ$29,SSTotalESP!$A$2:$A$500)+$A31-1,1)-1)</f>
        <v>-2.1981058829547706E-3</v>
      </c>
      <c r="FR31" s="9">
        <f ca="1">IF(OR(FR4="",FR$28&lt;$A31),"",FR4/OFFSET(SSTotalESP!$A$2,MATCH(FR$29,SSTotalESP!$A$2:$A$500)+$A31-1,1)-1)</f>
        <v>-3.0333889153594251E-3</v>
      </c>
      <c r="FS31" s="9">
        <f ca="1">IF(OR(FS4="",FS$28&lt;$A31),"",FS4/OFFSET(SSTotalESP!$A$2,MATCH(FS$29,SSTotalESP!$A$2:$A$500)+$A31-1,1)-1)</f>
        <v>2.231894578860194E-3</v>
      </c>
      <c r="FT31" s="9">
        <f ca="1">IF(OR(FT4="",FT$28&lt;$A31),"",FT4/OFFSET(SSTotalESP!$A$2,MATCH(FT$29,SSTotalESP!$A$2:$A$500)+$A31-1,1)-1)</f>
        <v>6.3069108777582539E-3</v>
      </c>
      <c r="FU31" s="9">
        <f ca="1">IF(OR(FU4="",FU$28&lt;$A31),"",FU4/OFFSET(SSTotalESP!$A$2,MATCH(FU$29,SSTotalESP!$A$2:$A$500)+$A31-1,1)-1)</f>
        <v>1.3582822942823647E-3</v>
      </c>
      <c r="FV31" s="9">
        <f ca="1">IF(OR(FV4="",FV$28&lt;$A31),"",FV4/OFFSET(SSTotalESP!$A$2,MATCH(FV$29,SSTotalESP!$A$2:$A$500)+$A31-1,1)-1)</f>
        <v>-6.0812386571251764E-3</v>
      </c>
      <c r="FW31" s="9">
        <f ca="1">IF(OR(FW4="",FW$28&lt;$A31),"",FW4/OFFSET(SSTotalESP!$A$2,MATCH(FW$29,SSTotalESP!$A$2:$A$500)+$A31-1,1)-1)</f>
        <v>-2.2350102270545236E-3</v>
      </c>
      <c r="FX31" s="9">
        <f ca="1">IF(OR(FX4="",FX$28&lt;$A31),"",FX4/OFFSET(SSTotalESP!$A$2,MATCH(FX$29,SSTotalESP!$A$2:$A$500)+$A31-1,1)-1)</f>
        <v>2.6802809174852893E-3</v>
      </c>
      <c r="FY31" s="9">
        <f ca="1">IF(OR(FY4="",FY$28&lt;$A31),"",FY4/OFFSET(SSTotalESP!$A$2,MATCH(FY$29,SSTotalESP!$A$2:$A$500)+$A31-1,1)-1)</f>
        <v>-1.6307301546925057E-3</v>
      </c>
      <c r="FZ31" s="9">
        <f ca="1">IF(OR(FZ4="",FZ$28&lt;$A31),"",FZ4/OFFSET(SSTotalESP!$A$2,MATCH(FZ$29,SSTotalESP!$A$2:$A$500)+$A31-1,1)-1)</f>
        <v>2.9290030493080987E-3</v>
      </c>
      <c r="GA31" s="9">
        <f ca="1">IF(OR(GA4="",GA$28&lt;$A31),"",GA4/OFFSET(SSTotalESP!$A$2,MATCH(GA$29,SSTotalESP!$A$2:$A$500)+$A31-1,1)-1)</f>
        <v>-1.54028158270203E-3</v>
      </c>
      <c r="GB31" s="9">
        <f ca="1">IF(OR(GB4="",GB$28&lt;$A31),"",GB4/OFFSET(SSTotalESP!$A$2,MATCH(GB$29,SSTotalESP!$A$2:$A$500)+$A31-1,1)-1)</f>
        <v>-3.0398963323594597E-3</v>
      </c>
      <c r="GC31" s="9">
        <f ca="1">IF(OR(GC4="",GC$28&lt;$A31),"",GC4/OFFSET(SSTotalESP!$A$2,MATCH(GC$29,SSTotalESP!$A$2:$A$500)+$A31-1,1)-1)</f>
        <v>-4.8949243964879763E-4</v>
      </c>
      <c r="GD31" s="9">
        <f ca="1">IF(OR(GD4="",GD$28&lt;$A31),"",GD4/OFFSET(SSTotalESP!$A$2,MATCH(GD$29,SSTotalESP!$A$2:$A$500)+$A31-1,1)-1)</f>
        <v>1.0475313131894648E-3</v>
      </c>
      <c r="GE31" s="9">
        <f ca="1">IF(OR(GE4="",GE$28&lt;$A31),"",GE4/OFFSET(SSTotalESP!$A$2,MATCH(GE$29,SSTotalESP!$A$2:$A$500)+$A31-1,1)-1)</f>
        <v>1.954104360675446E-3</v>
      </c>
      <c r="GF31" s="9">
        <f ca="1">IF(OR(GF4="",GF$28&lt;$A31),"",GF4/OFFSET(SSTotalESP!$A$2,MATCH(GF$29,SSTotalESP!$A$2:$A$500)+$A31-1,1)-1)</f>
        <v>4.2487372609705254E-3</v>
      </c>
      <c r="GG31" s="9">
        <f ca="1">IF(OR(GG4="",GG$28&lt;$A31),"",GG4/OFFSET(SSTotalESP!$A$2,MATCH(GG$29,SSTotalESP!$A$2:$A$500)+$A31-1,1)-1)</f>
        <v>9.3073704184143402E-4</v>
      </c>
      <c r="GH31" s="9">
        <f ca="1">IF(OR(GH4="",GH$28&lt;$A31),"",GH4/OFFSET(SSTotalESP!$A$2,MATCH(GH$29,SSTotalESP!$A$2:$A$500)+$A31-1,1)-1)</f>
        <v>-2.674332307386007E-3</v>
      </c>
      <c r="GI31" s="9">
        <f ca="1">IF(OR(GI4="",GI$28&lt;$A31),"",GI4/OFFSET(SSTotalESP!$A$2,MATCH(GI$29,SSTotalESP!$A$2:$A$500)+$A31-1,1)-1)</f>
        <v>-1.3912545713190561E-3</v>
      </c>
      <c r="GJ31" s="9">
        <f ca="1">IF(OR(GJ4="",GJ$28&lt;$A31),"",GJ4/OFFSET(SSTotalESP!$A$2,MATCH(GJ$29,SSTotalESP!$A$2:$A$500)+$A31-1,1)-1)</f>
        <v>1.4882540284726353E-3</v>
      </c>
      <c r="GK31" s="9">
        <f ca="1">IF(OR(GK4="",GK$28&lt;$A31),"",GK4/OFFSET(SSTotalESP!$A$2,MATCH(GK$29,SSTotalESP!$A$2:$A$500)+$A31-1,1)-1)</f>
        <v>2.9500036665450757E-3</v>
      </c>
      <c r="GL31" s="9">
        <f ca="1">IF(OR(GL4="",GL$28&lt;$A31),"",GL4/OFFSET(SSTotalESP!$A$2,MATCH(GL$29,SSTotalESP!$A$2:$A$500)+$A31-1,1)-1)</f>
        <v>-7.7069172562516108E-4</v>
      </c>
      <c r="GM31" s="9">
        <f ca="1">IF(OR(GM4="",GM$28&lt;$A31),"",GM4/OFFSET(SSTotalESP!$A$2,MATCH(GM$29,SSTotalESP!$A$2:$A$500)+$A31-1,1)-1)</f>
        <v>1.6463161369990598E-2</v>
      </c>
      <c r="GN31" s="9">
        <f ca="1">IF(OR(GN4="",GN$28&lt;$A31),"",GN4/OFFSET(SSTotalESP!$A$2,MATCH(GN$29,SSTotalESP!$A$2:$A$500)+$A31-1,1)-1)</f>
        <v>5.8850770345753256E-2</v>
      </c>
      <c r="GO31" s="9">
        <f ca="1">IF(OR(GO4="",GO$28&lt;$A31),"",GO4/OFFSET(SSTotalESP!$A$2,MATCH(GO$29,SSTotalESP!$A$2:$A$500)+$A31-1,1)-1)</f>
        <v>3.593100148181505E-2</v>
      </c>
      <c r="GP31" s="9">
        <f ca="1">IF(OR(GP4="",GP$28&lt;$A31),"",GP4/OFFSET(SSTotalESP!$A$2,MATCH(GP$29,SSTotalESP!$A$2:$A$500)+$A31-1,1)-1)</f>
        <v>-2.4655693367582332E-3</v>
      </c>
      <c r="GQ31" s="9">
        <f ca="1">IF(OR(GQ4="",GQ$28&lt;$A31),"",GQ4/OFFSET(SSTotalESP!$A$2,MATCH(GQ$29,SSTotalESP!$A$2:$A$500)+$A31-1,1)-1)</f>
        <v>-1.5643009044442824E-2</v>
      </c>
      <c r="GR31" s="9">
        <f ca="1">IF(OR(GR4="",GR$28&lt;$A31),"",GR4/OFFSET(SSTotalESP!$A$2,MATCH(GR$29,SSTotalESP!$A$2:$A$500)+$A31-1,1)-1)</f>
        <v>-2.1897676244194697E-2</v>
      </c>
      <c r="GS31" s="9">
        <f ca="1">IF(OR(GS4="",GS$28&lt;$A31),"",GS4/OFFSET(SSTotalESP!$A$2,MATCH(GS$29,SSTotalESP!$A$2:$A$500)+$A31-1,1)-1)</f>
        <v>-1.5381553773605061E-2</v>
      </c>
      <c r="GT31" s="9">
        <f ca="1">IF(OR(GT4="",GT$28&lt;$A31),"",GT4/OFFSET(SSTotalESP!$A$2,MATCH(GT$29,SSTotalESP!$A$2:$A$500)+$A31-1,1)-1)</f>
        <v>1.8982019493372082E-3</v>
      </c>
      <c r="GU31" s="9">
        <f ca="1">IF(OR(GU4="",GU$28&lt;$A31),"",GU4/OFFSET(SSTotalESP!$A$2,MATCH(GU$29,SSTotalESP!$A$2:$A$500)+$A31-1,1)-1)</f>
        <v>-3.0376276857726481E-3</v>
      </c>
      <c r="GV31" s="9">
        <f ca="1">IF(OR(GV4="",GV$28&lt;$A31),"",GV4/OFFSET(SSTotalESP!$A$2,MATCH(GV$29,SSTotalESP!$A$2:$A$500)+$A31-1,1)-1)</f>
        <v>-3.180238107705069E-3</v>
      </c>
      <c r="GW31" s="9">
        <f ca="1">IF(OR(GW4="",GW$28&lt;$A31),"",GW4/OFFSET(SSTotalESP!$A$2,MATCH(GW$29,SSTotalESP!$A$2:$A$500)+$A31-1,1)-1)</f>
        <v>4.658037578642249E-3</v>
      </c>
      <c r="GX31" s="9" t="str">
        <f ca="1">IF(OR(GX4="",GX$28&lt;$A31),"",GX4/OFFSET(SSTotalESP!$A$2,MATCH(GX$29,SSTotalESP!$A$2:$A$500)+$A31-1,1)-1)</f>
        <v/>
      </c>
      <c r="GY31" s="9" t="str">
        <f ca="1">IF(OR(GY4="",GY$28&lt;$A31),"",GY4/OFFSET(SSTotalESP!$A$2,MATCH(GY$29,SSTotalESP!$A$2:$A$500)+$A31-1,1)-1)</f>
        <v/>
      </c>
      <c r="GZ31" s="9" t="str">
        <f ca="1">IF(OR(GZ4="",GZ$28&lt;$A31),"",GZ4/OFFSET(SSTotalESP!$A$2,MATCH(GZ$29,SSTotalESP!$A$2:$A$500)+$A31-1,1)-1)</f>
        <v/>
      </c>
      <c r="HA31" s="9" t="str">
        <f ca="1">IF(OR(HA4="",HA$28&lt;$A31),"",HA4/OFFSET(SSTotalESP!$A$2,MATCH(HA$29,SSTotalESP!$A$2:$A$500)+$A31-1,1)-1)</f>
        <v/>
      </c>
      <c r="HB31" s="9" t="str">
        <f ca="1">IF(OR(HB4="",HB$28&lt;$A31),"",HB4/OFFSET(SSTotalESP!$A$2,MATCH(HB$29,SSTotalESP!$A$2:$A$500)+$A31-1,1)-1)</f>
        <v/>
      </c>
      <c r="HC31" s="9" t="str">
        <f ca="1">IF(OR(HC4="",HC$28&lt;$A31),"",HC4/OFFSET(SSTotalESP!$A$2,MATCH(HC$29,SSTotalESP!$A$2:$A$500)+$A31-1,1)-1)</f>
        <v/>
      </c>
      <c r="HD31" s="9" t="str">
        <f ca="1">IF(OR(HD4="",HD$28&lt;$A31),"",HD4/OFFSET(SSTotalESP!$A$2,MATCH(HD$29,SSTotalESP!$A$2:$A$500)+$A31-1,1)-1)</f>
        <v/>
      </c>
      <c r="HE31" s="9" t="str">
        <f ca="1">IF(OR(HE4="",HE$28&lt;$A31),"",HE4/OFFSET(SSTotalESP!$A$2,MATCH(HE$29,SSTotalESP!$A$2:$A$500)+$A31-1,1)-1)</f>
        <v/>
      </c>
      <c r="HF31" s="9" t="str">
        <f ca="1">IF(OR(HF4="",HF$28&lt;$A31),"",HF4/OFFSET(SSTotalESP!$A$2,MATCH(HF$29,SSTotalESP!$A$2:$A$500)+$A31-1,1)-1)</f>
        <v/>
      </c>
      <c r="HG31" s="9" t="str">
        <f ca="1">IF(OR(HG4="",HG$28&lt;$A31),"",HG4/OFFSET(SSTotalESP!$A$2,MATCH(HG$29,SSTotalESP!$A$2:$A$500)+$A31-1,1)-1)</f>
        <v/>
      </c>
      <c r="HH31" s="9" t="str">
        <f ca="1">IF(OR(HH4="",HH$28&lt;$A31),"",HH4/OFFSET(SSTotalESP!$A$2,MATCH(HH$29,SSTotalESP!$A$2:$A$500)+$A31-1,1)-1)</f>
        <v/>
      </c>
      <c r="HI31" s="9" t="str">
        <f ca="1">IF(OR(HI4="",HI$28&lt;$A31),"",HI4/OFFSET(SSTotalESP!$A$2,MATCH(HI$29,SSTotalESP!$A$2:$A$500)+$A31-1,1)-1)</f>
        <v/>
      </c>
      <c r="HJ31" s="9" t="str">
        <f ca="1">IF(OR(HJ4="",HJ$28&lt;$A31),"",HJ4/OFFSET(SSTotalESP!$A$2,MATCH(HJ$29,SSTotalESP!$A$2:$A$500)+$A31-1,1)-1)</f>
        <v/>
      </c>
      <c r="HK31" s="9" t="str">
        <f ca="1">IF(OR(HK4="",HK$28&lt;$A31),"",HK4/OFFSET(SSTotalESP!$A$2,MATCH(HK$29,SSTotalESP!$A$2:$A$500)+$A31-1,1)-1)</f>
        <v/>
      </c>
      <c r="HL31" s="9" t="str">
        <f ca="1">IF(OR(HL4="",HL$28&lt;$A31),"",HL4/OFFSET(SSTotalESP!$A$2,MATCH(HL$29,SSTotalESP!$A$2:$A$500)+$A31-1,1)-1)</f>
        <v/>
      </c>
      <c r="HM31" s="9" t="str">
        <f ca="1">IF(OR(HM4="",HM$28&lt;$A31),"",HM4/OFFSET(SSTotalESP!$A$2,MATCH(HM$29,SSTotalESP!$A$2:$A$500)+$A31-1,1)-1)</f>
        <v/>
      </c>
      <c r="HN31" s="9" t="str">
        <f ca="1">IF(OR(HN4="",HN$28&lt;$A31),"",HN4/OFFSET(SSTotalESP!$A$2,MATCH(HN$29,SSTotalESP!$A$2:$A$500)+$A31-1,1)-1)</f>
        <v/>
      </c>
      <c r="HO31" s="9" t="str">
        <f ca="1">IF(OR(HO4="",HO$28&lt;$A31),"",HO4/OFFSET(SSTotalESP!$A$2,MATCH(HO$29,SSTotalESP!$A$2:$A$500)+$A31-1,1)-1)</f>
        <v/>
      </c>
      <c r="HP31" s="9" t="str">
        <f ca="1">IF(OR(HP4="",HP$28&lt;$A31),"",HP4/OFFSET(SSTotalESP!$A$2,MATCH(HP$29,SSTotalESP!$A$2:$A$500)+$A31-1,1)-1)</f>
        <v/>
      </c>
      <c r="HQ31" s="9" t="str">
        <f ca="1">IF(OR(HQ4="",HQ$28&lt;$A31),"",HQ4/OFFSET(SSTotalESP!$A$2,MATCH(HQ$29,SSTotalESP!$A$2:$A$500)+$A31-1,1)-1)</f>
        <v/>
      </c>
      <c r="HR31" s="9" t="str">
        <f ca="1">IF(OR(HR4="",HR$28&lt;$A31),"",HR4/OFFSET(SSTotalESP!$A$2,MATCH(HR$29,SSTotalESP!$A$2:$A$500)+$A31-1,1)-1)</f>
        <v/>
      </c>
      <c r="HS31" s="9" t="str">
        <f ca="1">IF(OR(HS4="",HS$28&lt;$A31),"",HS4/OFFSET(SSTotalESP!$A$2,MATCH(HS$29,SSTotalESP!$A$2:$A$500)+$A31-1,1)-1)</f>
        <v/>
      </c>
      <c r="HT31" s="9" t="str">
        <f ca="1">IF(OR(HT4="",HT$28&lt;$A31),"",HT4/OFFSET(SSTotalESP!$A$2,MATCH(HT$29,SSTotalESP!$A$2:$A$500)+$A31-1,1)-1)</f>
        <v/>
      </c>
      <c r="HU31" s="9" t="str">
        <f ca="1">IF(OR(HU4="",HU$28&lt;$A31),"",HU4/OFFSET(SSTotalESP!$A$2,MATCH(HU$29,SSTotalESP!$A$2:$A$500)+$A31-1,1)-1)</f>
        <v/>
      </c>
      <c r="HV31" s="9" t="str">
        <f ca="1">IF(OR(HV4="",HV$28&lt;$A31),"",HV4/OFFSET(SSTotalESP!$A$2,MATCH(HV$29,SSTotalESP!$A$2:$A$500)+$A31-1,1)-1)</f>
        <v/>
      </c>
      <c r="HW31" s="9" t="str">
        <f ca="1">IF(OR(HW4="",HW$28&lt;$A31),"",HW4/OFFSET(SSTotalESP!$A$2,MATCH(HW$29,SSTotalESP!$A$2:$A$500)+$A31-1,1)-1)</f>
        <v/>
      </c>
      <c r="HX31" s="9" t="str">
        <f ca="1">IF(OR(HX4="",HX$28&lt;$A31),"",HX4/OFFSET(SSTotalESP!$A$2,MATCH(HX$29,SSTotalESP!$A$2:$A$500)+$A31-1,1)-1)</f>
        <v/>
      </c>
      <c r="HY31" s="9" t="str">
        <f ca="1">IF(OR(HY4="",HY$28&lt;$A31),"",HY4/OFFSET(SSTotalESP!$A$2,MATCH(HY$29,SSTotalESP!$A$2:$A$500)+$A31-1,1)-1)</f>
        <v/>
      </c>
      <c r="HZ31" s="9" t="str">
        <f ca="1">IF(OR(HZ4="",HZ$28&lt;$A31),"",HZ4/OFFSET(SSTotalESP!$A$2,MATCH(HZ$29,SSTotalESP!$A$2:$A$500)+$A31-1,1)-1)</f>
        <v/>
      </c>
      <c r="IA31" s="9" t="str">
        <f ca="1">IF(OR(IA4="",IA$28&lt;$A31),"",IA4/OFFSET(SSTotalESP!$A$2,MATCH(IA$29,SSTotalESP!$A$2:$A$500)+$A31-1,1)-1)</f>
        <v/>
      </c>
      <c r="IB31" s="9" t="str">
        <f ca="1">IF(OR(IB4="",IB$28&lt;$A31),"",IB4/OFFSET(SSTotalESP!$A$2,MATCH(IB$29,SSTotalESP!$A$2:$A$500)+$A31-1,1)-1)</f>
        <v/>
      </c>
      <c r="IC31" s="9" t="str">
        <f ca="1">IF(OR(IC4="",IC$28&lt;$A31),"",IC4/OFFSET(SSTotalESP!$A$2,MATCH(IC$29,SSTotalESP!$A$2:$A$500)+$A31-1,1)-1)</f>
        <v/>
      </c>
      <c r="ID31" s="9" t="str">
        <f ca="1">IF(OR(ID4="",ID$28&lt;$A31),"",ID4/OFFSET(SSTotalESP!$A$2,MATCH(ID$29,SSTotalESP!$A$2:$A$500)+$A31-1,1)-1)</f>
        <v/>
      </c>
      <c r="IE31" s="9" t="str">
        <f ca="1">IF(OR(IE4="",IE$28&lt;$A31),"",IE4/OFFSET(SSTotalESP!$A$2,MATCH(IE$29,SSTotalESP!$A$2:$A$500)+$A31-1,1)-1)</f>
        <v/>
      </c>
      <c r="IF31" s="9" t="str">
        <f ca="1">IF(OR(IF4="",IF$28&lt;$A31),"",IF4/OFFSET(SSTotalESP!$A$2,MATCH(IF$29,SSTotalESP!$A$2:$A$500)+$A31-1,1)-1)</f>
        <v/>
      </c>
      <c r="IG31" s="9" t="str">
        <f ca="1">IF(OR(IG4="",IG$28&lt;$A31),"",IG4/OFFSET(SSTotalESP!$A$2,MATCH(IG$29,SSTotalESP!$A$2:$A$500)+$A31-1,1)-1)</f>
        <v/>
      </c>
      <c r="IH31" s="9" t="str">
        <f ca="1">IF(OR(IH4="",IH$28&lt;$A31),"",IH4/OFFSET(SSTotalESP!$A$2,MATCH(IH$29,SSTotalESP!$A$2:$A$500)+$A31-1,1)-1)</f>
        <v/>
      </c>
      <c r="II31" s="9" t="str">
        <f ca="1">IF(OR(II4="",II$28&lt;$A31),"",II4/OFFSET(SSTotalESP!$A$2,MATCH(II$29,SSTotalESP!$A$2:$A$500)+$A31-1,1)-1)</f>
        <v/>
      </c>
      <c r="IJ31" s="9" t="str">
        <f ca="1">IF(OR(IJ4="",IJ$28&lt;$A31),"",IJ4/OFFSET(SSTotalESP!$A$2,MATCH(IJ$29,SSTotalESP!$A$2:$A$500)+$A31-1,1)-1)</f>
        <v/>
      </c>
      <c r="IK31" s="9" t="str">
        <f ca="1">IF(OR(IK4="",IK$28&lt;$A31),"",IK4/OFFSET(SSTotalESP!$A$2,MATCH(IK$29,SSTotalESP!$A$2:$A$500)+$A31-1,1)-1)</f>
        <v/>
      </c>
      <c r="IL31" s="9" t="str">
        <f ca="1">IF(OR(IL4="",IL$28&lt;$A31),"",IL4/OFFSET(SSTotalESP!$A$2,MATCH(IL$29,SSTotalESP!$A$2:$A$500)+$A31-1,1)-1)</f>
        <v/>
      </c>
      <c r="IM31" s="9" t="str">
        <f ca="1">IF(OR(IM4="",IM$28&lt;$A31),"",IM4/OFFSET(SSTotalESP!$A$2,MATCH(IM$29,SSTotalESP!$A$2:$A$500)+$A31-1,1)-1)</f>
        <v/>
      </c>
      <c r="IN31" s="9" t="str">
        <f ca="1">IF(OR(IN4="",IN$28&lt;$A31),"",IN4/OFFSET(SSTotalESP!$A$2,MATCH(IN$29,SSTotalESP!$A$2:$A$500)+$A31-1,1)-1)</f>
        <v/>
      </c>
      <c r="IO31" s="9" t="str">
        <f ca="1">IF(OR(IO4="",IO$28&lt;$A31),"",IO4/OFFSET(SSTotalESP!$A$2,MATCH(IO$29,SSTotalESP!$A$2:$A$500)+$A31-1,1)-1)</f>
        <v/>
      </c>
      <c r="IP31" s="9" t="str">
        <f ca="1">IF(OR(IP4="",IP$28&lt;$A31),"",IP4/OFFSET(SSTotalESP!$A$2,MATCH(IP$29,SSTotalESP!$A$2:$A$500)+$A31-1,1)-1)</f>
        <v/>
      </c>
      <c r="IQ31" s="9" t="str">
        <f ca="1">IF(OR(IQ4="",IQ$28&lt;$A31),"",IQ4/OFFSET(SSTotalESP!$A$2,MATCH(IQ$29,SSTotalESP!$A$2:$A$500)+$A31-1,1)-1)</f>
        <v/>
      </c>
      <c r="IR31" s="9" t="str">
        <f ca="1">IF(OR(IR4="",IR$28&lt;$A31),"",IR4/OFFSET(SSTotalESP!$A$2,MATCH(IR$29,SSTotalESP!$A$2:$A$500)+$A31-1,1)-1)</f>
        <v/>
      </c>
      <c r="IS31" s="9" t="str">
        <f ca="1">IF(OR(IS4="",IS$28&lt;$A31),"",IS4/OFFSET(SSTotalESP!$A$2,MATCH(IS$29,SSTotalESP!$A$2:$A$500)+$A31-1,1)-1)</f>
        <v/>
      </c>
      <c r="IT31" s="9" t="str">
        <f ca="1">IF(OR(IT4="",IT$28&lt;$A31),"",IT4/OFFSET(SSTotalESP!$A$2,MATCH(IT$29,SSTotalESP!$A$2:$A$500)+$A31-1,1)-1)</f>
        <v/>
      </c>
      <c r="IU31" s="9" t="str">
        <f ca="1">IF(OR(IU4="",IU$28&lt;$A31),"",IU4/OFFSET(SSTotalESP!$A$2,MATCH(IU$29,SSTotalESP!$A$2:$A$500)+$A31-1,1)-1)</f>
        <v/>
      </c>
      <c r="IV31" s="9" t="str">
        <f ca="1">IF(OR(IV4="",IV$28&lt;$A31),"",IV4/OFFSET(SSTotalESP!$A$2,MATCH(IV$29,SSTotalESP!$A$2:$A$500)+$A31-1,1)-1)</f>
        <v/>
      </c>
      <c r="IW31" s="9" t="str">
        <f ca="1">IF(OR(IW4="",IW$28&lt;$A31),"",IW4/OFFSET(SSTotalESP!$A$2,MATCH(IW$29,SSTotalESP!$A$2:$A$500)+$A31-1,1)-1)</f>
        <v/>
      </c>
      <c r="IX31" s="9" t="str">
        <f ca="1">IF(OR(IX4="",IX$28&lt;$A31),"",IX4/OFFSET(SSTotalESP!$A$2,MATCH(IX$29,SSTotalESP!$A$2:$A$500)+$A31-1,1)-1)</f>
        <v/>
      </c>
      <c r="IY31" s="9" t="str">
        <f ca="1">IF(OR(IY4="",IY$28&lt;$A31),"",IY4/OFFSET(SSTotalESP!$A$2,MATCH(IY$29,SSTotalESP!$A$2:$A$500)+$A31-1,1)-1)</f>
        <v/>
      </c>
      <c r="IZ31" s="9" t="str">
        <f ca="1">IF(OR(IZ4="",IZ$28&lt;$A31),"",IZ4/OFFSET(SSTotalESP!$A$2,MATCH(IZ$29,SSTotalESP!$A$2:$A$500)+$A31-1,1)-1)</f>
        <v/>
      </c>
      <c r="JA31" s="9" t="str">
        <f ca="1">IF(OR(JA4="",JA$28&lt;$A31),"",JA4/OFFSET(SSTotalESP!$A$2,MATCH(JA$29,SSTotalESP!$A$2:$A$500)+$A31-1,1)-1)</f>
        <v/>
      </c>
      <c r="JB31" s="9" t="str">
        <f ca="1">IF(OR(JB4="",JB$28&lt;$A31),"",JB4/OFFSET(SSTotalESP!$A$2,MATCH(JB$29,SSTotalESP!$A$2:$A$500)+$A31-1,1)-1)</f>
        <v/>
      </c>
      <c r="JC31" s="9" t="str">
        <f ca="1">IF(OR(JC4="",JC$28&lt;$A31),"",JC4/OFFSET(SSTotalESP!$A$2,MATCH(JC$29,SSTotalESP!$A$2:$A$500)+$A31-1,1)-1)</f>
        <v/>
      </c>
      <c r="JD31" s="9" t="str">
        <f ca="1">IF(OR(JD4="",JD$28&lt;$A31),"",JD4/OFFSET(SSTotalESP!$A$2,MATCH(JD$29,SSTotalESP!$A$2:$A$500)+$A31-1,1)-1)</f>
        <v/>
      </c>
      <c r="JE31" s="9" t="str">
        <f ca="1">IF(OR(JE4="",JE$28&lt;$A31),"",JE4/OFFSET(SSTotalESP!$A$2,MATCH(JE$29,SSTotalESP!$A$2:$A$500)+$A31-1,1)-1)</f>
        <v/>
      </c>
      <c r="JF31" s="9" t="str">
        <f ca="1">IF(OR(JF4="",JF$28&lt;$A31),"",JF4/OFFSET(SSTotalESP!$A$2,MATCH(JF$29,SSTotalESP!$A$2:$A$500)+$A31-1,1)-1)</f>
        <v/>
      </c>
      <c r="JG31" s="9" t="str">
        <f ca="1">IF(OR(JG4="",JG$28&lt;$A31),"",JG4/OFFSET(SSTotalESP!$A$2,MATCH(JG$29,SSTotalESP!$A$2:$A$500)+$A31-1,1)-1)</f>
        <v/>
      </c>
      <c r="JH31" s="9" t="str">
        <f ca="1">IF(OR(JH4="",JH$28&lt;$A31),"",JH4/OFFSET(SSTotalESP!$A$2,MATCH(JH$29,SSTotalESP!$A$2:$A$500)+$A31-1,1)-1)</f>
        <v/>
      </c>
      <c r="JI31" s="13">
        <f t="shared" ca="1" si="13"/>
        <v>1.7950550038248999E-3</v>
      </c>
      <c r="JJ31" s="13">
        <f t="shared" ca="1" si="14"/>
        <v>-4.8949243964879763E-4</v>
      </c>
      <c r="JK31" s="14">
        <f t="shared" ca="1" si="15"/>
        <v>1.8509086688680811E-4</v>
      </c>
      <c r="JL31" s="17">
        <f t="shared" ref="JL31:JL41" ca="1" si="18">SQRT(JK31)</f>
        <v>1.3604810431858582E-2</v>
      </c>
      <c r="JM31" s="15" t="str">
        <f t="shared" ca="1" si="16"/>
        <v>[ -2,54% ; 2,90% ]</v>
      </c>
      <c r="JN31" s="17">
        <f t="shared" ca="1" si="17"/>
        <v>1.7414157352778986E-2</v>
      </c>
      <c r="LY31" s="1"/>
    </row>
    <row r="32" spans="1:337" x14ac:dyDescent="0.25">
      <c r="A32" s="4">
        <v>3</v>
      </c>
      <c r="B32" s="9">
        <f ca="1">IF(OR(B5="",B$28&lt;$A32),"",B5/OFFSET(SSTotalESP!$A$2,MATCH(B$29,SSTotalESP!$A$2:$A$500)+$A32-1,1)-1)</f>
        <v>-2.3138849570207842E-3</v>
      </c>
      <c r="C32" s="9">
        <f ca="1">IF(OR(C5="",C$28&lt;$A32),"",C5/OFFSET(SSTotalESP!$A$2,MATCH(C$29,SSTotalESP!$A$2:$A$500)+$A32-1,1)-1)</f>
        <v>-1.1393938952445337E-3</v>
      </c>
      <c r="D32" s="9">
        <f ca="1">IF(OR(D5="",D$28&lt;$A32),"",D5/OFFSET(SSTotalESP!$A$2,MATCH(D$29,SSTotalESP!$A$2:$A$500)+$A32-1,1)-1)</f>
        <v>1.2536854010103404E-4</v>
      </c>
      <c r="E32" s="9">
        <f ca="1">IF(OR(E5="",E$28&lt;$A32),"",E5/OFFSET(SSTotalESP!$A$2,MATCH(E$29,SSTotalESP!$A$2:$A$500)+$A32-1,1)-1)</f>
        <v>-3.635581734446891E-4</v>
      </c>
      <c r="F32" s="9">
        <f ca="1">IF(OR(F5="",F$28&lt;$A32),"",F5/OFFSET(SSTotalESP!$A$2,MATCH(F$29,SSTotalESP!$A$2:$A$500)+$A32-1,1)-1)</f>
        <v>-6.9268042256565021E-4</v>
      </c>
      <c r="G32" s="9">
        <f ca="1">IF(OR(G5="",G$28&lt;$A32),"",G5/OFFSET(SSTotalESP!$A$2,MATCH(G$29,SSTotalESP!$A$2:$A$500)+$A32-1,1)-1)</f>
        <v>1.6916827322708272E-3</v>
      </c>
      <c r="H32" s="9">
        <f ca="1">IF(OR(H5="",H$28&lt;$A32),"",H5/OFFSET(SSTotalESP!$A$2,MATCH(H$29,SSTotalESP!$A$2:$A$500)+$A32-1,1)-1)</f>
        <v>1.5712720375331557E-3</v>
      </c>
      <c r="I32" s="9">
        <f ca="1">IF(OR(I5="",I$28&lt;$A32),"",I5/OFFSET(SSTotalESP!$A$2,MATCH(I$29,SSTotalESP!$A$2:$A$500)+$A32-1,1)-1)</f>
        <v>-2.8806111216905794E-4</v>
      </c>
      <c r="J32" s="9">
        <f ca="1">IF(OR(J5="",J$28&lt;$A32),"",J5/OFFSET(SSTotalESP!$A$2,MATCH(J$29,SSTotalESP!$A$2:$A$500)+$A32-1,1)-1)</f>
        <v>-2.3970158429083011E-3</v>
      </c>
      <c r="K32" s="9">
        <f ca="1">IF(OR(K5="",K$28&lt;$A32),"",K5/OFFSET(SSTotalESP!$A$2,MATCH(K$29,SSTotalESP!$A$2:$A$500)+$A32-1,1)-1)</f>
        <v>-1.4775575735916924E-3</v>
      </c>
      <c r="L32" s="9">
        <f ca="1">IF(OR(L5="",L$28&lt;$A32),"",L5/OFFSET(SSTotalESP!$A$2,MATCH(L$29,SSTotalESP!$A$2:$A$500)+$A32-1,1)-1)</f>
        <v>-1.8598471074543488E-3</v>
      </c>
      <c r="M32" s="9">
        <f ca="1">IF(OR(M5="",M$28&lt;$A32),"",M5/OFFSET(SSTotalESP!$A$2,MATCH(M$29,SSTotalESP!$A$2:$A$500)+$A32-1,1)-1)</f>
        <v>-3.3686435400615E-4</v>
      </c>
      <c r="N32" s="9">
        <f ca="1">IF(OR(N5="",N$28&lt;$A32),"",N5/OFFSET(SSTotalESP!$A$2,MATCH(N$29,SSTotalESP!$A$2:$A$500)+$A32-1,1)-1)</f>
        <v>-3.151258816378455E-4</v>
      </c>
      <c r="O32" s="9">
        <f ca="1">IF(OR(O5="",O$28&lt;$A32),"",O5/OFFSET(SSTotalESP!$A$2,MATCH(O$29,SSTotalESP!$A$2:$A$500)+$A32-1,1)-1)</f>
        <v>-1.5076076404423322E-3</v>
      </c>
      <c r="P32" s="9">
        <f ca="1">IF(OR(P5="",P$28&lt;$A32),"",P5/OFFSET(SSTotalESP!$A$2,MATCH(P$29,SSTotalESP!$A$2:$A$500)+$A32-1,1)-1)</f>
        <v>-6.0829121675515241E-3</v>
      </c>
      <c r="Q32" s="9">
        <f ca="1">IF(OR(Q5="",Q$28&lt;$A32),"",Q5/OFFSET(SSTotalESP!$A$2,MATCH(Q$29,SSTotalESP!$A$2:$A$500)+$A32-1,1)-1)</f>
        <v>-1.3821003986686176E-2</v>
      </c>
      <c r="R32" s="9">
        <f ca="1">IF(OR(R5="",R$28&lt;$A32),"",R5/OFFSET(SSTotalESP!$A$2,MATCH(R$29,SSTotalESP!$A$2:$A$500)+$A32-1,1)-1)</f>
        <v>-1.6993436363517467E-2</v>
      </c>
      <c r="S32" s="9">
        <f ca="1">IF(OR(S5="",S$28&lt;$A32),"",S5/OFFSET(SSTotalESP!$A$2,MATCH(S$29,SSTotalESP!$A$2:$A$500)+$A32-1,1)-1)</f>
        <v>-1.5125948536117817E-2</v>
      </c>
      <c r="T32" s="9">
        <f ca="1">IF(OR(T5="",T$28&lt;$A32),"",T5/OFFSET(SSTotalESP!$A$2,MATCH(T$29,SSTotalESP!$A$2:$A$500)+$A32-1,1)-1)</f>
        <v>-1.1460217904556869E-2</v>
      </c>
      <c r="U32" s="9">
        <f ca="1">IF(OR(U5="",U$28&lt;$A32),"",U5/OFFSET(SSTotalESP!$A$2,MATCH(U$29,SSTotalESP!$A$2:$A$500)+$A32-1,1)-1)</f>
        <v>-4.6081038989183032E-3</v>
      </c>
      <c r="V32" s="9">
        <f ca="1">IF(OR(V5="",V$28&lt;$A32),"",V5/OFFSET(SSTotalESP!$A$2,MATCH(V$29,SSTotalESP!$A$2:$A$500)+$A32-1,1)-1)</f>
        <v>4.371731747083718E-4</v>
      </c>
      <c r="W32" s="9">
        <f ca="1">IF(OR(W5="",W$28&lt;$A32),"",W5/OFFSET(SSTotalESP!$A$2,MATCH(W$29,SSTotalESP!$A$2:$A$500)+$A32-1,1)-1)</f>
        <v>4.0596966245081134E-3</v>
      </c>
      <c r="X32" s="9">
        <f ca="1">IF(OR(X5="",X$28&lt;$A32),"",X5/OFFSET(SSTotalESP!$A$2,MATCH(X$29,SSTotalESP!$A$2:$A$500)+$A32-1,1)-1)</f>
        <v>3.3616522516002334E-3</v>
      </c>
      <c r="Y32" s="9">
        <f ca="1">IF(OR(Y5="",Y$28&lt;$A32),"",Y5/OFFSET(SSTotalESP!$A$2,MATCH(Y$29,SSTotalESP!$A$2:$A$500)+$A32-1,1)-1)</f>
        <v>2.3583484673839195E-3</v>
      </c>
      <c r="Z32" s="9">
        <f ca="1">IF(OR(Z5="",Z$28&lt;$A32),"",Z5/OFFSET(SSTotalESP!$A$2,MATCH(Z$29,SSTotalESP!$A$2:$A$500)+$A32-1,1)-1)</f>
        <v>2.9791706887198899E-3</v>
      </c>
      <c r="AA32" s="9">
        <f ca="1">IF(OR(AA5="",AA$28&lt;$A32),"",AA5/OFFSET(SSTotalESP!$A$2,MATCH(AA$29,SSTotalESP!$A$2:$A$500)+$A32-1,1)-1)</f>
        <v>2.1799424873432116E-3</v>
      </c>
      <c r="AB32" s="9">
        <f ca="1">IF(OR(AB5="",AB$28&lt;$A32),"",AB5/OFFSET(SSTotalESP!$A$2,MATCH(AB$29,SSTotalESP!$A$2:$A$500)+$A32-1,1)-1)</f>
        <v>8.6675643638001176E-4</v>
      </c>
      <c r="AC32" s="9">
        <f ca="1">IF(OR(AC5="",AC$28&lt;$A32),"",AC5/OFFSET(SSTotalESP!$A$2,MATCH(AC$29,SSTotalESP!$A$2:$A$500)+$A32-1,1)-1)</f>
        <v>7.9222880156000208E-3</v>
      </c>
      <c r="AD32" s="9">
        <f ca="1">IF(OR(AD5="",AD$28&lt;$A32),"",AD5/OFFSET(SSTotalESP!$A$2,MATCH(AD$29,SSTotalESP!$A$2:$A$500)+$A32-1,1)-1)</f>
        <v>8.4217090031524222E-3</v>
      </c>
      <c r="AE32" s="9">
        <f ca="1">IF(OR(AE5="",AE$28&lt;$A32),"",AE5/OFFSET(SSTotalESP!$A$2,MATCH(AE$29,SSTotalESP!$A$2:$A$500)+$A32-1,1)-1)</f>
        <v>8.4020172494216894E-3</v>
      </c>
      <c r="AF32" s="9">
        <f ca="1">IF(OR(AF5="",AF$28&lt;$A32),"",AF5/OFFSET(SSTotalESP!$A$2,MATCH(AF$29,SSTotalESP!$A$2:$A$500)+$A32-1,1)-1)</f>
        <v>2.9295912983058336E-3</v>
      </c>
      <c r="AG32" s="9">
        <f ca="1">IF(OR(AG5="",AG$28&lt;$A32),"",AG5/OFFSET(SSTotalESP!$A$2,MATCH(AG$29,SSTotalESP!$A$2:$A$500)+$A32-1,1)-1)</f>
        <v>1.7730217671374504E-4</v>
      </c>
      <c r="AH32" s="9">
        <f ca="1">IF(OR(AH5="",AH$28&lt;$A32),"",AH5/OFFSET(SSTotalESP!$A$2,MATCH(AH$29,SSTotalESP!$A$2:$A$500)+$A32-1,1)-1)</f>
        <v>-8.2036461264067828E-3</v>
      </c>
      <c r="AI32" s="9">
        <f ca="1">IF(OR(AI5="",AI$28&lt;$A32),"",AI5/OFFSET(SSTotalESP!$A$2,MATCH(AI$29,SSTotalESP!$A$2:$A$500)+$A32-1,1)-1)</f>
        <v>-2.8166615443737664E-3</v>
      </c>
      <c r="AJ32" s="9">
        <f ca="1">IF(OR(AJ5="",AJ$28&lt;$A32),"",AJ5/OFFSET(SSTotalESP!$A$2,MATCH(AJ$29,SSTotalESP!$A$2:$A$500)+$A32-1,1)-1)</f>
        <v>-3.4370108867104454E-3</v>
      </c>
      <c r="AK32" s="9">
        <f ca="1">IF(OR(AK5="",AK$28&lt;$A32),"",AK5/OFFSET(SSTotalESP!$A$2,MATCH(AK$29,SSTotalESP!$A$2:$A$500)+$A32-1,1)-1)</f>
        <v>-4.832917743478049E-4</v>
      </c>
      <c r="AL32" s="9">
        <f ca="1">IF(OR(AL5="",AL$28&lt;$A32),"",AL5/OFFSET(SSTotalESP!$A$2,MATCH(AL$29,SSTotalESP!$A$2:$A$500)+$A32-1,1)-1)</f>
        <v>-2.0935664217758276E-3</v>
      </c>
      <c r="AM32" s="9">
        <f ca="1">IF(OR(AM5="",AM$28&lt;$A32),"",AM5/OFFSET(SSTotalESP!$A$2,MATCH(AM$29,SSTotalESP!$A$2:$A$500)+$A32-1,1)-1)</f>
        <v>1.6662138611449606E-3</v>
      </c>
      <c r="AN32" s="9">
        <f ca="1">IF(OR(AN5="",AN$28&lt;$A32),"",AN5/OFFSET(SSTotalESP!$A$2,MATCH(AN$29,SSTotalESP!$A$2:$A$500)+$A32-1,1)-1)</f>
        <v>1.755042916552485E-3</v>
      </c>
      <c r="AO32" s="9">
        <f ca="1">IF(OR(AO5="",AO$28&lt;$A32),"",AO5/OFFSET(SSTotalESP!$A$2,MATCH(AO$29,SSTotalESP!$A$2:$A$500)+$A32-1,1)-1)</f>
        <v>7.1162549172054668E-3</v>
      </c>
      <c r="AP32" s="9">
        <f ca="1">IF(OR(AP5="",AP$28&lt;$A32),"",AP5/OFFSET(SSTotalESP!$A$2,MATCH(AP$29,SSTotalESP!$A$2:$A$500)+$A32-1,1)-1)</f>
        <v>3.8681557561104363E-3</v>
      </c>
      <c r="AQ32" s="9">
        <f ca="1">IF(OR(AQ5="",AQ$28&lt;$A32),"",AQ5/OFFSET(SSTotalESP!$A$2,MATCH(AQ$29,SSTotalESP!$A$2:$A$500)+$A32-1,1)-1)</f>
        <v>7.04927075381101E-3</v>
      </c>
      <c r="AR32" s="9">
        <f ca="1">IF(OR(AR5="",AR$28&lt;$A32),"",AR5/OFFSET(SSTotalESP!$A$2,MATCH(AR$29,SSTotalESP!$A$2:$A$500)+$A32-1,1)-1)</f>
        <v>1.1022570266236986E-3</v>
      </c>
      <c r="AS32" s="9">
        <f ca="1">IF(OR(AS5="",AS$28&lt;$A32),"",AS5/OFFSET(SSTotalESP!$A$2,MATCH(AS$29,SSTotalESP!$A$2:$A$500)+$A32-1,1)-1)</f>
        <v>7.7899690785154796E-4</v>
      </c>
      <c r="AT32" s="9">
        <f ca="1">IF(OR(AT5="",AT$28&lt;$A32),"",AT5/OFFSET(SSTotalESP!$A$2,MATCH(AT$29,SSTotalESP!$A$2:$A$500)+$A32-1,1)-1)</f>
        <v>-2.124073401505111E-3</v>
      </c>
      <c r="AU32" s="9">
        <f ca="1">IF(OR(AU5="",AU$28&lt;$A32),"",AU5/OFFSET(SSTotalESP!$A$2,MATCH(AU$29,SSTotalESP!$A$2:$A$500)+$A32-1,1)-1)</f>
        <v>4.0693236844746572E-4</v>
      </c>
      <c r="AV32" s="9">
        <f ca="1">IF(OR(AV5="",AV$28&lt;$A32),"",AV5/OFFSET(SSTotalESP!$A$2,MATCH(AV$29,SSTotalESP!$A$2:$A$500)+$A32-1,1)-1)</f>
        <v>3.4243157218845077E-3</v>
      </c>
      <c r="AW32" s="9">
        <f ca="1">IF(OR(AW5="",AW$28&lt;$A32),"",AW5/OFFSET(SSTotalESP!$A$2,MATCH(AW$29,SSTotalESP!$A$2:$A$500)+$A32-1,1)-1)</f>
        <v>4.2910984229043159E-3</v>
      </c>
      <c r="AX32" s="9">
        <f ca="1">IF(OR(AX5="",AX$28&lt;$A32),"",AX5/OFFSET(SSTotalESP!$A$2,MATCH(AX$29,SSTotalESP!$A$2:$A$500)+$A32-1,1)-1)</f>
        <v>7.0885268778686505E-3</v>
      </c>
      <c r="AY32" s="9">
        <f ca="1">IF(OR(AY5="",AY$28&lt;$A32),"",AY5/OFFSET(SSTotalESP!$A$2,MATCH(AY$29,SSTotalESP!$A$2:$A$500)+$A32-1,1)-1)</f>
        <v>5.9807067400650116E-3</v>
      </c>
      <c r="AZ32" s="9">
        <f ca="1">IF(OR(AZ5="",AZ$28&lt;$A32),"",AZ5/OFFSET(SSTotalESP!$A$2,MATCH(AZ$29,SSTotalESP!$A$2:$A$500)+$A32-1,1)-1)</f>
        <v>9.2037966023403861E-3</v>
      </c>
      <c r="BA32" s="9">
        <f ca="1">IF(OR(BA5="",BA$28&lt;$A32),"",BA5/OFFSET(SSTotalESP!$A$2,MATCH(BA$29,SSTotalESP!$A$2:$A$500)+$A32-1,1)-1)</f>
        <v>1.1219995470175048E-2</v>
      </c>
      <c r="BB32" s="9">
        <f ca="1">IF(OR(BB5="",BB$28&lt;$A32),"",BB5/OFFSET(SSTotalESP!$A$2,MATCH(BB$29,SSTotalESP!$A$2:$A$500)+$A32-1,1)-1)</f>
        <v>1.2568662033291877E-2</v>
      </c>
      <c r="BC32" s="9">
        <f ca="1">IF(OR(BC5="",BC$28&lt;$A32),"",BC5/OFFSET(SSTotalESP!$A$2,MATCH(BC$29,SSTotalESP!$A$2:$A$500)+$A32-1,1)-1)</f>
        <v>7.3924213039759934E-3</v>
      </c>
      <c r="BD32" s="9">
        <f ca="1">IF(OR(BD5="",BD$28&lt;$A32),"",BD5/OFFSET(SSTotalESP!$A$2,MATCH(BD$29,SSTotalESP!$A$2:$A$500)+$A32-1,1)-1)</f>
        <v>1.2356389240353316E-4</v>
      </c>
      <c r="BE32" s="9">
        <f ca="1">IF(OR(BE5="",BE$28&lt;$A32),"",BE5/OFFSET(SSTotalESP!$A$2,MATCH(BE$29,SSTotalESP!$A$2:$A$500)+$A32-1,1)-1)</f>
        <v>8.5118360503804169E-3</v>
      </c>
      <c r="BF32" s="9">
        <f ca="1">IF(OR(BF5="",BF$28&lt;$A32),"",BF5/OFFSET(SSTotalESP!$A$2,MATCH(BF$29,SSTotalESP!$A$2:$A$500)+$A32-1,1)-1)</f>
        <v>2.1381702921980938E-2</v>
      </c>
      <c r="BG32" s="9">
        <f ca="1">IF(OR(BG5="",BG$28&lt;$A32),"",BG5/OFFSET(SSTotalESP!$A$2,MATCH(BG$29,SSTotalESP!$A$2:$A$500)+$A32-1,1)-1)</f>
        <v>1.7588700109226085E-2</v>
      </c>
      <c r="BH32" s="9">
        <f ca="1">IF(OR(BH5="",BH$28&lt;$A32),"",BH5/OFFSET(SSTotalESP!$A$2,MATCH(BH$29,SSTotalESP!$A$2:$A$500)+$A32-1,1)-1)</f>
        <v>9.2958358016950182E-3</v>
      </c>
      <c r="BI32" s="9">
        <f ca="1">IF(OR(BI5="",BI$28&lt;$A32),"",BI5/OFFSET(SSTotalESP!$A$2,MATCH(BI$29,SSTotalESP!$A$2:$A$500)+$A32-1,1)-1)</f>
        <v>-1.1577967062206262E-3</v>
      </c>
      <c r="BJ32" s="9">
        <f ca="1">IF(OR(BJ5="",BJ$28&lt;$A32),"",BJ5/OFFSET(SSTotalESP!$A$2,MATCH(BJ$29,SSTotalESP!$A$2:$A$500)+$A32-1,1)-1)</f>
        <v>3.6945586797076935E-3</v>
      </c>
      <c r="BK32" s="9">
        <f ca="1">IF(OR(BK5="",BK$28&lt;$A32),"",BK5/OFFSET(SSTotalESP!$A$2,MATCH(BK$29,SSTotalESP!$A$2:$A$500)+$A32-1,1)-1)</f>
        <v>1.108461701077923E-3</v>
      </c>
      <c r="BL32" s="9">
        <f ca="1">IF(OR(BL5="",BL$28&lt;$A32),"",BL5/OFFSET(SSTotalESP!$A$2,MATCH(BL$29,SSTotalESP!$A$2:$A$500)+$A32-1,1)-1)</f>
        <v>-9.2087175953817768E-3</v>
      </c>
      <c r="BM32" s="9">
        <f ca="1">IF(OR(BM5="",BM$28&lt;$A32),"",BM5/OFFSET(SSTotalESP!$A$2,MATCH(BM$29,SSTotalESP!$A$2:$A$500)+$A32-1,1)-1)</f>
        <v>-1.2998619387301069E-2</v>
      </c>
      <c r="BN32" s="9">
        <f ca="1">IF(OR(BN5="",BN$28&lt;$A32),"",BN5/OFFSET(SSTotalESP!$A$2,MATCH(BN$29,SSTotalESP!$A$2:$A$500)+$A32-1,1)-1)</f>
        <v>-1.0289643874911714E-2</v>
      </c>
      <c r="BO32" s="9">
        <f ca="1">IF(OR(BO5="",BO$28&lt;$A32),"",BO5/OFFSET(SSTotalESP!$A$2,MATCH(BO$29,SSTotalESP!$A$2:$A$500)+$A32-1,1)-1)</f>
        <v>-5.2020825699328199E-3</v>
      </c>
      <c r="BP32" s="9">
        <f ca="1">IF(OR(BP5="",BP$28&lt;$A32),"",BP5/OFFSET(SSTotalESP!$A$2,MATCH(BP$29,SSTotalESP!$A$2:$A$500)+$A32-1,1)-1)</f>
        <v>-7.0628482185756125E-3</v>
      </c>
      <c r="BQ32" s="9">
        <f ca="1">IF(OR(BQ5="",BQ$28&lt;$A32),"",BQ5/OFFSET(SSTotalESP!$A$2,MATCH(BQ$29,SSTotalESP!$A$2:$A$500)+$A32-1,1)-1)</f>
        <v>-8.4178239050718418E-3</v>
      </c>
      <c r="BR32" s="9">
        <f ca="1">IF(OR(BR5="",BR$28&lt;$A32),"",BR5/OFFSET(SSTotalESP!$A$2,MATCH(BR$29,SSTotalESP!$A$2:$A$500)+$A32-1,1)-1)</f>
        <v>4.8205530614797709E-3</v>
      </c>
      <c r="BS32" s="9">
        <f ca="1">IF(OR(BS5="",BS$28&lt;$A32),"",BS5/OFFSET(SSTotalESP!$A$2,MATCH(BS$29,SSTotalESP!$A$2:$A$500)+$A32-1,1)-1)</f>
        <v>-8.8918253261793812E-3</v>
      </c>
      <c r="BT32" s="9">
        <f ca="1">IF(OR(BT5="",BT$28&lt;$A32),"",BT5/OFFSET(SSTotalESP!$A$2,MATCH(BT$29,SSTotalESP!$A$2:$A$500)+$A32-1,1)-1)</f>
        <v>-6.8726638129852358E-3</v>
      </c>
      <c r="BU32" s="9">
        <f ca="1">IF(OR(BU5="",BU$28&lt;$A32),"",BU5/OFFSET(SSTotalESP!$A$2,MATCH(BU$29,SSTotalESP!$A$2:$A$500)+$A32-1,1)-1)</f>
        <v>-1.8481758650720215E-3</v>
      </c>
      <c r="BV32" s="9">
        <f ca="1">IF(OR(BV5="",BV$28&lt;$A32),"",BV5/OFFSET(SSTotalESP!$A$2,MATCH(BV$29,SSTotalESP!$A$2:$A$500)+$A32-1,1)-1)</f>
        <v>5.3762115693056778E-3</v>
      </c>
      <c r="BW32" s="9">
        <f ca="1">IF(OR(BW5="",BW$28&lt;$A32),"",BW5/OFFSET(SSTotalESP!$A$2,MATCH(BW$29,SSTotalESP!$A$2:$A$500)+$A32-1,1)-1)</f>
        <v>2.8878161782230904E-4</v>
      </c>
      <c r="BX32" s="9">
        <f ca="1">IF(OR(BX5="",BX$28&lt;$A32),"",BX5/OFFSET(SSTotalESP!$A$2,MATCH(BX$29,SSTotalESP!$A$2:$A$500)+$A32-1,1)-1)</f>
        <v>-2.5874162873126272E-3</v>
      </c>
      <c r="BY32" s="9">
        <f ca="1">IF(OR(BY5="",BY$28&lt;$A32),"",BY5/OFFSET(SSTotalESP!$A$2,MATCH(BY$29,SSTotalESP!$A$2:$A$500)+$A32-1,1)-1)</f>
        <v>-3.2132172564837136E-3</v>
      </c>
      <c r="BZ32" s="9">
        <f ca="1">IF(OR(BZ5="",BZ$28&lt;$A32),"",BZ5/OFFSET(SSTotalESP!$A$2,MATCH(BZ$29,SSTotalESP!$A$2:$A$500)+$A32-1,1)-1)</f>
        <v>1.3654175364863352E-3</v>
      </c>
      <c r="CA32" s="9">
        <f ca="1">IF(OR(CA5="",CA$28&lt;$A32),"",CA5/OFFSET(SSTotalESP!$A$2,MATCH(CA$29,SSTotalESP!$A$2:$A$500)+$A32-1,1)-1)</f>
        <v>-6.2292856701784416E-5</v>
      </c>
      <c r="CB32" s="9">
        <f ca="1">IF(OR(CB5="",CB$28&lt;$A32),"",CB5/OFFSET(SSTotalESP!$A$2,MATCH(CB$29,SSTotalESP!$A$2:$A$500)+$A32-1,1)-1)</f>
        <v>-2.9611837509381234E-3</v>
      </c>
      <c r="CC32" s="9">
        <f ca="1">IF(OR(CC5="",CC$28&lt;$A32),"",CC5/OFFSET(SSTotalESP!$A$2,MATCH(CC$29,SSTotalESP!$A$2:$A$500)+$A32-1,1)-1)</f>
        <v>-4.0231400932068118E-3</v>
      </c>
      <c r="CD32" s="9">
        <f ca="1">IF(OR(CD5="",CD$28&lt;$A32),"",CD5/OFFSET(SSTotalESP!$A$2,MATCH(CD$29,SSTotalESP!$A$2:$A$500)+$A32-1,1)-1)</f>
        <v>1.4768655032377787E-3</v>
      </c>
      <c r="CE32" s="9">
        <f ca="1">IF(OR(CE5="",CE$28&lt;$A32),"",CE5/OFFSET(SSTotalESP!$A$2,MATCH(CE$29,SSTotalESP!$A$2:$A$500)+$A32-1,1)-1)</f>
        <v>-1.3941287016749904E-4</v>
      </c>
      <c r="CF32" s="9">
        <f ca="1">IF(OR(CF5="",CF$28&lt;$A32),"",CF5/OFFSET(SSTotalESP!$A$2,MATCH(CF$29,SSTotalESP!$A$2:$A$500)+$A32-1,1)-1)</f>
        <v>-1.805337325476053E-3</v>
      </c>
      <c r="CG32" s="9">
        <f ca="1">IF(OR(CG5="",CG$28&lt;$A32),"",CG5/OFFSET(SSTotalESP!$A$2,MATCH(CG$29,SSTotalESP!$A$2:$A$500)+$A32-1,1)-1)</f>
        <v>8.1176302011143342E-4</v>
      </c>
      <c r="CH32" s="9">
        <f ca="1">IF(OR(CH5="",CH$28&lt;$A32),"",CH5/OFFSET(SSTotalESP!$A$2,MATCH(CH$29,SSTotalESP!$A$2:$A$500)+$A32-1,1)-1)</f>
        <v>4.7857560044346492E-3</v>
      </c>
      <c r="CI32" s="9">
        <f ca="1">IF(OR(CI5="",CI$28&lt;$A32),"",CI5/OFFSET(SSTotalESP!$A$2,MATCH(CI$29,SSTotalESP!$A$2:$A$500)+$A32-1,1)-1)</f>
        <v>4.6387538231988934E-3</v>
      </c>
      <c r="CJ32" s="9">
        <f ca="1">IF(OR(CJ5="",CJ$28&lt;$A32),"",CJ5/OFFSET(SSTotalESP!$A$2,MATCH(CJ$29,SSTotalESP!$A$2:$A$500)+$A32-1,1)-1)</f>
        <v>-8.3193807676031906E-3</v>
      </c>
      <c r="CK32" s="9">
        <f ca="1">IF(OR(CK5="",CK$28&lt;$A32),"",CK5/OFFSET(SSTotalESP!$A$2,MATCH(CK$29,SSTotalESP!$A$2:$A$500)+$A32-1,1)-1)</f>
        <v>5.0397777254507226E-4</v>
      </c>
      <c r="CL32" s="9">
        <f ca="1">IF(OR(CL5="",CL$28&lt;$A32),"",CL5/OFFSET(SSTotalESP!$A$2,MATCH(CL$29,SSTotalESP!$A$2:$A$500)+$A32-1,1)-1)</f>
        <v>5.9694713095064245E-3</v>
      </c>
      <c r="CM32" s="9">
        <f ca="1">IF(OR(CM5="",CM$28&lt;$A32),"",CM5/OFFSET(SSTotalESP!$A$2,MATCH(CM$29,SSTotalESP!$A$2:$A$500)+$A32-1,1)-1)</f>
        <v>3.5155424002182301E-3</v>
      </c>
      <c r="CN32" s="9">
        <f ca="1">IF(OR(CN5="",CN$28&lt;$A32),"",CN5/OFFSET(SSTotalESP!$A$2,MATCH(CN$29,SSTotalESP!$A$2:$A$500)+$A32-1,1)-1)</f>
        <v>-1.540166015571609E-3</v>
      </c>
      <c r="CO32" s="9">
        <f ca="1">IF(OR(CO5="",CO$28&lt;$A32),"",CO5/OFFSET(SSTotalESP!$A$2,MATCH(CO$29,SSTotalESP!$A$2:$A$500)+$A32-1,1)-1)</f>
        <v>3.2222157827381803E-3</v>
      </c>
      <c r="CP32" s="9">
        <f ca="1">IF(OR(CP5="",CP$28&lt;$A32),"",CP5/OFFSET(SSTotalESP!$A$2,MATCH(CP$29,SSTotalESP!$A$2:$A$500)+$A32-1,1)-1)</f>
        <v>7.813160123367302E-3</v>
      </c>
      <c r="CQ32" s="9">
        <f ca="1">IF(OR(CQ5="",CQ$28&lt;$A32),"",CQ5/OFFSET(SSTotalESP!$A$2,MATCH(CQ$29,SSTotalESP!$A$2:$A$500)+$A32-1,1)-1)</f>
        <v>3.8305616415290622E-3</v>
      </c>
      <c r="CR32" s="9">
        <f ca="1">IF(OR(CR5="",CR$28&lt;$A32),"",CR5/OFFSET(SSTotalESP!$A$2,MATCH(CR$29,SSTotalESP!$A$2:$A$500)+$A32-1,1)-1)</f>
        <v>-3.0164530250396115E-3</v>
      </c>
      <c r="CS32" s="9">
        <f ca="1">IF(OR(CS5="",CS$28&lt;$A32),"",CS5/OFFSET(SSTotalESP!$A$2,MATCH(CS$29,SSTotalESP!$A$2:$A$500)+$A32-1,1)-1)</f>
        <v>-1.6085182332857828E-3</v>
      </c>
      <c r="CT32" s="9">
        <f ca="1">IF(OR(CT5="",CT$28&lt;$A32),"",CT5/OFFSET(SSTotalESP!$A$2,MATCH(CT$29,SSTotalESP!$A$2:$A$500)+$A32-1,1)-1)</f>
        <v>1.0165958960827615E-2</v>
      </c>
      <c r="CU32" s="9">
        <f ca="1">IF(OR(CU5="",CU$28&lt;$A32),"",CU5/OFFSET(SSTotalESP!$A$2,MATCH(CU$29,SSTotalESP!$A$2:$A$500)+$A32-1,1)-1)</f>
        <v>4.9021621171461138E-3</v>
      </c>
      <c r="CV32" s="9">
        <f ca="1">IF(OR(CV5="",CV$28&lt;$A32),"",CV5/OFFSET(SSTotalESP!$A$2,MATCH(CV$29,SSTotalESP!$A$2:$A$500)+$A32-1,1)-1)</f>
        <v>5.0168296163333181E-4</v>
      </c>
      <c r="CW32" s="9">
        <f ca="1">IF(OR(CW5="",CW$28&lt;$A32),"",CW5/OFFSET(SSTotalESP!$A$2,MATCH(CW$29,SSTotalESP!$A$2:$A$500)+$A32-1,1)-1)</f>
        <v>-8.5791994129769122E-4</v>
      </c>
      <c r="CX32" s="9">
        <f ca="1">IF(OR(CX5="",CX$28&lt;$A32),"",CX5/OFFSET(SSTotalESP!$A$2,MATCH(CX$29,SSTotalESP!$A$2:$A$500)+$A32-1,1)-1)</f>
        <v>-3.8469611992091313E-3</v>
      </c>
      <c r="CY32" s="9">
        <f ca="1">IF(OR(CY5="",CY$28&lt;$A32),"",CY5/OFFSET(SSTotalESP!$A$2,MATCH(CY$29,SSTotalESP!$A$2:$A$500)+$A32-1,1)-1)</f>
        <v>-2.4733638893441601E-3</v>
      </c>
      <c r="CZ32" s="9">
        <f ca="1">IF(OR(CZ5="",CZ$28&lt;$A32),"",CZ5/OFFSET(SSTotalESP!$A$2,MATCH(CZ$29,SSTotalESP!$A$2:$A$500)+$A32-1,1)-1)</f>
        <v>6.1307904065353025E-3</v>
      </c>
      <c r="DA32" s="9">
        <f ca="1">IF(OR(DA5="",DA$28&lt;$A32),"",DA5/OFFSET(SSTotalESP!$A$2,MATCH(DA$29,SSTotalESP!$A$2:$A$500)+$A32-1,1)-1)</f>
        <v>-2.2154566180168089E-3</v>
      </c>
      <c r="DB32" s="9">
        <f ca="1">IF(OR(DB5="",DB$28&lt;$A32),"",DB5/OFFSET(SSTotalESP!$A$2,MATCH(DB$29,SSTotalESP!$A$2:$A$500)+$A32-1,1)-1)</f>
        <v>8.7900966434626415E-3</v>
      </c>
      <c r="DC32" s="9">
        <f ca="1">IF(OR(DC5="",DC$28&lt;$A32),"",DC5/OFFSET(SSTotalESP!$A$2,MATCH(DC$29,SSTotalESP!$A$2:$A$500)+$A32-1,1)-1)</f>
        <v>8.2949388568727134E-3</v>
      </c>
      <c r="DD32" s="9">
        <f ca="1">IF(OR(DD5="",DD$28&lt;$A32),"",DD5/OFFSET(SSTotalESP!$A$2,MATCH(DD$29,SSTotalESP!$A$2:$A$500)+$A32-1,1)-1)</f>
        <v>9.2719045694937829E-3</v>
      </c>
      <c r="DE32" s="9">
        <f ca="1">IF(OR(DE5="",DE$28&lt;$A32),"",DE5/OFFSET(SSTotalESP!$A$2,MATCH(DE$29,SSTotalESP!$A$2:$A$500)+$A32-1,1)-1)</f>
        <v>-9.7918320414710491E-3</v>
      </c>
      <c r="DF32" s="9">
        <f ca="1">IF(OR(DF5="",DF$28&lt;$A32),"",DF5/OFFSET(SSTotalESP!$A$2,MATCH(DF$29,SSTotalESP!$A$2:$A$500)+$A32-1,1)-1)</f>
        <v>-6.1294999430538954E-3</v>
      </c>
      <c r="DG32" s="9">
        <f ca="1">IF(OR(DG5="",DG$28&lt;$A32),"",DG5/OFFSET(SSTotalESP!$A$2,MATCH(DG$29,SSTotalESP!$A$2:$A$500)+$A32-1,1)-1)</f>
        <v>-3.6201914884812503E-3</v>
      </c>
      <c r="DH32" s="9">
        <f ca="1">IF(OR(DH5="",DH$28&lt;$A32),"",DH5/OFFSET(SSTotalESP!$A$2,MATCH(DH$29,SSTotalESP!$A$2:$A$500)+$A32-1,1)-1)</f>
        <v>-5.4561694159490637E-3</v>
      </c>
      <c r="DI32" s="9">
        <f ca="1">IF(OR(DI5="",DI$28&lt;$A32),"",DI5/OFFSET(SSTotalESP!$A$2,MATCH(DI$29,SSTotalESP!$A$2:$A$500)+$A32-1,1)-1)</f>
        <v>-3.6960928326387199E-3</v>
      </c>
      <c r="DJ32" s="9">
        <f ca="1">IF(OR(DJ5="",DJ$28&lt;$A32),"",DJ5/OFFSET(SSTotalESP!$A$2,MATCH(DJ$29,SSTotalESP!$A$2:$A$500)+$A32-1,1)-1)</f>
        <v>-1.6857277935270476E-3</v>
      </c>
      <c r="DK32" s="9">
        <f ca="1">IF(OR(DK5="",DK$28&lt;$A32),"",DK5/OFFSET(SSTotalESP!$A$2,MATCH(DK$29,SSTotalESP!$A$2:$A$500)+$A32-1,1)-1)</f>
        <v>1.3138170338016231E-3</v>
      </c>
      <c r="DL32" s="9">
        <f ca="1">IF(OR(DL5="",DL$28&lt;$A32),"",DL5/OFFSET(SSTotalESP!$A$2,MATCH(DL$29,SSTotalESP!$A$2:$A$500)+$A32-1,1)-1)</f>
        <v>-4.8467641019146468E-3</v>
      </c>
      <c r="DM32" s="9">
        <f ca="1">IF(OR(DM5="",DM$28&lt;$A32),"",DM5/OFFSET(SSTotalESP!$A$2,MATCH(DM$29,SSTotalESP!$A$2:$A$500)+$A32-1,1)-1)</f>
        <v>-1.1220708811312985E-2</v>
      </c>
      <c r="DN32" s="9">
        <f ca="1">IF(OR(DN5="",DN$28&lt;$A32),"",DN5/OFFSET(SSTotalESP!$A$2,MATCH(DN$29,SSTotalESP!$A$2:$A$500)+$A32-1,1)-1)</f>
        <v>-1.2376932158090215E-2</v>
      </c>
      <c r="DO32" s="9">
        <f ca="1">IF(OR(DO5="",DO$28&lt;$A32),"",DO5/OFFSET(SSTotalESP!$A$2,MATCH(DO$29,SSTotalESP!$A$2:$A$500)+$A32-1,1)-1)</f>
        <v>-1.4059730266278381E-2</v>
      </c>
      <c r="DP32" s="9">
        <f ca="1">IF(OR(DP5="",DP$28&lt;$A32),"",DP5/OFFSET(SSTotalESP!$A$2,MATCH(DP$29,SSTotalESP!$A$2:$A$500)+$A32-1,1)-1)</f>
        <v>-4.1040591449820196E-3</v>
      </c>
      <c r="DQ32" s="9">
        <f ca="1">IF(OR(DQ5="",DQ$28&lt;$A32),"",DQ5/OFFSET(SSTotalESP!$A$2,MATCH(DQ$29,SSTotalESP!$A$2:$A$500)+$A32-1,1)-1)</f>
        <v>-4.1610504561218065E-3</v>
      </c>
      <c r="DR32" s="9">
        <f ca="1">IF(OR(DR5="",DR$28&lt;$A32),"",DR5/OFFSET(SSTotalESP!$A$2,MATCH(DR$29,SSTotalESP!$A$2:$A$500)+$A32-1,1)-1)</f>
        <v>4.5933335815784293E-3</v>
      </c>
      <c r="DS32" s="9">
        <f ca="1">IF(OR(DS5="",DS$28&lt;$A32),"",DS5/OFFSET(SSTotalESP!$A$2,MATCH(DS$29,SSTotalESP!$A$2:$A$500)+$A32-1,1)-1)</f>
        <v>-2.4700323213731057E-3</v>
      </c>
      <c r="DT32" s="9">
        <f ca="1">IF(OR(DT5="",DT$28&lt;$A32),"",DT5/OFFSET(SSTotalESP!$A$2,MATCH(DT$29,SSTotalESP!$A$2:$A$500)+$A32-1,1)-1)</f>
        <v>-5.5281563395281896E-3</v>
      </c>
      <c r="DU32" s="9">
        <f ca="1">IF(OR(DU5="",DU$28&lt;$A32),"",DU5/OFFSET(SSTotalESP!$A$2,MATCH(DU$29,SSTotalESP!$A$2:$A$500)+$A32-1,1)-1)</f>
        <v>-4.8164615493321294E-3</v>
      </c>
      <c r="DV32" s="9">
        <f ca="1">IF(OR(DV5="",DV$28&lt;$A32),"",DV5/OFFSET(SSTotalESP!$A$2,MATCH(DV$29,SSTotalESP!$A$2:$A$500)+$A32-1,1)-1)</f>
        <v>2.6442351754469851E-3</v>
      </c>
      <c r="DW32" s="9">
        <f ca="1">IF(OR(DW5="",DW$28&lt;$A32),"",DW5/OFFSET(SSTotalESP!$A$2,MATCH(DW$29,SSTotalESP!$A$2:$A$500)+$A32-1,1)-1)</f>
        <v>5.7727491421617483E-3</v>
      </c>
      <c r="DX32" s="9">
        <f ca="1">IF(OR(DX5="",DX$28&lt;$A32),"",DX5/OFFSET(SSTotalESP!$A$2,MATCH(DX$29,SSTotalESP!$A$2:$A$500)+$A32-1,1)-1)</f>
        <v>-4.7033890231185094E-4</v>
      </c>
      <c r="DY32" s="9">
        <f ca="1">IF(OR(DY5="",DY$28&lt;$A32),"",DY5/OFFSET(SSTotalESP!$A$2,MATCH(DY$29,SSTotalESP!$A$2:$A$500)+$A32-1,1)-1)</f>
        <v>-9.1619287574284947E-5</v>
      </c>
      <c r="DZ32" s="9">
        <f ca="1">IF(OR(DZ5="",DZ$28&lt;$A32),"",DZ5/OFFSET(SSTotalESP!$A$2,MATCH(DZ$29,SSTotalESP!$A$2:$A$500)+$A32-1,1)-1)</f>
        <v>-7.4545146862405876E-3</v>
      </c>
      <c r="EA32" s="9">
        <f ca="1">IF(OR(EA5="",EA$28&lt;$A32),"",EA5/OFFSET(SSTotalESP!$A$2,MATCH(EA$29,SSTotalESP!$A$2:$A$500)+$A32-1,1)-1)</f>
        <v>-4.751724696363091E-3</v>
      </c>
      <c r="EB32" s="9">
        <f ca="1">IF(OR(EB5="",EB$28&lt;$A32),"",EB5/OFFSET(SSTotalESP!$A$2,MATCH(EB$29,SSTotalESP!$A$2:$A$500)+$A32-1,1)-1)</f>
        <v>-7.62954001673255E-3</v>
      </c>
      <c r="EC32" s="9">
        <f ca="1">IF(OR(EC5="",EC$28&lt;$A32),"",EC5/OFFSET(SSTotalESP!$A$2,MATCH(EC$29,SSTotalESP!$A$2:$A$500)+$A32-1,1)-1)</f>
        <v>3.5444726453337516E-4</v>
      </c>
      <c r="ED32" s="9">
        <f ca="1">IF(OR(ED5="",ED$28&lt;$A32),"",ED5/OFFSET(SSTotalESP!$A$2,MATCH(ED$29,SSTotalESP!$A$2:$A$500)+$A32-1,1)-1)</f>
        <v>4.7318912657101642E-4</v>
      </c>
      <c r="EE32" s="9">
        <f ca="1">IF(OR(EE5="",EE$28&lt;$A32),"",EE5/OFFSET(SSTotalESP!$A$2,MATCH(EE$29,SSTotalESP!$A$2:$A$500)+$A32-1,1)-1)</f>
        <v>-1.0759035675047102E-2</v>
      </c>
      <c r="EF32" s="9">
        <f ca="1">IF(OR(EF5="",EF$28&lt;$A32),"",EF5/OFFSET(SSTotalESP!$A$2,MATCH(EF$29,SSTotalESP!$A$2:$A$500)+$A32-1,1)-1)</f>
        <v>-5.3988971822016563E-3</v>
      </c>
      <c r="EG32" s="9">
        <f ca="1">IF(OR(EG5="",EG$28&lt;$A32),"",EG5/OFFSET(SSTotalESP!$A$2,MATCH(EG$29,SSTotalESP!$A$2:$A$500)+$A32-1,1)-1)</f>
        <v>4.1882902291086044E-3</v>
      </c>
      <c r="EH32" s="9">
        <f ca="1">IF(OR(EH5="",EH$28&lt;$A32),"",EH5/OFFSET(SSTotalESP!$A$2,MATCH(EH$29,SSTotalESP!$A$2:$A$500)+$A32-1,1)-1)</f>
        <v>8.4807295569548913E-3</v>
      </c>
      <c r="EI32" s="9">
        <f ca="1">IF(OR(EI5="",EI$28&lt;$A32),"",EI5/OFFSET(SSTotalESP!$A$2,MATCH(EI$29,SSTotalESP!$A$2:$A$500)+$A32-1,1)-1)</f>
        <v>1.1077311633969522E-2</v>
      </c>
      <c r="EJ32" s="9">
        <f ca="1">IF(OR(EJ5="",EJ$28&lt;$A32),"",EJ5/OFFSET(SSTotalESP!$A$2,MATCH(EJ$29,SSTotalESP!$A$2:$A$500)+$A32-1,1)-1)</f>
        <v>2.5435658409520556E-3</v>
      </c>
      <c r="EK32" s="9">
        <f ca="1">IF(OR(EK5="",EK$28&lt;$A32),"",EK5/OFFSET(SSTotalESP!$A$2,MATCH(EK$29,SSTotalESP!$A$2:$A$500)+$A32-1,1)-1)</f>
        <v>1.344016414597915E-3</v>
      </c>
      <c r="EL32" s="9">
        <f ca="1">IF(OR(EL5="",EL$28&lt;$A32),"",EL5/OFFSET(SSTotalESP!$A$2,MATCH(EL$29,SSTotalESP!$A$2:$A$500)+$A32-1,1)-1)</f>
        <v>-6.6357615805797687E-3</v>
      </c>
      <c r="EM32" s="9">
        <f ca="1">IF(OR(EM5="",EM$28&lt;$A32),"",EM5/OFFSET(SSTotalESP!$A$2,MATCH(EM$29,SSTotalESP!$A$2:$A$500)+$A32-1,1)-1)</f>
        <v>-4.7455044466692131E-3</v>
      </c>
      <c r="EN32" s="9">
        <f ca="1">IF(OR(EN5="",EN$28&lt;$A32),"",EN5/OFFSET(SSTotalESP!$A$2,MATCH(EN$29,SSTotalESP!$A$2:$A$500)+$A32-1,1)-1)</f>
        <v>-2.4137123334226906E-3</v>
      </c>
      <c r="EO32" s="9">
        <f ca="1">IF(OR(EO5="",EO$28&lt;$A32),"",EO5/OFFSET(SSTotalESP!$A$2,MATCH(EO$29,SSTotalESP!$A$2:$A$500)+$A32-1,1)-1)</f>
        <v>9.4480703236743402E-4</v>
      </c>
      <c r="EP32" s="9">
        <f ca="1">IF(OR(EP5="",EP$28&lt;$A32),"",EP5/OFFSET(SSTotalESP!$A$2,MATCH(EP$29,SSTotalESP!$A$2:$A$500)+$A32-1,1)-1)</f>
        <v>3.8304490767004928E-3</v>
      </c>
      <c r="EQ32" s="9">
        <f ca="1">IF(OR(EQ5="",EQ$28&lt;$A32),"",EQ5/OFFSET(SSTotalESP!$A$2,MATCH(EQ$29,SSTotalESP!$A$2:$A$500)+$A32-1,1)-1)</f>
        <v>-1.3597108754817011E-3</v>
      </c>
      <c r="ER32" s="9">
        <f ca="1">IF(OR(ER5="",ER$28&lt;$A32),"",ER5/OFFSET(SSTotalESP!$A$2,MATCH(ER$29,SSTotalESP!$A$2:$A$500)+$A32-1,1)-1)</f>
        <v>-3.4496181466175946E-3</v>
      </c>
      <c r="ES32" s="9">
        <f ca="1">IF(OR(ES5="",ES$28&lt;$A32),"",ES5/OFFSET(SSTotalESP!$A$2,MATCH(ES$29,SSTotalESP!$A$2:$A$500)+$A32-1,1)-1)</f>
        <v>-3.165181991770627E-3</v>
      </c>
      <c r="ET32" s="9">
        <f ca="1">IF(OR(ET5="",ET$28&lt;$A32),"",ET5/OFFSET(SSTotalESP!$A$2,MATCH(ET$29,SSTotalESP!$A$2:$A$500)+$A32-1,1)-1)</f>
        <v>-4.234866561965589E-3</v>
      </c>
      <c r="EU32" s="9">
        <f ca="1">IF(OR(EU5="",EU$28&lt;$A32),"",EU5/OFFSET(SSTotalESP!$A$2,MATCH(EU$29,SSTotalESP!$A$2:$A$500)+$A32-1,1)-1)</f>
        <v>-3.3090121420908947E-4</v>
      </c>
      <c r="EV32" s="9">
        <f ca="1">IF(OR(EV5="",EV$28&lt;$A32),"",EV5/OFFSET(SSTotalESP!$A$2,MATCH(EV$29,SSTotalESP!$A$2:$A$500)+$A32-1,1)-1)</f>
        <v>5.5304243234579609E-3</v>
      </c>
      <c r="EW32" s="9">
        <f ca="1">IF(OR(EW5="",EW$28&lt;$A32),"",EW5/OFFSET(SSTotalESP!$A$2,MATCH(EW$29,SSTotalESP!$A$2:$A$500)+$A32-1,1)-1)</f>
        <v>2.3969446327365418E-4</v>
      </c>
      <c r="EX32" s="9">
        <f ca="1">IF(OR(EX5="",EX$28&lt;$A32),"",EX5/OFFSET(SSTotalESP!$A$2,MATCH(EX$29,SSTotalESP!$A$2:$A$500)+$A32-1,1)-1)</f>
        <v>-4.8443860247938675E-3</v>
      </c>
      <c r="EY32" s="9">
        <f ca="1">IF(OR(EY5="",EY$28&lt;$A32),"",EY5/OFFSET(SSTotalESP!$A$2,MATCH(EY$29,SSTotalESP!$A$2:$A$500)+$A32-1,1)-1)</f>
        <v>-4.0055184737493033E-3</v>
      </c>
      <c r="EZ32" s="9">
        <f ca="1">IF(OR(EZ5="",EZ$28&lt;$A32),"",EZ5/OFFSET(SSTotalESP!$A$2,MATCH(EZ$29,SSTotalESP!$A$2:$A$500)+$A32-1,1)-1)</f>
        <v>4.5304814768878376E-3</v>
      </c>
      <c r="FA32" s="9">
        <f ca="1">IF(OR(FA5="",FA$28&lt;$A32),"",FA5/OFFSET(SSTotalESP!$A$2,MATCH(FA$29,SSTotalESP!$A$2:$A$500)+$A32-1,1)-1)</f>
        <v>-2.4252042554850917E-3</v>
      </c>
      <c r="FB32" s="9">
        <f ca="1">IF(OR(FB5="",FB$28&lt;$A32),"",FB5/OFFSET(SSTotalESP!$A$2,MATCH(FB$29,SSTotalESP!$A$2:$A$500)+$A32-1,1)-1)</f>
        <v>-4.2000526079691847E-3</v>
      </c>
      <c r="FC32" s="9">
        <f ca="1">IF(OR(FC5="",FC$28&lt;$A32),"",FC5/OFFSET(SSTotalESP!$A$2,MATCH(FC$29,SSTotalESP!$A$2:$A$500)+$A32-1,1)-1)</f>
        <v>-5.7762751084816655E-3</v>
      </c>
      <c r="FD32" s="9">
        <f ca="1">IF(OR(FD5="",FD$28&lt;$A32),"",FD5/OFFSET(SSTotalESP!$A$2,MATCH(FD$29,SSTotalESP!$A$2:$A$500)+$A32-1,1)-1)</f>
        <v>-6.9208602852334211E-3</v>
      </c>
      <c r="FE32" s="9">
        <f ca="1">IF(OR(FE5="",FE$28&lt;$A32),"",FE5/OFFSET(SSTotalESP!$A$2,MATCH(FE$29,SSTotalESP!$A$2:$A$500)+$A32-1,1)-1)</f>
        <v>-2.4853014636851967E-3</v>
      </c>
      <c r="FF32" s="9">
        <f ca="1">IF(OR(FF5="",FF$28&lt;$A32),"",FF5/OFFSET(SSTotalESP!$A$2,MATCH(FF$29,SSTotalESP!$A$2:$A$500)+$A32-1,1)-1)</f>
        <v>5.5307343765307326E-3</v>
      </c>
      <c r="FG32" s="9">
        <f ca="1">IF(OR(FG5="",FG$28&lt;$A32),"",FG5/OFFSET(SSTotalESP!$A$2,MATCH(FG$29,SSTotalESP!$A$2:$A$500)+$A32-1,1)-1)</f>
        <v>8.6387107441041611E-3</v>
      </c>
      <c r="FH32" s="9">
        <f ca="1">IF(OR(FH5="",FH$28&lt;$A32),"",FH5/OFFSET(SSTotalESP!$A$2,MATCH(FH$29,SSTotalESP!$A$2:$A$500)+$A32-1,1)-1)</f>
        <v>6.2584443706537041E-3</v>
      </c>
      <c r="FI32" s="9">
        <f ca="1">IF(OR(FI5="",FI$28&lt;$A32),"",FI5/OFFSET(SSTotalESP!$A$2,MATCH(FI$29,SSTotalESP!$A$2:$A$500)+$A32-1,1)-1)</f>
        <v>-9.7007440355578733E-4</v>
      </c>
      <c r="FJ32" s="9">
        <f ca="1">IF(OR(FJ5="",FJ$28&lt;$A32),"",FJ5/OFFSET(SSTotalESP!$A$2,MATCH(FJ$29,SSTotalESP!$A$2:$A$500)+$A32-1,1)-1)</f>
        <v>-7.4016859021265313E-3</v>
      </c>
      <c r="FK32" s="9">
        <f ca="1">IF(OR(FK5="",FK$28&lt;$A32),"",FK5/OFFSET(SSTotalESP!$A$2,MATCH(FK$29,SSTotalESP!$A$2:$A$500)+$A32-1,1)-1)</f>
        <v>-1.9142085305152712E-3</v>
      </c>
      <c r="FL32" s="9">
        <f ca="1">IF(OR(FL5="",FL$28&lt;$A32),"",FL5/OFFSET(SSTotalESP!$A$2,MATCH(FL$29,SSTotalESP!$A$2:$A$500)+$A32-1,1)-1)</f>
        <v>1.4687706581570925E-3</v>
      </c>
      <c r="FM32" s="9">
        <f ca="1">IF(OR(FM5="",FM$28&lt;$A32),"",FM5/OFFSET(SSTotalESP!$A$2,MATCH(FM$29,SSTotalESP!$A$2:$A$500)+$A32-1,1)-1)</f>
        <v>1.8817305775546966E-3</v>
      </c>
      <c r="FN32" s="9">
        <f ca="1">IF(OR(FN5="",FN$28&lt;$A32),"",FN5/OFFSET(SSTotalESP!$A$2,MATCH(FN$29,SSTotalESP!$A$2:$A$500)+$A32-1,1)-1)</f>
        <v>-2.3099039578008407E-3</v>
      </c>
      <c r="FO32" s="9">
        <f ca="1">IF(OR(FO5="",FO$28&lt;$A32),"",FO5/OFFSET(SSTotalESP!$A$2,MATCH(FO$29,SSTotalESP!$A$2:$A$500)+$A32-1,1)-1)</f>
        <v>-1.3416293237565879E-3</v>
      </c>
      <c r="FP32" s="9">
        <f ca="1">IF(OR(FP5="",FP$28&lt;$A32),"",FP5/OFFSET(SSTotalESP!$A$2,MATCH(FP$29,SSTotalESP!$A$2:$A$500)+$A32-1,1)-1)</f>
        <v>-1.3757377202818777E-3</v>
      </c>
      <c r="FQ32" s="9">
        <f ca="1">IF(OR(FQ5="",FQ$28&lt;$A32),"",FQ5/OFFSET(SSTotalESP!$A$2,MATCH(FQ$29,SSTotalESP!$A$2:$A$500)+$A32-1,1)-1)</f>
        <v>-2.8439936006178224E-3</v>
      </c>
      <c r="FR32" s="9">
        <f ca="1">IF(OR(FR5="",FR$28&lt;$A32),"",FR5/OFFSET(SSTotalESP!$A$2,MATCH(FR$29,SSTotalESP!$A$2:$A$500)+$A32-1,1)-1)</f>
        <v>-2.1064416556061394E-3</v>
      </c>
      <c r="FS32" s="9">
        <f ca="1">IF(OR(FS5="",FS$28&lt;$A32),"",FS5/OFFSET(SSTotalESP!$A$2,MATCH(FS$29,SSTotalESP!$A$2:$A$500)+$A32-1,1)-1)</f>
        <v>7.1518180957073074E-3</v>
      </c>
      <c r="FT32" s="9">
        <f ca="1">IF(OR(FT5="",FT$28&lt;$A32),"",FT5/OFFSET(SSTotalESP!$A$2,MATCH(FT$29,SSTotalESP!$A$2:$A$500)+$A32-1,1)-1)</f>
        <v>6.4018331953370478E-3</v>
      </c>
      <c r="FU32" s="9">
        <f ca="1">IF(OR(FU5="",FU$28&lt;$A32),"",FU5/OFFSET(SSTotalESP!$A$2,MATCH(FU$29,SSTotalESP!$A$2:$A$500)+$A32-1,1)-1)</f>
        <v>-2.5682311502792654E-3</v>
      </c>
      <c r="FV32" s="9">
        <f ca="1">IF(OR(FV5="",FV$28&lt;$A32),"",FV5/OFFSET(SSTotalESP!$A$2,MATCH(FV$29,SSTotalESP!$A$2:$A$500)+$A32-1,1)-1)</f>
        <v>-5.3739988366914293E-3</v>
      </c>
      <c r="FW32" s="9">
        <f ca="1">IF(OR(FW5="",FW$28&lt;$A32),"",FW5/OFFSET(SSTotalESP!$A$2,MATCH(FW$29,SSTotalESP!$A$2:$A$500)+$A32-1,1)-1)</f>
        <v>-5.0443781689033518E-3</v>
      </c>
      <c r="FX32" s="9">
        <f ca="1">IF(OR(FX5="",FX$28&lt;$A32),"",FX5/OFFSET(SSTotalESP!$A$2,MATCH(FX$29,SSTotalESP!$A$2:$A$500)+$A32-1,1)-1)</f>
        <v>4.8522109651769618E-3</v>
      </c>
      <c r="FY32" s="9">
        <f ca="1">IF(OR(FY5="",FY$28&lt;$A32),"",FY5/OFFSET(SSTotalESP!$A$2,MATCH(FY$29,SSTotalESP!$A$2:$A$500)+$A32-1,1)-1)</f>
        <v>-1.7472774525658652E-3</v>
      </c>
      <c r="FZ32" s="9">
        <f ca="1">IF(OR(FZ5="",FZ$28&lt;$A32),"",FZ5/OFFSET(SSTotalESP!$A$2,MATCH(FZ$29,SSTotalESP!$A$2:$A$500)+$A32-1,1)-1)</f>
        <v>3.0501302590661972E-3</v>
      </c>
      <c r="GA32" s="9">
        <f ca="1">IF(OR(GA5="",GA$28&lt;$A32),"",GA5/OFFSET(SSTotalESP!$A$2,MATCH(GA$29,SSTotalESP!$A$2:$A$500)+$A32-1,1)-1)</f>
        <v>-3.6223754413233777E-3</v>
      </c>
      <c r="GB32" s="9">
        <f ca="1">IF(OR(GB5="",GB$28&lt;$A32),"",GB5/OFFSET(SSTotalESP!$A$2,MATCH(GB$29,SSTotalESP!$A$2:$A$500)+$A32-1,1)-1)</f>
        <v>-3.2292012527967984E-3</v>
      </c>
      <c r="GC32" s="9">
        <f ca="1">IF(OR(GC5="",GC$28&lt;$A32),"",GC5/OFFSET(SSTotalESP!$A$2,MATCH(GC$29,SSTotalESP!$A$2:$A$500)+$A32-1,1)-1)</f>
        <v>1.6099158509308431E-4</v>
      </c>
      <c r="GD32" s="9">
        <f ca="1">IF(OR(GD5="",GD$28&lt;$A32),"",GD5/OFFSET(SSTotalESP!$A$2,MATCH(GD$29,SSTotalESP!$A$2:$A$500)+$A32-1,1)-1)</f>
        <v>3.7273300124982534E-3</v>
      </c>
      <c r="GE32" s="9">
        <f ca="1">IF(OR(GE5="",GE$28&lt;$A32),"",GE5/OFFSET(SSTotalESP!$A$2,MATCH(GE$29,SSTotalESP!$A$2:$A$500)+$A32-1,1)-1)</f>
        <v>4.9445080691987719E-3</v>
      </c>
      <c r="GF32" s="9">
        <f ca="1">IF(OR(GF5="",GF$28&lt;$A32),"",GF5/OFFSET(SSTotalESP!$A$2,MATCH(GF$29,SSTotalESP!$A$2:$A$500)+$A32-1,1)-1)</f>
        <v>4.7010425011337897E-3</v>
      </c>
      <c r="GG32" s="9">
        <f ca="1">IF(OR(GG5="",GG$28&lt;$A32),"",GG5/OFFSET(SSTotalESP!$A$2,MATCH(GG$29,SSTotalESP!$A$2:$A$500)+$A32-1,1)-1)</f>
        <v>-4.2313353007839005E-4</v>
      </c>
      <c r="GH32" s="9">
        <f ca="1">IF(OR(GH5="",GH$28&lt;$A32),"",GH5/OFFSET(SSTotalESP!$A$2,MATCH(GH$29,SSTotalESP!$A$2:$A$500)+$A32-1,1)-1)</f>
        <v>-2.2397348953357987E-3</v>
      </c>
      <c r="GI32" s="9">
        <f ca="1">IF(OR(GI5="",GI$28&lt;$A32),"",GI5/OFFSET(SSTotalESP!$A$2,MATCH(GI$29,SSTotalESP!$A$2:$A$500)+$A32-1,1)-1)</f>
        <v>-1.6439391576664741E-3</v>
      </c>
      <c r="GJ32" s="9">
        <f ca="1">IF(OR(GJ5="",GJ$28&lt;$A32),"",GJ5/OFFSET(SSTotalESP!$A$2,MATCH(GJ$29,SSTotalESP!$A$2:$A$500)+$A32-1,1)-1)</f>
        <v>3.5214597186921104E-3</v>
      </c>
      <c r="GK32" s="9">
        <f ca="1">IF(OR(GK5="",GK$28&lt;$A32),"",GK5/OFFSET(SSTotalESP!$A$2,MATCH(GK$29,SSTotalESP!$A$2:$A$500)+$A32-1,1)-1)</f>
        <v>1.6697871190478608E-3</v>
      </c>
      <c r="GL32" s="9">
        <f ca="1">IF(OR(GL5="",GL$28&lt;$A32),"",GL5/OFFSET(SSTotalESP!$A$2,MATCH(GL$29,SSTotalESP!$A$2:$A$500)+$A32-1,1)-1)</f>
        <v>1.8846221394249074E-2</v>
      </c>
      <c r="GM32" s="9">
        <f ca="1">IF(OR(GM5="",GM$28&lt;$A32),"",GM5/OFFSET(SSTotalESP!$A$2,MATCH(GM$29,SSTotalESP!$A$2:$A$500)+$A32-1,1)-1)</f>
        <v>5.3443710433037195E-2</v>
      </c>
      <c r="GN32" s="9">
        <f ca="1">IF(OR(GN5="",GN$28&lt;$A32),"",GN5/OFFSET(SSTotalESP!$A$2,MATCH(GN$29,SSTotalESP!$A$2:$A$500)+$A32-1,1)-1)</f>
        <v>6.425764139632939E-2</v>
      </c>
      <c r="GO32" s="9">
        <f ca="1">IF(OR(GO5="",GO$28&lt;$A32),"",GO5/OFFSET(SSTotalESP!$A$2,MATCH(GO$29,SSTotalESP!$A$2:$A$500)+$A32-1,1)-1)</f>
        <v>3.3776193263914456E-2</v>
      </c>
      <c r="GP32" s="9">
        <f ca="1">IF(OR(GP5="",GP$28&lt;$A32),"",GP5/OFFSET(SSTotalESP!$A$2,MATCH(GP$29,SSTotalESP!$A$2:$A$500)+$A32-1,1)-1)</f>
        <v>-1.4119822862377007E-2</v>
      </c>
      <c r="GQ32" s="9">
        <f ca="1">IF(OR(GQ5="",GQ$28&lt;$A32),"",GQ5/OFFSET(SSTotalESP!$A$2,MATCH(GQ$29,SSTotalESP!$A$2:$A$500)+$A32-1,1)-1)</f>
        <v>-2.9385317819741186E-2</v>
      </c>
      <c r="GR32" s="9">
        <f ca="1">IF(OR(GR5="",GR$28&lt;$A32),"",GR5/OFFSET(SSTotalESP!$A$2,MATCH(GR$29,SSTotalESP!$A$2:$A$500)+$A32-1,1)-1)</f>
        <v>-2.971321996221099E-2</v>
      </c>
      <c r="GS32" s="9">
        <f ca="1">IF(OR(GS5="",GS$28&lt;$A32),"",GS5/OFFSET(SSTotalESP!$A$2,MATCH(GS$29,SSTotalESP!$A$2:$A$500)+$A32-1,1)-1)</f>
        <v>-2.2331259217877042E-2</v>
      </c>
      <c r="GT32" s="9">
        <f ca="1">IF(OR(GT5="",GT$28&lt;$A32),"",GT5/OFFSET(SSTotalESP!$A$2,MATCH(GT$29,SSTotalESP!$A$2:$A$500)+$A32-1,1)-1)</f>
        <v>3.4717360936431518E-4</v>
      </c>
      <c r="GU32" s="9">
        <f ca="1">IF(OR(GU5="",GU$28&lt;$A32),"",GU5/OFFSET(SSTotalESP!$A$2,MATCH(GU$29,SSTotalESP!$A$2:$A$500)+$A32-1,1)-1)</f>
        <v>-8.4960733039851632E-4</v>
      </c>
      <c r="GV32" s="9">
        <f ca="1">IF(OR(GV5="",GV$28&lt;$A32),"",GV5/OFFSET(SSTotalESP!$A$2,MATCH(GV$29,SSTotalESP!$A$2:$A$500)+$A32-1,1)-1)</f>
        <v>-2.9718173832146144E-3</v>
      </c>
      <c r="GW32" s="9" t="str">
        <f ca="1">IF(OR(GW5="",GW$28&lt;$A32),"",GW5/OFFSET(SSTotalESP!$A$2,MATCH(GW$29,SSTotalESP!$A$2:$A$500)+$A32-1,1)-1)</f>
        <v/>
      </c>
      <c r="GX32" s="9" t="str">
        <f ca="1">IF(OR(GX5="",GX$28&lt;$A32),"",GX5/OFFSET(SSTotalESP!$A$2,MATCH(GX$29,SSTotalESP!$A$2:$A$500)+$A32-1,1)-1)</f>
        <v/>
      </c>
      <c r="GY32" s="9" t="str">
        <f ca="1">IF(OR(GY5="",GY$28&lt;$A32),"",GY5/OFFSET(SSTotalESP!$A$2,MATCH(GY$29,SSTotalESP!$A$2:$A$500)+$A32-1,1)-1)</f>
        <v/>
      </c>
      <c r="GZ32" s="9" t="str">
        <f ca="1">IF(OR(GZ5="",GZ$28&lt;$A32),"",GZ5/OFFSET(SSTotalESP!$A$2,MATCH(GZ$29,SSTotalESP!$A$2:$A$500)+$A32-1,1)-1)</f>
        <v/>
      </c>
      <c r="HA32" s="9" t="str">
        <f ca="1">IF(OR(HA5="",HA$28&lt;$A32),"",HA5/OFFSET(SSTotalESP!$A$2,MATCH(HA$29,SSTotalESP!$A$2:$A$500)+$A32-1,1)-1)</f>
        <v/>
      </c>
      <c r="HB32" s="9" t="str">
        <f ca="1">IF(OR(HB5="",HB$28&lt;$A32),"",HB5/OFFSET(SSTotalESP!$A$2,MATCH(HB$29,SSTotalESP!$A$2:$A$500)+$A32-1,1)-1)</f>
        <v/>
      </c>
      <c r="HC32" s="9" t="str">
        <f ca="1">IF(OR(HC5="",HC$28&lt;$A32),"",HC5/OFFSET(SSTotalESP!$A$2,MATCH(HC$29,SSTotalESP!$A$2:$A$500)+$A32-1,1)-1)</f>
        <v/>
      </c>
      <c r="HD32" s="9" t="str">
        <f ca="1">IF(OR(HD5="",HD$28&lt;$A32),"",HD5/OFFSET(SSTotalESP!$A$2,MATCH(HD$29,SSTotalESP!$A$2:$A$500)+$A32-1,1)-1)</f>
        <v/>
      </c>
      <c r="HE32" s="9" t="str">
        <f ca="1">IF(OR(HE5="",HE$28&lt;$A32),"",HE5/OFFSET(SSTotalESP!$A$2,MATCH(HE$29,SSTotalESP!$A$2:$A$500)+$A32-1,1)-1)</f>
        <v/>
      </c>
      <c r="HF32" s="9" t="str">
        <f ca="1">IF(OR(HF5="",HF$28&lt;$A32),"",HF5/OFFSET(SSTotalESP!$A$2,MATCH(HF$29,SSTotalESP!$A$2:$A$500)+$A32-1,1)-1)</f>
        <v/>
      </c>
      <c r="HG32" s="9" t="str">
        <f ca="1">IF(OR(HG5="",HG$28&lt;$A32),"",HG5/OFFSET(SSTotalESP!$A$2,MATCH(HG$29,SSTotalESP!$A$2:$A$500)+$A32-1,1)-1)</f>
        <v/>
      </c>
      <c r="HH32" s="9" t="str">
        <f ca="1">IF(OR(HH5="",HH$28&lt;$A32),"",HH5/OFFSET(SSTotalESP!$A$2,MATCH(HH$29,SSTotalESP!$A$2:$A$500)+$A32-1,1)-1)</f>
        <v/>
      </c>
      <c r="HI32" s="9" t="str">
        <f ca="1">IF(OR(HI5="",HI$28&lt;$A32),"",HI5/OFFSET(SSTotalESP!$A$2,MATCH(HI$29,SSTotalESP!$A$2:$A$500)+$A32-1,1)-1)</f>
        <v/>
      </c>
      <c r="HJ32" s="9" t="str">
        <f ca="1">IF(OR(HJ5="",HJ$28&lt;$A32),"",HJ5/OFFSET(SSTotalESP!$A$2,MATCH(HJ$29,SSTotalESP!$A$2:$A$500)+$A32-1,1)-1)</f>
        <v/>
      </c>
      <c r="HK32" s="9" t="str">
        <f ca="1">IF(OR(HK5="",HK$28&lt;$A32),"",HK5/OFFSET(SSTotalESP!$A$2,MATCH(HK$29,SSTotalESP!$A$2:$A$500)+$A32-1,1)-1)</f>
        <v/>
      </c>
      <c r="HL32" s="9" t="str">
        <f ca="1">IF(OR(HL5="",HL$28&lt;$A32),"",HL5/OFFSET(SSTotalESP!$A$2,MATCH(HL$29,SSTotalESP!$A$2:$A$500)+$A32-1,1)-1)</f>
        <v/>
      </c>
      <c r="HM32" s="9" t="str">
        <f ca="1">IF(OR(HM5="",HM$28&lt;$A32),"",HM5/OFFSET(SSTotalESP!$A$2,MATCH(HM$29,SSTotalESP!$A$2:$A$500)+$A32-1,1)-1)</f>
        <v/>
      </c>
      <c r="HN32" s="9" t="str">
        <f ca="1">IF(OR(HN5="",HN$28&lt;$A32),"",HN5/OFFSET(SSTotalESP!$A$2,MATCH(HN$29,SSTotalESP!$A$2:$A$500)+$A32-1,1)-1)</f>
        <v/>
      </c>
      <c r="HO32" s="9" t="str">
        <f ca="1">IF(OR(HO5="",HO$28&lt;$A32),"",HO5/OFFSET(SSTotalESP!$A$2,MATCH(HO$29,SSTotalESP!$A$2:$A$500)+$A32-1,1)-1)</f>
        <v/>
      </c>
      <c r="HP32" s="9" t="str">
        <f ca="1">IF(OR(HP5="",HP$28&lt;$A32),"",HP5/OFFSET(SSTotalESP!$A$2,MATCH(HP$29,SSTotalESP!$A$2:$A$500)+$A32-1,1)-1)</f>
        <v/>
      </c>
      <c r="HQ32" s="9" t="str">
        <f ca="1">IF(OR(HQ5="",HQ$28&lt;$A32),"",HQ5/OFFSET(SSTotalESP!$A$2,MATCH(HQ$29,SSTotalESP!$A$2:$A$500)+$A32-1,1)-1)</f>
        <v/>
      </c>
      <c r="HR32" s="9" t="str">
        <f ca="1">IF(OR(HR5="",HR$28&lt;$A32),"",HR5/OFFSET(SSTotalESP!$A$2,MATCH(HR$29,SSTotalESP!$A$2:$A$500)+$A32-1,1)-1)</f>
        <v/>
      </c>
      <c r="HS32" s="9" t="str">
        <f ca="1">IF(OR(HS5="",HS$28&lt;$A32),"",HS5/OFFSET(SSTotalESP!$A$2,MATCH(HS$29,SSTotalESP!$A$2:$A$500)+$A32-1,1)-1)</f>
        <v/>
      </c>
      <c r="HT32" s="9" t="str">
        <f ca="1">IF(OR(HT5="",HT$28&lt;$A32),"",HT5/OFFSET(SSTotalESP!$A$2,MATCH(HT$29,SSTotalESP!$A$2:$A$500)+$A32-1,1)-1)</f>
        <v/>
      </c>
      <c r="HU32" s="9" t="str">
        <f ca="1">IF(OR(HU5="",HU$28&lt;$A32),"",HU5/OFFSET(SSTotalESP!$A$2,MATCH(HU$29,SSTotalESP!$A$2:$A$500)+$A32-1,1)-1)</f>
        <v/>
      </c>
      <c r="HV32" s="9" t="str">
        <f ca="1">IF(OR(HV5="",HV$28&lt;$A32),"",HV5/OFFSET(SSTotalESP!$A$2,MATCH(HV$29,SSTotalESP!$A$2:$A$500)+$A32-1,1)-1)</f>
        <v/>
      </c>
      <c r="HW32" s="9" t="str">
        <f ca="1">IF(OR(HW5="",HW$28&lt;$A32),"",HW5/OFFSET(SSTotalESP!$A$2,MATCH(HW$29,SSTotalESP!$A$2:$A$500)+$A32-1,1)-1)</f>
        <v/>
      </c>
      <c r="HX32" s="9" t="str">
        <f ca="1">IF(OR(HX5="",HX$28&lt;$A32),"",HX5/OFFSET(SSTotalESP!$A$2,MATCH(HX$29,SSTotalESP!$A$2:$A$500)+$A32-1,1)-1)</f>
        <v/>
      </c>
      <c r="HY32" s="9" t="str">
        <f ca="1">IF(OR(HY5="",HY$28&lt;$A32),"",HY5/OFFSET(SSTotalESP!$A$2,MATCH(HY$29,SSTotalESP!$A$2:$A$500)+$A32-1,1)-1)</f>
        <v/>
      </c>
      <c r="HZ32" s="9" t="str">
        <f ca="1">IF(OR(HZ5="",HZ$28&lt;$A32),"",HZ5/OFFSET(SSTotalESP!$A$2,MATCH(HZ$29,SSTotalESP!$A$2:$A$500)+$A32-1,1)-1)</f>
        <v/>
      </c>
      <c r="IA32" s="9" t="str">
        <f ca="1">IF(OR(IA5="",IA$28&lt;$A32),"",IA5/OFFSET(SSTotalESP!$A$2,MATCH(IA$29,SSTotalESP!$A$2:$A$500)+$A32-1,1)-1)</f>
        <v/>
      </c>
      <c r="IB32" s="9" t="str">
        <f ca="1">IF(OR(IB5="",IB$28&lt;$A32),"",IB5/OFFSET(SSTotalESP!$A$2,MATCH(IB$29,SSTotalESP!$A$2:$A$500)+$A32-1,1)-1)</f>
        <v/>
      </c>
      <c r="IC32" s="9" t="str">
        <f ca="1">IF(OR(IC5="",IC$28&lt;$A32),"",IC5/OFFSET(SSTotalESP!$A$2,MATCH(IC$29,SSTotalESP!$A$2:$A$500)+$A32-1,1)-1)</f>
        <v/>
      </c>
      <c r="ID32" s="9" t="str">
        <f ca="1">IF(OR(ID5="",ID$28&lt;$A32),"",ID5/OFFSET(SSTotalESP!$A$2,MATCH(ID$29,SSTotalESP!$A$2:$A$500)+$A32-1,1)-1)</f>
        <v/>
      </c>
      <c r="IE32" s="9" t="str">
        <f ca="1">IF(OR(IE5="",IE$28&lt;$A32),"",IE5/OFFSET(SSTotalESP!$A$2,MATCH(IE$29,SSTotalESP!$A$2:$A$500)+$A32-1,1)-1)</f>
        <v/>
      </c>
      <c r="IF32" s="9" t="str">
        <f ca="1">IF(OR(IF5="",IF$28&lt;$A32),"",IF5/OFFSET(SSTotalESP!$A$2,MATCH(IF$29,SSTotalESP!$A$2:$A$500)+$A32-1,1)-1)</f>
        <v/>
      </c>
      <c r="IG32" s="9" t="str">
        <f ca="1">IF(OR(IG5="",IG$28&lt;$A32),"",IG5/OFFSET(SSTotalESP!$A$2,MATCH(IG$29,SSTotalESP!$A$2:$A$500)+$A32-1,1)-1)</f>
        <v/>
      </c>
      <c r="IH32" s="9" t="str">
        <f ca="1">IF(OR(IH5="",IH$28&lt;$A32),"",IH5/OFFSET(SSTotalESP!$A$2,MATCH(IH$29,SSTotalESP!$A$2:$A$500)+$A32-1,1)-1)</f>
        <v/>
      </c>
      <c r="II32" s="9" t="str">
        <f ca="1">IF(OR(II5="",II$28&lt;$A32),"",II5/OFFSET(SSTotalESP!$A$2,MATCH(II$29,SSTotalESP!$A$2:$A$500)+$A32-1,1)-1)</f>
        <v/>
      </c>
      <c r="IJ32" s="9" t="str">
        <f ca="1">IF(OR(IJ5="",IJ$28&lt;$A32),"",IJ5/OFFSET(SSTotalESP!$A$2,MATCH(IJ$29,SSTotalESP!$A$2:$A$500)+$A32-1,1)-1)</f>
        <v/>
      </c>
      <c r="IK32" s="9" t="str">
        <f ca="1">IF(OR(IK5="",IK$28&lt;$A32),"",IK5/OFFSET(SSTotalESP!$A$2,MATCH(IK$29,SSTotalESP!$A$2:$A$500)+$A32-1,1)-1)</f>
        <v/>
      </c>
      <c r="IL32" s="9" t="str">
        <f ca="1">IF(OR(IL5="",IL$28&lt;$A32),"",IL5/OFFSET(SSTotalESP!$A$2,MATCH(IL$29,SSTotalESP!$A$2:$A$500)+$A32-1,1)-1)</f>
        <v/>
      </c>
      <c r="IM32" s="9" t="str">
        <f ca="1">IF(OR(IM5="",IM$28&lt;$A32),"",IM5/OFFSET(SSTotalESP!$A$2,MATCH(IM$29,SSTotalESP!$A$2:$A$500)+$A32-1,1)-1)</f>
        <v/>
      </c>
      <c r="IN32" s="9" t="str">
        <f ca="1">IF(OR(IN5="",IN$28&lt;$A32),"",IN5/OFFSET(SSTotalESP!$A$2,MATCH(IN$29,SSTotalESP!$A$2:$A$500)+$A32-1,1)-1)</f>
        <v/>
      </c>
      <c r="IO32" s="9" t="str">
        <f ca="1">IF(OR(IO5="",IO$28&lt;$A32),"",IO5/OFFSET(SSTotalESP!$A$2,MATCH(IO$29,SSTotalESP!$A$2:$A$500)+$A32-1,1)-1)</f>
        <v/>
      </c>
      <c r="IP32" s="9" t="str">
        <f ca="1">IF(OR(IP5="",IP$28&lt;$A32),"",IP5/OFFSET(SSTotalESP!$A$2,MATCH(IP$29,SSTotalESP!$A$2:$A$500)+$A32-1,1)-1)</f>
        <v/>
      </c>
      <c r="IQ32" s="9" t="str">
        <f ca="1">IF(OR(IQ5="",IQ$28&lt;$A32),"",IQ5/OFFSET(SSTotalESP!$A$2,MATCH(IQ$29,SSTotalESP!$A$2:$A$500)+$A32-1,1)-1)</f>
        <v/>
      </c>
      <c r="IR32" s="9" t="str">
        <f ca="1">IF(OR(IR5="",IR$28&lt;$A32),"",IR5/OFFSET(SSTotalESP!$A$2,MATCH(IR$29,SSTotalESP!$A$2:$A$500)+$A32-1,1)-1)</f>
        <v/>
      </c>
      <c r="IS32" s="9" t="str">
        <f ca="1">IF(OR(IS5="",IS$28&lt;$A32),"",IS5/OFFSET(SSTotalESP!$A$2,MATCH(IS$29,SSTotalESP!$A$2:$A$500)+$A32-1,1)-1)</f>
        <v/>
      </c>
      <c r="IT32" s="9" t="str">
        <f ca="1">IF(OR(IT5="",IT$28&lt;$A32),"",IT5/OFFSET(SSTotalESP!$A$2,MATCH(IT$29,SSTotalESP!$A$2:$A$500)+$A32-1,1)-1)</f>
        <v/>
      </c>
      <c r="IU32" s="9" t="str">
        <f ca="1">IF(OR(IU5="",IU$28&lt;$A32),"",IU5/OFFSET(SSTotalESP!$A$2,MATCH(IU$29,SSTotalESP!$A$2:$A$500)+$A32-1,1)-1)</f>
        <v/>
      </c>
      <c r="IV32" s="9" t="str">
        <f ca="1">IF(OR(IV5="",IV$28&lt;$A32),"",IV5/OFFSET(SSTotalESP!$A$2,MATCH(IV$29,SSTotalESP!$A$2:$A$500)+$A32-1,1)-1)</f>
        <v/>
      </c>
      <c r="IW32" s="9" t="str">
        <f ca="1">IF(OR(IW5="",IW$28&lt;$A32),"",IW5/OFFSET(SSTotalESP!$A$2,MATCH(IW$29,SSTotalESP!$A$2:$A$500)+$A32-1,1)-1)</f>
        <v/>
      </c>
      <c r="IX32" s="9" t="str">
        <f ca="1">IF(OR(IX5="",IX$28&lt;$A32),"",IX5/OFFSET(SSTotalESP!$A$2,MATCH(IX$29,SSTotalESP!$A$2:$A$500)+$A32-1,1)-1)</f>
        <v/>
      </c>
      <c r="IY32" s="9" t="str">
        <f ca="1">IF(OR(IY5="",IY$28&lt;$A32),"",IY5/OFFSET(SSTotalESP!$A$2,MATCH(IY$29,SSTotalESP!$A$2:$A$500)+$A32-1,1)-1)</f>
        <v/>
      </c>
      <c r="IZ32" s="9" t="str">
        <f ca="1">IF(OR(IZ5="",IZ$28&lt;$A32),"",IZ5/OFFSET(SSTotalESP!$A$2,MATCH(IZ$29,SSTotalESP!$A$2:$A$500)+$A32-1,1)-1)</f>
        <v/>
      </c>
      <c r="JA32" s="9" t="str">
        <f ca="1">IF(OR(JA5="",JA$28&lt;$A32),"",JA5/OFFSET(SSTotalESP!$A$2,MATCH(JA$29,SSTotalESP!$A$2:$A$500)+$A32-1,1)-1)</f>
        <v/>
      </c>
      <c r="JB32" s="9" t="str">
        <f ca="1">IF(OR(JB5="",JB$28&lt;$A32),"",JB5/OFFSET(SSTotalESP!$A$2,MATCH(JB$29,SSTotalESP!$A$2:$A$500)+$A32-1,1)-1)</f>
        <v/>
      </c>
      <c r="JC32" s="9" t="str">
        <f ca="1">IF(OR(JC5="",JC$28&lt;$A32),"",JC5/OFFSET(SSTotalESP!$A$2,MATCH(JC$29,SSTotalESP!$A$2:$A$500)+$A32-1,1)-1)</f>
        <v/>
      </c>
      <c r="JD32" s="9" t="str">
        <f ca="1">IF(OR(JD5="",JD$28&lt;$A32),"",JD5/OFFSET(SSTotalESP!$A$2,MATCH(JD$29,SSTotalESP!$A$2:$A$500)+$A32-1,1)-1)</f>
        <v/>
      </c>
      <c r="JE32" s="9" t="str">
        <f ca="1">IF(OR(JE5="",JE$28&lt;$A32),"",JE5/OFFSET(SSTotalESP!$A$2,MATCH(JE$29,SSTotalESP!$A$2:$A$500)+$A32-1,1)-1)</f>
        <v/>
      </c>
      <c r="JF32" s="9" t="str">
        <f ca="1">IF(OR(JF5="",JF$28&lt;$A32),"",JF5/OFFSET(SSTotalESP!$A$2,MATCH(JF$29,SSTotalESP!$A$2:$A$500)+$A32-1,1)-1)</f>
        <v/>
      </c>
      <c r="JG32" s="9" t="str">
        <f ca="1">IF(OR(JG5="",JG$28&lt;$A32),"",JG5/OFFSET(SSTotalESP!$A$2,MATCH(JG$29,SSTotalESP!$A$2:$A$500)+$A32-1,1)-1)</f>
        <v/>
      </c>
      <c r="JH32" s="9" t="str">
        <f ca="1">IF(OR(JH5="",JH$28&lt;$A32),"",JH5/OFFSET(SSTotalESP!$A$2,MATCH(JH$29,SSTotalESP!$A$2:$A$500)+$A32-1,1)-1)</f>
        <v/>
      </c>
      <c r="JI32" s="13">
        <f t="shared" ca="1" si="13"/>
        <v>2.5199469343800546E-3</v>
      </c>
      <c r="JJ32" s="13">
        <f t="shared" ca="1" si="14"/>
        <v>-6.3637043023845319E-4</v>
      </c>
      <c r="JK32" s="14">
        <f t="shared" ca="1" si="15"/>
        <v>3.4502389814878903E-4</v>
      </c>
      <c r="JL32" s="17">
        <f t="shared" ca="1" si="18"/>
        <v>1.8574818926406497E-2</v>
      </c>
      <c r="JM32" s="15" t="str">
        <f t="shared" ca="1" si="16"/>
        <v>[ -3,46% ; 3,97% ]</v>
      </c>
      <c r="JN32" s="17">
        <f t="shared" ca="1" si="17"/>
        <v>2.3775768225800315E-2</v>
      </c>
      <c r="LY32" s="1"/>
    </row>
    <row r="33" spans="1:337" x14ac:dyDescent="0.25">
      <c r="A33" s="4">
        <v>4</v>
      </c>
      <c r="B33" s="9">
        <f ca="1">IF(OR(B6="",B$28&lt;$A33),"",B6/OFFSET(SSTotalESP!$A$2,MATCH(B$29,SSTotalESP!$A$2:$A$500)+$A33-1,1)-1)</f>
        <v>-1.4754426012184574E-3</v>
      </c>
      <c r="C33" s="9">
        <f ca="1">IF(OR(C6="",C$28&lt;$A33),"",C6/OFFSET(SSTotalESP!$A$2,MATCH(C$29,SSTotalESP!$A$2:$A$500)+$A33-1,1)-1)</f>
        <v>-1.0583471406272471E-3</v>
      </c>
      <c r="D33" s="9">
        <f ca="1">IF(OR(D6="",D$28&lt;$A33),"",D6/OFFSET(SSTotalESP!$A$2,MATCH(D$29,SSTotalESP!$A$2:$A$500)+$A33-1,1)-1)</f>
        <v>-6.6611796068849483E-4</v>
      </c>
      <c r="E33" s="9">
        <f ca="1">IF(OR(E6="",E$28&lt;$A33),"",E6/OFFSET(SSTotalESP!$A$2,MATCH(E$29,SSTotalESP!$A$2:$A$500)+$A33-1,1)-1)</f>
        <v>9.7964190269639317E-5</v>
      </c>
      <c r="F33" s="9">
        <f ca="1">IF(OR(F6="",F$28&lt;$A33),"",F6/OFFSET(SSTotalESP!$A$2,MATCH(F$29,SSTotalESP!$A$2:$A$500)+$A33-1,1)-1)</f>
        <v>1.3948216287358317E-3</v>
      </c>
      <c r="G33" s="9">
        <f ca="1">IF(OR(G6="",G$28&lt;$A33),"",G6/OFFSET(SSTotalESP!$A$2,MATCH(G$29,SSTotalESP!$A$2:$A$500)+$A33-1,1)-1)</f>
        <v>9.5881033557243533E-4</v>
      </c>
      <c r="H33" s="9">
        <f ca="1">IF(OR(H6="",H$28&lt;$A33),"",H6/OFFSET(SSTotalESP!$A$2,MATCH(H$29,SSTotalESP!$A$2:$A$500)+$A33-1,1)-1)</f>
        <v>3.1055785620948129E-4</v>
      </c>
      <c r="I33" s="9">
        <f ca="1">IF(OR(I6="",I$28&lt;$A33),"",I6/OFFSET(SSTotalESP!$A$2,MATCH(I$29,SSTotalESP!$A$2:$A$500)+$A33-1,1)-1)</f>
        <v>-3.9891243537371057E-4</v>
      </c>
      <c r="J33" s="9">
        <f ca="1">IF(OR(J6="",J$28&lt;$A33),"",J6/OFFSET(SSTotalESP!$A$2,MATCH(J$29,SSTotalESP!$A$2:$A$500)+$A33-1,1)-1)</f>
        <v>-2.3649672838188529E-3</v>
      </c>
      <c r="K33" s="9">
        <f ca="1">IF(OR(K6="",K$28&lt;$A33),"",K6/OFFSET(SSTotalESP!$A$2,MATCH(K$29,SSTotalESP!$A$2:$A$500)+$A33-1,1)-1)</f>
        <v>-2.6579698658333317E-3</v>
      </c>
      <c r="L33" s="9">
        <f ca="1">IF(OR(L6="",L$28&lt;$A33),"",L6/OFFSET(SSTotalESP!$A$2,MATCH(L$29,SSTotalESP!$A$2:$A$500)+$A33-1,1)-1)</f>
        <v>-9.4988778217497405E-4</v>
      </c>
      <c r="M33" s="9">
        <f ca="1">IF(OR(M6="",M$28&lt;$A33),"",M6/OFFSET(SSTotalESP!$A$2,MATCH(M$29,SSTotalESP!$A$2:$A$500)+$A33-1,1)-1)</f>
        <v>2.0752835554471716E-6</v>
      </c>
      <c r="N33" s="9">
        <f ca="1">IF(OR(N6="",N$28&lt;$A33),"",N6/OFFSET(SSTotalESP!$A$2,MATCH(N$29,SSTotalESP!$A$2:$A$500)+$A33-1,1)-1)</f>
        <v>-2.7427619424678085E-3</v>
      </c>
      <c r="O33" s="9">
        <f ca="1">IF(OR(O6="",O$28&lt;$A33),"",O6/OFFSET(SSTotalESP!$A$2,MATCH(O$29,SSTotalESP!$A$2:$A$500)+$A33-1,1)-1)</f>
        <v>-5.2579537985442126E-3</v>
      </c>
      <c r="P33" s="9">
        <f ca="1">IF(OR(P6="",P$28&lt;$A33),"",P6/OFFSET(SSTotalESP!$A$2,MATCH(P$29,SSTotalESP!$A$2:$A$500)+$A33-1,1)-1)</f>
        <v>-1.3724758882179833E-2</v>
      </c>
      <c r="Q33" s="9">
        <f ca="1">IF(OR(Q6="",Q$28&lt;$A33),"",Q6/OFFSET(SSTotalESP!$A$2,MATCH(Q$29,SSTotalESP!$A$2:$A$500)+$A33-1,1)-1)</f>
        <v>-1.9120792064783232E-2</v>
      </c>
      <c r="R33" s="9">
        <f ca="1">IF(OR(R6="",R$28&lt;$A33),"",R6/OFFSET(SSTotalESP!$A$2,MATCH(R$29,SSTotalESP!$A$2:$A$500)+$A33-1,1)-1)</f>
        <v>-1.8922495024462416E-2</v>
      </c>
      <c r="S33" s="9">
        <f ca="1">IF(OR(S6="",S$28&lt;$A33),"",S6/OFFSET(SSTotalESP!$A$2,MATCH(S$29,SSTotalESP!$A$2:$A$500)+$A33-1,1)-1)</f>
        <v>-1.7875748762370525E-2</v>
      </c>
      <c r="T33" s="9">
        <f ca="1">IF(OR(T6="",T$28&lt;$A33),"",T6/OFFSET(SSTotalESP!$A$2,MATCH(T$29,SSTotalESP!$A$2:$A$500)+$A33-1,1)-1)</f>
        <v>-1.3018729791231975E-2</v>
      </c>
      <c r="U33" s="9">
        <f ca="1">IF(OR(U6="",U$28&lt;$A33),"",U6/OFFSET(SSTotalESP!$A$2,MATCH(U$29,SSTotalESP!$A$2:$A$500)+$A33-1,1)-1)</f>
        <v>-3.8692215381478379E-3</v>
      </c>
      <c r="V33" s="9">
        <f ca="1">IF(OR(V6="",V$28&lt;$A33),"",V6/OFFSET(SSTotalESP!$A$2,MATCH(V$29,SSTotalESP!$A$2:$A$500)+$A33-1,1)-1)</f>
        <v>3.1006032889751012E-3</v>
      </c>
      <c r="W33" s="9">
        <f ca="1">IF(OR(W6="",W$28&lt;$A33),"",W6/OFFSET(SSTotalESP!$A$2,MATCH(W$29,SSTotalESP!$A$2:$A$500)+$A33-1,1)-1)</f>
        <v>4.84303180874468E-3</v>
      </c>
      <c r="X33" s="9">
        <f ca="1">IF(OR(X6="",X$28&lt;$A33),"",X6/OFFSET(SSTotalESP!$A$2,MATCH(X$29,SSTotalESP!$A$2:$A$500)+$A33-1,1)-1)</f>
        <v>5.6822333947719184E-3</v>
      </c>
      <c r="Y33" s="9">
        <f ca="1">IF(OR(Y6="",Y$28&lt;$A33),"",Y6/OFFSET(SSTotalESP!$A$2,MATCH(Y$29,SSTotalESP!$A$2:$A$500)+$A33-1,1)-1)</f>
        <v>2.6303495463342319E-3</v>
      </c>
      <c r="Z33" s="9">
        <f ca="1">IF(OR(Z6="",Z$28&lt;$A33),"",Z6/OFFSET(SSTotalESP!$A$2,MATCH(Z$29,SSTotalESP!$A$2:$A$500)+$A33-1,1)-1)</f>
        <v>3.6098958030965633E-3</v>
      </c>
      <c r="AA33" s="9">
        <f ca="1">IF(OR(AA6="",AA$28&lt;$A33),"",AA6/OFFSET(SSTotalESP!$A$2,MATCH(AA$29,SSTotalESP!$A$2:$A$500)+$A33-1,1)-1)</f>
        <v>4.3005557785862347E-3</v>
      </c>
      <c r="AB33" s="9">
        <f ca="1">IF(OR(AB6="",AB$28&lt;$A33),"",AB6/OFFSET(SSTotalESP!$A$2,MATCH(AB$29,SSTotalESP!$A$2:$A$500)+$A33-1,1)-1)</f>
        <v>3.4047615002710252E-3</v>
      </c>
      <c r="AC33" s="9">
        <f ca="1">IF(OR(AC6="",AC$28&lt;$A33),"",AC6/OFFSET(SSTotalESP!$A$2,MATCH(AC$29,SSTotalESP!$A$2:$A$500)+$A33-1,1)-1)</f>
        <v>1.1759850355411716E-2</v>
      </c>
      <c r="AD33" s="9">
        <f ca="1">IF(OR(AD6="",AD$28&lt;$A33),"",AD6/OFFSET(SSTotalESP!$A$2,MATCH(AD$29,SSTotalESP!$A$2:$A$500)+$A33-1,1)-1)</f>
        <v>1.2154975817437519E-2</v>
      </c>
      <c r="AE33" s="9">
        <f ca="1">IF(OR(AE6="",AE$28&lt;$A33),"",AE6/OFFSET(SSTotalESP!$A$2,MATCH(AE$29,SSTotalESP!$A$2:$A$500)+$A33-1,1)-1)</f>
        <v>7.748304424640251E-3</v>
      </c>
      <c r="AF33" s="9">
        <f ca="1">IF(OR(AF6="",AF$28&lt;$A33),"",AF6/OFFSET(SSTotalESP!$A$2,MATCH(AF$29,SSTotalESP!$A$2:$A$500)+$A33-1,1)-1)</f>
        <v>1.6617641586356147E-3</v>
      </c>
      <c r="AG33" s="9">
        <f ca="1">IF(OR(AG6="",AG$28&lt;$A33),"",AG6/OFFSET(SSTotalESP!$A$2,MATCH(AG$29,SSTotalESP!$A$2:$A$500)+$A33-1,1)-1)</f>
        <v>-1.1665664295752443E-3</v>
      </c>
      <c r="AH33" s="9">
        <f ca="1">IF(OR(AH6="",AH$28&lt;$A33),"",AH6/OFFSET(SSTotalESP!$A$2,MATCH(AH$29,SSTotalESP!$A$2:$A$500)+$A33-1,1)-1)</f>
        <v>-9.9526082037501018E-3</v>
      </c>
      <c r="AI33" s="9">
        <f ca="1">IF(OR(AI6="",AI$28&lt;$A33),"",AI6/OFFSET(SSTotalESP!$A$2,MATCH(AI$29,SSTotalESP!$A$2:$A$500)+$A33-1,1)-1)</f>
        <v>-4.2502405386005693E-3</v>
      </c>
      <c r="AJ33" s="9">
        <f ca="1">IF(OR(AJ6="",AJ$28&lt;$A33),"",AJ6/OFFSET(SSTotalESP!$A$2,MATCH(AJ$29,SSTotalESP!$A$2:$A$500)+$A33-1,1)-1)</f>
        <v>-2.8242092436012722E-3</v>
      </c>
      <c r="AK33" s="9">
        <f ca="1">IF(OR(AK6="",AK$28&lt;$A33),"",AK6/OFFSET(SSTotalESP!$A$2,MATCH(AK$29,SSTotalESP!$A$2:$A$500)+$A33-1,1)-1)</f>
        <v>-1.5556819082196416E-3</v>
      </c>
      <c r="AL33" s="9">
        <f ca="1">IF(OR(AL6="",AL$28&lt;$A33),"",AL6/OFFSET(SSTotalESP!$A$2,MATCH(AL$29,SSTotalESP!$A$2:$A$500)+$A33-1,1)-1)</f>
        <v>4.1323398079029516E-4</v>
      </c>
      <c r="AM33" s="9">
        <f ca="1">IF(OR(AM6="",AM$28&lt;$A33),"",AM6/OFFSET(SSTotalESP!$A$2,MATCH(AM$29,SSTotalESP!$A$2:$A$500)+$A33-1,1)-1)</f>
        <v>3.1638941099323414E-3</v>
      </c>
      <c r="AN33" s="9">
        <f ca="1">IF(OR(AN6="",AN$28&lt;$A33),"",AN6/OFFSET(SSTotalESP!$A$2,MATCH(AN$29,SSTotalESP!$A$2:$A$500)+$A33-1,1)-1)</f>
        <v>4.9863612231000332E-3</v>
      </c>
      <c r="AO33" s="9">
        <f ca="1">IF(OR(AO6="",AO$28&lt;$A33),"",AO6/OFFSET(SSTotalESP!$A$2,MATCH(AO$29,SSTotalESP!$A$2:$A$500)+$A33-1,1)-1)</f>
        <v>1.0129731837069444E-2</v>
      </c>
      <c r="AP33" s="9">
        <f ca="1">IF(OR(AP6="",AP$28&lt;$A33),"",AP6/OFFSET(SSTotalESP!$A$2,MATCH(AP$29,SSTotalESP!$A$2:$A$500)+$A33-1,1)-1)</f>
        <v>6.8663436229725594E-3</v>
      </c>
      <c r="AQ33" s="9">
        <f ca="1">IF(OR(AQ6="",AQ$28&lt;$A33),"",AQ6/OFFSET(SSTotalESP!$A$2,MATCH(AQ$29,SSTotalESP!$A$2:$A$500)+$A33-1,1)-1)</f>
        <v>6.6608898402309435E-3</v>
      </c>
      <c r="AR33" s="9">
        <f ca="1">IF(OR(AR6="",AR$28&lt;$A33),"",AR6/OFFSET(SSTotalESP!$A$2,MATCH(AR$29,SSTotalESP!$A$2:$A$500)+$A33-1,1)-1)</f>
        <v>6.1013613981275583E-4</v>
      </c>
      <c r="AS33" s="9">
        <f ca="1">IF(OR(AS6="",AS$28&lt;$A33),"",AS6/OFFSET(SSTotalESP!$A$2,MATCH(AS$29,SSTotalESP!$A$2:$A$500)+$A33-1,1)-1)</f>
        <v>1.5530647589254709E-3</v>
      </c>
      <c r="AT33" s="9">
        <f ca="1">IF(OR(AT6="",AT$28&lt;$A33),"",AT6/OFFSET(SSTotalESP!$A$2,MATCH(AT$29,SSTotalESP!$A$2:$A$500)+$A33-1,1)-1)</f>
        <v>-1.9470342689440479E-3</v>
      </c>
      <c r="AU33" s="9">
        <f ca="1">IF(OR(AU6="",AU$28&lt;$A33),"",AU6/OFFSET(SSTotalESP!$A$2,MATCH(AU$29,SSTotalESP!$A$2:$A$500)+$A33-1,1)-1)</f>
        <v>2.477239050514557E-3</v>
      </c>
      <c r="AV33" s="9">
        <f ca="1">IF(OR(AV6="",AV$28&lt;$A33),"",AV6/OFFSET(SSTotalESP!$A$2,MATCH(AV$29,SSTotalESP!$A$2:$A$500)+$A33-1,1)-1)</f>
        <v>6.0567288584363332E-3</v>
      </c>
      <c r="AW33" s="9">
        <f ca="1">IF(OR(AW6="",AW$28&lt;$A33),"",AW6/OFFSET(SSTotalESP!$A$2,MATCH(AW$29,SSTotalESP!$A$2:$A$500)+$A33-1,1)-1)</f>
        <v>7.3684446063138065E-3</v>
      </c>
      <c r="AX33" s="9">
        <f ca="1">IF(OR(AX6="",AX$28&lt;$A33),"",AX6/OFFSET(SSTotalESP!$A$2,MATCH(AX$29,SSTotalESP!$A$2:$A$500)+$A33-1,1)-1)</f>
        <v>1.0223941380880452E-2</v>
      </c>
      <c r="AY33" s="9">
        <f ca="1">IF(OR(AY6="",AY$28&lt;$A33),"",AY6/OFFSET(SSTotalESP!$A$2,MATCH(AY$29,SSTotalESP!$A$2:$A$500)+$A33-1,1)-1)</f>
        <v>1.1038903321181515E-2</v>
      </c>
      <c r="AZ33" s="9">
        <f ca="1">IF(OR(AZ6="",AZ$28&lt;$A33),"",AZ6/OFFSET(SSTotalESP!$A$2,MATCH(AZ$29,SSTotalESP!$A$2:$A$500)+$A33-1,1)-1)</f>
        <v>1.6690804850711061E-2</v>
      </c>
      <c r="BA33" s="9">
        <f ca="1">IF(OR(BA6="",BA$28&lt;$A33),"",BA6/OFFSET(SSTotalESP!$A$2,MATCH(BA$29,SSTotalESP!$A$2:$A$500)+$A33-1,1)-1)</f>
        <v>1.6116882347485317E-2</v>
      </c>
      <c r="BB33" s="9">
        <f ca="1">IF(OR(BB6="",BB$28&lt;$A33),"",BB6/OFFSET(SSTotalESP!$A$2,MATCH(BB$29,SSTotalESP!$A$2:$A$500)+$A33-1,1)-1)</f>
        <v>1.4853935174239608E-2</v>
      </c>
      <c r="BC33" s="9">
        <f ca="1">IF(OR(BC6="",BC$28&lt;$A33),"",BC6/OFFSET(SSTotalESP!$A$2,MATCH(BC$29,SSTotalESP!$A$2:$A$500)+$A33-1,1)-1)</f>
        <v>1.1713775495662437E-2</v>
      </c>
      <c r="BD33" s="9">
        <f ca="1">IF(OR(BD6="",BD$28&lt;$A33),"",BD6/OFFSET(SSTotalESP!$A$2,MATCH(BD$29,SSTotalESP!$A$2:$A$500)+$A33-1,1)-1)</f>
        <v>6.833938985172594E-3</v>
      </c>
      <c r="BE33" s="9">
        <f ca="1">IF(OR(BE6="",BE$28&lt;$A33),"",BE6/OFFSET(SSTotalESP!$A$2,MATCH(BE$29,SSTotalESP!$A$2:$A$500)+$A33-1,1)-1)</f>
        <v>1.8533725766581854E-2</v>
      </c>
      <c r="BF33" s="9">
        <f ca="1">IF(OR(BF6="",BF$28&lt;$A33),"",BF6/OFFSET(SSTotalESP!$A$2,MATCH(BF$29,SSTotalESP!$A$2:$A$500)+$A33-1,1)-1)</f>
        <v>2.9117436110616124E-2</v>
      </c>
      <c r="BG33" s="9">
        <f ca="1">IF(OR(BG6="",BG$28&lt;$A33),"",BG6/OFFSET(SSTotalESP!$A$2,MATCH(BG$29,SSTotalESP!$A$2:$A$500)+$A33-1,1)-1)</f>
        <v>2.3146518703480501E-2</v>
      </c>
      <c r="BH33" s="9">
        <f ca="1">IF(OR(BH6="",BH$28&lt;$A33),"",BH6/OFFSET(SSTotalESP!$A$2,MATCH(BH$29,SSTotalESP!$A$2:$A$500)+$A33-1,1)-1)</f>
        <v>1.3691702387260918E-2</v>
      </c>
      <c r="BI33" s="9">
        <f ca="1">IF(OR(BI6="",BI$28&lt;$A33),"",BI6/OFFSET(SSTotalESP!$A$2,MATCH(BI$29,SSTotalESP!$A$2:$A$500)+$A33-1,1)-1)</f>
        <v>-1.9899821113712468E-3</v>
      </c>
      <c r="BJ33" s="9">
        <f ca="1">IF(OR(BJ6="",BJ$28&lt;$A33),"",BJ6/OFFSET(SSTotalESP!$A$2,MATCH(BJ$29,SSTotalESP!$A$2:$A$500)+$A33-1,1)-1)</f>
        <v>1.9645575336759702E-3</v>
      </c>
      <c r="BK33" s="9">
        <f ca="1">IF(OR(BK6="",BK$28&lt;$A33),"",BK6/OFFSET(SSTotalESP!$A$2,MATCH(BK$29,SSTotalESP!$A$2:$A$500)+$A33-1,1)-1)</f>
        <v>-3.516312167902047E-3</v>
      </c>
      <c r="BL33" s="9">
        <f ca="1">IF(OR(BL6="",BL$28&lt;$A33),"",BL6/OFFSET(SSTotalESP!$A$2,MATCH(BL$29,SSTotalESP!$A$2:$A$500)+$A33-1,1)-1)</f>
        <v>-1.4388327846254767E-2</v>
      </c>
      <c r="BM33" s="9">
        <f ca="1">IF(OR(BM6="",BM$28&lt;$A33),"",BM6/OFFSET(SSTotalESP!$A$2,MATCH(BM$29,SSTotalESP!$A$2:$A$500)+$A33-1,1)-1)</f>
        <v>-2.0206988476464849E-2</v>
      </c>
      <c r="BN33" s="9">
        <f ca="1">IF(OR(BN6="",BN$28&lt;$A33),"",BN6/OFFSET(SSTotalESP!$A$2,MATCH(BN$29,SSTotalESP!$A$2:$A$500)+$A33-1,1)-1)</f>
        <v>-1.6540338871264382E-2</v>
      </c>
      <c r="BO33" s="9">
        <f ca="1">IF(OR(BO6="",BO$28&lt;$A33),"",BO6/OFFSET(SSTotalESP!$A$2,MATCH(BO$29,SSTotalESP!$A$2:$A$500)+$A33-1,1)-1)</f>
        <v>-6.5117106327831076E-3</v>
      </c>
      <c r="BP33" s="9">
        <f ca="1">IF(OR(BP6="",BP$28&lt;$A33),"",BP6/OFFSET(SSTotalESP!$A$2,MATCH(BP$29,SSTotalESP!$A$2:$A$500)+$A33-1,1)-1)</f>
        <v>-8.0053967371028767E-3</v>
      </c>
      <c r="BQ33" s="9">
        <f ca="1">IF(OR(BQ6="",BQ$28&lt;$A33),"",BQ6/OFFSET(SSTotalESP!$A$2,MATCH(BQ$29,SSTotalESP!$A$2:$A$500)+$A33-1,1)-1)</f>
        <v>-1.0842104550112031E-2</v>
      </c>
      <c r="BR33" s="9">
        <f ca="1">IF(OR(BR6="",BR$28&lt;$A33),"",BR6/OFFSET(SSTotalESP!$A$2,MATCH(BR$29,SSTotalESP!$A$2:$A$500)+$A33-1,1)-1)</f>
        <v>2.3826979781356172E-3</v>
      </c>
      <c r="BS33" s="9">
        <f ca="1">IF(OR(BS6="",BS$28&lt;$A33),"",BS6/OFFSET(SSTotalESP!$A$2,MATCH(BS$29,SSTotalESP!$A$2:$A$500)+$A33-1,1)-1)</f>
        <v>-8.2455662903420102E-3</v>
      </c>
      <c r="BT33" s="9">
        <f ca="1">IF(OR(BT6="",BT$28&lt;$A33),"",BT6/OFFSET(SSTotalESP!$A$2,MATCH(BT$29,SSTotalESP!$A$2:$A$500)+$A33-1,1)-1)</f>
        <v>-6.7972475357575002E-3</v>
      </c>
      <c r="BU33" s="9">
        <f ca="1">IF(OR(BU6="",BU$28&lt;$A33),"",BU6/OFFSET(SSTotalESP!$A$2,MATCH(BU$29,SSTotalESP!$A$2:$A$500)+$A33-1,1)-1)</f>
        <v>-1.7598899516787503E-3</v>
      </c>
      <c r="BV33" s="9">
        <f ca="1">IF(OR(BV6="",BV$28&lt;$A33),"",BV6/OFFSET(SSTotalESP!$A$2,MATCH(BV$29,SSTotalESP!$A$2:$A$500)+$A33-1,1)-1)</f>
        <v>5.5304141661227657E-3</v>
      </c>
      <c r="BW33" s="9">
        <f ca="1">IF(OR(BW6="",BW$28&lt;$A33),"",BW6/OFFSET(SSTotalESP!$A$2,MATCH(BW$29,SSTotalESP!$A$2:$A$500)+$A33-1,1)-1)</f>
        <v>-5.0561336513488264E-4</v>
      </c>
      <c r="BX33" s="9">
        <f ca="1">IF(OR(BX6="",BX$28&lt;$A33),"",BX6/OFFSET(SSTotalESP!$A$2,MATCH(BX$29,SSTotalESP!$A$2:$A$500)+$A33-1,1)-1)</f>
        <v>-2.4770428239873077E-3</v>
      </c>
      <c r="BY33" s="9">
        <f ca="1">IF(OR(BY6="",BY$28&lt;$A33),"",BY6/OFFSET(SSTotalESP!$A$2,MATCH(BY$29,SSTotalESP!$A$2:$A$500)+$A33-1,1)-1)</f>
        <v>-3.0086624938834294E-3</v>
      </c>
      <c r="BZ33" s="9">
        <f ca="1">IF(OR(BZ6="",BZ$28&lt;$A33),"",BZ6/OFFSET(SSTotalESP!$A$2,MATCH(BZ$29,SSTotalESP!$A$2:$A$500)+$A33-1,1)-1)</f>
        <v>6.5015884735397655E-4</v>
      </c>
      <c r="CA33" s="9">
        <f ca="1">IF(OR(CA6="",CA$28&lt;$A33),"",CA6/OFFSET(SSTotalESP!$A$2,MATCH(CA$29,SSTotalESP!$A$2:$A$500)+$A33-1,1)-1)</f>
        <v>-1.8809827890475805E-4</v>
      </c>
      <c r="CB33" s="9">
        <f ca="1">IF(OR(CB6="",CB$28&lt;$A33),"",CB6/OFFSET(SSTotalESP!$A$2,MATCH(CB$29,SSTotalESP!$A$2:$A$500)+$A33-1,1)-1)</f>
        <v>-2.3865482915692571E-3</v>
      </c>
      <c r="CC33" s="9">
        <f ca="1">IF(OR(CC6="",CC$28&lt;$A33),"",CC6/OFFSET(SSTotalESP!$A$2,MATCH(CC$29,SSTotalESP!$A$2:$A$500)+$A33-1,1)-1)</f>
        <v>-4.4134045114737619E-3</v>
      </c>
      <c r="CD33" s="9">
        <f ca="1">IF(OR(CD6="",CD$28&lt;$A33),"",CD6/OFFSET(SSTotalESP!$A$2,MATCH(CD$29,SSTotalESP!$A$2:$A$500)+$A33-1,1)-1)</f>
        <v>2.0872731363597019E-4</v>
      </c>
      <c r="CE33" s="9">
        <f ca="1">IF(OR(CE6="",CE$28&lt;$A33),"",CE6/OFFSET(SSTotalESP!$A$2,MATCH(CE$29,SSTotalESP!$A$2:$A$500)+$A33-1,1)-1)</f>
        <v>-4.1382290876357253E-4</v>
      </c>
      <c r="CF33" s="9">
        <f ca="1">IF(OR(CF6="",CF$28&lt;$A33),"",CF6/OFFSET(SSTotalESP!$A$2,MATCH(CF$29,SSTotalESP!$A$2:$A$500)+$A33-1,1)-1)</f>
        <v>2.4253440395103354E-3</v>
      </c>
      <c r="CG33" s="9">
        <f ca="1">IF(OR(CG6="",CG$28&lt;$A33),"",CG6/OFFSET(SSTotalESP!$A$2,MATCH(CG$29,SSTotalESP!$A$2:$A$500)+$A33-1,1)-1)</f>
        <v>4.238939981853207E-4</v>
      </c>
      <c r="CH33" s="9">
        <f ca="1">IF(OR(CH6="",CH$28&lt;$A33),"",CH6/OFFSET(SSTotalESP!$A$2,MATCH(CH$29,SSTotalESP!$A$2:$A$500)+$A33-1,1)-1)</f>
        <v>4.0407042508354696E-3</v>
      </c>
      <c r="CI33" s="9">
        <f ca="1">IF(OR(CI6="",CI$28&lt;$A33),"",CI6/OFFSET(SSTotalESP!$A$2,MATCH(CI$29,SSTotalESP!$A$2:$A$500)+$A33-1,1)-1)</f>
        <v>4.5150559925324352E-3</v>
      </c>
      <c r="CJ33" s="9">
        <f ca="1">IF(OR(CJ6="",CJ$28&lt;$A33),"",CJ6/OFFSET(SSTotalESP!$A$2,MATCH(CJ$29,SSTotalESP!$A$2:$A$500)+$A33-1,1)-1)</f>
        <v>-7.7030109352723697E-3</v>
      </c>
      <c r="CK33" s="9">
        <f ca="1">IF(OR(CK6="",CK$28&lt;$A33),"",CK6/OFFSET(SSTotalESP!$A$2,MATCH(CK$29,SSTotalESP!$A$2:$A$500)+$A33-1,1)-1)</f>
        <v>2.0566953262279863E-3</v>
      </c>
      <c r="CL33" s="9">
        <f ca="1">IF(OR(CL6="",CL$28&lt;$A33),"",CL6/OFFSET(SSTotalESP!$A$2,MATCH(CL$29,SSTotalESP!$A$2:$A$500)+$A33-1,1)-1)</f>
        <v>6.084234045296899E-3</v>
      </c>
      <c r="CM33" s="9">
        <f ca="1">IF(OR(CM6="",CM$28&lt;$A33),"",CM6/OFFSET(SSTotalESP!$A$2,MATCH(CM$29,SSTotalESP!$A$2:$A$500)+$A33-1,1)-1)</f>
        <v>4.8576660207879652E-3</v>
      </c>
      <c r="CN33" s="9">
        <f ca="1">IF(OR(CN6="",CN$28&lt;$A33),"",CN6/OFFSET(SSTotalESP!$A$2,MATCH(CN$29,SSTotalESP!$A$2:$A$500)+$A33-1,1)-1)</f>
        <v>1.6709501516194436E-3</v>
      </c>
      <c r="CO33" s="9">
        <f ca="1">IF(OR(CO6="",CO$28&lt;$A33),"",CO6/OFFSET(SSTotalESP!$A$2,MATCH(CO$29,SSTotalESP!$A$2:$A$500)+$A33-1,1)-1)</f>
        <v>5.9887437345069738E-3</v>
      </c>
      <c r="CP33" s="9">
        <f ca="1">IF(OR(CP6="",CP$28&lt;$A33),"",CP6/OFFSET(SSTotalESP!$A$2,MATCH(CP$29,SSTotalESP!$A$2:$A$500)+$A33-1,1)-1)</f>
        <v>6.7827889393856644E-3</v>
      </c>
      <c r="CQ33" s="9">
        <f ca="1">IF(OR(CQ6="",CQ$28&lt;$A33),"",CQ6/OFFSET(SSTotalESP!$A$2,MATCH(CQ$29,SSTotalESP!$A$2:$A$500)+$A33-1,1)-1)</f>
        <v>7.0755166802336511E-3</v>
      </c>
      <c r="CR33" s="9">
        <f ca="1">IF(OR(CR6="",CR$28&lt;$A33),"",CR6/OFFSET(SSTotalESP!$A$2,MATCH(CR$29,SSTotalESP!$A$2:$A$500)+$A33-1,1)-1)</f>
        <v>-5.8978360907846472E-5</v>
      </c>
      <c r="CS33" s="9">
        <f ca="1">IF(OR(CS6="",CS$28&lt;$A33),"",CS6/OFFSET(SSTotalESP!$A$2,MATCH(CS$29,SSTotalESP!$A$2:$A$500)+$A33-1,1)-1)</f>
        <v>-1.136446755920506E-3</v>
      </c>
      <c r="CT33" s="9">
        <f ca="1">IF(OR(CT6="",CT$28&lt;$A33),"",CT6/OFFSET(SSTotalESP!$A$2,MATCH(CT$29,SSTotalESP!$A$2:$A$500)+$A33-1,1)-1)</f>
        <v>1.3404719992915481E-2</v>
      </c>
      <c r="CU33" s="9">
        <f ca="1">IF(OR(CU6="",CU$28&lt;$A33),"",CU6/OFFSET(SSTotalESP!$A$2,MATCH(CU$29,SSTotalESP!$A$2:$A$500)+$A33-1,1)-1)</f>
        <v>4.382710226963793E-3</v>
      </c>
      <c r="CV33" s="9">
        <f ca="1">IF(OR(CV6="",CV$28&lt;$A33),"",CV6/OFFSET(SSTotalESP!$A$2,MATCH(CV$29,SSTotalESP!$A$2:$A$500)+$A33-1,1)-1)</f>
        <v>-2.8422221701632777E-3</v>
      </c>
      <c r="CW33" s="9">
        <f ca="1">IF(OR(CW6="",CW$28&lt;$A33),"",CW6/OFFSET(SSTotalESP!$A$2,MATCH(CW$29,SSTotalESP!$A$2:$A$500)+$A33-1,1)-1)</f>
        <v>7.9866997146127439E-4</v>
      </c>
      <c r="CX33" s="9">
        <f ca="1">IF(OR(CX6="",CX$28&lt;$A33),"",CX6/OFFSET(SSTotalESP!$A$2,MATCH(CX$29,SSTotalESP!$A$2:$A$500)+$A33-1,1)-1)</f>
        <v>-3.7761455223112028E-3</v>
      </c>
      <c r="CY33" s="9">
        <f ca="1">IF(OR(CY6="",CY$28&lt;$A33),"",CY6/OFFSET(SSTotalESP!$A$2,MATCH(CY$29,SSTotalESP!$A$2:$A$500)+$A33-1,1)-1)</f>
        <v>-1.8388415925821855E-3</v>
      </c>
      <c r="CZ33" s="9">
        <f ca="1">IF(OR(CZ6="",CZ$28&lt;$A33),"",CZ6/OFFSET(SSTotalESP!$A$2,MATCH(CZ$29,SSTotalESP!$A$2:$A$500)+$A33-1,1)-1)</f>
        <v>8.3391362043712114E-3</v>
      </c>
      <c r="DA33" s="9">
        <f ca="1">IF(OR(DA6="",DA$28&lt;$A33),"",DA6/OFFSET(SSTotalESP!$A$2,MATCH(DA$29,SSTotalESP!$A$2:$A$500)+$A33-1,1)-1)</f>
        <v>4.1811412529380032E-3</v>
      </c>
      <c r="DB33" s="9">
        <f ca="1">IF(OR(DB6="",DB$28&lt;$A33),"",DB6/OFFSET(SSTotalESP!$A$2,MATCH(DB$29,SSTotalESP!$A$2:$A$500)+$A33-1,1)-1)</f>
        <v>1.2788779637948E-2</v>
      </c>
      <c r="DC33" s="9">
        <f ca="1">IF(OR(DC6="",DC$28&lt;$A33),"",DC6/OFFSET(SSTotalESP!$A$2,MATCH(DC$29,SSTotalESP!$A$2:$A$500)+$A33-1,1)-1)</f>
        <v>1.0650129045047141E-2</v>
      </c>
      <c r="DD33" s="9">
        <f ca="1">IF(OR(DD6="",DD$28&lt;$A33),"",DD6/OFFSET(SSTotalESP!$A$2,MATCH(DD$29,SSTotalESP!$A$2:$A$500)+$A33-1,1)-1)</f>
        <v>8.3008721323634127E-3</v>
      </c>
      <c r="DE33" s="9">
        <f ca="1">IF(OR(DE6="",DE$28&lt;$A33),"",DE6/OFFSET(SSTotalESP!$A$2,MATCH(DE$29,SSTotalESP!$A$2:$A$500)+$A33-1,1)-1)</f>
        <v>-1.4312157424189342E-2</v>
      </c>
      <c r="DF33" s="9">
        <f ca="1">IF(OR(DF6="",DF$28&lt;$A33),"",DF6/OFFSET(SSTotalESP!$A$2,MATCH(DF$29,SSTotalESP!$A$2:$A$500)+$A33-1,1)-1)</f>
        <v>-9.1013316589904081E-3</v>
      </c>
      <c r="DG33" s="9">
        <f ca="1">IF(OR(DG6="",DG$28&lt;$A33),"",DG6/OFFSET(SSTotalESP!$A$2,MATCH(DG$29,SSTotalESP!$A$2:$A$500)+$A33-1,1)-1)</f>
        <v>-6.5461598461701298E-3</v>
      </c>
      <c r="DH33" s="9">
        <f ca="1">IF(OR(DH6="",DH$28&lt;$A33),"",DH6/OFFSET(SSTotalESP!$A$2,MATCH(DH$29,SSTotalESP!$A$2:$A$500)+$A33-1,1)-1)</f>
        <v>-6.281166753747347E-3</v>
      </c>
      <c r="DI33" s="9">
        <f ca="1">IF(OR(DI6="",DI$28&lt;$A33),"",DI6/OFFSET(SSTotalESP!$A$2,MATCH(DI$29,SSTotalESP!$A$2:$A$500)+$A33-1,1)-1)</f>
        <v>-3.4438479604039784E-3</v>
      </c>
      <c r="DJ33" s="9">
        <f ca="1">IF(OR(DJ6="",DJ$28&lt;$A33),"",DJ6/OFFSET(SSTotalESP!$A$2,MATCH(DJ$29,SSTotalESP!$A$2:$A$500)+$A33-1,1)-1)</f>
        <v>-4.0585535393207195E-3</v>
      </c>
      <c r="DK33" s="9">
        <f ca="1">IF(OR(DK6="",DK$28&lt;$A33),"",DK6/OFFSET(SSTotalESP!$A$2,MATCH(DK$29,SSTotalESP!$A$2:$A$500)+$A33-1,1)-1)</f>
        <v>-3.8357766845853458E-4</v>
      </c>
      <c r="DL33" s="9">
        <f ca="1">IF(OR(DL6="",DL$28&lt;$A33),"",DL6/OFFSET(SSTotalESP!$A$2,MATCH(DL$29,SSTotalESP!$A$2:$A$500)+$A33-1,1)-1)</f>
        <v>-1.1631106497274724E-2</v>
      </c>
      <c r="DM33" s="9">
        <f ca="1">IF(OR(DM6="",DM$28&lt;$A33),"",DM6/OFFSET(SSTotalESP!$A$2,MATCH(DM$29,SSTotalESP!$A$2:$A$500)+$A33-1,1)-1)</f>
        <v>-1.5534447531212359E-2</v>
      </c>
      <c r="DN33" s="9">
        <f ca="1">IF(OR(DN6="",DN$28&lt;$A33),"",DN6/OFFSET(SSTotalESP!$A$2,MATCH(DN$29,SSTotalESP!$A$2:$A$500)+$A33-1,1)-1)</f>
        <v>-1.9067402566434577E-2</v>
      </c>
      <c r="DO33" s="9">
        <f ca="1">IF(OR(DO6="",DO$28&lt;$A33),"",DO6/OFFSET(SSTotalESP!$A$2,MATCH(DO$29,SSTotalESP!$A$2:$A$500)+$A33-1,1)-1)</f>
        <v>-1.4332557236245491E-2</v>
      </c>
      <c r="DP33" s="9">
        <f ca="1">IF(OR(DP6="",DP$28&lt;$A33),"",DP6/OFFSET(SSTotalESP!$A$2,MATCH(DP$29,SSTotalESP!$A$2:$A$500)+$A33-1,1)-1)</f>
        <v>-5.1711784825896334E-3</v>
      </c>
      <c r="DQ33" s="9">
        <f ca="1">IF(OR(DQ6="",DQ$28&lt;$A33),"",DQ6/OFFSET(SSTotalESP!$A$2,MATCH(DQ$29,SSTotalESP!$A$2:$A$500)+$A33-1,1)-1)</f>
        <v>-4.828116246300973E-3</v>
      </c>
      <c r="DR33" s="9">
        <f ca="1">IF(OR(DR6="",DR$28&lt;$A33),"",DR6/OFFSET(SSTotalESP!$A$2,MATCH(DR$29,SSTotalESP!$A$2:$A$500)+$A33-1,1)-1)</f>
        <v>3.116111043433234E-3</v>
      </c>
      <c r="DS33" s="9">
        <f ca="1">IF(OR(DS6="",DS$28&lt;$A33),"",DS6/OFFSET(SSTotalESP!$A$2,MATCH(DS$29,SSTotalESP!$A$2:$A$500)+$A33-1,1)-1)</f>
        <v>-5.6287318443503098E-3</v>
      </c>
      <c r="DT33" s="9">
        <f ca="1">IF(OR(DT6="",DT$28&lt;$A33),"",DT6/OFFSET(SSTotalESP!$A$2,MATCH(DT$29,SSTotalESP!$A$2:$A$500)+$A33-1,1)-1)</f>
        <v>-5.2779797608225598E-3</v>
      </c>
      <c r="DU33" s="9">
        <f ca="1">IF(OR(DU6="",DU$28&lt;$A33),"",DU6/OFFSET(SSTotalESP!$A$2,MATCH(DU$29,SSTotalESP!$A$2:$A$500)+$A33-1,1)-1)</f>
        <v>-4.9170722503841802E-3</v>
      </c>
      <c r="DV33" s="9">
        <f ca="1">IF(OR(DV6="",DV$28&lt;$A33),"",DV6/OFFSET(SSTotalESP!$A$2,MATCH(DV$29,SSTotalESP!$A$2:$A$500)+$A33-1,1)-1)</f>
        <v>3.3691770840191815E-3</v>
      </c>
      <c r="DW33" s="9">
        <f ca="1">IF(OR(DW6="",DW$28&lt;$A33),"",DW6/OFFSET(SSTotalESP!$A$2,MATCH(DW$29,SSTotalESP!$A$2:$A$500)+$A33-1,1)-1)</f>
        <v>5.2751937506048119E-3</v>
      </c>
      <c r="DX33" s="9">
        <f ca="1">IF(OR(DX6="",DX$28&lt;$A33),"",DX6/OFFSET(SSTotalESP!$A$2,MATCH(DX$29,SSTotalESP!$A$2:$A$500)+$A33-1,1)-1)</f>
        <v>-1.8166991393253618E-4</v>
      </c>
      <c r="DY33" s="9">
        <f ca="1">IF(OR(DY6="",DY$28&lt;$A33),"",DY6/OFFSET(SSTotalESP!$A$2,MATCH(DY$29,SSTotalESP!$A$2:$A$500)+$A33-1,1)-1)</f>
        <v>-5.317305962651675E-3</v>
      </c>
      <c r="DZ33" s="9">
        <f ca="1">IF(OR(DZ6="",DZ$28&lt;$A33),"",DZ6/OFFSET(SSTotalESP!$A$2,MATCH(DZ$29,SSTotalESP!$A$2:$A$500)+$A33-1,1)-1)</f>
        <v>-1.0399143058366644E-2</v>
      </c>
      <c r="EA33" s="9">
        <f ca="1">IF(OR(EA6="",EA$28&lt;$A33),"",EA6/OFFSET(SSTotalESP!$A$2,MATCH(EA$29,SSTotalESP!$A$2:$A$500)+$A33-1,1)-1)</f>
        <v>-4.2635291676431653E-3</v>
      </c>
      <c r="EB33" s="9">
        <f ca="1">IF(OR(EB6="",EB$28&lt;$A33),"",EB6/OFFSET(SSTotalESP!$A$2,MATCH(EB$29,SSTotalESP!$A$2:$A$500)+$A33-1,1)-1)</f>
        <v>-9.8708299462634264E-3</v>
      </c>
      <c r="EC33" s="9">
        <f ca="1">IF(OR(EC6="",EC$28&lt;$A33),"",EC6/OFFSET(SSTotalESP!$A$2,MATCH(EC$29,SSTotalESP!$A$2:$A$500)+$A33-1,1)-1)</f>
        <v>-2.8412645618645094E-3</v>
      </c>
      <c r="ED33" s="9">
        <f ca="1">IF(OR(ED6="",ED$28&lt;$A33),"",ED6/OFFSET(SSTotalESP!$A$2,MATCH(ED$29,SSTotalESP!$A$2:$A$500)+$A33-1,1)-1)</f>
        <v>-2.1620604397624144E-3</v>
      </c>
      <c r="EE33" s="9">
        <f ca="1">IF(OR(EE6="",EE$28&lt;$A33),"",EE6/OFFSET(SSTotalESP!$A$2,MATCH(EE$29,SSTotalESP!$A$2:$A$500)+$A33-1,1)-1)</f>
        <v>-1.3114302826757185E-2</v>
      </c>
      <c r="EF33" s="9">
        <f ca="1">IF(OR(EF6="",EF$28&lt;$A33),"",EF6/OFFSET(SSTotalESP!$A$2,MATCH(EF$29,SSTotalESP!$A$2:$A$500)+$A33-1,1)-1)</f>
        <v>-2.4451164997378871E-3</v>
      </c>
      <c r="EG33" s="9">
        <f ca="1">IF(OR(EG6="",EG$28&lt;$A33),"",EG6/OFFSET(SSTotalESP!$A$2,MATCH(EG$29,SSTotalESP!$A$2:$A$500)+$A33-1,1)-1)</f>
        <v>7.6298133606076401E-3</v>
      </c>
      <c r="EH33" s="9">
        <f ca="1">IF(OR(EH6="",EH$28&lt;$A33),"",EH6/OFFSET(SSTotalESP!$A$2,MATCH(EH$29,SSTotalESP!$A$2:$A$500)+$A33-1,1)-1)</f>
        <v>1.2839931052619269E-2</v>
      </c>
      <c r="EI33" s="9">
        <f ca="1">IF(OR(EI6="",EI$28&lt;$A33),"",EI6/OFFSET(SSTotalESP!$A$2,MATCH(EI$29,SSTotalESP!$A$2:$A$500)+$A33-1,1)-1)</f>
        <v>1.3163903202782601E-2</v>
      </c>
      <c r="EJ33" s="9">
        <f ca="1">IF(OR(EJ6="",EJ$28&lt;$A33),"",EJ6/OFFSET(SSTotalESP!$A$2,MATCH(EJ$29,SSTotalESP!$A$2:$A$500)+$A33-1,1)-1)</f>
        <v>2.3857193530263388E-3</v>
      </c>
      <c r="EK33" s="9">
        <f ca="1">IF(OR(EK6="",EK$28&lt;$A33),"",EK6/OFFSET(SSTotalESP!$A$2,MATCH(EK$29,SSTotalESP!$A$2:$A$500)+$A33-1,1)-1)</f>
        <v>-2.1406178538585507E-4</v>
      </c>
      <c r="EL33" s="9">
        <f ca="1">IF(OR(EL6="",EL$28&lt;$A33),"",EL6/OFFSET(SSTotalESP!$A$2,MATCH(EL$29,SSTotalESP!$A$2:$A$500)+$A33-1,1)-1)</f>
        <v>-9.5344578951525039E-3</v>
      </c>
      <c r="EM33" s="9">
        <f ca="1">IF(OR(EM6="",EM$28&lt;$A33),"",EM6/OFFSET(SSTotalESP!$A$2,MATCH(EM$29,SSTotalESP!$A$2:$A$500)+$A33-1,1)-1)</f>
        <v>-3.3016563443479807E-3</v>
      </c>
      <c r="EN33" s="9">
        <f ca="1">IF(OR(EN6="",EN$28&lt;$A33),"",EN6/OFFSET(SSTotalESP!$A$2,MATCH(EN$29,SSTotalESP!$A$2:$A$500)+$A33-1,1)-1)</f>
        <v>-1.5987700081903089E-3</v>
      </c>
      <c r="EO33" s="9">
        <f ca="1">IF(OR(EO6="",EO$28&lt;$A33),"",EO6/OFFSET(SSTotalESP!$A$2,MATCH(EO$29,SSTotalESP!$A$2:$A$500)+$A33-1,1)-1)</f>
        <v>2.4360372567922006E-4</v>
      </c>
      <c r="EP33" s="9">
        <f ca="1">IF(OR(EP6="",EP$28&lt;$A33),"",EP6/OFFSET(SSTotalESP!$A$2,MATCH(EP$29,SSTotalESP!$A$2:$A$500)+$A33-1,1)-1)</f>
        <v>3.245470273564699E-3</v>
      </c>
      <c r="EQ33" s="9">
        <f ca="1">IF(OR(EQ6="",EQ$28&lt;$A33),"",EQ6/OFFSET(SSTotalESP!$A$2,MATCH(EQ$29,SSTotalESP!$A$2:$A$500)+$A33-1,1)-1)</f>
        <v>-2.3079509432596401E-3</v>
      </c>
      <c r="ER33" s="9">
        <f ca="1">IF(OR(ER6="",ER$28&lt;$A33),"",ER6/OFFSET(SSTotalESP!$A$2,MATCH(ER$29,SSTotalESP!$A$2:$A$500)+$A33-1,1)-1)</f>
        <v>-6.2090203821499879E-3</v>
      </c>
      <c r="ES33" s="9">
        <f ca="1">IF(OR(ES6="",ES$28&lt;$A33),"",ES6/OFFSET(SSTotalESP!$A$2,MATCH(ES$29,SSTotalESP!$A$2:$A$500)+$A33-1,1)-1)</f>
        <v>-4.4219086411304565E-3</v>
      </c>
      <c r="ET33" s="9">
        <f ca="1">IF(OR(ET6="",ET$28&lt;$A33),"",ET6/OFFSET(SSTotalESP!$A$2,MATCH(ET$29,SSTotalESP!$A$2:$A$500)+$A33-1,1)-1)</f>
        <v>-1.1929036796819448E-3</v>
      </c>
      <c r="EU33" s="9">
        <f ca="1">IF(OR(EU6="",EU$28&lt;$A33),"",EU6/OFFSET(SSTotalESP!$A$2,MATCH(EU$29,SSTotalESP!$A$2:$A$500)+$A33-1,1)-1)</f>
        <v>-9.6086352304125544E-4</v>
      </c>
      <c r="EV33" s="9">
        <f ca="1">IF(OR(EV6="",EV$28&lt;$A33),"",EV6/OFFSET(SSTotalESP!$A$2,MATCH(EV$29,SSTotalESP!$A$2:$A$500)+$A33-1,1)-1)</f>
        <v>2.4438382679827786E-3</v>
      </c>
      <c r="EW33" s="9">
        <f ca="1">IF(OR(EW6="",EW$28&lt;$A33),"",EW6/OFFSET(SSTotalESP!$A$2,MATCH(EW$29,SSTotalESP!$A$2:$A$500)+$A33-1,1)-1)</f>
        <v>1.7621093485920003E-3</v>
      </c>
      <c r="EX33" s="9">
        <f ca="1">IF(OR(EX6="",EX$28&lt;$A33),"",EX6/OFFSET(SSTotalESP!$A$2,MATCH(EX$29,SSTotalESP!$A$2:$A$500)+$A33-1,1)-1)</f>
        <v>-5.9774447910783124E-3</v>
      </c>
      <c r="EY33" s="9">
        <f ca="1">IF(OR(EY6="",EY$28&lt;$A33),"",EY6/OFFSET(SSTotalESP!$A$2,MATCH(EY$29,SSTotalESP!$A$2:$A$500)+$A33-1,1)-1)</f>
        <v>-4.8077004999360629E-3</v>
      </c>
      <c r="EZ33" s="9">
        <f ca="1">IF(OR(EZ6="",EZ$28&lt;$A33),"",EZ6/OFFSET(SSTotalESP!$A$2,MATCH(EZ$29,SSTotalESP!$A$2:$A$500)+$A33-1,1)-1)</f>
        <v>5.0954584584077534E-3</v>
      </c>
      <c r="FA33" s="9">
        <f ca="1">IF(OR(FA6="",FA$28&lt;$A33),"",FA6/OFFSET(SSTotalESP!$A$2,MATCH(FA$29,SSTotalESP!$A$2:$A$500)+$A33-1,1)-1)</f>
        <v>-4.9668280863206515E-3</v>
      </c>
      <c r="FB33" s="9">
        <f ca="1">IF(OR(FB6="",FB$28&lt;$A33),"",FB6/OFFSET(SSTotalESP!$A$2,MATCH(FB$29,SSTotalESP!$A$2:$A$500)+$A33-1,1)-1)</f>
        <v>-7.606217012401828E-3</v>
      </c>
      <c r="FC33" s="9">
        <f ca="1">IF(OR(FC6="",FC$28&lt;$A33),"",FC6/OFFSET(SSTotalESP!$A$2,MATCH(FC$29,SSTotalESP!$A$2:$A$500)+$A33-1,1)-1)</f>
        <v>-7.3037357209835285E-3</v>
      </c>
      <c r="FD33" s="9">
        <f ca="1">IF(OR(FD6="",FD$28&lt;$A33),"",FD6/OFFSET(SSTotalESP!$A$2,MATCH(FD$29,SSTotalESP!$A$2:$A$500)+$A33-1,1)-1)</f>
        <v>-7.0813657396729957E-3</v>
      </c>
      <c r="FE33" s="9">
        <f ca="1">IF(OR(FE6="",FE$28&lt;$A33),"",FE6/OFFSET(SSTotalESP!$A$2,MATCH(FE$29,SSTotalESP!$A$2:$A$500)+$A33-1,1)-1)</f>
        <v>-1.7563518352803342E-4</v>
      </c>
      <c r="FF33" s="9">
        <f ca="1">IF(OR(FF6="",FF$28&lt;$A33),"",FF6/OFFSET(SSTotalESP!$A$2,MATCH(FF$29,SSTotalESP!$A$2:$A$500)+$A33-1,1)-1)</f>
        <v>9.2309979760740735E-3</v>
      </c>
      <c r="FG33" s="9">
        <f ca="1">IF(OR(FG6="",FG$28&lt;$A33),"",FG6/OFFSET(SSTotalESP!$A$2,MATCH(FG$29,SSTotalESP!$A$2:$A$500)+$A33-1,1)-1)</f>
        <v>8.7089164715814515E-3</v>
      </c>
      <c r="FH33" s="9">
        <f ca="1">IF(OR(FH6="",FH$28&lt;$A33),"",FH6/OFFSET(SSTotalESP!$A$2,MATCH(FH$29,SSTotalESP!$A$2:$A$500)+$A33-1,1)-1)</f>
        <v>5.2301767439526525E-3</v>
      </c>
      <c r="FI33" s="9">
        <f ca="1">IF(OR(FI6="",FI$28&lt;$A33),"",FI6/OFFSET(SSTotalESP!$A$2,MATCH(FI$29,SSTotalESP!$A$2:$A$500)+$A33-1,1)-1)</f>
        <v>-2.2227662814500171E-3</v>
      </c>
      <c r="FJ33" s="9">
        <f ca="1">IF(OR(FJ6="",FJ$28&lt;$A33),"",FJ6/OFFSET(SSTotalESP!$A$2,MATCH(FJ$29,SSTotalESP!$A$2:$A$500)+$A33-1,1)-1)</f>
        <v>-7.5396412353804232E-3</v>
      </c>
      <c r="FK33" s="9">
        <f ca="1">IF(OR(FK6="",FK$28&lt;$A33),"",FK6/OFFSET(SSTotalESP!$A$2,MATCH(FK$29,SSTotalESP!$A$2:$A$500)+$A33-1,1)-1)</f>
        <v>-1.8207911380280217E-3</v>
      </c>
      <c r="FL33" s="9">
        <f ca="1">IF(OR(FL6="",FL$28&lt;$A33),"",FL6/OFFSET(SSTotalESP!$A$2,MATCH(FL$29,SSTotalESP!$A$2:$A$500)+$A33-1,1)-1)</f>
        <v>1.2900210329005457E-3</v>
      </c>
      <c r="FM33" s="9">
        <f ca="1">IF(OR(FM6="",FM$28&lt;$A33),"",FM6/OFFSET(SSTotalESP!$A$2,MATCH(FM$29,SSTotalESP!$A$2:$A$500)+$A33-1,1)-1)</f>
        <v>1.7737442344227805E-3</v>
      </c>
      <c r="FN33" s="9">
        <f ca="1">IF(OR(FN6="",FN$28&lt;$A33),"",FN6/OFFSET(SSTotalESP!$A$2,MATCH(FN$29,SSTotalESP!$A$2:$A$500)+$A33-1,1)-1)</f>
        <v>-2.5209702724047212E-3</v>
      </c>
      <c r="FO33" s="9">
        <f ca="1">IF(OR(FO6="",FO$28&lt;$A33),"",FO6/OFFSET(SSTotalESP!$A$2,MATCH(FO$29,SSTotalESP!$A$2:$A$500)+$A33-1,1)-1)</f>
        <v>-3.3676477907996771E-3</v>
      </c>
      <c r="FP33" s="9">
        <f ca="1">IF(OR(FP6="",FP$28&lt;$A33),"",FP6/OFFSET(SSTotalESP!$A$2,MATCH(FP$29,SSTotalESP!$A$2:$A$500)+$A33-1,1)-1)</f>
        <v>-1.9185079377963543E-3</v>
      </c>
      <c r="FQ33" s="9">
        <f ca="1">IF(OR(FQ6="",FQ$28&lt;$A33),"",FQ6/OFFSET(SSTotalESP!$A$2,MATCH(FQ$29,SSTotalESP!$A$2:$A$500)+$A33-1,1)-1)</f>
        <v>-1.006255399740752E-3</v>
      </c>
      <c r="FR33" s="9">
        <f ca="1">IF(OR(FR6="",FR$28&lt;$A33),"",FR6/OFFSET(SSTotalESP!$A$2,MATCH(FR$29,SSTotalESP!$A$2:$A$500)+$A33-1,1)-1)</f>
        <v>2.4366118655743119E-3</v>
      </c>
      <c r="FS33" s="9">
        <f ca="1">IF(OR(FS6="",FS$28&lt;$A33),"",FS6/OFFSET(SSTotalESP!$A$2,MATCH(FS$29,SSTotalESP!$A$2:$A$500)+$A33-1,1)-1)</f>
        <v>7.2866126011790211E-3</v>
      </c>
      <c r="FT33" s="9">
        <f ca="1">IF(OR(FT6="",FT$28&lt;$A33),"",FT6/OFFSET(SSTotalESP!$A$2,MATCH(FT$29,SSTotalESP!$A$2:$A$500)+$A33-1,1)-1)</f>
        <v>3.6204526438832207E-3</v>
      </c>
      <c r="FU33" s="9">
        <f ca="1">IF(OR(FU6="",FU$28&lt;$A33),"",FU6/OFFSET(SSTotalESP!$A$2,MATCH(FU$29,SSTotalESP!$A$2:$A$500)+$A33-1,1)-1)</f>
        <v>-1.5426101909217227E-3</v>
      </c>
      <c r="FV33" s="9">
        <f ca="1">IF(OR(FV6="",FV$28&lt;$A33),"",FV6/OFFSET(SSTotalESP!$A$2,MATCH(FV$29,SSTotalESP!$A$2:$A$500)+$A33-1,1)-1)</f>
        <v>-8.8318201803161411E-3</v>
      </c>
      <c r="FW33" s="9">
        <f ca="1">IF(OR(FW6="",FW$28&lt;$A33),"",FW6/OFFSET(SSTotalESP!$A$2,MATCH(FW$29,SSTotalESP!$A$2:$A$500)+$A33-1,1)-1)</f>
        <v>-3.9607388633158269E-3</v>
      </c>
      <c r="FX33" s="9">
        <f ca="1">IF(OR(FX6="",FX$28&lt;$A33),"",FX6/OFFSET(SSTotalESP!$A$2,MATCH(FX$29,SSTotalESP!$A$2:$A$500)+$A33-1,1)-1)</f>
        <v>5.9515675064036877E-3</v>
      </c>
      <c r="FY33" s="9">
        <f ca="1">IF(OR(FY6="",FY$28&lt;$A33),"",FY6/OFFSET(SSTotalESP!$A$2,MATCH(FY$29,SSTotalESP!$A$2:$A$500)+$A33-1,1)-1)</f>
        <v>-3.1577472901902492E-3</v>
      </c>
      <c r="FZ33" s="9">
        <f ca="1">IF(OR(FZ6="",FZ$28&lt;$A33),"",FZ6/OFFSET(SSTotalESP!$A$2,MATCH(FZ$29,SSTotalESP!$A$2:$A$500)+$A33-1,1)-1)</f>
        <v>2.4412231209842705E-3</v>
      </c>
      <c r="GA33" s="9">
        <f ca="1">IF(OR(GA6="",GA$28&lt;$A33),"",GA6/OFFSET(SSTotalESP!$A$2,MATCH(GA$29,SSTotalESP!$A$2:$A$500)+$A33-1,1)-1)</f>
        <v>-4.4098178828443357E-3</v>
      </c>
      <c r="GB33" s="9">
        <f ca="1">IF(OR(GB6="",GB$28&lt;$A33),"",GB6/OFFSET(SSTotalESP!$A$2,MATCH(GB$29,SSTotalESP!$A$2:$A$500)+$A33-1,1)-1)</f>
        <v>-3.2543256157461231E-3</v>
      </c>
      <c r="GC33" s="9">
        <f ca="1">IF(OR(GC6="",GC$28&lt;$A33),"",GC6/OFFSET(SSTotalESP!$A$2,MATCH(GC$29,SSTotalESP!$A$2:$A$500)+$A33-1,1)-1)</f>
        <v>2.5754204981240925E-3</v>
      </c>
      <c r="GD33" s="9">
        <f ca="1">IF(OR(GD6="",GD$28&lt;$A33),"",GD6/OFFSET(SSTotalESP!$A$2,MATCH(GD$29,SSTotalESP!$A$2:$A$500)+$A33-1,1)-1)</f>
        <v>7.0806707988466666E-3</v>
      </c>
      <c r="GE33" s="9">
        <f ca="1">IF(OR(GE6="",GE$28&lt;$A33),"",GE6/OFFSET(SSTotalESP!$A$2,MATCH(GE$29,SSTotalESP!$A$2:$A$500)+$A33-1,1)-1)</f>
        <v>5.5673604213011263E-3</v>
      </c>
      <c r="GF33" s="9">
        <f ca="1">IF(OR(GF6="",GF$28&lt;$A33),"",GF6/OFFSET(SSTotalESP!$A$2,MATCH(GF$29,SSTotalESP!$A$2:$A$500)+$A33-1,1)-1)</f>
        <v>3.5581206318771041E-3</v>
      </c>
      <c r="GG33" s="9">
        <f ca="1">IF(OR(GG6="",GG$28&lt;$A33),"",GG6/OFFSET(SSTotalESP!$A$2,MATCH(GG$29,SSTotalESP!$A$2:$A$500)+$A33-1,1)-1)</f>
        <v>-4.0054623763086106E-4</v>
      </c>
      <c r="GH33" s="9">
        <f ca="1">IF(OR(GH6="",GH$28&lt;$A33),"",GH6/OFFSET(SSTotalESP!$A$2,MATCH(GH$29,SSTotalESP!$A$2:$A$500)+$A33-1,1)-1)</f>
        <v>-2.6116565038966089E-3</v>
      </c>
      <c r="GI33" s="9">
        <f ca="1">IF(OR(GI6="",GI$28&lt;$A33),"",GI6/OFFSET(SSTotalESP!$A$2,MATCH(GI$29,SSTotalESP!$A$2:$A$500)+$A33-1,1)-1)</f>
        <v>7.2200122911203479E-4</v>
      </c>
      <c r="GJ33" s="9">
        <f ca="1">IF(OR(GJ6="",GJ$28&lt;$A33),"",GJ6/OFFSET(SSTotalESP!$A$2,MATCH(GJ$29,SSTotalESP!$A$2:$A$500)+$A33-1,1)-1)</f>
        <v>2.4672888256707104E-3</v>
      </c>
      <c r="GK33" s="9">
        <f ca="1">IF(OR(GK6="",GK$28&lt;$A33),"",GK6/OFFSET(SSTotalESP!$A$2,MATCH(GK$29,SSTotalESP!$A$2:$A$500)+$A33-1,1)-1)</f>
        <v>2.0783704168269246E-2</v>
      </c>
      <c r="GL33" s="9">
        <f ca="1">IF(OR(GL6="",GL$28&lt;$A33),"",GL6/OFFSET(SSTotalESP!$A$2,MATCH(GL$29,SSTotalESP!$A$2:$A$500)+$A33-1,1)-1)</f>
        <v>5.7494814139795958E-2</v>
      </c>
      <c r="GM33" s="9">
        <f ca="1">IF(OR(GM6="",GM$28&lt;$A33),"",GM6/OFFSET(SSTotalESP!$A$2,MATCH(GM$29,SSTotalESP!$A$2:$A$500)+$A33-1,1)-1)</f>
        <v>5.6944380174837939E-2</v>
      </c>
      <c r="GN33" s="9">
        <f ca="1">IF(OR(GN6="",GN$28&lt;$A33),"",GN6/OFFSET(SSTotalESP!$A$2,MATCH(GN$29,SSTotalESP!$A$2:$A$500)+$A33-1,1)-1)</f>
        <v>6.4137650878316466E-2</v>
      </c>
      <c r="GO33" s="9">
        <f ca="1">IF(OR(GO6="",GO$28&lt;$A33),"",GO6/OFFSET(SSTotalESP!$A$2,MATCH(GO$29,SSTotalESP!$A$2:$A$500)+$A33-1,1)-1)</f>
        <v>2.6148789362670621E-2</v>
      </c>
      <c r="GP33" s="9">
        <f ca="1">IF(OR(GP6="",GP$28&lt;$A33),"",GP6/OFFSET(SSTotalESP!$A$2,MATCH(GP$29,SSTotalESP!$A$2:$A$500)+$A33-1,1)-1)</f>
        <v>-2.4554259099680897E-2</v>
      </c>
      <c r="GQ33" s="9">
        <f ca="1">IF(OR(GQ6="",GQ$28&lt;$A33),"",GQ6/OFFSET(SSTotalESP!$A$2,MATCH(GQ$29,SSTotalESP!$A$2:$A$500)+$A33-1,1)-1)</f>
        <v>-3.8162336144304421E-2</v>
      </c>
      <c r="GR33" s="9">
        <f ca="1">IF(OR(GR6="",GR$28&lt;$A33),"",GR6/OFFSET(SSTotalESP!$A$2,MATCH(GR$29,SSTotalESP!$A$2:$A$500)+$A33-1,1)-1)</f>
        <v>-3.4728686821902555E-2</v>
      </c>
      <c r="GS33" s="9">
        <f ca="1">IF(OR(GS6="",GS$28&lt;$A33),"",GS6/OFFSET(SSTotalESP!$A$2,MATCH(GS$29,SSTotalESP!$A$2:$A$500)+$A33-1,1)-1)</f>
        <v>-2.7923005765763231E-2</v>
      </c>
      <c r="GT33" s="9">
        <f ca="1">IF(OR(GT6="",GT$28&lt;$A33),"",GT6/OFFSET(SSTotalESP!$A$2,MATCH(GT$29,SSTotalESP!$A$2:$A$500)+$A33-1,1)-1)</f>
        <v>3.1137624566228705E-3</v>
      </c>
      <c r="GU33" s="9">
        <f ca="1">IF(OR(GU6="",GU$28&lt;$A33),"",GU6/OFFSET(SSTotalESP!$A$2,MATCH(GU$29,SSTotalESP!$A$2:$A$500)+$A33-1,1)-1)</f>
        <v>1.9895686205668728E-3</v>
      </c>
      <c r="GV33" s="9" t="str">
        <f ca="1">IF(OR(GV6="",GV$28&lt;$A33),"",GV6/OFFSET(SSTotalESP!$A$2,MATCH(GV$29,SSTotalESP!$A$2:$A$500)+$A33-1,1)-1)</f>
        <v/>
      </c>
      <c r="GW33" s="9" t="str">
        <f ca="1">IF(OR(GW6="",GW$28&lt;$A33),"",GW6/OFFSET(SSTotalESP!$A$2,MATCH(GW$29,SSTotalESP!$A$2:$A$500)+$A33-1,1)-1)</f>
        <v/>
      </c>
      <c r="GX33" s="9" t="str">
        <f ca="1">IF(OR(GX6="",GX$28&lt;$A33),"",GX6/OFFSET(SSTotalESP!$A$2,MATCH(GX$29,SSTotalESP!$A$2:$A$500)+$A33-1,1)-1)</f>
        <v/>
      </c>
      <c r="GY33" s="9" t="str">
        <f ca="1">IF(OR(GY6="",GY$28&lt;$A33),"",GY6/OFFSET(SSTotalESP!$A$2,MATCH(GY$29,SSTotalESP!$A$2:$A$500)+$A33-1,1)-1)</f>
        <v/>
      </c>
      <c r="GZ33" s="9" t="str">
        <f ca="1">IF(OR(GZ6="",GZ$28&lt;$A33),"",GZ6/OFFSET(SSTotalESP!$A$2,MATCH(GZ$29,SSTotalESP!$A$2:$A$500)+$A33-1,1)-1)</f>
        <v/>
      </c>
      <c r="HA33" s="9" t="str">
        <f ca="1">IF(OR(HA6="",HA$28&lt;$A33),"",HA6/OFFSET(SSTotalESP!$A$2,MATCH(HA$29,SSTotalESP!$A$2:$A$500)+$A33-1,1)-1)</f>
        <v/>
      </c>
      <c r="HB33" s="9" t="str">
        <f ca="1">IF(OR(HB6="",HB$28&lt;$A33),"",HB6/OFFSET(SSTotalESP!$A$2,MATCH(HB$29,SSTotalESP!$A$2:$A$500)+$A33-1,1)-1)</f>
        <v/>
      </c>
      <c r="HC33" s="9" t="str">
        <f ca="1">IF(OR(HC6="",HC$28&lt;$A33),"",HC6/OFFSET(SSTotalESP!$A$2,MATCH(HC$29,SSTotalESP!$A$2:$A$500)+$A33-1,1)-1)</f>
        <v/>
      </c>
      <c r="HD33" s="9" t="str">
        <f ca="1">IF(OR(HD6="",HD$28&lt;$A33),"",HD6/OFFSET(SSTotalESP!$A$2,MATCH(HD$29,SSTotalESP!$A$2:$A$500)+$A33-1,1)-1)</f>
        <v/>
      </c>
      <c r="HE33" s="9" t="str">
        <f ca="1">IF(OR(HE6="",HE$28&lt;$A33),"",HE6/OFFSET(SSTotalESP!$A$2,MATCH(HE$29,SSTotalESP!$A$2:$A$500)+$A33-1,1)-1)</f>
        <v/>
      </c>
      <c r="HF33" s="9" t="str">
        <f ca="1">IF(OR(HF6="",HF$28&lt;$A33),"",HF6/OFFSET(SSTotalESP!$A$2,MATCH(HF$29,SSTotalESP!$A$2:$A$500)+$A33-1,1)-1)</f>
        <v/>
      </c>
      <c r="HG33" s="9" t="str">
        <f ca="1">IF(OR(HG6="",HG$28&lt;$A33),"",HG6/OFFSET(SSTotalESP!$A$2,MATCH(HG$29,SSTotalESP!$A$2:$A$500)+$A33-1,1)-1)</f>
        <v/>
      </c>
      <c r="HH33" s="9" t="str">
        <f ca="1">IF(OR(HH6="",HH$28&lt;$A33),"",HH6/OFFSET(SSTotalESP!$A$2,MATCH(HH$29,SSTotalESP!$A$2:$A$500)+$A33-1,1)-1)</f>
        <v/>
      </c>
      <c r="HI33" s="9" t="str">
        <f ca="1">IF(OR(HI6="",HI$28&lt;$A33),"",HI6/OFFSET(SSTotalESP!$A$2,MATCH(HI$29,SSTotalESP!$A$2:$A$500)+$A33-1,1)-1)</f>
        <v/>
      </c>
      <c r="HJ33" s="9" t="str">
        <f ca="1">IF(OR(HJ6="",HJ$28&lt;$A33),"",HJ6/OFFSET(SSTotalESP!$A$2,MATCH(HJ$29,SSTotalESP!$A$2:$A$500)+$A33-1,1)-1)</f>
        <v/>
      </c>
      <c r="HK33" s="9" t="str">
        <f ca="1">IF(OR(HK6="",HK$28&lt;$A33),"",HK6/OFFSET(SSTotalESP!$A$2,MATCH(HK$29,SSTotalESP!$A$2:$A$500)+$A33-1,1)-1)</f>
        <v/>
      </c>
      <c r="HL33" s="9" t="str">
        <f ca="1">IF(OR(HL6="",HL$28&lt;$A33),"",HL6/OFFSET(SSTotalESP!$A$2,MATCH(HL$29,SSTotalESP!$A$2:$A$500)+$A33-1,1)-1)</f>
        <v/>
      </c>
      <c r="HM33" s="9" t="str">
        <f ca="1">IF(OR(HM6="",HM$28&lt;$A33),"",HM6/OFFSET(SSTotalESP!$A$2,MATCH(HM$29,SSTotalESP!$A$2:$A$500)+$A33-1,1)-1)</f>
        <v/>
      </c>
      <c r="HN33" s="9" t="str">
        <f ca="1">IF(OR(HN6="",HN$28&lt;$A33),"",HN6/OFFSET(SSTotalESP!$A$2,MATCH(HN$29,SSTotalESP!$A$2:$A$500)+$A33-1,1)-1)</f>
        <v/>
      </c>
      <c r="HO33" s="9" t="str">
        <f ca="1">IF(OR(HO6="",HO$28&lt;$A33),"",HO6/OFFSET(SSTotalESP!$A$2,MATCH(HO$29,SSTotalESP!$A$2:$A$500)+$A33-1,1)-1)</f>
        <v/>
      </c>
      <c r="HP33" s="9" t="str">
        <f ca="1">IF(OR(HP6="",HP$28&lt;$A33),"",HP6/OFFSET(SSTotalESP!$A$2,MATCH(HP$29,SSTotalESP!$A$2:$A$500)+$A33-1,1)-1)</f>
        <v/>
      </c>
      <c r="HQ33" s="9" t="str">
        <f ca="1">IF(OR(HQ6="",HQ$28&lt;$A33),"",HQ6/OFFSET(SSTotalESP!$A$2,MATCH(HQ$29,SSTotalESP!$A$2:$A$500)+$A33-1,1)-1)</f>
        <v/>
      </c>
      <c r="HR33" s="9" t="str">
        <f ca="1">IF(OR(HR6="",HR$28&lt;$A33),"",HR6/OFFSET(SSTotalESP!$A$2,MATCH(HR$29,SSTotalESP!$A$2:$A$500)+$A33-1,1)-1)</f>
        <v/>
      </c>
      <c r="HS33" s="9" t="str">
        <f ca="1">IF(OR(HS6="",HS$28&lt;$A33),"",HS6/OFFSET(SSTotalESP!$A$2,MATCH(HS$29,SSTotalESP!$A$2:$A$500)+$A33-1,1)-1)</f>
        <v/>
      </c>
      <c r="HT33" s="9" t="str">
        <f ca="1">IF(OR(HT6="",HT$28&lt;$A33),"",HT6/OFFSET(SSTotalESP!$A$2,MATCH(HT$29,SSTotalESP!$A$2:$A$500)+$A33-1,1)-1)</f>
        <v/>
      </c>
      <c r="HU33" s="9" t="str">
        <f ca="1">IF(OR(HU6="",HU$28&lt;$A33),"",HU6/OFFSET(SSTotalESP!$A$2,MATCH(HU$29,SSTotalESP!$A$2:$A$500)+$A33-1,1)-1)</f>
        <v/>
      </c>
      <c r="HV33" s="9" t="str">
        <f ca="1">IF(OR(HV6="",HV$28&lt;$A33),"",HV6/OFFSET(SSTotalESP!$A$2,MATCH(HV$29,SSTotalESP!$A$2:$A$500)+$A33-1,1)-1)</f>
        <v/>
      </c>
      <c r="HW33" s="9" t="str">
        <f ca="1">IF(OR(HW6="",HW$28&lt;$A33),"",HW6/OFFSET(SSTotalESP!$A$2,MATCH(HW$29,SSTotalESP!$A$2:$A$500)+$A33-1,1)-1)</f>
        <v/>
      </c>
      <c r="HX33" s="9" t="str">
        <f ca="1">IF(OR(HX6="",HX$28&lt;$A33),"",HX6/OFFSET(SSTotalESP!$A$2,MATCH(HX$29,SSTotalESP!$A$2:$A$500)+$A33-1,1)-1)</f>
        <v/>
      </c>
      <c r="HY33" s="9" t="str">
        <f ca="1">IF(OR(HY6="",HY$28&lt;$A33),"",HY6/OFFSET(SSTotalESP!$A$2,MATCH(HY$29,SSTotalESP!$A$2:$A$500)+$A33-1,1)-1)</f>
        <v/>
      </c>
      <c r="HZ33" s="9" t="str">
        <f ca="1">IF(OR(HZ6="",HZ$28&lt;$A33),"",HZ6/OFFSET(SSTotalESP!$A$2,MATCH(HZ$29,SSTotalESP!$A$2:$A$500)+$A33-1,1)-1)</f>
        <v/>
      </c>
      <c r="IA33" s="9" t="str">
        <f ca="1">IF(OR(IA6="",IA$28&lt;$A33),"",IA6/OFFSET(SSTotalESP!$A$2,MATCH(IA$29,SSTotalESP!$A$2:$A$500)+$A33-1,1)-1)</f>
        <v/>
      </c>
      <c r="IB33" s="9" t="str">
        <f ca="1">IF(OR(IB6="",IB$28&lt;$A33),"",IB6/OFFSET(SSTotalESP!$A$2,MATCH(IB$29,SSTotalESP!$A$2:$A$500)+$A33-1,1)-1)</f>
        <v/>
      </c>
      <c r="IC33" s="9" t="str">
        <f ca="1">IF(OR(IC6="",IC$28&lt;$A33),"",IC6/OFFSET(SSTotalESP!$A$2,MATCH(IC$29,SSTotalESP!$A$2:$A$500)+$A33-1,1)-1)</f>
        <v/>
      </c>
      <c r="ID33" s="9" t="str">
        <f ca="1">IF(OR(ID6="",ID$28&lt;$A33),"",ID6/OFFSET(SSTotalESP!$A$2,MATCH(ID$29,SSTotalESP!$A$2:$A$500)+$A33-1,1)-1)</f>
        <v/>
      </c>
      <c r="IE33" s="9" t="str">
        <f ca="1">IF(OR(IE6="",IE$28&lt;$A33),"",IE6/OFFSET(SSTotalESP!$A$2,MATCH(IE$29,SSTotalESP!$A$2:$A$500)+$A33-1,1)-1)</f>
        <v/>
      </c>
      <c r="IF33" s="9" t="str">
        <f ca="1">IF(OR(IF6="",IF$28&lt;$A33),"",IF6/OFFSET(SSTotalESP!$A$2,MATCH(IF$29,SSTotalESP!$A$2:$A$500)+$A33-1,1)-1)</f>
        <v/>
      </c>
      <c r="IG33" s="9" t="str">
        <f ca="1">IF(OR(IG6="",IG$28&lt;$A33),"",IG6/OFFSET(SSTotalESP!$A$2,MATCH(IG$29,SSTotalESP!$A$2:$A$500)+$A33-1,1)-1)</f>
        <v/>
      </c>
      <c r="IH33" s="9" t="str">
        <f ca="1">IF(OR(IH6="",IH$28&lt;$A33),"",IH6/OFFSET(SSTotalESP!$A$2,MATCH(IH$29,SSTotalESP!$A$2:$A$500)+$A33-1,1)-1)</f>
        <v/>
      </c>
      <c r="II33" s="9" t="str">
        <f ca="1">IF(OR(II6="",II$28&lt;$A33),"",II6/OFFSET(SSTotalESP!$A$2,MATCH(II$29,SSTotalESP!$A$2:$A$500)+$A33-1,1)-1)</f>
        <v/>
      </c>
      <c r="IJ33" s="9" t="str">
        <f ca="1">IF(OR(IJ6="",IJ$28&lt;$A33),"",IJ6/OFFSET(SSTotalESP!$A$2,MATCH(IJ$29,SSTotalESP!$A$2:$A$500)+$A33-1,1)-1)</f>
        <v/>
      </c>
      <c r="IK33" s="9" t="str">
        <f ca="1">IF(OR(IK6="",IK$28&lt;$A33),"",IK6/OFFSET(SSTotalESP!$A$2,MATCH(IK$29,SSTotalESP!$A$2:$A$500)+$A33-1,1)-1)</f>
        <v/>
      </c>
      <c r="IL33" s="9" t="str">
        <f ca="1">IF(OR(IL6="",IL$28&lt;$A33),"",IL6/OFFSET(SSTotalESP!$A$2,MATCH(IL$29,SSTotalESP!$A$2:$A$500)+$A33-1,1)-1)</f>
        <v/>
      </c>
      <c r="IM33" s="9" t="str">
        <f ca="1">IF(OR(IM6="",IM$28&lt;$A33),"",IM6/OFFSET(SSTotalESP!$A$2,MATCH(IM$29,SSTotalESP!$A$2:$A$500)+$A33-1,1)-1)</f>
        <v/>
      </c>
      <c r="IN33" s="9" t="str">
        <f ca="1">IF(OR(IN6="",IN$28&lt;$A33),"",IN6/OFFSET(SSTotalESP!$A$2,MATCH(IN$29,SSTotalESP!$A$2:$A$500)+$A33-1,1)-1)</f>
        <v/>
      </c>
      <c r="IO33" s="9" t="str">
        <f ca="1">IF(OR(IO6="",IO$28&lt;$A33),"",IO6/OFFSET(SSTotalESP!$A$2,MATCH(IO$29,SSTotalESP!$A$2:$A$500)+$A33-1,1)-1)</f>
        <v/>
      </c>
      <c r="IP33" s="9" t="str">
        <f ca="1">IF(OR(IP6="",IP$28&lt;$A33),"",IP6/OFFSET(SSTotalESP!$A$2,MATCH(IP$29,SSTotalESP!$A$2:$A$500)+$A33-1,1)-1)</f>
        <v/>
      </c>
      <c r="IQ33" s="9" t="str">
        <f ca="1">IF(OR(IQ6="",IQ$28&lt;$A33),"",IQ6/OFFSET(SSTotalESP!$A$2,MATCH(IQ$29,SSTotalESP!$A$2:$A$500)+$A33-1,1)-1)</f>
        <v/>
      </c>
      <c r="IR33" s="9" t="str">
        <f ca="1">IF(OR(IR6="",IR$28&lt;$A33),"",IR6/OFFSET(SSTotalESP!$A$2,MATCH(IR$29,SSTotalESP!$A$2:$A$500)+$A33-1,1)-1)</f>
        <v/>
      </c>
      <c r="IS33" s="9" t="str">
        <f ca="1">IF(OR(IS6="",IS$28&lt;$A33),"",IS6/OFFSET(SSTotalESP!$A$2,MATCH(IS$29,SSTotalESP!$A$2:$A$500)+$A33-1,1)-1)</f>
        <v/>
      </c>
      <c r="IT33" s="9" t="str">
        <f ca="1">IF(OR(IT6="",IT$28&lt;$A33),"",IT6/OFFSET(SSTotalESP!$A$2,MATCH(IT$29,SSTotalESP!$A$2:$A$500)+$A33-1,1)-1)</f>
        <v/>
      </c>
      <c r="IU33" s="9" t="str">
        <f ca="1">IF(OR(IU6="",IU$28&lt;$A33),"",IU6/OFFSET(SSTotalESP!$A$2,MATCH(IU$29,SSTotalESP!$A$2:$A$500)+$A33-1,1)-1)</f>
        <v/>
      </c>
      <c r="IV33" s="9" t="str">
        <f ca="1">IF(OR(IV6="",IV$28&lt;$A33),"",IV6/OFFSET(SSTotalESP!$A$2,MATCH(IV$29,SSTotalESP!$A$2:$A$500)+$A33-1,1)-1)</f>
        <v/>
      </c>
      <c r="IW33" s="9" t="str">
        <f ca="1">IF(OR(IW6="",IW$28&lt;$A33),"",IW6/OFFSET(SSTotalESP!$A$2,MATCH(IW$29,SSTotalESP!$A$2:$A$500)+$A33-1,1)-1)</f>
        <v/>
      </c>
      <c r="IX33" s="9" t="str">
        <f ca="1">IF(OR(IX6="",IX$28&lt;$A33),"",IX6/OFFSET(SSTotalESP!$A$2,MATCH(IX$29,SSTotalESP!$A$2:$A$500)+$A33-1,1)-1)</f>
        <v/>
      </c>
      <c r="IY33" s="9" t="str">
        <f ca="1">IF(OR(IY6="",IY$28&lt;$A33),"",IY6/OFFSET(SSTotalESP!$A$2,MATCH(IY$29,SSTotalESP!$A$2:$A$500)+$A33-1,1)-1)</f>
        <v/>
      </c>
      <c r="IZ33" s="9" t="str">
        <f ca="1">IF(OR(IZ6="",IZ$28&lt;$A33),"",IZ6/OFFSET(SSTotalESP!$A$2,MATCH(IZ$29,SSTotalESP!$A$2:$A$500)+$A33-1,1)-1)</f>
        <v/>
      </c>
      <c r="JA33" s="9" t="str">
        <f ca="1">IF(OR(JA6="",JA$28&lt;$A33),"",JA6/OFFSET(SSTotalESP!$A$2,MATCH(JA$29,SSTotalESP!$A$2:$A$500)+$A33-1,1)-1)</f>
        <v/>
      </c>
      <c r="JB33" s="9" t="str">
        <f ca="1">IF(OR(JB6="",JB$28&lt;$A33),"",JB6/OFFSET(SSTotalESP!$A$2,MATCH(JB$29,SSTotalESP!$A$2:$A$500)+$A33-1,1)-1)</f>
        <v/>
      </c>
      <c r="JC33" s="9" t="str">
        <f ca="1">IF(OR(JC6="",JC$28&lt;$A33),"",JC6/OFFSET(SSTotalESP!$A$2,MATCH(JC$29,SSTotalESP!$A$2:$A$500)+$A33-1,1)-1)</f>
        <v/>
      </c>
      <c r="JD33" s="9" t="str">
        <f ca="1">IF(OR(JD6="",JD$28&lt;$A33),"",JD6/OFFSET(SSTotalESP!$A$2,MATCH(JD$29,SSTotalESP!$A$2:$A$500)+$A33-1,1)-1)</f>
        <v/>
      </c>
      <c r="JE33" s="9" t="str">
        <f ca="1">IF(OR(JE6="",JE$28&lt;$A33),"",JE6/OFFSET(SSTotalESP!$A$2,MATCH(JE$29,SSTotalESP!$A$2:$A$500)+$A33-1,1)-1)</f>
        <v/>
      </c>
      <c r="JF33" s="9" t="str">
        <f ca="1">IF(OR(JF6="",JF$28&lt;$A33),"",JF6/OFFSET(SSTotalESP!$A$2,MATCH(JF$29,SSTotalESP!$A$2:$A$500)+$A33-1,1)-1)</f>
        <v/>
      </c>
      <c r="JG33" s="9" t="str">
        <f ca="1">IF(OR(JG6="",JG$28&lt;$A33),"",JG6/OFFSET(SSTotalESP!$A$2,MATCH(JG$29,SSTotalESP!$A$2:$A$500)+$A33-1,1)-1)</f>
        <v/>
      </c>
      <c r="JH33" s="9" t="str">
        <f ca="1">IF(OR(JH6="",JH$28&lt;$A33),"",JH6/OFFSET(SSTotalESP!$A$2,MATCH(JH$29,SSTotalESP!$A$2:$A$500)+$A33-1,1)-1)</f>
        <v/>
      </c>
      <c r="JI33" s="13">
        <f t="shared" ca="1" si="13"/>
        <v>3.8637481918639516E-3</v>
      </c>
      <c r="JJ33" s="13">
        <f t="shared" ca="1" si="14"/>
        <v>2.4366118655743119E-3</v>
      </c>
      <c r="JK33" s="14">
        <f t="shared" ca="1" si="15"/>
        <v>5.0768451662611212E-4</v>
      </c>
      <c r="JL33" s="17">
        <f t="shared" ca="1" si="18"/>
        <v>2.2531855596601716E-2</v>
      </c>
      <c r="JM33" s="15" t="str">
        <f t="shared" ca="1" si="16"/>
        <v>[ -4,12% ; 4,89% ]</v>
      </c>
      <c r="JN33" s="17">
        <f t="shared" ca="1" si="17"/>
        <v>2.8840775163650197E-2</v>
      </c>
      <c r="LY33" s="1"/>
    </row>
    <row r="34" spans="1:337" x14ac:dyDescent="0.25">
      <c r="A34" s="4">
        <v>5</v>
      </c>
      <c r="B34" s="9">
        <f ca="1">IF(OR(B7="",B$28&lt;$A34),"",B7/OFFSET(SSTotalESP!$A$2,MATCH(B$29,SSTotalESP!$A$2:$A$500)+$A34-1,1)-1)</f>
        <v>-1.3891685942470922E-3</v>
      </c>
      <c r="C34" s="9">
        <f ca="1">IF(OR(C7="",C$28&lt;$A34),"",C7/OFFSET(SSTotalESP!$A$2,MATCH(C$29,SSTotalESP!$A$2:$A$500)+$A34-1,1)-1)</f>
        <v>-1.6258884987413458E-3</v>
      </c>
      <c r="D34" s="9">
        <f ca="1">IF(OR(D7="",D$28&lt;$A34),"",D7/OFFSET(SSTotalESP!$A$2,MATCH(D$29,SSTotalESP!$A$2:$A$500)+$A34-1,1)-1)</f>
        <v>-1.3999669465258879E-4</v>
      </c>
      <c r="E34" s="9">
        <f ca="1">IF(OR(E7="",E$28&lt;$A34),"",E7/OFFSET(SSTotalESP!$A$2,MATCH(E$29,SSTotalESP!$A$2:$A$500)+$A34-1,1)-1)</f>
        <v>2.2215928452262723E-3</v>
      </c>
      <c r="F34" s="9">
        <f ca="1">IF(OR(F7="",F$28&lt;$A34),"",F7/OFFSET(SSTotalESP!$A$2,MATCH(F$29,SSTotalESP!$A$2:$A$500)+$A34-1,1)-1)</f>
        <v>7.1267985556477953E-4</v>
      </c>
      <c r="G34" s="9">
        <f ca="1">IF(OR(G7="",G$28&lt;$A34),"",G7/OFFSET(SSTotalESP!$A$2,MATCH(G$29,SSTotalESP!$A$2:$A$500)+$A34-1,1)-1)</f>
        <v>4.0942312512504131E-5</v>
      </c>
      <c r="H34" s="9">
        <f ca="1">IF(OR(H7="",H$28&lt;$A34),"",H7/OFFSET(SSTotalESP!$A$2,MATCH(H$29,SSTotalESP!$A$2:$A$500)+$A34-1,1)-1)</f>
        <v>2.5163196351840611E-4</v>
      </c>
      <c r="I34" s="9">
        <f ca="1">IF(OR(I7="",I$28&lt;$A34),"",I7/OFFSET(SSTotalESP!$A$2,MATCH(I$29,SSTotalESP!$A$2:$A$500)+$A34-1,1)-1)</f>
        <v>-8.9902443202505289E-5</v>
      </c>
      <c r="J34" s="9">
        <f ca="1">IF(OR(J7="",J$28&lt;$A34),"",J7/OFFSET(SSTotalESP!$A$2,MATCH(J$29,SSTotalESP!$A$2:$A$500)+$A34-1,1)-1)</f>
        <v>-3.5963456018077711E-3</v>
      </c>
      <c r="K34" s="9">
        <f ca="1">IF(OR(K7="",K$28&lt;$A34),"",K7/OFFSET(SSTotalESP!$A$2,MATCH(K$29,SSTotalESP!$A$2:$A$500)+$A34-1,1)-1)</f>
        <v>-1.9376849452731326E-3</v>
      </c>
      <c r="L34" s="9">
        <f ca="1">IF(OR(L7="",L$28&lt;$A34),"",L7/OFFSET(SSTotalESP!$A$2,MATCH(L$29,SSTotalESP!$A$2:$A$500)+$A34-1,1)-1)</f>
        <v>-3.6548767049982001E-4</v>
      </c>
      <c r="M34" s="9">
        <f ca="1">IF(OR(M7="",M$28&lt;$A34),"",M7/OFFSET(SSTotalESP!$A$2,MATCH(M$29,SSTotalESP!$A$2:$A$500)+$A34-1,1)-1)</f>
        <v>-2.5429879090304031E-3</v>
      </c>
      <c r="N34" s="9">
        <f ca="1">IF(OR(N7="",N$28&lt;$A34),"",N7/OFFSET(SSTotalESP!$A$2,MATCH(N$29,SSTotalESP!$A$2:$A$500)+$A34-1,1)-1)</f>
        <v>-6.4548838063263059E-3</v>
      </c>
      <c r="O34" s="9">
        <f ca="1">IF(OR(O7="",O$28&lt;$A34),"",O7/OFFSET(SSTotalESP!$A$2,MATCH(O$29,SSTotalESP!$A$2:$A$500)+$A34-1,1)-1)</f>
        <v>-1.3010835533085796E-2</v>
      </c>
      <c r="P34" s="9">
        <f ca="1">IF(OR(P7="",P$28&lt;$A34),"",P7/OFFSET(SSTotalESP!$A$2,MATCH(P$29,SSTotalESP!$A$2:$A$500)+$A34-1,1)-1)</f>
        <v>-1.8990287439828002E-2</v>
      </c>
      <c r="Q34" s="9">
        <f ca="1">IF(OR(Q7="",Q$28&lt;$A34),"",Q7/OFFSET(SSTotalESP!$A$2,MATCH(Q$29,SSTotalESP!$A$2:$A$500)+$A34-1,1)-1)</f>
        <v>-2.0884812108658224E-2</v>
      </c>
      <c r="R34" s="9">
        <f ca="1">IF(OR(R7="",R$28&lt;$A34),"",R7/OFFSET(SSTotalESP!$A$2,MATCH(R$29,SSTotalESP!$A$2:$A$500)+$A34-1,1)-1)</f>
        <v>-2.158969235307584E-2</v>
      </c>
      <c r="S34" s="9">
        <f ca="1">IF(OR(S7="",S$28&lt;$A34),"",S7/OFFSET(SSTotalESP!$A$2,MATCH(S$29,SSTotalESP!$A$2:$A$500)+$A34-1,1)-1)</f>
        <v>-2.0101822638779132E-2</v>
      </c>
      <c r="T34" s="9">
        <f ca="1">IF(OR(T7="",T$28&lt;$A34),"",T7/OFFSET(SSTotalESP!$A$2,MATCH(T$29,SSTotalESP!$A$2:$A$500)+$A34-1,1)-1)</f>
        <v>-1.2343112347286689E-2</v>
      </c>
      <c r="U34" s="9">
        <f ca="1">IF(OR(U7="",U$28&lt;$A34),"",U7/OFFSET(SSTotalESP!$A$2,MATCH(U$29,SSTotalESP!$A$2:$A$500)+$A34-1,1)-1)</f>
        <v>-2.8526363315481973E-3</v>
      </c>
      <c r="V34" s="9">
        <f ca="1">IF(OR(V7="",V$28&lt;$A34),"",V7/OFFSET(SSTotalESP!$A$2,MATCH(V$29,SSTotalESP!$A$2:$A$500)+$A34-1,1)-1)</f>
        <v>4.068769626325297E-3</v>
      </c>
      <c r="W34" s="9">
        <f ca="1">IF(OR(W7="",W$28&lt;$A34),"",W7/OFFSET(SSTotalESP!$A$2,MATCH(W$29,SSTotalESP!$A$2:$A$500)+$A34-1,1)-1)</f>
        <v>7.9695475487737699E-3</v>
      </c>
      <c r="X34" s="9">
        <f ca="1">IF(OR(X7="",X$28&lt;$A34),"",X7/OFFSET(SSTotalESP!$A$2,MATCH(X$29,SSTotalESP!$A$2:$A$500)+$A34-1,1)-1)</f>
        <v>6.5205442356173204E-3</v>
      </c>
      <c r="Y34" s="9">
        <f ca="1">IF(OR(Y7="",Y$28&lt;$A34),"",Y7/OFFSET(SSTotalESP!$A$2,MATCH(Y$29,SSTotalESP!$A$2:$A$500)+$A34-1,1)-1)</f>
        <v>3.0862790511283489E-3</v>
      </c>
      <c r="Z34" s="9">
        <f ca="1">IF(OR(Z7="",Z$28&lt;$A34),"",Z7/OFFSET(SSTotalESP!$A$2,MATCH(Z$29,SSTotalESP!$A$2:$A$500)+$A34-1,1)-1)</f>
        <v>5.4338425394035994E-3</v>
      </c>
      <c r="AA34" s="9">
        <f ca="1">IF(OR(AA7="",AA$28&lt;$A34),"",AA7/OFFSET(SSTotalESP!$A$2,MATCH(AA$29,SSTotalESP!$A$2:$A$500)+$A34-1,1)-1)</f>
        <v>7.716036277110927E-3</v>
      </c>
      <c r="AB34" s="9">
        <f ca="1">IF(OR(AB7="",AB$28&lt;$A34),"",AB7/OFFSET(SSTotalESP!$A$2,MATCH(AB$29,SSTotalESP!$A$2:$A$500)+$A34-1,1)-1)</f>
        <v>6.0895210445894854E-3</v>
      </c>
      <c r="AC34" s="9">
        <f ca="1">IF(OR(AC7="",AC$28&lt;$A34),"",AC7/OFFSET(SSTotalESP!$A$2,MATCH(AC$29,SSTotalESP!$A$2:$A$500)+$A34-1,1)-1)</f>
        <v>1.5614632929306982E-2</v>
      </c>
      <c r="AD34" s="9">
        <f ca="1">IF(OR(AD7="",AD$28&lt;$A34),"",AD7/OFFSET(SSTotalESP!$A$2,MATCH(AD$29,SSTotalESP!$A$2:$A$500)+$A34-1,1)-1)</f>
        <v>1.1804784319755512E-2</v>
      </c>
      <c r="AE34" s="9">
        <f ca="1">IF(OR(AE7="",AE$28&lt;$A34),"",AE7/OFFSET(SSTotalESP!$A$2,MATCH(AE$29,SSTotalESP!$A$2:$A$500)+$A34-1,1)-1)</f>
        <v>6.9850206073331922E-3</v>
      </c>
      <c r="AF34" s="9">
        <f ca="1">IF(OR(AF7="",AF$28&lt;$A34),"",AF7/OFFSET(SSTotalESP!$A$2,MATCH(AF$29,SSTotalESP!$A$2:$A$500)+$A34-1,1)-1)</f>
        <v>3.1682701771917898E-4</v>
      </c>
      <c r="AG34" s="9">
        <f ca="1">IF(OR(AG7="",AG$28&lt;$A34),"",AG7/OFFSET(SSTotalESP!$A$2,MATCH(AG$29,SSTotalESP!$A$2:$A$500)+$A34-1,1)-1)</f>
        <v>-1.8600654517181292E-3</v>
      </c>
      <c r="AH34" s="9">
        <f ca="1">IF(OR(AH7="",AH$28&lt;$A34),"",AH7/OFFSET(SSTotalESP!$A$2,MATCH(AH$29,SSTotalESP!$A$2:$A$500)+$A34-1,1)-1)</f>
        <v>-1.1641838032036333E-2</v>
      </c>
      <c r="AI34" s="9">
        <f ca="1">IF(OR(AI7="",AI$28&lt;$A34),"",AI7/OFFSET(SSTotalESP!$A$2,MATCH(AI$29,SSTotalESP!$A$2:$A$500)+$A34-1,1)-1)</f>
        <v>-3.8572521420301431E-3</v>
      </c>
      <c r="AJ34" s="9">
        <f ca="1">IF(OR(AJ7="",AJ$28&lt;$A34),"",AJ7/OFFSET(SSTotalESP!$A$2,MATCH(AJ$29,SSTotalESP!$A$2:$A$500)+$A34-1,1)-1)</f>
        <v>-4.2388583486245857E-3</v>
      </c>
      <c r="AK34" s="9">
        <f ca="1">IF(OR(AK7="",AK$28&lt;$A34),"",AK7/OFFSET(SSTotalESP!$A$2,MATCH(AK$29,SSTotalESP!$A$2:$A$500)+$A34-1,1)-1)</f>
        <v>6.6972806275300556E-4</v>
      </c>
      <c r="AL34" s="9">
        <f ca="1">IF(OR(AL7="",AL$28&lt;$A34),"",AL7/OFFSET(SSTotalESP!$A$2,MATCH(AL$29,SSTotalESP!$A$2:$A$500)+$A34-1,1)-1)</f>
        <v>1.92361175921274E-3</v>
      </c>
      <c r="AM34" s="9">
        <f ca="1">IF(OR(AM7="",AM$28&lt;$A34),"",AM7/OFFSET(SSTotalESP!$A$2,MATCH(AM$29,SSTotalESP!$A$2:$A$500)+$A34-1,1)-1)</f>
        <v>6.7506588401466949E-3</v>
      </c>
      <c r="AN34" s="9">
        <f ca="1">IF(OR(AN7="",AN$28&lt;$A34),"",AN7/OFFSET(SSTotalESP!$A$2,MATCH(AN$29,SSTotalESP!$A$2:$A$500)+$A34-1,1)-1)</f>
        <v>7.7165714031504073E-3</v>
      </c>
      <c r="AO34" s="9">
        <f ca="1">IF(OR(AO7="",AO$28&lt;$A34),"",AO7/OFFSET(SSTotalESP!$A$2,MATCH(AO$29,SSTotalESP!$A$2:$A$500)+$A34-1,1)-1)</f>
        <v>1.3435989965803419E-2</v>
      </c>
      <c r="AP34" s="9">
        <f ca="1">IF(OR(AP7="",AP$28&lt;$A34),"",AP7/OFFSET(SSTotalESP!$A$2,MATCH(AP$29,SSTotalESP!$A$2:$A$500)+$A34-1,1)-1)</f>
        <v>6.6053361961520007E-3</v>
      </c>
      <c r="AQ34" s="9">
        <f ca="1">IF(OR(AQ7="",AQ$28&lt;$A34),"",AQ7/OFFSET(SSTotalESP!$A$2,MATCH(AQ$29,SSTotalESP!$A$2:$A$500)+$A34-1,1)-1)</f>
        <v>6.273851449625667E-3</v>
      </c>
      <c r="AR34" s="9">
        <f ca="1">IF(OR(AR7="",AR$28&lt;$A34),"",AR7/OFFSET(SSTotalESP!$A$2,MATCH(AR$29,SSTotalESP!$A$2:$A$500)+$A34-1,1)-1)</f>
        <v>1.6991095209573093E-3</v>
      </c>
      <c r="AS34" s="9">
        <f ca="1">IF(OR(AS7="",AS$28&lt;$A34),"",AS7/OFFSET(SSTotalESP!$A$2,MATCH(AS$29,SSTotalESP!$A$2:$A$500)+$A34-1,1)-1)</f>
        <v>2.1666768229342548E-3</v>
      </c>
      <c r="AT34" s="9">
        <f ca="1">IF(OR(AT7="",AT$28&lt;$A34),"",AT7/OFFSET(SSTotalESP!$A$2,MATCH(AT$29,SSTotalESP!$A$2:$A$500)+$A34-1,1)-1)</f>
        <v>-2.637787864046004E-4</v>
      </c>
      <c r="AU34" s="9">
        <f ca="1">IF(OR(AU7="",AU$28&lt;$A34),"",AU7/OFFSET(SSTotalESP!$A$2,MATCH(AU$29,SSTotalESP!$A$2:$A$500)+$A34-1,1)-1)</f>
        <v>4.8623968633869641E-3</v>
      </c>
      <c r="AV34" s="9">
        <f ca="1">IF(OR(AV7="",AV$28&lt;$A34),"",AV7/OFFSET(SSTotalESP!$A$2,MATCH(AV$29,SSTotalESP!$A$2:$A$500)+$A34-1,1)-1)</f>
        <v>9.5114914383522819E-3</v>
      </c>
      <c r="AW34" s="9">
        <f ca="1">IF(OR(AW7="",AW$28&lt;$A34),"",AW7/OFFSET(SSTotalESP!$A$2,MATCH(AW$29,SSTotalESP!$A$2:$A$500)+$A34-1,1)-1)</f>
        <v>1.0526389593909169E-2</v>
      </c>
      <c r="AX34" s="9">
        <f ca="1">IF(OR(AX7="",AX$28&lt;$A34),"",AX7/OFFSET(SSTotalESP!$A$2,MATCH(AX$29,SSTotalESP!$A$2:$A$500)+$A34-1,1)-1)</f>
        <v>1.5644592557536807E-2</v>
      </c>
      <c r="AY34" s="9">
        <f ca="1">IF(OR(AY7="",AY$28&lt;$A34),"",AY7/OFFSET(SSTotalESP!$A$2,MATCH(AY$29,SSTotalESP!$A$2:$A$500)+$A34-1,1)-1)</f>
        <v>1.9035099015302759E-2</v>
      </c>
      <c r="AZ34" s="9">
        <f ca="1">IF(OR(AZ7="",AZ$28&lt;$A34),"",AZ7/OFFSET(SSTotalESP!$A$2,MATCH(AZ$29,SSTotalESP!$A$2:$A$500)+$A34-1,1)-1)</f>
        <v>2.2282807978531549E-2</v>
      </c>
      <c r="BA34" s="9">
        <f ca="1">IF(OR(BA7="",BA$28&lt;$A34),"",BA7/OFFSET(SSTotalESP!$A$2,MATCH(BA$29,SSTotalESP!$A$2:$A$500)+$A34-1,1)-1)</f>
        <v>1.8745653892882297E-2</v>
      </c>
      <c r="BB34" s="9">
        <f ca="1">IF(OR(BB7="",BB$28&lt;$A34),"",BB7/OFFSET(SSTotalESP!$A$2,MATCH(BB$29,SSTotalESP!$A$2:$A$500)+$A34-1,1)-1)</f>
        <v>1.976352093699707E-2</v>
      </c>
      <c r="BC34" s="9">
        <f ca="1">IF(OR(BC7="",BC$28&lt;$A34),"",BC7/OFFSET(SSTotalESP!$A$2,MATCH(BC$29,SSTotalESP!$A$2:$A$500)+$A34-1,1)-1)</f>
        <v>2.0293594986651176E-2</v>
      </c>
      <c r="BD34" s="9">
        <f ca="1">IF(OR(BD7="",BD$28&lt;$A34),"",BD7/OFFSET(SSTotalESP!$A$2,MATCH(BD$29,SSTotalESP!$A$2:$A$500)+$A34-1,1)-1)</f>
        <v>1.6537643292531712E-2</v>
      </c>
      <c r="BE34" s="9">
        <f ca="1">IF(OR(BE7="",BE$28&lt;$A34),"",BE7/OFFSET(SSTotalESP!$A$2,MATCH(BE$29,SSTotalESP!$A$2:$A$500)+$A34-1,1)-1)</f>
        <v>2.6242828452110345E-2</v>
      </c>
      <c r="BF34" s="9">
        <f ca="1">IF(OR(BF7="",BF$28&lt;$A34),"",BF7/OFFSET(SSTotalESP!$A$2,MATCH(BF$29,SSTotalESP!$A$2:$A$500)+$A34-1,1)-1)</f>
        <v>3.6915029815767442E-2</v>
      </c>
      <c r="BG34" s="9">
        <f ca="1">IF(OR(BG7="",BG$28&lt;$A34),"",BG7/OFFSET(SSTotalESP!$A$2,MATCH(BG$29,SSTotalESP!$A$2:$A$500)+$A34-1,1)-1)</f>
        <v>3.0252485012701502E-2</v>
      </c>
      <c r="BH34" s="9">
        <f ca="1">IF(OR(BH7="",BH$28&lt;$A34),"",BH7/OFFSET(SSTotalESP!$A$2,MATCH(BH$29,SSTotalESP!$A$2:$A$500)+$A34-1,1)-1)</f>
        <v>1.5726684957055204E-2</v>
      </c>
      <c r="BI34" s="9">
        <f ca="1">IF(OR(BI7="",BI$28&lt;$A34),"",BI7/OFFSET(SSTotalESP!$A$2,MATCH(BI$29,SSTotalESP!$A$2:$A$500)+$A34-1,1)-1)</f>
        <v>-4.3389188639365583E-3</v>
      </c>
      <c r="BJ34" s="9">
        <f ca="1">IF(OR(BJ7="",BJ$28&lt;$A34),"",BJ7/OFFSET(SSTotalESP!$A$2,MATCH(BJ$29,SSTotalESP!$A$2:$A$500)+$A34-1,1)-1)</f>
        <v>-2.5690863958377497E-3</v>
      </c>
      <c r="BK34" s="9">
        <f ca="1">IF(OR(BK7="",BK$28&lt;$A34),"",BK7/OFFSET(SSTotalESP!$A$2,MATCH(BK$29,SSTotalESP!$A$2:$A$500)+$A34-1,1)-1)</f>
        <v>-8.0373474859921634E-3</v>
      </c>
      <c r="BL34" s="9">
        <f ca="1">IF(OR(BL7="",BL$28&lt;$A34),"",BL7/OFFSET(SSTotalESP!$A$2,MATCH(BL$29,SSTotalESP!$A$2:$A$500)+$A34-1,1)-1)</f>
        <v>-1.9386257617903691E-2</v>
      </c>
      <c r="BM34" s="9">
        <f ca="1">IF(OR(BM7="",BM$28&lt;$A34),"",BM7/OFFSET(SSTotalESP!$A$2,MATCH(BM$29,SSTotalESP!$A$2:$A$500)+$A34-1,1)-1)</f>
        <v>-2.8784490876044511E-2</v>
      </c>
      <c r="BN34" s="9">
        <f ca="1">IF(OR(BN7="",BN$28&lt;$A34),"",BN7/OFFSET(SSTotalESP!$A$2,MATCH(BN$29,SSTotalESP!$A$2:$A$500)+$A34-1,1)-1)</f>
        <v>-2.1198834402769595E-2</v>
      </c>
      <c r="BO34" s="9">
        <f ca="1">IF(OR(BO7="",BO$28&lt;$A34),"",BO7/OFFSET(SSTotalESP!$A$2,MATCH(BO$29,SSTotalESP!$A$2:$A$500)+$A34-1,1)-1)</f>
        <v>-7.7703920994071085E-3</v>
      </c>
      <c r="BP34" s="9">
        <f ca="1">IF(OR(BP7="",BP$28&lt;$A34),"",BP7/OFFSET(SSTotalESP!$A$2,MATCH(BP$29,SSTotalESP!$A$2:$A$500)+$A34-1,1)-1)</f>
        <v>-1.0066538496118493E-2</v>
      </c>
      <c r="BQ34" s="9">
        <f ca="1">IF(OR(BQ7="",BQ$28&lt;$A34),"",BQ7/OFFSET(SSTotalESP!$A$2,MATCH(BQ$29,SSTotalESP!$A$2:$A$500)+$A34-1,1)-1)</f>
        <v>-1.526528383522141E-2</v>
      </c>
      <c r="BR34" s="9">
        <f ca="1">IF(OR(BR7="",BR$28&lt;$A34),"",BR7/OFFSET(SSTotalESP!$A$2,MATCH(BR$29,SSTotalESP!$A$2:$A$500)+$A34-1,1)-1)</f>
        <v>2.8266675072459169E-3</v>
      </c>
      <c r="BS34" s="9">
        <f ca="1">IF(OR(BS7="",BS$28&lt;$A34),"",BS7/OFFSET(SSTotalESP!$A$2,MATCH(BS$29,SSTotalESP!$A$2:$A$500)+$A34-1,1)-1)</f>
        <v>-8.7452477489525782E-3</v>
      </c>
      <c r="BT34" s="9">
        <f ca="1">IF(OR(BT7="",BT$28&lt;$A34),"",BT7/OFFSET(SSTotalESP!$A$2,MATCH(BT$29,SSTotalESP!$A$2:$A$500)+$A34-1,1)-1)</f>
        <v>-6.8783709183517505E-3</v>
      </c>
      <c r="BU34" s="9">
        <f ca="1">IF(OR(BU7="",BU$28&lt;$A34),"",BU7/OFFSET(SSTotalESP!$A$2,MATCH(BU$29,SSTotalESP!$A$2:$A$500)+$A34-1,1)-1)</f>
        <v>-2.7083549947726215E-3</v>
      </c>
      <c r="BV34" s="9">
        <f ca="1">IF(OR(BV7="",BV$28&lt;$A34),"",BV7/OFFSET(SSTotalESP!$A$2,MATCH(BV$29,SSTotalESP!$A$2:$A$500)+$A34-1,1)-1)</f>
        <v>6.1467008738846918E-3</v>
      </c>
      <c r="BW34" s="9">
        <f ca="1">IF(OR(BW7="",BW$28&lt;$A34),"",BW7/OFFSET(SSTotalESP!$A$2,MATCH(BW$29,SSTotalESP!$A$2:$A$500)+$A34-1,1)-1)</f>
        <v>-8.3635432360673612E-5</v>
      </c>
      <c r="BX34" s="9">
        <f ca="1">IF(OR(BX7="",BX$28&lt;$A34),"",BX7/OFFSET(SSTotalESP!$A$2,MATCH(BX$29,SSTotalESP!$A$2:$A$500)+$A34-1,1)-1)</f>
        <v>-2.5906971833979942E-3</v>
      </c>
      <c r="BY34" s="9">
        <f ca="1">IF(OR(BY7="",BY$28&lt;$A34),"",BY7/OFFSET(SSTotalESP!$A$2,MATCH(BY$29,SSTotalESP!$A$2:$A$500)+$A34-1,1)-1)</f>
        <v>-4.5739966549077637E-3</v>
      </c>
      <c r="BZ34" s="9">
        <f ca="1">IF(OR(BZ7="",BZ$28&lt;$A34),"",BZ7/OFFSET(SSTotalESP!$A$2,MATCH(BZ$29,SSTotalESP!$A$2:$A$500)+$A34-1,1)-1)</f>
        <v>-6.8106937420076008E-4</v>
      </c>
      <c r="CA34" s="9">
        <f ca="1">IF(OR(CA7="",CA$28&lt;$A34),"",CA7/OFFSET(SSTotalESP!$A$2,MATCH(CA$29,SSTotalESP!$A$2:$A$500)+$A34-1,1)-1)</f>
        <v>1.0022230424855394E-4</v>
      </c>
      <c r="CB34" s="9">
        <f ca="1">IF(OR(CB7="",CB$28&lt;$A34),"",CB7/OFFSET(SSTotalESP!$A$2,MATCH(CB$29,SSTotalESP!$A$2:$A$500)+$A34-1,1)-1)</f>
        <v>-2.4331345502873747E-3</v>
      </c>
      <c r="CC34" s="9">
        <f ca="1">IF(OR(CC7="",CC$28&lt;$A34),"",CC7/OFFSET(SSTotalESP!$A$2,MATCH(CC$29,SSTotalESP!$A$2:$A$500)+$A34-1,1)-1)</f>
        <v>-6.7532946627280044E-3</v>
      </c>
      <c r="CD34" s="9">
        <f ca="1">IF(OR(CD7="",CD$28&lt;$A34),"",CD7/OFFSET(SSTotalESP!$A$2,MATCH(CD$29,SSTotalESP!$A$2:$A$500)+$A34-1,1)-1)</f>
        <v>-7.5799512880969644E-4</v>
      </c>
      <c r="CE34" s="9">
        <f ca="1">IF(OR(CE7="",CE$28&lt;$A34),"",CE7/OFFSET(SSTotalESP!$A$2,MATCH(CE$29,SSTotalESP!$A$2:$A$500)+$A34-1,1)-1)</f>
        <v>3.6061060367968967E-3</v>
      </c>
      <c r="CF34" s="9">
        <f ca="1">IF(OR(CF7="",CF$28&lt;$A34),"",CF7/OFFSET(SSTotalESP!$A$2,MATCH(CF$29,SSTotalESP!$A$2:$A$500)+$A34-1,1)-1)</f>
        <v>2.4370305708034667E-3</v>
      </c>
      <c r="CG34" s="9">
        <f ca="1">IF(OR(CG7="",CG$28&lt;$A34),"",CG7/OFFSET(SSTotalESP!$A$2,MATCH(CG$29,SSTotalESP!$A$2:$A$500)+$A34-1,1)-1)</f>
        <v>-9.6082423481114176E-4</v>
      </c>
      <c r="CH34" s="9">
        <f ca="1">IF(OR(CH7="",CH$28&lt;$A34),"",CH7/OFFSET(SSTotalESP!$A$2,MATCH(CH$29,SSTotalESP!$A$2:$A$500)+$A34-1,1)-1)</f>
        <v>4.2327338224013022E-3</v>
      </c>
      <c r="CI34" s="9">
        <f ca="1">IF(OR(CI7="",CI$28&lt;$A34),"",CI7/OFFSET(SSTotalESP!$A$2,MATCH(CI$29,SSTotalESP!$A$2:$A$500)+$A34-1,1)-1)</f>
        <v>7.2087536907434746E-3</v>
      </c>
      <c r="CJ34" s="9">
        <f ca="1">IF(OR(CJ7="",CJ$28&lt;$A34),"",CJ7/OFFSET(SSTotalESP!$A$2,MATCH(CJ$29,SSTotalESP!$A$2:$A$500)+$A34-1,1)-1)</f>
        <v>-7.7011710934808963E-3</v>
      </c>
      <c r="CK34" s="9">
        <f ca="1">IF(OR(CK7="",CK$28&lt;$A34),"",CK7/OFFSET(SSTotalESP!$A$2,MATCH(CK$29,SSTotalESP!$A$2:$A$500)+$A34-1,1)-1)</f>
        <v>3.4859249488510269E-3</v>
      </c>
      <c r="CL34" s="9">
        <f ca="1">IF(OR(CL7="",CL$28&lt;$A34),"",CL7/OFFSET(SSTotalESP!$A$2,MATCH(CL$29,SSTotalESP!$A$2:$A$500)+$A34-1,1)-1)</f>
        <v>7.9313110527978736E-3</v>
      </c>
      <c r="CM34" s="9">
        <f ca="1">IF(OR(CM7="",CM$28&lt;$A34),"",CM7/OFFSET(SSTotalESP!$A$2,MATCH(CM$29,SSTotalESP!$A$2:$A$500)+$A34-1,1)-1)</f>
        <v>8.8254929813929017E-3</v>
      </c>
      <c r="CN34" s="9">
        <f ca="1">IF(OR(CN7="",CN$28&lt;$A34),"",CN7/OFFSET(SSTotalESP!$A$2,MATCH(CN$29,SSTotalESP!$A$2:$A$500)+$A34-1,1)-1)</f>
        <v>4.5653663375551101E-3</v>
      </c>
      <c r="CO34" s="9">
        <f ca="1">IF(OR(CO7="",CO$28&lt;$A34),"",CO7/OFFSET(SSTotalESP!$A$2,MATCH(CO$29,SSTotalESP!$A$2:$A$500)+$A34-1,1)-1)</f>
        <v>4.6524099951448239E-3</v>
      </c>
      <c r="CP34" s="9">
        <f ca="1">IF(OR(CP7="",CP$28&lt;$A34),"",CP7/OFFSET(SSTotalESP!$A$2,MATCH(CP$29,SSTotalESP!$A$2:$A$500)+$A34-1,1)-1)</f>
        <v>9.1363273790376898E-3</v>
      </c>
      <c r="CQ34" s="9">
        <f ca="1">IF(OR(CQ7="",CQ$28&lt;$A34),"",CQ7/OFFSET(SSTotalESP!$A$2,MATCH(CQ$29,SSTotalESP!$A$2:$A$500)+$A34-1,1)-1)</f>
        <v>9.8414133064406162E-3</v>
      </c>
      <c r="CR34" s="9">
        <f ca="1">IF(OR(CR7="",CR$28&lt;$A34),"",CR7/OFFSET(SSTotalESP!$A$2,MATCH(CR$29,SSTotalESP!$A$2:$A$500)+$A34-1,1)-1)</f>
        <v>4.2887440000871635E-4</v>
      </c>
      <c r="CS34" s="9">
        <f ca="1">IF(OR(CS7="",CS$28&lt;$A34),"",CS7/OFFSET(SSTotalESP!$A$2,MATCH(CS$29,SSTotalESP!$A$2:$A$500)+$A34-1,1)-1)</f>
        <v>3.1257251214955595E-4</v>
      </c>
      <c r="CT34" s="9">
        <f ca="1">IF(OR(CT7="",CT$28&lt;$A34),"",CT7/OFFSET(SSTotalESP!$A$2,MATCH(CT$29,SSTotalESP!$A$2:$A$500)+$A34-1,1)-1)</f>
        <v>1.5971179697603199E-2</v>
      </c>
      <c r="CU34" s="9">
        <f ca="1">IF(OR(CU7="",CU$28&lt;$A34),"",CU7/OFFSET(SSTotalESP!$A$2,MATCH(CU$29,SSTotalESP!$A$2:$A$500)+$A34-1,1)-1)</f>
        <v>2.9579560437593688E-3</v>
      </c>
      <c r="CV34" s="9">
        <f ca="1">IF(OR(CV7="",CV$28&lt;$A34),"",CV7/OFFSET(SSTotalESP!$A$2,MATCH(CV$29,SSTotalESP!$A$2:$A$500)+$A34-1,1)-1)</f>
        <v>-1.3707716113936508E-3</v>
      </c>
      <c r="CW34" s="9">
        <f ca="1">IF(OR(CW7="",CW$28&lt;$A34),"",CW7/OFFSET(SSTotalESP!$A$2,MATCH(CW$29,SSTotalESP!$A$2:$A$500)+$A34-1,1)-1)</f>
        <v>-3.794163854209387E-6</v>
      </c>
      <c r="CX34" s="9">
        <f ca="1">IF(OR(CX7="",CX$28&lt;$A34),"",CX7/OFFSET(SSTotalESP!$A$2,MATCH(CX$29,SSTotalESP!$A$2:$A$500)+$A34-1,1)-1)</f>
        <v>-3.2631366417725793E-3</v>
      </c>
      <c r="CY34" s="9">
        <f ca="1">IF(OR(CY7="",CY$28&lt;$A34),"",CY7/OFFSET(SSTotalESP!$A$2,MATCH(CY$29,SSTotalESP!$A$2:$A$500)+$A34-1,1)-1)</f>
        <v>-6.1020720046489618E-4</v>
      </c>
      <c r="CZ34" s="9">
        <f ca="1">IF(OR(CZ7="",CZ$28&lt;$A34),"",CZ7/OFFSET(SSTotalESP!$A$2,MATCH(CZ$29,SSTotalESP!$A$2:$A$500)+$A34-1,1)-1)</f>
        <v>1.6498526051105245E-2</v>
      </c>
      <c r="DA34" s="9">
        <f ca="1">IF(OR(DA7="",DA$28&lt;$A34),"",DA7/OFFSET(SSTotalESP!$A$2,MATCH(DA$29,SSTotalESP!$A$2:$A$500)+$A34-1,1)-1)</f>
        <v>5.9062639330744737E-3</v>
      </c>
      <c r="DB34" s="9">
        <f ca="1">IF(OR(DB7="",DB$28&lt;$A34),"",DB7/OFFSET(SSTotalESP!$A$2,MATCH(DB$29,SSTotalESP!$A$2:$A$500)+$A34-1,1)-1)</f>
        <v>1.3392820458191235E-2</v>
      </c>
      <c r="DC34" s="9">
        <f ca="1">IF(OR(DC7="",DC$28&lt;$A34),"",DC7/OFFSET(SSTotalESP!$A$2,MATCH(DC$29,SSTotalESP!$A$2:$A$500)+$A34-1,1)-1)</f>
        <v>9.6017723295491741E-3</v>
      </c>
      <c r="DD34" s="9">
        <f ca="1">IF(OR(DD7="",DD$28&lt;$A34),"",DD7/OFFSET(SSTotalESP!$A$2,MATCH(DD$29,SSTotalESP!$A$2:$A$500)+$A34-1,1)-1)</f>
        <v>7.0371928043573284E-3</v>
      </c>
      <c r="DE34" s="9">
        <f ca="1">IF(OR(DE7="",DE$28&lt;$A34),"",DE7/OFFSET(SSTotalESP!$A$2,MATCH(DE$29,SSTotalESP!$A$2:$A$500)+$A34-1,1)-1)</f>
        <v>-1.8088115998737275E-2</v>
      </c>
      <c r="DF34" s="9">
        <f ca="1">IF(OR(DF7="",DF$28&lt;$A34),"",DF7/OFFSET(SSTotalESP!$A$2,MATCH(DF$29,SSTotalESP!$A$2:$A$500)+$A34-1,1)-1)</f>
        <v>-1.3524944984244613E-2</v>
      </c>
      <c r="DG34" s="9">
        <f ca="1">IF(OR(DG7="",DG$28&lt;$A34),"",DG7/OFFSET(SSTotalESP!$A$2,MATCH(DG$29,SSTotalESP!$A$2:$A$500)+$A34-1,1)-1)</f>
        <v>-6.7551760228011792E-3</v>
      </c>
      <c r="DH34" s="9">
        <f ca="1">IF(OR(DH7="",DH$28&lt;$A34),"",DH7/OFFSET(SSTotalESP!$A$2,MATCH(DH$29,SSTotalESP!$A$2:$A$500)+$A34-1,1)-1)</f>
        <v>-6.5026895981245003E-3</v>
      </c>
      <c r="DI34" s="9">
        <f ca="1">IF(OR(DI7="",DI$28&lt;$A34),"",DI7/OFFSET(SSTotalESP!$A$2,MATCH(DI$29,SSTotalESP!$A$2:$A$500)+$A34-1,1)-1)</f>
        <v>-6.6269796879689924E-3</v>
      </c>
      <c r="DJ34" s="9">
        <f ca="1">IF(OR(DJ7="",DJ$28&lt;$A34),"",DJ7/OFFSET(SSTotalESP!$A$2,MATCH(DJ$29,SSTotalESP!$A$2:$A$500)+$A34-1,1)-1)</f>
        <v>-6.6322487614969283E-3</v>
      </c>
      <c r="DK34" s="9">
        <f ca="1">IF(OR(DK7="",DK$28&lt;$A34),"",DK7/OFFSET(SSTotalESP!$A$2,MATCH(DK$29,SSTotalESP!$A$2:$A$500)+$A34-1,1)-1)</f>
        <v>-5.8396986375849336E-3</v>
      </c>
      <c r="DL34" s="9">
        <f ca="1">IF(OR(DL7="",DL$28&lt;$A34),"",DL7/OFFSET(SSTotalESP!$A$2,MATCH(DL$29,SSTotalESP!$A$2:$A$500)+$A34-1,1)-1)</f>
        <v>-1.5364692519451162E-2</v>
      </c>
      <c r="DM34" s="9">
        <f ca="1">IF(OR(DM7="",DM$28&lt;$A34),"",DM7/OFFSET(SSTotalESP!$A$2,MATCH(DM$29,SSTotalESP!$A$2:$A$500)+$A34-1,1)-1)</f>
        <v>-2.336807390972695E-2</v>
      </c>
      <c r="DN34" s="9">
        <f ca="1">IF(OR(DN7="",DN$28&lt;$A34),"",DN7/OFFSET(SSTotalESP!$A$2,MATCH(DN$29,SSTotalESP!$A$2:$A$500)+$A34-1,1)-1)</f>
        <v>-1.9427029172023214E-2</v>
      </c>
      <c r="DO34" s="9">
        <f ca="1">IF(OR(DO7="",DO$28&lt;$A34),"",DO7/OFFSET(SSTotalESP!$A$2,MATCH(DO$29,SSTotalESP!$A$2:$A$500)+$A34-1,1)-1)</f>
        <v>-1.6084446846574507E-2</v>
      </c>
      <c r="DP34" s="9">
        <f ca="1">IF(OR(DP7="",DP$28&lt;$A34),"",DP7/OFFSET(SSTotalESP!$A$2,MATCH(DP$29,SSTotalESP!$A$2:$A$500)+$A34-1,1)-1)</f>
        <v>-5.9879320206798203E-3</v>
      </c>
      <c r="DQ34" s="9">
        <f ca="1">IF(OR(DQ7="",DQ$28&lt;$A34),"",DQ7/OFFSET(SSTotalESP!$A$2,MATCH(DQ$29,SSTotalESP!$A$2:$A$500)+$A34-1,1)-1)</f>
        <v>-7.8233614387730466E-3</v>
      </c>
      <c r="DR34" s="9">
        <f ca="1">IF(OR(DR7="",DR$28&lt;$A34),"",DR7/OFFSET(SSTotalESP!$A$2,MATCH(DR$29,SSTotalESP!$A$2:$A$500)+$A34-1,1)-1)</f>
        <v>9.7256278663815365E-4</v>
      </c>
      <c r="DS34" s="9">
        <f ca="1">IF(OR(DS7="",DS$28&lt;$A34),"",DS7/OFFSET(SSTotalESP!$A$2,MATCH(DS$29,SSTotalESP!$A$2:$A$500)+$A34-1,1)-1)</f>
        <v>-5.4630152153545275E-3</v>
      </c>
      <c r="DT34" s="9">
        <f ca="1">IF(OR(DT7="",DT$28&lt;$A34),"",DT7/OFFSET(SSTotalESP!$A$2,MATCH(DT$29,SSTotalESP!$A$2:$A$500)+$A34-1,1)-1)</f>
        <v>-4.6712938834920781E-3</v>
      </c>
      <c r="DU34" s="9">
        <f ca="1">IF(OR(DU7="",DU$28&lt;$A34),"",DU7/OFFSET(SSTotalESP!$A$2,MATCH(DU$29,SSTotalESP!$A$2:$A$500)+$A34-1,1)-1)</f>
        <v>-4.3443135849248193E-3</v>
      </c>
      <c r="DV34" s="9">
        <f ca="1">IF(OR(DV7="",DV$28&lt;$A34),"",DV7/OFFSET(SSTotalESP!$A$2,MATCH(DV$29,SSTotalESP!$A$2:$A$500)+$A34-1,1)-1)</f>
        <v>2.4951408677498232E-3</v>
      </c>
      <c r="DW34" s="9">
        <f ca="1">IF(OR(DW7="",DW$28&lt;$A34),"",DW7/OFFSET(SSTotalESP!$A$2,MATCH(DW$29,SSTotalESP!$A$2:$A$500)+$A34-1,1)-1)</f>
        <v>5.5124755560327365E-3</v>
      </c>
      <c r="DX34" s="9">
        <f ca="1">IF(OR(DX7="",DX$28&lt;$A34),"",DX7/OFFSET(SSTotalESP!$A$2,MATCH(DX$29,SSTotalESP!$A$2:$A$500)+$A34-1,1)-1)</f>
        <v>-2.9911292502968756E-3</v>
      </c>
      <c r="DY34" s="9">
        <f ca="1">IF(OR(DY7="",DY$28&lt;$A34),"",DY7/OFFSET(SSTotalESP!$A$2,MATCH(DY$29,SSTotalESP!$A$2:$A$500)+$A34-1,1)-1)</f>
        <v>-8.4634796552588432E-3</v>
      </c>
      <c r="DZ34" s="9">
        <f ca="1">IF(OR(DZ7="",DZ$28&lt;$A34),"",DZ7/OFFSET(SSTotalESP!$A$2,MATCH(DZ$29,SSTotalESP!$A$2:$A$500)+$A34-1,1)-1)</f>
        <v>-1.0315351887648649E-2</v>
      </c>
      <c r="EA34" s="9">
        <f ca="1">IF(OR(EA7="",EA$28&lt;$A34),"",EA7/OFFSET(SSTotalESP!$A$2,MATCH(EA$29,SSTotalESP!$A$2:$A$500)+$A34-1,1)-1)</f>
        <v>-7.2398471188046543E-3</v>
      </c>
      <c r="EB34" s="9">
        <f ca="1">IF(OR(EB7="",EB$28&lt;$A34),"",EB7/OFFSET(SSTotalESP!$A$2,MATCH(EB$29,SSTotalESP!$A$2:$A$500)+$A34-1,1)-1)</f>
        <v>-1.4409208882429914E-2</v>
      </c>
      <c r="EC34" s="9">
        <f ca="1">IF(OR(EC7="",EC$28&lt;$A34),"",EC7/OFFSET(SSTotalESP!$A$2,MATCH(EC$29,SSTotalESP!$A$2:$A$500)+$A34-1,1)-1)</f>
        <v>-5.3167330199945795E-3</v>
      </c>
      <c r="ED34" s="9">
        <f ca="1">IF(OR(ED7="",ED$28&lt;$A34),"",ED7/OFFSET(SSTotalESP!$A$2,MATCH(ED$29,SSTotalESP!$A$2:$A$500)+$A34-1,1)-1)</f>
        <v>-4.1096636809671017E-3</v>
      </c>
      <c r="EE34" s="9">
        <f ca="1">IF(OR(EE7="",EE$28&lt;$A34),"",EE7/OFFSET(SSTotalESP!$A$2,MATCH(EE$29,SSTotalESP!$A$2:$A$500)+$A34-1,1)-1)</f>
        <v>-1.1289672164642606E-2</v>
      </c>
      <c r="EF34" s="9">
        <f ca="1">IF(OR(EF7="",EF$28&lt;$A34),"",EF7/OFFSET(SSTotalESP!$A$2,MATCH(EF$29,SSTotalESP!$A$2:$A$500)+$A34-1,1)-1)</f>
        <v>-1.1544425334497621E-4</v>
      </c>
      <c r="EG34" s="9">
        <f ca="1">IF(OR(EG7="",EG$28&lt;$A34),"",EG7/OFFSET(SSTotalESP!$A$2,MATCH(EG$29,SSTotalESP!$A$2:$A$500)+$A34-1,1)-1)</f>
        <v>1.1847563799321614E-2</v>
      </c>
      <c r="EH34" s="9">
        <f ca="1">IF(OR(EH7="",EH$28&lt;$A34),"",EH7/OFFSET(SSTotalESP!$A$2,MATCH(EH$29,SSTotalESP!$A$2:$A$500)+$A34-1,1)-1)</f>
        <v>1.4272208104687323E-2</v>
      </c>
      <c r="EI34" s="9">
        <f ca="1">IF(OR(EI7="",EI$28&lt;$A34),"",EI7/OFFSET(SSTotalESP!$A$2,MATCH(EI$29,SSTotalESP!$A$2:$A$500)+$A34-1,1)-1)</f>
        <v>1.4687236313785323E-2</v>
      </c>
      <c r="EJ34" s="9">
        <f ca="1">IF(OR(EJ7="",EJ$28&lt;$A34),"",EJ7/OFFSET(SSTotalESP!$A$2,MATCH(EJ$29,SSTotalESP!$A$2:$A$500)+$A34-1,1)-1)</f>
        <v>3.645986557987424E-4</v>
      </c>
      <c r="EK34" s="9">
        <f ca="1">IF(OR(EK7="",EK$28&lt;$A34),"",EK7/OFFSET(SSTotalESP!$A$2,MATCH(EK$29,SSTotalESP!$A$2:$A$500)+$A34-1,1)-1)</f>
        <v>-1.4206223850277144E-3</v>
      </c>
      <c r="EL34" s="9">
        <f ca="1">IF(OR(EL7="",EL$28&lt;$A34),"",EL7/OFFSET(SSTotalESP!$A$2,MATCH(EL$29,SSTotalESP!$A$2:$A$500)+$A34-1,1)-1)</f>
        <v>-9.7640285240008229E-3</v>
      </c>
      <c r="EM34" s="9">
        <f ca="1">IF(OR(EM7="",EM$28&lt;$A34),"",EM7/OFFSET(SSTotalESP!$A$2,MATCH(EM$29,SSTotalESP!$A$2:$A$500)+$A34-1,1)-1)</f>
        <v>-2.7126565960406968E-3</v>
      </c>
      <c r="EN34" s="9">
        <f ca="1">IF(OR(EN7="",EN$28&lt;$A34),"",EN7/OFFSET(SSTotalESP!$A$2,MATCH(EN$29,SSTotalESP!$A$2:$A$500)+$A34-1,1)-1)</f>
        <v>-1.6379291358569192E-3</v>
      </c>
      <c r="EO34" s="9">
        <f ca="1">IF(OR(EO7="",EO$28&lt;$A34),"",EO7/OFFSET(SSTotalESP!$A$2,MATCH(EO$29,SSTotalESP!$A$2:$A$500)+$A34-1,1)-1)</f>
        <v>-6.2066826417084275E-4</v>
      </c>
      <c r="EP34" s="9">
        <f ca="1">IF(OR(EP7="",EP$28&lt;$A34),"",EP7/OFFSET(SSTotalESP!$A$2,MATCH(EP$29,SSTotalESP!$A$2:$A$500)+$A34-1,1)-1)</f>
        <v>3.6580454195085377E-3</v>
      </c>
      <c r="EQ34" s="9">
        <f ca="1">IF(OR(EQ7="",EQ$28&lt;$A34),"",EQ7/OFFSET(SSTotalESP!$A$2,MATCH(EQ$29,SSTotalESP!$A$2:$A$500)+$A34-1,1)-1)</f>
        <v>-4.5246965504285308E-3</v>
      </c>
      <c r="ER34" s="9">
        <f ca="1">IF(OR(ER7="",ER$28&lt;$A34),"",ER7/OFFSET(SSTotalESP!$A$2,MATCH(ER$29,SSTotalESP!$A$2:$A$500)+$A34-1,1)-1)</f>
        <v>-6.9813528850279916E-3</v>
      </c>
      <c r="ES34" s="9">
        <f ca="1">IF(OR(ES7="",ES$28&lt;$A34),"",ES7/OFFSET(SSTotalESP!$A$2,MATCH(ES$29,SSTotalESP!$A$2:$A$500)+$A34-1,1)-1)</f>
        <v>-2.9331281877850168E-3</v>
      </c>
      <c r="ET34" s="9">
        <f ca="1">IF(OR(ET7="",ET$28&lt;$A34),"",ET7/OFFSET(SSTotalESP!$A$2,MATCH(ET$29,SSTotalESP!$A$2:$A$500)+$A34-1,1)-1)</f>
        <v>-1.5793009475075781E-3</v>
      </c>
      <c r="EU34" s="9">
        <f ca="1">IF(OR(EU7="",EU$28&lt;$A34),"",EU7/OFFSET(SSTotalESP!$A$2,MATCH(EU$29,SSTotalESP!$A$2:$A$500)+$A34-1,1)-1)</f>
        <v>-4.5382277437838736E-3</v>
      </c>
      <c r="EV34" s="9">
        <f ca="1">IF(OR(EV7="",EV$28&lt;$A34),"",EV7/OFFSET(SSTotalESP!$A$2,MATCH(EV$29,SSTotalESP!$A$2:$A$500)+$A34-1,1)-1)</f>
        <v>3.8729897059190943E-3</v>
      </c>
      <c r="EW34" s="9">
        <f ca="1">IF(OR(EW7="",EW$28&lt;$A34),"",EW7/OFFSET(SSTotalESP!$A$2,MATCH(EW$29,SSTotalESP!$A$2:$A$500)+$A34-1,1)-1)</f>
        <v>1.1427990665671128E-3</v>
      </c>
      <c r="EX34" s="9">
        <f ca="1">IF(OR(EX7="",EX$28&lt;$A34),"",EX7/OFFSET(SSTotalESP!$A$2,MATCH(EX$29,SSTotalESP!$A$2:$A$500)+$A34-1,1)-1)</f>
        <v>-7.7374116982730223E-3</v>
      </c>
      <c r="EY34" s="9">
        <f ca="1">IF(OR(EY7="",EY$28&lt;$A34),"",EY7/OFFSET(SSTotalESP!$A$2,MATCH(EY$29,SSTotalESP!$A$2:$A$500)+$A34-1,1)-1)</f>
        <v>-5.3984571874652332E-3</v>
      </c>
      <c r="EZ34" s="9">
        <f ca="1">IF(OR(EZ7="",EZ$28&lt;$A34),"",EZ7/OFFSET(SSTotalESP!$A$2,MATCH(EZ$29,SSTotalESP!$A$2:$A$500)+$A34-1,1)-1)</f>
        <v>3.7115493627508656E-3</v>
      </c>
      <c r="FA34" s="9">
        <f ca="1">IF(OR(FA7="",FA$28&lt;$A34),"",FA7/OFFSET(SSTotalESP!$A$2,MATCH(FA$29,SSTotalESP!$A$2:$A$500)+$A34-1,1)-1)</f>
        <v>-8.7946276656134525E-3</v>
      </c>
      <c r="FB34" s="9">
        <f ca="1">IF(OR(FB7="",FB$28&lt;$A34),"",FB7/OFFSET(SSTotalESP!$A$2,MATCH(FB$29,SSTotalESP!$A$2:$A$500)+$A34-1,1)-1)</f>
        <v>-8.9439837951457157E-3</v>
      </c>
      <c r="FC34" s="9">
        <f ca="1">IF(OR(FC7="",FC$28&lt;$A34),"",FC7/OFFSET(SSTotalESP!$A$2,MATCH(FC$29,SSTotalESP!$A$2:$A$500)+$A34-1,1)-1)</f>
        <v>-7.531259789744893E-3</v>
      </c>
      <c r="FD34" s="9">
        <f ca="1">IF(OR(FD7="",FD$28&lt;$A34),"",FD7/OFFSET(SSTotalESP!$A$2,MATCH(FD$29,SSTotalESP!$A$2:$A$500)+$A34-1,1)-1)</f>
        <v>-5.3229184687442199E-3</v>
      </c>
      <c r="FE34" s="9">
        <f ca="1">IF(OR(FE7="",FE$28&lt;$A34),"",FE7/OFFSET(SSTotalESP!$A$2,MATCH(FE$29,SSTotalESP!$A$2:$A$500)+$A34-1,1)-1)</f>
        <v>3.2535705610057253E-3</v>
      </c>
      <c r="FF34" s="9">
        <f ca="1">IF(OR(FF7="",FF$28&lt;$A34),"",FF7/OFFSET(SSTotalESP!$A$2,MATCH(FF$29,SSTotalESP!$A$2:$A$500)+$A34-1,1)-1)</f>
        <v>9.4275734635700381E-3</v>
      </c>
      <c r="FG34" s="9">
        <f ca="1">IF(OR(FG7="",FG$28&lt;$A34),"",FG7/OFFSET(SSTotalESP!$A$2,MATCH(FG$29,SSTotalESP!$A$2:$A$500)+$A34-1,1)-1)</f>
        <v>7.8396507146130112E-3</v>
      </c>
      <c r="FH34" s="9">
        <f ca="1">IF(OR(FH7="",FH$28&lt;$A34),"",FH7/OFFSET(SSTotalESP!$A$2,MATCH(FH$29,SSTotalESP!$A$2:$A$500)+$A34-1,1)-1)</f>
        <v>5.0963178339138437E-3</v>
      </c>
      <c r="FI34" s="9">
        <f ca="1">IF(OR(FI7="",FI$28&lt;$A34),"",FI7/OFFSET(SSTotalESP!$A$2,MATCH(FI$29,SSTotalESP!$A$2:$A$500)+$A34-1,1)-1)</f>
        <v>-1.6407692886868386E-3</v>
      </c>
      <c r="FJ34" s="9">
        <f ca="1">IF(OR(FJ7="",FJ$28&lt;$A34),"",FJ7/OFFSET(SSTotalESP!$A$2,MATCH(FJ$29,SSTotalESP!$A$2:$A$500)+$A34-1,1)-1)</f>
        <v>-8.2823540693309772E-3</v>
      </c>
      <c r="FK34" s="9">
        <f ca="1">IF(OR(FK7="",FK$28&lt;$A34),"",FK7/OFFSET(SSTotalESP!$A$2,MATCH(FK$29,SSTotalESP!$A$2:$A$500)+$A34-1,1)-1)</f>
        <v>-2.5430745730454785E-3</v>
      </c>
      <c r="FL34" s="9">
        <f ca="1">IF(OR(FL7="",FL$28&lt;$A34),"",FL7/OFFSET(SSTotalESP!$A$2,MATCH(FL$29,SSTotalESP!$A$2:$A$500)+$A34-1,1)-1)</f>
        <v>1.4236601046289099E-3</v>
      </c>
      <c r="FM34" s="9">
        <f ca="1">IF(OR(FM7="",FM$28&lt;$A34),"",FM7/OFFSET(SSTotalESP!$A$2,MATCH(FM$29,SSTotalESP!$A$2:$A$500)+$A34-1,1)-1)</f>
        <v>1.7388113267227112E-3</v>
      </c>
      <c r="FN34" s="9">
        <f ca="1">IF(OR(FN7="",FN$28&lt;$A34),"",FN7/OFFSET(SSTotalESP!$A$2,MATCH(FN$29,SSTotalESP!$A$2:$A$500)+$A34-1,1)-1)</f>
        <v>-4.4058246796638834E-3</v>
      </c>
      <c r="FO34" s="9">
        <f ca="1">IF(OR(FO7="",FO$28&lt;$A34),"",FO7/OFFSET(SSTotalESP!$A$2,MATCH(FO$29,SSTotalESP!$A$2:$A$500)+$A34-1,1)-1)</f>
        <v>-4.0986854940713302E-3</v>
      </c>
      <c r="FP34" s="9">
        <f ca="1">IF(OR(FP7="",FP$28&lt;$A34),"",FP7/OFFSET(SSTotalESP!$A$2,MATCH(FP$29,SSTotalESP!$A$2:$A$500)+$A34-1,1)-1)</f>
        <v>4.3378032394514321E-5</v>
      </c>
      <c r="FQ34" s="9">
        <f ca="1">IF(OR(FQ7="",FQ$28&lt;$A34),"",FQ7/OFFSET(SSTotalESP!$A$2,MATCH(FQ$29,SSTotalESP!$A$2:$A$500)+$A34-1,1)-1)</f>
        <v>1.0052787972856247E-3</v>
      </c>
      <c r="FR34" s="9">
        <f ca="1">IF(OR(FR7="",FR$28&lt;$A34),"",FR7/OFFSET(SSTotalESP!$A$2,MATCH(FR$29,SSTotalESP!$A$2:$A$500)+$A34-1,1)-1)</f>
        <v>1.657420872884785E-3</v>
      </c>
      <c r="FS34" s="9">
        <f ca="1">IF(OR(FS7="",FS$28&lt;$A34),"",FS7/OFFSET(SSTotalESP!$A$2,MATCH(FS$29,SSTotalESP!$A$2:$A$500)+$A34-1,1)-1)</f>
        <v>4.1844197774556502E-3</v>
      </c>
      <c r="FT34" s="9">
        <f ca="1">IF(OR(FT7="",FT$28&lt;$A34),"",FT7/OFFSET(SSTotalESP!$A$2,MATCH(FT$29,SSTotalESP!$A$2:$A$500)+$A34-1,1)-1)</f>
        <v>5.2539029837912476E-3</v>
      </c>
      <c r="FU34" s="9">
        <f ca="1">IF(OR(FU7="",FU$28&lt;$A34),"",FU7/OFFSET(SSTotalESP!$A$2,MATCH(FU$29,SSTotalESP!$A$2:$A$500)+$A34-1,1)-1)</f>
        <v>-3.5324547683148744E-3</v>
      </c>
      <c r="FV34" s="9">
        <f ca="1">IF(OR(FV7="",FV$28&lt;$A34),"",FV7/OFFSET(SSTotalESP!$A$2,MATCH(FV$29,SSTotalESP!$A$2:$A$500)+$A34-1,1)-1)</f>
        <v>-7.7550795123950689E-3</v>
      </c>
      <c r="FW34" s="9">
        <f ca="1">IF(OR(FW7="",FW$28&lt;$A34),"",FW7/OFFSET(SSTotalESP!$A$2,MATCH(FW$29,SSTotalESP!$A$2:$A$500)+$A34-1,1)-1)</f>
        <v>-4.1924646000041088E-3</v>
      </c>
      <c r="FX34" s="9">
        <f ca="1">IF(OR(FX7="",FX$28&lt;$A34),"",FX7/OFFSET(SSTotalESP!$A$2,MATCH(FX$29,SSTotalESP!$A$2:$A$500)+$A34-1,1)-1)</f>
        <v>5.459293620831529E-3</v>
      </c>
      <c r="FY34" s="9">
        <f ca="1">IF(OR(FY7="",FY$28&lt;$A34),"",FY7/OFFSET(SSTotalESP!$A$2,MATCH(FY$29,SSTotalESP!$A$2:$A$500)+$A34-1,1)-1)</f>
        <v>-4.6453799713991328E-3</v>
      </c>
      <c r="FZ34" s="9">
        <f ca="1">IF(OR(FZ7="",FZ$28&lt;$A34),"",FZ7/OFFSET(SSTotalESP!$A$2,MATCH(FZ$29,SSTotalESP!$A$2:$A$500)+$A34-1,1)-1)</f>
        <v>1.3122361215365252E-3</v>
      </c>
      <c r="GA34" s="9">
        <f ca="1">IF(OR(GA7="",GA$28&lt;$A34),"",GA7/OFFSET(SSTotalESP!$A$2,MATCH(GA$29,SSTotalESP!$A$2:$A$500)+$A34-1,1)-1)</f>
        <v>-4.1518199423644653E-3</v>
      </c>
      <c r="GB34" s="9">
        <f ca="1">IF(OR(GB7="",GB$28&lt;$A34),"",GB7/OFFSET(SSTotalESP!$A$2,MATCH(GB$29,SSTotalESP!$A$2:$A$500)+$A34-1,1)-1)</f>
        <v>-1.5027584939988348E-3</v>
      </c>
      <c r="GC34" s="9">
        <f ca="1">IF(OR(GC7="",GC$28&lt;$A34),"",GC7/OFFSET(SSTotalESP!$A$2,MATCH(GC$29,SSTotalESP!$A$2:$A$500)+$A34-1,1)-1)</f>
        <v>5.1034856887903768E-3</v>
      </c>
      <c r="GD34" s="9">
        <f ca="1">IF(OR(GD7="",GD$28&lt;$A34),"",GD7/OFFSET(SSTotalESP!$A$2,MATCH(GD$29,SSTotalESP!$A$2:$A$500)+$A34-1,1)-1)</f>
        <v>7.9383994622701515E-3</v>
      </c>
      <c r="GE34" s="9">
        <f ca="1">IF(OR(GE7="",GE$28&lt;$A34),"",GE7/OFFSET(SSTotalESP!$A$2,MATCH(GE$29,SSTotalESP!$A$2:$A$500)+$A34-1,1)-1)</f>
        <v>4.5752290765495029E-3</v>
      </c>
      <c r="GF34" s="9">
        <f ca="1">IF(OR(GF7="",GF$28&lt;$A34),"",GF7/OFFSET(SSTotalESP!$A$2,MATCH(GF$29,SSTotalESP!$A$2:$A$500)+$A34-1,1)-1)</f>
        <v>4.2069135996416485E-3</v>
      </c>
      <c r="GG34" s="9">
        <f ca="1">IF(OR(GG7="",GG$28&lt;$A34),"",GG7/OFFSET(SSTotalESP!$A$2,MATCH(GG$29,SSTotalESP!$A$2:$A$500)+$A34-1,1)-1)</f>
        <v>9.5728207915657393E-4</v>
      </c>
      <c r="GH34" s="9">
        <f ca="1">IF(OR(GH7="",GH$28&lt;$A34),"",GH7/OFFSET(SSTotalESP!$A$2,MATCH(GH$29,SSTotalESP!$A$2:$A$500)+$A34-1,1)-1)</f>
        <v>1.0021970216771425E-3</v>
      </c>
      <c r="GI34" s="9">
        <f ca="1">IF(OR(GI7="",GI$28&lt;$A34),"",GI7/OFFSET(SSTotalESP!$A$2,MATCH(GI$29,SSTotalESP!$A$2:$A$500)+$A34-1,1)-1)</f>
        <v>-1.1720929561181981E-3</v>
      </c>
      <c r="GJ34" s="9">
        <f ca="1">IF(OR(GJ7="",GJ$28&lt;$A34),"",GJ7/OFFSET(SSTotalESP!$A$2,MATCH(GJ$29,SSTotalESP!$A$2:$A$500)+$A34-1,1)-1)</f>
        <v>2.2326062455670037E-2</v>
      </c>
      <c r="GK34" s="9">
        <f ca="1">IF(OR(GK7="",GK$28&lt;$A34),"",GK7/OFFSET(SSTotalESP!$A$2,MATCH(GK$29,SSTotalESP!$A$2:$A$500)+$A34-1,1)-1)</f>
        <v>5.9487272526040025E-2</v>
      </c>
      <c r="GL34" s="9">
        <f ca="1">IF(OR(GL7="",GL$28&lt;$A34),"",GL7/OFFSET(SSTotalESP!$A$2,MATCH(GL$29,SSTotalESP!$A$2:$A$500)+$A34-1,1)-1)</f>
        <v>6.1653202268111551E-2</v>
      </c>
      <c r="GM34" s="9">
        <f ca="1">IF(OR(GM7="",GM$28&lt;$A34),"",GM7/OFFSET(SSTotalESP!$A$2,MATCH(GM$29,SSTotalESP!$A$2:$A$500)+$A34-1,1)-1)</f>
        <v>5.5867281660993307E-2</v>
      </c>
      <c r="GN34" s="9">
        <f ca="1">IF(OR(GN7="",GN$28&lt;$A34),"",GN7/OFFSET(SSTotalESP!$A$2,MATCH(GN$29,SSTotalESP!$A$2:$A$500)+$A34-1,1)-1)</f>
        <v>5.6841112645861669E-2</v>
      </c>
      <c r="GO34" s="9">
        <f ca="1">IF(OR(GO7="",GO$28&lt;$A34),"",GO7/OFFSET(SSTotalESP!$A$2,MATCH(GO$29,SSTotalESP!$A$2:$A$500)+$A34-1,1)-1)</f>
        <v>1.9766859512951873E-2</v>
      </c>
      <c r="GP34" s="9">
        <f ca="1">IF(OR(GP7="",GP$28&lt;$A34),"",GP7/OFFSET(SSTotalESP!$A$2,MATCH(GP$29,SSTotalESP!$A$2:$A$500)+$A34-1,1)-1)</f>
        <v>-3.6208774455940174E-2</v>
      </c>
      <c r="GQ34" s="9">
        <f ca="1">IF(OR(GQ7="",GQ$28&lt;$A34),"",GQ7/OFFSET(SSTotalESP!$A$2,MATCH(GQ$29,SSTotalESP!$A$2:$A$500)+$A34-1,1)-1)</f>
        <v>-4.6877927610117553E-2</v>
      </c>
      <c r="GR34" s="9">
        <f ca="1">IF(OR(GR7="",GR$28&lt;$A34),"",GR7/OFFSET(SSTotalESP!$A$2,MATCH(GR$29,SSTotalESP!$A$2:$A$500)+$A34-1,1)-1)</f>
        <v>-4.1374427653919965E-2</v>
      </c>
      <c r="GS34" s="9">
        <f ca="1">IF(OR(GS7="",GS$28&lt;$A34),"",GS7/OFFSET(SSTotalESP!$A$2,MATCH(GS$29,SSTotalESP!$A$2:$A$500)+$A34-1,1)-1)</f>
        <v>-2.7242522662312418E-2</v>
      </c>
      <c r="GT34" s="9">
        <f ca="1">IF(OR(GT7="",GT$28&lt;$A34),"",GT7/OFFSET(SSTotalESP!$A$2,MATCH(GT$29,SSTotalESP!$A$2:$A$500)+$A34-1,1)-1)</f>
        <v>4.5792101877171199E-3</v>
      </c>
      <c r="GU34" s="9" t="str">
        <f ca="1">IF(OR(GU7="",GU$28&lt;$A34),"",GU7/OFFSET(SSTotalESP!$A$2,MATCH(GU$29,SSTotalESP!$A$2:$A$500)+$A34-1,1)-1)</f>
        <v/>
      </c>
      <c r="GV34" s="9" t="str">
        <f ca="1">IF(OR(GV7="",GV$28&lt;$A34),"",GV7/OFFSET(SSTotalESP!$A$2,MATCH(GV$29,SSTotalESP!$A$2:$A$500)+$A34-1,1)-1)</f>
        <v/>
      </c>
      <c r="GW34" s="9" t="str">
        <f ca="1">IF(OR(GW7="",GW$28&lt;$A34),"",GW7/OFFSET(SSTotalESP!$A$2,MATCH(GW$29,SSTotalESP!$A$2:$A$500)+$A34-1,1)-1)</f>
        <v/>
      </c>
      <c r="GX34" s="9" t="str">
        <f ca="1">IF(OR(GX7="",GX$28&lt;$A34),"",GX7/OFFSET(SSTotalESP!$A$2,MATCH(GX$29,SSTotalESP!$A$2:$A$500)+$A34-1,1)-1)</f>
        <v/>
      </c>
      <c r="GY34" s="9" t="str">
        <f ca="1">IF(OR(GY7="",GY$28&lt;$A34),"",GY7/OFFSET(SSTotalESP!$A$2,MATCH(GY$29,SSTotalESP!$A$2:$A$500)+$A34-1,1)-1)</f>
        <v/>
      </c>
      <c r="GZ34" s="9" t="str">
        <f ca="1">IF(OR(GZ7="",GZ$28&lt;$A34),"",GZ7/OFFSET(SSTotalESP!$A$2,MATCH(GZ$29,SSTotalESP!$A$2:$A$500)+$A34-1,1)-1)</f>
        <v/>
      </c>
      <c r="HA34" s="9" t="str">
        <f ca="1">IF(OR(HA7="",HA$28&lt;$A34),"",HA7/OFFSET(SSTotalESP!$A$2,MATCH(HA$29,SSTotalESP!$A$2:$A$500)+$A34-1,1)-1)</f>
        <v/>
      </c>
      <c r="HB34" s="9" t="str">
        <f ca="1">IF(OR(HB7="",HB$28&lt;$A34),"",HB7/OFFSET(SSTotalESP!$A$2,MATCH(HB$29,SSTotalESP!$A$2:$A$500)+$A34-1,1)-1)</f>
        <v/>
      </c>
      <c r="HC34" s="9" t="str">
        <f ca="1">IF(OR(HC7="",HC$28&lt;$A34),"",HC7/OFFSET(SSTotalESP!$A$2,MATCH(HC$29,SSTotalESP!$A$2:$A$500)+$A34-1,1)-1)</f>
        <v/>
      </c>
      <c r="HD34" s="9" t="str">
        <f ca="1">IF(OR(HD7="",HD$28&lt;$A34),"",HD7/OFFSET(SSTotalESP!$A$2,MATCH(HD$29,SSTotalESP!$A$2:$A$500)+$A34-1,1)-1)</f>
        <v/>
      </c>
      <c r="HE34" s="9" t="str">
        <f ca="1">IF(OR(HE7="",HE$28&lt;$A34),"",HE7/OFFSET(SSTotalESP!$A$2,MATCH(HE$29,SSTotalESP!$A$2:$A$500)+$A34-1,1)-1)</f>
        <v/>
      </c>
      <c r="HF34" s="9" t="str">
        <f ca="1">IF(OR(HF7="",HF$28&lt;$A34),"",HF7/OFFSET(SSTotalESP!$A$2,MATCH(HF$29,SSTotalESP!$A$2:$A$500)+$A34-1,1)-1)</f>
        <v/>
      </c>
      <c r="HG34" s="9" t="str">
        <f ca="1">IF(OR(HG7="",HG$28&lt;$A34),"",HG7/OFFSET(SSTotalESP!$A$2,MATCH(HG$29,SSTotalESP!$A$2:$A$500)+$A34-1,1)-1)</f>
        <v/>
      </c>
      <c r="HH34" s="9" t="str">
        <f ca="1">IF(OR(HH7="",HH$28&lt;$A34),"",HH7/OFFSET(SSTotalESP!$A$2,MATCH(HH$29,SSTotalESP!$A$2:$A$500)+$A34-1,1)-1)</f>
        <v/>
      </c>
      <c r="HI34" s="9" t="str">
        <f ca="1">IF(OR(HI7="",HI$28&lt;$A34),"",HI7/OFFSET(SSTotalESP!$A$2,MATCH(HI$29,SSTotalESP!$A$2:$A$500)+$A34-1,1)-1)</f>
        <v/>
      </c>
      <c r="HJ34" s="9" t="str">
        <f ca="1">IF(OR(HJ7="",HJ$28&lt;$A34),"",HJ7/OFFSET(SSTotalESP!$A$2,MATCH(HJ$29,SSTotalESP!$A$2:$A$500)+$A34-1,1)-1)</f>
        <v/>
      </c>
      <c r="HK34" s="9" t="str">
        <f ca="1">IF(OR(HK7="",HK$28&lt;$A34),"",HK7/OFFSET(SSTotalESP!$A$2,MATCH(HK$29,SSTotalESP!$A$2:$A$500)+$A34-1,1)-1)</f>
        <v/>
      </c>
      <c r="HL34" s="9" t="str">
        <f ca="1">IF(OR(HL7="",HL$28&lt;$A34),"",HL7/OFFSET(SSTotalESP!$A$2,MATCH(HL$29,SSTotalESP!$A$2:$A$500)+$A34-1,1)-1)</f>
        <v/>
      </c>
      <c r="HM34" s="9" t="str">
        <f ca="1">IF(OR(HM7="",HM$28&lt;$A34),"",HM7/OFFSET(SSTotalESP!$A$2,MATCH(HM$29,SSTotalESP!$A$2:$A$500)+$A34-1,1)-1)</f>
        <v/>
      </c>
      <c r="HN34" s="9" t="str">
        <f ca="1">IF(OR(HN7="",HN$28&lt;$A34),"",HN7/OFFSET(SSTotalESP!$A$2,MATCH(HN$29,SSTotalESP!$A$2:$A$500)+$A34-1,1)-1)</f>
        <v/>
      </c>
      <c r="HO34" s="9" t="str">
        <f ca="1">IF(OR(HO7="",HO$28&lt;$A34),"",HO7/OFFSET(SSTotalESP!$A$2,MATCH(HO$29,SSTotalESP!$A$2:$A$500)+$A34-1,1)-1)</f>
        <v/>
      </c>
      <c r="HP34" s="9" t="str">
        <f ca="1">IF(OR(HP7="",HP$28&lt;$A34),"",HP7/OFFSET(SSTotalESP!$A$2,MATCH(HP$29,SSTotalESP!$A$2:$A$500)+$A34-1,1)-1)</f>
        <v/>
      </c>
      <c r="HQ34" s="9" t="str">
        <f ca="1">IF(OR(HQ7="",HQ$28&lt;$A34),"",HQ7/OFFSET(SSTotalESP!$A$2,MATCH(HQ$29,SSTotalESP!$A$2:$A$500)+$A34-1,1)-1)</f>
        <v/>
      </c>
      <c r="HR34" s="9" t="str">
        <f ca="1">IF(OR(HR7="",HR$28&lt;$A34),"",HR7/OFFSET(SSTotalESP!$A$2,MATCH(HR$29,SSTotalESP!$A$2:$A$500)+$A34-1,1)-1)</f>
        <v/>
      </c>
      <c r="HS34" s="9" t="str">
        <f ca="1">IF(OR(HS7="",HS$28&lt;$A34),"",HS7/OFFSET(SSTotalESP!$A$2,MATCH(HS$29,SSTotalESP!$A$2:$A$500)+$A34-1,1)-1)</f>
        <v/>
      </c>
      <c r="HT34" s="9" t="str">
        <f ca="1">IF(OR(HT7="",HT$28&lt;$A34),"",HT7/OFFSET(SSTotalESP!$A$2,MATCH(HT$29,SSTotalESP!$A$2:$A$500)+$A34-1,1)-1)</f>
        <v/>
      </c>
      <c r="HU34" s="9" t="str">
        <f ca="1">IF(OR(HU7="",HU$28&lt;$A34),"",HU7/OFFSET(SSTotalESP!$A$2,MATCH(HU$29,SSTotalESP!$A$2:$A$500)+$A34-1,1)-1)</f>
        <v/>
      </c>
      <c r="HV34" s="9" t="str">
        <f ca="1">IF(OR(HV7="",HV$28&lt;$A34),"",HV7/OFFSET(SSTotalESP!$A$2,MATCH(HV$29,SSTotalESP!$A$2:$A$500)+$A34-1,1)-1)</f>
        <v/>
      </c>
      <c r="HW34" s="9" t="str">
        <f ca="1">IF(OR(HW7="",HW$28&lt;$A34),"",HW7/OFFSET(SSTotalESP!$A$2,MATCH(HW$29,SSTotalESP!$A$2:$A$500)+$A34-1,1)-1)</f>
        <v/>
      </c>
      <c r="HX34" s="9" t="str">
        <f ca="1">IF(OR(HX7="",HX$28&lt;$A34),"",HX7/OFFSET(SSTotalESP!$A$2,MATCH(HX$29,SSTotalESP!$A$2:$A$500)+$A34-1,1)-1)</f>
        <v/>
      </c>
      <c r="HY34" s="9" t="str">
        <f ca="1">IF(OR(HY7="",HY$28&lt;$A34),"",HY7/OFFSET(SSTotalESP!$A$2,MATCH(HY$29,SSTotalESP!$A$2:$A$500)+$A34-1,1)-1)</f>
        <v/>
      </c>
      <c r="HZ34" s="9" t="str">
        <f ca="1">IF(OR(HZ7="",HZ$28&lt;$A34),"",HZ7/OFFSET(SSTotalESP!$A$2,MATCH(HZ$29,SSTotalESP!$A$2:$A$500)+$A34-1,1)-1)</f>
        <v/>
      </c>
      <c r="IA34" s="9" t="str">
        <f ca="1">IF(OR(IA7="",IA$28&lt;$A34),"",IA7/OFFSET(SSTotalESP!$A$2,MATCH(IA$29,SSTotalESP!$A$2:$A$500)+$A34-1,1)-1)</f>
        <v/>
      </c>
      <c r="IB34" s="9" t="str">
        <f ca="1">IF(OR(IB7="",IB$28&lt;$A34),"",IB7/OFFSET(SSTotalESP!$A$2,MATCH(IB$29,SSTotalESP!$A$2:$A$500)+$A34-1,1)-1)</f>
        <v/>
      </c>
      <c r="IC34" s="9" t="str">
        <f ca="1">IF(OR(IC7="",IC$28&lt;$A34),"",IC7/OFFSET(SSTotalESP!$A$2,MATCH(IC$29,SSTotalESP!$A$2:$A$500)+$A34-1,1)-1)</f>
        <v/>
      </c>
      <c r="ID34" s="9" t="str">
        <f ca="1">IF(OR(ID7="",ID$28&lt;$A34),"",ID7/OFFSET(SSTotalESP!$A$2,MATCH(ID$29,SSTotalESP!$A$2:$A$500)+$A34-1,1)-1)</f>
        <v/>
      </c>
      <c r="IE34" s="9" t="str">
        <f ca="1">IF(OR(IE7="",IE$28&lt;$A34),"",IE7/OFFSET(SSTotalESP!$A$2,MATCH(IE$29,SSTotalESP!$A$2:$A$500)+$A34-1,1)-1)</f>
        <v/>
      </c>
      <c r="IF34" s="9" t="str">
        <f ca="1">IF(OR(IF7="",IF$28&lt;$A34),"",IF7/OFFSET(SSTotalESP!$A$2,MATCH(IF$29,SSTotalESP!$A$2:$A$500)+$A34-1,1)-1)</f>
        <v/>
      </c>
      <c r="IG34" s="9" t="str">
        <f ca="1">IF(OR(IG7="",IG$28&lt;$A34),"",IG7/OFFSET(SSTotalESP!$A$2,MATCH(IG$29,SSTotalESP!$A$2:$A$500)+$A34-1,1)-1)</f>
        <v/>
      </c>
      <c r="IH34" s="9" t="str">
        <f ca="1">IF(OR(IH7="",IH$28&lt;$A34),"",IH7/OFFSET(SSTotalESP!$A$2,MATCH(IH$29,SSTotalESP!$A$2:$A$500)+$A34-1,1)-1)</f>
        <v/>
      </c>
      <c r="II34" s="9" t="str">
        <f ca="1">IF(OR(II7="",II$28&lt;$A34),"",II7/OFFSET(SSTotalESP!$A$2,MATCH(II$29,SSTotalESP!$A$2:$A$500)+$A34-1,1)-1)</f>
        <v/>
      </c>
      <c r="IJ34" s="9" t="str">
        <f ca="1">IF(OR(IJ7="",IJ$28&lt;$A34),"",IJ7/OFFSET(SSTotalESP!$A$2,MATCH(IJ$29,SSTotalESP!$A$2:$A$500)+$A34-1,1)-1)</f>
        <v/>
      </c>
      <c r="IK34" s="9" t="str">
        <f ca="1">IF(OR(IK7="",IK$28&lt;$A34),"",IK7/OFFSET(SSTotalESP!$A$2,MATCH(IK$29,SSTotalESP!$A$2:$A$500)+$A34-1,1)-1)</f>
        <v/>
      </c>
      <c r="IL34" s="9" t="str">
        <f ca="1">IF(OR(IL7="",IL$28&lt;$A34),"",IL7/OFFSET(SSTotalESP!$A$2,MATCH(IL$29,SSTotalESP!$A$2:$A$500)+$A34-1,1)-1)</f>
        <v/>
      </c>
      <c r="IM34" s="9" t="str">
        <f ca="1">IF(OR(IM7="",IM$28&lt;$A34),"",IM7/OFFSET(SSTotalESP!$A$2,MATCH(IM$29,SSTotalESP!$A$2:$A$500)+$A34-1,1)-1)</f>
        <v/>
      </c>
      <c r="IN34" s="9" t="str">
        <f ca="1">IF(OR(IN7="",IN$28&lt;$A34),"",IN7/OFFSET(SSTotalESP!$A$2,MATCH(IN$29,SSTotalESP!$A$2:$A$500)+$A34-1,1)-1)</f>
        <v/>
      </c>
      <c r="IO34" s="9" t="str">
        <f ca="1">IF(OR(IO7="",IO$28&lt;$A34),"",IO7/OFFSET(SSTotalESP!$A$2,MATCH(IO$29,SSTotalESP!$A$2:$A$500)+$A34-1,1)-1)</f>
        <v/>
      </c>
      <c r="IP34" s="9" t="str">
        <f ca="1">IF(OR(IP7="",IP$28&lt;$A34),"",IP7/OFFSET(SSTotalESP!$A$2,MATCH(IP$29,SSTotalESP!$A$2:$A$500)+$A34-1,1)-1)</f>
        <v/>
      </c>
      <c r="IQ34" s="9" t="str">
        <f ca="1">IF(OR(IQ7="",IQ$28&lt;$A34),"",IQ7/OFFSET(SSTotalESP!$A$2,MATCH(IQ$29,SSTotalESP!$A$2:$A$500)+$A34-1,1)-1)</f>
        <v/>
      </c>
      <c r="IR34" s="9" t="str">
        <f ca="1">IF(OR(IR7="",IR$28&lt;$A34),"",IR7/OFFSET(SSTotalESP!$A$2,MATCH(IR$29,SSTotalESP!$A$2:$A$500)+$A34-1,1)-1)</f>
        <v/>
      </c>
      <c r="IS34" s="9" t="str">
        <f ca="1">IF(OR(IS7="",IS$28&lt;$A34),"",IS7/OFFSET(SSTotalESP!$A$2,MATCH(IS$29,SSTotalESP!$A$2:$A$500)+$A34-1,1)-1)</f>
        <v/>
      </c>
      <c r="IT34" s="9" t="str">
        <f ca="1">IF(OR(IT7="",IT$28&lt;$A34),"",IT7/OFFSET(SSTotalESP!$A$2,MATCH(IT$29,SSTotalESP!$A$2:$A$500)+$A34-1,1)-1)</f>
        <v/>
      </c>
      <c r="IU34" s="9" t="str">
        <f ca="1">IF(OR(IU7="",IU$28&lt;$A34),"",IU7/OFFSET(SSTotalESP!$A$2,MATCH(IU$29,SSTotalESP!$A$2:$A$500)+$A34-1,1)-1)</f>
        <v/>
      </c>
      <c r="IV34" s="9" t="str">
        <f ca="1">IF(OR(IV7="",IV$28&lt;$A34),"",IV7/OFFSET(SSTotalESP!$A$2,MATCH(IV$29,SSTotalESP!$A$2:$A$500)+$A34-1,1)-1)</f>
        <v/>
      </c>
      <c r="IW34" s="9" t="str">
        <f ca="1">IF(OR(IW7="",IW$28&lt;$A34),"",IW7/OFFSET(SSTotalESP!$A$2,MATCH(IW$29,SSTotalESP!$A$2:$A$500)+$A34-1,1)-1)</f>
        <v/>
      </c>
      <c r="IX34" s="9" t="str">
        <f ca="1">IF(OR(IX7="",IX$28&lt;$A34),"",IX7/OFFSET(SSTotalESP!$A$2,MATCH(IX$29,SSTotalESP!$A$2:$A$500)+$A34-1,1)-1)</f>
        <v/>
      </c>
      <c r="IY34" s="9" t="str">
        <f ca="1">IF(OR(IY7="",IY$28&lt;$A34),"",IY7/OFFSET(SSTotalESP!$A$2,MATCH(IY$29,SSTotalESP!$A$2:$A$500)+$A34-1,1)-1)</f>
        <v/>
      </c>
      <c r="IZ34" s="9" t="str">
        <f ca="1">IF(OR(IZ7="",IZ$28&lt;$A34),"",IZ7/OFFSET(SSTotalESP!$A$2,MATCH(IZ$29,SSTotalESP!$A$2:$A$500)+$A34-1,1)-1)</f>
        <v/>
      </c>
      <c r="JA34" s="9" t="str">
        <f ca="1">IF(OR(JA7="",JA$28&lt;$A34),"",JA7/OFFSET(SSTotalESP!$A$2,MATCH(JA$29,SSTotalESP!$A$2:$A$500)+$A34-1,1)-1)</f>
        <v/>
      </c>
      <c r="JB34" s="9" t="str">
        <f ca="1">IF(OR(JB7="",JB$28&lt;$A34),"",JB7/OFFSET(SSTotalESP!$A$2,MATCH(JB$29,SSTotalESP!$A$2:$A$500)+$A34-1,1)-1)</f>
        <v/>
      </c>
      <c r="JC34" s="9" t="str">
        <f ca="1">IF(OR(JC7="",JC$28&lt;$A34),"",JC7/OFFSET(SSTotalESP!$A$2,MATCH(JC$29,SSTotalESP!$A$2:$A$500)+$A34-1,1)-1)</f>
        <v/>
      </c>
      <c r="JD34" s="9" t="str">
        <f ca="1">IF(OR(JD7="",JD$28&lt;$A34),"",JD7/OFFSET(SSTotalESP!$A$2,MATCH(JD$29,SSTotalESP!$A$2:$A$500)+$A34-1,1)-1)</f>
        <v/>
      </c>
      <c r="JE34" s="9" t="str">
        <f ca="1">IF(OR(JE7="",JE$28&lt;$A34),"",JE7/OFFSET(SSTotalESP!$A$2,MATCH(JE$29,SSTotalESP!$A$2:$A$500)+$A34-1,1)-1)</f>
        <v/>
      </c>
      <c r="JF34" s="9" t="str">
        <f ca="1">IF(OR(JF7="",JF$28&lt;$A34),"",JF7/OFFSET(SSTotalESP!$A$2,MATCH(JF$29,SSTotalESP!$A$2:$A$500)+$A34-1,1)-1)</f>
        <v/>
      </c>
      <c r="JG34" s="9" t="str">
        <f ca="1">IF(OR(JG7="",JG$28&lt;$A34),"",JG7/OFFSET(SSTotalESP!$A$2,MATCH(JG$29,SSTotalESP!$A$2:$A$500)+$A34-1,1)-1)</f>
        <v/>
      </c>
      <c r="JH34" s="9" t="str">
        <f ca="1">IF(OR(JH7="",JH$28&lt;$A34),"",JH7/OFFSET(SSTotalESP!$A$2,MATCH(JH$29,SSTotalESP!$A$2:$A$500)+$A34-1,1)-1)</f>
        <v/>
      </c>
      <c r="JI34" s="13">
        <f t="shared" ca="1" si="13"/>
        <v>4.8173785910777178E-3</v>
      </c>
      <c r="JJ34" s="13">
        <f t="shared" ca="1" si="14"/>
        <v>1.4848284972106551E-3</v>
      </c>
      <c r="JK34" s="14">
        <f t="shared" ca="1" si="15"/>
        <v>6.7370420138738508E-4</v>
      </c>
      <c r="JL34" s="17">
        <f t="shared" ca="1" si="18"/>
        <v>2.59558124778899E-2</v>
      </c>
      <c r="JM34" s="15" t="str">
        <f t="shared" ca="1" si="16"/>
        <v>[ -4,71% ; 5,67% ]</v>
      </c>
      <c r="JN34" s="17">
        <f t="shared" ca="1" si="17"/>
        <v>3.3223439971699069E-2</v>
      </c>
      <c r="LY34" s="1"/>
    </row>
    <row r="35" spans="1:337" x14ac:dyDescent="0.25">
      <c r="A35" s="4">
        <v>6</v>
      </c>
      <c r="B35" s="9">
        <f ca="1">IF(OR(B8="",B$28&lt;$A35),"",B8/OFFSET(SSTotalESP!$A$2,MATCH(B$29,SSTotalESP!$A$2:$A$500)+$A35-1,1)-1)</f>
        <v>-1.8431066850870259E-3</v>
      </c>
      <c r="C35" s="9">
        <f ca="1">IF(OR(C8="",C$28&lt;$A35),"",C8/OFFSET(SSTotalESP!$A$2,MATCH(C$29,SSTotalESP!$A$2:$A$500)+$A35-1,1)-1)</f>
        <v>-1.4405797537915266E-3</v>
      </c>
      <c r="D35" s="9">
        <f ca="1">IF(OR(D8="",D$28&lt;$A35),"",D8/OFFSET(SSTotalESP!$A$2,MATCH(D$29,SSTotalESP!$A$2:$A$500)+$A35-1,1)-1)</f>
        <v>1.770235851345392E-3</v>
      </c>
      <c r="E35" s="9">
        <f ca="1">IF(OR(E8="",E$28&lt;$A35),"",E8/OFFSET(SSTotalESP!$A$2,MATCH(E$29,SSTotalESP!$A$2:$A$500)+$A35-1,1)-1)</f>
        <v>1.5740755833777431E-3</v>
      </c>
      <c r="F35" s="9">
        <f ca="1">IF(OR(F8="",F$28&lt;$A35),"",F8/OFFSET(SSTotalESP!$A$2,MATCH(F$29,SSTotalESP!$A$2:$A$500)+$A35-1,1)-1)</f>
        <v>-5.0527680640077843E-4</v>
      </c>
      <c r="G35" s="9">
        <f ca="1">IF(OR(G8="",G$28&lt;$A35),"",G8/OFFSET(SSTotalESP!$A$2,MATCH(G$29,SSTotalESP!$A$2:$A$500)+$A35-1,1)-1)</f>
        <v>-3.1291795165211411E-4</v>
      </c>
      <c r="H35" s="9">
        <f ca="1">IF(OR(H8="",H$28&lt;$A35),"",H8/OFFSET(SSTotalESP!$A$2,MATCH(H$29,SSTotalESP!$A$2:$A$500)+$A35-1,1)-1)</f>
        <v>7.342811713701991E-4</v>
      </c>
      <c r="I35" s="9">
        <f ca="1">IF(OR(I8="",I$28&lt;$A35),"",I8/OFFSET(SSTotalESP!$A$2,MATCH(I$29,SSTotalESP!$A$2:$A$500)+$A35-1,1)-1)</f>
        <v>-1.3132035346304916E-3</v>
      </c>
      <c r="J35" s="9">
        <f ca="1">IF(OR(J8="",J$28&lt;$A35),"",J8/OFFSET(SSTotalESP!$A$2,MATCH(J$29,SSTotalESP!$A$2:$A$500)+$A35-1,1)-1)</f>
        <v>-2.8971569886092619E-3</v>
      </c>
      <c r="K35" s="9">
        <f ca="1">IF(OR(K8="",K$28&lt;$A35),"",K8/OFFSET(SSTotalESP!$A$2,MATCH(K$29,SSTotalESP!$A$2:$A$500)+$A35-1,1)-1)</f>
        <v>-1.630636033344901E-3</v>
      </c>
      <c r="L35" s="9">
        <f ca="1">IF(OR(L8="",L$28&lt;$A35),"",L8/OFFSET(SSTotalESP!$A$2,MATCH(L$29,SSTotalESP!$A$2:$A$500)+$A35-1,1)-1)</f>
        <v>-2.9260385030008829E-3</v>
      </c>
      <c r="M35" s="9">
        <f ca="1">IF(OR(M8="",M$28&lt;$A35),"",M8/OFFSET(SSTotalESP!$A$2,MATCH(M$29,SSTotalESP!$A$2:$A$500)+$A35-1,1)-1)</f>
        <v>-6.2179213872520789E-3</v>
      </c>
      <c r="N35" s="9">
        <f ca="1">IF(OR(N8="",N$28&lt;$A35),"",N8/OFFSET(SSTotalESP!$A$2,MATCH(N$29,SSTotalESP!$A$2:$A$500)+$A35-1,1)-1)</f>
        <v>-1.410789343248553E-2</v>
      </c>
      <c r="O35" s="9">
        <f ca="1">IF(OR(O8="",O$28&lt;$A35),"",O8/OFFSET(SSTotalESP!$A$2,MATCH(O$29,SSTotalESP!$A$2:$A$500)+$A35-1,1)-1)</f>
        <v>-1.8603076346968117E-2</v>
      </c>
      <c r="P35" s="9">
        <f ca="1">IF(OR(P8="",P$28&lt;$A35),"",P8/OFFSET(SSTotalESP!$A$2,MATCH(P$29,SSTotalESP!$A$2:$A$500)+$A35-1,1)-1)</f>
        <v>-2.0757488830226767E-2</v>
      </c>
      <c r="Q35" s="9">
        <f ca="1">IF(OR(Q8="",Q$28&lt;$A35),"",Q8/OFFSET(SSTotalESP!$A$2,MATCH(Q$29,SSTotalESP!$A$2:$A$500)+$A35-1,1)-1)</f>
        <v>-2.3697579747027908E-2</v>
      </c>
      <c r="R35" s="9">
        <f ca="1">IF(OR(R8="",R$28&lt;$A35),"",R8/OFFSET(SSTotalESP!$A$2,MATCH(R$29,SSTotalESP!$A$2:$A$500)+$A35-1,1)-1)</f>
        <v>-2.3856902971591931E-2</v>
      </c>
      <c r="S35" s="9">
        <f ca="1">IF(OR(S8="",S$28&lt;$A35),"",S8/OFFSET(SSTotalESP!$A$2,MATCH(S$29,SSTotalESP!$A$2:$A$500)+$A35-1,1)-1)</f>
        <v>-2.0535646541479324E-2</v>
      </c>
      <c r="T35" s="9">
        <f ca="1">IF(OR(T8="",T$28&lt;$A35),"",T8/OFFSET(SSTotalESP!$A$2,MATCH(T$29,SSTotalESP!$A$2:$A$500)+$A35-1,1)-1)</f>
        <v>-1.1152251991282669E-2</v>
      </c>
      <c r="U35" s="9">
        <f ca="1">IF(OR(U8="",U$28&lt;$A35),"",U8/OFFSET(SSTotalESP!$A$2,MATCH(U$29,SSTotalESP!$A$2:$A$500)+$A35-1,1)-1)</f>
        <v>-3.2538597924109958E-3</v>
      </c>
      <c r="V35" s="9">
        <f ca="1">IF(OR(V8="",V$28&lt;$A35),"",V8/OFFSET(SSTotalESP!$A$2,MATCH(V$29,SSTotalESP!$A$2:$A$500)+$A35-1,1)-1)</f>
        <v>7.0345770947100039E-3</v>
      </c>
      <c r="W35" s="9">
        <f ca="1">IF(OR(W8="",W$28&lt;$A35),"",W8/OFFSET(SSTotalESP!$A$2,MATCH(W$29,SSTotalESP!$A$2:$A$500)+$A35-1,1)-1)</f>
        <v>9.7328198156159118E-3</v>
      </c>
      <c r="X35" s="9">
        <f ca="1">IF(OR(X8="",X$28&lt;$A35),"",X8/OFFSET(SSTotalESP!$A$2,MATCH(X$29,SSTotalESP!$A$2:$A$500)+$A35-1,1)-1)</f>
        <v>7.6155802865727207E-3</v>
      </c>
      <c r="Y35" s="9">
        <f ca="1">IF(OR(Y8="",Y$28&lt;$A35),"",Y8/OFFSET(SSTotalESP!$A$2,MATCH(Y$29,SSTotalESP!$A$2:$A$500)+$A35-1,1)-1)</f>
        <v>5.165087021609116E-3</v>
      </c>
      <c r="Z35" s="9">
        <f ca="1">IF(OR(Z8="",Z$28&lt;$A35),"",Z8/OFFSET(SSTotalESP!$A$2,MATCH(Z$29,SSTotalESP!$A$2:$A$500)+$A35-1,1)-1)</f>
        <v>7.8984268711101979E-3</v>
      </c>
      <c r="AA35" s="9">
        <f ca="1">IF(OR(AA8="",AA$28&lt;$A35),"",AA8/OFFSET(SSTotalESP!$A$2,MATCH(AA$29,SSTotalESP!$A$2:$A$500)+$A35-1,1)-1)</f>
        <v>1.118248335067773E-2</v>
      </c>
      <c r="AB35" s="9">
        <f ca="1">IF(OR(AB8="",AB$28&lt;$A35),"",AB8/OFFSET(SSTotalESP!$A$2,MATCH(AB$29,SSTotalESP!$A$2:$A$500)+$A35-1,1)-1)</f>
        <v>1.0322802017984634E-2</v>
      </c>
      <c r="AC35" s="9">
        <f ca="1">IF(OR(AC8="",AC$28&lt;$A35),"",AC8/OFFSET(SSTotalESP!$A$2,MATCH(AC$29,SSTotalESP!$A$2:$A$500)+$A35-1,1)-1)</f>
        <v>1.539311557054579E-2</v>
      </c>
      <c r="AD35" s="9">
        <f ca="1">IF(OR(AD8="",AD$28&lt;$A35),"",AD8/OFFSET(SSTotalESP!$A$2,MATCH(AD$29,SSTotalESP!$A$2:$A$500)+$A35-1,1)-1)</f>
        <v>1.1509848835490111E-2</v>
      </c>
      <c r="AE35" s="9">
        <f ca="1">IF(OR(AE8="",AE$28&lt;$A35),"",AE8/OFFSET(SSTotalESP!$A$2,MATCH(AE$29,SSTotalESP!$A$2:$A$500)+$A35-1,1)-1)</f>
        <v>6.0986720302398378E-3</v>
      </c>
      <c r="AF35" s="9">
        <f ca="1">IF(OR(AF8="",AF$28&lt;$A35),"",AF8/OFFSET(SSTotalESP!$A$2,MATCH(AF$29,SSTotalESP!$A$2:$A$500)+$A35-1,1)-1)</f>
        <v>-3.7593330658114432E-4</v>
      </c>
      <c r="AG35" s="9">
        <f ca="1">IF(OR(AG8="",AG$28&lt;$A35),"",AG8/OFFSET(SSTotalESP!$A$2,MATCH(AG$29,SSTotalESP!$A$2:$A$500)+$A35-1,1)-1)</f>
        <v>-3.0193166460269483E-3</v>
      </c>
      <c r="AH35" s="9">
        <f ca="1">IF(OR(AH8="",AH$28&lt;$A35),"",AH8/OFFSET(SSTotalESP!$A$2,MATCH(AH$29,SSTotalESP!$A$2:$A$500)+$A35-1,1)-1)</f>
        <v>-1.2086602199282037E-2</v>
      </c>
      <c r="AI35" s="9">
        <f ca="1">IF(OR(AI8="",AI$28&lt;$A35),"",AI8/OFFSET(SSTotalESP!$A$2,MATCH(AI$29,SSTotalESP!$A$2:$A$500)+$A35-1,1)-1)</f>
        <v>-5.0057791183183431E-3</v>
      </c>
      <c r="AJ35" s="9">
        <f ca="1">IF(OR(AJ8="",AJ$28&lt;$A35),"",AJ8/OFFSET(SSTotalESP!$A$2,MATCH(AJ$29,SSTotalESP!$A$2:$A$500)+$A35-1,1)-1)</f>
        <v>-2.4549345300052261E-3</v>
      </c>
      <c r="AK35" s="9">
        <f ca="1">IF(OR(AK8="",AK$28&lt;$A35),"",AK8/OFFSET(SSTotalESP!$A$2,MATCH(AK$29,SSTotalESP!$A$2:$A$500)+$A35-1,1)-1)</f>
        <v>1.9838406427721278E-3</v>
      </c>
      <c r="AL35" s="9">
        <f ca="1">IF(OR(AL8="",AL$28&lt;$A35),"",AL8/OFFSET(SSTotalESP!$A$2,MATCH(AL$29,SSTotalESP!$A$2:$A$500)+$A35-1,1)-1)</f>
        <v>5.075325685385268E-3</v>
      </c>
      <c r="AM35" s="9">
        <f ca="1">IF(OR(AM8="",AM$28&lt;$A35),"",AM8/OFFSET(SSTotalESP!$A$2,MATCH(AM$29,SSTotalESP!$A$2:$A$500)+$A35-1,1)-1)</f>
        <v>9.6833278669568035E-3</v>
      </c>
      <c r="AN35" s="9">
        <f ca="1">IF(OR(AN8="",AN$28&lt;$A35),"",AN8/OFFSET(SSTotalESP!$A$2,MATCH(AN$29,SSTotalESP!$A$2:$A$500)+$A35-1,1)-1)</f>
        <v>1.118700849264509E-2</v>
      </c>
      <c r="AO35" s="9">
        <f ca="1">IF(OR(AO8="",AO$28&lt;$A35),"",AO8/OFFSET(SSTotalESP!$A$2,MATCH(AO$29,SSTotalESP!$A$2:$A$500)+$A35-1,1)-1)</f>
        <v>1.3649004145478205E-2</v>
      </c>
      <c r="AP35" s="9">
        <f ca="1">IF(OR(AP8="",AP$28&lt;$A35),"",AP8/OFFSET(SSTotalESP!$A$2,MATCH(AP$29,SSTotalESP!$A$2:$A$500)+$A35-1,1)-1)</f>
        <v>6.16041294634595E-3</v>
      </c>
      <c r="AQ35" s="9">
        <f ca="1">IF(OR(AQ8="",AQ$28&lt;$A35),"",AQ8/OFFSET(SSTotalESP!$A$2,MATCH(AQ$29,SSTotalESP!$A$2:$A$500)+$A35-1,1)-1)</f>
        <v>7.3711533901865689E-3</v>
      </c>
      <c r="AR35" s="9">
        <f ca="1">IF(OR(AR8="",AR$28&lt;$A35),"",AR8/OFFSET(SSTotalESP!$A$2,MATCH(AR$29,SSTotalESP!$A$2:$A$500)+$A35-1,1)-1)</f>
        <v>2.4013851387603147E-3</v>
      </c>
      <c r="AS35" s="9">
        <f ca="1">IF(OR(AS8="",AS$28&lt;$A35),"",AS8/OFFSET(SSTotalESP!$A$2,MATCH(AS$29,SSTotalESP!$A$2:$A$500)+$A35-1,1)-1)</f>
        <v>4.5216230568330129E-3</v>
      </c>
      <c r="AT35" s="9">
        <f ca="1">IF(OR(AT8="",AT$28&lt;$A35),"",AT8/OFFSET(SSTotalESP!$A$2,MATCH(AT$29,SSTotalESP!$A$2:$A$500)+$A35-1,1)-1)</f>
        <v>2.085694933207316E-3</v>
      </c>
      <c r="AU35" s="9">
        <f ca="1">IF(OR(AU8="",AU$28&lt;$A35),"",AU8/OFFSET(SSTotalESP!$A$2,MATCH(AU$29,SSTotalESP!$A$2:$A$500)+$A35-1,1)-1)</f>
        <v>7.8580359272084621E-3</v>
      </c>
      <c r="AV35" s="9">
        <f ca="1">IF(OR(AV8="",AV$28&lt;$A35),"",AV8/OFFSET(SSTotalESP!$A$2,MATCH(AV$29,SSTotalESP!$A$2:$A$500)+$A35-1,1)-1)</f>
        <v>1.2864823883493859E-2</v>
      </c>
      <c r="AW35" s="9">
        <f ca="1">IF(OR(AW8="",AW$28&lt;$A35),"",AW8/OFFSET(SSTotalESP!$A$2,MATCH(AW$29,SSTotalESP!$A$2:$A$500)+$A35-1,1)-1)</f>
        <v>1.5967052265133175E-2</v>
      </c>
      <c r="AX35" s="9">
        <f ca="1">IF(OR(AX8="",AX$28&lt;$A35),"",AX8/OFFSET(SSTotalESP!$A$2,MATCH(AX$29,SSTotalESP!$A$2:$A$500)+$A35-1,1)-1)</f>
        <v>2.3237527437265815E-2</v>
      </c>
      <c r="AY35" s="9">
        <f ca="1">IF(OR(AY8="",AY$28&lt;$A35),"",AY8/OFFSET(SSTotalESP!$A$2,MATCH(AY$29,SSTotalESP!$A$2:$A$500)+$A35-1,1)-1)</f>
        <v>2.5017405704078399E-2</v>
      </c>
      <c r="AZ35" s="9">
        <f ca="1">IF(OR(AZ8="",AZ$28&lt;$A35),"",AZ8/OFFSET(SSTotalESP!$A$2,MATCH(AZ$29,SSTotalESP!$A$2:$A$500)+$A35-1,1)-1)</f>
        <v>2.5898009414326406E-2</v>
      </c>
      <c r="BA35" s="9">
        <f ca="1">IF(OR(BA8="",BA$28&lt;$A35),"",BA8/OFFSET(SSTotalESP!$A$2,MATCH(BA$29,SSTotalESP!$A$2:$A$500)+$A35-1,1)-1)</f>
        <v>2.4674505846935535E-2</v>
      </c>
      <c r="BB35" s="9">
        <f ca="1">IF(OR(BB8="",BB$28&lt;$A35),"",BB8/OFFSET(SSTotalESP!$A$2,MATCH(BB$29,SSTotalESP!$A$2:$A$500)+$A35-1,1)-1)</f>
        <v>2.8630637265455228E-2</v>
      </c>
      <c r="BC35" s="9">
        <f ca="1">IF(OR(BC8="",BC$28&lt;$A35),"",BC8/OFFSET(SSTotalESP!$A$2,MATCH(BC$29,SSTotalESP!$A$2:$A$500)+$A35-1,1)-1)</f>
        <v>3.1743367002279976E-2</v>
      </c>
      <c r="BD35" s="9">
        <f ca="1">IF(OR(BD8="",BD$28&lt;$A35),"",BD8/OFFSET(SSTotalESP!$A$2,MATCH(BD$29,SSTotalESP!$A$2:$A$500)+$A35-1,1)-1)</f>
        <v>2.4159998361774848E-2</v>
      </c>
      <c r="BE35" s="9">
        <f ca="1">IF(OR(BE8="",BE$28&lt;$A35),"",BE8/OFFSET(SSTotalESP!$A$2,MATCH(BE$29,SSTotalESP!$A$2:$A$500)+$A35-1,1)-1)</f>
        <v>3.3283678341455625E-2</v>
      </c>
      <c r="BF35" s="9">
        <f ca="1">IF(OR(BF8="",BF$28&lt;$A35),"",BF8/OFFSET(SSTotalESP!$A$2,MATCH(BF$29,SSTotalESP!$A$2:$A$500)+$A35-1,1)-1)</f>
        <v>4.5411237480424971E-2</v>
      </c>
      <c r="BG35" s="9">
        <f ca="1">IF(OR(BG8="",BG$28&lt;$A35),"",BG8/OFFSET(SSTotalESP!$A$2,MATCH(BG$29,SSTotalESP!$A$2:$A$500)+$A35-1,1)-1)</f>
        <v>3.555794732908435E-2</v>
      </c>
      <c r="BH35" s="9">
        <f ca="1">IF(OR(BH8="",BH$28&lt;$A35),"",BH8/OFFSET(SSTotalESP!$A$2,MATCH(BH$29,SSTotalESP!$A$2:$A$500)+$A35-1,1)-1)</f>
        <v>1.6000296743823084E-2</v>
      </c>
      <c r="BI35" s="9">
        <f ca="1">IF(OR(BI8="",BI$28&lt;$A35),"",BI8/OFFSET(SSTotalESP!$A$2,MATCH(BI$29,SSTotalESP!$A$2:$A$500)+$A35-1,1)-1)</f>
        <v>-1.0123042076028321E-2</v>
      </c>
      <c r="BJ35" s="9">
        <f ca="1">IF(OR(BJ8="",BJ$28&lt;$A35),"",BJ8/OFFSET(SSTotalESP!$A$2,MATCH(BJ$29,SSTotalESP!$A$2:$A$500)+$A35-1,1)-1)</f>
        <v>-6.496799058717917E-3</v>
      </c>
      <c r="BK35" s="9">
        <f ca="1">IF(OR(BK8="",BK$28&lt;$A35),"",BK8/OFFSET(SSTotalESP!$A$2,MATCH(BK$29,SSTotalESP!$A$2:$A$500)+$A35-1,1)-1)</f>
        <v>-1.1376191581443651E-2</v>
      </c>
      <c r="BL35" s="9">
        <f ca="1">IF(OR(BL8="",BL$28&lt;$A35),"",BL8/OFFSET(SSTotalESP!$A$2,MATCH(BL$29,SSTotalESP!$A$2:$A$500)+$A35-1,1)-1)</f>
        <v>-2.9370674932696184E-2</v>
      </c>
      <c r="BM35" s="9">
        <f ca="1">IF(OR(BM8="",BM$28&lt;$A35),"",BM8/OFFSET(SSTotalESP!$A$2,MATCH(BM$29,SSTotalESP!$A$2:$A$500)+$A35-1,1)-1)</f>
        <v>-3.5636432844569521E-2</v>
      </c>
      <c r="BN35" s="9">
        <f ca="1">IF(OR(BN8="",BN$28&lt;$A35),"",BN8/OFFSET(SSTotalESP!$A$2,MATCH(BN$29,SSTotalESP!$A$2:$A$500)+$A35-1,1)-1)</f>
        <v>-2.3603936566654271E-2</v>
      </c>
      <c r="BO35" s="9">
        <f ca="1">IF(OR(BO8="",BO$28&lt;$A35),"",BO8/OFFSET(SSTotalESP!$A$2,MATCH(BO$29,SSTotalESP!$A$2:$A$500)+$A35-1,1)-1)</f>
        <v>-1.106287425705843E-2</v>
      </c>
      <c r="BP35" s="9">
        <f ca="1">IF(OR(BP8="",BP$28&lt;$A35),"",BP8/OFFSET(SSTotalESP!$A$2,MATCH(BP$29,SSTotalESP!$A$2:$A$500)+$A35-1,1)-1)</f>
        <v>-1.4493790801100692E-2</v>
      </c>
      <c r="BQ35" s="9">
        <f ca="1">IF(OR(BQ8="",BQ$28&lt;$A35),"",BQ8/OFFSET(SSTotalESP!$A$2,MATCH(BQ$29,SSTotalESP!$A$2:$A$500)+$A35-1,1)-1)</f>
        <v>-1.7257908053150417E-2</v>
      </c>
      <c r="BR35" s="9">
        <f ca="1">IF(OR(BR8="",BR$28&lt;$A35),"",BR8/OFFSET(SSTotalESP!$A$2,MATCH(BR$29,SSTotalESP!$A$2:$A$500)+$A35-1,1)-1)</f>
        <v>2.8333869287795466E-3</v>
      </c>
      <c r="BS35" s="9">
        <f ca="1">IF(OR(BS8="",BS$28&lt;$A35),"",BS8/OFFSET(SSTotalESP!$A$2,MATCH(BS$29,SSTotalESP!$A$2:$A$500)+$A35-1,1)-1)</f>
        <v>-9.245821651903241E-3</v>
      </c>
      <c r="BT35" s="9">
        <f ca="1">IF(OR(BT8="",BT$28&lt;$A35),"",BT8/OFFSET(SSTotalESP!$A$2,MATCH(BT$29,SSTotalESP!$A$2:$A$500)+$A35-1,1)-1)</f>
        <v>-8.3467227040912029E-3</v>
      </c>
      <c r="BU35" s="9">
        <f ca="1">IF(OR(BU8="",BU$28&lt;$A35),"",BU8/OFFSET(SSTotalESP!$A$2,MATCH(BU$29,SSTotalESP!$A$2:$A$500)+$A35-1,1)-1)</f>
        <v>-4.8072130781962041E-3</v>
      </c>
      <c r="BV35" s="9">
        <f ca="1">IF(OR(BV8="",BV$28&lt;$A35),"",BV8/OFFSET(SSTotalESP!$A$2,MATCH(BV$29,SSTotalESP!$A$2:$A$500)+$A35-1,1)-1)</f>
        <v>7.8496015427373944E-3</v>
      </c>
      <c r="BW35" s="9">
        <f ca="1">IF(OR(BW8="",BW$28&lt;$A35),"",BW8/OFFSET(SSTotalESP!$A$2,MATCH(BW$29,SSTotalESP!$A$2:$A$500)+$A35-1,1)-1)</f>
        <v>6.9007915928342989E-4</v>
      </c>
      <c r="BX35" s="9">
        <f ca="1">IF(OR(BX8="",BX$28&lt;$A35),"",BX8/OFFSET(SSTotalESP!$A$2,MATCH(BX$29,SSTotalESP!$A$2:$A$500)+$A35-1,1)-1)</f>
        <v>-4.3746300547752304E-3</v>
      </c>
      <c r="BY35" s="9">
        <f ca="1">IF(OR(BY8="",BY$28&lt;$A35),"",BY8/OFFSET(SSTotalESP!$A$2,MATCH(BY$29,SSTotalESP!$A$2:$A$500)+$A35-1,1)-1)</f>
        <v>-7.1126019729144119E-3</v>
      </c>
      <c r="BZ35" s="9">
        <f ca="1">IF(OR(BZ8="",BZ$28&lt;$A35),"",BZ8/OFFSET(SSTotalESP!$A$2,MATCH(BZ$29,SSTotalESP!$A$2:$A$500)+$A35-1,1)-1)</f>
        <v>-4.3265707809880816E-4</v>
      </c>
      <c r="CA35" s="9">
        <f ca="1">IF(OR(CA8="",CA$28&lt;$A35),"",CA8/OFFSET(SSTotalESP!$A$2,MATCH(CA$29,SSTotalESP!$A$2:$A$500)+$A35-1,1)-1)</f>
        <v>-5.2122624205674928E-4</v>
      </c>
      <c r="CB35" s="9">
        <f ca="1">IF(OR(CB8="",CB$28&lt;$A35),"",CB8/OFFSET(SSTotalESP!$A$2,MATCH(CB$29,SSTotalESP!$A$2:$A$500)+$A35-1,1)-1)</f>
        <v>-4.4861707771558512E-3</v>
      </c>
      <c r="CC35" s="9">
        <f ca="1">IF(OR(CC8="",CC$28&lt;$A35),"",CC8/OFFSET(SSTotalESP!$A$2,MATCH(CC$29,SSTotalESP!$A$2:$A$500)+$A35-1,1)-1)</f>
        <v>-8.4186202985521152E-3</v>
      </c>
      <c r="CD35" s="9">
        <f ca="1">IF(OR(CD8="",CD$28&lt;$A35),"",CD8/OFFSET(SSTotalESP!$A$2,MATCH(CD$29,SSTotalESP!$A$2:$A$500)+$A35-1,1)-1)</f>
        <v>4.0506373829141129E-3</v>
      </c>
      <c r="CE35" s="9">
        <f ca="1">IF(OR(CE8="",CE$28&lt;$A35),"",CE8/OFFSET(SSTotalESP!$A$2,MATCH(CE$29,SSTotalESP!$A$2:$A$500)+$A35-1,1)-1)</f>
        <v>3.7415620792968785E-3</v>
      </c>
      <c r="CF35" s="9">
        <f ca="1">IF(OR(CF8="",CF$28&lt;$A35),"",CF8/OFFSET(SSTotalESP!$A$2,MATCH(CF$29,SSTotalESP!$A$2:$A$500)+$A35-1,1)-1)</f>
        <v>1.0034528670874732E-3</v>
      </c>
      <c r="CG35" s="9">
        <f ca="1">IF(OR(CG8="",CG$28&lt;$A35),"",CG8/OFFSET(SSTotalESP!$A$2,MATCH(CG$29,SSTotalESP!$A$2:$A$500)+$A35-1,1)-1)</f>
        <v>-1.8213970000806601E-3</v>
      </c>
      <c r="CH35" s="9">
        <f ca="1">IF(OR(CH8="",CH$28&lt;$A35),"",CH8/OFFSET(SSTotalESP!$A$2,MATCH(CH$29,SSTotalESP!$A$2:$A$500)+$A35-1,1)-1)</f>
        <v>6.7844546342392675E-3</v>
      </c>
      <c r="CI35" s="9">
        <f ca="1">IF(OR(CI8="",CI$28&lt;$A35),"",CI8/OFFSET(SSTotalESP!$A$2,MATCH(CI$29,SSTotalESP!$A$2:$A$500)+$A35-1,1)-1)</f>
        <v>9.1468534210863428E-3</v>
      </c>
      <c r="CJ35" s="9">
        <f ca="1">IF(OR(CJ8="",CJ$28&lt;$A35),"",CJ8/OFFSET(SSTotalESP!$A$2,MATCH(CJ$29,SSTotalESP!$A$2:$A$500)+$A35-1,1)-1)</f>
        <v>-9.5145523329031034E-3</v>
      </c>
      <c r="CK35" s="9">
        <f ca="1">IF(OR(CK8="",CK$28&lt;$A35),"",CK8/OFFSET(SSTotalESP!$A$2,MATCH(CK$29,SSTotalESP!$A$2:$A$500)+$A35-1,1)-1)</f>
        <v>4.3300736567011278E-3</v>
      </c>
      <c r="CL35" s="9">
        <f ca="1">IF(OR(CL8="",CL$28&lt;$A35),"",CL8/OFFSET(SSTotalESP!$A$2,MATCH(CL$29,SSTotalESP!$A$2:$A$500)+$A35-1,1)-1)</f>
        <v>1.298787073133667E-2</v>
      </c>
      <c r="CM35" s="9">
        <f ca="1">IF(OR(CM8="",CM$28&lt;$A35),"",CM8/OFFSET(SSTotalESP!$A$2,MATCH(CM$29,SSTotalESP!$A$2:$A$500)+$A35-1,1)-1)</f>
        <v>1.261074464234424E-2</v>
      </c>
      <c r="CN35" s="9">
        <f ca="1">IF(OR(CN8="",CN$28&lt;$A35),"",CN8/OFFSET(SSTotalESP!$A$2,MATCH(CN$29,SSTotalESP!$A$2:$A$500)+$A35-1,1)-1)</f>
        <v>2.3774624415486834E-3</v>
      </c>
      <c r="CO35" s="9">
        <f ca="1">IF(OR(CO8="",CO$28&lt;$A35),"",CO8/OFFSET(SSTotalESP!$A$2,MATCH(CO$29,SSTotalESP!$A$2:$A$500)+$A35-1,1)-1)</f>
        <v>6.6998316548283476E-3</v>
      </c>
      <c r="CP35" s="9">
        <f ca="1">IF(OR(CP8="",CP$28&lt;$A35),"",CP8/OFFSET(SSTotalESP!$A$2,MATCH(CP$29,SSTotalESP!$A$2:$A$500)+$A35-1,1)-1)</f>
        <v>1.2389288223840333E-2</v>
      </c>
      <c r="CQ35" s="9">
        <f ca="1">IF(OR(CQ8="",CQ$28&lt;$A35),"",CQ8/OFFSET(SSTotalESP!$A$2,MATCH(CQ$29,SSTotalESP!$A$2:$A$500)+$A35-1,1)-1)</f>
        <v>1.1113867926525245E-2</v>
      </c>
      <c r="CR35" s="9">
        <f ca="1">IF(OR(CR8="",CR$28&lt;$A35),"",CR8/OFFSET(SSTotalESP!$A$2,MATCH(CR$29,SSTotalESP!$A$2:$A$500)+$A35-1,1)-1)</f>
        <v>1.5786401803887795E-3</v>
      </c>
      <c r="CS35" s="9">
        <f ca="1">IF(OR(CS8="",CS$28&lt;$A35),"",CS8/OFFSET(SSTotalESP!$A$2,MATCH(CS$29,SSTotalESP!$A$2:$A$500)+$A35-1,1)-1)</f>
        <v>1.2932761365185286E-3</v>
      </c>
      <c r="CT35" s="9">
        <f ca="1">IF(OR(CT8="",CT$28&lt;$A35),"",CT8/OFFSET(SSTotalESP!$A$2,MATCH(CT$29,SSTotalESP!$A$2:$A$500)+$A35-1,1)-1)</f>
        <v>1.444419519122242E-2</v>
      </c>
      <c r="CU35" s="9">
        <f ca="1">IF(OR(CU8="",CU$28&lt;$A35),"",CU8/OFFSET(SSTotalESP!$A$2,MATCH(CU$29,SSTotalESP!$A$2:$A$500)+$A35-1,1)-1)</f>
        <v>3.85209687363397E-3</v>
      </c>
      <c r="CV35" s="9">
        <f ca="1">IF(OR(CV8="",CV$28&lt;$A35),"",CV8/OFFSET(SSTotalESP!$A$2,MATCH(CV$29,SSTotalESP!$A$2:$A$500)+$A35-1,1)-1)</f>
        <v>-2.3135115368261294E-3</v>
      </c>
      <c r="CW35" s="9">
        <f ca="1">IF(OR(CW8="",CW$28&lt;$A35),"",CW8/OFFSET(SSTotalESP!$A$2,MATCH(CW$29,SSTotalESP!$A$2:$A$500)+$A35-1,1)-1)</f>
        <v>5.8762033029768901E-4</v>
      </c>
      <c r="CX35" s="9">
        <f ca="1">IF(OR(CX8="",CX$28&lt;$A35),"",CX8/OFFSET(SSTotalESP!$A$2,MATCH(CX$29,SSTotalESP!$A$2:$A$500)+$A35-1,1)-1)</f>
        <v>-3.804590402625041E-3</v>
      </c>
      <c r="CY35" s="9">
        <f ca="1">IF(OR(CY8="",CY$28&lt;$A35),"",CY8/OFFSET(SSTotalESP!$A$2,MATCH(CY$29,SSTotalESP!$A$2:$A$500)+$A35-1,1)-1)</f>
        <v>5.0448061425565349E-3</v>
      </c>
      <c r="CZ35" s="9">
        <f ca="1">IF(OR(CZ8="",CZ$28&lt;$A35),"",CZ8/OFFSET(SSTotalESP!$A$2,MATCH(CZ$29,SSTotalESP!$A$2:$A$500)+$A35-1,1)-1)</f>
        <v>1.9868917718642853E-2</v>
      </c>
      <c r="DA35" s="9">
        <f ca="1">IF(OR(DA8="",DA$28&lt;$A35),"",DA8/OFFSET(SSTotalESP!$A$2,MATCH(DA$29,SSTotalESP!$A$2:$A$500)+$A35-1,1)-1)</f>
        <v>5.8889133100279434E-3</v>
      </c>
      <c r="DB35" s="9">
        <f ca="1">IF(OR(DB8="",DB$28&lt;$A35),"",DB8/OFFSET(SSTotalESP!$A$2,MATCH(DB$29,SSTotalESP!$A$2:$A$500)+$A35-1,1)-1)</f>
        <v>1.265189965605118E-2</v>
      </c>
      <c r="DC35" s="9">
        <f ca="1">IF(OR(DC8="",DC$28&lt;$A35),"",DC8/OFFSET(SSTotalESP!$A$2,MATCH(DC$29,SSTotalESP!$A$2:$A$500)+$A35-1,1)-1)</f>
        <v>8.0095594877795939E-3</v>
      </c>
      <c r="DD35" s="9">
        <f ca="1">IF(OR(DD8="",DD$28&lt;$A35),"",DD8/OFFSET(SSTotalESP!$A$2,MATCH(DD$29,SSTotalESP!$A$2:$A$500)+$A35-1,1)-1)</f>
        <v>5.3592237650288421E-3</v>
      </c>
      <c r="DE35" s="9">
        <f ca="1">IF(OR(DE8="",DE$28&lt;$A35),"",DE8/OFFSET(SSTotalESP!$A$2,MATCH(DE$29,SSTotalESP!$A$2:$A$500)+$A35-1,1)-1)</f>
        <v>-2.3066455764161553E-2</v>
      </c>
      <c r="DF35" s="9">
        <f ca="1">IF(OR(DF8="",DF$28&lt;$A35),"",DF8/OFFSET(SSTotalESP!$A$2,MATCH(DF$29,SSTotalESP!$A$2:$A$500)+$A35-1,1)-1)</f>
        <v>-1.5268655752425198E-2</v>
      </c>
      <c r="DG35" s="9">
        <f ca="1">IF(OR(DG8="",DG$28&lt;$A35),"",DG8/OFFSET(SSTotalESP!$A$2,MATCH(DG$29,SSTotalESP!$A$2:$A$500)+$A35-1,1)-1)</f>
        <v>-7.7347053498306728E-3</v>
      </c>
      <c r="DH35" s="9">
        <f ca="1">IF(OR(DH8="",DH$28&lt;$A35),"",DH8/OFFSET(SSTotalESP!$A$2,MATCH(DH$29,SSTotalESP!$A$2:$A$500)+$A35-1,1)-1)</f>
        <v>-9.8353261470515152E-3</v>
      </c>
      <c r="DI35" s="9">
        <f ca="1">IF(OR(DI8="",DI$28&lt;$A35),"",DI8/OFFSET(SSTotalESP!$A$2,MATCH(DI$29,SSTotalESP!$A$2:$A$500)+$A35-1,1)-1)</f>
        <v>-9.5465902598352859E-3</v>
      </c>
      <c r="DJ35" s="9">
        <f ca="1">IF(OR(DJ8="",DJ$28&lt;$A35),"",DJ8/OFFSET(SSTotalESP!$A$2,MATCH(DJ$29,SSTotalESP!$A$2:$A$500)+$A35-1,1)-1)</f>
        <v>-1.3680711200045659E-2</v>
      </c>
      <c r="DK35" s="9">
        <f ca="1">IF(OR(DK8="",DK$28&lt;$A35),"",DK8/OFFSET(SSTotalESP!$A$2,MATCH(DK$29,SSTotalESP!$A$2:$A$500)+$A35-1,1)-1)</f>
        <v>-1.1607348281045038E-2</v>
      </c>
      <c r="DL35" s="9">
        <f ca="1">IF(OR(DL8="",DL$28&lt;$A35),"",DL8/OFFSET(SSTotalESP!$A$2,MATCH(DL$29,SSTotalESP!$A$2:$A$500)+$A35-1,1)-1)</f>
        <v>-2.3794225604516162E-2</v>
      </c>
      <c r="DM35" s="9">
        <f ca="1">IF(OR(DM8="",DM$28&lt;$A35),"",DM8/OFFSET(SSTotalESP!$A$2,MATCH(DM$29,SSTotalESP!$A$2:$A$500)+$A35-1,1)-1)</f>
        <v>-2.8016617998801951E-2</v>
      </c>
      <c r="DN35" s="9">
        <f ca="1">IF(OR(DN8="",DN$28&lt;$A35),"",DN8/OFFSET(SSTotalESP!$A$2,MATCH(DN$29,SSTotalESP!$A$2:$A$500)+$A35-1,1)-1)</f>
        <v>-2.1565253843228382E-2</v>
      </c>
      <c r="DO35" s="9">
        <f ca="1">IF(OR(DO8="",DO$28&lt;$A35),"",DO8/OFFSET(SSTotalESP!$A$2,MATCH(DO$29,SSTotalESP!$A$2:$A$500)+$A35-1,1)-1)</f>
        <v>-1.7849117883929733E-2</v>
      </c>
      <c r="DP35" s="9">
        <f ca="1">IF(OR(DP8="",DP$28&lt;$A35),"",DP8/OFFSET(SSTotalESP!$A$2,MATCH(DP$29,SSTotalESP!$A$2:$A$500)+$A35-1,1)-1)</f>
        <v>-9.1041346606312024E-3</v>
      </c>
      <c r="DQ35" s="9">
        <f ca="1">IF(OR(DQ8="",DQ$28&lt;$A35),"",DQ8/OFFSET(SSTotalESP!$A$2,MATCH(DQ$29,SSTotalESP!$A$2:$A$500)+$A35-1,1)-1)</f>
        <v>-1.2057370753184027E-2</v>
      </c>
      <c r="DR35" s="9">
        <f ca="1">IF(OR(DR8="",DR$28&lt;$A35),"",DR8/OFFSET(SSTotalESP!$A$2,MATCH(DR$29,SSTotalESP!$A$2:$A$500)+$A35-1,1)-1)</f>
        <v>2.5731660587537952E-3</v>
      </c>
      <c r="DS35" s="9">
        <f ca="1">IF(OR(DS8="",DS$28&lt;$A35),"",DS8/OFFSET(SSTotalESP!$A$2,MATCH(DS$29,SSTotalESP!$A$2:$A$500)+$A35-1,1)-1)</f>
        <v>-4.5967752780264881E-3</v>
      </c>
      <c r="DT35" s="9">
        <f ca="1">IF(OR(DT8="",DT$28&lt;$A35),"",DT8/OFFSET(SSTotalESP!$A$2,MATCH(DT$29,SSTotalESP!$A$2:$A$500)+$A35-1,1)-1)</f>
        <v>-4.9316739402208709E-3</v>
      </c>
      <c r="DU35" s="9">
        <f ca="1">IF(OR(DU8="",DU$28&lt;$A35),"",DU8/OFFSET(SSTotalESP!$A$2,MATCH(DU$29,SSTotalESP!$A$2:$A$500)+$A35-1,1)-1)</f>
        <v>-6.1510992669131515E-3</v>
      </c>
      <c r="DV35" s="9">
        <f ca="1">IF(OR(DV8="",DV$28&lt;$A35),"",DV8/OFFSET(SSTotalESP!$A$2,MATCH(DV$29,SSTotalESP!$A$2:$A$500)+$A35-1,1)-1)</f>
        <v>3.373245401798286E-3</v>
      </c>
      <c r="DW35" s="9">
        <f ca="1">IF(OR(DW8="",DW$28&lt;$A35),"",DW8/OFFSET(SSTotalESP!$A$2,MATCH(DW$29,SSTotalESP!$A$2:$A$500)+$A35-1,1)-1)</f>
        <v>8.2756644197923279E-4</v>
      </c>
      <c r="DX35" s="9">
        <f ca="1">IF(OR(DX8="",DX$28&lt;$A35),"",DX8/OFFSET(SSTotalESP!$A$2,MATCH(DX$29,SSTotalESP!$A$2:$A$500)+$A35-1,1)-1)</f>
        <v>-9.3328422879890294E-3</v>
      </c>
      <c r="DY35" s="9">
        <f ca="1">IF(OR(DY8="",DY$28&lt;$A35),"",DY8/OFFSET(SSTotalESP!$A$2,MATCH(DY$29,SSTotalESP!$A$2:$A$500)+$A35-1,1)-1)</f>
        <v>-7.5487478867003466E-3</v>
      </c>
      <c r="DZ35" s="9">
        <f ca="1">IF(OR(DZ8="",DZ$28&lt;$A35),"",DZ8/OFFSET(SSTotalESP!$A$2,MATCH(DZ$29,SSTotalESP!$A$2:$A$500)+$A35-1,1)-1)</f>
        <v>-1.3105071173603822E-2</v>
      </c>
      <c r="EA35" s="9">
        <f ca="1">IF(OR(EA8="",EA$28&lt;$A35),"",EA8/OFFSET(SSTotalESP!$A$2,MATCH(EA$29,SSTotalESP!$A$2:$A$500)+$A35-1,1)-1)</f>
        <v>-1.1746283029766991E-2</v>
      </c>
      <c r="EB35" s="9">
        <f ca="1">IF(OR(EB8="",EB$28&lt;$A35),"",EB8/OFFSET(SSTotalESP!$A$2,MATCH(EB$29,SSTotalESP!$A$2:$A$500)+$A35-1,1)-1)</f>
        <v>-1.8805893113797434E-2</v>
      </c>
      <c r="EC35" s="9">
        <f ca="1">IF(OR(EC8="",EC$28&lt;$A35),"",EC8/OFFSET(SSTotalESP!$A$2,MATCH(EC$29,SSTotalESP!$A$2:$A$500)+$A35-1,1)-1)</f>
        <v>-6.4534277608269131E-3</v>
      </c>
      <c r="ED35" s="9">
        <f ca="1">IF(OR(ED8="",ED$28&lt;$A35),"",ED8/OFFSET(SSTotalESP!$A$2,MATCH(ED$29,SSTotalESP!$A$2:$A$500)+$A35-1,1)-1)</f>
        <v>-1.1753212580871697E-3</v>
      </c>
      <c r="EE35" s="9">
        <f ca="1">IF(OR(EE8="",EE$28&lt;$A35),"",EE8/OFFSET(SSTotalESP!$A$2,MATCH(EE$29,SSTotalESP!$A$2:$A$500)+$A35-1,1)-1)</f>
        <v>-1.0293161211054724E-2</v>
      </c>
      <c r="EF35" s="9">
        <f ca="1">IF(OR(EF8="",EF$28&lt;$A35),"",EF8/OFFSET(SSTotalESP!$A$2,MATCH(EF$29,SSTotalESP!$A$2:$A$500)+$A35-1,1)-1)</f>
        <v>2.8354006884896421E-3</v>
      </c>
      <c r="EG35" s="9">
        <f ca="1">IF(OR(EG8="",EG$28&lt;$A35),"",EG8/OFFSET(SSTotalESP!$A$2,MATCH(EG$29,SSTotalESP!$A$2:$A$500)+$A35-1,1)-1)</f>
        <v>1.3147611853411956E-2</v>
      </c>
      <c r="EH35" s="9">
        <f ca="1">IF(OR(EH8="",EH$28&lt;$A35),"",EH8/OFFSET(SSTotalESP!$A$2,MATCH(EH$29,SSTotalESP!$A$2:$A$500)+$A35-1,1)-1)</f>
        <v>1.6002812735234739E-2</v>
      </c>
      <c r="EI35" s="9">
        <f ca="1">IF(OR(EI8="",EI$28&lt;$A35),"",EI8/OFFSET(SSTotalESP!$A$2,MATCH(EI$29,SSTotalESP!$A$2:$A$500)+$A35-1,1)-1)</f>
        <v>1.3808406765229986E-2</v>
      </c>
      <c r="EJ35" s="9">
        <f ca="1">IF(OR(EJ8="",EJ$28&lt;$A35),"",EJ8/OFFSET(SSTotalESP!$A$2,MATCH(EJ$29,SSTotalESP!$A$2:$A$500)+$A35-1,1)-1)</f>
        <v>-2.2061963452837396E-3</v>
      </c>
      <c r="EK35" s="9">
        <f ca="1">IF(OR(EK8="",EK$28&lt;$A35),"",EK8/OFFSET(SSTotalESP!$A$2,MATCH(EK$29,SSTotalESP!$A$2:$A$500)+$A35-1,1)-1)</f>
        <v>-1.4101953508782739E-3</v>
      </c>
      <c r="EL35" s="9">
        <f ca="1">IF(OR(EL8="",EL$28&lt;$A35),"",EL8/OFFSET(SSTotalESP!$A$2,MATCH(EL$29,SSTotalESP!$A$2:$A$500)+$A35-1,1)-1)</f>
        <v>-9.7908499615081412E-3</v>
      </c>
      <c r="EM35" s="9">
        <f ca="1">IF(OR(EM8="",EM$28&lt;$A35),"",EM8/OFFSET(SSTotalESP!$A$2,MATCH(EM$29,SSTotalESP!$A$2:$A$500)+$A35-1,1)-1)</f>
        <v>-3.9509014745217064E-3</v>
      </c>
      <c r="EN35" s="9">
        <f ca="1">IF(OR(EN8="",EN$28&lt;$A35),"",EN8/OFFSET(SSTotalESP!$A$2,MATCH(EN$29,SSTotalESP!$A$2:$A$500)+$A35-1,1)-1)</f>
        <v>-2.6260015360702882E-3</v>
      </c>
      <c r="EO35" s="9">
        <f ca="1">IF(OR(EO8="",EO$28&lt;$A35),"",EO8/OFFSET(SSTotalESP!$A$2,MATCH(EO$29,SSTotalESP!$A$2:$A$500)+$A35-1,1)-1)</f>
        <v>-9.7588061286213446E-4</v>
      </c>
      <c r="EP35" s="9">
        <f ca="1">IF(OR(EP8="",EP$28&lt;$A35),"",EP8/OFFSET(SSTotalESP!$A$2,MATCH(EP$29,SSTotalESP!$A$2:$A$500)+$A35-1,1)-1)</f>
        <v>1.6168002035439333E-3</v>
      </c>
      <c r="EQ35" s="9">
        <f ca="1">IF(OR(EQ8="",EQ$28&lt;$A35),"",EQ8/OFFSET(SSTotalESP!$A$2,MATCH(EQ$29,SSTotalESP!$A$2:$A$500)+$A35-1,1)-1)</f>
        <v>-4.4964977264002615E-3</v>
      </c>
      <c r="ER35" s="9">
        <f ca="1">IF(OR(ER8="",ER$28&lt;$A35),"",ER8/OFFSET(SSTotalESP!$A$2,MATCH(ER$29,SSTotalESP!$A$2:$A$500)+$A35-1,1)-1)</f>
        <v>-5.5907803650441235E-3</v>
      </c>
      <c r="ES35" s="9">
        <f ca="1">IF(OR(ES8="",ES$28&lt;$A35),"",ES8/OFFSET(SSTotalESP!$A$2,MATCH(ES$29,SSTotalESP!$A$2:$A$500)+$A35-1,1)-1)</f>
        <v>-3.2059973717877277E-3</v>
      </c>
      <c r="ET35" s="9">
        <f ca="1">IF(OR(ET8="",ET$28&lt;$A35),"",ET8/OFFSET(SSTotalESP!$A$2,MATCH(ET$29,SSTotalESP!$A$2:$A$500)+$A35-1,1)-1)</f>
        <v>-6.6724587872644125E-3</v>
      </c>
      <c r="EU35" s="9">
        <f ca="1">IF(OR(EU8="",EU$28&lt;$A35),"",EU8/OFFSET(SSTotalESP!$A$2,MATCH(EU$29,SSTotalESP!$A$2:$A$500)+$A35-1,1)-1)</f>
        <v>-3.3535219661577909E-3</v>
      </c>
      <c r="EV35" s="9">
        <f ca="1">IF(OR(EV8="",EV$28&lt;$A35),"",EV8/OFFSET(SSTotalESP!$A$2,MATCH(EV$29,SSTotalESP!$A$2:$A$500)+$A35-1,1)-1)</f>
        <v>3.7336893274817484E-3</v>
      </c>
      <c r="EW35" s="9">
        <f ca="1">IF(OR(EW8="",EW$28&lt;$A35),"",EW8/OFFSET(SSTotalESP!$A$2,MATCH(EW$29,SSTotalESP!$A$2:$A$500)+$A35-1,1)-1)</f>
        <v>1.4936188620937596E-3</v>
      </c>
      <c r="EX35" s="9">
        <f ca="1">IF(OR(EX8="",EX$28&lt;$A35),"",EX8/OFFSET(SSTotalESP!$A$2,MATCH(EX$29,SSTotalESP!$A$2:$A$500)+$A35-1,1)-1)</f>
        <v>-7.8600291679206125E-3</v>
      </c>
      <c r="EY35" s="9">
        <f ca="1">IF(OR(EY8="",EY$28&lt;$A35),"",EY8/OFFSET(SSTotalESP!$A$2,MATCH(EY$29,SSTotalESP!$A$2:$A$500)+$A35-1,1)-1)</f>
        <v>-8.0773631888566566E-3</v>
      </c>
      <c r="EZ35" s="9">
        <f ca="1">IF(OR(EZ8="",EZ$28&lt;$A35),"",EZ8/OFFSET(SSTotalESP!$A$2,MATCH(EZ$29,SSTotalESP!$A$2:$A$500)+$A35-1,1)-1)</f>
        <v>5.9653773410706101E-4</v>
      </c>
      <c r="FA35" s="9">
        <f ca="1">IF(OR(FA8="",FA$28&lt;$A35),"",FA8/OFFSET(SSTotalESP!$A$2,MATCH(FA$29,SSTotalESP!$A$2:$A$500)+$A35-1,1)-1)</f>
        <v>-1.0952752549243994E-2</v>
      </c>
      <c r="FB35" s="9">
        <f ca="1">IF(OR(FB8="",FB$28&lt;$A35),"",FB8/OFFSET(SSTotalESP!$A$2,MATCH(FB$29,SSTotalESP!$A$2:$A$500)+$A35-1,1)-1)</f>
        <v>-9.4081406411627988E-3</v>
      </c>
      <c r="FC35" s="9">
        <f ca="1">IF(OR(FC8="",FC$28&lt;$A35),"",FC8/OFFSET(SSTotalESP!$A$2,MATCH(FC$29,SSTotalESP!$A$2:$A$500)+$A35-1,1)-1)</f>
        <v>-5.3701399575628583E-3</v>
      </c>
      <c r="FD35" s="9">
        <f ca="1">IF(OR(FD8="",FD$28&lt;$A35),"",FD8/OFFSET(SSTotalESP!$A$2,MATCH(FD$29,SSTotalESP!$A$2:$A$500)+$A35-1,1)-1)</f>
        <v>-1.8018156417336506E-3</v>
      </c>
      <c r="FE35" s="9">
        <f ca="1">IF(OR(FE8="",FE$28&lt;$A35),"",FE8/OFFSET(SSTotalESP!$A$2,MATCH(FE$29,SSTotalESP!$A$2:$A$500)+$A35-1,1)-1)</f>
        <v>2.8073132620580754E-3</v>
      </c>
      <c r="FF35" s="9">
        <f ca="1">IF(OR(FF8="",FF$28&lt;$A35),"",FF8/OFFSET(SSTotalESP!$A$2,MATCH(FF$29,SSTotalESP!$A$2:$A$500)+$A35-1,1)-1)</f>
        <v>9.5516897665384182E-3</v>
      </c>
      <c r="FG35" s="9">
        <f ca="1">IF(OR(FG8="",FG$28&lt;$A35),"",FG8/OFFSET(SSTotalESP!$A$2,MATCH(FG$29,SSTotalESP!$A$2:$A$500)+$A35-1,1)-1)</f>
        <v>7.8617038938626482E-3</v>
      </c>
      <c r="FH35" s="9">
        <f ca="1">IF(OR(FH8="",FH$28&lt;$A35),"",FH8/OFFSET(SSTotalESP!$A$2,MATCH(FH$29,SSTotalESP!$A$2:$A$500)+$A35-1,1)-1)</f>
        <v>4.591400173717286E-3</v>
      </c>
      <c r="FI35" s="9">
        <f ca="1">IF(OR(FI8="",FI$28&lt;$A35),"",FI8/OFFSET(SSTotalESP!$A$2,MATCH(FI$29,SSTotalESP!$A$2:$A$500)+$A35-1,1)-1)</f>
        <v>-2.3855867777878847E-3</v>
      </c>
      <c r="FJ35" s="9">
        <f ca="1">IF(OR(FJ8="",FJ$28&lt;$A35),"",FJ8/OFFSET(SSTotalESP!$A$2,MATCH(FJ$29,SSTotalESP!$A$2:$A$500)+$A35-1,1)-1)</f>
        <v>-8.8366711179367341E-3</v>
      </c>
      <c r="FK35" s="9">
        <f ca="1">IF(OR(FK8="",FK$28&lt;$A35),"",FK8/OFFSET(SSTotalESP!$A$2,MATCH(FK$29,SSTotalESP!$A$2:$A$500)+$A35-1,1)-1)</f>
        <v>-3.0659982607142977E-3</v>
      </c>
      <c r="FL35" s="9">
        <f ca="1">IF(OR(FL8="",FL$28&lt;$A35),"",FL8/OFFSET(SSTotalESP!$A$2,MATCH(FL$29,SSTotalESP!$A$2:$A$500)+$A35-1,1)-1)</f>
        <v>1.2892072764885132E-3</v>
      </c>
      <c r="FM35" s="9">
        <f ca="1">IF(OR(FM8="",FM$28&lt;$A35),"",FM8/OFFSET(SSTotalESP!$A$2,MATCH(FM$29,SSTotalESP!$A$2:$A$500)+$A35-1,1)-1)</f>
        <v>1.0523075982926677E-4</v>
      </c>
      <c r="FN35" s="9">
        <f ca="1">IF(OR(FN8="",FN$28&lt;$A35),"",FN8/OFFSET(SSTotalESP!$A$2,MATCH(FN$29,SSTotalESP!$A$2:$A$500)+$A35-1,1)-1)</f>
        <v>-4.9169287742863999E-3</v>
      </c>
      <c r="FO35" s="9">
        <f ca="1">IF(OR(FO8="",FO$28&lt;$A35),"",FO8/OFFSET(SSTotalESP!$A$2,MATCH(FO$29,SSTotalESP!$A$2:$A$500)+$A35-1,1)-1)</f>
        <v>-1.5558972147549088E-3</v>
      </c>
      <c r="FP35" s="9">
        <f ca="1">IF(OR(FP8="",FP$28&lt;$A35),"",FP8/OFFSET(SSTotalESP!$A$2,MATCH(FP$29,SSTotalESP!$A$2:$A$500)+$A35-1,1)-1)</f>
        <v>3.5804606983078635E-3</v>
      </c>
      <c r="FQ35" s="9">
        <f ca="1">IF(OR(FQ8="",FQ$28&lt;$A35),"",FQ8/OFFSET(SSTotalESP!$A$2,MATCH(FQ$29,SSTotalESP!$A$2:$A$500)+$A35-1,1)-1)</f>
        <v>4.2335172236618313E-4</v>
      </c>
      <c r="FR35" s="9">
        <f ca="1">IF(OR(FR8="",FR$28&lt;$A35),"",FR8/OFFSET(SSTotalESP!$A$2,MATCH(FR$29,SSTotalESP!$A$2:$A$500)+$A35-1,1)-1)</f>
        <v>-3.6001546112135463E-3</v>
      </c>
      <c r="FS35" s="9">
        <f ca="1">IF(OR(FS8="",FS$28&lt;$A35),"",FS8/OFFSET(SSTotalESP!$A$2,MATCH(FS$29,SSTotalESP!$A$2:$A$500)+$A35-1,1)-1)</f>
        <v>5.6139183359800171E-3</v>
      </c>
      <c r="FT35" s="9">
        <f ca="1">IF(OR(FT8="",FT$28&lt;$A35),"",FT8/OFFSET(SSTotalESP!$A$2,MATCH(FT$29,SSTotalESP!$A$2:$A$500)+$A35-1,1)-1)</f>
        <v>3.195519861316054E-3</v>
      </c>
      <c r="FU35" s="9">
        <f ca="1">IF(OR(FU8="",FU$28&lt;$A35),"",FU8/OFFSET(SSTotalESP!$A$2,MATCH(FU$29,SSTotalESP!$A$2:$A$500)+$A35-1,1)-1)</f>
        <v>-3.0280126151835951E-3</v>
      </c>
      <c r="FV35" s="9">
        <f ca="1">IF(OR(FV8="",FV$28&lt;$A35),"",FV8/OFFSET(SSTotalESP!$A$2,MATCH(FV$29,SSTotalESP!$A$2:$A$500)+$A35-1,1)-1)</f>
        <v>-8.2692603667720022E-3</v>
      </c>
      <c r="FW35" s="9">
        <f ca="1">IF(OR(FW8="",FW$28&lt;$A35),"",FW8/OFFSET(SSTotalESP!$A$2,MATCH(FW$29,SSTotalESP!$A$2:$A$500)+$A35-1,1)-1)</f>
        <v>-6.1811129591138325E-3</v>
      </c>
      <c r="FX35" s="9">
        <f ca="1">IF(OR(FX8="",FX$28&lt;$A35),"",FX8/OFFSET(SSTotalESP!$A$2,MATCH(FX$29,SSTotalESP!$A$2:$A$500)+$A35-1,1)-1)</f>
        <v>4.8978575022777804E-3</v>
      </c>
      <c r="FY35" s="9">
        <f ca="1">IF(OR(FY8="",FY$28&lt;$A35),"",FY8/OFFSET(SSTotalESP!$A$2,MATCH(FY$29,SSTotalESP!$A$2:$A$500)+$A35-1,1)-1)</f>
        <v>-4.9531355952470157E-3</v>
      </c>
      <c r="FZ35" s="9">
        <f ca="1">IF(OR(FZ8="",FZ$28&lt;$A35),"",FZ8/OFFSET(SSTotalESP!$A$2,MATCH(FZ$29,SSTotalESP!$A$2:$A$500)+$A35-1,1)-1)</f>
        <v>2.7131694635291748E-3</v>
      </c>
      <c r="GA35" s="9">
        <f ca="1">IF(OR(GA8="",GA$28&lt;$A35),"",GA8/OFFSET(SSTotalESP!$A$2,MATCH(GA$29,SSTotalESP!$A$2:$A$500)+$A35-1,1)-1)</f>
        <v>-1.4652001500382594E-3</v>
      </c>
      <c r="GB35" s="9">
        <f ca="1">IF(OR(GB8="",GB$28&lt;$A35),"",GB8/OFFSET(SSTotalESP!$A$2,MATCH(GB$29,SSTotalESP!$A$2:$A$500)+$A35-1,1)-1)</f>
        <v>1.1215783900095921E-3</v>
      </c>
      <c r="GC35" s="9">
        <f ca="1">IF(OR(GC8="",GC$28&lt;$A35),"",GC8/OFFSET(SSTotalESP!$A$2,MATCH(GC$29,SSTotalESP!$A$2:$A$500)+$A35-1,1)-1)</f>
        <v>5.953694274222654E-3</v>
      </c>
      <c r="GD35" s="9">
        <f ca="1">IF(OR(GD8="",GD$28&lt;$A35),"",GD8/OFFSET(SSTotalESP!$A$2,MATCH(GD$29,SSTotalESP!$A$2:$A$500)+$A35-1,1)-1)</f>
        <v>6.7288634965274596E-3</v>
      </c>
      <c r="GE35" s="9">
        <f ca="1">IF(OR(GE8="",GE$28&lt;$A35),"",GE8/OFFSET(SSTotalESP!$A$2,MATCH(GE$29,SSTotalESP!$A$2:$A$500)+$A35-1,1)-1)</f>
        <v>5.3507658941380765E-3</v>
      </c>
      <c r="GF35" s="9">
        <f ca="1">IF(OR(GF8="",GF$28&lt;$A35),"",GF8/OFFSET(SSTotalESP!$A$2,MATCH(GF$29,SSTotalESP!$A$2:$A$500)+$A35-1,1)-1)</f>
        <v>5.516613511820978E-3</v>
      </c>
      <c r="GG35" s="9">
        <f ca="1">IF(OR(GG8="",GG$28&lt;$A35),"",GG8/OFFSET(SSTotalESP!$A$2,MATCH(GG$29,SSTotalESP!$A$2:$A$500)+$A35-1,1)-1)</f>
        <v>2.6671282723063072E-3</v>
      </c>
      <c r="GH35" s="9">
        <f ca="1">IF(OR(GH8="",GH$28&lt;$A35),"",GH8/OFFSET(SSTotalESP!$A$2,MATCH(GH$29,SSTotalESP!$A$2:$A$500)+$A35-1,1)-1)</f>
        <v>-1.6594380441288248E-3</v>
      </c>
      <c r="GI35" s="9">
        <f ca="1">IF(OR(GI8="",GI$28&lt;$A35),"",GI8/OFFSET(SSTotalESP!$A$2,MATCH(GI$29,SSTotalESP!$A$2:$A$500)+$A35-1,1)-1)</f>
        <v>1.7581020500416322E-2</v>
      </c>
      <c r="GJ35" s="9">
        <f ca="1">IF(OR(GJ8="",GJ$28&lt;$A35),"",GJ8/OFFSET(SSTotalESP!$A$2,MATCH(GJ$29,SSTotalESP!$A$2:$A$500)+$A35-1,1)-1)</f>
        <v>6.2272789840552845E-2</v>
      </c>
      <c r="GK35" s="9">
        <f ca="1">IF(OR(GK8="",GK$28&lt;$A35),"",GK8/OFFSET(SSTotalESP!$A$2,MATCH(GK$29,SSTotalESP!$A$2:$A$500)+$A35-1,1)-1)</f>
        <v>6.4422381136076456E-2</v>
      </c>
      <c r="GL35" s="9">
        <f ca="1">IF(OR(GL8="",GL$28&lt;$A35),"",GL8/OFFSET(SSTotalESP!$A$2,MATCH(GL$29,SSTotalESP!$A$2:$A$500)+$A35-1,1)-1)</f>
        <v>6.1616028258418609E-2</v>
      </c>
      <c r="GM35" s="9">
        <f ca="1">IF(OR(GM8="",GM$28&lt;$A35),"",GM8/OFFSET(SSTotalESP!$A$2,MATCH(GM$29,SSTotalESP!$A$2:$A$500)+$A35-1,1)-1)</f>
        <v>4.8385877825735557E-2</v>
      </c>
      <c r="GN35" s="9">
        <f ca="1">IF(OR(GN8="",GN$28&lt;$A35),"",GN8/OFFSET(SSTotalESP!$A$2,MATCH(GN$29,SSTotalESP!$A$2:$A$500)+$A35-1,1)-1)</f>
        <v>4.6684820061223986E-2</v>
      </c>
      <c r="GO35" s="9">
        <f ca="1">IF(OR(GO8="",GO$28&lt;$A35),"",GO8/OFFSET(SSTotalESP!$A$2,MATCH(GO$29,SSTotalESP!$A$2:$A$500)+$A35-1,1)-1)</f>
        <v>1.1721638762845599E-2</v>
      </c>
      <c r="GP35" s="9">
        <f ca="1">IF(OR(GP8="",GP$28&lt;$A35),"",GP8/OFFSET(SSTotalESP!$A$2,MATCH(GP$29,SSTotalESP!$A$2:$A$500)+$A35-1,1)-1)</f>
        <v>-4.8161573691276161E-2</v>
      </c>
      <c r="GQ35" s="9">
        <f ca="1">IF(OR(GQ8="",GQ$28&lt;$A35),"",GQ8/OFFSET(SSTotalESP!$A$2,MATCH(GQ$29,SSTotalESP!$A$2:$A$500)+$A35-1,1)-1)</f>
        <v>-5.5158386908226609E-2</v>
      </c>
      <c r="GR35" s="9">
        <f ca="1">IF(OR(GR8="",GR$28&lt;$A35),"",GR8/OFFSET(SSTotalESP!$A$2,MATCH(GR$29,SSTotalESP!$A$2:$A$500)+$A35-1,1)-1)</f>
        <v>-4.4385590987608192E-2</v>
      </c>
      <c r="GS35" s="9">
        <f ca="1">IF(OR(GS8="",GS$28&lt;$A35),"",GS8/OFFSET(SSTotalESP!$A$2,MATCH(GS$29,SSTotalESP!$A$2:$A$500)+$A35-1,1)-1)</f>
        <v>-2.6610484795135059E-2</v>
      </c>
      <c r="GT35" s="9" t="str">
        <f ca="1">IF(OR(GT8="",GT$28&lt;$A35),"",GT8/OFFSET(SSTotalESP!$A$2,MATCH(GT$29,SSTotalESP!$A$2:$A$500)+$A35-1,1)-1)</f>
        <v/>
      </c>
      <c r="GU35" s="9" t="str">
        <f ca="1">IF(OR(GU8="",GU$28&lt;$A35),"",GU8/OFFSET(SSTotalESP!$A$2,MATCH(GU$29,SSTotalESP!$A$2:$A$500)+$A35-1,1)-1)</f>
        <v/>
      </c>
      <c r="GV35" s="9" t="str">
        <f ca="1">IF(OR(GV8="",GV$28&lt;$A35),"",GV8/OFFSET(SSTotalESP!$A$2,MATCH(GV$29,SSTotalESP!$A$2:$A$500)+$A35-1,1)-1)</f>
        <v/>
      </c>
      <c r="GW35" s="9" t="str">
        <f ca="1">IF(OR(GW8="",GW$28&lt;$A35),"",GW8/OFFSET(SSTotalESP!$A$2,MATCH(GW$29,SSTotalESP!$A$2:$A$500)+$A35-1,1)-1)</f>
        <v/>
      </c>
      <c r="GX35" s="9" t="str">
        <f ca="1">IF(OR(GX8="",GX$28&lt;$A35),"",GX8/OFFSET(SSTotalESP!$A$2,MATCH(GX$29,SSTotalESP!$A$2:$A$500)+$A35-1,1)-1)</f>
        <v/>
      </c>
      <c r="GY35" s="9" t="str">
        <f ca="1">IF(OR(GY8="",GY$28&lt;$A35),"",GY8/OFFSET(SSTotalESP!$A$2,MATCH(GY$29,SSTotalESP!$A$2:$A$500)+$A35-1,1)-1)</f>
        <v/>
      </c>
      <c r="GZ35" s="9" t="str">
        <f ca="1">IF(OR(GZ8="",GZ$28&lt;$A35),"",GZ8/OFFSET(SSTotalESP!$A$2,MATCH(GZ$29,SSTotalESP!$A$2:$A$500)+$A35-1,1)-1)</f>
        <v/>
      </c>
      <c r="HA35" s="9" t="str">
        <f ca="1">IF(OR(HA8="",HA$28&lt;$A35),"",HA8/OFFSET(SSTotalESP!$A$2,MATCH(HA$29,SSTotalESP!$A$2:$A$500)+$A35-1,1)-1)</f>
        <v/>
      </c>
      <c r="HB35" s="9" t="str">
        <f ca="1">IF(OR(HB8="",HB$28&lt;$A35),"",HB8/OFFSET(SSTotalESP!$A$2,MATCH(HB$29,SSTotalESP!$A$2:$A$500)+$A35-1,1)-1)</f>
        <v/>
      </c>
      <c r="HC35" s="9" t="str">
        <f ca="1">IF(OR(HC8="",HC$28&lt;$A35),"",HC8/OFFSET(SSTotalESP!$A$2,MATCH(HC$29,SSTotalESP!$A$2:$A$500)+$A35-1,1)-1)</f>
        <v/>
      </c>
      <c r="HD35" s="9" t="str">
        <f ca="1">IF(OR(HD8="",HD$28&lt;$A35),"",HD8/OFFSET(SSTotalESP!$A$2,MATCH(HD$29,SSTotalESP!$A$2:$A$500)+$A35-1,1)-1)</f>
        <v/>
      </c>
      <c r="HE35" s="9" t="str">
        <f ca="1">IF(OR(HE8="",HE$28&lt;$A35),"",HE8/OFFSET(SSTotalESP!$A$2,MATCH(HE$29,SSTotalESP!$A$2:$A$500)+$A35-1,1)-1)</f>
        <v/>
      </c>
      <c r="HF35" s="9" t="str">
        <f ca="1">IF(OR(HF8="",HF$28&lt;$A35),"",HF8/OFFSET(SSTotalESP!$A$2,MATCH(HF$29,SSTotalESP!$A$2:$A$500)+$A35-1,1)-1)</f>
        <v/>
      </c>
      <c r="HG35" s="9" t="str">
        <f ca="1">IF(OR(HG8="",HG$28&lt;$A35),"",HG8/OFFSET(SSTotalESP!$A$2,MATCH(HG$29,SSTotalESP!$A$2:$A$500)+$A35-1,1)-1)</f>
        <v/>
      </c>
      <c r="HH35" s="9" t="str">
        <f ca="1">IF(OR(HH8="",HH$28&lt;$A35),"",HH8/OFFSET(SSTotalESP!$A$2,MATCH(HH$29,SSTotalESP!$A$2:$A$500)+$A35-1,1)-1)</f>
        <v/>
      </c>
      <c r="HI35" s="9" t="str">
        <f ca="1">IF(OR(HI8="",HI$28&lt;$A35),"",HI8/OFFSET(SSTotalESP!$A$2,MATCH(HI$29,SSTotalESP!$A$2:$A$500)+$A35-1,1)-1)</f>
        <v/>
      </c>
      <c r="HJ35" s="9" t="str">
        <f ca="1">IF(OR(HJ8="",HJ$28&lt;$A35),"",HJ8/OFFSET(SSTotalESP!$A$2,MATCH(HJ$29,SSTotalESP!$A$2:$A$500)+$A35-1,1)-1)</f>
        <v/>
      </c>
      <c r="HK35" s="9" t="str">
        <f ca="1">IF(OR(HK8="",HK$28&lt;$A35),"",HK8/OFFSET(SSTotalESP!$A$2,MATCH(HK$29,SSTotalESP!$A$2:$A$500)+$A35-1,1)-1)</f>
        <v/>
      </c>
      <c r="HL35" s="9" t="str">
        <f ca="1">IF(OR(HL8="",HL$28&lt;$A35),"",HL8/OFFSET(SSTotalESP!$A$2,MATCH(HL$29,SSTotalESP!$A$2:$A$500)+$A35-1,1)-1)</f>
        <v/>
      </c>
      <c r="HM35" s="9" t="str">
        <f ca="1">IF(OR(HM8="",HM$28&lt;$A35),"",HM8/OFFSET(SSTotalESP!$A$2,MATCH(HM$29,SSTotalESP!$A$2:$A$500)+$A35-1,1)-1)</f>
        <v/>
      </c>
      <c r="HN35" s="9" t="str">
        <f ca="1">IF(OR(HN8="",HN$28&lt;$A35),"",HN8/OFFSET(SSTotalESP!$A$2,MATCH(HN$29,SSTotalESP!$A$2:$A$500)+$A35-1,1)-1)</f>
        <v/>
      </c>
      <c r="HO35" s="9" t="str">
        <f ca="1">IF(OR(HO8="",HO$28&lt;$A35),"",HO8/OFFSET(SSTotalESP!$A$2,MATCH(HO$29,SSTotalESP!$A$2:$A$500)+$A35-1,1)-1)</f>
        <v/>
      </c>
      <c r="HP35" s="9" t="str">
        <f ca="1">IF(OR(HP8="",HP$28&lt;$A35),"",HP8/OFFSET(SSTotalESP!$A$2,MATCH(HP$29,SSTotalESP!$A$2:$A$500)+$A35-1,1)-1)</f>
        <v/>
      </c>
      <c r="HQ35" s="9" t="str">
        <f ca="1">IF(OR(HQ8="",HQ$28&lt;$A35),"",HQ8/OFFSET(SSTotalESP!$A$2,MATCH(HQ$29,SSTotalESP!$A$2:$A$500)+$A35-1,1)-1)</f>
        <v/>
      </c>
      <c r="HR35" s="9" t="str">
        <f ca="1">IF(OR(HR8="",HR$28&lt;$A35),"",HR8/OFFSET(SSTotalESP!$A$2,MATCH(HR$29,SSTotalESP!$A$2:$A$500)+$A35-1,1)-1)</f>
        <v/>
      </c>
      <c r="HS35" s="9" t="str">
        <f ca="1">IF(OR(HS8="",HS$28&lt;$A35),"",HS8/OFFSET(SSTotalESP!$A$2,MATCH(HS$29,SSTotalESP!$A$2:$A$500)+$A35-1,1)-1)</f>
        <v/>
      </c>
      <c r="HT35" s="9" t="str">
        <f ca="1">IF(OR(HT8="",HT$28&lt;$A35),"",HT8/OFFSET(SSTotalESP!$A$2,MATCH(HT$29,SSTotalESP!$A$2:$A$500)+$A35-1,1)-1)</f>
        <v/>
      </c>
      <c r="HU35" s="9" t="str">
        <f ca="1">IF(OR(HU8="",HU$28&lt;$A35),"",HU8/OFFSET(SSTotalESP!$A$2,MATCH(HU$29,SSTotalESP!$A$2:$A$500)+$A35-1,1)-1)</f>
        <v/>
      </c>
      <c r="HV35" s="9" t="str">
        <f ca="1">IF(OR(HV8="",HV$28&lt;$A35),"",HV8/OFFSET(SSTotalESP!$A$2,MATCH(HV$29,SSTotalESP!$A$2:$A$500)+$A35-1,1)-1)</f>
        <v/>
      </c>
      <c r="HW35" s="9" t="str">
        <f ca="1">IF(OR(HW8="",HW$28&lt;$A35),"",HW8/OFFSET(SSTotalESP!$A$2,MATCH(HW$29,SSTotalESP!$A$2:$A$500)+$A35-1,1)-1)</f>
        <v/>
      </c>
      <c r="HX35" s="9" t="str">
        <f ca="1">IF(OR(HX8="",HX$28&lt;$A35),"",HX8/OFFSET(SSTotalESP!$A$2,MATCH(HX$29,SSTotalESP!$A$2:$A$500)+$A35-1,1)-1)</f>
        <v/>
      </c>
      <c r="HY35" s="9" t="str">
        <f ca="1">IF(OR(HY8="",HY$28&lt;$A35),"",HY8/OFFSET(SSTotalESP!$A$2,MATCH(HY$29,SSTotalESP!$A$2:$A$500)+$A35-1,1)-1)</f>
        <v/>
      </c>
      <c r="HZ35" s="9" t="str">
        <f ca="1">IF(OR(HZ8="",HZ$28&lt;$A35),"",HZ8/OFFSET(SSTotalESP!$A$2,MATCH(HZ$29,SSTotalESP!$A$2:$A$500)+$A35-1,1)-1)</f>
        <v/>
      </c>
      <c r="IA35" s="9" t="str">
        <f ca="1">IF(OR(IA8="",IA$28&lt;$A35),"",IA8/OFFSET(SSTotalESP!$A$2,MATCH(IA$29,SSTotalESP!$A$2:$A$500)+$A35-1,1)-1)</f>
        <v/>
      </c>
      <c r="IB35" s="9" t="str">
        <f ca="1">IF(OR(IB8="",IB$28&lt;$A35),"",IB8/OFFSET(SSTotalESP!$A$2,MATCH(IB$29,SSTotalESP!$A$2:$A$500)+$A35-1,1)-1)</f>
        <v/>
      </c>
      <c r="IC35" s="9" t="str">
        <f ca="1">IF(OR(IC8="",IC$28&lt;$A35),"",IC8/OFFSET(SSTotalESP!$A$2,MATCH(IC$29,SSTotalESP!$A$2:$A$500)+$A35-1,1)-1)</f>
        <v/>
      </c>
      <c r="ID35" s="9" t="str">
        <f ca="1">IF(OR(ID8="",ID$28&lt;$A35),"",ID8/OFFSET(SSTotalESP!$A$2,MATCH(ID$29,SSTotalESP!$A$2:$A$500)+$A35-1,1)-1)</f>
        <v/>
      </c>
      <c r="IE35" s="9" t="str">
        <f ca="1">IF(OR(IE8="",IE$28&lt;$A35),"",IE8/OFFSET(SSTotalESP!$A$2,MATCH(IE$29,SSTotalESP!$A$2:$A$500)+$A35-1,1)-1)</f>
        <v/>
      </c>
      <c r="IF35" s="9" t="str">
        <f ca="1">IF(OR(IF8="",IF$28&lt;$A35),"",IF8/OFFSET(SSTotalESP!$A$2,MATCH(IF$29,SSTotalESP!$A$2:$A$500)+$A35-1,1)-1)</f>
        <v/>
      </c>
      <c r="IG35" s="9" t="str">
        <f ca="1">IF(OR(IG8="",IG$28&lt;$A35),"",IG8/OFFSET(SSTotalESP!$A$2,MATCH(IG$29,SSTotalESP!$A$2:$A$500)+$A35-1,1)-1)</f>
        <v/>
      </c>
      <c r="IH35" s="9" t="str">
        <f ca="1">IF(OR(IH8="",IH$28&lt;$A35),"",IH8/OFFSET(SSTotalESP!$A$2,MATCH(IH$29,SSTotalESP!$A$2:$A$500)+$A35-1,1)-1)</f>
        <v/>
      </c>
      <c r="II35" s="9" t="str">
        <f ca="1">IF(OR(II8="",II$28&lt;$A35),"",II8/OFFSET(SSTotalESP!$A$2,MATCH(II$29,SSTotalESP!$A$2:$A$500)+$A35-1,1)-1)</f>
        <v/>
      </c>
      <c r="IJ35" s="9" t="str">
        <f ca="1">IF(OR(IJ8="",IJ$28&lt;$A35),"",IJ8/OFFSET(SSTotalESP!$A$2,MATCH(IJ$29,SSTotalESP!$A$2:$A$500)+$A35-1,1)-1)</f>
        <v/>
      </c>
      <c r="IK35" s="9" t="str">
        <f ca="1">IF(OR(IK8="",IK$28&lt;$A35),"",IK8/OFFSET(SSTotalESP!$A$2,MATCH(IK$29,SSTotalESP!$A$2:$A$500)+$A35-1,1)-1)</f>
        <v/>
      </c>
      <c r="IL35" s="9" t="str">
        <f ca="1">IF(OR(IL8="",IL$28&lt;$A35),"",IL8/OFFSET(SSTotalESP!$A$2,MATCH(IL$29,SSTotalESP!$A$2:$A$500)+$A35-1,1)-1)</f>
        <v/>
      </c>
      <c r="IM35" s="9" t="str">
        <f ca="1">IF(OR(IM8="",IM$28&lt;$A35),"",IM8/OFFSET(SSTotalESP!$A$2,MATCH(IM$29,SSTotalESP!$A$2:$A$500)+$A35-1,1)-1)</f>
        <v/>
      </c>
      <c r="IN35" s="9" t="str">
        <f ca="1">IF(OR(IN8="",IN$28&lt;$A35),"",IN8/OFFSET(SSTotalESP!$A$2,MATCH(IN$29,SSTotalESP!$A$2:$A$500)+$A35-1,1)-1)</f>
        <v/>
      </c>
      <c r="IO35" s="9" t="str">
        <f ca="1">IF(OR(IO8="",IO$28&lt;$A35),"",IO8/OFFSET(SSTotalESP!$A$2,MATCH(IO$29,SSTotalESP!$A$2:$A$500)+$A35-1,1)-1)</f>
        <v/>
      </c>
      <c r="IP35" s="9" t="str">
        <f ca="1">IF(OR(IP8="",IP$28&lt;$A35),"",IP8/OFFSET(SSTotalESP!$A$2,MATCH(IP$29,SSTotalESP!$A$2:$A$500)+$A35-1,1)-1)</f>
        <v/>
      </c>
      <c r="IQ35" s="9" t="str">
        <f ca="1">IF(OR(IQ8="",IQ$28&lt;$A35),"",IQ8/OFFSET(SSTotalESP!$A$2,MATCH(IQ$29,SSTotalESP!$A$2:$A$500)+$A35-1,1)-1)</f>
        <v/>
      </c>
      <c r="IR35" s="9" t="str">
        <f ca="1">IF(OR(IR8="",IR$28&lt;$A35),"",IR8/OFFSET(SSTotalESP!$A$2,MATCH(IR$29,SSTotalESP!$A$2:$A$500)+$A35-1,1)-1)</f>
        <v/>
      </c>
      <c r="IS35" s="9" t="str">
        <f ca="1">IF(OR(IS8="",IS$28&lt;$A35),"",IS8/OFFSET(SSTotalESP!$A$2,MATCH(IS$29,SSTotalESP!$A$2:$A$500)+$A35-1,1)-1)</f>
        <v/>
      </c>
      <c r="IT35" s="9" t="str">
        <f ca="1">IF(OR(IT8="",IT$28&lt;$A35),"",IT8/OFFSET(SSTotalESP!$A$2,MATCH(IT$29,SSTotalESP!$A$2:$A$500)+$A35-1,1)-1)</f>
        <v/>
      </c>
      <c r="IU35" s="9" t="str">
        <f ca="1">IF(OR(IU8="",IU$28&lt;$A35),"",IU8/OFFSET(SSTotalESP!$A$2,MATCH(IU$29,SSTotalESP!$A$2:$A$500)+$A35-1,1)-1)</f>
        <v/>
      </c>
      <c r="IV35" s="9" t="str">
        <f ca="1">IF(OR(IV8="",IV$28&lt;$A35),"",IV8/OFFSET(SSTotalESP!$A$2,MATCH(IV$29,SSTotalESP!$A$2:$A$500)+$A35-1,1)-1)</f>
        <v/>
      </c>
      <c r="IW35" s="9" t="str">
        <f ca="1">IF(OR(IW8="",IW$28&lt;$A35),"",IW8/OFFSET(SSTotalESP!$A$2,MATCH(IW$29,SSTotalESP!$A$2:$A$500)+$A35-1,1)-1)</f>
        <v/>
      </c>
      <c r="IX35" s="9" t="str">
        <f ca="1">IF(OR(IX8="",IX$28&lt;$A35),"",IX8/OFFSET(SSTotalESP!$A$2,MATCH(IX$29,SSTotalESP!$A$2:$A$500)+$A35-1,1)-1)</f>
        <v/>
      </c>
      <c r="IY35" s="9" t="str">
        <f ca="1">IF(OR(IY8="",IY$28&lt;$A35),"",IY8/OFFSET(SSTotalESP!$A$2,MATCH(IY$29,SSTotalESP!$A$2:$A$500)+$A35-1,1)-1)</f>
        <v/>
      </c>
      <c r="IZ35" s="9" t="str">
        <f ca="1">IF(OR(IZ8="",IZ$28&lt;$A35),"",IZ8/OFFSET(SSTotalESP!$A$2,MATCH(IZ$29,SSTotalESP!$A$2:$A$500)+$A35-1,1)-1)</f>
        <v/>
      </c>
      <c r="JA35" s="9" t="str">
        <f ca="1">IF(OR(JA8="",JA$28&lt;$A35),"",JA8/OFFSET(SSTotalESP!$A$2,MATCH(JA$29,SSTotalESP!$A$2:$A$500)+$A35-1,1)-1)</f>
        <v/>
      </c>
      <c r="JB35" s="9" t="str">
        <f ca="1">IF(OR(JB8="",JB$28&lt;$A35),"",JB8/OFFSET(SSTotalESP!$A$2,MATCH(JB$29,SSTotalESP!$A$2:$A$500)+$A35-1,1)-1)</f>
        <v/>
      </c>
      <c r="JC35" s="9" t="str">
        <f ca="1">IF(OR(JC8="",JC$28&lt;$A35),"",JC8/OFFSET(SSTotalESP!$A$2,MATCH(JC$29,SSTotalESP!$A$2:$A$500)+$A35-1,1)-1)</f>
        <v/>
      </c>
      <c r="JD35" s="9" t="str">
        <f ca="1">IF(OR(JD8="",JD$28&lt;$A35),"",JD8/OFFSET(SSTotalESP!$A$2,MATCH(JD$29,SSTotalESP!$A$2:$A$500)+$A35-1,1)-1)</f>
        <v/>
      </c>
      <c r="JE35" s="9" t="str">
        <f ca="1">IF(OR(JE8="",JE$28&lt;$A35),"",JE8/OFFSET(SSTotalESP!$A$2,MATCH(JE$29,SSTotalESP!$A$2:$A$500)+$A35-1,1)-1)</f>
        <v/>
      </c>
      <c r="JF35" s="9" t="str">
        <f ca="1">IF(OR(JF8="",JF$28&lt;$A35),"",JF8/OFFSET(SSTotalESP!$A$2,MATCH(JF$29,SSTotalESP!$A$2:$A$500)+$A35-1,1)-1)</f>
        <v/>
      </c>
      <c r="JG35" s="9" t="str">
        <f ca="1">IF(OR(JG8="",JG$28&lt;$A35),"",JG8/OFFSET(SSTotalESP!$A$2,MATCH(JG$29,SSTotalESP!$A$2:$A$500)+$A35-1,1)-1)</f>
        <v/>
      </c>
      <c r="JH35" s="9" t="str">
        <f ca="1">IF(OR(JH8="",JH$28&lt;$A35),"",JH8/OFFSET(SSTotalESP!$A$2,MATCH(JH$29,SSTotalESP!$A$2:$A$500)+$A35-1,1)-1)</f>
        <v/>
      </c>
      <c r="JI35" s="13">
        <f t="shared" ca="1" si="13"/>
        <v>5.2894712546834675E-3</v>
      </c>
      <c r="JJ35" s="13">
        <f t="shared" ca="1" si="14"/>
        <v>2.7131694635291748E-3</v>
      </c>
      <c r="JK35" s="14">
        <f t="shared" ca="1" si="15"/>
        <v>8.4138645075885511E-4</v>
      </c>
      <c r="JL35" s="17">
        <f t="shared" ca="1" si="18"/>
        <v>2.9006662178865997E-2</v>
      </c>
      <c r="JM35" s="15" t="str">
        <f t="shared" ca="1" si="16"/>
        <v>[ -5,27% ; 6,33% ]</v>
      </c>
      <c r="JN35" s="17">
        <f t="shared" ca="1" si="17"/>
        <v>3.7128527588948475E-2</v>
      </c>
      <c r="LY35" s="1"/>
    </row>
    <row r="36" spans="1:337" x14ac:dyDescent="0.25">
      <c r="A36" s="4">
        <v>7</v>
      </c>
      <c r="B36" s="9">
        <f ca="1">IF(OR(B9="",B$28&lt;$A36),"",B9/OFFSET(SSTotalESP!$A$2,MATCH(B$29,SSTotalESP!$A$2:$A$500)+$A36-1,1)-1)</f>
        <v>-1.1945213899047236E-3</v>
      </c>
      <c r="C36" s="9">
        <f ca="1">IF(OR(C9="",C$28&lt;$A36),"",C9/OFFSET(SSTotalESP!$A$2,MATCH(C$29,SSTotalESP!$A$2:$A$500)+$A36-1,1)-1)</f>
        <v>6.2030125263845548E-4</v>
      </c>
      <c r="D36" s="9">
        <f ca="1">IF(OR(D9="",D$28&lt;$A36),"",D9/OFFSET(SSTotalESP!$A$2,MATCH(D$29,SSTotalESP!$A$2:$A$500)+$A36-1,1)-1)</f>
        <v>1.152503955583084E-3</v>
      </c>
      <c r="E36" s="9">
        <f ca="1">IF(OR(E9="",E$28&lt;$A36),"",E9/OFFSET(SSTotalESP!$A$2,MATCH(E$29,SSTotalESP!$A$2:$A$500)+$A36-1,1)-1)</f>
        <v>4.2535542840016483E-4</v>
      </c>
      <c r="F36" s="9">
        <f ca="1">IF(OR(F9="",F$28&lt;$A36),"",F9/OFFSET(SSTotalESP!$A$2,MATCH(F$29,SSTotalESP!$A$2:$A$500)+$A36-1,1)-1)</f>
        <v>-6.5992638080036858E-4</v>
      </c>
      <c r="G36" s="9">
        <f ca="1">IF(OR(G9="",G$28&lt;$A36),"",G9/OFFSET(SSTotalESP!$A$2,MATCH(G$29,SSTotalESP!$A$2:$A$500)+$A36-1,1)-1)</f>
        <v>4.4644679096217388E-4</v>
      </c>
      <c r="H36" s="9">
        <f ca="1">IF(OR(H9="",H$28&lt;$A36),"",H9/OFFSET(SSTotalESP!$A$2,MATCH(H$29,SSTotalESP!$A$2:$A$500)+$A36-1,1)-1)</f>
        <v>-2.9172750246120316E-4</v>
      </c>
      <c r="I36" s="9">
        <f ca="1">IF(OR(I9="",I$28&lt;$A36),"",I9/OFFSET(SSTotalESP!$A$2,MATCH(I$29,SSTotalESP!$A$2:$A$500)+$A36-1,1)-1)</f>
        <v>-9.3001360848898873E-4</v>
      </c>
      <c r="J36" s="9">
        <f ca="1">IF(OR(J9="",J$28&lt;$A36),"",J9/OFFSET(SSTotalESP!$A$2,MATCH(J$29,SSTotalESP!$A$2:$A$500)+$A36-1,1)-1)</f>
        <v>-2.4773749928954647E-3</v>
      </c>
      <c r="K36" s="9">
        <f ca="1">IF(OR(K9="",K$28&lt;$A36),"",K9/OFFSET(SSTotalESP!$A$2,MATCH(K$29,SSTotalESP!$A$2:$A$500)+$A36-1,1)-1)</f>
        <v>-4.1877232348493942E-3</v>
      </c>
      <c r="L36" s="9">
        <f ca="1">IF(OR(L9="",L$28&lt;$A36),"",L9/OFFSET(SSTotalESP!$A$2,MATCH(L$29,SSTotalESP!$A$2:$A$500)+$A36-1,1)-1)</f>
        <v>-6.5785698004185988E-3</v>
      </c>
      <c r="M36" s="9">
        <f ca="1">IF(OR(M9="",M$28&lt;$A36),"",M9/OFFSET(SSTotalESP!$A$2,MATCH(M$29,SSTotalESP!$A$2:$A$500)+$A36-1,1)-1)</f>
        <v>-1.3921947317318883E-2</v>
      </c>
      <c r="N36" s="9">
        <f ca="1">IF(OR(N9="",N$28&lt;$A36),"",N9/OFFSET(SSTotalESP!$A$2,MATCH(N$29,SSTotalESP!$A$2:$A$500)+$A36-1,1)-1)</f>
        <v>-1.9310722431113869E-2</v>
      </c>
      <c r="O36" s="9">
        <f ca="1">IF(OR(O9="",O$28&lt;$A36),"",O9/OFFSET(SSTotalESP!$A$2,MATCH(O$29,SSTotalESP!$A$2:$A$500)+$A36-1,1)-1)</f>
        <v>-2.0472671866729408E-2</v>
      </c>
      <c r="P36" s="9">
        <f ca="1">IF(OR(P9="",P$28&lt;$A36),"",P9/OFFSET(SSTotalESP!$A$2,MATCH(P$29,SSTotalESP!$A$2:$A$500)+$A36-1,1)-1)</f>
        <v>-2.3433296761632749E-2</v>
      </c>
      <c r="Q36" s="9">
        <f ca="1">IF(OR(Q9="",Q$28&lt;$A36),"",Q9/OFFSET(SSTotalESP!$A$2,MATCH(Q$29,SSTotalESP!$A$2:$A$500)+$A36-1,1)-1)</f>
        <v>-2.5948111480689762E-2</v>
      </c>
      <c r="R36" s="9">
        <f ca="1">IF(OR(R9="",R$28&lt;$A36),"",R9/OFFSET(SSTotalESP!$A$2,MATCH(R$29,SSTotalESP!$A$2:$A$500)+$A36-1,1)-1)</f>
        <v>-2.410880765259904E-2</v>
      </c>
      <c r="S36" s="9">
        <f ca="1">IF(OR(S9="",S$28&lt;$A36),"",S9/OFFSET(SSTotalESP!$A$2,MATCH(S$29,SSTotalESP!$A$2:$A$500)+$A36-1,1)-1)</f>
        <v>-1.9953995181731909E-2</v>
      </c>
      <c r="T36" s="9">
        <f ca="1">IF(OR(T9="",T$28&lt;$A36),"",T9/OFFSET(SSTotalESP!$A$2,MATCH(T$29,SSTotalESP!$A$2:$A$500)+$A36-1,1)-1)</f>
        <v>-1.1872082340224854E-2</v>
      </c>
      <c r="U36" s="9">
        <f ca="1">IF(OR(U9="",U$28&lt;$A36),"",U9/OFFSET(SSTotalESP!$A$2,MATCH(U$29,SSTotalESP!$A$2:$A$500)+$A36-1,1)-1)</f>
        <v>-1.5519723749284342E-3</v>
      </c>
      <c r="V36" s="9">
        <f ca="1">IF(OR(V9="",V$28&lt;$A36),"",V9/OFFSET(SSTotalESP!$A$2,MATCH(V$29,SSTotalESP!$A$2:$A$500)+$A36-1,1)-1)</f>
        <v>8.6012655327647458E-3</v>
      </c>
      <c r="W36" s="9">
        <f ca="1">IF(OR(W9="",W$28&lt;$A36),"",W9/OFFSET(SSTotalESP!$A$2,MATCH(W$29,SSTotalESP!$A$2:$A$500)+$A36-1,1)-1)</f>
        <v>1.0894799727924731E-2</v>
      </c>
      <c r="X36" s="9">
        <f ca="1">IF(OR(X9="",X$28&lt;$A36),"",X9/OFFSET(SSTotalESP!$A$2,MATCH(X$29,SSTotalESP!$A$2:$A$500)+$A36-1,1)-1)</f>
        <v>9.9493743599867734E-3</v>
      </c>
      <c r="Y36" s="9">
        <f ca="1">IF(OR(Y9="",Y$28&lt;$A36),"",Y9/OFFSET(SSTotalESP!$A$2,MATCH(Y$29,SSTotalESP!$A$2:$A$500)+$A36-1,1)-1)</f>
        <v>7.7051624313630995E-3</v>
      </c>
      <c r="Z36" s="9">
        <f ca="1">IF(OR(Z9="",Z$28&lt;$A36),"",Z9/OFFSET(SSTotalESP!$A$2,MATCH(Z$29,SSTotalESP!$A$2:$A$500)+$A36-1,1)-1)</f>
        <v>1.1019125504008187E-2</v>
      </c>
      <c r="AA36" s="9">
        <f ca="1">IF(OR(AA9="",AA$28&lt;$A36),"",AA9/OFFSET(SSTotalESP!$A$2,MATCH(AA$29,SSTotalESP!$A$2:$A$500)+$A36-1,1)-1)</f>
        <v>1.5174586936816725E-2</v>
      </c>
      <c r="AB36" s="9">
        <f ca="1">IF(OR(AB9="",AB$28&lt;$A36),"",AB9/OFFSET(SSTotalESP!$A$2,MATCH(AB$29,SSTotalESP!$A$2:$A$500)+$A36-1,1)-1)</f>
        <v>9.4124839096432211E-3</v>
      </c>
      <c r="AC36" s="9">
        <f ca="1">IF(OR(AC9="",AC$28&lt;$A36),"",AC9/OFFSET(SSTotalESP!$A$2,MATCH(AC$29,SSTotalESP!$A$2:$A$500)+$A36-1,1)-1)</f>
        <v>1.5205715444226442E-2</v>
      </c>
      <c r="AD36" s="9">
        <f ca="1">IF(OR(AD9="",AD$28&lt;$A36),"",AD9/OFFSET(SSTotalESP!$A$2,MATCH(AD$29,SSTotalESP!$A$2:$A$500)+$A36-1,1)-1)</f>
        <v>1.0363797157671106E-2</v>
      </c>
      <c r="AE36" s="9">
        <f ca="1">IF(OR(AE9="",AE$28&lt;$A36),"",AE9/OFFSET(SSTotalESP!$A$2,MATCH(AE$29,SSTotalESP!$A$2:$A$500)+$A36-1,1)-1)</f>
        <v>5.6814050375597613E-3</v>
      </c>
      <c r="AF36" s="9">
        <f ca="1">IF(OR(AF9="",AF$28&lt;$A36),"",AF9/OFFSET(SSTotalESP!$A$2,MATCH(AF$29,SSTotalESP!$A$2:$A$500)+$A36-1,1)-1)</f>
        <v>-1.9684486388966693E-3</v>
      </c>
      <c r="AG36" s="9">
        <f ca="1">IF(OR(AG9="",AG$28&lt;$A36),"",AG9/OFFSET(SSTotalESP!$A$2,MATCH(AG$29,SSTotalESP!$A$2:$A$500)+$A36-1,1)-1)</f>
        <v>-2.9858250893693983E-3</v>
      </c>
      <c r="AH36" s="9">
        <f ca="1">IF(OR(AH9="",AH$28&lt;$A36),"",AH9/OFFSET(SSTotalESP!$A$2,MATCH(AH$29,SSTotalESP!$A$2:$A$500)+$A36-1,1)-1)</f>
        <v>-1.3354297633063394E-2</v>
      </c>
      <c r="AI36" s="9">
        <f ca="1">IF(OR(AI9="",AI$28&lt;$A36),"",AI9/OFFSET(SSTotalESP!$A$2,MATCH(AI$29,SSTotalESP!$A$2:$A$500)+$A36-1,1)-1)</f>
        <v>-3.6987204604573831E-3</v>
      </c>
      <c r="AJ36" s="9">
        <f ca="1">IF(OR(AJ9="",AJ$28&lt;$A36),"",AJ9/OFFSET(SSTotalESP!$A$2,MATCH(AJ$29,SSTotalESP!$A$2:$A$500)+$A36-1,1)-1)</f>
        <v>-7.3026836326739453E-4</v>
      </c>
      <c r="AK36" s="9">
        <f ca="1">IF(OR(AK9="",AK$28&lt;$A36),"",AK9/OFFSET(SSTotalESP!$A$2,MATCH(AK$29,SSTotalESP!$A$2:$A$500)+$A36-1,1)-1)</f>
        <v>5.359249799427479E-3</v>
      </c>
      <c r="AL36" s="9">
        <f ca="1">IF(OR(AL9="",AL$28&lt;$A36),"",AL9/OFFSET(SSTotalESP!$A$2,MATCH(AL$29,SSTotalESP!$A$2:$A$500)+$A36-1,1)-1)</f>
        <v>7.5772001312590653E-3</v>
      </c>
      <c r="AM36" s="9">
        <f ca="1">IF(OR(AM9="",AM$28&lt;$A36),"",AM9/OFFSET(SSTotalESP!$A$2,MATCH(AM$29,SSTotalESP!$A$2:$A$500)+$A36-1,1)-1)</f>
        <v>1.4345645224868475E-2</v>
      </c>
      <c r="AN36" s="9">
        <f ca="1">IF(OR(AN9="",AN$28&lt;$A36),"",AN9/OFFSET(SSTotalESP!$A$2,MATCH(AN$29,SSTotalESP!$A$2:$A$500)+$A36-1,1)-1)</f>
        <v>1.1496992227633562E-2</v>
      </c>
      <c r="AO36" s="9">
        <f ca="1">IF(OR(AO9="",AO$28&lt;$A36),"",AO9/OFFSET(SSTotalESP!$A$2,MATCH(AO$29,SSTotalESP!$A$2:$A$500)+$A36-1,1)-1)</f>
        <v>1.3917850740027271E-2</v>
      </c>
      <c r="AP36" s="9">
        <f ca="1">IF(OR(AP9="",AP$28&lt;$A36),"",AP9/OFFSET(SSTotalESP!$A$2,MATCH(AP$29,SSTotalESP!$A$2:$A$500)+$A36-1,1)-1)</f>
        <v>7.0879589745962424E-3</v>
      </c>
      <c r="AQ36" s="9">
        <f ca="1">IF(OR(AQ9="",AQ$28&lt;$A36),"",AQ9/OFFSET(SSTotalESP!$A$2,MATCH(AQ$29,SSTotalESP!$A$2:$A$500)+$A36-1,1)-1)</f>
        <v>8.2071231934168765E-3</v>
      </c>
      <c r="AR36" s="9">
        <f ca="1">IF(OR(AR9="",AR$28&lt;$A36),"",AR9/OFFSET(SSTotalESP!$A$2,MATCH(AR$29,SSTotalESP!$A$2:$A$500)+$A36-1,1)-1)</f>
        <v>5.1088873354914188E-3</v>
      </c>
      <c r="AS36" s="9">
        <f ca="1">IF(OR(AS9="",AS$28&lt;$A36),"",AS9/OFFSET(SSTotalESP!$A$2,MATCH(AS$29,SSTotalESP!$A$2:$A$500)+$A36-1,1)-1)</f>
        <v>6.7951470582454654E-3</v>
      </c>
      <c r="AT36" s="9">
        <f ca="1">IF(OR(AT9="",AT$28&lt;$A36),"",AT9/OFFSET(SSTotalESP!$A$2,MATCH(AT$29,SSTotalESP!$A$2:$A$500)+$A36-1,1)-1)</f>
        <v>4.9169234476948986E-3</v>
      </c>
      <c r="AU36" s="9">
        <f ca="1">IF(OR(AU9="",AU$28&lt;$A36),"",AU9/OFFSET(SSTotalESP!$A$2,MATCH(AU$29,SSTotalESP!$A$2:$A$500)+$A36-1,1)-1)</f>
        <v>1.0691870146760651E-2</v>
      </c>
      <c r="AV36" s="9">
        <f ca="1">IF(OR(AV9="",AV$28&lt;$A36),"",AV9/OFFSET(SSTotalESP!$A$2,MATCH(AV$29,SSTotalESP!$A$2:$A$500)+$A36-1,1)-1)</f>
        <v>1.8280375146520367E-2</v>
      </c>
      <c r="AW36" s="9">
        <f ca="1">IF(OR(AW9="",AW$28&lt;$A36),"",AW9/OFFSET(SSTotalESP!$A$2,MATCH(AW$29,SSTotalESP!$A$2:$A$500)+$A36-1,1)-1)</f>
        <v>2.3858787188426156E-2</v>
      </c>
      <c r="AX36" s="9">
        <f ca="1">IF(OR(AX9="",AX$28&lt;$A36),"",AX9/OFFSET(SSTotalESP!$A$2,MATCH(AX$29,SSTotalESP!$A$2:$A$500)+$A36-1,1)-1)</f>
        <v>2.8837350505390935E-2</v>
      </c>
      <c r="AY36" s="9">
        <f ca="1">IF(OR(AY9="",AY$28&lt;$A36),"",AY9/OFFSET(SSTotalESP!$A$2,MATCH(AY$29,SSTotalESP!$A$2:$A$500)+$A36-1,1)-1)</f>
        <v>2.8311177485631278E-2</v>
      </c>
      <c r="AZ36" s="9">
        <f ca="1">IF(OR(AZ9="",AZ$28&lt;$A36),"",AZ9/OFFSET(SSTotalESP!$A$2,MATCH(AZ$29,SSTotalESP!$A$2:$A$500)+$A36-1,1)-1)</f>
        <v>3.2064356049081644E-2</v>
      </c>
      <c r="BA36" s="9">
        <f ca="1">IF(OR(BA9="",BA$28&lt;$A36),"",BA9/OFFSET(SSTotalESP!$A$2,MATCH(BA$29,SSTotalESP!$A$2:$A$500)+$A36-1,1)-1)</f>
        <v>3.4335761181406133E-2</v>
      </c>
      <c r="BB36" s="9">
        <f ca="1">IF(OR(BB9="",BB$28&lt;$A36),"",BB9/OFFSET(SSTotalESP!$A$2,MATCH(BB$29,SSTotalESP!$A$2:$A$500)+$A36-1,1)-1)</f>
        <v>4.0122186796705428E-2</v>
      </c>
      <c r="BC36" s="9">
        <f ca="1">IF(OR(BC9="",BC$28&lt;$A36),"",BC9/OFFSET(SSTotalESP!$A$2,MATCH(BC$29,SSTotalESP!$A$2:$A$500)+$A36-1,1)-1)</f>
        <v>4.0836846165093421E-2</v>
      </c>
      <c r="BD36" s="9">
        <f ca="1">IF(OR(BD9="",BD$28&lt;$A36),"",BD9/OFFSET(SSTotalESP!$A$2,MATCH(BD$29,SSTotalESP!$A$2:$A$500)+$A36-1,1)-1)</f>
        <v>3.1544080634904992E-2</v>
      </c>
      <c r="BE36" s="9">
        <f ca="1">IF(OR(BE9="",BE$28&lt;$A36),"",BE9/OFFSET(SSTotalESP!$A$2,MATCH(BE$29,SSTotalESP!$A$2:$A$500)+$A36-1,1)-1)</f>
        <v>4.1398411259007561E-2</v>
      </c>
      <c r="BF36" s="9">
        <f ca="1">IF(OR(BF9="",BF$28&lt;$A36),"",BF9/OFFSET(SSTotalESP!$A$2,MATCH(BF$29,SSTotalESP!$A$2:$A$500)+$A36-1,1)-1)</f>
        <v>5.1582961343579203E-2</v>
      </c>
      <c r="BG36" s="9">
        <f ca="1">IF(OR(BG9="",BG$28&lt;$A36),"",BG9/OFFSET(SSTotalESP!$A$2,MATCH(BG$29,SSTotalESP!$A$2:$A$500)+$A36-1,1)-1)</f>
        <v>3.8667662337069197E-2</v>
      </c>
      <c r="BH36" s="9">
        <f ca="1">IF(OR(BH9="",BH$28&lt;$A36),"",BH9/OFFSET(SSTotalESP!$A$2,MATCH(BH$29,SSTotalESP!$A$2:$A$500)+$A36-1,1)-1)</f>
        <v>1.3622296368402953E-2</v>
      </c>
      <c r="BI36" s="9">
        <f ca="1">IF(OR(BI9="",BI$28&lt;$A36),"",BI9/OFFSET(SSTotalESP!$A$2,MATCH(BI$29,SSTotalESP!$A$2:$A$500)+$A36-1,1)-1)</f>
        <v>-1.5341742192000019E-2</v>
      </c>
      <c r="BJ36" s="9">
        <f ca="1">IF(OR(BJ9="",BJ$28&lt;$A36),"",BJ9/OFFSET(SSTotalESP!$A$2,MATCH(BJ$29,SSTotalESP!$A$2:$A$500)+$A36-1,1)-1)</f>
        <v>-1.0281808649150737E-2</v>
      </c>
      <c r="BK36" s="9">
        <f ca="1">IF(OR(BK9="",BK$28&lt;$A36),"",BK9/OFFSET(SSTotalESP!$A$2,MATCH(BK$29,SSTotalESP!$A$2:$A$500)+$A36-1,1)-1)</f>
        <v>-2.0232808785869194E-2</v>
      </c>
      <c r="BL36" s="9">
        <f ca="1">IF(OR(BL9="",BL$28&lt;$A36),"",BL9/OFFSET(SSTotalESP!$A$2,MATCH(BL$29,SSTotalESP!$A$2:$A$500)+$A36-1,1)-1)</f>
        <v>-3.5276109125893407E-2</v>
      </c>
      <c r="BM36" s="9">
        <f ca="1">IF(OR(BM9="",BM$28&lt;$A36),"",BM9/OFFSET(SSTotalESP!$A$2,MATCH(BM$29,SSTotalESP!$A$2:$A$500)+$A36-1,1)-1)</f>
        <v>-4.1647366676036413E-2</v>
      </c>
      <c r="BN36" s="9">
        <f ca="1">IF(OR(BN9="",BN$28&lt;$A36),"",BN9/OFFSET(SSTotalESP!$A$2,MATCH(BN$29,SSTotalESP!$A$2:$A$500)+$A36-1,1)-1)</f>
        <v>-2.6647348695836626E-2</v>
      </c>
      <c r="BO36" s="9">
        <f ca="1">IF(OR(BO9="",BO$28&lt;$A36),"",BO9/OFFSET(SSTotalESP!$A$2,MATCH(BO$29,SSTotalESP!$A$2:$A$500)+$A36-1,1)-1)</f>
        <v>-1.6109488168387531E-2</v>
      </c>
      <c r="BP36" s="9">
        <f ca="1">IF(OR(BP9="",BP$28&lt;$A36),"",BP9/OFFSET(SSTotalESP!$A$2,MATCH(BP$29,SSTotalESP!$A$2:$A$500)+$A36-1,1)-1)</f>
        <v>-1.6744063019491384E-2</v>
      </c>
      <c r="BQ36" s="9">
        <f ca="1">IF(OR(BQ9="",BQ$28&lt;$A36),"",BQ9/OFFSET(SSTotalESP!$A$2,MATCH(BQ$29,SSTotalESP!$A$2:$A$500)+$A36-1,1)-1)</f>
        <v>-1.7471409264438464E-2</v>
      </c>
      <c r="BR36" s="9">
        <f ca="1">IF(OR(BR9="",BR$28&lt;$A36),"",BR9/OFFSET(SSTotalESP!$A$2,MATCH(BR$29,SSTotalESP!$A$2:$A$500)+$A36-1,1)-1)</f>
        <v>2.9112270001292462E-3</v>
      </c>
      <c r="BS36" s="9">
        <f ca="1">IF(OR(BS9="",BS$28&lt;$A36),"",BS9/OFFSET(SSTotalESP!$A$2,MATCH(BS$29,SSTotalESP!$A$2:$A$500)+$A36-1,1)-1)</f>
        <v>-1.1332065095135624E-2</v>
      </c>
      <c r="BT36" s="9">
        <f ca="1">IF(OR(BT9="",BT$28&lt;$A36),"",BT9/OFFSET(SSTotalESP!$A$2,MATCH(BT$29,SSTotalESP!$A$2:$A$500)+$A36-1,1)-1)</f>
        <v>-9.3871650284585995E-3</v>
      </c>
      <c r="BU36" s="9">
        <f ca="1">IF(OR(BU9="",BU$28&lt;$A36),"",BU9/OFFSET(SSTotalESP!$A$2,MATCH(BU$29,SSTotalESP!$A$2:$A$500)+$A36-1,1)-1)</f>
        <v>-3.7318961602195166E-3</v>
      </c>
      <c r="BV36" s="9">
        <f ca="1">IF(OR(BV9="",BV$28&lt;$A36),"",BV9/OFFSET(SSTotalESP!$A$2,MATCH(BV$29,SSTotalESP!$A$2:$A$500)+$A36-1,1)-1)</f>
        <v>9.018134437183134E-3</v>
      </c>
      <c r="BW36" s="9">
        <f ca="1">IF(OR(BW9="",BW$28&lt;$A36),"",BW9/OFFSET(SSTotalESP!$A$2,MATCH(BW$29,SSTotalESP!$A$2:$A$500)+$A36-1,1)-1)</f>
        <v>-2.9449675965071975E-3</v>
      </c>
      <c r="BX36" s="9">
        <f ca="1">IF(OR(BX9="",BX$28&lt;$A36),"",BX9/OFFSET(SSTotalESP!$A$2,MATCH(BX$29,SSTotalESP!$A$2:$A$500)+$A36-1,1)-1)</f>
        <v>-6.4432318766308727E-3</v>
      </c>
      <c r="BY36" s="9">
        <f ca="1">IF(OR(BY9="",BY$28&lt;$A36),"",BY9/OFFSET(SSTotalESP!$A$2,MATCH(BY$29,SSTotalESP!$A$2:$A$500)+$A36-1,1)-1)</f>
        <v>-7.5389063740450846E-3</v>
      </c>
      <c r="BZ36" s="9">
        <f ca="1">IF(OR(BZ9="",BZ$28&lt;$A36),"",BZ9/OFFSET(SSTotalESP!$A$2,MATCH(BZ$29,SSTotalESP!$A$2:$A$500)+$A36-1,1)-1)</f>
        <v>-1.9813764468823436E-4</v>
      </c>
      <c r="CA36" s="9">
        <f ca="1">IF(OR(CA9="",CA$28&lt;$A36),"",CA9/OFFSET(SSTotalESP!$A$2,MATCH(CA$29,SSTotalESP!$A$2:$A$500)+$A36-1,1)-1)</f>
        <v>-3.7535845802970647E-3</v>
      </c>
      <c r="CB36" s="9">
        <f ca="1">IF(OR(CB9="",CB$28&lt;$A36),"",CB9/OFFSET(SSTotalESP!$A$2,MATCH(CB$29,SSTotalESP!$A$2:$A$500)+$A36-1,1)-1)</f>
        <v>-5.8793187081186415E-3</v>
      </c>
      <c r="CC36" s="9">
        <f ca="1">IF(OR(CC9="",CC$28&lt;$A36),"",CC9/OFFSET(SSTotalESP!$A$2,MATCH(CC$29,SSTotalESP!$A$2:$A$500)+$A36-1,1)-1)</f>
        <v>-5.3158344180672668E-3</v>
      </c>
      <c r="CD36" s="9">
        <f ca="1">IF(OR(CD9="",CD$28&lt;$A36),"",CD9/OFFSET(SSTotalESP!$A$2,MATCH(CD$29,SSTotalESP!$A$2:$A$500)+$A36-1,1)-1)</f>
        <v>4.3916949794096105E-3</v>
      </c>
      <c r="CE36" s="9">
        <f ca="1">IF(OR(CE9="",CE$28&lt;$A36),"",CE9/OFFSET(SSTotalESP!$A$2,MATCH(CE$29,SSTotalESP!$A$2:$A$500)+$A36-1,1)-1)</f>
        <v>2.5154419007511475E-3</v>
      </c>
      <c r="CF36" s="9">
        <f ca="1">IF(OR(CF9="",CF$28&lt;$A36),"",CF9/OFFSET(SSTotalESP!$A$2,MATCH(CF$29,SSTotalESP!$A$2:$A$500)+$A36-1,1)-1)</f>
        <v>7.2119045763829881E-4</v>
      </c>
      <c r="CG36" s="9">
        <f ca="1">IF(OR(CG9="",CG$28&lt;$A36),"",CG9/OFFSET(SSTotalESP!$A$2,MATCH(CG$29,SSTotalESP!$A$2:$A$500)+$A36-1,1)-1)</f>
        <v>7.9862669042207735E-4</v>
      </c>
      <c r="CH36" s="9">
        <f ca="1">IF(OR(CH9="",CH$28&lt;$A36),"",CH9/OFFSET(SSTotalESP!$A$2,MATCH(CH$29,SSTotalESP!$A$2:$A$500)+$A36-1,1)-1)</f>
        <v>8.849783097776065E-3</v>
      </c>
      <c r="CI36" s="9">
        <f ca="1">IF(OR(CI9="",CI$28&lt;$A36),"",CI9/OFFSET(SSTotalESP!$A$2,MATCH(CI$29,SSTotalESP!$A$2:$A$500)+$A36-1,1)-1)</f>
        <v>7.6509088504443934E-3</v>
      </c>
      <c r="CJ36" s="9">
        <f ca="1">IF(OR(CJ9="",CJ$28&lt;$A36),"",CJ9/OFFSET(SSTotalESP!$A$2,MATCH(CJ$29,SSTotalESP!$A$2:$A$500)+$A36-1,1)-1)</f>
        <v>-9.2618617085101773E-3</v>
      </c>
      <c r="CK36" s="9">
        <f ca="1">IF(OR(CK9="",CK$28&lt;$A36),"",CK9/OFFSET(SSTotalESP!$A$2,MATCH(CK$29,SSTotalESP!$A$2:$A$500)+$A36-1,1)-1)</f>
        <v>6.2036024062270823E-3</v>
      </c>
      <c r="CL36" s="9">
        <f ca="1">IF(OR(CL9="",CL$28&lt;$A36),"",CL9/OFFSET(SSTotalESP!$A$2,MATCH(CL$29,SSTotalESP!$A$2:$A$500)+$A36-1,1)-1)</f>
        <v>1.7366459812977242E-2</v>
      </c>
      <c r="CM36" s="9">
        <f ca="1">IF(OR(CM9="",CM$28&lt;$A36),"",CM9/OFFSET(SSTotalESP!$A$2,MATCH(CM$29,SSTotalESP!$A$2:$A$500)+$A36-1,1)-1)</f>
        <v>1.1362429005222552E-2</v>
      </c>
      <c r="CN36" s="9">
        <f ca="1">IF(OR(CN9="",CN$28&lt;$A36),"",CN9/OFFSET(SSTotalESP!$A$2,MATCH(CN$29,SSTotalESP!$A$2:$A$500)+$A36-1,1)-1)</f>
        <v>4.3314664927494029E-3</v>
      </c>
      <c r="CO36" s="9">
        <f ca="1">IF(OR(CO9="",CO$28&lt;$A36),"",CO9/OFFSET(SSTotalESP!$A$2,MATCH(CO$29,SSTotalESP!$A$2:$A$500)+$A36-1,1)-1)</f>
        <v>1.0177092560094803E-2</v>
      </c>
      <c r="CP36" s="9">
        <f ca="1">IF(OR(CP9="",CP$28&lt;$A36),"",CP9/OFFSET(SSTotalESP!$A$2,MATCH(CP$29,SSTotalESP!$A$2:$A$500)+$A36-1,1)-1)</f>
        <v>1.4322541996110827E-2</v>
      </c>
      <c r="CQ36" s="9">
        <f ca="1">IF(OR(CQ9="",CQ$28&lt;$A36),"",CQ9/OFFSET(SSTotalESP!$A$2,MATCH(CQ$29,SSTotalESP!$A$2:$A$500)+$A36-1,1)-1)</f>
        <v>1.3550404035720387E-2</v>
      </c>
      <c r="CR36" s="9">
        <f ca="1">IF(OR(CR9="",CR$28&lt;$A36),"",CR9/OFFSET(SSTotalESP!$A$2,MATCH(CR$29,SSTotalESP!$A$2:$A$500)+$A36-1,1)-1)</f>
        <v>2.1204436176027741E-3</v>
      </c>
      <c r="CS36" s="9">
        <f ca="1">IF(OR(CS9="",CS$28&lt;$A36),"",CS9/OFFSET(SSTotalESP!$A$2,MATCH(CS$29,SSTotalESP!$A$2:$A$500)+$A36-1,1)-1)</f>
        <v>-1.2462548884523139E-3</v>
      </c>
      <c r="CT36" s="9">
        <f ca="1">IF(OR(CT9="",CT$28&lt;$A36),"",CT9/OFFSET(SSTotalESP!$A$2,MATCH(CT$29,SSTotalESP!$A$2:$A$500)+$A36-1,1)-1)</f>
        <v>1.7779640029379484E-2</v>
      </c>
      <c r="CU36" s="9">
        <f ca="1">IF(OR(CU9="",CU$28&lt;$A36),"",CU9/OFFSET(SSTotalESP!$A$2,MATCH(CU$29,SSTotalESP!$A$2:$A$500)+$A36-1,1)-1)</f>
        <v>6.4376674717321336E-3</v>
      </c>
      <c r="CV36" s="9">
        <f ca="1">IF(OR(CV9="",CV$28&lt;$A36),"",CV9/OFFSET(SSTotalESP!$A$2,MATCH(CV$29,SSTotalESP!$A$2:$A$500)+$A36-1,1)-1)</f>
        <v>-1.6888879544907365E-3</v>
      </c>
      <c r="CW36" s="9">
        <f ca="1">IF(OR(CW9="",CW$28&lt;$A36),"",CW9/OFFSET(SSTotalESP!$A$2,MATCH(CW$29,SSTotalESP!$A$2:$A$500)+$A36-1,1)-1)</f>
        <v>3.258555614533698E-4</v>
      </c>
      <c r="CX36" s="9">
        <f ca="1">IF(OR(CX9="",CX$28&lt;$A36),"",CX9/OFFSET(SSTotalESP!$A$2,MATCH(CX$29,SSTotalESP!$A$2:$A$500)+$A36-1,1)-1)</f>
        <v>1.4953093956269203E-3</v>
      </c>
      <c r="CY36" s="9">
        <f ca="1">IF(OR(CY9="",CY$28&lt;$A36),"",CY9/OFFSET(SSTotalESP!$A$2,MATCH(CY$29,SSTotalESP!$A$2:$A$500)+$A36-1,1)-1)</f>
        <v>6.3597356453528597E-3</v>
      </c>
      <c r="CZ36" s="9">
        <f ca="1">IF(OR(CZ9="",CZ$28&lt;$A36),"",CZ9/OFFSET(SSTotalESP!$A$2,MATCH(CZ$29,SSTotalESP!$A$2:$A$500)+$A36-1,1)-1)</f>
        <v>2.1108765679331842E-2</v>
      </c>
      <c r="DA36" s="9">
        <f ca="1">IF(OR(DA9="",DA$28&lt;$A36),"",DA9/OFFSET(SSTotalESP!$A$2,MATCH(DA$29,SSTotalESP!$A$2:$A$500)+$A36-1,1)-1)</f>
        <v>6.1682401532656694E-3</v>
      </c>
      <c r="DB36" s="9">
        <f ca="1">IF(OR(DB9="",DB$28&lt;$A36),"",DB9/OFFSET(SSTotalESP!$A$2,MATCH(DB$29,SSTotalESP!$A$2:$A$500)+$A36-1,1)-1)</f>
        <v>1.1314564970624552E-2</v>
      </c>
      <c r="DC36" s="9">
        <f ca="1">IF(OR(DC9="",DC$28&lt;$A36),"",DC9/OFFSET(SSTotalESP!$A$2,MATCH(DC$29,SSTotalESP!$A$2:$A$500)+$A36-1,1)-1)</f>
        <v>6.6060284324978014E-3</v>
      </c>
      <c r="DD36" s="9">
        <f ca="1">IF(OR(DD9="",DD$28&lt;$A36),"",DD9/OFFSET(SSTotalESP!$A$2,MATCH(DD$29,SSTotalESP!$A$2:$A$500)+$A36-1,1)-1)</f>
        <v>2.016913112714791E-3</v>
      </c>
      <c r="DE36" s="9">
        <f ca="1">IF(OR(DE9="",DE$28&lt;$A36),"",DE9/OFFSET(SSTotalESP!$A$2,MATCH(DE$29,SSTotalESP!$A$2:$A$500)+$A36-1,1)-1)</f>
        <v>-2.492310318541946E-2</v>
      </c>
      <c r="DF36" s="9">
        <f ca="1">IF(OR(DF9="",DF$28&lt;$A36),"",DF9/OFFSET(SSTotalESP!$A$2,MATCH(DF$29,SSTotalESP!$A$2:$A$500)+$A36-1,1)-1)</f>
        <v>-1.6314423591628047E-2</v>
      </c>
      <c r="DG36" s="9">
        <f ca="1">IF(OR(DG9="",DG$28&lt;$A36),"",DG9/OFFSET(SSTotalESP!$A$2,MATCH(DG$29,SSTotalESP!$A$2:$A$500)+$A36-1,1)-1)</f>
        <v>-1.0112729661694186E-2</v>
      </c>
      <c r="DH36" s="9">
        <f ca="1">IF(OR(DH9="",DH$28&lt;$A36),"",DH9/OFFSET(SSTotalESP!$A$2,MATCH(DH$29,SSTotalESP!$A$2:$A$500)+$A36-1,1)-1)</f>
        <v>-1.3323849630286877E-2</v>
      </c>
      <c r="DI36" s="9">
        <f ca="1">IF(OR(DI9="",DI$28&lt;$A36),"",DI9/OFFSET(SSTotalESP!$A$2,MATCH(DI$29,SSTotalESP!$A$2:$A$500)+$A36-1,1)-1)</f>
        <v>-1.5694180601482532E-2</v>
      </c>
      <c r="DJ36" s="9">
        <f ca="1">IF(OR(DJ9="",DJ$28&lt;$A36),"",DJ9/OFFSET(SSTotalESP!$A$2,MATCH(DJ$29,SSTotalESP!$A$2:$A$500)+$A36-1,1)-1)</f>
        <v>-1.9661027946672238E-2</v>
      </c>
      <c r="DK36" s="9">
        <f ca="1">IF(OR(DK9="",DK$28&lt;$A36),"",DK9/OFFSET(SSTotalESP!$A$2,MATCH(DK$29,SSTotalESP!$A$2:$A$500)+$A36-1,1)-1)</f>
        <v>-1.9089502060385843E-2</v>
      </c>
      <c r="DL36" s="9">
        <f ca="1">IF(OR(DL9="",DL$28&lt;$A36),"",DL9/OFFSET(SSTotalESP!$A$2,MATCH(DL$29,SSTotalESP!$A$2:$A$500)+$A36-1,1)-1)</f>
        <v>-2.6382981776284731E-2</v>
      </c>
      <c r="DM36" s="9">
        <f ca="1">IF(OR(DM9="",DM$28&lt;$A36),"",DM9/OFFSET(SSTotalESP!$A$2,MATCH(DM$29,SSTotalESP!$A$2:$A$500)+$A36-1,1)-1)</f>
        <v>-2.9582707561191635E-2</v>
      </c>
      <c r="DN36" s="9">
        <f ca="1">IF(OR(DN9="",DN$28&lt;$A36),"",DN9/OFFSET(SSTotalESP!$A$2,MATCH(DN$29,SSTotalESP!$A$2:$A$500)+$A36-1,1)-1)</f>
        <v>-2.4037604705929971E-2</v>
      </c>
      <c r="DO36" s="9">
        <f ca="1">IF(OR(DO9="",DO$28&lt;$A36),"",DO9/OFFSET(SSTotalESP!$A$2,MATCH(DO$29,SSTotalESP!$A$2:$A$500)+$A36-1,1)-1)</f>
        <v>-2.1637775995374531E-2</v>
      </c>
      <c r="DP36" s="9">
        <f ca="1">IF(OR(DP9="",DP$28&lt;$A36),"",DP9/OFFSET(SSTotalESP!$A$2,MATCH(DP$29,SSTotalESP!$A$2:$A$500)+$A36-1,1)-1)</f>
        <v>-1.1863180176382437E-2</v>
      </c>
      <c r="DQ36" s="9">
        <f ca="1">IF(OR(DQ9="",DQ$28&lt;$A36),"",DQ9/OFFSET(SSTotalESP!$A$2,MATCH(DQ$29,SSTotalESP!$A$2:$A$500)+$A36-1,1)-1)</f>
        <v>-1.1473186462841789E-2</v>
      </c>
      <c r="DR36" s="9">
        <f ca="1">IF(OR(DR9="",DR$28&lt;$A36),"",DR9/OFFSET(SSTotalESP!$A$2,MATCH(DR$29,SSTotalESP!$A$2:$A$500)+$A36-1,1)-1)</f>
        <v>3.1591233727066292E-3</v>
      </c>
      <c r="DS36" s="9">
        <f ca="1">IF(OR(DS9="",DS$28&lt;$A36),"",DS9/OFFSET(SSTotalESP!$A$2,MATCH(DS$29,SSTotalESP!$A$2:$A$500)+$A36-1,1)-1)</f>
        <v>-4.0740316831232581E-3</v>
      </c>
      <c r="DT36" s="9">
        <f ca="1">IF(OR(DT9="",DT$28&lt;$A36),"",DT9/OFFSET(SSTotalESP!$A$2,MATCH(DT$29,SSTotalESP!$A$2:$A$500)+$A36-1,1)-1)</f>
        <v>-6.7676349528985602E-3</v>
      </c>
      <c r="DU36" s="9">
        <f ca="1">IF(OR(DU9="",DU$28&lt;$A36),"",DU9/OFFSET(SSTotalESP!$A$2,MATCH(DU$29,SSTotalESP!$A$2:$A$500)+$A36-1,1)-1)</f>
        <v>-6.1338173063493207E-3</v>
      </c>
      <c r="DV36" s="9">
        <f ca="1">IF(OR(DV9="",DV$28&lt;$A36),"",DV9/OFFSET(SSTotalESP!$A$2,MATCH(DV$29,SSTotalESP!$A$2:$A$500)+$A36-1,1)-1)</f>
        <v>-1.7977731610296921E-4</v>
      </c>
      <c r="DW36" s="9">
        <f ca="1">IF(OR(DW9="",DW$28&lt;$A36),"",DW9/OFFSET(SSTotalESP!$A$2,MATCH(DW$29,SSTotalESP!$A$2:$A$500)+$A36-1,1)-1)</f>
        <v>-1.0835879817387983E-3</v>
      </c>
      <c r="DX36" s="9">
        <f ca="1">IF(OR(DX9="",DX$28&lt;$A36),"",DX9/OFFSET(SSTotalESP!$A$2,MATCH(DX$29,SSTotalESP!$A$2:$A$500)+$A36-1,1)-1)</f>
        <v>-7.9233775490560321E-3</v>
      </c>
      <c r="DY36" s="9">
        <f ca="1">IF(OR(DY9="",DY$28&lt;$A36),"",DY9/OFFSET(SSTotalESP!$A$2,MATCH(DY$29,SSTotalESP!$A$2:$A$500)+$A36-1,1)-1)</f>
        <v>-1.1671397521293869E-2</v>
      </c>
      <c r="DZ36" s="9">
        <f ca="1">IF(OR(DZ9="",DZ$28&lt;$A36),"",DZ9/OFFSET(SSTotalESP!$A$2,MATCH(DZ$29,SSTotalESP!$A$2:$A$500)+$A36-1,1)-1)</f>
        <v>-1.8782830921067584E-2</v>
      </c>
      <c r="EA36" s="9">
        <f ca="1">IF(OR(EA9="",EA$28&lt;$A36),"",EA9/OFFSET(SSTotalESP!$A$2,MATCH(EA$29,SSTotalESP!$A$2:$A$500)+$A36-1,1)-1)</f>
        <v>-1.5380470628513665E-2</v>
      </c>
      <c r="EB36" s="9">
        <f ca="1">IF(OR(EB9="",EB$28&lt;$A36),"",EB9/OFFSET(SSTotalESP!$A$2,MATCH(EB$29,SSTotalESP!$A$2:$A$500)+$A36-1,1)-1)</f>
        <v>-2.3252079339107223E-2</v>
      </c>
      <c r="EC36" s="9">
        <f ca="1">IF(OR(EC9="",EC$28&lt;$A36),"",EC9/OFFSET(SSTotalESP!$A$2,MATCH(EC$29,SSTotalESP!$A$2:$A$500)+$A36-1,1)-1)</f>
        <v>-3.8351117848363092E-3</v>
      </c>
      <c r="ED36" s="9">
        <f ca="1">IF(OR(ED9="",ED$28&lt;$A36),"",ED9/OFFSET(SSTotalESP!$A$2,MATCH(ED$29,SSTotalESP!$A$2:$A$500)+$A36-1,1)-1)</f>
        <v>1.1113186359976712E-3</v>
      </c>
      <c r="EE36" s="9">
        <f ca="1">IF(OR(EE9="",EE$28&lt;$A36),"",EE9/OFFSET(SSTotalESP!$A$2,MATCH(EE$29,SSTotalESP!$A$2:$A$500)+$A36-1,1)-1)</f>
        <v>-5.6278743944189191E-3</v>
      </c>
      <c r="EF36" s="9">
        <f ca="1">IF(OR(EF9="",EF$28&lt;$A36),"",EF9/OFFSET(SSTotalESP!$A$2,MATCH(EF$29,SSTotalESP!$A$2:$A$500)+$A36-1,1)-1)</f>
        <v>3.0550292656470468E-3</v>
      </c>
      <c r="EG36" s="9">
        <f ca="1">IF(OR(EG9="",EG$28&lt;$A36),"",EG9/OFFSET(SSTotalESP!$A$2,MATCH(EG$29,SSTotalESP!$A$2:$A$500)+$A36-1,1)-1)</f>
        <v>1.4747102391531541E-2</v>
      </c>
      <c r="EH36" s="9">
        <f ca="1">IF(OR(EH9="",EH$28&lt;$A36),"",EH9/OFFSET(SSTotalESP!$A$2,MATCH(EH$29,SSTotalESP!$A$2:$A$500)+$A36-1,1)-1)</f>
        <v>1.5764716652711508E-2</v>
      </c>
      <c r="EI36" s="9">
        <f ca="1">IF(OR(EI9="",EI$28&lt;$A36),"",EI9/OFFSET(SSTotalESP!$A$2,MATCH(EI$29,SSTotalESP!$A$2:$A$500)+$A36-1,1)-1)</f>
        <v>1.0802112089372873E-2</v>
      </c>
      <c r="EJ36" s="9">
        <f ca="1">IF(OR(EJ9="",EJ$28&lt;$A36),"",EJ9/OFFSET(SSTotalESP!$A$2,MATCH(EJ$29,SSTotalESP!$A$2:$A$500)+$A36-1,1)-1)</f>
        <v>-2.0231737721292387E-3</v>
      </c>
      <c r="EK36" s="9">
        <f ca="1">IF(OR(EK9="",EK$28&lt;$A36),"",EK9/OFFSET(SSTotalESP!$A$2,MATCH(EK$29,SSTotalESP!$A$2:$A$500)+$A36-1,1)-1)</f>
        <v>-7.5001684193165552E-4</v>
      </c>
      <c r="EL36" s="9">
        <f ca="1">IF(OR(EL9="",EL$28&lt;$A36),"",EL9/OFFSET(SSTotalESP!$A$2,MATCH(EL$29,SSTotalESP!$A$2:$A$500)+$A36-1,1)-1)</f>
        <v>-1.0524365092525745E-2</v>
      </c>
      <c r="EM36" s="9">
        <f ca="1">IF(OR(EM9="",EM$28&lt;$A36),"",EM9/OFFSET(SSTotalESP!$A$2,MATCH(EM$29,SSTotalESP!$A$2:$A$500)+$A36-1,1)-1)</f>
        <v>-5.511402749792671E-3</v>
      </c>
      <c r="EN36" s="9">
        <f ca="1">IF(OR(EN9="",EN$28&lt;$A36),"",EN9/OFFSET(SSTotalESP!$A$2,MATCH(EN$29,SSTotalESP!$A$2:$A$500)+$A36-1,1)-1)</f>
        <v>-5.325426093952812E-3</v>
      </c>
      <c r="EO36" s="9">
        <f ca="1">IF(OR(EO9="",EO$28&lt;$A36),"",EO9/OFFSET(SSTotalESP!$A$2,MATCH(EO$29,SSTotalESP!$A$2:$A$500)+$A36-1,1)-1)</f>
        <v>-3.2959254441848884E-3</v>
      </c>
      <c r="EP36" s="9">
        <f ca="1">IF(OR(EP9="",EP$28&lt;$A36),"",EP9/OFFSET(SSTotalESP!$A$2,MATCH(EP$29,SSTotalESP!$A$2:$A$500)+$A36-1,1)-1)</f>
        <v>4.8660517277410165E-4</v>
      </c>
      <c r="EQ36" s="9">
        <f ca="1">IF(OR(EQ9="",EQ$28&lt;$A36),"",EQ9/OFFSET(SSTotalESP!$A$2,MATCH(EQ$29,SSTotalESP!$A$2:$A$500)+$A36-1,1)-1)</f>
        <v>-3.2360730487838163E-3</v>
      </c>
      <c r="ER36" s="9">
        <f ca="1">IF(OR(ER9="",ER$28&lt;$A36),"",ER9/OFFSET(SSTotalESP!$A$2,MATCH(ER$29,SSTotalESP!$A$2:$A$500)+$A36-1,1)-1)</f>
        <v>-6.3460823703671565E-3</v>
      </c>
      <c r="ES36" s="9">
        <f ca="1">IF(OR(ES9="",ES$28&lt;$A36),"",ES9/OFFSET(SSTotalESP!$A$2,MATCH(ES$29,SSTotalESP!$A$2:$A$500)+$A36-1,1)-1)</f>
        <v>-7.6951316793097968E-3</v>
      </c>
      <c r="ET36" s="9">
        <f ca="1">IF(OR(ET9="",ET$28&lt;$A36),"",ET9/OFFSET(SSTotalESP!$A$2,MATCH(ET$29,SSTotalESP!$A$2:$A$500)+$A36-1,1)-1)</f>
        <v>-5.7929175366819852E-3</v>
      </c>
      <c r="EU36" s="9">
        <f ca="1">IF(OR(EU9="",EU$28&lt;$A36),"",EU9/OFFSET(SSTotalESP!$A$2,MATCH(EU$29,SSTotalESP!$A$2:$A$500)+$A36-1,1)-1)</f>
        <v>-5.8001419597433213E-3</v>
      </c>
      <c r="EV36" s="9">
        <f ca="1">IF(OR(EV9="",EV$28&lt;$A36),"",EV9/OFFSET(SSTotalESP!$A$2,MATCH(EV$29,SSTotalESP!$A$2:$A$500)+$A36-1,1)-1)</f>
        <v>4.5709945156329201E-3</v>
      </c>
      <c r="EW36" s="9">
        <f ca="1">IF(OR(EW9="",EW$28&lt;$A36),"",EW9/OFFSET(SSTotalESP!$A$2,MATCH(EW$29,SSTotalESP!$A$2:$A$500)+$A36-1,1)-1)</f>
        <v>1.3234129100196945E-3</v>
      </c>
      <c r="EX36" s="9">
        <f ca="1">IF(OR(EX9="",EX$28&lt;$A36),"",EX9/OFFSET(SSTotalESP!$A$2,MATCH(EX$29,SSTotalESP!$A$2:$A$500)+$A36-1,1)-1)</f>
        <v>-1.06793493675994E-2</v>
      </c>
      <c r="EY36" s="9">
        <f ca="1">IF(OR(EY9="",EY$28&lt;$A36),"",EY9/OFFSET(SSTotalESP!$A$2,MATCH(EY$29,SSTotalESP!$A$2:$A$500)+$A36-1,1)-1)</f>
        <v>-1.2647746292072548E-2</v>
      </c>
      <c r="EZ36" s="9">
        <f ca="1">IF(OR(EZ9="",EZ$28&lt;$A36),"",EZ9/OFFSET(SSTotalESP!$A$2,MATCH(EZ$29,SSTotalESP!$A$2:$A$500)+$A36-1,1)-1)</f>
        <v>-5.3979046337970793E-4</v>
      </c>
      <c r="FA36" s="9">
        <f ca="1">IF(OR(FA9="",FA$28&lt;$A36),"",FA9/OFFSET(SSTotalESP!$A$2,MATCH(FA$29,SSTotalESP!$A$2:$A$500)+$A36-1,1)-1)</f>
        <v>-1.1335454517706678E-2</v>
      </c>
      <c r="FB36" s="9">
        <f ca="1">IF(OR(FB9="",FB$28&lt;$A36),"",FB9/OFFSET(SSTotalESP!$A$2,MATCH(FB$29,SSTotalESP!$A$2:$A$500)+$A36-1,1)-1)</f>
        <v>-7.9866579118879066E-3</v>
      </c>
      <c r="FC36" s="9">
        <f ca="1">IF(OR(FC9="",FC$28&lt;$A36),"",FC9/OFFSET(SSTotalESP!$A$2,MATCH(FC$29,SSTotalESP!$A$2:$A$500)+$A36-1,1)-1)</f>
        <v>-2.2575501390806885E-3</v>
      </c>
      <c r="FD36" s="9">
        <f ca="1">IF(OR(FD9="",FD$28&lt;$A36),"",FD9/OFFSET(SSTotalESP!$A$2,MATCH(FD$29,SSTotalESP!$A$2:$A$500)+$A36-1,1)-1)</f>
        <v>-2.8547821389564021E-3</v>
      </c>
      <c r="FE36" s="9">
        <f ca="1">IF(OR(FE9="",FE$28&lt;$A36),"",FE9/OFFSET(SSTotalESP!$A$2,MATCH(FE$29,SSTotalESP!$A$2:$A$500)+$A36-1,1)-1)</f>
        <v>1.7665684745480359E-3</v>
      </c>
      <c r="FF36" s="9">
        <f ca="1">IF(OR(FF9="",FF$28&lt;$A36),"",FF9/OFFSET(SSTotalESP!$A$2,MATCH(FF$29,SSTotalESP!$A$2:$A$500)+$A36-1,1)-1)</f>
        <v>9.515759915795563E-3</v>
      </c>
      <c r="FG36" s="9">
        <f ca="1">IF(OR(FG9="",FG$28&lt;$A36),"",FG9/OFFSET(SSTotalESP!$A$2,MATCH(FG$29,SSTotalESP!$A$2:$A$500)+$A36-1,1)-1)</f>
        <v>8.4444838635495678E-3</v>
      </c>
      <c r="FH36" s="9">
        <f ca="1">IF(OR(FH9="",FH$28&lt;$A36),"",FH9/OFFSET(SSTotalESP!$A$2,MATCH(FH$29,SSTotalESP!$A$2:$A$500)+$A36-1,1)-1)</f>
        <v>4.9732179056649617E-3</v>
      </c>
      <c r="FI36" s="9">
        <f ca="1">IF(OR(FI9="",FI$28&lt;$A36),"",FI9/OFFSET(SSTotalESP!$A$2,MATCH(FI$29,SSTotalESP!$A$2:$A$500)+$A36-1,1)-1)</f>
        <v>-2.8407280029032478E-3</v>
      </c>
      <c r="FJ36" s="9">
        <f ca="1">IF(OR(FJ9="",FJ$28&lt;$A36),"",FJ9/OFFSET(SSTotalESP!$A$2,MATCH(FJ$29,SSTotalESP!$A$2:$A$500)+$A36-1,1)-1)</f>
        <v>-1.0018969762961794E-2</v>
      </c>
      <c r="FK36" s="9">
        <f ca="1">IF(OR(FK9="",FK$28&lt;$A36),"",FK9/OFFSET(SSTotalESP!$A$2,MATCH(FK$29,SSTotalESP!$A$2:$A$500)+$A36-1,1)-1)</f>
        <v>-4.3263938328401697E-3</v>
      </c>
      <c r="FL36" s="9">
        <f ca="1">IF(OR(FL9="",FL$28&lt;$A36),"",FL9/OFFSET(SSTotalESP!$A$2,MATCH(FL$29,SSTotalESP!$A$2:$A$500)+$A36-1,1)-1)</f>
        <v>-3.7033571614031313E-4</v>
      </c>
      <c r="FM36" s="9">
        <f ca="1">IF(OR(FM9="",FM$28&lt;$A36),"",FM9/OFFSET(SSTotalESP!$A$2,MATCH(FM$29,SSTotalESP!$A$2:$A$500)+$A36-1,1)-1)</f>
        <v>-5.1807981847107332E-4</v>
      </c>
      <c r="FN36" s="9">
        <f ca="1">IF(OR(FN9="",FN$28&lt;$A36),"",FN9/OFFSET(SSTotalESP!$A$2,MATCH(FN$29,SSTotalESP!$A$2:$A$500)+$A36-1,1)-1)</f>
        <v>-4.0501582615081189E-3</v>
      </c>
      <c r="FO36" s="9">
        <f ca="1">IF(OR(FO9="",FO$28&lt;$A36),"",FO9/OFFSET(SSTotalESP!$A$2,MATCH(FO$29,SSTotalESP!$A$2:$A$500)+$A36-1,1)-1)</f>
        <v>1.6361156269508736E-3</v>
      </c>
      <c r="FP36" s="9">
        <f ca="1">IF(OR(FP9="",FP$28&lt;$A36),"",FP9/OFFSET(SSTotalESP!$A$2,MATCH(FP$29,SSTotalESP!$A$2:$A$500)+$A36-1,1)-1)</f>
        <v>3.0941064576917032E-3</v>
      </c>
      <c r="FQ36" s="9">
        <f ca="1">IF(OR(FQ9="",FQ$28&lt;$A36),"",FQ9/OFFSET(SSTotalESP!$A$2,MATCH(FQ$29,SSTotalESP!$A$2:$A$500)+$A36-1,1)-1)</f>
        <v>-2.2484946100244096E-3</v>
      </c>
      <c r="FR36" s="9">
        <f ca="1">IF(OR(FR9="",FR$28&lt;$A36),"",FR9/OFFSET(SSTotalESP!$A$2,MATCH(FR$29,SSTotalESP!$A$2:$A$500)+$A36-1,1)-1)</f>
        <v>-2.625176813918717E-3</v>
      </c>
      <c r="FS36" s="9">
        <f ca="1">IF(OR(FS9="",FS$28&lt;$A36),"",FS9/OFFSET(SSTotalESP!$A$2,MATCH(FS$29,SSTotalESP!$A$2:$A$500)+$A36-1,1)-1)</f>
        <v>3.9596222504689749E-3</v>
      </c>
      <c r="FT36" s="9">
        <f ca="1">IF(OR(FT9="",FT$28&lt;$A36),"",FT9/OFFSET(SSTotalESP!$A$2,MATCH(FT$29,SSTotalESP!$A$2:$A$500)+$A36-1,1)-1)</f>
        <v>5.129232302653719E-3</v>
      </c>
      <c r="FU36" s="9">
        <f ca="1">IF(OR(FU9="",FU$28&lt;$A36),"",FU9/OFFSET(SSTotalESP!$A$2,MATCH(FU$29,SSTotalESP!$A$2:$A$500)+$A36-1,1)-1)</f>
        <v>-2.6432353517891194E-3</v>
      </c>
      <c r="FV36" s="9">
        <f ca="1">IF(OR(FV9="",FV$28&lt;$A36),"",FV9/OFFSET(SSTotalESP!$A$2,MATCH(FV$29,SSTotalESP!$A$2:$A$500)+$A36-1,1)-1)</f>
        <v>-1.1934324517855477E-2</v>
      </c>
      <c r="FW36" s="9">
        <f ca="1">IF(OR(FW9="",FW$28&lt;$A36),"",FW9/OFFSET(SSTotalESP!$A$2,MATCH(FW$29,SSTotalESP!$A$2:$A$500)+$A36-1,1)-1)</f>
        <v>-8.4939339425332827E-3</v>
      </c>
      <c r="FX36" s="9">
        <f ca="1">IF(OR(FX9="",FX$28&lt;$A36),"",FX9/OFFSET(SSTotalESP!$A$2,MATCH(FX$29,SSTotalESP!$A$2:$A$500)+$A36-1,1)-1)</f>
        <v>5.5148915955849365E-3</v>
      </c>
      <c r="FY36" s="9">
        <f ca="1">IF(OR(FY9="",FY$28&lt;$A36),"",FY9/OFFSET(SSTotalESP!$A$2,MATCH(FY$29,SSTotalESP!$A$2:$A$500)+$A36-1,1)-1)</f>
        <v>-5.1496345716536274E-3</v>
      </c>
      <c r="FZ36" s="9">
        <f ca="1">IF(OR(FZ9="",FZ$28&lt;$A36),"",FZ9/OFFSET(SSTotalESP!$A$2,MATCH(FZ$29,SSTotalESP!$A$2:$A$500)+$A36-1,1)-1)</f>
        <v>5.1806521404393902E-3</v>
      </c>
      <c r="GA36" s="9">
        <f ca="1">IF(OR(GA9="",GA$28&lt;$A36),"",GA9/OFFSET(SSTotalESP!$A$2,MATCH(GA$29,SSTotalESP!$A$2:$A$500)+$A36-1,1)-1)</f>
        <v>7.8826620363270372E-4</v>
      </c>
      <c r="GB36" s="9">
        <f ca="1">IF(OR(GB9="",GB$28&lt;$A36),"",GB9/OFFSET(SSTotalESP!$A$2,MATCH(GB$29,SSTotalESP!$A$2:$A$500)+$A36-1,1)-1)</f>
        <v>9.380001068604038E-4</v>
      </c>
      <c r="GC36" s="9">
        <f ca="1">IF(OR(GC9="",GC$28&lt;$A36),"",GC9/OFFSET(SSTotalESP!$A$2,MATCH(GC$29,SSTotalESP!$A$2:$A$500)+$A36-1,1)-1)</f>
        <v>5.453858726004901E-3</v>
      </c>
      <c r="GD36" s="9">
        <f ca="1">IF(OR(GD9="",GD$28&lt;$A36),"",GD9/OFFSET(SSTotalESP!$A$2,MATCH(GD$29,SSTotalESP!$A$2:$A$500)+$A36-1,1)-1)</f>
        <v>7.8408275120942506E-3</v>
      </c>
      <c r="GE36" s="9">
        <f ca="1">IF(OR(GE9="",GE$28&lt;$A36),"",GE9/OFFSET(SSTotalESP!$A$2,MATCH(GE$29,SSTotalESP!$A$2:$A$500)+$A36-1,1)-1)</f>
        <v>6.1212169354114554E-3</v>
      </c>
      <c r="GF36" s="9">
        <f ca="1">IF(OR(GF9="",GF$28&lt;$A36),"",GF9/OFFSET(SSTotalESP!$A$2,MATCH(GF$29,SSTotalESP!$A$2:$A$500)+$A36-1,1)-1)</f>
        <v>7.8908680086082761E-3</v>
      </c>
      <c r="GG36" s="9">
        <f ca="1">IF(OR(GG9="",GG$28&lt;$A36),"",GG9/OFFSET(SSTotalESP!$A$2,MATCH(GG$29,SSTotalESP!$A$2:$A$500)+$A36-1,1)-1)</f>
        <v>1.5042779811538232E-3</v>
      </c>
      <c r="GH36" s="9">
        <f ca="1">IF(OR(GH9="",GH$28&lt;$A36),"",GH9/OFFSET(SSTotalESP!$A$2,MATCH(GH$29,SSTotalESP!$A$2:$A$500)+$A36-1,1)-1)</f>
        <v>1.6222636271935098E-2</v>
      </c>
      <c r="GI36" s="9">
        <f ca="1">IF(OR(GI9="",GI$28&lt;$A36),"",GI9/OFFSET(SSTotalESP!$A$2,MATCH(GI$29,SSTotalESP!$A$2:$A$500)+$A36-1,1)-1)</f>
        <v>5.5129604192319048E-2</v>
      </c>
      <c r="GJ36" s="9">
        <f ca="1">IF(OR(GJ9="",GJ$28&lt;$A36),"",GJ9/OFFSET(SSTotalESP!$A$2,MATCH(GJ$29,SSTotalESP!$A$2:$A$500)+$A36-1,1)-1)</f>
        <v>6.7542034291814046E-2</v>
      </c>
      <c r="GK36" s="9">
        <f ca="1">IF(OR(GK9="",GK$28&lt;$A36),"",GK9/OFFSET(SSTotalESP!$A$2,MATCH(GK$29,SSTotalESP!$A$2:$A$500)+$A36-1,1)-1)</f>
        <v>6.3846291460203819E-2</v>
      </c>
      <c r="GL36" s="9">
        <f ca="1">IF(OR(GL9="",GL$28&lt;$A36),"",GL9/OFFSET(SSTotalESP!$A$2,MATCH(GL$29,SSTotalESP!$A$2:$A$500)+$A36-1,1)-1)</f>
        <v>5.5133538440781393E-2</v>
      </c>
      <c r="GM36" s="9">
        <f ca="1">IF(OR(GM9="",GM$28&lt;$A36),"",GM9/OFFSET(SSTotalESP!$A$2,MATCH(GM$29,SSTotalESP!$A$2:$A$500)+$A36-1,1)-1)</f>
        <v>3.9540019234853174E-2</v>
      </c>
      <c r="GN36" s="9">
        <f ca="1">IF(OR(GN9="",GN$28&lt;$A36),"",GN9/OFFSET(SSTotalESP!$A$2,MATCH(GN$29,SSTotalESP!$A$2:$A$500)+$A36-1,1)-1)</f>
        <v>4.2009024060943867E-2</v>
      </c>
      <c r="GO36" s="9">
        <f ca="1">IF(OR(GO9="",GO$28&lt;$A36),"",GO9/OFFSET(SSTotalESP!$A$2,MATCH(GO$29,SSTotalESP!$A$2:$A$500)+$A36-1,1)-1)</f>
        <v>2.9397247242690661E-3</v>
      </c>
      <c r="GP36" s="9">
        <f ca="1">IF(OR(GP9="",GP$28&lt;$A36),"",GP9/OFFSET(SSTotalESP!$A$2,MATCH(GP$29,SSTotalESP!$A$2:$A$500)+$A36-1,1)-1)</f>
        <v>-5.7856813461140022E-2</v>
      </c>
      <c r="GQ36" s="9">
        <f ca="1">IF(OR(GQ9="",GQ$28&lt;$A36),"",GQ9/OFFSET(SSTotalESP!$A$2,MATCH(GQ$29,SSTotalESP!$A$2:$A$500)+$A36-1,1)-1)</f>
        <v>-6.0173513432171588E-2</v>
      </c>
      <c r="GR36" s="9">
        <f ca="1">IF(OR(GR9="",GR$28&lt;$A36),"",GR9/OFFSET(SSTotalESP!$A$2,MATCH(GR$29,SSTotalESP!$A$2:$A$500)+$A36-1,1)-1)</f>
        <v>-4.8249168867767867E-2</v>
      </c>
      <c r="GS36" s="9" t="str">
        <f ca="1">IF(OR(GS9="",GS$28&lt;$A36),"",GS9/OFFSET(SSTotalESP!$A$2,MATCH(GS$29,SSTotalESP!$A$2:$A$500)+$A36-1,1)-1)</f>
        <v/>
      </c>
      <c r="GT36" s="9" t="str">
        <f ca="1">IF(OR(GT9="",GT$28&lt;$A36),"",GT9/OFFSET(SSTotalESP!$A$2,MATCH(GT$29,SSTotalESP!$A$2:$A$500)+$A36-1,1)-1)</f>
        <v/>
      </c>
      <c r="GU36" s="9" t="str">
        <f ca="1">IF(OR(GU9="",GU$28&lt;$A36),"",GU9/OFFSET(SSTotalESP!$A$2,MATCH(GU$29,SSTotalESP!$A$2:$A$500)+$A36-1,1)-1)</f>
        <v/>
      </c>
      <c r="GV36" s="9" t="str">
        <f ca="1">IF(OR(GV9="",GV$28&lt;$A36),"",GV9/OFFSET(SSTotalESP!$A$2,MATCH(GV$29,SSTotalESP!$A$2:$A$500)+$A36-1,1)-1)</f>
        <v/>
      </c>
      <c r="GW36" s="9" t="str">
        <f ca="1">IF(OR(GW9="",GW$28&lt;$A36),"",GW9/OFFSET(SSTotalESP!$A$2,MATCH(GW$29,SSTotalESP!$A$2:$A$500)+$A36-1,1)-1)</f>
        <v/>
      </c>
      <c r="GX36" s="9" t="str">
        <f ca="1">IF(OR(GX9="",GX$28&lt;$A36),"",GX9/OFFSET(SSTotalESP!$A$2,MATCH(GX$29,SSTotalESP!$A$2:$A$500)+$A36-1,1)-1)</f>
        <v/>
      </c>
      <c r="GY36" s="9" t="str">
        <f ca="1">IF(OR(GY9="",GY$28&lt;$A36),"",GY9/OFFSET(SSTotalESP!$A$2,MATCH(GY$29,SSTotalESP!$A$2:$A$500)+$A36-1,1)-1)</f>
        <v/>
      </c>
      <c r="GZ36" s="9" t="str">
        <f ca="1">IF(OR(GZ9="",GZ$28&lt;$A36),"",GZ9/OFFSET(SSTotalESP!$A$2,MATCH(GZ$29,SSTotalESP!$A$2:$A$500)+$A36-1,1)-1)</f>
        <v/>
      </c>
      <c r="HA36" s="9" t="str">
        <f ca="1">IF(OR(HA9="",HA$28&lt;$A36),"",HA9/OFFSET(SSTotalESP!$A$2,MATCH(HA$29,SSTotalESP!$A$2:$A$500)+$A36-1,1)-1)</f>
        <v/>
      </c>
      <c r="HB36" s="9" t="str">
        <f ca="1">IF(OR(HB9="",HB$28&lt;$A36),"",HB9/OFFSET(SSTotalESP!$A$2,MATCH(HB$29,SSTotalESP!$A$2:$A$500)+$A36-1,1)-1)</f>
        <v/>
      </c>
      <c r="HC36" s="9" t="str">
        <f ca="1">IF(OR(HC9="",HC$28&lt;$A36),"",HC9/OFFSET(SSTotalESP!$A$2,MATCH(HC$29,SSTotalESP!$A$2:$A$500)+$A36-1,1)-1)</f>
        <v/>
      </c>
      <c r="HD36" s="9" t="str">
        <f ca="1">IF(OR(HD9="",HD$28&lt;$A36),"",HD9/OFFSET(SSTotalESP!$A$2,MATCH(HD$29,SSTotalESP!$A$2:$A$500)+$A36-1,1)-1)</f>
        <v/>
      </c>
      <c r="HE36" s="9" t="str">
        <f ca="1">IF(OR(HE9="",HE$28&lt;$A36),"",HE9/OFFSET(SSTotalESP!$A$2,MATCH(HE$29,SSTotalESP!$A$2:$A$500)+$A36-1,1)-1)</f>
        <v/>
      </c>
      <c r="HF36" s="9" t="str">
        <f ca="1">IF(OR(HF9="",HF$28&lt;$A36),"",HF9/OFFSET(SSTotalESP!$A$2,MATCH(HF$29,SSTotalESP!$A$2:$A$500)+$A36-1,1)-1)</f>
        <v/>
      </c>
      <c r="HG36" s="9" t="str">
        <f ca="1">IF(OR(HG9="",HG$28&lt;$A36),"",HG9/OFFSET(SSTotalESP!$A$2,MATCH(HG$29,SSTotalESP!$A$2:$A$500)+$A36-1,1)-1)</f>
        <v/>
      </c>
      <c r="HH36" s="9" t="str">
        <f ca="1">IF(OR(HH9="",HH$28&lt;$A36),"",HH9/OFFSET(SSTotalESP!$A$2,MATCH(HH$29,SSTotalESP!$A$2:$A$500)+$A36-1,1)-1)</f>
        <v/>
      </c>
      <c r="HI36" s="9" t="str">
        <f ca="1">IF(OR(HI9="",HI$28&lt;$A36),"",HI9/OFFSET(SSTotalESP!$A$2,MATCH(HI$29,SSTotalESP!$A$2:$A$500)+$A36-1,1)-1)</f>
        <v/>
      </c>
      <c r="HJ36" s="9" t="str">
        <f ca="1">IF(OR(HJ9="",HJ$28&lt;$A36),"",HJ9/OFFSET(SSTotalESP!$A$2,MATCH(HJ$29,SSTotalESP!$A$2:$A$500)+$A36-1,1)-1)</f>
        <v/>
      </c>
      <c r="HK36" s="9" t="str">
        <f ca="1">IF(OR(HK9="",HK$28&lt;$A36),"",HK9/OFFSET(SSTotalESP!$A$2,MATCH(HK$29,SSTotalESP!$A$2:$A$500)+$A36-1,1)-1)</f>
        <v/>
      </c>
      <c r="HL36" s="9" t="str">
        <f ca="1">IF(OR(HL9="",HL$28&lt;$A36),"",HL9/OFFSET(SSTotalESP!$A$2,MATCH(HL$29,SSTotalESP!$A$2:$A$500)+$A36-1,1)-1)</f>
        <v/>
      </c>
      <c r="HM36" s="9" t="str">
        <f ca="1">IF(OR(HM9="",HM$28&lt;$A36),"",HM9/OFFSET(SSTotalESP!$A$2,MATCH(HM$29,SSTotalESP!$A$2:$A$500)+$A36-1,1)-1)</f>
        <v/>
      </c>
      <c r="HN36" s="9" t="str">
        <f ca="1">IF(OR(HN9="",HN$28&lt;$A36),"",HN9/OFFSET(SSTotalESP!$A$2,MATCH(HN$29,SSTotalESP!$A$2:$A$500)+$A36-1,1)-1)</f>
        <v/>
      </c>
      <c r="HO36" s="9" t="str">
        <f ca="1">IF(OR(HO9="",HO$28&lt;$A36),"",HO9/OFFSET(SSTotalESP!$A$2,MATCH(HO$29,SSTotalESP!$A$2:$A$500)+$A36-1,1)-1)</f>
        <v/>
      </c>
      <c r="HP36" s="9" t="str">
        <f ca="1">IF(OR(HP9="",HP$28&lt;$A36),"",HP9/OFFSET(SSTotalESP!$A$2,MATCH(HP$29,SSTotalESP!$A$2:$A$500)+$A36-1,1)-1)</f>
        <v/>
      </c>
      <c r="HQ36" s="9" t="str">
        <f ca="1">IF(OR(HQ9="",HQ$28&lt;$A36),"",HQ9/OFFSET(SSTotalESP!$A$2,MATCH(HQ$29,SSTotalESP!$A$2:$A$500)+$A36-1,1)-1)</f>
        <v/>
      </c>
      <c r="HR36" s="9" t="str">
        <f ca="1">IF(OR(HR9="",HR$28&lt;$A36),"",HR9/OFFSET(SSTotalESP!$A$2,MATCH(HR$29,SSTotalESP!$A$2:$A$500)+$A36-1,1)-1)</f>
        <v/>
      </c>
      <c r="HS36" s="9" t="str">
        <f ca="1">IF(OR(HS9="",HS$28&lt;$A36),"",HS9/OFFSET(SSTotalESP!$A$2,MATCH(HS$29,SSTotalESP!$A$2:$A$500)+$A36-1,1)-1)</f>
        <v/>
      </c>
      <c r="HT36" s="9" t="str">
        <f ca="1">IF(OR(HT9="",HT$28&lt;$A36),"",HT9/OFFSET(SSTotalESP!$A$2,MATCH(HT$29,SSTotalESP!$A$2:$A$500)+$A36-1,1)-1)</f>
        <v/>
      </c>
      <c r="HU36" s="9" t="str">
        <f ca="1">IF(OR(HU9="",HU$28&lt;$A36),"",HU9/OFFSET(SSTotalESP!$A$2,MATCH(HU$29,SSTotalESP!$A$2:$A$500)+$A36-1,1)-1)</f>
        <v/>
      </c>
      <c r="HV36" s="9" t="str">
        <f ca="1">IF(OR(HV9="",HV$28&lt;$A36),"",HV9/OFFSET(SSTotalESP!$A$2,MATCH(HV$29,SSTotalESP!$A$2:$A$500)+$A36-1,1)-1)</f>
        <v/>
      </c>
      <c r="HW36" s="9" t="str">
        <f ca="1">IF(OR(HW9="",HW$28&lt;$A36),"",HW9/OFFSET(SSTotalESP!$A$2,MATCH(HW$29,SSTotalESP!$A$2:$A$500)+$A36-1,1)-1)</f>
        <v/>
      </c>
      <c r="HX36" s="9" t="str">
        <f ca="1">IF(OR(HX9="",HX$28&lt;$A36),"",HX9/OFFSET(SSTotalESP!$A$2,MATCH(HX$29,SSTotalESP!$A$2:$A$500)+$A36-1,1)-1)</f>
        <v/>
      </c>
      <c r="HY36" s="9" t="str">
        <f ca="1">IF(OR(HY9="",HY$28&lt;$A36),"",HY9/OFFSET(SSTotalESP!$A$2,MATCH(HY$29,SSTotalESP!$A$2:$A$500)+$A36-1,1)-1)</f>
        <v/>
      </c>
      <c r="HZ36" s="9" t="str">
        <f ca="1">IF(OR(HZ9="",HZ$28&lt;$A36),"",HZ9/OFFSET(SSTotalESP!$A$2,MATCH(HZ$29,SSTotalESP!$A$2:$A$500)+$A36-1,1)-1)</f>
        <v/>
      </c>
      <c r="IA36" s="9" t="str">
        <f ca="1">IF(OR(IA9="",IA$28&lt;$A36),"",IA9/OFFSET(SSTotalESP!$A$2,MATCH(IA$29,SSTotalESP!$A$2:$A$500)+$A36-1,1)-1)</f>
        <v/>
      </c>
      <c r="IB36" s="9" t="str">
        <f ca="1">IF(OR(IB9="",IB$28&lt;$A36),"",IB9/OFFSET(SSTotalESP!$A$2,MATCH(IB$29,SSTotalESP!$A$2:$A$500)+$A36-1,1)-1)</f>
        <v/>
      </c>
      <c r="IC36" s="9" t="str">
        <f ca="1">IF(OR(IC9="",IC$28&lt;$A36),"",IC9/OFFSET(SSTotalESP!$A$2,MATCH(IC$29,SSTotalESP!$A$2:$A$500)+$A36-1,1)-1)</f>
        <v/>
      </c>
      <c r="ID36" s="9" t="str">
        <f ca="1">IF(OR(ID9="",ID$28&lt;$A36),"",ID9/OFFSET(SSTotalESP!$A$2,MATCH(ID$29,SSTotalESP!$A$2:$A$500)+$A36-1,1)-1)</f>
        <v/>
      </c>
      <c r="IE36" s="9" t="str">
        <f ca="1">IF(OR(IE9="",IE$28&lt;$A36),"",IE9/OFFSET(SSTotalESP!$A$2,MATCH(IE$29,SSTotalESP!$A$2:$A$500)+$A36-1,1)-1)</f>
        <v/>
      </c>
      <c r="IF36" s="9" t="str">
        <f ca="1">IF(OR(IF9="",IF$28&lt;$A36),"",IF9/OFFSET(SSTotalESP!$A$2,MATCH(IF$29,SSTotalESP!$A$2:$A$500)+$A36-1,1)-1)</f>
        <v/>
      </c>
      <c r="IG36" s="9" t="str">
        <f ca="1">IF(OR(IG9="",IG$28&lt;$A36),"",IG9/OFFSET(SSTotalESP!$A$2,MATCH(IG$29,SSTotalESP!$A$2:$A$500)+$A36-1,1)-1)</f>
        <v/>
      </c>
      <c r="IH36" s="9" t="str">
        <f ca="1">IF(OR(IH9="",IH$28&lt;$A36),"",IH9/OFFSET(SSTotalESP!$A$2,MATCH(IH$29,SSTotalESP!$A$2:$A$500)+$A36-1,1)-1)</f>
        <v/>
      </c>
      <c r="II36" s="9" t="str">
        <f ca="1">IF(OR(II9="",II$28&lt;$A36),"",II9/OFFSET(SSTotalESP!$A$2,MATCH(II$29,SSTotalESP!$A$2:$A$500)+$A36-1,1)-1)</f>
        <v/>
      </c>
      <c r="IJ36" s="9" t="str">
        <f ca="1">IF(OR(IJ9="",IJ$28&lt;$A36),"",IJ9/OFFSET(SSTotalESP!$A$2,MATCH(IJ$29,SSTotalESP!$A$2:$A$500)+$A36-1,1)-1)</f>
        <v/>
      </c>
      <c r="IK36" s="9" t="str">
        <f ca="1">IF(OR(IK9="",IK$28&lt;$A36),"",IK9/OFFSET(SSTotalESP!$A$2,MATCH(IK$29,SSTotalESP!$A$2:$A$500)+$A36-1,1)-1)</f>
        <v/>
      </c>
      <c r="IL36" s="9" t="str">
        <f ca="1">IF(OR(IL9="",IL$28&lt;$A36),"",IL9/OFFSET(SSTotalESP!$A$2,MATCH(IL$29,SSTotalESP!$A$2:$A$500)+$A36-1,1)-1)</f>
        <v/>
      </c>
      <c r="IM36" s="9" t="str">
        <f ca="1">IF(OR(IM9="",IM$28&lt;$A36),"",IM9/OFFSET(SSTotalESP!$A$2,MATCH(IM$29,SSTotalESP!$A$2:$A$500)+$A36-1,1)-1)</f>
        <v/>
      </c>
      <c r="IN36" s="9" t="str">
        <f ca="1">IF(OR(IN9="",IN$28&lt;$A36),"",IN9/OFFSET(SSTotalESP!$A$2,MATCH(IN$29,SSTotalESP!$A$2:$A$500)+$A36-1,1)-1)</f>
        <v/>
      </c>
      <c r="IO36" s="9" t="str">
        <f ca="1">IF(OR(IO9="",IO$28&lt;$A36),"",IO9/OFFSET(SSTotalESP!$A$2,MATCH(IO$29,SSTotalESP!$A$2:$A$500)+$A36-1,1)-1)</f>
        <v/>
      </c>
      <c r="IP36" s="9" t="str">
        <f ca="1">IF(OR(IP9="",IP$28&lt;$A36),"",IP9/OFFSET(SSTotalESP!$A$2,MATCH(IP$29,SSTotalESP!$A$2:$A$500)+$A36-1,1)-1)</f>
        <v/>
      </c>
      <c r="IQ36" s="9" t="str">
        <f ca="1">IF(OR(IQ9="",IQ$28&lt;$A36),"",IQ9/OFFSET(SSTotalESP!$A$2,MATCH(IQ$29,SSTotalESP!$A$2:$A$500)+$A36-1,1)-1)</f>
        <v/>
      </c>
      <c r="IR36" s="9" t="str">
        <f ca="1">IF(OR(IR9="",IR$28&lt;$A36),"",IR9/OFFSET(SSTotalESP!$A$2,MATCH(IR$29,SSTotalESP!$A$2:$A$500)+$A36-1,1)-1)</f>
        <v/>
      </c>
      <c r="IS36" s="9" t="str">
        <f ca="1">IF(OR(IS9="",IS$28&lt;$A36),"",IS9/OFFSET(SSTotalESP!$A$2,MATCH(IS$29,SSTotalESP!$A$2:$A$500)+$A36-1,1)-1)</f>
        <v/>
      </c>
      <c r="IT36" s="9" t="str">
        <f ca="1">IF(OR(IT9="",IT$28&lt;$A36),"",IT9/OFFSET(SSTotalESP!$A$2,MATCH(IT$29,SSTotalESP!$A$2:$A$500)+$A36-1,1)-1)</f>
        <v/>
      </c>
      <c r="IU36" s="9" t="str">
        <f ca="1">IF(OR(IU9="",IU$28&lt;$A36),"",IU9/OFFSET(SSTotalESP!$A$2,MATCH(IU$29,SSTotalESP!$A$2:$A$500)+$A36-1,1)-1)</f>
        <v/>
      </c>
      <c r="IV36" s="9" t="str">
        <f ca="1">IF(OR(IV9="",IV$28&lt;$A36),"",IV9/OFFSET(SSTotalESP!$A$2,MATCH(IV$29,SSTotalESP!$A$2:$A$500)+$A36-1,1)-1)</f>
        <v/>
      </c>
      <c r="IW36" s="9" t="str">
        <f ca="1">IF(OR(IW9="",IW$28&lt;$A36),"",IW9/OFFSET(SSTotalESP!$A$2,MATCH(IW$29,SSTotalESP!$A$2:$A$500)+$A36-1,1)-1)</f>
        <v/>
      </c>
      <c r="IX36" s="9" t="str">
        <f ca="1">IF(OR(IX9="",IX$28&lt;$A36),"",IX9/OFFSET(SSTotalESP!$A$2,MATCH(IX$29,SSTotalESP!$A$2:$A$500)+$A36-1,1)-1)</f>
        <v/>
      </c>
      <c r="IY36" s="9" t="str">
        <f ca="1">IF(OR(IY9="",IY$28&lt;$A36),"",IY9/OFFSET(SSTotalESP!$A$2,MATCH(IY$29,SSTotalESP!$A$2:$A$500)+$A36-1,1)-1)</f>
        <v/>
      </c>
      <c r="IZ36" s="9" t="str">
        <f ca="1">IF(OR(IZ9="",IZ$28&lt;$A36),"",IZ9/OFFSET(SSTotalESP!$A$2,MATCH(IZ$29,SSTotalESP!$A$2:$A$500)+$A36-1,1)-1)</f>
        <v/>
      </c>
      <c r="JA36" s="9" t="str">
        <f ca="1">IF(OR(JA9="",JA$28&lt;$A36),"",JA9/OFFSET(SSTotalESP!$A$2,MATCH(JA$29,SSTotalESP!$A$2:$A$500)+$A36-1,1)-1)</f>
        <v/>
      </c>
      <c r="JB36" s="9" t="str">
        <f ca="1">IF(OR(JB9="",JB$28&lt;$A36),"",JB9/OFFSET(SSTotalESP!$A$2,MATCH(JB$29,SSTotalESP!$A$2:$A$500)+$A36-1,1)-1)</f>
        <v/>
      </c>
      <c r="JC36" s="9" t="str">
        <f ca="1">IF(OR(JC9="",JC$28&lt;$A36),"",JC9/OFFSET(SSTotalESP!$A$2,MATCH(JC$29,SSTotalESP!$A$2:$A$500)+$A36-1,1)-1)</f>
        <v/>
      </c>
      <c r="JD36" s="9" t="str">
        <f ca="1">IF(OR(JD9="",JD$28&lt;$A36),"",JD9/OFFSET(SSTotalESP!$A$2,MATCH(JD$29,SSTotalESP!$A$2:$A$500)+$A36-1,1)-1)</f>
        <v/>
      </c>
      <c r="JE36" s="9" t="str">
        <f ca="1">IF(OR(JE9="",JE$28&lt;$A36),"",JE9/OFFSET(SSTotalESP!$A$2,MATCH(JE$29,SSTotalESP!$A$2:$A$500)+$A36-1,1)-1)</f>
        <v/>
      </c>
      <c r="JF36" s="9" t="str">
        <f ca="1">IF(OR(JF9="",JF$28&lt;$A36),"",JF9/OFFSET(SSTotalESP!$A$2,MATCH(JF$29,SSTotalESP!$A$2:$A$500)+$A36-1,1)-1)</f>
        <v/>
      </c>
      <c r="JG36" s="9" t="str">
        <f ca="1">IF(OR(JG9="",JG$28&lt;$A36),"",JG9/OFFSET(SSTotalESP!$A$2,MATCH(JG$29,SSTotalESP!$A$2:$A$500)+$A36-1,1)-1)</f>
        <v/>
      </c>
      <c r="JH36" s="9" t="str">
        <f ca="1">IF(OR(JH9="",JH$28&lt;$A36),"",JH9/OFFSET(SSTotalESP!$A$2,MATCH(JH$29,SSTotalESP!$A$2:$A$500)+$A36-1,1)-1)</f>
        <v/>
      </c>
      <c r="JI36" s="13">
        <f t="shared" ca="1" si="13"/>
        <v>6.9039389596849366E-3</v>
      </c>
      <c r="JJ36" s="13">
        <f t="shared" ca="1" si="14"/>
        <v>4.5444272765613469E-3</v>
      </c>
      <c r="JK36" s="14">
        <f t="shared" ca="1" si="15"/>
        <v>9.5831700223357702E-4</v>
      </c>
      <c r="JL36" s="17">
        <f t="shared" ca="1" si="18"/>
        <v>3.095669559616428E-2</v>
      </c>
      <c r="JM36" s="15" t="str">
        <f t="shared" ca="1" si="16"/>
        <v>[ -5,50% ; 6,88% ]</v>
      </c>
      <c r="JN36" s="17">
        <f t="shared" ca="1" si="17"/>
        <v>3.9624570363090278E-2</v>
      </c>
      <c r="LY36" s="1"/>
    </row>
    <row r="37" spans="1:337" x14ac:dyDescent="0.25">
      <c r="A37" s="4">
        <v>8</v>
      </c>
      <c r="B37" s="9">
        <f ca="1">IF(OR(B10="",B$28&lt;$A37),"",B10/OFFSET(SSTotalESP!$A$2,MATCH(B$29,SSTotalESP!$A$2:$A$500)+$A37-1,1)-1)</f>
        <v>5.9442085688976576E-4</v>
      </c>
      <c r="C37" s="9">
        <f ca="1">IF(OR(C10="",C$28&lt;$A37),"",C10/OFFSET(SSTotalESP!$A$2,MATCH(C$29,SSTotalESP!$A$2:$A$500)+$A37-1,1)-1)</f>
        <v>-4.6010604426549584E-5</v>
      </c>
      <c r="D37" s="9">
        <f ca="1">IF(OR(D10="",D$28&lt;$A37),"",D10/OFFSET(SSTotalESP!$A$2,MATCH(D$29,SSTotalESP!$A$2:$A$500)+$A37-1,1)-1)</f>
        <v>2.0954968800168672E-5</v>
      </c>
      <c r="E37" s="9">
        <f ca="1">IF(OR(E10="",E$28&lt;$A37),"",E10/OFFSET(SSTotalESP!$A$2,MATCH(E$29,SSTotalESP!$A$2:$A$500)+$A37-1,1)-1)</f>
        <v>2.5658848444676252E-4</v>
      </c>
      <c r="F37" s="9">
        <f ca="1">IF(OR(F10="",F$28&lt;$A37),"",F10/OFFSET(SSTotalESP!$A$2,MATCH(F$29,SSTotalESP!$A$2:$A$500)+$A37-1,1)-1)</f>
        <v>1.0464141517640968E-4</v>
      </c>
      <c r="G37" s="9">
        <f ca="1">IF(OR(G10="",G$28&lt;$A37),"",G10/OFFSET(SSTotalESP!$A$2,MATCH(G$29,SSTotalESP!$A$2:$A$500)+$A37-1,1)-1)</f>
        <v>-9.9837647862832668E-4</v>
      </c>
      <c r="H37" s="9">
        <f ca="1">IF(OR(H10="",H$28&lt;$A37),"",H10/OFFSET(SSTotalESP!$A$2,MATCH(H$29,SSTotalESP!$A$2:$A$500)+$A37-1,1)-1)</f>
        <v>-3.5748998320483949E-6</v>
      </c>
      <c r="I37" s="9">
        <f ca="1">IF(OR(I10="",I$28&lt;$A37),"",I10/OFFSET(SSTotalESP!$A$2,MATCH(I$29,SSTotalESP!$A$2:$A$500)+$A37-1,1)-1)</f>
        <v>-2.7925419583851863E-4</v>
      </c>
      <c r="J37" s="9">
        <f ca="1">IF(OR(J10="",J$28&lt;$A37),"",J10/OFFSET(SSTotalESP!$A$2,MATCH(J$29,SSTotalESP!$A$2:$A$500)+$A37-1,1)-1)</f>
        <v>-4.8727893481617102E-3</v>
      </c>
      <c r="K37" s="9">
        <f ca="1">IF(OR(K10="",K$28&lt;$A37),"",K10/OFFSET(SSTotalESP!$A$2,MATCH(K$29,SSTotalESP!$A$2:$A$500)+$A37-1,1)-1)</f>
        <v>-7.7792007655231865E-3</v>
      </c>
      <c r="L37" s="9">
        <f ca="1">IF(OR(L10="",L$28&lt;$A37),"",L10/OFFSET(SSTotalESP!$A$2,MATCH(L$29,SSTotalESP!$A$2:$A$500)+$A37-1,1)-1)</f>
        <v>-1.4194755760466693E-2</v>
      </c>
      <c r="M37" s="9">
        <f ca="1">IF(OR(M10="",M$28&lt;$A37),"",M10/OFFSET(SSTotalESP!$A$2,MATCH(M$29,SSTotalESP!$A$2:$A$500)+$A37-1,1)-1)</f>
        <v>-1.9129176624689492E-2</v>
      </c>
      <c r="N37" s="9">
        <f ca="1">IF(OR(N10="",N$28&lt;$A37),"",N10/OFFSET(SSTotalESP!$A$2,MATCH(N$29,SSTotalESP!$A$2:$A$500)+$A37-1,1)-1)</f>
        <v>-2.1351888209710013E-2</v>
      </c>
      <c r="O37" s="9">
        <f ca="1">IF(OR(O10="",O$28&lt;$A37),"",O10/OFFSET(SSTotalESP!$A$2,MATCH(O$29,SSTotalESP!$A$2:$A$500)+$A37-1,1)-1)</f>
        <v>-2.305797846292601E-2</v>
      </c>
      <c r="P37" s="9">
        <f ca="1">IF(OR(P10="",P$28&lt;$A37),"",P10/OFFSET(SSTotalESP!$A$2,MATCH(P$29,SSTotalESP!$A$2:$A$500)+$A37-1,1)-1)</f>
        <v>-2.5827141123531905E-2</v>
      </c>
      <c r="Q37" s="9">
        <f ca="1">IF(OR(Q10="",Q$28&lt;$A37),"",Q10/OFFSET(SSTotalESP!$A$2,MATCH(Q$29,SSTotalESP!$A$2:$A$500)+$A37-1,1)-1)</f>
        <v>-2.6227395275791099E-2</v>
      </c>
      <c r="R37" s="9">
        <f ca="1">IF(OR(R10="",R$28&lt;$A37),"",R10/OFFSET(SSTotalESP!$A$2,MATCH(R$29,SSTotalESP!$A$2:$A$500)+$A37-1,1)-1)</f>
        <v>-2.3644479380512284E-2</v>
      </c>
      <c r="S37" s="9">
        <f ca="1">IF(OR(S10="",S$28&lt;$A37),"",S10/OFFSET(SSTotalESP!$A$2,MATCH(S$29,SSTotalESP!$A$2:$A$500)+$A37-1,1)-1)</f>
        <v>-2.0623696344412967E-2</v>
      </c>
      <c r="T37" s="9">
        <f ca="1">IF(OR(T10="",T$28&lt;$A37),"",T10/OFFSET(SSTotalESP!$A$2,MATCH(T$29,SSTotalESP!$A$2:$A$500)+$A37-1,1)-1)</f>
        <v>-9.5499282420284937E-3</v>
      </c>
      <c r="U37" s="9">
        <f ca="1">IF(OR(U10="",U$28&lt;$A37),"",U10/OFFSET(SSTotalESP!$A$2,MATCH(U$29,SSTotalESP!$A$2:$A$500)+$A37-1,1)-1)</f>
        <v>-1.4994980215810028E-3</v>
      </c>
      <c r="V37" s="9">
        <f ca="1">IF(OR(V10="",V$28&lt;$A37),"",V10/OFFSET(SSTotalESP!$A$2,MATCH(V$29,SSTotalESP!$A$2:$A$500)+$A37-1,1)-1)</f>
        <v>9.7802528716459669E-3</v>
      </c>
      <c r="W37" s="9">
        <f ca="1">IF(OR(W10="",W$28&lt;$A37),"",W10/OFFSET(SSTotalESP!$A$2,MATCH(W$29,SSTotalESP!$A$2:$A$500)+$A37-1,1)-1)</f>
        <v>1.3463510794130995E-2</v>
      </c>
      <c r="X37" s="9">
        <f ca="1">IF(OR(X10="",X$28&lt;$A37),"",X10/OFFSET(SSTotalESP!$A$2,MATCH(X$29,SSTotalESP!$A$2:$A$500)+$A37-1,1)-1)</f>
        <v>1.3086685538786558E-2</v>
      </c>
      <c r="Y37" s="9">
        <f ca="1">IF(OR(Y10="",Y$28&lt;$A37),"",Y10/OFFSET(SSTotalESP!$A$2,MATCH(Y$29,SSTotalESP!$A$2:$A$500)+$A37-1,1)-1)</f>
        <v>1.0738092010619482E-2</v>
      </c>
      <c r="Z37" s="9">
        <f ca="1">IF(OR(Z10="",Z$28&lt;$A37),"",Z10/OFFSET(SSTotalESP!$A$2,MATCH(Z$29,SSTotalESP!$A$2:$A$500)+$A37-1,1)-1)</f>
        <v>1.512055062874551E-2</v>
      </c>
      <c r="AA37" s="9">
        <f ca="1">IF(OR(AA10="",AA$28&lt;$A37),"",AA10/OFFSET(SSTotalESP!$A$2,MATCH(AA$29,SSTotalESP!$A$2:$A$500)+$A37-1,1)-1)</f>
        <v>1.4937032811318529E-2</v>
      </c>
      <c r="AB37" s="9">
        <f ca="1">IF(OR(AB10="",AB$28&lt;$A37),"",AB10/OFFSET(SSTotalESP!$A$2,MATCH(AB$29,SSTotalESP!$A$2:$A$500)+$A37-1,1)-1)</f>
        <v>8.7658899967075765E-3</v>
      </c>
      <c r="AC37" s="9">
        <f ca="1">IF(OR(AC10="",AC$28&lt;$A37),"",AC10/OFFSET(SSTotalESP!$A$2,MATCH(AC$29,SSTotalESP!$A$2:$A$500)+$A37-1,1)-1)</f>
        <v>1.405946788048329E-2</v>
      </c>
      <c r="AD37" s="9">
        <f ca="1">IF(OR(AD10="",AD$28&lt;$A37),"",AD10/OFFSET(SSTotalESP!$A$2,MATCH(AD$29,SSTotalESP!$A$2:$A$500)+$A37-1,1)-1)</f>
        <v>9.5107134166529939E-3</v>
      </c>
      <c r="AE37" s="9">
        <f ca="1">IF(OR(AE10="",AE$28&lt;$A37),"",AE10/OFFSET(SSTotalESP!$A$2,MATCH(AE$29,SSTotalESP!$A$2:$A$500)+$A37-1,1)-1)</f>
        <v>4.7679262578115278E-3</v>
      </c>
      <c r="AF37" s="9">
        <f ca="1">IF(OR(AF10="",AF$28&lt;$A37),"",AF10/OFFSET(SSTotalESP!$A$2,MATCH(AF$29,SSTotalESP!$A$2:$A$500)+$A37-1,1)-1)</f>
        <v>-1.5364073998989092E-3</v>
      </c>
      <c r="AG37" s="9">
        <f ca="1">IF(OR(AG10="",AG$28&lt;$A37),"",AG10/OFFSET(SSTotalESP!$A$2,MATCH(AG$29,SSTotalESP!$A$2:$A$500)+$A37-1,1)-1)</f>
        <v>-4.12612244277899E-3</v>
      </c>
      <c r="AH37" s="9">
        <f ca="1">IF(OR(AH10="",AH$28&lt;$A37),"",AH10/OFFSET(SSTotalESP!$A$2,MATCH(AH$29,SSTotalESP!$A$2:$A$500)+$A37-1,1)-1)</f>
        <v>-1.1871636681209052E-2</v>
      </c>
      <c r="AI37" s="9">
        <f ca="1">IF(OR(AI10="",AI$28&lt;$A37),"",AI10/OFFSET(SSTotalESP!$A$2,MATCH(AI$29,SSTotalESP!$A$2:$A$500)+$A37-1,1)-1)</f>
        <v>-2.9611466381260776E-3</v>
      </c>
      <c r="AJ37" s="9">
        <f ca="1">IF(OR(AJ10="",AJ$28&lt;$A37),"",AJ10/OFFSET(SSTotalESP!$A$2,MATCH(AJ$29,SSTotalESP!$A$2:$A$500)+$A37-1,1)-1)</f>
        <v>2.4453620293463096E-3</v>
      </c>
      <c r="AK37" s="9">
        <f ca="1">IF(OR(AK10="",AK$28&lt;$A37),"",AK10/OFFSET(SSTotalESP!$A$2,MATCH(AK$29,SSTotalESP!$A$2:$A$500)+$A37-1,1)-1)</f>
        <v>8.1405143698412008E-3</v>
      </c>
      <c r="AL37" s="9">
        <f ca="1">IF(OR(AL10="",AL$28&lt;$A37),"",AL10/OFFSET(SSTotalESP!$A$2,MATCH(AL$29,SSTotalESP!$A$2:$A$500)+$A37-1,1)-1)</f>
        <v>1.0718348598817373E-2</v>
      </c>
      <c r="AM37" s="9">
        <f ca="1">IF(OR(AM10="",AM$28&lt;$A37),"",AM10/OFFSET(SSTotalESP!$A$2,MATCH(AM$29,SSTotalESP!$A$2:$A$500)+$A37-1,1)-1)</f>
        <v>1.4351754214343426E-2</v>
      </c>
      <c r="AN37" s="9">
        <f ca="1">IF(OR(AN10="",AN$28&lt;$A37),"",AN10/OFFSET(SSTotalESP!$A$2,MATCH(AN$29,SSTotalESP!$A$2:$A$500)+$A37-1,1)-1)</f>
        <v>1.1331481152229816E-2</v>
      </c>
      <c r="AO37" s="9">
        <f ca="1">IF(OR(AO10="",AO$28&lt;$A37),"",AO10/OFFSET(SSTotalESP!$A$2,MATCH(AO$29,SSTotalESP!$A$2:$A$500)+$A37-1,1)-1)</f>
        <v>1.5394319430372061E-2</v>
      </c>
      <c r="AP37" s="9">
        <f ca="1">IF(OR(AP10="",AP$28&lt;$A37),"",AP10/OFFSET(SSTotalESP!$A$2,MATCH(AP$29,SSTotalESP!$A$2:$A$500)+$A37-1,1)-1)</f>
        <v>7.8668378333297539E-3</v>
      </c>
      <c r="AQ37" s="9">
        <f ca="1">IF(OR(AQ10="",AQ$28&lt;$A37),"",AQ10/OFFSET(SSTotalESP!$A$2,MATCH(AQ$29,SSTotalESP!$A$2:$A$500)+$A37-1,1)-1)</f>
        <v>1.0858970419453495E-2</v>
      </c>
      <c r="AR37" s="9">
        <f ca="1">IF(OR(AR10="",AR$28&lt;$A37),"",AR10/OFFSET(SSTotalESP!$A$2,MATCH(AR$29,SSTotalESP!$A$2:$A$500)+$A37-1,1)-1)</f>
        <v>7.6774392724865415E-3</v>
      </c>
      <c r="AS37" s="9">
        <f ca="1">IF(OR(AS10="",AS$28&lt;$A37),"",AS10/OFFSET(SSTotalESP!$A$2,MATCH(AS$29,SSTotalESP!$A$2:$A$500)+$A37-1,1)-1)</f>
        <v>9.8525728690841419E-3</v>
      </c>
      <c r="AT37" s="9">
        <f ca="1">IF(OR(AT10="",AT$28&lt;$A37),"",AT10/OFFSET(SSTotalESP!$A$2,MATCH(AT$29,SSTotalESP!$A$2:$A$500)+$A37-1,1)-1)</f>
        <v>7.9490160251036723E-3</v>
      </c>
      <c r="AU37" s="9">
        <f ca="1">IF(OR(AU10="",AU$28&lt;$A37),"",AU10/OFFSET(SSTotalESP!$A$2,MATCH(AU$29,SSTotalESP!$A$2:$A$500)+$A37-1,1)-1)</f>
        <v>1.5762998756545077E-2</v>
      </c>
      <c r="AV37" s="9">
        <f ca="1">IF(OR(AV10="",AV$28&lt;$A37),"",AV10/OFFSET(SSTotalESP!$A$2,MATCH(AV$29,SSTotalESP!$A$2:$A$500)+$A37-1,1)-1)</f>
        <v>2.6186235197827923E-2</v>
      </c>
      <c r="AW37" s="9">
        <f ca="1">IF(OR(AW10="",AW$28&lt;$A37),"",AW10/OFFSET(SSTotalESP!$A$2,MATCH(AW$29,SSTotalESP!$A$2:$A$500)+$A37-1,1)-1)</f>
        <v>2.957540235867806E-2</v>
      </c>
      <c r="AX37" s="9">
        <f ca="1">IF(OR(AX10="",AX$28&lt;$A37),"",AX10/OFFSET(SSTotalESP!$A$2,MATCH(AX$29,SSTotalESP!$A$2:$A$500)+$A37-1,1)-1)</f>
        <v>3.3151522091883434E-2</v>
      </c>
      <c r="AY37" s="9">
        <f ca="1">IF(OR(AY10="",AY$28&lt;$A37),"",AY10/OFFSET(SSTotalESP!$A$2,MATCH(AY$29,SSTotalESP!$A$2:$A$500)+$A37-1,1)-1)</f>
        <v>3.5136304768985438E-2</v>
      </c>
      <c r="AZ37" s="9">
        <f ca="1">IF(OR(AZ10="",AZ$28&lt;$A37),"",AZ10/OFFSET(SSTotalESP!$A$2,MATCH(AZ$29,SSTotalESP!$A$2:$A$500)+$A37-1,1)-1)</f>
        <v>4.0985789963071451E-2</v>
      </c>
      <c r="BA37" s="9">
        <f ca="1">IF(OR(BA10="",BA$28&lt;$A37),"",BA10/OFFSET(SSTotalESP!$A$2,MATCH(BA$29,SSTotalESP!$A$2:$A$500)+$A37-1,1)-1)</f>
        <v>4.6734682363961166E-2</v>
      </c>
      <c r="BB37" s="9">
        <f ca="1">IF(OR(BB10="",BB$28&lt;$A37),"",BB10/OFFSET(SSTotalESP!$A$2,MATCH(BB$29,SSTotalESP!$A$2:$A$500)+$A37-1,1)-1)</f>
        <v>4.8684433146419126E-2</v>
      </c>
      <c r="BC37" s="9">
        <f ca="1">IF(OR(BC10="",BC$28&lt;$A37),"",BC10/OFFSET(SSTotalESP!$A$2,MATCH(BC$29,SSTotalESP!$A$2:$A$500)+$A37-1,1)-1)</f>
        <v>4.9740712283197652E-2</v>
      </c>
      <c r="BD37" s="9">
        <f ca="1">IF(OR(BD10="",BD$28&lt;$A37),"",BD10/OFFSET(SSTotalESP!$A$2,MATCH(BD$29,SSTotalESP!$A$2:$A$500)+$A37-1,1)-1)</f>
        <v>3.9918890352233616E-2</v>
      </c>
      <c r="BE37" s="9">
        <f ca="1">IF(OR(BE10="",BE$28&lt;$A37),"",BE10/OFFSET(SSTotalESP!$A$2,MATCH(BE$29,SSTotalESP!$A$2:$A$500)+$A37-1,1)-1)</f>
        <v>4.778967482409624E-2</v>
      </c>
      <c r="BF37" s="9">
        <f ca="1">IF(OR(BF10="",BF$28&lt;$A37),"",BF10/OFFSET(SSTotalESP!$A$2,MATCH(BF$29,SSTotalESP!$A$2:$A$500)+$A37-1,1)-1)</f>
        <v>5.5199110019432229E-2</v>
      </c>
      <c r="BG37" s="9">
        <f ca="1">IF(OR(BG10="",BG$28&lt;$A37),"",BG10/OFFSET(SSTotalESP!$A$2,MATCH(BG$29,SSTotalESP!$A$2:$A$500)+$A37-1,1)-1)</f>
        <v>3.8847989417356121E-2</v>
      </c>
      <c r="BH37" s="9">
        <f ca="1">IF(OR(BH10="",BH$28&lt;$A37),"",BH10/OFFSET(SSTotalESP!$A$2,MATCH(BH$29,SSTotalESP!$A$2:$A$500)+$A37-1,1)-1)</f>
        <v>1.1781809492670492E-2</v>
      </c>
      <c r="BI37" s="9">
        <f ca="1">IF(OR(BI10="",BI$28&lt;$A37),"",BI10/OFFSET(SSTotalESP!$A$2,MATCH(BI$29,SSTotalESP!$A$2:$A$500)+$A37-1,1)-1)</f>
        <v>-2.0399232716584614E-2</v>
      </c>
      <c r="BJ37" s="9">
        <f ca="1">IF(OR(BJ10="",BJ$28&lt;$A37),"",BJ10/OFFSET(SSTotalESP!$A$2,MATCH(BJ$29,SSTotalESP!$A$2:$A$500)+$A37-1,1)-1)</f>
        <v>-1.9103325395938398E-2</v>
      </c>
      <c r="BK37" s="9">
        <f ca="1">IF(OR(BK10="",BK$28&lt;$A37),"",BK10/OFFSET(SSTotalESP!$A$2,MATCH(BK$29,SSTotalESP!$A$2:$A$500)+$A37-1,1)-1)</f>
        <v>-2.502854687759537E-2</v>
      </c>
      <c r="BL37" s="9">
        <f ca="1">IF(OR(BL10="",BL$28&lt;$A37),"",BL10/OFFSET(SSTotalESP!$A$2,MATCH(BL$29,SSTotalESP!$A$2:$A$500)+$A37-1,1)-1)</f>
        <v>-4.0475685301103792E-2</v>
      </c>
      <c r="BM37" s="9">
        <f ca="1">IF(OR(BM10="",BM$28&lt;$A37),"",BM10/OFFSET(SSTotalESP!$A$2,MATCH(BM$29,SSTotalESP!$A$2:$A$500)+$A37-1,1)-1)</f>
        <v>-4.9154080324597116E-2</v>
      </c>
      <c r="BN37" s="9">
        <f ca="1">IF(OR(BN10="",BN$28&lt;$A37),"",BN10/OFFSET(SSTotalESP!$A$2,MATCH(BN$29,SSTotalESP!$A$2:$A$500)+$A37-1,1)-1)</f>
        <v>-3.4328931272072261E-2</v>
      </c>
      <c r="BO37" s="9">
        <f ca="1">IF(OR(BO10="",BO$28&lt;$A37),"",BO10/OFFSET(SSTotalESP!$A$2,MATCH(BO$29,SSTotalESP!$A$2:$A$500)+$A37-1,1)-1)</f>
        <v>-1.8287392257435364E-2</v>
      </c>
      <c r="BP37" s="9">
        <f ca="1">IF(OR(BP10="",BP$28&lt;$A37),"",BP10/OFFSET(SSTotalESP!$A$2,MATCH(BP$29,SSTotalESP!$A$2:$A$500)+$A37-1,1)-1)</f>
        <v>-1.8393251983484626E-2</v>
      </c>
      <c r="BQ37" s="9">
        <f ca="1">IF(OR(BQ10="",BQ$28&lt;$A37),"",BQ10/OFFSET(SSTotalESP!$A$2,MATCH(BQ$29,SSTotalESP!$A$2:$A$500)+$A37-1,1)-1)</f>
        <v>-1.8354393428874571E-2</v>
      </c>
      <c r="BR37" s="9">
        <f ca="1">IF(OR(BR10="",BR$28&lt;$A37),"",BR10/OFFSET(SSTotalESP!$A$2,MATCH(BR$29,SSTotalESP!$A$2:$A$500)+$A37-1,1)-1)</f>
        <v>1.8491001716638422E-3</v>
      </c>
      <c r="BS37" s="9">
        <f ca="1">IF(OR(BS10="",BS$28&lt;$A37),"",BS10/OFFSET(SSTotalESP!$A$2,MATCH(BS$29,SSTotalESP!$A$2:$A$500)+$A37-1,1)-1)</f>
        <v>-1.4576804664311216E-2</v>
      </c>
      <c r="BT37" s="9">
        <f ca="1">IF(OR(BT10="",BT$28&lt;$A37),"",BT10/OFFSET(SSTotalESP!$A$2,MATCH(BT$29,SSTotalESP!$A$2:$A$500)+$A37-1,1)-1)</f>
        <v>-8.7899450211300634E-3</v>
      </c>
      <c r="BU37" s="9">
        <f ca="1">IF(OR(BU10="",BU$28&lt;$A37),"",BU10/OFFSET(SSTotalESP!$A$2,MATCH(BU$29,SSTotalESP!$A$2:$A$500)+$A37-1,1)-1)</f>
        <v>-4.3848848149747877E-3</v>
      </c>
      <c r="BV37" s="9">
        <f ca="1">IF(OR(BV10="",BV$28&lt;$A37),"",BV10/OFFSET(SSTotalESP!$A$2,MATCH(BV$29,SSTotalESP!$A$2:$A$500)+$A37-1,1)-1)</f>
        <v>8.8129560890362058E-3</v>
      </c>
      <c r="BW37" s="9">
        <f ca="1">IF(OR(BW10="",BW$28&lt;$A37),"",BW10/OFFSET(SSTotalESP!$A$2,MATCH(BW$29,SSTotalESP!$A$2:$A$500)+$A37-1,1)-1)</f>
        <v>-4.013187227836279E-3</v>
      </c>
      <c r="BX37" s="9">
        <f ca="1">IF(OR(BX10="",BX$28&lt;$A37),"",BX10/OFFSET(SSTotalESP!$A$2,MATCH(BX$29,SSTotalESP!$A$2:$A$500)+$A37-1,1)-1)</f>
        <v>-7.2014120002971138E-3</v>
      </c>
      <c r="BY37" s="9">
        <f ca="1">IF(OR(BY10="",BY$28&lt;$A37),"",BY10/OFFSET(SSTotalESP!$A$2,MATCH(BY$29,SSTotalESP!$A$2:$A$500)+$A37-1,1)-1)</f>
        <v>-7.9345388859980437E-3</v>
      </c>
      <c r="BZ37" s="9">
        <f ca="1">IF(OR(BZ10="",BZ$28&lt;$A37),"",BZ10/OFFSET(SSTotalESP!$A$2,MATCH(BZ$29,SSTotalESP!$A$2:$A$500)+$A37-1,1)-1)</f>
        <v>-1.97913484854495E-3</v>
      </c>
      <c r="CA37" s="9">
        <f ca="1">IF(OR(CA10="",CA$28&lt;$A37),"",CA10/OFFSET(SSTotalESP!$A$2,MATCH(CA$29,SSTotalESP!$A$2:$A$500)+$A37-1,1)-1)</f>
        <v>-4.1435084728801419E-3</v>
      </c>
      <c r="CB37" s="9">
        <f ca="1">IF(OR(CB10="",CB$28&lt;$A37),"",CB10/OFFSET(SSTotalESP!$A$2,MATCH(CB$29,SSTotalESP!$A$2:$A$500)+$A37-1,1)-1)</f>
        <v>-2.6539962364252601E-3</v>
      </c>
      <c r="CC37" s="9">
        <f ca="1">IF(OR(CC10="",CC$28&lt;$A37),"",CC10/OFFSET(SSTotalESP!$A$2,MATCH(CC$29,SSTotalESP!$A$2:$A$500)+$A37-1,1)-1)</f>
        <v>-5.3318241145685619E-3</v>
      </c>
      <c r="CD37" s="9">
        <f ca="1">IF(OR(CD10="",CD$28&lt;$A37),"",CD10/OFFSET(SSTotalESP!$A$2,MATCH(CD$29,SSTotalESP!$A$2:$A$500)+$A37-1,1)-1)</f>
        <v>3.0612009255219785E-3</v>
      </c>
      <c r="CE37" s="9">
        <f ca="1">IF(OR(CE10="",CE$28&lt;$A37),"",CE10/OFFSET(SSTotalESP!$A$2,MATCH(CE$29,SSTotalESP!$A$2:$A$500)+$A37-1,1)-1)</f>
        <v>2.2086069262789998E-3</v>
      </c>
      <c r="CF37" s="9">
        <f ca="1">IF(OR(CF10="",CF$28&lt;$A37),"",CF10/OFFSET(SSTotalESP!$A$2,MATCH(CF$29,SSTotalESP!$A$2:$A$500)+$A37-1,1)-1)</f>
        <v>3.4084510309841942E-3</v>
      </c>
      <c r="CG37" s="9">
        <f ca="1">IF(OR(CG10="",CG$28&lt;$A37),"",CG10/OFFSET(SSTotalESP!$A$2,MATCH(CG$29,SSTotalESP!$A$2:$A$500)+$A37-1,1)-1)</f>
        <v>2.7742548094398245E-3</v>
      </c>
      <c r="CH37" s="9">
        <f ca="1">IF(OR(CH10="",CH$28&lt;$A37),"",CH10/OFFSET(SSTotalESP!$A$2,MATCH(CH$29,SSTotalESP!$A$2:$A$500)+$A37-1,1)-1)</f>
        <v>8.0129201904555192E-3</v>
      </c>
      <c r="CI37" s="9">
        <f ca="1">IF(OR(CI10="",CI$28&lt;$A37),"",CI10/OFFSET(SSTotalESP!$A$2,MATCH(CI$29,SSTotalESP!$A$2:$A$500)+$A37-1,1)-1)</f>
        <v>8.6654617992716343E-3</v>
      </c>
      <c r="CJ37" s="9">
        <f ca="1">IF(OR(CJ10="",CJ$28&lt;$A37),"",CJ10/OFFSET(SSTotalESP!$A$2,MATCH(CJ$29,SSTotalESP!$A$2:$A$500)+$A37-1,1)-1)</f>
        <v>-6.1223060100417115E-3</v>
      </c>
      <c r="CK37" s="9">
        <f ca="1">IF(OR(CK10="",CK$28&lt;$A37),"",CK10/OFFSET(SSTotalESP!$A$2,MATCH(CK$29,SSTotalESP!$A$2:$A$500)+$A37-1,1)-1)</f>
        <v>1.0084134428704816E-2</v>
      </c>
      <c r="CL37" s="9">
        <f ca="1">IF(OR(CL10="",CL$28&lt;$A37),"",CL10/OFFSET(SSTotalESP!$A$2,MATCH(CL$29,SSTotalESP!$A$2:$A$500)+$A37-1,1)-1)</f>
        <v>1.6379976128743534E-2</v>
      </c>
      <c r="CM37" s="9">
        <f ca="1">IF(OR(CM10="",CM$28&lt;$A37),"",CM10/OFFSET(SSTotalESP!$A$2,MATCH(CM$29,SSTotalESP!$A$2:$A$500)+$A37-1,1)-1)</f>
        <v>1.4920085202400513E-2</v>
      </c>
      <c r="CN37" s="9">
        <f ca="1">IF(OR(CN10="",CN$28&lt;$A37),"",CN10/OFFSET(SSTotalESP!$A$2,MATCH(CN$29,SSTotalESP!$A$2:$A$500)+$A37-1,1)-1)</f>
        <v>8.5761717209580368E-3</v>
      </c>
      <c r="CO37" s="9">
        <f ca="1">IF(OR(CO10="",CO$28&lt;$A37),"",CO10/OFFSET(SSTotalESP!$A$2,MATCH(CO$29,SSTotalESP!$A$2:$A$500)+$A37-1,1)-1)</f>
        <v>1.1893479988354327E-2</v>
      </c>
      <c r="CP37" s="9">
        <f ca="1">IF(OR(CP10="",CP$28&lt;$A37),"",CP10/OFFSET(SSTotalESP!$A$2,MATCH(CP$29,SSTotalESP!$A$2:$A$500)+$A37-1,1)-1)</f>
        <v>1.7573442483283408E-2</v>
      </c>
      <c r="CQ37" s="9">
        <f ca="1">IF(OR(CQ10="",CQ$28&lt;$A37),"",CQ10/OFFSET(SSTotalESP!$A$2,MATCH(CQ$29,SSTotalESP!$A$2:$A$500)+$A37-1,1)-1)</f>
        <v>1.4956057703657821E-2</v>
      </c>
      <c r="CR37" s="9">
        <f ca="1">IF(OR(CR10="",CR$28&lt;$A37),"",CR10/OFFSET(SSTotalESP!$A$2,MATCH(CR$29,SSTotalESP!$A$2:$A$500)+$A37-1,1)-1)</f>
        <v>1.0446867346036726E-4</v>
      </c>
      <c r="CS37" s="9">
        <f ca="1">IF(OR(CS10="",CS$28&lt;$A37),"",CS10/OFFSET(SSTotalESP!$A$2,MATCH(CS$29,SSTotalESP!$A$2:$A$500)+$A37-1,1)-1)</f>
        <v>1.0796954128529102E-3</v>
      </c>
      <c r="CT37" s="9">
        <f ca="1">IF(OR(CT10="",CT$28&lt;$A37),"",CT10/OFFSET(SSTotalESP!$A$2,MATCH(CT$29,SSTotalESP!$A$2:$A$500)+$A37-1,1)-1)</f>
        <v>1.7926204543242674E-2</v>
      </c>
      <c r="CU37" s="9">
        <f ca="1">IF(OR(CU10="",CU$28&lt;$A37),"",CU10/OFFSET(SSTotalESP!$A$2,MATCH(CU$29,SSTotalESP!$A$2:$A$500)+$A37-1,1)-1)</f>
        <v>7.1916805382785665E-3</v>
      </c>
      <c r="CV37" s="9">
        <f ca="1">IF(OR(CV10="",CV$28&lt;$A37),"",CV10/OFFSET(SSTotalESP!$A$2,MATCH(CV$29,SSTotalESP!$A$2:$A$500)+$A37-1,1)-1)</f>
        <v>-1.6335500973445605E-3</v>
      </c>
      <c r="CW37" s="9">
        <f ca="1">IF(OR(CW10="",CW$28&lt;$A37),"",CW10/OFFSET(SSTotalESP!$A$2,MATCH(CW$29,SSTotalESP!$A$2:$A$500)+$A37-1,1)-1)</f>
        <v>7.1597397978451216E-3</v>
      </c>
      <c r="CX37" s="9">
        <f ca="1">IF(OR(CX10="",CX$28&lt;$A37),"",CX10/OFFSET(SSTotalESP!$A$2,MATCH(CX$29,SSTotalESP!$A$2:$A$500)+$A37-1,1)-1)</f>
        <v>3.3457143488588859E-3</v>
      </c>
      <c r="CY37" s="9">
        <f ca="1">IF(OR(CY10="",CY$28&lt;$A37),"",CY10/OFFSET(SSTotalESP!$A$2,MATCH(CY$29,SSTotalESP!$A$2:$A$500)+$A37-1,1)-1)</f>
        <v>9.397400388758248E-3</v>
      </c>
      <c r="CZ37" s="9">
        <f ca="1">IF(OR(CZ10="",CZ$28&lt;$A37),"",CZ10/OFFSET(SSTotalESP!$A$2,MATCH(CZ$29,SSTotalESP!$A$2:$A$500)+$A37-1,1)-1)</f>
        <v>2.2127752389946354E-2</v>
      </c>
      <c r="DA37" s="9">
        <f ca="1">IF(OR(DA10="",DA$28&lt;$A37),"",DA10/OFFSET(SSTotalESP!$A$2,MATCH(DA$29,SSTotalESP!$A$2:$A$500)+$A37-1,1)-1)</f>
        <v>5.0613023181544925E-3</v>
      </c>
      <c r="DB37" s="9">
        <f ca="1">IF(OR(DB10="",DB$28&lt;$A37),"",DB10/OFFSET(SSTotalESP!$A$2,MATCH(DB$29,SSTotalESP!$A$2:$A$500)+$A37-1,1)-1)</f>
        <v>1.0129024657450358E-2</v>
      </c>
      <c r="DC37" s="9">
        <f ca="1">IF(OR(DC10="",DC$28&lt;$A37),"",DC10/OFFSET(SSTotalESP!$A$2,MATCH(DC$29,SSTotalESP!$A$2:$A$500)+$A37-1,1)-1)</f>
        <v>2.0680516144742089E-3</v>
      </c>
      <c r="DD37" s="9">
        <f ca="1">IF(OR(DD10="",DD$28&lt;$A37),"",DD10/OFFSET(SSTotalESP!$A$2,MATCH(DD$29,SSTotalESP!$A$2:$A$500)+$A37-1,1)-1)</f>
        <v>1.2546295569919597E-3</v>
      </c>
      <c r="DE37" s="9">
        <f ca="1">IF(OR(DE10="",DE$28&lt;$A37),"",DE10/OFFSET(SSTotalESP!$A$2,MATCH(DE$29,SSTotalESP!$A$2:$A$500)+$A37-1,1)-1)</f>
        <v>-2.7248684025111158E-2</v>
      </c>
      <c r="DF37" s="9">
        <f ca="1">IF(OR(DF10="",DF$28&lt;$A37),"",DF10/OFFSET(SSTotalESP!$A$2,MATCH(DF$29,SSTotalESP!$A$2:$A$500)+$A37-1,1)-1)</f>
        <v>-2.0599030863315937E-2</v>
      </c>
      <c r="DG37" s="9">
        <f ca="1">IF(OR(DG10="",DG$28&lt;$A37),"",DG10/OFFSET(SSTotalESP!$A$2,MATCH(DG$29,SSTotalESP!$A$2:$A$500)+$A37-1,1)-1)</f>
        <v>-1.3680941418573234E-2</v>
      </c>
      <c r="DH37" s="9">
        <f ca="1">IF(OR(DH10="",DH$28&lt;$A37),"",DH10/OFFSET(SSTotalESP!$A$2,MATCH(DH$29,SSTotalESP!$A$2:$A$500)+$A37-1,1)-1)</f>
        <v>-1.972784593575283E-2</v>
      </c>
      <c r="DI37" s="9">
        <f ca="1">IF(OR(DI10="",DI$28&lt;$A37),"",DI10/OFFSET(SSTotalESP!$A$2,MATCH(DI$29,SSTotalESP!$A$2:$A$500)+$A37-1,1)-1)</f>
        <v>-2.2116661503881474E-2</v>
      </c>
      <c r="DJ37" s="9">
        <f ca="1">IF(OR(DJ10="",DJ$28&lt;$A37),"",DJ10/OFFSET(SSTotalESP!$A$2,MATCH(DJ$29,SSTotalESP!$A$2:$A$500)+$A37-1,1)-1)</f>
        <v>-2.7899530667702455E-2</v>
      </c>
      <c r="DK37" s="9">
        <f ca="1">IF(OR(DK10="",DK$28&lt;$A37),"",DK10/OFFSET(SSTotalESP!$A$2,MATCH(DK$29,SSTotalESP!$A$2:$A$500)+$A37-1,1)-1)</f>
        <v>-2.0090045264138823E-2</v>
      </c>
      <c r="DL37" s="9">
        <f ca="1">IF(OR(DL10="",DL$28&lt;$A37),"",DL10/OFFSET(SSTotalESP!$A$2,MATCH(DL$29,SSTotalESP!$A$2:$A$500)+$A37-1,1)-1)</f>
        <v>-2.7933711659380522E-2</v>
      </c>
      <c r="DM37" s="9">
        <f ca="1">IF(OR(DM10="",DM$28&lt;$A37),"",DM10/OFFSET(SSTotalESP!$A$2,MATCH(DM$29,SSTotalESP!$A$2:$A$500)+$A37-1,1)-1)</f>
        <v>-3.2414508470104297E-2</v>
      </c>
      <c r="DN37" s="9">
        <f ca="1">IF(OR(DN10="",DN$28&lt;$A37),"",DN10/OFFSET(SSTotalESP!$A$2,MATCH(DN$29,SSTotalESP!$A$2:$A$500)+$A37-1,1)-1)</f>
        <v>-2.7901084811696952E-2</v>
      </c>
      <c r="DO37" s="9">
        <f ca="1">IF(OR(DO10="",DO$28&lt;$A37),"",DO10/OFFSET(SSTotalESP!$A$2,MATCH(DO$29,SSTotalESP!$A$2:$A$500)+$A37-1,1)-1)</f>
        <v>-2.7933768799753955E-2</v>
      </c>
      <c r="DP37" s="9">
        <f ca="1">IF(OR(DP10="",DP$28&lt;$A37),"",DP10/OFFSET(SSTotalESP!$A$2,MATCH(DP$29,SSTotalESP!$A$2:$A$500)+$A37-1,1)-1)</f>
        <v>-1.2213814922402699E-2</v>
      </c>
      <c r="DQ37" s="9">
        <f ca="1">IF(OR(DQ10="",DQ$28&lt;$A37),"",DQ10/OFFSET(SSTotalESP!$A$2,MATCH(DQ$29,SSTotalESP!$A$2:$A$500)+$A37-1,1)-1)</f>
        <v>-1.2204125403638022E-2</v>
      </c>
      <c r="DR37" s="9">
        <f ca="1">IF(OR(DR10="",DR$28&lt;$A37),"",DR10/OFFSET(SSTotalESP!$A$2,MATCH(DR$29,SSTotalESP!$A$2:$A$500)+$A37-1,1)-1)</f>
        <v>4.3735408747698212E-3</v>
      </c>
      <c r="DS37" s="9">
        <f ca="1">IF(OR(DS10="",DS$28&lt;$A37),"",DS10/OFFSET(SSTotalESP!$A$2,MATCH(DS$29,SSTotalESP!$A$2:$A$500)+$A37-1,1)-1)</f>
        <v>-6.6644448371948606E-3</v>
      </c>
      <c r="DT37" s="9">
        <f ca="1">IF(OR(DT10="",DT$28&lt;$A37),"",DT10/OFFSET(SSTotalESP!$A$2,MATCH(DT$29,SSTotalESP!$A$2:$A$500)+$A37-1,1)-1)</f>
        <v>-6.7442133372630497E-3</v>
      </c>
      <c r="DU37" s="9">
        <f ca="1">IF(OR(DU10="",DU$28&lt;$A37),"",DU10/OFFSET(SSTotalESP!$A$2,MATCH(DU$29,SSTotalESP!$A$2:$A$500)+$A37-1,1)-1)</f>
        <v>-1.1264952938424111E-2</v>
      </c>
      <c r="DV37" s="9">
        <f ca="1">IF(OR(DV10="",DV$28&lt;$A37),"",DV10/OFFSET(SSTotalESP!$A$2,MATCH(DV$29,SSTotalESP!$A$2:$A$500)+$A37-1,1)-1)</f>
        <v>-3.3809389005045043E-3</v>
      </c>
      <c r="DW37" s="9">
        <f ca="1">IF(OR(DW10="",DW$28&lt;$A37),"",DW10/OFFSET(SSTotalESP!$A$2,MATCH(DW$29,SSTotalESP!$A$2:$A$500)+$A37-1,1)-1)</f>
        <v>1.2153055772374799E-3</v>
      </c>
      <c r="DX37" s="9">
        <f ca="1">IF(OR(DX10="",DX$28&lt;$A37),"",DX10/OFFSET(SSTotalESP!$A$2,MATCH(DX$29,SSTotalESP!$A$2:$A$500)+$A37-1,1)-1)</f>
        <v>-1.0480282763502657E-2</v>
      </c>
      <c r="DY37" s="9">
        <f ca="1">IF(OR(DY10="",DY$28&lt;$A37),"",DY10/OFFSET(SSTotalESP!$A$2,MATCH(DY$29,SSTotalESP!$A$2:$A$500)+$A37-1,1)-1)</f>
        <v>-1.6616991884101484E-2</v>
      </c>
      <c r="DZ37" s="9">
        <f ca="1">IF(OR(DZ10="",DZ$28&lt;$A37),"",DZ10/OFFSET(SSTotalESP!$A$2,MATCH(DZ$29,SSTotalESP!$A$2:$A$500)+$A37-1,1)-1)</f>
        <v>-2.3311144058078548E-2</v>
      </c>
      <c r="EA37" s="9">
        <f ca="1">IF(OR(EA10="",EA$28&lt;$A37),"",EA10/OFFSET(SSTotalESP!$A$2,MATCH(EA$29,SSTotalESP!$A$2:$A$500)+$A37-1,1)-1)</f>
        <v>-1.7462880903889144E-2</v>
      </c>
      <c r="EB37" s="9">
        <f ca="1">IF(OR(EB10="",EB$28&lt;$A37),"",EB10/OFFSET(SSTotalESP!$A$2,MATCH(EB$29,SSTotalESP!$A$2:$A$500)+$A37-1,1)-1)</f>
        <v>-2.097679319407153E-2</v>
      </c>
      <c r="EC37" s="9">
        <f ca="1">IF(OR(EC10="",EC$28&lt;$A37),"",EC10/OFFSET(SSTotalESP!$A$2,MATCH(EC$29,SSTotalESP!$A$2:$A$500)+$A37-1,1)-1)</f>
        <v>-1.9760555647376776E-3</v>
      </c>
      <c r="ED37" s="9">
        <f ca="1">IF(OR(ED10="",ED$28&lt;$A37),"",ED10/OFFSET(SSTotalESP!$A$2,MATCH(ED$29,SSTotalESP!$A$2:$A$500)+$A37-1,1)-1)</f>
        <v>7.1627645472474022E-3</v>
      </c>
      <c r="EE37" s="9">
        <f ca="1">IF(OR(EE10="",EE$28&lt;$A37),"",EE10/OFFSET(SSTotalESP!$A$2,MATCH(EE$29,SSTotalESP!$A$2:$A$500)+$A37-1,1)-1)</f>
        <v>-7.3248119991218275E-3</v>
      </c>
      <c r="EF37" s="9">
        <f ca="1">IF(OR(EF10="",EF$28&lt;$A37),"",EF10/OFFSET(SSTotalESP!$A$2,MATCH(EF$29,SSTotalESP!$A$2:$A$500)+$A37-1,1)-1)</f>
        <v>3.4475865626295565E-3</v>
      </c>
      <c r="EG37" s="9">
        <f ca="1">IF(OR(EG10="",EG$28&lt;$A37),"",EG10/OFFSET(SSTotalESP!$A$2,MATCH(EG$29,SSTotalESP!$A$2:$A$500)+$A37-1,1)-1)</f>
        <v>1.4380731065923413E-2</v>
      </c>
      <c r="EH37" s="9">
        <f ca="1">IF(OR(EH10="",EH$28&lt;$A37),"",EH10/OFFSET(SSTotalESP!$A$2,MATCH(EH$29,SSTotalESP!$A$2:$A$500)+$A37-1,1)-1)</f>
        <v>1.4567337169275163E-2</v>
      </c>
      <c r="EI37" s="9">
        <f ca="1">IF(OR(EI10="",EI$28&lt;$A37),"",EI10/OFFSET(SSTotalESP!$A$2,MATCH(EI$29,SSTotalESP!$A$2:$A$500)+$A37-1,1)-1)</f>
        <v>1.6837320892487906E-2</v>
      </c>
      <c r="EJ37" s="9">
        <f ca="1">IF(OR(EJ10="",EJ$28&lt;$A37),"",EJ10/OFFSET(SSTotalESP!$A$2,MATCH(EJ$29,SSTotalESP!$A$2:$A$500)+$A37-1,1)-1)</f>
        <v>-1.4540759255919911E-3</v>
      </c>
      <c r="EK37" s="9">
        <f ca="1">IF(OR(EK10="",EK$28&lt;$A37),"",EK10/OFFSET(SSTotalESP!$A$2,MATCH(EK$29,SSTotalESP!$A$2:$A$500)+$A37-1,1)-1)</f>
        <v>-9.435058837233834E-4</v>
      </c>
      <c r="EL37" s="9">
        <f ca="1">IF(OR(EL10="",EL$28&lt;$A37),"",EL10/OFFSET(SSTotalESP!$A$2,MATCH(EL$29,SSTotalESP!$A$2:$A$500)+$A37-1,1)-1)</f>
        <v>-1.266768958100295E-2</v>
      </c>
      <c r="EM37" s="9">
        <f ca="1">IF(OR(EM10="",EM$28&lt;$A37),"",EM10/OFFSET(SSTotalESP!$A$2,MATCH(EM$29,SSTotalESP!$A$2:$A$500)+$A37-1,1)-1)</f>
        <v>-8.2291149350735004E-3</v>
      </c>
      <c r="EN37" s="9">
        <f ca="1">IF(OR(EN10="",EN$28&lt;$A37),"",EN10/OFFSET(SSTotalESP!$A$2,MATCH(EN$29,SSTotalESP!$A$2:$A$500)+$A37-1,1)-1)</f>
        <v>-7.6702127052675761E-3</v>
      </c>
      <c r="EO37" s="9">
        <f ca="1">IF(OR(EO10="",EO$28&lt;$A37),"",EO10/OFFSET(SSTotalESP!$A$2,MATCH(EO$29,SSTotalESP!$A$2:$A$500)+$A37-1,1)-1)</f>
        <v>-3.6794212848479946E-3</v>
      </c>
      <c r="EP37" s="9">
        <f ca="1">IF(OR(EP10="",EP$28&lt;$A37),"",EP10/OFFSET(SSTotalESP!$A$2,MATCH(EP$29,SSTotalESP!$A$2:$A$500)+$A37-1,1)-1)</f>
        <v>4.4625166183518417E-3</v>
      </c>
      <c r="EQ37" s="9">
        <f ca="1">IF(OR(EQ10="",EQ$28&lt;$A37),"",EQ10/OFFSET(SSTotalESP!$A$2,MATCH(EQ$29,SSTotalESP!$A$2:$A$500)+$A37-1,1)-1)</f>
        <v>-4.1543454486315801E-3</v>
      </c>
      <c r="ER37" s="9">
        <f ca="1">IF(OR(ER10="",ER$28&lt;$A37),"",ER10/OFFSET(SSTotalESP!$A$2,MATCH(ER$29,SSTotalESP!$A$2:$A$500)+$A37-1,1)-1)</f>
        <v>-1.0984226558650056E-2</v>
      </c>
      <c r="ES37" s="9">
        <f ca="1">IF(OR(ES10="",ES$28&lt;$A37),"",ES10/OFFSET(SSTotalESP!$A$2,MATCH(ES$29,SSTotalESP!$A$2:$A$500)+$A37-1,1)-1)</f>
        <v>-6.4401401976903472E-3</v>
      </c>
      <c r="ET37" s="9">
        <f ca="1">IF(OR(ET10="",ET$28&lt;$A37),"",ET10/OFFSET(SSTotalESP!$A$2,MATCH(ET$29,SSTotalESP!$A$2:$A$500)+$A37-1,1)-1)</f>
        <v>-5.7623712441511321E-3</v>
      </c>
      <c r="EU37" s="9">
        <f ca="1">IF(OR(EU10="",EU$28&lt;$A37),"",EU10/OFFSET(SSTotalESP!$A$2,MATCH(EU$29,SSTotalESP!$A$2:$A$500)+$A37-1,1)-1)</f>
        <v>-5.9604763889603563E-3</v>
      </c>
      <c r="EV37" s="9">
        <f ca="1">IF(OR(EV10="",EV$28&lt;$A37),"",EV10/OFFSET(SSTotalESP!$A$2,MATCH(EV$29,SSTotalESP!$A$2:$A$500)+$A37-1,1)-1)</f>
        <v>3.5320835638124048E-3</v>
      </c>
      <c r="EW37" s="9">
        <f ca="1">IF(OR(EW10="",EW$28&lt;$A37),"",EW10/OFFSET(SSTotalESP!$A$2,MATCH(EW$29,SSTotalESP!$A$2:$A$500)+$A37-1,1)-1)</f>
        <v>1.330358630564632E-4</v>
      </c>
      <c r="EX37" s="9">
        <f ca="1">IF(OR(EX10="",EX$28&lt;$A37),"",EX10/OFFSET(SSTotalESP!$A$2,MATCH(EX$29,SSTotalESP!$A$2:$A$500)+$A37-1,1)-1)</f>
        <v>-1.5404402902164271E-2</v>
      </c>
      <c r="EY37" s="9">
        <f ca="1">IF(OR(EY10="",EY$28&lt;$A37),"",EY10/OFFSET(SSTotalESP!$A$2,MATCH(EY$29,SSTotalESP!$A$2:$A$500)+$A37-1,1)-1)</f>
        <v>-1.5066374696911189E-2</v>
      </c>
      <c r="EZ37" s="9">
        <f ca="1">IF(OR(EZ10="",EZ$28&lt;$A37),"",EZ10/OFFSET(SSTotalESP!$A$2,MATCH(EZ$29,SSTotalESP!$A$2:$A$500)+$A37-1,1)-1)</f>
        <v>-3.8884728729871032E-4</v>
      </c>
      <c r="FA37" s="9">
        <f ca="1">IF(OR(FA10="",FA$28&lt;$A37),"",FA10/OFFSET(SSTotalESP!$A$2,MATCH(FA$29,SSTotalESP!$A$2:$A$500)+$A37-1,1)-1)</f>
        <v>-1.0665751272275981E-2</v>
      </c>
      <c r="FB37" s="9">
        <f ca="1">IF(OR(FB10="",FB$28&lt;$A37),"",FB10/OFFSET(SSTotalESP!$A$2,MATCH(FB$29,SSTotalESP!$A$2:$A$500)+$A37-1,1)-1)</f>
        <v>-5.8535473594919507E-3</v>
      </c>
      <c r="FC37" s="9">
        <f ca="1">IF(OR(FC10="",FC$28&lt;$A37),"",FC10/OFFSET(SSTotalESP!$A$2,MATCH(FC$29,SSTotalESP!$A$2:$A$500)+$A37-1,1)-1)</f>
        <v>-3.3837120553475986E-3</v>
      </c>
      <c r="FD37" s="9">
        <f ca="1">IF(OR(FD10="",FD$28&lt;$A37),"",FD10/OFFSET(SSTotalESP!$A$2,MATCH(FD$29,SSTotalESP!$A$2:$A$500)+$A37-1,1)-1)</f>
        <v>-4.7042446344770505E-3</v>
      </c>
      <c r="FE37" s="9">
        <f ca="1">IF(OR(FE10="",FE$28&lt;$A37),"",FE10/OFFSET(SSTotalESP!$A$2,MATCH(FE$29,SSTotalESP!$A$2:$A$500)+$A37-1,1)-1)</f>
        <v>1.1800776755568343E-3</v>
      </c>
      <c r="FF37" s="9">
        <f ca="1">IF(OR(FF10="",FF$28&lt;$A37),"",FF10/OFFSET(SSTotalESP!$A$2,MATCH(FF$29,SSTotalESP!$A$2:$A$500)+$A37-1,1)-1)</f>
        <v>1.1699251548689782E-2</v>
      </c>
      <c r="FG37" s="9">
        <f ca="1">IF(OR(FG10="",FG$28&lt;$A37),"",FG10/OFFSET(SSTotalESP!$A$2,MATCH(FG$29,SSTotalESP!$A$2:$A$500)+$A37-1,1)-1)</f>
        <v>1.0126706865038582E-2</v>
      </c>
      <c r="FH37" s="9">
        <f ca="1">IF(OR(FH10="",FH$28&lt;$A37),"",FH10/OFFSET(SSTotalESP!$A$2,MATCH(FH$29,SSTotalESP!$A$2:$A$500)+$A37-1,1)-1)</f>
        <v>5.0313763699372238E-3</v>
      </c>
      <c r="FI37" s="9">
        <f ca="1">IF(OR(FI10="",FI$28&lt;$A37),"",FI10/OFFSET(SSTotalESP!$A$2,MATCH(FI$29,SSTotalESP!$A$2:$A$500)+$A37-1,1)-1)</f>
        <v>-2.8145159401629094E-3</v>
      </c>
      <c r="FJ37" s="9">
        <f ca="1">IF(OR(FJ10="",FJ$28&lt;$A37),"",FJ10/OFFSET(SSTotalESP!$A$2,MATCH(FJ$29,SSTotalESP!$A$2:$A$500)+$A37-1,1)-1)</f>
        <v>-1.3507274972871852E-2</v>
      </c>
      <c r="FK37" s="9">
        <f ca="1">IF(OR(FK10="",FK$28&lt;$A37),"",FK10/OFFSET(SSTotalESP!$A$2,MATCH(FK$29,SSTotalESP!$A$2:$A$500)+$A37-1,1)-1)</f>
        <v>-6.8308982723915834E-3</v>
      </c>
      <c r="FL37" s="9">
        <f ca="1">IF(OR(FL10="",FL$28&lt;$A37),"",FL10/OFFSET(SSTotalESP!$A$2,MATCH(FL$29,SSTotalESP!$A$2:$A$500)+$A37-1,1)-1)</f>
        <v>-1.0177439094698482E-3</v>
      </c>
      <c r="FM37" s="9">
        <f ca="1">IF(OR(FM10="",FM$28&lt;$A37),"",FM10/OFFSET(SSTotalESP!$A$2,MATCH(FM$29,SSTotalESP!$A$2:$A$500)+$A37-1,1)-1)</f>
        <v>1.3647686165234596E-3</v>
      </c>
      <c r="FN37" s="9">
        <f ca="1">IF(OR(FN10="",FN$28&lt;$A37),"",FN10/OFFSET(SSTotalESP!$A$2,MATCH(FN$29,SSTotalESP!$A$2:$A$500)+$A37-1,1)-1)</f>
        <v>-1.4431296835446528E-3</v>
      </c>
      <c r="FO37" s="9">
        <f ca="1">IF(OR(FO10="",FO$28&lt;$A37),"",FO10/OFFSET(SSTotalESP!$A$2,MATCH(FO$29,SSTotalESP!$A$2:$A$500)+$A37-1,1)-1)</f>
        <v>8.1987110830805676E-4</v>
      </c>
      <c r="FP37" s="9">
        <f ca="1">IF(OR(FP10="",FP$28&lt;$A37),"",FP10/OFFSET(SSTotalESP!$A$2,MATCH(FP$29,SSTotalESP!$A$2:$A$500)+$A37-1,1)-1)</f>
        <v>-4.138205533289474E-4</v>
      </c>
      <c r="FQ37" s="9">
        <f ca="1">IF(OR(FQ10="",FQ$28&lt;$A37),"",FQ10/OFFSET(SSTotalESP!$A$2,MATCH(FQ$29,SSTotalESP!$A$2:$A$500)+$A37-1,1)-1)</f>
        <v>-8.7699200510993336E-4</v>
      </c>
      <c r="FR37" s="9">
        <f ca="1">IF(OR(FR10="",FR$28&lt;$A37),"",FR10/OFFSET(SSTotalESP!$A$2,MATCH(FR$29,SSTotalESP!$A$2:$A$500)+$A37-1,1)-1)</f>
        <v>-4.2549682447133863E-3</v>
      </c>
      <c r="FS37" s="9">
        <f ca="1">IF(OR(FS10="",FS$28&lt;$A37),"",FS10/OFFSET(SSTotalESP!$A$2,MATCH(FS$29,SSTotalESP!$A$2:$A$500)+$A37-1,1)-1)</f>
        <v>6.5080649883073605E-3</v>
      </c>
      <c r="FT37" s="9">
        <f ca="1">IF(OR(FT10="",FT$28&lt;$A37),"",FT10/OFFSET(SSTotalESP!$A$2,MATCH(FT$29,SSTotalESP!$A$2:$A$500)+$A37-1,1)-1)</f>
        <v>5.6551714825905375E-3</v>
      </c>
      <c r="FU37" s="9">
        <f ca="1">IF(OR(FU10="",FU$28&lt;$A37),"",FU10/OFFSET(SSTotalESP!$A$2,MATCH(FU$29,SSTotalESP!$A$2:$A$500)+$A37-1,1)-1)</f>
        <v>-3.8777177073681113E-3</v>
      </c>
      <c r="FV37" s="9">
        <f ca="1">IF(OR(FV10="",FV$28&lt;$A37),"",FV10/OFFSET(SSTotalESP!$A$2,MATCH(FV$29,SSTotalESP!$A$2:$A$500)+$A37-1,1)-1)</f>
        <v>-1.4849444651891641E-2</v>
      </c>
      <c r="FW37" s="9">
        <f ca="1">IF(OR(FW10="",FW$28&lt;$A37),"",FW10/OFFSET(SSTotalESP!$A$2,MATCH(FW$29,SSTotalESP!$A$2:$A$500)+$A37-1,1)-1)</f>
        <v>-9.5270789034455072E-3</v>
      </c>
      <c r="FX37" s="9">
        <f ca="1">IF(OR(FX10="",FX$28&lt;$A37),"",FX10/OFFSET(SSTotalESP!$A$2,MATCH(FX$29,SSTotalESP!$A$2:$A$500)+$A37-1,1)-1)</f>
        <v>6.305930302549223E-3</v>
      </c>
      <c r="FY37" s="9">
        <f ca="1">IF(OR(FY10="",FY$28&lt;$A37),"",FY10/OFFSET(SSTotalESP!$A$2,MATCH(FY$29,SSTotalESP!$A$2:$A$500)+$A37-1,1)-1)</f>
        <v>-3.5867018870406886E-3</v>
      </c>
      <c r="FZ37" s="9">
        <f ca="1">IF(OR(FZ10="",FZ$28&lt;$A37),"",FZ10/OFFSET(SSTotalESP!$A$2,MATCH(FZ$29,SSTotalESP!$A$2:$A$500)+$A37-1,1)-1)</f>
        <v>9.5772617537535076E-3</v>
      </c>
      <c r="GA37" s="9">
        <f ca="1">IF(OR(GA10="",GA$28&lt;$A37),"",GA10/OFFSET(SSTotalESP!$A$2,MATCH(GA$29,SSTotalESP!$A$2:$A$500)+$A37-1,1)-1)</f>
        <v>5.3609359475959018E-4</v>
      </c>
      <c r="GB37" s="9">
        <f ca="1">IF(OR(GB10="",GB$28&lt;$A37),"",GB10/OFFSET(SSTotalESP!$A$2,MATCH(GB$29,SSTotalESP!$A$2:$A$500)+$A37-1,1)-1)</f>
        <v>-5.1441060580625919E-4</v>
      </c>
      <c r="GC37" s="9">
        <f ca="1">IF(OR(GC10="",GC$28&lt;$A37),"",GC10/OFFSET(SSTotalESP!$A$2,MATCH(GC$29,SSTotalESP!$A$2:$A$500)+$A37-1,1)-1)</f>
        <v>6.3049984804632864E-3</v>
      </c>
      <c r="GD37" s="9">
        <f ca="1">IF(OR(GD10="",GD$28&lt;$A37),"",GD10/OFFSET(SSTotalESP!$A$2,MATCH(GD$29,SSTotalESP!$A$2:$A$500)+$A37-1,1)-1)</f>
        <v>9.142019557010439E-3</v>
      </c>
      <c r="GE37" s="9">
        <f ca="1">IF(OR(GE10="",GE$28&lt;$A37),"",GE10/OFFSET(SSTotalESP!$A$2,MATCH(GE$29,SSTotalESP!$A$2:$A$500)+$A37-1,1)-1)</f>
        <v>9.2632556041081227E-3</v>
      </c>
      <c r="GF37" s="9">
        <f ca="1">IF(OR(GF10="",GF$28&lt;$A37),"",GF10/OFFSET(SSTotalESP!$A$2,MATCH(GF$29,SSTotalESP!$A$2:$A$500)+$A37-1,1)-1)</f>
        <v>6.5207476668269759E-3</v>
      </c>
      <c r="GG37" s="9">
        <f ca="1">IF(OR(GG10="",GG$28&lt;$A37),"",GG10/OFFSET(SSTotalESP!$A$2,MATCH(GG$29,SSTotalESP!$A$2:$A$500)+$A37-1,1)-1)</f>
        <v>2.1969854572676306E-2</v>
      </c>
      <c r="GH37" s="9">
        <f ca="1">IF(OR(GH10="",GH$28&lt;$A37),"",GH10/OFFSET(SSTotalESP!$A$2,MATCH(GH$29,SSTotalESP!$A$2:$A$500)+$A37-1,1)-1)</f>
        <v>5.3621187357445699E-2</v>
      </c>
      <c r="GI37" s="9">
        <f ca="1">IF(OR(GI10="",GI$28&lt;$A37),"",GI10/OFFSET(SSTotalESP!$A$2,MATCH(GI$29,SSTotalESP!$A$2:$A$500)+$A37-1,1)-1)</f>
        <v>5.9130667535553183E-2</v>
      </c>
      <c r="GJ37" s="9">
        <f ca="1">IF(OR(GJ10="",GJ$28&lt;$A37),"",GJ10/OFFSET(SSTotalESP!$A$2,MATCH(GJ$29,SSTotalESP!$A$2:$A$500)+$A37-1,1)-1)</f>
        <v>6.7261952633664635E-2</v>
      </c>
      <c r="GK37" s="9">
        <f ca="1">IF(OR(GK10="",GK$28&lt;$A37),"",GK10/OFFSET(SSTotalESP!$A$2,MATCH(GK$29,SSTotalESP!$A$2:$A$500)+$A37-1,1)-1)</f>
        <v>5.6111016366725774E-2</v>
      </c>
      <c r="GL37" s="9">
        <f ca="1">IF(OR(GL10="",GL$28&lt;$A37),"",GL10/OFFSET(SSTotalESP!$A$2,MATCH(GL$29,SSTotalESP!$A$2:$A$500)+$A37-1,1)-1)</f>
        <v>4.3101208632104537E-2</v>
      </c>
      <c r="GM37" s="9">
        <f ca="1">IF(OR(GM10="",GM$28&lt;$A37),"",GM10/OFFSET(SSTotalESP!$A$2,MATCH(GM$29,SSTotalESP!$A$2:$A$500)+$A37-1,1)-1)</f>
        <v>3.4625262191724238E-2</v>
      </c>
      <c r="GN37" s="9">
        <f ca="1">IF(OR(GN10="",GN$28&lt;$A37),"",GN10/OFFSET(SSTotalESP!$A$2,MATCH(GN$29,SSTotalESP!$A$2:$A$500)+$A37-1,1)-1)</f>
        <v>3.9987398305354915E-2</v>
      </c>
      <c r="GO37" s="9">
        <f ca="1">IF(OR(GO10="",GO$28&lt;$A37),"",GO10/OFFSET(SSTotalESP!$A$2,MATCH(GO$29,SSTotalESP!$A$2:$A$500)+$A37-1,1)-1)</f>
        <v>-3.3184849135025063E-3</v>
      </c>
      <c r="GP37" s="9">
        <f ca="1">IF(OR(GP10="",GP$28&lt;$A37),"",GP10/OFFSET(SSTotalESP!$A$2,MATCH(GP$29,SSTotalESP!$A$2:$A$500)+$A37-1,1)-1)</f>
        <v>-6.5774746176817112E-2</v>
      </c>
      <c r="GQ37" s="9">
        <f ca="1">IF(OR(GQ10="",GQ$28&lt;$A37),"",GQ10/OFFSET(SSTotalESP!$A$2,MATCH(GQ$29,SSTotalESP!$A$2:$A$500)+$A37-1,1)-1)</f>
        <v>-6.5511949851456253E-2</v>
      </c>
      <c r="GR37" s="9" t="str">
        <f ca="1">IF(OR(GR10="",GR$28&lt;$A37),"",GR10/OFFSET(SSTotalESP!$A$2,MATCH(GR$29,SSTotalESP!$A$2:$A$500)+$A37-1,1)-1)</f>
        <v/>
      </c>
      <c r="GS37" s="9" t="str">
        <f ca="1">IF(OR(GS10="",GS$28&lt;$A37),"",GS10/OFFSET(SSTotalESP!$A$2,MATCH(GS$29,SSTotalESP!$A$2:$A$500)+$A37-1,1)-1)</f>
        <v/>
      </c>
      <c r="GT37" s="9" t="str">
        <f ca="1">IF(OR(GT10="",GT$28&lt;$A37),"",GT10/OFFSET(SSTotalESP!$A$2,MATCH(GT$29,SSTotalESP!$A$2:$A$500)+$A37-1,1)-1)</f>
        <v/>
      </c>
      <c r="GU37" s="9" t="str">
        <f ca="1">IF(OR(GU10="",GU$28&lt;$A37),"",GU10/OFFSET(SSTotalESP!$A$2,MATCH(GU$29,SSTotalESP!$A$2:$A$500)+$A37-1,1)-1)</f>
        <v/>
      </c>
      <c r="GV37" s="9" t="str">
        <f ca="1">IF(OR(GV10="",GV$28&lt;$A37),"",GV10/OFFSET(SSTotalESP!$A$2,MATCH(GV$29,SSTotalESP!$A$2:$A$500)+$A37-1,1)-1)</f>
        <v/>
      </c>
      <c r="GW37" s="9" t="str">
        <f ca="1">IF(OR(GW10="",GW$28&lt;$A37),"",GW10/OFFSET(SSTotalESP!$A$2,MATCH(GW$29,SSTotalESP!$A$2:$A$500)+$A37-1,1)-1)</f>
        <v/>
      </c>
      <c r="GX37" s="9" t="str">
        <f ca="1">IF(OR(GX10="",GX$28&lt;$A37),"",GX10/OFFSET(SSTotalESP!$A$2,MATCH(GX$29,SSTotalESP!$A$2:$A$500)+$A37-1,1)-1)</f>
        <v/>
      </c>
      <c r="GY37" s="9" t="str">
        <f ca="1">IF(OR(GY10="",GY$28&lt;$A37),"",GY10/OFFSET(SSTotalESP!$A$2,MATCH(GY$29,SSTotalESP!$A$2:$A$500)+$A37-1,1)-1)</f>
        <v/>
      </c>
      <c r="GZ37" s="9" t="str">
        <f ca="1">IF(OR(GZ10="",GZ$28&lt;$A37),"",GZ10/OFFSET(SSTotalESP!$A$2,MATCH(GZ$29,SSTotalESP!$A$2:$A$500)+$A37-1,1)-1)</f>
        <v/>
      </c>
      <c r="HA37" s="9" t="str">
        <f ca="1">IF(OR(HA10="",HA$28&lt;$A37),"",HA10/OFFSET(SSTotalESP!$A$2,MATCH(HA$29,SSTotalESP!$A$2:$A$500)+$A37-1,1)-1)</f>
        <v/>
      </c>
      <c r="HB37" s="9" t="str">
        <f ca="1">IF(OR(HB10="",HB$28&lt;$A37),"",HB10/OFFSET(SSTotalESP!$A$2,MATCH(HB$29,SSTotalESP!$A$2:$A$500)+$A37-1,1)-1)</f>
        <v/>
      </c>
      <c r="HC37" s="9" t="str">
        <f ca="1">IF(OR(HC10="",HC$28&lt;$A37),"",HC10/OFFSET(SSTotalESP!$A$2,MATCH(HC$29,SSTotalESP!$A$2:$A$500)+$A37-1,1)-1)</f>
        <v/>
      </c>
      <c r="HD37" s="9" t="str">
        <f ca="1">IF(OR(HD10="",HD$28&lt;$A37),"",HD10/OFFSET(SSTotalESP!$A$2,MATCH(HD$29,SSTotalESP!$A$2:$A$500)+$A37-1,1)-1)</f>
        <v/>
      </c>
      <c r="HE37" s="9" t="str">
        <f ca="1">IF(OR(HE10="",HE$28&lt;$A37),"",HE10/OFFSET(SSTotalESP!$A$2,MATCH(HE$29,SSTotalESP!$A$2:$A$500)+$A37-1,1)-1)</f>
        <v/>
      </c>
      <c r="HF37" s="9" t="str">
        <f ca="1">IF(OR(HF10="",HF$28&lt;$A37),"",HF10/OFFSET(SSTotalESP!$A$2,MATCH(HF$29,SSTotalESP!$A$2:$A$500)+$A37-1,1)-1)</f>
        <v/>
      </c>
      <c r="HG37" s="9" t="str">
        <f ca="1">IF(OR(HG10="",HG$28&lt;$A37),"",HG10/OFFSET(SSTotalESP!$A$2,MATCH(HG$29,SSTotalESP!$A$2:$A$500)+$A37-1,1)-1)</f>
        <v/>
      </c>
      <c r="HH37" s="9" t="str">
        <f ca="1">IF(OR(HH10="",HH$28&lt;$A37),"",HH10/OFFSET(SSTotalESP!$A$2,MATCH(HH$29,SSTotalESP!$A$2:$A$500)+$A37-1,1)-1)</f>
        <v/>
      </c>
      <c r="HI37" s="9" t="str">
        <f ca="1">IF(OR(HI10="",HI$28&lt;$A37),"",HI10/OFFSET(SSTotalESP!$A$2,MATCH(HI$29,SSTotalESP!$A$2:$A$500)+$A37-1,1)-1)</f>
        <v/>
      </c>
      <c r="HJ37" s="9" t="str">
        <f ca="1">IF(OR(HJ10="",HJ$28&lt;$A37),"",HJ10/OFFSET(SSTotalESP!$A$2,MATCH(HJ$29,SSTotalESP!$A$2:$A$500)+$A37-1,1)-1)</f>
        <v/>
      </c>
      <c r="HK37" s="9" t="str">
        <f ca="1">IF(OR(HK10="",HK$28&lt;$A37),"",HK10/OFFSET(SSTotalESP!$A$2,MATCH(HK$29,SSTotalESP!$A$2:$A$500)+$A37-1,1)-1)</f>
        <v/>
      </c>
      <c r="HL37" s="9" t="str">
        <f ca="1">IF(OR(HL10="",HL$28&lt;$A37),"",HL10/OFFSET(SSTotalESP!$A$2,MATCH(HL$29,SSTotalESP!$A$2:$A$500)+$A37-1,1)-1)</f>
        <v/>
      </c>
      <c r="HM37" s="9" t="str">
        <f ca="1">IF(OR(HM10="",HM$28&lt;$A37),"",HM10/OFFSET(SSTotalESP!$A$2,MATCH(HM$29,SSTotalESP!$A$2:$A$500)+$A37-1,1)-1)</f>
        <v/>
      </c>
      <c r="HN37" s="9" t="str">
        <f ca="1">IF(OR(HN10="",HN$28&lt;$A37),"",HN10/OFFSET(SSTotalESP!$A$2,MATCH(HN$29,SSTotalESP!$A$2:$A$500)+$A37-1,1)-1)</f>
        <v/>
      </c>
      <c r="HO37" s="9" t="str">
        <f ca="1">IF(OR(HO10="",HO$28&lt;$A37),"",HO10/OFFSET(SSTotalESP!$A$2,MATCH(HO$29,SSTotalESP!$A$2:$A$500)+$A37-1,1)-1)</f>
        <v/>
      </c>
      <c r="HP37" s="9" t="str">
        <f ca="1">IF(OR(HP10="",HP$28&lt;$A37),"",HP10/OFFSET(SSTotalESP!$A$2,MATCH(HP$29,SSTotalESP!$A$2:$A$500)+$A37-1,1)-1)</f>
        <v/>
      </c>
      <c r="HQ37" s="9" t="str">
        <f ca="1">IF(OR(HQ10="",HQ$28&lt;$A37),"",HQ10/OFFSET(SSTotalESP!$A$2,MATCH(HQ$29,SSTotalESP!$A$2:$A$500)+$A37-1,1)-1)</f>
        <v/>
      </c>
      <c r="HR37" s="9" t="str">
        <f ca="1">IF(OR(HR10="",HR$28&lt;$A37),"",HR10/OFFSET(SSTotalESP!$A$2,MATCH(HR$29,SSTotalESP!$A$2:$A$500)+$A37-1,1)-1)</f>
        <v/>
      </c>
      <c r="HS37" s="9" t="str">
        <f ca="1">IF(OR(HS10="",HS$28&lt;$A37),"",HS10/OFFSET(SSTotalESP!$A$2,MATCH(HS$29,SSTotalESP!$A$2:$A$500)+$A37-1,1)-1)</f>
        <v/>
      </c>
      <c r="HT37" s="9" t="str">
        <f ca="1">IF(OR(HT10="",HT$28&lt;$A37),"",HT10/OFFSET(SSTotalESP!$A$2,MATCH(HT$29,SSTotalESP!$A$2:$A$500)+$A37-1,1)-1)</f>
        <v/>
      </c>
      <c r="HU37" s="9" t="str">
        <f ca="1">IF(OR(HU10="",HU$28&lt;$A37),"",HU10/OFFSET(SSTotalESP!$A$2,MATCH(HU$29,SSTotalESP!$A$2:$A$500)+$A37-1,1)-1)</f>
        <v/>
      </c>
      <c r="HV37" s="9" t="str">
        <f ca="1">IF(OR(HV10="",HV$28&lt;$A37),"",HV10/OFFSET(SSTotalESP!$A$2,MATCH(HV$29,SSTotalESP!$A$2:$A$500)+$A37-1,1)-1)</f>
        <v/>
      </c>
      <c r="HW37" s="9" t="str">
        <f ca="1">IF(OR(HW10="",HW$28&lt;$A37),"",HW10/OFFSET(SSTotalESP!$A$2,MATCH(HW$29,SSTotalESP!$A$2:$A$500)+$A37-1,1)-1)</f>
        <v/>
      </c>
      <c r="HX37" s="9" t="str">
        <f ca="1">IF(OR(HX10="",HX$28&lt;$A37),"",HX10/OFFSET(SSTotalESP!$A$2,MATCH(HX$29,SSTotalESP!$A$2:$A$500)+$A37-1,1)-1)</f>
        <v/>
      </c>
      <c r="HY37" s="9" t="str">
        <f ca="1">IF(OR(HY10="",HY$28&lt;$A37),"",HY10/OFFSET(SSTotalESP!$A$2,MATCH(HY$29,SSTotalESP!$A$2:$A$500)+$A37-1,1)-1)</f>
        <v/>
      </c>
      <c r="HZ37" s="9" t="str">
        <f ca="1">IF(OR(HZ10="",HZ$28&lt;$A37),"",HZ10/OFFSET(SSTotalESP!$A$2,MATCH(HZ$29,SSTotalESP!$A$2:$A$500)+$A37-1,1)-1)</f>
        <v/>
      </c>
      <c r="IA37" s="9" t="str">
        <f ca="1">IF(OR(IA10="",IA$28&lt;$A37),"",IA10/OFFSET(SSTotalESP!$A$2,MATCH(IA$29,SSTotalESP!$A$2:$A$500)+$A37-1,1)-1)</f>
        <v/>
      </c>
      <c r="IB37" s="9" t="str">
        <f ca="1">IF(OR(IB10="",IB$28&lt;$A37),"",IB10/OFFSET(SSTotalESP!$A$2,MATCH(IB$29,SSTotalESP!$A$2:$A$500)+$A37-1,1)-1)</f>
        <v/>
      </c>
      <c r="IC37" s="9" t="str">
        <f ca="1">IF(OR(IC10="",IC$28&lt;$A37),"",IC10/OFFSET(SSTotalESP!$A$2,MATCH(IC$29,SSTotalESP!$A$2:$A$500)+$A37-1,1)-1)</f>
        <v/>
      </c>
      <c r="ID37" s="9" t="str">
        <f ca="1">IF(OR(ID10="",ID$28&lt;$A37),"",ID10/OFFSET(SSTotalESP!$A$2,MATCH(ID$29,SSTotalESP!$A$2:$A$500)+$A37-1,1)-1)</f>
        <v/>
      </c>
      <c r="IE37" s="9" t="str">
        <f ca="1">IF(OR(IE10="",IE$28&lt;$A37),"",IE10/OFFSET(SSTotalESP!$A$2,MATCH(IE$29,SSTotalESP!$A$2:$A$500)+$A37-1,1)-1)</f>
        <v/>
      </c>
      <c r="IF37" s="9" t="str">
        <f ca="1">IF(OR(IF10="",IF$28&lt;$A37),"",IF10/OFFSET(SSTotalESP!$A$2,MATCH(IF$29,SSTotalESP!$A$2:$A$500)+$A37-1,1)-1)</f>
        <v/>
      </c>
      <c r="IG37" s="9" t="str">
        <f ca="1">IF(OR(IG10="",IG$28&lt;$A37),"",IG10/OFFSET(SSTotalESP!$A$2,MATCH(IG$29,SSTotalESP!$A$2:$A$500)+$A37-1,1)-1)</f>
        <v/>
      </c>
      <c r="IH37" s="9" t="str">
        <f ca="1">IF(OR(IH10="",IH$28&lt;$A37),"",IH10/OFFSET(SSTotalESP!$A$2,MATCH(IH$29,SSTotalESP!$A$2:$A$500)+$A37-1,1)-1)</f>
        <v/>
      </c>
      <c r="II37" s="9" t="str">
        <f ca="1">IF(OR(II10="",II$28&lt;$A37),"",II10/OFFSET(SSTotalESP!$A$2,MATCH(II$29,SSTotalESP!$A$2:$A$500)+$A37-1,1)-1)</f>
        <v/>
      </c>
      <c r="IJ37" s="9" t="str">
        <f ca="1">IF(OR(IJ10="",IJ$28&lt;$A37),"",IJ10/OFFSET(SSTotalESP!$A$2,MATCH(IJ$29,SSTotalESP!$A$2:$A$500)+$A37-1,1)-1)</f>
        <v/>
      </c>
      <c r="IK37" s="9" t="str">
        <f ca="1">IF(OR(IK10="",IK$28&lt;$A37),"",IK10/OFFSET(SSTotalESP!$A$2,MATCH(IK$29,SSTotalESP!$A$2:$A$500)+$A37-1,1)-1)</f>
        <v/>
      </c>
      <c r="IL37" s="9" t="str">
        <f ca="1">IF(OR(IL10="",IL$28&lt;$A37),"",IL10/OFFSET(SSTotalESP!$A$2,MATCH(IL$29,SSTotalESP!$A$2:$A$500)+$A37-1,1)-1)</f>
        <v/>
      </c>
      <c r="IM37" s="9" t="str">
        <f ca="1">IF(OR(IM10="",IM$28&lt;$A37),"",IM10/OFFSET(SSTotalESP!$A$2,MATCH(IM$29,SSTotalESP!$A$2:$A$500)+$A37-1,1)-1)</f>
        <v/>
      </c>
      <c r="IN37" s="9" t="str">
        <f ca="1">IF(OR(IN10="",IN$28&lt;$A37),"",IN10/OFFSET(SSTotalESP!$A$2,MATCH(IN$29,SSTotalESP!$A$2:$A$500)+$A37-1,1)-1)</f>
        <v/>
      </c>
      <c r="IO37" s="9" t="str">
        <f ca="1">IF(OR(IO10="",IO$28&lt;$A37),"",IO10/OFFSET(SSTotalESP!$A$2,MATCH(IO$29,SSTotalESP!$A$2:$A$500)+$A37-1,1)-1)</f>
        <v/>
      </c>
      <c r="IP37" s="9" t="str">
        <f ca="1">IF(OR(IP10="",IP$28&lt;$A37),"",IP10/OFFSET(SSTotalESP!$A$2,MATCH(IP$29,SSTotalESP!$A$2:$A$500)+$A37-1,1)-1)</f>
        <v/>
      </c>
      <c r="IQ37" s="9" t="str">
        <f ca="1">IF(OR(IQ10="",IQ$28&lt;$A37),"",IQ10/OFFSET(SSTotalESP!$A$2,MATCH(IQ$29,SSTotalESP!$A$2:$A$500)+$A37-1,1)-1)</f>
        <v/>
      </c>
      <c r="IR37" s="9" t="str">
        <f ca="1">IF(OR(IR10="",IR$28&lt;$A37),"",IR10/OFFSET(SSTotalESP!$A$2,MATCH(IR$29,SSTotalESP!$A$2:$A$500)+$A37-1,1)-1)</f>
        <v/>
      </c>
      <c r="IS37" s="9" t="str">
        <f ca="1">IF(OR(IS10="",IS$28&lt;$A37),"",IS10/OFFSET(SSTotalESP!$A$2,MATCH(IS$29,SSTotalESP!$A$2:$A$500)+$A37-1,1)-1)</f>
        <v/>
      </c>
      <c r="IT37" s="9" t="str">
        <f ca="1">IF(OR(IT10="",IT$28&lt;$A37),"",IT10/OFFSET(SSTotalESP!$A$2,MATCH(IT$29,SSTotalESP!$A$2:$A$500)+$A37-1,1)-1)</f>
        <v/>
      </c>
      <c r="IU37" s="9" t="str">
        <f ca="1">IF(OR(IU10="",IU$28&lt;$A37),"",IU10/OFFSET(SSTotalESP!$A$2,MATCH(IU$29,SSTotalESP!$A$2:$A$500)+$A37-1,1)-1)</f>
        <v/>
      </c>
      <c r="IV37" s="9" t="str">
        <f ca="1">IF(OR(IV10="",IV$28&lt;$A37),"",IV10/OFFSET(SSTotalESP!$A$2,MATCH(IV$29,SSTotalESP!$A$2:$A$500)+$A37-1,1)-1)</f>
        <v/>
      </c>
      <c r="IW37" s="9" t="str">
        <f ca="1">IF(OR(IW10="",IW$28&lt;$A37),"",IW10/OFFSET(SSTotalESP!$A$2,MATCH(IW$29,SSTotalESP!$A$2:$A$500)+$A37-1,1)-1)</f>
        <v/>
      </c>
      <c r="IX37" s="9" t="str">
        <f ca="1">IF(OR(IX10="",IX$28&lt;$A37),"",IX10/OFFSET(SSTotalESP!$A$2,MATCH(IX$29,SSTotalESP!$A$2:$A$500)+$A37-1,1)-1)</f>
        <v/>
      </c>
      <c r="IY37" s="9" t="str">
        <f ca="1">IF(OR(IY10="",IY$28&lt;$A37),"",IY10/OFFSET(SSTotalESP!$A$2,MATCH(IY$29,SSTotalESP!$A$2:$A$500)+$A37-1,1)-1)</f>
        <v/>
      </c>
      <c r="IZ37" s="9" t="str">
        <f ca="1">IF(OR(IZ10="",IZ$28&lt;$A37),"",IZ10/OFFSET(SSTotalESP!$A$2,MATCH(IZ$29,SSTotalESP!$A$2:$A$500)+$A37-1,1)-1)</f>
        <v/>
      </c>
      <c r="JA37" s="9" t="str">
        <f ca="1">IF(OR(JA10="",JA$28&lt;$A37),"",JA10/OFFSET(SSTotalESP!$A$2,MATCH(JA$29,SSTotalESP!$A$2:$A$500)+$A37-1,1)-1)</f>
        <v/>
      </c>
      <c r="JB37" s="9" t="str">
        <f ca="1">IF(OR(JB10="",JB$28&lt;$A37),"",JB10/OFFSET(SSTotalESP!$A$2,MATCH(JB$29,SSTotalESP!$A$2:$A$500)+$A37-1,1)-1)</f>
        <v/>
      </c>
      <c r="JC37" s="9" t="str">
        <f ca="1">IF(OR(JC10="",JC$28&lt;$A37),"",JC10/OFFSET(SSTotalESP!$A$2,MATCH(JC$29,SSTotalESP!$A$2:$A$500)+$A37-1,1)-1)</f>
        <v/>
      </c>
      <c r="JD37" s="9" t="str">
        <f ca="1">IF(OR(JD10="",JD$28&lt;$A37),"",JD10/OFFSET(SSTotalESP!$A$2,MATCH(JD$29,SSTotalESP!$A$2:$A$500)+$A37-1,1)-1)</f>
        <v/>
      </c>
      <c r="JE37" s="9" t="str">
        <f ca="1">IF(OR(JE10="",JE$28&lt;$A37),"",JE10/OFFSET(SSTotalESP!$A$2,MATCH(JE$29,SSTotalESP!$A$2:$A$500)+$A37-1,1)-1)</f>
        <v/>
      </c>
      <c r="JF37" s="9" t="str">
        <f ca="1">IF(OR(JF10="",JF$28&lt;$A37),"",JF10/OFFSET(SSTotalESP!$A$2,MATCH(JF$29,SSTotalESP!$A$2:$A$500)+$A37-1,1)-1)</f>
        <v/>
      </c>
      <c r="JG37" s="9" t="str">
        <f ca="1">IF(OR(JG10="",JG$28&lt;$A37),"",JG10/OFFSET(SSTotalESP!$A$2,MATCH(JG$29,SSTotalESP!$A$2:$A$500)+$A37-1,1)-1)</f>
        <v/>
      </c>
      <c r="JH37" s="9" t="str">
        <f ca="1">IF(OR(JH10="",JH$28&lt;$A37),"",JH10/OFFSET(SSTotalESP!$A$2,MATCH(JH$29,SSTotalESP!$A$2:$A$500)+$A37-1,1)-1)</f>
        <v/>
      </c>
      <c r="JI37" s="13">
        <f t="shared" ca="1" si="13"/>
        <v>9.7603554103135905E-3</v>
      </c>
      <c r="JJ37" s="13">
        <f t="shared" ca="1" si="14"/>
        <v>6.305930302549223E-3</v>
      </c>
      <c r="JK37" s="14">
        <f t="shared" ca="1" si="15"/>
        <v>9.6502431639731046E-4</v>
      </c>
      <c r="JL37" s="17">
        <f t="shared" ca="1" si="18"/>
        <v>3.1064840517815481E-2</v>
      </c>
      <c r="JM37" s="15" t="str">
        <f t="shared" ca="1" si="16"/>
        <v>[ -5,24% ; 7,19% ]</v>
      </c>
      <c r="JN37" s="17">
        <f t="shared" ca="1" si="17"/>
        <v>3.9762995862803817E-2</v>
      </c>
      <c r="LY37" s="1"/>
    </row>
    <row r="38" spans="1:337" x14ac:dyDescent="0.25">
      <c r="A38" s="4">
        <v>9</v>
      </c>
      <c r="B38" s="9">
        <f ca="1">IF(OR(B11="",B$28&lt;$A38),"",B11/OFFSET(SSTotalESP!$A$2,MATCH(B$29,SSTotalESP!$A$2:$A$500)+$A38-1,1)-1)</f>
        <v>-2.3593592369397509E-4</v>
      </c>
      <c r="C38" s="9">
        <f ca="1">IF(OR(C11="",C$28&lt;$A38),"",C11/OFFSET(SSTotalESP!$A$2,MATCH(C$29,SSTotalESP!$A$2:$A$500)+$A38-1,1)-1)</f>
        <v>-1.1933431381251358E-3</v>
      </c>
      <c r="D38" s="9">
        <f ca="1">IF(OR(D11="",D$28&lt;$A38),"",D11/OFFSET(SSTotalESP!$A$2,MATCH(D$29,SSTotalESP!$A$2:$A$500)+$A38-1,1)-1)</f>
        <v>-1.8640408983872092E-4</v>
      </c>
      <c r="E38" s="9">
        <f ca="1">IF(OR(E11="",E$28&lt;$A38),"",E11/OFFSET(SSTotalESP!$A$2,MATCH(E$29,SSTotalESP!$A$2:$A$500)+$A38-1,1)-1)</f>
        <v>8.549143428995265E-4</v>
      </c>
      <c r="F38" s="9">
        <f ca="1">IF(OR(F11="",F$28&lt;$A38),"",F11/OFFSET(SSTotalESP!$A$2,MATCH(F$29,SSTotalESP!$A$2:$A$500)+$A38-1,1)-1)</f>
        <v>-1.2444744129860297E-3</v>
      </c>
      <c r="G38" s="9">
        <f ca="1">IF(OR(G11="",G$28&lt;$A38),"",G11/OFFSET(SSTotalESP!$A$2,MATCH(G$29,SSTotalESP!$A$2:$A$500)+$A38-1,1)-1)</f>
        <v>-6.8682870188541134E-4</v>
      </c>
      <c r="H38" s="9">
        <f ca="1">IF(OR(H11="",H$28&lt;$A38),"",H11/OFFSET(SSTotalESP!$A$2,MATCH(H$29,SSTotalESP!$A$2:$A$500)+$A38-1,1)-1)</f>
        <v>1.9140375955406519E-4</v>
      </c>
      <c r="I38" s="9">
        <f ca="1">IF(OR(I11="",I$28&lt;$A38),"",I11/OFFSET(SSTotalESP!$A$2,MATCH(I$29,SSTotalESP!$A$2:$A$500)+$A38-1,1)-1)</f>
        <v>-2.5658631585167013E-3</v>
      </c>
      <c r="J38" s="9">
        <f ca="1">IF(OR(J11="",J$28&lt;$A38),"",J11/OFFSET(SSTotalESP!$A$2,MATCH(J$29,SSTotalESP!$A$2:$A$500)+$A38-1,1)-1)</f>
        <v>-8.5337576491749667E-3</v>
      </c>
      <c r="K38" s="9">
        <f ca="1">IF(OR(K11="",K$28&lt;$A38),"",K11/OFFSET(SSTotalESP!$A$2,MATCH(K$29,SSTotalESP!$A$2:$A$500)+$A38-1,1)-1)</f>
        <v>-1.5343703179126145E-2</v>
      </c>
      <c r="L38" s="9">
        <f ca="1">IF(OR(L11="",L$28&lt;$A38),"",L11/OFFSET(SSTotalESP!$A$2,MATCH(L$29,SSTotalESP!$A$2:$A$500)+$A38-1,1)-1)</f>
        <v>-1.9515126785750625E-2</v>
      </c>
      <c r="M38" s="9">
        <f ca="1">IF(OR(M11="",M$28&lt;$A38),"",M11/OFFSET(SSTotalESP!$A$2,MATCH(M$29,SSTotalESP!$A$2:$A$500)+$A38-1,1)-1)</f>
        <v>-2.143048452442009E-2</v>
      </c>
      <c r="N38" s="9">
        <f ca="1">IF(OR(N11="",N$28&lt;$A38),"",N11/OFFSET(SSTotalESP!$A$2,MATCH(N$29,SSTotalESP!$A$2:$A$500)+$A38-1,1)-1)</f>
        <v>-2.41470541541291E-2</v>
      </c>
      <c r="O38" s="9">
        <f ca="1">IF(OR(O11="",O$28&lt;$A38),"",O11/OFFSET(SSTotalESP!$A$2,MATCH(O$29,SSTotalESP!$A$2:$A$500)+$A38-1,1)-1)</f>
        <v>-2.5613010852947093E-2</v>
      </c>
      <c r="P38" s="9">
        <f ca="1">IF(OR(P11="",P$28&lt;$A38),"",P11/OFFSET(SSTotalESP!$A$2,MATCH(P$29,SSTotalESP!$A$2:$A$500)+$A38-1,1)-1)</f>
        <v>-2.6107288011523289E-2</v>
      </c>
      <c r="Q38" s="9">
        <f ca="1">IF(OR(Q11="",Q$28&lt;$A38),"",Q11/OFFSET(SSTotalESP!$A$2,MATCH(Q$29,SSTotalESP!$A$2:$A$500)+$A38-1,1)-1)</f>
        <v>-2.5765402723084252E-2</v>
      </c>
      <c r="R38" s="9">
        <f ca="1">IF(OR(R11="",R$28&lt;$A38),"",R11/OFFSET(SSTotalESP!$A$2,MATCH(R$29,SSTotalESP!$A$2:$A$500)+$A38-1,1)-1)</f>
        <v>-2.4282438173021892E-2</v>
      </c>
      <c r="S38" s="9">
        <f ca="1">IF(OR(S11="",S$28&lt;$A38),"",S11/OFFSET(SSTotalESP!$A$2,MATCH(S$29,SSTotalESP!$A$2:$A$500)+$A38-1,1)-1)</f>
        <v>-1.998006091677873E-2</v>
      </c>
      <c r="T38" s="9">
        <f ca="1">IF(OR(T11="",T$28&lt;$A38),"",T11/OFFSET(SSTotalESP!$A$2,MATCH(T$29,SSTotalESP!$A$2:$A$500)+$A38-1,1)-1)</f>
        <v>-9.2376847125765771E-3</v>
      </c>
      <c r="U38" s="9">
        <f ca="1">IF(OR(U11="",U$28&lt;$A38),"",U11/OFFSET(SSTotalESP!$A$2,MATCH(U$29,SSTotalESP!$A$2:$A$500)+$A38-1,1)-1)</f>
        <v>-9.7165655495334846E-4</v>
      </c>
      <c r="V38" s="9">
        <f ca="1">IF(OR(V11="",V$28&lt;$A38),"",V11/OFFSET(SSTotalESP!$A$2,MATCH(V$29,SSTotalESP!$A$2:$A$500)+$A38-1,1)-1)</f>
        <v>1.2443487499275374E-2</v>
      </c>
      <c r="W38" s="9">
        <f ca="1">IF(OR(W11="",W$28&lt;$A38),"",W11/OFFSET(SSTotalESP!$A$2,MATCH(W$29,SSTotalESP!$A$2:$A$500)+$A38-1,1)-1)</f>
        <v>1.6042268027905315E-2</v>
      </c>
      <c r="X38" s="9">
        <f ca="1">IF(OR(X11="",X$28&lt;$A38),"",X11/OFFSET(SSTotalESP!$A$2,MATCH(X$29,SSTotalESP!$A$2:$A$500)+$A38-1,1)-1)</f>
        <v>1.6539928184501118E-2</v>
      </c>
      <c r="Y38" s="9">
        <f ca="1">IF(OR(Y11="",Y$28&lt;$A38),"",Y11/OFFSET(SSTotalESP!$A$2,MATCH(Y$29,SSTotalESP!$A$2:$A$500)+$A38-1,1)-1)</f>
        <v>1.4705286468651879E-2</v>
      </c>
      <c r="Z38" s="9">
        <f ca="1">IF(OR(Z11="",Z$28&lt;$A38),"",Z11/OFFSET(SSTotalESP!$A$2,MATCH(Z$29,SSTotalESP!$A$2:$A$500)+$A38-1,1)-1)</f>
        <v>1.4382257427199674E-2</v>
      </c>
      <c r="AA38" s="9">
        <f ca="1">IF(OR(AA11="",AA$28&lt;$A38),"",AA11/OFFSET(SSTotalESP!$A$2,MATCH(AA$29,SSTotalESP!$A$2:$A$500)+$A38-1,1)-1)</f>
        <v>1.476548573305525E-2</v>
      </c>
      <c r="AB38" s="9">
        <f ca="1">IF(OR(AB11="",AB$28&lt;$A38),"",AB11/OFFSET(SSTotalESP!$A$2,MATCH(AB$29,SSTotalESP!$A$2:$A$500)+$A38-1,1)-1)</f>
        <v>8.1369623057134799E-3</v>
      </c>
      <c r="AC38" s="9">
        <f ca="1">IF(OR(AC11="",AC$28&lt;$A38),"",AC11/OFFSET(SSTotalESP!$A$2,MATCH(AC$29,SSTotalESP!$A$2:$A$500)+$A38-1,1)-1)</f>
        <v>1.3187137856738529E-2</v>
      </c>
      <c r="AD38" s="9">
        <f ca="1">IF(OR(AD11="",AD$28&lt;$A38),"",AD11/OFFSET(SSTotalESP!$A$2,MATCH(AD$29,SSTotalESP!$A$2:$A$500)+$A38-1,1)-1)</f>
        <v>8.3818933624091319E-3</v>
      </c>
      <c r="AE38" s="9">
        <f ca="1">IF(OR(AE11="",AE$28&lt;$A38),"",AE11/OFFSET(SSTotalESP!$A$2,MATCH(AE$29,SSTotalESP!$A$2:$A$500)+$A38-1,1)-1)</f>
        <v>5.3963576292117565E-3</v>
      </c>
      <c r="AF38" s="9">
        <f ca="1">IF(OR(AF11="",AF$28&lt;$A38),"",AF11/OFFSET(SSTotalESP!$A$2,MATCH(AF$29,SSTotalESP!$A$2:$A$500)+$A38-1,1)-1)</f>
        <v>-2.3523321417188159E-3</v>
      </c>
      <c r="AG38" s="9">
        <f ca="1">IF(OR(AG11="",AG$28&lt;$A38),"",AG11/OFFSET(SSTotalESP!$A$2,MATCH(AG$29,SSTotalESP!$A$2:$A$500)+$A38-1,1)-1)</f>
        <v>-2.7333220682783654E-3</v>
      </c>
      <c r="AH38" s="9">
        <f ca="1">IF(OR(AH11="",AH$28&lt;$A38),"",AH11/OFFSET(SSTotalESP!$A$2,MATCH(AH$29,SSTotalESP!$A$2:$A$500)+$A38-1,1)-1)</f>
        <v>-1.107106537292446E-2</v>
      </c>
      <c r="AI38" s="9">
        <f ca="1">IF(OR(AI11="",AI$28&lt;$A38),"",AI11/OFFSET(SSTotalESP!$A$2,MATCH(AI$29,SSTotalESP!$A$2:$A$500)+$A38-1,1)-1)</f>
        <v>-1.2300799415909669E-4</v>
      </c>
      <c r="AJ38" s="9">
        <f ca="1">IF(OR(AJ11="",AJ$28&lt;$A38),"",AJ11/OFFSET(SSTotalESP!$A$2,MATCH(AJ$29,SSTotalESP!$A$2:$A$500)+$A38-1,1)-1)</f>
        <v>5.1915978109300376E-3</v>
      </c>
      <c r="AK38" s="9">
        <f ca="1">IF(OR(AK11="",AK$28&lt;$A38),"",AK11/OFFSET(SSTotalESP!$A$2,MATCH(AK$29,SSTotalESP!$A$2:$A$500)+$A38-1,1)-1)</f>
        <v>1.2029848674331767E-2</v>
      </c>
      <c r="AL38" s="9">
        <f ca="1">IF(OR(AL11="",AL$28&lt;$A38),"",AL11/OFFSET(SSTotalESP!$A$2,MATCH(AL$29,SSTotalESP!$A$2:$A$500)+$A38-1,1)-1)</f>
        <v>1.0658516552202402E-2</v>
      </c>
      <c r="AM38" s="9">
        <f ca="1">IF(OR(AM11="",AM$28&lt;$A38),"",AM11/OFFSET(SSTotalESP!$A$2,MATCH(AM$29,SSTotalESP!$A$2:$A$500)+$A38-1,1)-1)</f>
        <v>1.4354446852351321E-2</v>
      </c>
      <c r="AN38" s="9">
        <f ca="1">IF(OR(AN11="",AN$28&lt;$A38),"",AN11/OFFSET(SSTotalESP!$A$2,MATCH(AN$29,SSTotalESP!$A$2:$A$500)+$A38-1,1)-1)</f>
        <v>1.2538008967633019E-2</v>
      </c>
      <c r="AO38" s="9">
        <f ca="1">IF(OR(AO11="",AO$28&lt;$A38),"",AO11/OFFSET(SSTotalESP!$A$2,MATCH(AO$29,SSTotalESP!$A$2:$A$500)+$A38-1,1)-1)</f>
        <v>1.6547834109437609E-2</v>
      </c>
      <c r="AP38" s="9">
        <f ca="1">IF(OR(AP11="",AP$28&lt;$A38),"",AP11/OFFSET(SSTotalESP!$A$2,MATCH(AP$29,SSTotalESP!$A$2:$A$500)+$A38-1,1)-1)</f>
        <v>1.0895055044342516E-2</v>
      </c>
      <c r="AQ38" s="9">
        <f ca="1">IF(OR(AQ11="",AQ$28&lt;$A38),"",AQ11/OFFSET(SSTotalESP!$A$2,MATCH(AQ$29,SSTotalESP!$A$2:$A$500)+$A38-1,1)-1)</f>
        <v>1.3427446802862342E-2</v>
      </c>
      <c r="AR38" s="9">
        <f ca="1">IF(OR(AR11="",AR$28&lt;$A38),"",AR11/OFFSET(SSTotalESP!$A$2,MATCH(AR$29,SSTotalESP!$A$2:$A$500)+$A38-1,1)-1)</f>
        <v>1.1392162630991853E-2</v>
      </c>
      <c r="AS38" s="9">
        <f ca="1">IF(OR(AS11="",AS$28&lt;$A38),"",AS11/OFFSET(SSTotalESP!$A$2,MATCH(AS$29,SSTotalESP!$A$2:$A$500)+$A38-1,1)-1)</f>
        <v>1.3063321474332312E-2</v>
      </c>
      <c r="AT38" s="9">
        <f ca="1">IF(OR(AT11="",AT$28&lt;$A38),"",AT11/OFFSET(SSTotalESP!$A$2,MATCH(AT$29,SSTotalESP!$A$2:$A$500)+$A38-1,1)-1)</f>
        <v>1.3237623219339856E-2</v>
      </c>
      <c r="AU38" s="9">
        <f ca="1">IF(OR(AU11="",AU$28&lt;$A38),"",AU11/OFFSET(SSTotalESP!$A$2,MATCH(AU$29,SSTotalESP!$A$2:$A$500)+$A38-1,1)-1)</f>
        <v>2.3401472435079951E-2</v>
      </c>
      <c r="AV38" s="9">
        <f ca="1">IF(OR(AV11="",AV$28&lt;$A38),"",AV11/OFFSET(SSTotalESP!$A$2,MATCH(AV$29,SSTotalESP!$A$2:$A$500)+$A38-1,1)-1)</f>
        <v>3.2046193252830646E-2</v>
      </c>
      <c r="AW38" s="9">
        <f ca="1">IF(OR(AW11="",AW$28&lt;$A38),"",AW11/OFFSET(SSTotalESP!$A$2,MATCH(AW$29,SSTotalESP!$A$2:$A$500)+$A38-1,1)-1)</f>
        <v>3.3594478535046379E-2</v>
      </c>
      <c r="AX38" s="9">
        <f ca="1">IF(OR(AX11="",AX$28&lt;$A38),"",AX11/OFFSET(SSTotalESP!$A$2,MATCH(AX$29,SSTotalESP!$A$2:$A$500)+$A38-1,1)-1)</f>
        <v>3.9280787392282246E-2</v>
      </c>
      <c r="AY38" s="9">
        <f ca="1">IF(OR(AY11="",AY$28&lt;$A38),"",AY11/OFFSET(SSTotalESP!$A$2,MATCH(AY$29,SSTotalESP!$A$2:$A$500)+$A38-1,1)-1)</f>
        <v>4.457285251240406E-2</v>
      </c>
      <c r="AZ38" s="9">
        <f ca="1">IF(OR(AZ11="",AZ$28&lt;$A38),"",AZ11/OFFSET(SSTotalESP!$A$2,MATCH(AZ$29,SSTotalESP!$A$2:$A$500)+$A38-1,1)-1)</f>
        <v>5.3246027846026722E-2</v>
      </c>
      <c r="BA38" s="9">
        <f ca="1">IF(OR(BA11="",BA$28&lt;$A38),"",BA11/OFFSET(SSTotalESP!$A$2,MATCH(BA$29,SSTotalESP!$A$2:$A$500)+$A38-1,1)-1)</f>
        <v>5.6400294592897415E-2</v>
      </c>
      <c r="BB38" s="9">
        <f ca="1">IF(OR(BB11="",BB$28&lt;$A38),"",BB11/OFFSET(SSTotalESP!$A$2,MATCH(BB$29,SSTotalESP!$A$2:$A$500)+$A38-1,1)-1)</f>
        <v>5.736069024462731E-2</v>
      </c>
      <c r="BC38" s="9">
        <f ca="1">IF(OR(BC11="",BC$28&lt;$A38),"",BC11/OFFSET(SSTotalESP!$A$2,MATCH(BC$29,SSTotalESP!$A$2:$A$500)+$A38-1,1)-1)</f>
        <v>5.9364401358700469E-2</v>
      </c>
      <c r="BD38" s="9">
        <f ca="1">IF(OR(BD11="",BD$28&lt;$A38),"",BD11/OFFSET(SSTotalESP!$A$2,MATCH(BD$29,SSTotalESP!$A$2:$A$500)+$A38-1,1)-1)</f>
        <v>4.657214288565048E-2</v>
      </c>
      <c r="BE38" s="9">
        <f ca="1">IF(OR(BE11="",BE$28&lt;$A38),"",BE11/OFFSET(SSTotalESP!$A$2,MATCH(BE$29,SSTotalESP!$A$2:$A$500)+$A38-1,1)-1)</f>
        <v>5.1619265085970589E-2</v>
      </c>
      <c r="BF38" s="9">
        <f ca="1">IF(OR(BF11="",BF$28&lt;$A38),"",BF11/OFFSET(SSTotalESP!$A$2,MATCH(BF$29,SSTotalESP!$A$2:$A$500)+$A38-1,1)-1)</f>
        <v>5.4673830073062479E-2</v>
      </c>
      <c r="BG38" s="9">
        <f ca="1">IF(OR(BG11="",BG$28&lt;$A38),"",BG11/OFFSET(SSTotalESP!$A$2,MATCH(BG$29,SSTotalESP!$A$2:$A$500)+$A38-1,1)-1)</f>
        <v>3.915206072733346E-2</v>
      </c>
      <c r="BH38" s="9">
        <f ca="1">IF(OR(BH11="",BH$28&lt;$A38),"",BH11/OFFSET(SSTotalESP!$A$2,MATCH(BH$29,SSTotalESP!$A$2:$A$500)+$A38-1,1)-1)</f>
        <v>1.0638030313494751E-2</v>
      </c>
      <c r="BI38" s="9">
        <f ca="1">IF(OR(BI11="",BI$28&lt;$A38),"",BI11/OFFSET(SSTotalESP!$A$2,MATCH(BI$29,SSTotalESP!$A$2:$A$500)+$A38-1,1)-1)</f>
        <v>-3.0489097259852938E-2</v>
      </c>
      <c r="BJ38" s="9">
        <f ca="1">IF(OR(BJ11="",BJ$28&lt;$A38),"",BJ11/OFFSET(SSTotalESP!$A$2,MATCH(BJ$29,SSTotalESP!$A$2:$A$500)+$A38-1,1)-1)</f>
        <v>-2.3862746410095115E-2</v>
      </c>
      <c r="BK38" s="9">
        <f ca="1">IF(OR(BK11="",BK$28&lt;$A38),"",BK11/OFFSET(SSTotalESP!$A$2,MATCH(BK$29,SSTotalESP!$A$2:$A$500)+$A38-1,1)-1)</f>
        <v>-2.9148346071184328E-2</v>
      </c>
      <c r="BL38" s="9">
        <f ca="1">IF(OR(BL11="",BL$28&lt;$A38),"",BL11/OFFSET(SSTotalESP!$A$2,MATCH(BL$29,SSTotalESP!$A$2:$A$500)+$A38-1,1)-1)</f>
        <v>-4.6920667926370285E-2</v>
      </c>
      <c r="BM38" s="9">
        <f ca="1">IF(OR(BM11="",BM$28&lt;$A38),"",BM11/OFFSET(SSTotalESP!$A$2,MATCH(BM$29,SSTotalESP!$A$2:$A$500)+$A38-1,1)-1)</f>
        <v>-5.8895923518763271E-2</v>
      </c>
      <c r="BN38" s="9">
        <f ca="1">IF(OR(BN11="",BN$28&lt;$A38),"",BN11/OFFSET(SSTotalESP!$A$2,MATCH(BN$29,SSTotalESP!$A$2:$A$500)+$A38-1,1)-1)</f>
        <v>-3.4767779740078941E-2</v>
      </c>
      <c r="BO38" s="9">
        <f ca="1">IF(OR(BO11="",BO$28&lt;$A38),"",BO11/OFFSET(SSTotalESP!$A$2,MATCH(BO$29,SSTotalESP!$A$2:$A$500)+$A38-1,1)-1)</f>
        <v>-1.9258750533351687E-2</v>
      </c>
      <c r="BP38" s="9">
        <f ca="1">IF(OR(BP11="",BP$28&lt;$A38),"",BP11/OFFSET(SSTotalESP!$A$2,MATCH(BP$29,SSTotalESP!$A$2:$A$500)+$A38-1,1)-1)</f>
        <v>-1.9458918557274663E-2</v>
      </c>
      <c r="BQ38" s="9">
        <f ca="1">IF(OR(BQ11="",BQ$28&lt;$A38),"",BQ11/OFFSET(SSTotalESP!$A$2,MATCH(BQ$29,SSTotalESP!$A$2:$A$500)+$A38-1,1)-1)</f>
        <v>-2.0954479232625389E-2</v>
      </c>
      <c r="BR38" s="9">
        <f ca="1">IF(OR(BR11="",BR$28&lt;$A38),"",BR11/OFFSET(SSTotalESP!$A$2,MATCH(BR$29,SSTotalESP!$A$2:$A$500)+$A38-1,1)-1)</f>
        <v>1.360613240311892E-3</v>
      </c>
      <c r="BS38" s="9">
        <f ca="1">IF(OR(BS11="",BS$28&lt;$A38),"",BS11/OFFSET(SSTotalESP!$A$2,MATCH(BS$29,SSTotalESP!$A$2:$A$500)+$A38-1,1)-1)</f>
        <v>-1.353898561782696E-2</v>
      </c>
      <c r="BT38" s="9">
        <f ca="1">IF(OR(BT11="",BT$28&lt;$A38),"",BT11/OFFSET(SSTotalESP!$A$2,MATCH(BT$29,SSTotalESP!$A$2:$A$500)+$A38-1,1)-1)</f>
        <v>-7.8391340232478735E-3</v>
      </c>
      <c r="BU38" s="9">
        <f ca="1">IF(OR(BU11="",BU$28&lt;$A38),"",BU11/OFFSET(SSTotalESP!$A$2,MATCH(BU$29,SSTotalESP!$A$2:$A$500)+$A38-1,1)-1)</f>
        <v>-5.7277125408525809E-3</v>
      </c>
      <c r="BV38" s="9">
        <f ca="1">IF(OR(BV11="",BV$28&lt;$A38),"",BV11/OFFSET(SSTotalESP!$A$2,MATCH(BV$29,SSTotalESP!$A$2:$A$500)+$A38-1,1)-1)</f>
        <v>8.4729982562417039E-3</v>
      </c>
      <c r="BW38" s="9">
        <f ca="1">IF(OR(BW11="",BW$28&lt;$A38),"",BW11/OFFSET(SSTotalESP!$A$2,MATCH(BW$29,SSTotalESP!$A$2:$A$500)+$A38-1,1)-1)</f>
        <v>-3.7260756756914981E-3</v>
      </c>
      <c r="BX38" s="9">
        <f ca="1">IF(OR(BX11="",BX$28&lt;$A38),"",BX11/OFFSET(SSTotalESP!$A$2,MATCH(BX$29,SSTotalESP!$A$2:$A$500)+$A38-1,1)-1)</f>
        <v>-6.8670314870961091E-3</v>
      </c>
      <c r="BY38" s="9">
        <f ca="1">IF(OR(BY11="",BY$28&lt;$A38),"",BY11/OFFSET(SSTotalESP!$A$2,MATCH(BY$29,SSTotalESP!$A$2:$A$500)+$A38-1,1)-1)</f>
        <v>-1.0294537216855137E-2</v>
      </c>
      <c r="BZ38" s="9">
        <f ca="1">IF(OR(BZ11="",BZ$28&lt;$A38),"",BZ11/OFFSET(SSTotalESP!$A$2,MATCH(BZ$29,SSTotalESP!$A$2:$A$500)+$A38-1,1)-1)</f>
        <v>-3.2459189571304448E-3</v>
      </c>
      <c r="CA38" s="9">
        <f ca="1">IF(OR(CA11="",CA$28&lt;$A38),"",CA11/OFFSET(SSTotalESP!$A$2,MATCH(CA$29,SSTotalESP!$A$2:$A$500)+$A38-1,1)-1)</f>
        <v>-1.9682309843899182E-3</v>
      </c>
      <c r="CB38" s="9">
        <f ca="1">IF(OR(CB11="",CB$28&lt;$A38),"",CB11/OFFSET(SSTotalESP!$A$2,MATCH(CB$29,SSTotalESP!$A$2:$A$500)+$A38-1,1)-1)</f>
        <v>-3.1269167418246369E-3</v>
      </c>
      <c r="CC38" s="9">
        <f ca="1">IF(OR(CC11="",CC$28&lt;$A38),"",CC11/OFFSET(SSTotalESP!$A$2,MATCH(CC$29,SSTotalESP!$A$2:$A$500)+$A38-1,1)-1)</f>
        <v>-7.4402677965450525E-3</v>
      </c>
      <c r="CD38" s="9">
        <f ca="1">IF(OR(CD11="",CD$28&lt;$A38),"",CD11/OFFSET(SSTotalESP!$A$2,MATCH(CD$29,SSTotalESP!$A$2:$A$500)+$A38-1,1)-1)</f>
        <v>2.7771415723143456E-3</v>
      </c>
      <c r="CE38" s="9">
        <f ca="1">IF(OR(CE11="",CE$28&lt;$A38),"",CE11/OFFSET(SSTotalESP!$A$2,MATCH(CE$29,SSTotalESP!$A$2:$A$500)+$A38-1,1)-1)</f>
        <v>4.9779411938857265E-3</v>
      </c>
      <c r="CF38" s="9">
        <f ca="1">IF(OR(CF11="",CF$28&lt;$A38),"",CF11/OFFSET(SSTotalESP!$A$2,MATCH(CF$29,SSTotalESP!$A$2:$A$500)+$A38-1,1)-1)</f>
        <v>4.1739305851162811E-3</v>
      </c>
      <c r="CG38" s="9">
        <f ca="1">IF(OR(CG11="",CG$28&lt;$A38),"",CG11/OFFSET(SSTotalESP!$A$2,MATCH(CG$29,SSTotalESP!$A$2:$A$500)+$A38-1,1)-1)</f>
        <v>1.7049354410314521E-4</v>
      </c>
      <c r="CH38" s="9">
        <f ca="1">IF(OR(CH11="",CH$28&lt;$A38),"",CH11/OFFSET(SSTotalESP!$A$2,MATCH(CH$29,SSTotalESP!$A$2:$A$500)+$A38-1,1)-1)</f>
        <v>9.4720359484257166E-3</v>
      </c>
      <c r="CI38" s="9">
        <f ca="1">IF(OR(CI11="",CI$28&lt;$A38),"",CI11/OFFSET(SSTotalESP!$A$2,MATCH(CI$29,SSTotalESP!$A$2:$A$500)+$A38-1,1)-1)</f>
        <v>1.3303615364546939E-2</v>
      </c>
      <c r="CJ38" s="9">
        <f ca="1">IF(OR(CJ11="",CJ$28&lt;$A38),"",CJ11/OFFSET(SSTotalESP!$A$2,MATCH(CJ$29,SSTotalESP!$A$2:$A$500)+$A38-1,1)-1)</f>
        <v>-3.5231115615198538E-3</v>
      </c>
      <c r="CK38" s="9">
        <f ca="1">IF(OR(CK11="",CK$28&lt;$A38),"",CK11/OFFSET(SSTotalESP!$A$2,MATCH(CK$29,SSTotalESP!$A$2:$A$500)+$A38-1,1)-1)</f>
        <v>8.3384032145732423E-3</v>
      </c>
      <c r="CL38" s="9">
        <f ca="1">IF(OR(CL11="",CL$28&lt;$A38),"",CL11/OFFSET(SSTotalESP!$A$2,MATCH(CL$29,SSTotalESP!$A$2:$A$500)+$A38-1,1)-1)</f>
        <v>1.9442698045850193E-2</v>
      </c>
      <c r="CM38" s="9">
        <f ca="1">IF(OR(CM11="",CM$28&lt;$A38),"",CM11/OFFSET(SSTotalESP!$A$2,MATCH(CM$29,SSTotalESP!$A$2:$A$500)+$A38-1,1)-1)</f>
        <v>2.0494340621991736E-2</v>
      </c>
      <c r="CN38" s="9">
        <f ca="1">IF(OR(CN11="",CN$28&lt;$A38),"",CN11/OFFSET(SSTotalESP!$A$2,MATCH(CN$29,SSTotalESP!$A$2:$A$500)+$A38-1,1)-1)</f>
        <v>1.0435888558251172E-2</v>
      </c>
      <c r="CO38" s="9">
        <f ca="1">IF(OR(CO11="",CO$28&lt;$A38),"",CO11/OFFSET(SSTotalESP!$A$2,MATCH(CO$29,SSTotalESP!$A$2:$A$500)+$A38-1,1)-1)</f>
        <v>1.49190043478864E-2</v>
      </c>
      <c r="CP38" s="9">
        <f ca="1">IF(OR(CP11="",CP$28&lt;$A38),"",CP11/OFFSET(SSTotalESP!$A$2,MATCH(CP$29,SSTotalESP!$A$2:$A$500)+$A38-1,1)-1)</f>
        <v>1.9698842902249547E-2</v>
      </c>
      <c r="CQ38" s="9">
        <f ca="1">IF(OR(CQ11="",CQ$28&lt;$A38),"",CQ11/OFFSET(SSTotalESP!$A$2,MATCH(CQ$29,SSTotalESP!$A$2:$A$500)+$A38-1,1)-1)</f>
        <v>1.339337463053103E-2</v>
      </c>
      <c r="CR38" s="9">
        <f ca="1">IF(OR(CR11="",CR$28&lt;$A38),"",CR11/OFFSET(SSTotalESP!$A$2,MATCH(CR$29,SSTotalESP!$A$2:$A$500)+$A38-1,1)-1)</f>
        <v>2.5834364594732317E-3</v>
      </c>
      <c r="CS38" s="9">
        <f ca="1">IF(OR(CS11="",CS$28&lt;$A38),"",CS11/OFFSET(SSTotalESP!$A$2,MATCH(CS$29,SSTotalESP!$A$2:$A$500)+$A38-1,1)-1)</f>
        <v>2.022394959970697E-4</v>
      </c>
      <c r="CT38" s="9">
        <f ca="1">IF(OR(CT11="",CT$28&lt;$A38),"",CT11/OFFSET(SSTotalESP!$A$2,MATCH(CT$29,SSTotalESP!$A$2:$A$500)+$A38-1,1)-1)</f>
        <v>1.9695092184252916E-2</v>
      </c>
      <c r="CU38" s="9">
        <f ca="1">IF(OR(CU11="",CU$28&lt;$A38),"",CU11/OFFSET(SSTotalESP!$A$2,MATCH(CU$29,SSTotalESP!$A$2:$A$500)+$A38-1,1)-1)</f>
        <v>6.4588498750535184E-3</v>
      </c>
      <c r="CV38" s="9">
        <f ca="1">IF(OR(CV11="",CV$28&lt;$A38),"",CV11/OFFSET(SSTotalESP!$A$2,MATCH(CV$29,SSTotalESP!$A$2:$A$500)+$A38-1,1)-1)</f>
        <v>4.2439923139174773E-3</v>
      </c>
      <c r="CW38" s="9">
        <f ca="1">IF(OR(CW11="",CW$28&lt;$A38),"",CW11/OFFSET(SSTotalESP!$A$2,MATCH(CW$29,SSTotalESP!$A$2:$A$500)+$A38-1,1)-1)</f>
        <v>9.4392713473698819E-3</v>
      </c>
      <c r="CX38" s="9">
        <f ca="1">IF(OR(CX11="",CX$28&lt;$A38),"",CX11/OFFSET(SSTotalESP!$A$2,MATCH(CX$29,SSTotalESP!$A$2:$A$500)+$A38-1,1)-1)</f>
        <v>7.376891939119945E-3</v>
      </c>
      <c r="CY38" s="9">
        <f ca="1">IF(OR(CY11="",CY$28&lt;$A38),"",CY11/OFFSET(SSTotalESP!$A$2,MATCH(CY$29,SSTotalESP!$A$2:$A$500)+$A38-1,1)-1)</f>
        <v>1.0539309562366039E-2</v>
      </c>
      <c r="CZ38" s="9">
        <f ca="1">IF(OR(CZ11="",CZ$28&lt;$A38),"",CZ11/OFFSET(SSTotalESP!$A$2,MATCH(CZ$29,SSTotalESP!$A$2:$A$500)+$A38-1,1)-1)</f>
        <v>2.1381606492926197E-2</v>
      </c>
      <c r="DA38" s="9">
        <f ca="1">IF(OR(DA11="",DA$28&lt;$A38),"",DA11/OFFSET(SSTotalESP!$A$2,MATCH(DA$29,SSTotalESP!$A$2:$A$500)+$A38-1,1)-1)</f>
        <v>3.5541903109315154E-3</v>
      </c>
      <c r="DB38" s="9">
        <f ca="1">IF(OR(DB11="",DB$28&lt;$A38),"",DB11/OFFSET(SSTotalESP!$A$2,MATCH(DB$29,SSTotalESP!$A$2:$A$500)+$A38-1,1)-1)</f>
        <v>6.4878691200733751E-3</v>
      </c>
      <c r="DC38" s="9">
        <f ca="1">IF(OR(DC11="",DC$28&lt;$A38),"",DC11/OFFSET(SSTotalESP!$A$2,MATCH(DC$29,SSTotalESP!$A$2:$A$500)+$A38-1,1)-1)</f>
        <v>1.9933310956086192E-3</v>
      </c>
      <c r="DD38" s="9">
        <f ca="1">IF(OR(DD11="",DD$28&lt;$A38),"",DD11/OFFSET(SSTotalESP!$A$2,MATCH(DD$29,SSTotalESP!$A$2:$A$500)+$A38-1,1)-1)</f>
        <v>1.0987327351921206E-3</v>
      </c>
      <c r="DE38" s="9">
        <f ca="1">IF(OR(DE11="",DE$28&lt;$A38),"",DE11/OFFSET(SSTotalESP!$A$2,MATCH(DE$29,SSTotalESP!$A$2:$A$500)+$A38-1,1)-1)</f>
        <v>-3.0546422398597617E-2</v>
      </c>
      <c r="DF38" s="9">
        <f ca="1">IF(OR(DF11="",DF$28&lt;$A38),"",DF11/OFFSET(SSTotalESP!$A$2,MATCH(DF$29,SSTotalESP!$A$2:$A$500)+$A38-1,1)-1)</f>
        <v>-2.496147351277489E-2</v>
      </c>
      <c r="DG38" s="9">
        <f ca="1">IF(OR(DG11="",DG$28&lt;$A38),"",DG11/OFFSET(SSTotalESP!$A$2,MATCH(DG$29,SSTotalESP!$A$2:$A$500)+$A38-1,1)-1)</f>
        <v>-2.1261040644516949E-2</v>
      </c>
      <c r="DH38" s="9">
        <f ca="1">IF(OR(DH11="",DH$28&lt;$A38),"",DH11/OFFSET(SSTotalESP!$A$2,MATCH(DH$29,SSTotalESP!$A$2:$A$500)+$A38-1,1)-1)</f>
        <v>-2.3871226071039309E-2</v>
      </c>
      <c r="DI38" s="9">
        <f ca="1">IF(OR(DI11="",DI$28&lt;$A38),"",DI11/OFFSET(SSTotalESP!$A$2,MATCH(DI$29,SSTotalESP!$A$2:$A$500)+$A38-1,1)-1)</f>
        <v>-3.0186384810288458E-2</v>
      </c>
      <c r="DJ38" s="9">
        <f ca="1">IF(OR(DJ11="",DJ$28&lt;$A38),"",DJ11/OFFSET(SSTotalESP!$A$2,MATCH(DJ$29,SSTotalESP!$A$2:$A$500)+$A38-1,1)-1)</f>
        <v>-3.2040273265907193E-2</v>
      </c>
      <c r="DK38" s="9">
        <f ca="1">IF(OR(DK11="",DK$28&lt;$A38),"",DK11/OFFSET(SSTotalESP!$A$2,MATCH(DK$29,SSTotalESP!$A$2:$A$500)+$A38-1,1)-1)</f>
        <v>-2.350101127721238E-2</v>
      </c>
      <c r="DL38" s="9">
        <f ca="1">IF(OR(DL11="",DL$28&lt;$A38),"",DL11/OFFSET(SSTotalESP!$A$2,MATCH(DL$29,SSTotalESP!$A$2:$A$500)+$A38-1,1)-1)</f>
        <v>-3.0666813164096474E-2</v>
      </c>
      <c r="DM38" s="9">
        <f ca="1">IF(OR(DM11="",DM$28&lt;$A38),"",DM11/OFFSET(SSTotalESP!$A$2,MATCH(DM$29,SSTotalESP!$A$2:$A$500)+$A38-1,1)-1)</f>
        <v>-3.7385859315349657E-2</v>
      </c>
      <c r="DN38" s="9">
        <f ca="1">IF(OR(DN11="",DN$28&lt;$A38),"",DN11/OFFSET(SSTotalESP!$A$2,MATCH(DN$29,SSTotalESP!$A$2:$A$500)+$A38-1,1)-1)</f>
        <v>-3.2877050131188135E-2</v>
      </c>
      <c r="DO38" s="9">
        <f ca="1">IF(OR(DO11="",DO$28&lt;$A38),"",DO11/OFFSET(SSTotalESP!$A$2,MATCH(DO$29,SSTotalESP!$A$2:$A$500)+$A38-1,1)-1)</f>
        <v>-2.8192990628563508E-2</v>
      </c>
      <c r="DP38" s="9">
        <f ca="1">IF(OR(DP11="",DP$28&lt;$A38),"",DP11/OFFSET(SSTotalESP!$A$2,MATCH(DP$29,SSTotalESP!$A$2:$A$500)+$A38-1,1)-1)</f>
        <v>-1.2959841312870535E-2</v>
      </c>
      <c r="DQ38" s="9">
        <f ca="1">IF(OR(DQ11="",DQ$28&lt;$A38),"",DQ11/OFFSET(SSTotalESP!$A$2,MATCH(DQ$29,SSTotalESP!$A$2:$A$500)+$A38-1,1)-1)</f>
        <v>-1.1165911159390141E-2</v>
      </c>
      <c r="DR38" s="9">
        <f ca="1">IF(OR(DR11="",DR$28&lt;$A38),"",DR11/OFFSET(SSTotalESP!$A$2,MATCH(DR$29,SSTotalESP!$A$2:$A$500)+$A38-1,1)-1)</f>
        <v>3.3767980435872591E-3</v>
      </c>
      <c r="DS38" s="9">
        <f ca="1">IF(OR(DS11="",DS$28&lt;$A38),"",DS11/OFFSET(SSTotalESP!$A$2,MATCH(DS$29,SSTotalESP!$A$2:$A$500)+$A38-1,1)-1)</f>
        <v>-8.1502761749772112E-3</v>
      </c>
      <c r="DT38" s="9">
        <f ca="1">IF(OR(DT11="",DT$28&lt;$A38),"",DT11/OFFSET(SSTotalESP!$A$2,MATCH(DT$29,SSTotalESP!$A$2:$A$500)+$A38-1,1)-1)</f>
        <v>-1.1050448119161227E-2</v>
      </c>
      <c r="DU38" s="9">
        <f ca="1">IF(OR(DU11="",DU$28&lt;$A38),"",DU11/OFFSET(SSTotalESP!$A$2,MATCH(DU$29,SSTotalESP!$A$2:$A$500)+$A38-1,1)-1)</f>
        <v>-1.4233975993588666E-2</v>
      </c>
      <c r="DV38" s="9">
        <f ca="1">IF(OR(DV11="",DV$28&lt;$A38),"",DV11/OFFSET(SSTotalESP!$A$2,MATCH(DV$29,SSTotalESP!$A$2:$A$500)+$A38-1,1)-1)</f>
        <v>-3.0736622443916506E-3</v>
      </c>
      <c r="DW38" s="9">
        <f ca="1">IF(OR(DW11="",DW$28&lt;$A38),"",DW11/OFFSET(SSTotalESP!$A$2,MATCH(DW$29,SSTotalESP!$A$2:$A$500)+$A38-1,1)-1)</f>
        <v>-2.3547000953642039E-3</v>
      </c>
      <c r="DX38" s="9">
        <f ca="1">IF(OR(DX11="",DX$28&lt;$A38),"",DX11/OFFSET(SSTotalESP!$A$2,MATCH(DX$29,SSTotalESP!$A$2:$A$500)+$A38-1,1)-1)</f>
        <v>-1.528571368866205E-2</v>
      </c>
      <c r="DY38" s="9">
        <f ca="1">IF(OR(DY11="",DY$28&lt;$A38),"",DY11/OFFSET(SSTotalESP!$A$2,MATCH(DY$29,SSTotalESP!$A$2:$A$500)+$A38-1,1)-1)</f>
        <v>-1.9945088604305328E-2</v>
      </c>
      <c r="DZ38" s="9">
        <f ca="1">IF(OR(DZ11="",DZ$28&lt;$A38),"",DZ11/OFFSET(SSTotalESP!$A$2,MATCH(DZ$29,SSTotalESP!$A$2:$A$500)+$A38-1,1)-1)</f>
        <v>-2.594751610041679E-2</v>
      </c>
      <c r="EA38" s="9">
        <f ca="1">IF(OR(EA11="",EA$28&lt;$A38),"",EA11/OFFSET(SSTotalESP!$A$2,MATCH(EA$29,SSTotalESP!$A$2:$A$500)+$A38-1,1)-1)</f>
        <v>-1.5922824521028556E-2</v>
      </c>
      <c r="EB38" s="9">
        <f ca="1">IF(OR(EB11="",EB$28&lt;$A38),"",EB11/OFFSET(SSTotalESP!$A$2,MATCH(EB$29,SSTotalESP!$A$2:$A$500)+$A38-1,1)-1)</f>
        <v>-2.0043055751728156E-2</v>
      </c>
      <c r="EC38" s="9">
        <f ca="1">IF(OR(EC11="",EC$28&lt;$A38),"",EC11/OFFSET(SSTotalESP!$A$2,MATCH(EC$29,SSTotalESP!$A$2:$A$500)+$A38-1,1)-1)</f>
        <v>4.4402681241373365E-4</v>
      </c>
      <c r="ED38" s="9">
        <f ca="1">IF(OR(ED11="",ED$28&lt;$A38),"",ED11/OFFSET(SSTotalESP!$A$2,MATCH(ED$29,SSTotalESP!$A$2:$A$500)+$A38-1,1)-1)</f>
        <v>6.8455761154202488E-3</v>
      </c>
      <c r="EE38" s="9">
        <f ca="1">IF(OR(EE11="",EE$28&lt;$A38),"",EE11/OFFSET(SSTotalESP!$A$2,MATCH(EE$29,SSTotalESP!$A$2:$A$500)+$A38-1,1)-1)</f>
        <v>-9.7073579441409041E-3</v>
      </c>
      <c r="EF38" s="9">
        <f ca="1">IF(OR(EF11="",EF$28&lt;$A38),"",EF11/OFFSET(SSTotalESP!$A$2,MATCH(EF$29,SSTotalESP!$A$2:$A$500)+$A38-1,1)-1)</f>
        <v>2.1372393510528109E-3</v>
      </c>
      <c r="EG38" s="9">
        <f ca="1">IF(OR(EG11="",EG$28&lt;$A38),"",EG11/OFFSET(SSTotalESP!$A$2,MATCH(EG$29,SSTotalESP!$A$2:$A$500)+$A38-1,1)-1)</f>
        <v>1.3062302822824501E-2</v>
      </c>
      <c r="EH38" s="9">
        <f ca="1">IF(OR(EH11="",EH$28&lt;$A38),"",EH11/OFFSET(SSTotalESP!$A$2,MATCH(EH$29,SSTotalESP!$A$2:$A$500)+$A38-1,1)-1)</f>
        <v>1.6433529925548918E-2</v>
      </c>
      <c r="EI38" s="9">
        <f ca="1">IF(OR(EI11="",EI$28&lt;$A38),"",EI11/OFFSET(SSTotalESP!$A$2,MATCH(EI$29,SSTotalESP!$A$2:$A$500)+$A38-1,1)-1)</f>
        <v>1.6844974517047362E-2</v>
      </c>
      <c r="EJ38" s="9">
        <f ca="1">IF(OR(EJ11="",EJ$28&lt;$A38),"",EJ11/OFFSET(SSTotalESP!$A$2,MATCH(EJ$29,SSTotalESP!$A$2:$A$500)+$A38-1,1)-1)</f>
        <v>-1.8634166310917966E-3</v>
      </c>
      <c r="EK38" s="9">
        <f ca="1">IF(OR(EK11="",EK$28&lt;$A38),"",EK11/OFFSET(SSTotalESP!$A$2,MATCH(EK$29,SSTotalESP!$A$2:$A$500)+$A38-1,1)-1)</f>
        <v>-9.5234914857411646E-4</v>
      </c>
      <c r="EL38" s="9">
        <f ca="1">IF(OR(EL11="",EL$28&lt;$A38),"",EL11/OFFSET(SSTotalESP!$A$2,MATCH(EL$29,SSTotalESP!$A$2:$A$500)+$A38-1,1)-1)</f>
        <v>-1.553941916400281E-2</v>
      </c>
      <c r="EM38" s="9">
        <f ca="1">IF(OR(EM11="",EM$28&lt;$A38),"",EM11/OFFSET(SSTotalESP!$A$2,MATCH(EM$29,SSTotalESP!$A$2:$A$500)+$A38-1,1)-1)</f>
        <v>-1.0670568617301313E-2</v>
      </c>
      <c r="EN38" s="9">
        <f ca="1">IF(OR(EN11="",EN$28&lt;$A38),"",EN11/OFFSET(SSTotalESP!$A$2,MATCH(EN$29,SSTotalESP!$A$2:$A$500)+$A38-1,1)-1)</f>
        <v>-9.8559333790820824E-3</v>
      </c>
      <c r="EO38" s="9">
        <f ca="1">IF(OR(EO11="",EO$28&lt;$A38),"",EO11/OFFSET(SSTotalESP!$A$2,MATCH(EO$29,SSTotalESP!$A$2:$A$500)+$A38-1,1)-1)</f>
        <v>-1.7724535781584727E-3</v>
      </c>
      <c r="EP38" s="9">
        <f ca="1">IF(OR(EP11="",EP$28&lt;$A38),"",EP11/OFFSET(SSTotalESP!$A$2,MATCH(EP$29,SSTotalESP!$A$2:$A$500)+$A38-1,1)-1)</f>
        <v>4.3201885974970544E-3</v>
      </c>
      <c r="EQ38" s="9">
        <f ca="1">IF(OR(EQ11="",EQ$28&lt;$A38),"",EQ11/OFFSET(SSTotalESP!$A$2,MATCH(EQ$29,SSTotalESP!$A$2:$A$500)+$A38-1,1)-1)</f>
        <v>-7.9514437108066938E-3</v>
      </c>
      <c r="ER38" s="9">
        <f ca="1">IF(OR(ER11="",ER$28&lt;$A38),"",ER11/OFFSET(SSTotalESP!$A$2,MATCH(ER$29,SSTotalESP!$A$2:$A$500)+$A38-1,1)-1)</f>
        <v>-1.0461431639717023E-2</v>
      </c>
      <c r="ES38" s="9">
        <f ca="1">IF(OR(ES11="",ES$28&lt;$A38),"",ES11/OFFSET(SSTotalESP!$A$2,MATCH(ES$29,SSTotalESP!$A$2:$A$500)+$A38-1,1)-1)</f>
        <v>-6.1336019179104584E-3</v>
      </c>
      <c r="ET38" s="9">
        <f ca="1">IF(OR(ET11="",ET$28&lt;$A38),"",ET11/OFFSET(SSTotalESP!$A$2,MATCH(ET$29,SSTotalESP!$A$2:$A$500)+$A38-1,1)-1)</f>
        <v>-6.8145219713732219E-3</v>
      </c>
      <c r="EU38" s="9">
        <f ca="1">IF(OR(EU11="",EU$28&lt;$A38),"",EU11/OFFSET(SSTotalESP!$A$2,MATCH(EU$29,SSTotalESP!$A$2:$A$500)+$A38-1,1)-1)</f>
        <v>-6.0534392963791372E-3</v>
      </c>
      <c r="EV38" s="9">
        <f ca="1">IF(OR(EV11="",EV$28&lt;$A38),"",EV11/OFFSET(SSTotalESP!$A$2,MATCH(EV$29,SSTotalESP!$A$2:$A$500)+$A38-1,1)-1)</f>
        <v>5.4583382331419017E-4</v>
      </c>
      <c r="EW38" s="9">
        <f ca="1">IF(OR(EW11="",EW$28&lt;$A38),"",EW11/OFFSET(SSTotalESP!$A$2,MATCH(EW$29,SSTotalESP!$A$2:$A$500)+$A38-1,1)-1)</f>
        <v>-3.751930898196143E-3</v>
      </c>
      <c r="EX38" s="9">
        <f ca="1">IF(OR(EX11="",EX$28&lt;$A38),"",EX11/OFFSET(SSTotalESP!$A$2,MATCH(EX$29,SSTotalESP!$A$2:$A$500)+$A38-1,1)-1)</f>
        <v>-1.7917589414735424E-2</v>
      </c>
      <c r="EY38" s="9">
        <f ca="1">IF(OR(EY11="",EY$28&lt;$A38),"",EY11/OFFSET(SSTotalESP!$A$2,MATCH(EY$29,SSTotalESP!$A$2:$A$500)+$A38-1,1)-1)</f>
        <v>-1.5461798677776417E-2</v>
      </c>
      <c r="EZ38" s="9">
        <f ca="1">IF(OR(EZ11="",EZ$28&lt;$A38),"",EZ11/OFFSET(SSTotalESP!$A$2,MATCH(EZ$29,SSTotalESP!$A$2:$A$500)+$A38-1,1)-1)</f>
        <v>1.6150570600528269E-3</v>
      </c>
      <c r="FA38" s="9">
        <f ca="1">IF(OR(FA11="",FA$28&lt;$A38),"",FA11/OFFSET(SSTotalESP!$A$2,MATCH(FA$29,SSTotalESP!$A$2:$A$500)+$A38-1,1)-1)</f>
        <v>-7.4219662278004472E-3</v>
      </c>
      <c r="FB38" s="9">
        <f ca="1">IF(OR(FB11="",FB$28&lt;$A38),"",FB11/OFFSET(SSTotalESP!$A$2,MATCH(FB$29,SSTotalESP!$A$2:$A$500)+$A38-1,1)-1)</f>
        <v>-6.8518543435964752E-3</v>
      </c>
      <c r="FC38" s="9">
        <f ca="1">IF(OR(FC11="",FC$28&lt;$A38),"",FC11/OFFSET(SSTotalESP!$A$2,MATCH(FC$29,SSTotalESP!$A$2:$A$500)+$A38-1,1)-1)</f>
        <v>-5.2815812784050564E-3</v>
      </c>
      <c r="FD38" s="9">
        <f ca="1">IF(OR(FD11="",FD$28&lt;$A38),"",FD11/OFFSET(SSTotalESP!$A$2,MATCH(FD$29,SSTotalESP!$A$2:$A$500)+$A38-1,1)-1)</f>
        <v>-5.771396301035514E-3</v>
      </c>
      <c r="FE38" s="9">
        <f ca="1">IF(OR(FE11="",FE$28&lt;$A38),"",FE11/OFFSET(SSTotalESP!$A$2,MATCH(FE$29,SSTotalESP!$A$2:$A$500)+$A38-1,1)-1)</f>
        <v>2.3550991098786334E-3</v>
      </c>
      <c r="FF38" s="9">
        <f ca="1">IF(OR(FF11="",FF$28&lt;$A38),"",FF11/OFFSET(SSTotalESP!$A$2,MATCH(FF$29,SSTotalESP!$A$2:$A$500)+$A38-1,1)-1)</f>
        <v>1.179529016476466E-2</v>
      </c>
      <c r="FG38" s="9">
        <f ca="1">IF(OR(FG11="",FG$28&lt;$A38),"",FG11/OFFSET(SSTotalESP!$A$2,MATCH(FG$29,SSTotalESP!$A$2:$A$500)+$A38-1,1)-1)</f>
        <v>9.7263195492347521E-3</v>
      </c>
      <c r="FH38" s="9">
        <f ca="1">IF(OR(FH11="",FH$28&lt;$A38),"",FH11/OFFSET(SSTotalESP!$A$2,MATCH(FH$29,SSTotalESP!$A$2:$A$500)+$A38-1,1)-1)</f>
        <v>4.4638973558652761E-3</v>
      </c>
      <c r="FI38" s="9">
        <f ca="1">IF(OR(FI11="",FI$28&lt;$A38),"",FI11/OFFSET(SSTotalESP!$A$2,MATCH(FI$29,SSTotalESP!$A$2:$A$500)+$A38-1,1)-1)</f>
        <v>-1.8963189780906164E-3</v>
      </c>
      <c r="FJ38" s="9">
        <f ca="1">IF(OR(FJ11="",FJ$28&lt;$A38),"",FJ11/OFFSET(SSTotalESP!$A$2,MATCH(FJ$29,SSTotalESP!$A$2:$A$500)+$A38-1,1)-1)</f>
        <v>-1.6875580853432659E-2</v>
      </c>
      <c r="FK38" s="9">
        <f ca="1">IF(OR(FK11="",FK$28&lt;$A38),"",FK11/OFFSET(SSTotalESP!$A$2,MATCH(FK$29,SSTotalESP!$A$2:$A$500)+$A38-1,1)-1)</f>
        <v>-7.3378895959318458E-3</v>
      </c>
      <c r="FL38" s="9">
        <f ca="1">IF(OR(FL11="",FL$28&lt;$A38),"",FL11/OFFSET(SSTotalESP!$A$2,MATCH(FL$29,SSTotalESP!$A$2:$A$500)+$A38-1,1)-1)</f>
        <v>8.4613448823711579E-4</v>
      </c>
      <c r="FM38" s="9">
        <f ca="1">IF(OR(FM11="",FM$28&lt;$A38),"",FM11/OFFSET(SSTotalESP!$A$2,MATCH(FM$29,SSTotalESP!$A$2:$A$500)+$A38-1,1)-1)</f>
        <v>4.9791247977057917E-3</v>
      </c>
      <c r="FN38" s="9">
        <f ca="1">IF(OR(FN11="",FN$28&lt;$A38),"",FN11/OFFSET(SSTotalESP!$A$2,MATCH(FN$29,SSTotalESP!$A$2:$A$500)+$A38-1,1)-1)</f>
        <v>-2.2306796291554631E-3</v>
      </c>
      <c r="FO38" s="9">
        <f ca="1">IF(OR(FO11="",FO$28&lt;$A38),"",FO11/OFFSET(SSTotalESP!$A$2,MATCH(FO$29,SSTotalESP!$A$2:$A$500)+$A38-1,1)-1)</f>
        <v>-2.7488363078154165E-3</v>
      </c>
      <c r="FP38" s="9">
        <f ca="1">IF(OR(FP11="",FP$28&lt;$A38),"",FP11/OFFSET(SSTotalESP!$A$2,MATCH(FP$29,SSTotalESP!$A$2:$A$500)+$A38-1,1)-1)</f>
        <v>6.7681922931206451E-4</v>
      </c>
      <c r="FQ38" s="9">
        <f ca="1">IF(OR(FQ11="",FQ$28&lt;$A38),"",FQ11/OFFSET(SSTotalESP!$A$2,MATCH(FQ$29,SSTotalESP!$A$2:$A$500)+$A38-1,1)-1)</f>
        <v>-2.6679080640727992E-3</v>
      </c>
      <c r="FR38" s="9">
        <f ca="1">IF(OR(FR11="",FR$28&lt;$A38),"",FR11/OFFSET(SSTotalESP!$A$2,MATCH(FR$29,SSTotalESP!$A$2:$A$500)+$A38-1,1)-1)</f>
        <v>-1.3547345158647639E-3</v>
      </c>
      <c r="FS38" s="9">
        <f ca="1">IF(OR(FS11="",FS$28&lt;$A38),"",FS11/OFFSET(SSTotalESP!$A$2,MATCH(FS$29,SSTotalESP!$A$2:$A$500)+$A38-1,1)-1)</f>
        <v>7.7231118021026113E-3</v>
      </c>
      <c r="FT38" s="9">
        <f ca="1">IF(OR(FT11="",FT$28&lt;$A38),"",FT11/OFFSET(SSTotalESP!$A$2,MATCH(FT$29,SSTotalESP!$A$2:$A$500)+$A38-1,1)-1)</f>
        <v>3.7967592984875509E-3</v>
      </c>
      <c r="FU38" s="9">
        <f ca="1">IF(OR(FU11="",FU$28&lt;$A38),"",FU11/OFFSET(SSTotalESP!$A$2,MATCH(FU$29,SSTotalESP!$A$2:$A$500)+$A38-1,1)-1)</f>
        <v>-5.329734159738253E-3</v>
      </c>
      <c r="FV38" s="9">
        <f ca="1">IF(OR(FV11="",FV$28&lt;$A38),"",FV11/OFFSET(SSTotalESP!$A$2,MATCH(FV$29,SSTotalESP!$A$2:$A$500)+$A38-1,1)-1)</f>
        <v>-1.6454699867767486E-2</v>
      </c>
      <c r="FW38" s="9">
        <f ca="1">IF(OR(FW11="",FW$28&lt;$A38),"",FW11/OFFSET(SSTotalESP!$A$2,MATCH(FW$29,SSTotalESP!$A$2:$A$500)+$A38-1,1)-1)</f>
        <v>-9.3416168107522957E-3</v>
      </c>
      <c r="FX38" s="9">
        <f ca="1">IF(OR(FX11="",FX$28&lt;$A38),"",FX11/OFFSET(SSTotalESP!$A$2,MATCH(FX$29,SSTotalESP!$A$2:$A$500)+$A38-1,1)-1)</f>
        <v>8.8959208917696042E-3</v>
      </c>
      <c r="FY38" s="9">
        <f ca="1">IF(OR(FY11="",FY$28&lt;$A38),"",FY11/OFFSET(SSTotalESP!$A$2,MATCH(FY$29,SSTotalESP!$A$2:$A$500)+$A38-1,1)-1)</f>
        <v>-8.3081248615912706E-4</v>
      </c>
      <c r="FZ38" s="9">
        <f ca="1">IF(OR(FZ11="",FZ$28&lt;$A38),"",FZ11/OFFSET(SSTotalESP!$A$2,MATCH(FZ$29,SSTotalESP!$A$2:$A$500)+$A38-1,1)-1)</f>
        <v>1.0835102165298816E-2</v>
      </c>
      <c r="GA38" s="9">
        <f ca="1">IF(OR(GA11="",GA$28&lt;$A38),"",GA11/OFFSET(SSTotalESP!$A$2,MATCH(GA$29,SSTotalESP!$A$2:$A$500)+$A38-1,1)-1)</f>
        <v>-7.532107981729208E-4</v>
      </c>
      <c r="GB38" s="9">
        <f ca="1">IF(OR(GB11="",GB$28&lt;$A38),"",GB11/OFFSET(SSTotalESP!$A$2,MATCH(GB$29,SSTotalESP!$A$2:$A$500)+$A38-1,1)-1)</f>
        <v>-2.6047732913114796E-4</v>
      </c>
      <c r="GC38" s="9">
        <f ca="1">IF(OR(GC11="",GC$28&lt;$A38),"",GC11/OFFSET(SSTotalESP!$A$2,MATCH(GC$29,SSTotalESP!$A$2:$A$500)+$A38-1,1)-1)</f>
        <v>7.7828266176442895E-3</v>
      </c>
      <c r="GD38" s="9">
        <f ca="1">IF(OR(GD11="",GD$28&lt;$A38),"",GD11/OFFSET(SSTotalESP!$A$2,MATCH(GD$29,SSTotalESP!$A$2:$A$500)+$A38-1,1)-1)</f>
        <v>1.2053300137663925E-2</v>
      </c>
      <c r="GE38" s="9">
        <f ca="1">IF(OR(GE11="",GE$28&lt;$A38),"",GE11/OFFSET(SSTotalESP!$A$2,MATCH(GE$29,SSTotalESP!$A$2:$A$500)+$A38-1,1)-1)</f>
        <v>7.9863397047705842E-3</v>
      </c>
      <c r="GF38" s="9">
        <f ca="1">IF(OR(GF11="",GF$28&lt;$A38),"",GF11/OFFSET(SSTotalESP!$A$2,MATCH(GF$29,SSTotalESP!$A$2:$A$500)+$A38-1,1)-1)</f>
        <v>2.6352634527522456E-2</v>
      </c>
      <c r="GG38" s="9">
        <f ca="1">IF(OR(GG11="",GG$28&lt;$A38),"",GG11/OFFSET(SSTotalESP!$A$2,MATCH(GG$29,SSTotalESP!$A$2:$A$500)+$A38-1,1)-1)</f>
        <v>6.2111940152116407E-2</v>
      </c>
      <c r="GH38" s="9">
        <f ca="1">IF(OR(GH11="",GH$28&lt;$A38),"",GH11/OFFSET(SSTotalESP!$A$2,MATCH(GH$29,SSTotalESP!$A$2:$A$500)+$A38-1,1)-1)</f>
        <v>5.7511820737847552E-2</v>
      </c>
      <c r="GI38" s="9">
        <f ca="1">IF(OR(GI11="",GI$28&lt;$A38),"",GI11/OFFSET(SSTotalESP!$A$2,MATCH(GI$29,SSTotalESP!$A$2:$A$500)+$A38-1,1)-1)</f>
        <v>5.861897123769455E-2</v>
      </c>
      <c r="GJ38" s="9">
        <f ca="1">IF(OR(GJ11="",GJ$28&lt;$A38),"",GJ11/OFFSET(SSTotalESP!$A$2,MATCH(GJ$29,SSTotalESP!$A$2:$A$500)+$A38-1,1)-1)</f>
        <v>5.9496346429070757E-2</v>
      </c>
      <c r="GK38" s="9">
        <f ca="1">IF(OR(GK11="",GK$28&lt;$A38),"",GK11/OFFSET(SSTotalESP!$A$2,MATCH(GK$29,SSTotalESP!$A$2:$A$500)+$A38-1,1)-1)</f>
        <v>4.72082809023322E-2</v>
      </c>
      <c r="GL38" s="9">
        <f ca="1">IF(OR(GL11="",GL$28&lt;$A38),"",GL11/OFFSET(SSTotalESP!$A$2,MATCH(GL$29,SSTotalESP!$A$2:$A$500)+$A38-1,1)-1)</f>
        <v>3.8479712232378116E-2</v>
      </c>
      <c r="GM38" s="9">
        <f ca="1">IF(OR(GM11="",GM$28&lt;$A38),"",GM11/OFFSET(SSTotalESP!$A$2,MATCH(GM$29,SSTotalESP!$A$2:$A$500)+$A38-1,1)-1)</f>
        <v>2.9051469457486379E-2</v>
      </c>
      <c r="GN38" s="9">
        <f ca="1">IF(OR(GN11="",GN$28&lt;$A38),"",GN11/OFFSET(SSTotalESP!$A$2,MATCH(GN$29,SSTotalESP!$A$2:$A$500)+$A38-1,1)-1)</f>
        <v>3.5450314845332453E-2</v>
      </c>
      <c r="GO38" s="9">
        <f ca="1">IF(OR(GO11="",GO$28&lt;$A38),"",GO11/OFFSET(SSTotalESP!$A$2,MATCH(GO$29,SSTotalESP!$A$2:$A$500)+$A38-1,1)-1)</f>
        <v>-8.047942944405917E-3</v>
      </c>
      <c r="GP38" s="9">
        <f ca="1">IF(OR(GP11="",GP$28&lt;$A38),"",GP11/OFFSET(SSTotalESP!$A$2,MATCH(GP$29,SSTotalESP!$A$2:$A$500)+$A38-1,1)-1)</f>
        <v>-6.6116253385286039E-2</v>
      </c>
      <c r="GQ38" s="9" t="str">
        <f ca="1">IF(OR(GQ11="",GQ$28&lt;$A38),"",GQ11/OFFSET(SSTotalESP!$A$2,MATCH(GQ$29,SSTotalESP!$A$2:$A$500)+$A38-1,1)-1)</f>
        <v/>
      </c>
      <c r="GR38" s="9" t="str">
        <f ca="1">IF(OR(GR11="",GR$28&lt;$A38),"",GR11/OFFSET(SSTotalESP!$A$2,MATCH(GR$29,SSTotalESP!$A$2:$A$500)+$A38-1,1)-1)</f>
        <v/>
      </c>
      <c r="GS38" s="9" t="str">
        <f ca="1">IF(OR(GS11="",GS$28&lt;$A38),"",GS11/OFFSET(SSTotalESP!$A$2,MATCH(GS$29,SSTotalESP!$A$2:$A$500)+$A38-1,1)-1)</f>
        <v/>
      </c>
      <c r="GT38" s="9" t="str">
        <f ca="1">IF(OR(GT11="",GT$28&lt;$A38),"",GT11/OFFSET(SSTotalESP!$A$2,MATCH(GT$29,SSTotalESP!$A$2:$A$500)+$A38-1,1)-1)</f>
        <v/>
      </c>
      <c r="GU38" s="9" t="str">
        <f ca="1">IF(OR(GU11="",GU$28&lt;$A38),"",GU11/OFFSET(SSTotalESP!$A$2,MATCH(GU$29,SSTotalESP!$A$2:$A$500)+$A38-1,1)-1)</f>
        <v/>
      </c>
      <c r="GV38" s="9" t="str">
        <f ca="1">IF(OR(GV11="",GV$28&lt;$A38),"",GV11/OFFSET(SSTotalESP!$A$2,MATCH(GV$29,SSTotalESP!$A$2:$A$500)+$A38-1,1)-1)</f>
        <v/>
      </c>
      <c r="GW38" s="9" t="str">
        <f ca="1">IF(OR(GW11="",GW$28&lt;$A38),"",GW11/OFFSET(SSTotalESP!$A$2,MATCH(GW$29,SSTotalESP!$A$2:$A$500)+$A38-1,1)-1)</f>
        <v/>
      </c>
      <c r="GX38" s="9" t="str">
        <f ca="1">IF(OR(GX11="",GX$28&lt;$A38),"",GX11/OFFSET(SSTotalESP!$A$2,MATCH(GX$29,SSTotalESP!$A$2:$A$500)+$A38-1,1)-1)</f>
        <v/>
      </c>
      <c r="GY38" s="9" t="str">
        <f ca="1">IF(OR(GY11="",GY$28&lt;$A38),"",GY11/OFFSET(SSTotalESP!$A$2,MATCH(GY$29,SSTotalESP!$A$2:$A$500)+$A38-1,1)-1)</f>
        <v/>
      </c>
      <c r="GZ38" s="9" t="str">
        <f ca="1">IF(OR(GZ11="",GZ$28&lt;$A38),"",GZ11/OFFSET(SSTotalESP!$A$2,MATCH(GZ$29,SSTotalESP!$A$2:$A$500)+$A38-1,1)-1)</f>
        <v/>
      </c>
      <c r="HA38" s="9" t="str">
        <f ca="1">IF(OR(HA11="",HA$28&lt;$A38),"",HA11/OFFSET(SSTotalESP!$A$2,MATCH(HA$29,SSTotalESP!$A$2:$A$500)+$A38-1,1)-1)</f>
        <v/>
      </c>
      <c r="HB38" s="9" t="str">
        <f ca="1">IF(OR(HB11="",HB$28&lt;$A38),"",HB11/OFFSET(SSTotalESP!$A$2,MATCH(HB$29,SSTotalESP!$A$2:$A$500)+$A38-1,1)-1)</f>
        <v/>
      </c>
      <c r="HC38" s="9" t="str">
        <f ca="1">IF(OR(HC11="",HC$28&lt;$A38),"",HC11/OFFSET(SSTotalESP!$A$2,MATCH(HC$29,SSTotalESP!$A$2:$A$500)+$A38-1,1)-1)</f>
        <v/>
      </c>
      <c r="HD38" s="9" t="str">
        <f ca="1">IF(OR(HD11="",HD$28&lt;$A38),"",HD11/OFFSET(SSTotalESP!$A$2,MATCH(HD$29,SSTotalESP!$A$2:$A$500)+$A38-1,1)-1)</f>
        <v/>
      </c>
      <c r="HE38" s="9" t="str">
        <f ca="1">IF(OR(HE11="",HE$28&lt;$A38),"",HE11/OFFSET(SSTotalESP!$A$2,MATCH(HE$29,SSTotalESP!$A$2:$A$500)+$A38-1,1)-1)</f>
        <v/>
      </c>
      <c r="HF38" s="9" t="str">
        <f ca="1">IF(OR(HF11="",HF$28&lt;$A38),"",HF11/OFFSET(SSTotalESP!$A$2,MATCH(HF$29,SSTotalESP!$A$2:$A$500)+$A38-1,1)-1)</f>
        <v/>
      </c>
      <c r="HG38" s="9" t="str">
        <f ca="1">IF(OR(HG11="",HG$28&lt;$A38),"",HG11/OFFSET(SSTotalESP!$A$2,MATCH(HG$29,SSTotalESP!$A$2:$A$500)+$A38-1,1)-1)</f>
        <v/>
      </c>
      <c r="HH38" s="9" t="str">
        <f ca="1">IF(OR(HH11="",HH$28&lt;$A38),"",HH11/OFFSET(SSTotalESP!$A$2,MATCH(HH$29,SSTotalESP!$A$2:$A$500)+$A38-1,1)-1)</f>
        <v/>
      </c>
      <c r="HI38" s="9" t="str">
        <f ca="1">IF(OR(HI11="",HI$28&lt;$A38),"",HI11/OFFSET(SSTotalESP!$A$2,MATCH(HI$29,SSTotalESP!$A$2:$A$500)+$A38-1,1)-1)</f>
        <v/>
      </c>
      <c r="HJ38" s="9" t="str">
        <f ca="1">IF(OR(HJ11="",HJ$28&lt;$A38),"",HJ11/OFFSET(SSTotalESP!$A$2,MATCH(HJ$29,SSTotalESP!$A$2:$A$500)+$A38-1,1)-1)</f>
        <v/>
      </c>
      <c r="HK38" s="9" t="str">
        <f ca="1">IF(OR(HK11="",HK$28&lt;$A38),"",HK11/OFFSET(SSTotalESP!$A$2,MATCH(HK$29,SSTotalESP!$A$2:$A$500)+$A38-1,1)-1)</f>
        <v/>
      </c>
      <c r="HL38" s="9" t="str">
        <f ca="1">IF(OR(HL11="",HL$28&lt;$A38),"",HL11/OFFSET(SSTotalESP!$A$2,MATCH(HL$29,SSTotalESP!$A$2:$A$500)+$A38-1,1)-1)</f>
        <v/>
      </c>
      <c r="HM38" s="9" t="str">
        <f ca="1">IF(OR(HM11="",HM$28&lt;$A38),"",HM11/OFFSET(SSTotalESP!$A$2,MATCH(HM$29,SSTotalESP!$A$2:$A$500)+$A38-1,1)-1)</f>
        <v/>
      </c>
      <c r="HN38" s="9" t="str">
        <f ca="1">IF(OR(HN11="",HN$28&lt;$A38),"",HN11/OFFSET(SSTotalESP!$A$2,MATCH(HN$29,SSTotalESP!$A$2:$A$500)+$A38-1,1)-1)</f>
        <v/>
      </c>
      <c r="HO38" s="9" t="str">
        <f ca="1">IF(OR(HO11="",HO$28&lt;$A38),"",HO11/OFFSET(SSTotalESP!$A$2,MATCH(HO$29,SSTotalESP!$A$2:$A$500)+$A38-1,1)-1)</f>
        <v/>
      </c>
      <c r="HP38" s="9" t="str">
        <f ca="1">IF(OR(HP11="",HP$28&lt;$A38),"",HP11/OFFSET(SSTotalESP!$A$2,MATCH(HP$29,SSTotalESP!$A$2:$A$500)+$A38-1,1)-1)</f>
        <v/>
      </c>
      <c r="HQ38" s="9" t="str">
        <f ca="1">IF(OR(HQ11="",HQ$28&lt;$A38),"",HQ11/OFFSET(SSTotalESP!$A$2,MATCH(HQ$29,SSTotalESP!$A$2:$A$500)+$A38-1,1)-1)</f>
        <v/>
      </c>
      <c r="HR38" s="9" t="str">
        <f ca="1">IF(OR(HR11="",HR$28&lt;$A38),"",HR11/OFFSET(SSTotalESP!$A$2,MATCH(HR$29,SSTotalESP!$A$2:$A$500)+$A38-1,1)-1)</f>
        <v/>
      </c>
      <c r="HS38" s="9" t="str">
        <f ca="1">IF(OR(HS11="",HS$28&lt;$A38),"",HS11/OFFSET(SSTotalESP!$A$2,MATCH(HS$29,SSTotalESP!$A$2:$A$500)+$A38-1,1)-1)</f>
        <v/>
      </c>
      <c r="HT38" s="9" t="str">
        <f ca="1">IF(OR(HT11="",HT$28&lt;$A38),"",HT11/OFFSET(SSTotalESP!$A$2,MATCH(HT$29,SSTotalESP!$A$2:$A$500)+$A38-1,1)-1)</f>
        <v/>
      </c>
      <c r="HU38" s="9" t="str">
        <f ca="1">IF(OR(HU11="",HU$28&lt;$A38),"",HU11/OFFSET(SSTotalESP!$A$2,MATCH(HU$29,SSTotalESP!$A$2:$A$500)+$A38-1,1)-1)</f>
        <v/>
      </c>
      <c r="HV38" s="9" t="str">
        <f ca="1">IF(OR(HV11="",HV$28&lt;$A38),"",HV11/OFFSET(SSTotalESP!$A$2,MATCH(HV$29,SSTotalESP!$A$2:$A$500)+$A38-1,1)-1)</f>
        <v/>
      </c>
      <c r="HW38" s="9" t="str">
        <f ca="1">IF(OR(HW11="",HW$28&lt;$A38),"",HW11/OFFSET(SSTotalESP!$A$2,MATCH(HW$29,SSTotalESP!$A$2:$A$500)+$A38-1,1)-1)</f>
        <v/>
      </c>
      <c r="HX38" s="9" t="str">
        <f ca="1">IF(OR(HX11="",HX$28&lt;$A38),"",HX11/OFFSET(SSTotalESP!$A$2,MATCH(HX$29,SSTotalESP!$A$2:$A$500)+$A38-1,1)-1)</f>
        <v/>
      </c>
      <c r="HY38" s="9" t="str">
        <f ca="1">IF(OR(HY11="",HY$28&lt;$A38),"",HY11/OFFSET(SSTotalESP!$A$2,MATCH(HY$29,SSTotalESP!$A$2:$A$500)+$A38-1,1)-1)</f>
        <v/>
      </c>
      <c r="HZ38" s="9" t="str">
        <f ca="1">IF(OR(HZ11="",HZ$28&lt;$A38),"",HZ11/OFFSET(SSTotalESP!$A$2,MATCH(HZ$29,SSTotalESP!$A$2:$A$500)+$A38-1,1)-1)</f>
        <v/>
      </c>
      <c r="IA38" s="9" t="str">
        <f ca="1">IF(OR(IA11="",IA$28&lt;$A38),"",IA11/OFFSET(SSTotalESP!$A$2,MATCH(IA$29,SSTotalESP!$A$2:$A$500)+$A38-1,1)-1)</f>
        <v/>
      </c>
      <c r="IB38" s="9" t="str">
        <f ca="1">IF(OR(IB11="",IB$28&lt;$A38),"",IB11/OFFSET(SSTotalESP!$A$2,MATCH(IB$29,SSTotalESP!$A$2:$A$500)+$A38-1,1)-1)</f>
        <v/>
      </c>
      <c r="IC38" s="9" t="str">
        <f ca="1">IF(OR(IC11="",IC$28&lt;$A38),"",IC11/OFFSET(SSTotalESP!$A$2,MATCH(IC$29,SSTotalESP!$A$2:$A$500)+$A38-1,1)-1)</f>
        <v/>
      </c>
      <c r="ID38" s="9" t="str">
        <f ca="1">IF(OR(ID11="",ID$28&lt;$A38),"",ID11/OFFSET(SSTotalESP!$A$2,MATCH(ID$29,SSTotalESP!$A$2:$A$500)+$A38-1,1)-1)</f>
        <v/>
      </c>
      <c r="IE38" s="9" t="str">
        <f ca="1">IF(OR(IE11="",IE$28&lt;$A38),"",IE11/OFFSET(SSTotalESP!$A$2,MATCH(IE$29,SSTotalESP!$A$2:$A$500)+$A38-1,1)-1)</f>
        <v/>
      </c>
      <c r="IF38" s="9" t="str">
        <f ca="1">IF(OR(IF11="",IF$28&lt;$A38),"",IF11/OFFSET(SSTotalESP!$A$2,MATCH(IF$29,SSTotalESP!$A$2:$A$500)+$A38-1,1)-1)</f>
        <v/>
      </c>
      <c r="IG38" s="9" t="str">
        <f ca="1">IF(OR(IG11="",IG$28&lt;$A38),"",IG11/OFFSET(SSTotalESP!$A$2,MATCH(IG$29,SSTotalESP!$A$2:$A$500)+$A38-1,1)-1)</f>
        <v/>
      </c>
      <c r="IH38" s="9" t="str">
        <f ca="1">IF(OR(IH11="",IH$28&lt;$A38),"",IH11/OFFSET(SSTotalESP!$A$2,MATCH(IH$29,SSTotalESP!$A$2:$A$500)+$A38-1,1)-1)</f>
        <v/>
      </c>
      <c r="II38" s="9" t="str">
        <f ca="1">IF(OR(II11="",II$28&lt;$A38),"",II11/OFFSET(SSTotalESP!$A$2,MATCH(II$29,SSTotalESP!$A$2:$A$500)+$A38-1,1)-1)</f>
        <v/>
      </c>
      <c r="IJ38" s="9" t="str">
        <f ca="1">IF(OR(IJ11="",IJ$28&lt;$A38),"",IJ11/OFFSET(SSTotalESP!$A$2,MATCH(IJ$29,SSTotalESP!$A$2:$A$500)+$A38-1,1)-1)</f>
        <v/>
      </c>
      <c r="IK38" s="9" t="str">
        <f ca="1">IF(OR(IK11="",IK$28&lt;$A38),"",IK11/OFFSET(SSTotalESP!$A$2,MATCH(IK$29,SSTotalESP!$A$2:$A$500)+$A38-1,1)-1)</f>
        <v/>
      </c>
      <c r="IL38" s="9" t="str">
        <f ca="1">IF(OR(IL11="",IL$28&lt;$A38),"",IL11/OFFSET(SSTotalESP!$A$2,MATCH(IL$29,SSTotalESP!$A$2:$A$500)+$A38-1,1)-1)</f>
        <v/>
      </c>
      <c r="IM38" s="9" t="str">
        <f ca="1">IF(OR(IM11="",IM$28&lt;$A38),"",IM11/OFFSET(SSTotalESP!$A$2,MATCH(IM$29,SSTotalESP!$A$2:$A$500)+$A38-1,1)-1)</f>
        <v/>
      </c>
      <c r="IN38" s="9" t="str">
        <f ca="1">IF(OR(IN11="",IN$28&lt;$A38),"",IN11/OFFSET(SSTotalESP!$A$2,MATCH(IN$29,SSTotalESP!$A$2:$A$500)+$A38-1,1)-1)</f>
        <v/>
      </c>
      <c r="IO38" s="9" t="str">
        <f ca="1">IF(OR(IO11="",IO$28&lt;$A38),"",IO11/OFFSET(SSTotalESP!$A$2,MATCH(IO$29,SSTotalESP!$A$2:$A$500)+$A38-1,1)-1)</f>
        <v/>
      </c>
      <c r="IP38" s="9" t="str">
        <f ca="1">IF(OR(IP11="",IP$28&lt;$A38),"",IP11/OFFSET(SSTotalESP!$A$2,MATCH(IP$29,SSTotalESP!$A$2:$A$500)+$A38-1,1)-1)</f>
        <v/>
      </c>
      <c r="IQ38" s="9" t="str">
        <f ca="1">IF(OR(IQ11="",IQ$28&lt;$A38),"",IQ11/OFFSET(SSTotalESP!$A$2,MATCH(IQ$29,SSTotalESP!$A$2:$A$500)+$A38-1,1)-1)</f>
        <v/>
      </c>
      <c r="IR38" s="9" t="str">
        <f ca="1">IF(OR(IR11="",IR$28&lt;$A38),"",IR11/OFFSET(SSTotalESP!$A$2,MATCH(IR$29,SSTotalESP!$A$2:$A$500)+$A38-1,1)-1)</f>
        <v/>
      </c>
      <c r="IS38" s="9" t="str">
        <f ca="1">IF(OR(IS11="",IS$28&lt;$A38),"",IS11/OFFSET(SSTotalESP!$A$2,MATCH(IS$29,SSTotalESP!$A$2:$A$500)+$A38-1,1)-1)</f>
        <v/>
      </c>
      <c r="IT38" s="9" t="str">
        <f ca="1">IF(OR(IT11="",IT$28&lt;$A38),"",IT11/OFFSET(SSTotalESP!$A$2,MATCH(IT$29,SSTotalESP!$A$2:$A$500)+$A38-1,1)-1)</f>
        <v/>
      </c>
      <c r="IU38" s="9" t="str">
        <f ca="1">IF(OR(IU11="",IU$28&lt;$A38),"",IU11/OFFSET(SSTotalESP!$A$2,MATCH(IU$29,SSTotalESP!$A$2:$A$500)+$A38-1,1)-1)</f>
        <v/>
      </c>
      <c r="IV38" s="9" t="str">
        <f ca="1">IF(OR(IV11="",IV$28&lt;$A38),"",IV11/OFFSET(SSTotalESP!$A$2,MATCH(IV$29,SSTotalESP!$A$2:$A$500)+$A38-1,1)-1)</f>
        <v/>
      </c>
      <c r="IW38" s="9" t="str">
        <f ca="1">IF(OR(IW11="",IW$28&lt;$A38),"",IW11/OFFSET(SSTotalESP!$A$2,MATCH(IW$29,SSTotalESP!$A$2:$A$500)+$A38-1,1)-1)</f>
        <v/>
      </c>
      <c r="IX38" s="9" t="str">
        <f ca="1">IF(OR(IX11="",IX$28&lt;$A38),"",IX11/OFFSET(SSTotalESP!$A$2,MATCH(IX$29,SSTotalESP!$A$2:$A$500)+$A38-1,1)-1)</f>
        <v/>
      </c>
      <c r="IY38" s="9" t="str">
        <f ca="1">IF(OR(IY11="",IY$28&lt;$A38),"",IY11/OFFSET(SSTotalESP!$A$2,MATCH(IY$29,SSTotalESP!$A$2:$A$500)+$A38-1,1)-1)</f>
        <v/>
      </c>
      <c r="IZ38" s="9" t="str">
        <f ca="1">IF(OR(IZ11="",IZ$28&lt;$A38),"",IZ11/OFFSET(SSTotalESP!$A$2,MATCH(IZ$29,SSTotalESP!$A$2:$A$500)+$A38-1,1)-1)</f>
        <v/>
      </c>
      <c r="JA38" s="9" t="str">
        <f ca="1">IF(OR(JA11="",JA$28&lt;$A38),"",JA11/OFFSET(SSTotalESP!$A$2,MATCH(JA$29,SSTotalESP!$A$2:$A$500)+$A38-1,1)-1)</f>
        <v/>
      </c>
      <c r="JB38" s="9" t="str">
        <f ca="1">IF(OR(JB11="",JB$28&lt;$A38),"",JB11/OFFSET(SSTotalESP!$A$2,MATCH(JB$29,SSTotalESP!$A$2:$A$500)+$A38-1,1)-1)</f>
        <v/>
      </c>
      <c r="JC38" s="9" t="str">
        <f ca="1">IF(OR(JC11="",JC$28&lt;$A38),"",JC11/OFFSET(SSTotalESP!$A$2,MATCH(JC$29,SSTotalESP!$A$2:$A$500)+$A38-1,1)-1)</f>
        <v/>
      </c>
      <c r="JD38" s="9" t="str">
        <f ca="1">IF(OR(JD11="",JD$28&lt;$A38),"",JD11/OFFSET(SSTotalESP!$A$2,MATCH(JD$29,SSTotalESP!$A$2:$A$500)+$A38-1,1)-1)</f>
        <v/>
      </c>
      <c r="JE38" s="9" t="str">
        <f ca="1">IF(OR(JE11="",JE$28&lt;$A38),"",JE11/OFFSET(SSTotalESP!$A$2,MATCH(JE$29,SSTotalESP!$A$2:$A$500)+$A38-1,1)-1)</f>
        <v/>
      </c>
      <c r="JF38" s="9" t="str">
        <f ca="1">IF(OR(JF11="",JF$28&lt;$A38),"",JF11/OFFSET(SSTotalESP!$A$2,MATCH(JF$29,SSTotalESP!$A$2:$A$500)+$A38-1,1)-1)</f>
        <v/>
      </c>
      <c r="JG38" s="9" t="str">
        <f ca="1">IF(OR(JG11="",JG$28&lt;$A38),"",JG11/OFFSET(SSTotalESP!$A$2,MATCH(JG$29,SSTotalESP!$A$2:$A$500)+$A38-1,1)-1)</f>
        <v/>
      </c>
      <c r="JH38" s="9" t="str">
        <f ca="1">IF(OR(JH11="",JH$28&lt;$A38),"",JH11/OFFSET(SSTotalESP!$A$2,MATCH(JH$29,SSTotalESP!$A$2:$A$500)+$A38-1,1)-1)</f>
        <v/>
      </c>
      <c r="JI38" s="13">
        <f t="shared" ca="1" si="13"/>
        <v>1.3930671568391059E-2</v>
      </c>
      <c r="JJ38" s="13">
        <f t="shared" ca="1" si="14"/>
        <v>7.8845831612074369E-3</v>
      </c>
      <c r="JK38" s="14">
        <f t="shared" ca="1" si="15"/>
        <v>8.0666932494424391E-4</v>
      </c>
      <c r="JL38" s="17">
        <f t="shared" ca="1" si="18"/>
        <v>2.8401924669716382E-2</v>
      </c>
      <c r="JM38" s="15" t="str">
        <f t="shared" ca="1" si="16"/>
        <v>[ -4,29% ; 7,07% ]</v>
      </c>
      <c r="JN38" s="17">
        <f t="shared" ca="1" si="17"/>
        <v>3.635446357723697E-2</v>
      </c>
      <c r="LY38" s="1"/>
    </row>
    <row r="39" spans="1:337" x14ac:dyDescent="0.25">
      <c r="A39" s="4">
        <v>10</v>
      </c>
      <c r="B39" s="9">
        <f ca="1">IF(OR(B12="",B$28&lt;$A39),"",B12/OFFSET(SSTotalESP!$A$2,MATCH(B$29,SSTotalESP!$A$2:$A$500)+$A39-1,1)-1)</f>
        <v>-1.3057927057033014E-3</v>
      </c>
      <c r="C39" s="9">
        <f ca="1">IF(OR(C12="",C$28&lt;$A39),"",C12/OFFSET(SSTotalESP!$A$2,MATCH(C$29,SSTotalESP!$A$2:$A$500)+$A39-1,1)-1)</f>
        <v>-1.4369037782135941E-3</v>
      </c>
      <c r="D39" s="9">
        <f ca="1">IF(OR(D12="",D$28&lt;$A39),"",D12/OFFSET(SSTotalESP!$A$2,MATCH(D$29,SSTotalESP!$A$2:$A$500)+$A39-1,1)-1)</f>
        <v>3.4992212768836239E-4</v>
      </c>
      <c r="E39" s="9">
        <f ca="1">IF(OR(E12="",E$28&lt;$A39),"",E12/OFFSET(SSTotalESP!$A$2,MATCH(E$29,SSTotalESP!$A$2:$A$500)+$A39-1,1)-1)</f>
        <v>-4.4661573667825749E-4</v>
      </c>
      <c r="F39" s="9">
        <f ca="1">IF(OR(F12="",F$28&lt;$A39),"",F12/OFFSET(SSTotalESP!$A$2,MATCH(F$29,SSTotalESP!$A$2:$A$500)+$A39-1,1)-1)</f>
        <v>-1.1731706894502203E-3</v>
      </c>
      <c r="G39" s="9">
        <f ca="1">IF(OR(G12="",G$28&lt;$A39),"",G12/OFFSET(SSTotalESP!$A$2,MATCH(G$29,SSTotalESP!$A$2:$A$500)+$A39-1,1)-1)</f>
        <v>-3.7915059808102392E-4</v>
      </c>
      <c r="H39" s="9">
        <f ca="1">IF(OR(H12="",H$28&lt;$A39),"",H12/OFFSET(SSTotalESP!$A$2,MATCH(H$29,SSTotalESP!$A$2:$A$500)+$A39-1,1)-1)</f>
        <v>-2.0977218939315367E-3</v>
      </c>
      <c r="I39" s="9">
        <f ca="1">IF(OR(I12="",I$28&lt;$A39),"",I12/OFFSET(SSTotalESP!$A$2,MATCH(I$29,SSTotalESP!$A$2:$A$500)+$A39-1,1)-1)</f>
        <v>-5.9818548286206807E-3</v>
      </c>
      <c r="J39" s="9">
        <f ca="1">IF(OR(J12="",J$28&lt;$A39),"",J12/OFFSET(SSTotalESP!$A$2,MATCH(J$29,SSTotalESP!$A$2:$A$500)+$A39-1,1)-1)</f>
        <v>-1.6210233894560999E-2</v>
      </c>
      <c r="K39" s="9">
        <f ca="1">IF(OR(K12="",K$28&lt;$A39),"",K12/OFFSET(SSTotalESP!$A$2,MATCH(K$29,SSTotalESP!$A$2:$A$500)+$A39-1,1)-1)</f>
        <v>-2.0675108303620848E-2</v>
      </c>
      <c r="L39" s="9">
        <f ca="1">IF(OR(L12="",L$28&lt;$A39),"",L12/OFFSET(SSTotalESP!$A$2,MATCH(L$29,SSTotalESP!$A$2:$A$500)+$A39-1,1)-1)</f>
        <v>-2.1931416576862817E-2</v>
      </c>
      <c r="M39" s="9">
        <f ca="1">IF(OR(M12="",M$28&lt;$A39),"",M12/OFFSET(SSTotalESP!$A$2,MATCH(M$29,SSTotalESP!$A$2:$A$500)+$A39-1,1)-1)</f>
        <v>-2.4173544437204653E-2</v>
      </c>
      <c r="N39" s="9">
        <f ca="1">IF(OR(N12="",N$28&lt;$A39),"",N12/OFFSET(SSTotalESP!$A$2,MATCH(N$29,SSTotalESP!$A$2:$A$500)+$A39-1,1)-1)</f>
        <v>-2.6579764526896921E-2</v>
      </c>
      <c r="O39" s="9">
        <f ca="1">IF(OR(O12="",O$28&lt;$A39),"",O12/OFFSET(SSTotalESP!$A$2,MATCH(O$29,SSTotalESP!$A$2:$A$500)+$A39-1,1)-1)</f>
        <v>-2.563293515304077E-2</v>
      </c>
      <c r="P39" s="9">
        <f ca="1">IF(OR(P12="",P$28&lt;$A39),"",P12/OFFSET(SSTotalESP!$A$2,MATCH(P$29,SSTotalESP!$A$2:$A$500)+$A39-1,1)-1)</f>
        <v>-2.5646908036793037E-2</v>
      </c>
      <c r="Q39" s="9">
        <f ca="1">IF(OR(Q12="",Q$28&lt;$A39),"",Q12/OFFSET(SSTotalESP!$A$2,MATCH(Q$29,SSTotalESP!$A$2:$A$500)+$A39-1,1)-1)</f>
        <v>-2.6420035479475135E-2</v>
      </c>
      <c r="R39" s="9">
        <f ca="1">IF(OR(R12="",R$28&lt;$A39),"",R12/OFFSET(SSTotalESP!$A$2,MATCH(R$29,SSTotalESP!$A$2:$A$500)+$A39-1,1)-1)</f>
        <v>-2.3665432520867724E-2</v>
      </c>
      <c r="S39" s="9">
        <f ca="1">IF(OR(S12="",S$28&lt;$A39),"",S12/OFFSET(SSTotalESP!$A$2,MATCH(S$29,SSTotalESP!$A$2:$A$500)+$A39-1,1)-1)</f>
        <v>-2.073254265961233E-2</v>
      </c>
      <c r="T39" s="9">
        <f ca="1">IF(OR(T12="",T$28&lt;$A39),"",T12/OFFSET(SSTotalESP!$A$2,MATCH(T$29,SSTotalESP!$A$2:$A$500)+$A39-1,1)-1)</f>
        <v>-9.0732123160955913E-3</v>
      </c>
      <c r="U39" s="9">
        <f ca="1">IF(OR(U12="",U$28&lt;$A39),"",U12/OFFSET(SSTotalESP!$A$2,MATCH(U$29,SSTotalESP!$A$2:$A$500)+$A39-1,1)-1)</f>
        <v>1.014456886136772E-3</v>
      </c>
      <c r="V39" s="9">
        <f ca="1">IF(OR(V12="",V$28&lt;$A39),"",V12/OFFSET(SSTotalESP!$A$2,MATCH(V$29,SSTotalESP!$A$2:$A$500)+$A39-1,1)-1)</f>
        <v>1.5098794589492481E-2</v>
      </c>
      <c r="W39" s="9">
        <f ca="1">IF(OR(W12="",W$28&lt;$A39),"",W12/OFFSET(SSTotalESP!$A$2,MATCH(W$29,SSTotalESP!$A$2:$A$500)+$A39-1,1)-1)</f>
        <v>1.9327901720547658E-2</v>
      </c>
      <c r="X39" s="9">
        <f ca="1">IF(OR(X12="",X$28&lt;$A39),"",X12/OFFSET(SSTotalESP!$A$2,MATCH(X$29,SSTotalESP!$A$2:$A$500)+$A39-1,1)-1)</f>
        <v>2.1906362187823269E-2</v>
      </c>
      <c r="Y39" s="9">
        <f ca="1">IF(OR(Y12="",Y$28&lt;$A39),"",Y12/OFFSET(SSTotalESP!$A$2,MATCH(Y$29,SSTotalESP!$A$2:$A$500)+$A39-1,1)-1)</f>
        <v>1.4418812639302558E-2</v>
      </c>
      <c r="Z39" s="9">
        <f ca="1">IF(OR(Z12="",Z$28&lt;$A39),"",Z12/OFFSET(SSTotalESP!$A$2,MATCH(Z$29,SSTotalESP!$A$2:$A$500)+$A39-1,1)-1)</f>
        <v>1.3772436720089098E-2</v>
      </c>
      <c r="AA39" s="9">
        <f ca="1">IF(OR(AA12="",AA$28&lt;$A39),"",AA12/OFFSET(SSTotalESP!$A$2,MATCH(AA$29,SSTotalESP!$A$2:$A$500)+$A39-1,1)-1)</f>
        <v>1.402013451048445E-2</v>
      </c>
      <c r="AB39" s="9">
        <f ca="1">IF(OR(AB12="",AB$28&lt;$A39),"",AB12/OFFSET(SSTotalESP!$A$2,MATCH(AB$29,SSTotalESP!$A$2:$A$500)+$A39-1,1)-1)</f>
        <v>8.0937048764941899E-3</v>
      </c>
      <c r="AC39" s="9">
        <f ca="1">IF(OR(AC12="",AC$28&lt;$A39),"",AC12/OFFSET(SSTotalESP!$A$2,MATCH(AC$29,SSTotalESP!$A$2:$A$500)+$A39-1,1)-1)</f>
        <v>1.2121099925375134E-2</v>
      </c>
      <c r="AD39" s="9">
        <f ca="1">IF(OR(AD12="",AD$28&lt;$A39),"",AD12/OFFSET(SSTotalESP!$A$2,MATCH(AD$29,SSTotalESP!$A$2:$A$500)+$A39-1,1)-1)</f>
        <v>8.51591321984424E-3</v>
      </c>
      <c r="AE39" s="9">
        <f ca="1">IF(OR(AE12="",AE$28&lt;$A39),"",AE12/OFFSET(SSTotalESP!$A$2,MATCH(AE$29,SSTotalESP!$A$2:$A$500)+$A39-1,1)-1)</f>
        <v>4.431486254230288E-3</v>
      </c>
      <c r="AF39" s="9">
        <f ca="1">IF(OR(AF12="",AF$28&lt;$A39),"",AF12/OFFSET(SSTotalESP!$A$2,MATCH(AF$29,SSTotalESP!$A$2:$A$500)+$A39-1,1)-1)</f>
        <v>-6.3904637075218318E-4</v>
      </c>
      <c r="AG39" s="9">
        <f ca="1">IF(OR(AG12="",AG$28&lt;$A39),"",AG12/OFFSET(SSTotalESP!$A$2,MATCH(AG$29,SSTotalESP!$A$2:$A$500)+$A39-1,1)-1)</f>
        <v>-2.0019655286358518E-3</v>
      </c>
      <c r="AH39" s="9">
        <f ca="1">IF(OR(AH12="",AH$28&lt;$A39),"",AH12/OFFSET(SSTotalESP!$A$2,MATCH(AH$29,SSTotalESP!$A$2:$A$500)+$A39-1,1)-1)</f>
        <v>-7.9171904420762829E-3</v>
      </c>
      <c r="AI39" s="9">
        <f ca="1">IF(OR(AI12="",AI$28&lt;$A39),"",AI12/OFFSET(SSTotalESP!$A$2,MATCH(AI$29,SSTotalESP!$A$2:$A$500)+$A39-1,1)-1)</f>
        <v>2.229110657173905E-3</v>
      </c>
      <c r="AJ39" s="9">
        <f ca="1">IF(OR(AJ12="",AJ$28&lt;$A39),"",AJ12/OFFSET(SSTotalESP!$A$2,MATCH(AJ$29,SSTotalESP!$A$2:$A$500)+$A39-1,1)-1)</f>
        <v>8.2878831244663775E-3</v>
      </c>
      <c r="AK39" s="9">
        <f ca="1">IF(OR(AK12="",AK$28&lt;$A39),"",AK12/OFFSET(SSTotalESP!$A$2,MATCH(AK$29,SSTotalESP!$A$2:$A$500)+$A39-1,1)-1)</f>
        <v>1.2508619404935084E-2</v>
      </c>
      <c r="AL39" s="9">
        <f ca="1">IF(OR(AL12="",AL$28&lt;$A39),"",AL12/OFFSET(SSTotalESP!$A$2,MATCH(AL$29,SSTotalESP!$A$2:$A$500)+$A39-1,1)-1)</f>
        <v>1.0720743933330779E-2</v>
      </c>
      <c r="AM39" s="9">
        <f ca="1">IF(OR(AM12="",AM$28&lt;$A39),"",AM12/OFFSET(SSTotalESP!$A$2,MATCH(AM$29,SSTotalESP!$A$2:$A$500)+$A39-1,1)-1)</f>
        <v>1.5704212715162758E-2</v>
      </c>
      <c r="AN39" s="9">
        <f ca="1">IF(OR(AN12="",AN$28&lt;$A39),"",AN12/OFFSET(SSTotalESP!$A$2,MATCH(AN$29,SSTotalESP!$A$2:$A$500)+$A39-1,1)-1)</f>
        <v>1.3544546569377758E-2</v>
      </c>
      <c r="AO39" s="9">
        <f ca="1">IF(OR(AO12="",AO$28&lt;$A39),"",AO12/OFFSET(SSTotalESP!$A$2,MATCH(AO$29,SSTotalESP!$A$2:$A$500)+$A39-1,1)-1)</f>
        <v>1.9350414263160864E-2</v>
      </c>
      <c r="AP39" s="9">
        <f ca="1">IF(OR(AP12="",AP$28&lt;$A39),"",AP12/OFFSET(SSTotalESP!$A$2,MATCH(AP$29,SSTotalESP!$A$2:$A$500)+$A39-1,1)-1)</f>
        <v>1.3246678733626283E-2</v>
      </c>
      <c r="AQ39" s="9">
        <f ca="1">IF(OR(AQ12="",AQ$28&lt;$A39),"",AQ12/OFFSET(SSTotalESP!$A$2,MATCH(AQ$29,SSTotalESP!$A$2:$A$500)+$A39-1,1)-1)</f>
        <v>1.6711691659542449E-2</v>
      </c>
      <c r="AR39" s="9">
        <f ca="1">IF(OR(AR12="",AR$28&lt;$A39),"",AR12/OFFSET(SSTotalESP!$A$2,MATCH(AR$29,SSTotalESP!$A$2:$A$500)+$A39-1,1)-1)</f>
        <v>1.491085909758838E-2</v>
      </c>
      <c r="AS39" s="9">
        <f ca="1">IF(OR(AS12="",AS$28&lt;$A39),"",AS12/OFFSET(SSTotalESP!$A$2,MATCH(AS$29,SSTotalESP!$A$2:$A$500)+$A39-1,1)-1)</f>
        <v>1.8637433577908258E-2</v>
      </c>
      <c r="AT39" s="9">
        <f ca="1">IF(OR(AT12="",AT$28&lt;$A39),"",AT12/OFFSET(SSTotalESP!$A$2,MATCH(AT$29,SSTotalESP!$A$2:$A$500)+$A39-1,1)-1)</f>
        <v>2.1253476235621127E-2</v>
      </c>
      <c r="AU39" s="9">
        <f ca="1">IF(OR(AU12="",AU$28&lt;$A39),"",AU12/OFFSET(SSTotalESP!$A$2,MATCH(AU$29,SSTotalESP!$A$2:$A$500)+$A39-1,1)-1)</f>
        <v>2.90201510051602E-2</v>
      </c>
      <c r="AV39" s="9">
        <f ca="1">IF(OR(AV12="",AV$28&lt;$A39),"",AV12/OFFSET(SSTotalESP!$A$2,MATCH(AV$29,SSTotalESP!$A$2:$A$500)+$A39-1,1)-1)</f>
        <v>3.6580163981553726E-2</v>
      </c>
      <c r="AW39" s="9">
        <f ca="1">IF(OR(AW12="",AW$28&lt;$A39),"",AW12/OFFSET(SSTotalESP!$A$2,MATCH(AW$29,SSTotalESP!$A$2:$A$500)+$A39-1,1)-1)</f>
        <v>4.0053913184344259E-2</v>
      </c>
      <c r="AX39" s="9">
        <f ca="1">IF(OR(AX12="",AX$28&lt;$A39),"",AX12/OFFSET(SSTotalESP!$A$2,MATCH(AX$29,SSTotalESP!$A$2:$A$500)+$A39-1,1)-1)</f>
        <v>4.8489428147541425E-2</v>
      </c>
      <c r="AY39" s="9">
        <f ca="1">IF(OR(AY12="",AY$28&lt;$A39),"",AY12/OFFSET(SSTotalESP!$A$2,MATCH(AY$29,SSTotalESP!$A$2:$A$500)+$A39-1,1)-1)</f>
        <v>5.7034197838493839E-2</v>
      </c>
      <c r="AZ39" s="9">
        <f ca="1">IF(OR(AZ12="",AZ$28&lt;$A39),"",AZ12/OFFSET(SSTotalESP!$A$2,MATCH(AZ$29,SSTotalESP!$A$2:$A$500)+$A39-1,1)-1)</f>
        <v>6.2989894249994238E-2</v>
      </c>
      <c r="BA39" s="9">
        <f ca="1">IF(OR(BA12="",BA$28&lt;$A39),"",BA12/OFFSET(SSTotalESP!$A$2,MATCH(BA$29,SSTotalESP!$A$2:$A$500)+$A39-1,1)-1)</f>
        <v>6.6137287075750395E-2</v>
      </c>
      <c r="BB39" s="9">
        <f ca="1">IF(OR(BB12="",BB$28&lt;$A39),"",BB12/OFFSET(SSTotalESP!$A$2,MATCH(BB$29,SSTotalESP!$A$2:$A$500)+$A39-1,1)-1)</f>
        <v>6.6654982153451003E-2</v>
      </c>
      <c r="BC39" s="9">
        <f ca="1">IF(OR(BC12="",BC$28&lt;$A39),"",BC12/OFFSET(SSTotalESP!$A$2,MATCH(BC$29,SSTotalESP!$A$2:$A$500)+$A39-1,1)-1)</f>
        <v>6.7181010452459944E-2</v>
      </c>
      <c r="BD39" s="9">
        <f ca="1">IF(OR(BD12="",BD$28&lt;$A39),"",BD12/OFFSET(SSTotalESP!$A$2,MATCH(BD$29,SSTotalESP!$A$2:$A$500)+$A39-1,1)-1)</f>
        <v>5.0350434665702215E-2</v>
      </c>
      <c r="BE39" s="9">
        <f ca="1">IF(OR(BE12="",BE$28&lt;$A39),"",BE12/OFFSET(SSTotalESP!$A$2,MATCH(BE$29,SSTotalESP!$A$2:$A$500)+$A39-1,1)-1)</f>
        <v>5.2125762551546106E-2</v>
      </c>
      <c r="BF39" s="9">
        <f ca="1">IF(OR(BF12="",BF$28&lt;$A39),"",BF12/OFFSET(SSTotalESP!$A$2,MATCH(BF$29,SSTotalESP!$A$2:$A$500)+$A39-1,1)-1)</f>
        <v>5.5196708946370965E-2</v>
      </c>
      <c r="BG39" s="9">
        <f ca="1">IF(OR(BG12="",BG$28&lt;$A39),"",BG12/OFFSET(SSTotalESP!$A$2,MATCH(BG$29,SSTotalESP!$A$2:$A$500)+$A39-1,1)-1)</f>
        <v>3.9924321292510667E-2</v>
      </c>
      <c r="BH39" s="9">
        <f ca="1">IF(OR(BH12="",BH$28&lt;$A39),"",BH12/OFFSET(SSTotalESP!$A$2,MATCH(BH$29,SSTotalESP!$A$2:$A$500)+$A39-1,1)-1)</f>
        <v>4.0494041127994151E-3</v>
      </c>
      <c r="BI39" s="9">
        <f ca="1">IF(OR(BI12="",BI$28&lt;$A39),"",BI12/OFFSET(SSTotalESP!$A$2,MATCH(BI$29,SSTotalESP!$A$2:$A$500)+$A39-1,1)-1)</f>
        <v>-3.6480141622598827E-2</v>
      </c>
      <c r="BJ39" s="9">
        <f ca="1">IF(OR(BJ12="",BJ$28&lt;$A39),"",BJ12/OFFSET(SSTotalESP!$A$2,MATCH(BJ$29,SSTotalESP!$A$2:$A$500)+$A39-1,1)-1)</f>
        <v>-2.7952501258018292E-2</v>
      </c>
      <c r="BK39" s="9">
        <f ca="1">IF(OR(BK12="",BK$28&lt;$A39),"",BK12/OFFSET(SSTotalESP!$A$2,MATCH(BK$29,SSTotalESP!$A$2:$A$500)+$A39-1,1)-1)</f>
        <v>-3.4539341544396418E-2</v>
      </c>
      <c r="BL39" s="9">
        <f ca="1">IF(OR(BL12="",BL$28&lt;$A39),"",BL12/OFFSET(SSTotalESP!$A$2,MATCH(BL$29,SSTotalESP!$A$2:$A$500)+$A39-1,1)-1)</f>
        <v>-5.5421263236346996E-2</v>
      </c>
      <c r="BM39" s="9">
        <f ca="1">IF(OR(BM12="",BM$28&lt;$A39),"",BM12/OFFSET(SSTotalESP!$A$2,MATCH(BM$29,SSTotalESP!$A$2:$A$500)+$A39-1,1)-1)</f>
        <v>-6.6085340582965557E-2</v>
      </c>
      <c r="BN39" s="9">
        <f ca="1">IF(OR(BN12="",BN$28&lt;$A39),"",BN12/OFFSET(SSTotalESP!$A$2,MATCH(BN$29,SSTotalESP!$A$2:$A$500)+$A39-1,1)-1)</f>
        <v>-3.8868419601276738E-2</v>
      </c>
      <c r="BO39" s="9">
        <f ca="1">IF(OR(BO12="",BO$28&lt;$A39),"",BO12/OFFSET(SSTotalESP!$A$2,MATCH(BO$29,SSTotalESP!$A$2:$A$500)+$A39-1,1)-1)</f>
        <v>-2.0363391030291722E-2</v>
      </c>
      <c r="BP39" s="9">
        <f ca="1">IF(OR(BP12="",BP$28&lt;$A39),"",BP12/OFFSET(SSTotalESP!$A$2,MATCH(BP$29,SSTotalESP!$A$2:$A$500)+$A39-1,1)-1)</f>
        <v>-2.220535739481877E-2</v>
      </c>
      <c r="BQ39" s="9">
        <f ca="1">IF(OR(BQ12="",BQ$28&lt;$A39),"",BQ12/OFFSET(SSTotalESP!$A$2,MATCH(BQ$29,SSTotalESP!$A$2:$A$500)+$A39-1,1)-1)</f>
        <v>-2.3559232959526999E-2</v>
      </c>
      <c r="BR39" s="9">
        <f ca="1">IF(OR(BR12="",BR$28&lt;$A39),"",BR12/OFFSET(SSTotalESP!$A$2,MATCH(BR$29,SSTotalESP!$A$2:$A$500)+$A39-1,1)-1)</f>
        <v>1.634643825443538E-3</v>
      </c>
      <c r="BS39" s="9">
        <f ca="1">IF(OR(BS12="",BS$28&lt;$A39),"",BS12/OFFSET(SSTotalESP!$A$2,MATCH(BS$29,SSTotalESP!$A$2:$A$500)+$A39-1,1)-1)</f>
        <v>-1.3246311600003668E-2</v>
      </c>
      <c r="BT39" s="9">
        <f ca="1">IF(OR(BT12="",BT$28&lt;$A39),"",BT12/OFFSET(SSTotalESP!$A$2,MATCH(BT$29,SSTotalESP!$A$2:$A$500)+$A39-1,1)-1)</f>
        <v>-1.0114795904346718E-2</v>
      </c>
      <c r="BU39" s="9">
        <f ca="1">IF(OR(BU12="",BU$28&lt;$A39),"",BU12/OFFSET(SSTotalESP!$A$2,MATCH(BU$29,SSTotalESP!$A$2:$A$500)+$A39-1,1)-1)</f>
        <v>-7.3095205842332867E-3</v>
      </c>
      <c r="BV39" s="9">
        <f ca="1">IF(OR(BV12="",BV$28&lt;$A39),"",BV12/OFFSET(SSTotalESP!$A$2,MATCH(BV$29,SSTotalESP!$A$2:$A$500)+$A39-1,1)-1)</f>
        <v>9.5525167920942344E-3</v>
      </c>
      <c r="BW39" s="9">
        <f ca="1">IF(OR(BW12="",BW$28&lt;$A39),"",BW12/OFFSET(SSTotalESP!$A$2,MATCH(BW$29,SSTotalESP!$A$2:$A$500)+$A39-1,1)-1)</f>
        <v>-3.0274144954116622E-3</v>
      </c>
      <c r="BX39" s="9">
        <f ca="1">IF(OR(BX12="",BX$28&lt;$A39),"",BX12/OFFSET(SSTotalESP!$A$2,MATCH(BX$29,SSTotalESP!$A$2:$A$500)+$A39-1,1)-1)</f>
        <v>-1.0262314921182236E-2</v>
      </c>
      <c r="BY39" s="9">
        <f ca="1">IF(OR(BY12="",BY$28&lt;$A39),"",BY12/OFFSET(SSTotalESP!$A$2,MATCH(BY$29,SSTotalESP!$A$2:$A$500)+$A39-1,1)-1)</f>
        <v>-1.2080060358465206E-2</v>
      </c>
      <c r="BZ39" s="9">
        <f ca="1">IF(OR(BZ12="",BZ$28&lt;$A39),"",BZ12/OFFSET(SSTotalESP!$A$2,MATCH(BZ$29,SSTotalESP!$A$2:$A$500)+$A39-1,1)-1)</f>
        <v>-5.6097803284482772E-4</v>
      </c>
      <c r="CA39" s="9">
        <f ca="1">IF(OR(CA12="",CA$28&lt;$A39),"",CA12/OFFSET(SSTotalESP!$A$2,MATCH(CA$29,SSTotalESP!$A$2:$A$500)+$A39-1,1)-1)</f>
        <v>-2.8307034971428724E-3</v>
      </c>
      <c r="CB39" s="9">
        <f ca="1">IF(OR(CB12="",CB$28&lt;$A39),"",CB12/OFFSET(SSTotalESP!$A$2,MATCH(CB$29,SSTotalESP!$A$2:$A$500)+$A39-1,1)-1)</f>
        <v>-5.0939872800087604E-3</v>
      </c>
      <c r="CC39" s="9">
        <f ca="1">IF(OR(CC12="",CC$28&lt;$A39),"",CC12/OFFSET(SSTotalESP!$A$2,MATCH(CC$29,SSTotalESP!$A$2:$A$500)+$A39-1,1)-1)</f>
        <v>-8.4447407275585196E-3</v>
      </c>
      <c r="CD39" s="9">
        <f ca="1">IF(OR(CD12="",CD$28&lt;$A39),"",CD12/OFFSET(SSTotalESP!$A$2,MATCH(CD$29,SSTotalESP!$A$2:$A$500)+$A39-1,1)-1)</f>
        <v>5.5658450944722215E-3</v>
      </c>
      <c r="CE39" s="9">
        <f ca="1">IF(OR(CE12="",CE$28&lt;$A39),"",CE12/OFFSET(SSTotalESP!$A$2,MATCH(CE$29,SSTotalESP!$A$2:$A$500)+$A39-1,1)-1)</f>
        <v>7.0003319069922298E-3</v>
      </c>
      <c r="CF39" s="9">
        <f ca="1">IF(OR(CF12="",CF$28&lt;$A39),"",CF12/OFFSET(SSTotalESP!$A$2,MATCH(CF$29,SSTotalESP!$A$2:$A$500)+$A39-1,1)-1)</f>
        <v>3.8274191936489288E-3</v>
      </c>
      <c r="CG39" s="9">
        <f ca="1">IF(OR(CG12="",CG$28&lt;$A39),"",CG12/OFFSET(SSTotalESP!$A$2,MATCH(CG$29,SSTotalESP!$A$2:$A$500)+$A39-1,1)-1)</f>
        <v>9.4157998507093943E-4</v>
      </c>
      <c r="CH39" s="9">
        <f ca="1">IF(OR(CH12="",CH$28&lt;$A39),"",CH12/OFFSET(SSTotalESP!$A$2,MATCH(CH$29,SSTotalESP!$A$2:$A$500)+$A39-1,1)-1)</f>
        <v>1.4123414593498307E-2</v>
      </c>
      <c r="CI39" s="9">
        <f ca="1">IF(OR(CI12="",CI$28&lt;$A39),"",CI12/OFFSET(SSTotalESP!$A$2,MATCH(CI$29,SSTotalESP!$A$2:$A$500)+$A39-1,1)-1)</f>
        <v>1.7496859530838238E-2</v>
      </c>
      <c r="CJ39" s="9">
        <f ca="1">IF(OR(CJ12="",CJ$28&lt;$A39),"",CJ12/OFFSET(SSTotalESP!$A$2,MATCH(CJ$29,SSTotalESP!$A$2:$A$500)+$A39-1,1)-1)</f>
        <v>-4.9948568586145603E-3</v>
      </c>
      <c r="CK39" s="9">
        <f ca="1">IF(OR(CK12="",CK$28&lt;$A39),"",CK12/OFFSET(SSTotalESP!$A$2,MATCH(CK$29,SSTotalESP!$A$2:$A$500)+$A39-1,1)-1)</f>
        <v>1.4058819715732085E-2</v>
      </c>
      <c r="CL39" s="9">
        <f ca="1">IF(OR(CL12="",CL$28&lt;$A39),"",CL12/OFFSET(SSTotalESP!$A$2,MATCH(CL$29,SSTotalESP!$A$2:$A$500)+$A39-1,1)-1)</f>
        <v>2.3675783887691759E-2</v>
      </c>
      <c r="CM39" s="9">
        <f ca="1">IF(OR(CM12="",CM$28&lt;$A39),"",CM12/OFFSET(SSTotalESP!$A$2,MATCH(CM$29,SSTotalESP!$A$2:$A$500)+$A39-1,1)-1)</f>
        <v>2.3338805727652234E-2</v>
      </c>
      <c r="CN39" s="9">
        <f ca="1">IF(OR(CN12="",CN$28&lt;$A39),"",CN12/OFFSET(SSTotalESP!$A$2,MATCH(CN$29,SSTotalESP!$A$2:$A$500)+$A39-1,1)-1)</f>
        <v>1.2820207868316613E-2</v>
      </c>
      <c r="CO39" s="9">
        <f ca="1">IF(OR(CO12="",CO$28&lt;$A39),"",CO12/OFFSET(SSTotalESP!$A$2,MATCH(CO$29,SSTotalESP!$A$2:$A$500)+$A39-1,1)-1)</f>
        <v>1.6800230840300578E-2</v>
      </c>
      <c r="CP39" s="9">
        <f ca="1">IF(OR(CP12="",CP$28&lt;$A39),"",CP12/OFFSET(SSTotalESP!$A$2,MATCH(CP$29,SSTotalESP!$A$2:$A$500)+$A39-1,1)-1)</f>
        <v>1.7843764936369411E-2</v>
      </c>
      <c r="CQ39" s="9">
        <f ca="1">IF(OR(CQ12="",CQ$28&lt;$A39),"",CQ12/OFFSET(SSTotalESP!$A$2,MATCH(CQ$29,SSTotalESP!$A$2:$A$500)+$A39-1,1)-1)</f>
        <v>1.5555977287275313E-2</v>
      </c>
      <c r="CR39" s="9">
        <f ca="1">IF(OR(CR12="",CR$28&lt;$A39),"",CR12/OFFSET(SSTotalESP!$A$2,MATCH(CR$29,SSTotalESP!$A$2:$A$500)+$A39-1,1)-1)</f>
        <v>7.8014522882896564E-4</v>
      </c>
      <c r="CS39" s="9">
        <f ca="1">IF(OR(CS12="",CS$28&lt;$A39),"",CS12/OFFSET(SSTotalESP!$A$2,MATCH(CS$29,SSTotalESP!$A$2:$A$500)+$A39-1,1)-1)</f>
        <v>1.2582569318813075E-3</v>
      </c>
      <c r="CT39" s="9">
        <f ca="1">IF(OR(CT12="",CT$28&lt;$A39),"",CT12/OFFSET(SSTotalESP!$A$2,MATCH(CT$29,SSTotalESP!$A$2:$A$500)+$A39-1,1)-1)</f>
        <v>2.0963332709590832E-2</v>
      </c>
      <c r="CU39" s="9">
        <f ca="1">IF(OR(CU12="",CU$28&lt;$A39),"",CU12/OFFSET(SSTotalESP!$A$2,MATCH(CU$29,SSTotalESP!$A$2:$A$500)+$A39-1,1)-1)</f>
        <v>1.2433693975139715E-2</v>
      </c>
      <c r="CV39" s="9">
        <f ca="1">IF(OR(CV12="",CV$28&lt;$A39),"",CV12/OFFSET(SSTotalESP!$A$2,MATCH(CV$29,SSTotalESP!$A$2:$A$500)+$A39-1,1)-1)</f>
        <v>7.3777908510410661E-3</v>
      </c>
      <c r="CW39" s="9">
        <f ca="1">IF(OR(CW12="",CW$28&lt;$A39),"",CW12/OFFSET(SSTotalESP!$A$2,MATCH(CW$29,SSTotalESP!$A$2:$A$500)+$A39-1,1)-1)</f>
        <v>1.1530466916544801E-2</v>
      </c>
      <c r="CX39" s="9">
        <f ca="1">IF(OR(CX12="",CX$28&lt;$A39),"",CX12/OFFSET(SSTotalESP!$A$2,MATCH(CX$29,SSTotalESP!$A$2:$A$500)+$A39-1,1)-1)</f>
        <v>7.4109168192464381E-3</v>
      </c>
      <c r="CY39" s="9">
        <f ca="1">IF(OR(CY12="",CY$28&lt;$A39),"",CY12/OFFSET(SSTotalESP!$A$2,MATCH(CY$29,SSTotalESP!$A$2:$A$500)+$A39-1,1)-1)</f>
        <v>9.8727326804877169E-3</v>
      </c>
      <c r="CZ39" s="9">
        <f ca="1">IF(OR(CZ12="",CZ$28&lt;$A39),"",CZ12/OFFSET(SSTotalESP!$A$2,MATCH(CZ$29,SSTotalESP!$A$2:$A$500)+$A39-1,1)-1)</f>
        <v>2.0306297255478167E-2</v>
      </c>
      <c r="DA39" s="9">
        <f ca="1">IF(OR(DA12="",DA$28&lt;$A39),"",DA12/OFFSET(SSTotalESP!$A$2,MATCH(DA$29,SSTotalESP!$A$2:$A$500)+$A39-1,1)-1)</f>
        <v>3.7707346647697371E-4</v>
      </c>
      <c r="DB39" s="9">
        <f ca="1">IF(OR(DB12="",DB$28&lt;$A39),"",DB12/OFFSET(SSTotalESP!$A$2,MATCH(DB$29,SSTotalESP!$A$2:$A$500)+$A39-1,1)-1)</f>
        <v>6.2323990027348675E-3</v>
      </c>
      <c r="DC39" s="9">
        <f ca="1">IF(OR(DC12="",DC$28&lt;$A39),"",DC12/OFFSET(SSTotalESP!$A$2,MATCH(DC$29,SSTotalESP!$A$2:$A$500)+$A39-1,1)-1)</f>
        <v>4.6603057639904577E-4</v>
      </c>
      <c r="DD39" s="9">
        <f ca="1">IF(OR(DD12="",DD$28&lt;$A39),"",DD12/OFFSET(SSTotalESP!$A$2,MATCH(DD$29,SSTotalESP!$A$2:$A$500)+$A39-1,1)-1)</f>
        <v>-2.3743430552569667E-3</v>
      </c>
      <c r="DE39" s="9">
        <f ca="1">IF(OR(DE12="",DE$28&lt;$A39),"",DE12/OFFSET(SSTotalESP!$A$2,MATCH(DE$29,SSTotalESP!$A$2:$A$500)+$A39-1,1)-1)</f>
        <v>-3.4873433906428497E-2</v>
      </c>
      <c r="DF39" s="9">
        <f ca="1">IF(OR(DF12="",DF$28&lt;$A39),"",DF12/OFFSET(SSTotalESP!$A$2,MATCH(DF$29,SSTotalESP!$A$2:$A$500)+$A39-1,1)-1)</f>
        <v>-3.2011511944032067E-2</v>
      </c>
      <c r="DG39" s="9">
        <f ca="1">IF(OR(DG12="",DG$28&lt;$A39),"",DG12/OFFSET(SSTotalESP!$A$2,MATCH(DG$29,SSTotalESP!$A$2:$A$500)+$A39-1,1)-1)</f>
        <v>-2.8248814821205226E-2</v>
      </c>
      <c r="DH39" s="9">
        <f ca="1">IF(OR(DH12="",DH$28&lt;$A39),"",DH12/OFFSET(SSTotalESP!$A$2,MATCH(DH$29,SSTotalESP!$A$2:$A$500)+$A39-1,1)-1)</f>
        <v>-3.1973907316534045E-2</v>
      </c>
      <c r="DI39" s="9">
        <f ca="1">IF(OR(DI12="",DI$28&lt;$A39),"",DI12/OFFSET(SSTotalESP!$A$2,MATCH(DI$29,SSTotalESP!$A$2:$A$500)+$A39-1,1)-1)</f>
        <v>-3.5285922742780862E-2</v>
      </c>
      <c r="DJ39" s="9">
        <f ca="1">IF(OR(DJ12="",DJ$28&lt;$A39),"",DJ12/OFFSET(SSTotalESP!$A$2,MATCH(DJ$29,SSTotalESP!$A$2:$A$500)+$A39-1,1)-1)</f>
        <v>-3.5335538797425126E-2</v>
      </c>
      <c r="DK39" s="9">
        <f ca="1">IF(OR(DK12="",DK$28&lt;$A39),"",DK12/OFFSET(SSTotalESP!$A$2,MATCH(DK$29,SSTotalESP!$A$2:$A$500)+$A39-1,1)-1)</f>
        <v>-2.6748004741704579E-2</v>
      </c>
      <c r="DL39" s="9">
        <f ca="1">IF(OR(DL12="",DL$28&lt;$A39),"",DL12/OFFSET(SSTotalESP!$A$2,MATCH(DL$29,SSTotalESP!$A$2:$A$500)+$A39-1,1)-1)</f>
        <v>-3.5547492613931864E-2</v>
      </c>
      <c r="DM39" s="9">
        <f ca="1">IF(OR(DM12="",DM$28&lt;$A39),"",DM12/OFFSET(SSTotalESP!$A$2,MATCH(DM$29,SSTotalESP!$A$2:$A$500)+$A39-1,1)-1)</f>
        <v>-4.2112631764076092E-2</v>
      </c>
      <c r="DN39" s="9">
        <f ca="1">IF(OR(DN12="",DN$28&lt;$A39),"",DN12/OFFSET(SSTotalESP!$A$2,MATCH(DN$29,SSTotalESP!$A$2:$A$500)+$A39-1,1)-1)</f>
        <v>-3.3300011273821095E-2</v>
      </c>
      <c r="DO39" s="9">
        <f ca="1">IF(OR(DO12="",DO$28&lt;$A39),"",DO12/OFFSET(SSTotalESP!$A$2,MATCH(DO$29,SSTotalESP!$A$2:$A$500)+$A39-1,1)-1)</f>
        <v>-2.8510614156061154E-2</v>
      </c>
      <c r="DP39" s="9">
        <f ca="1">IF(OR(DP12="",DP$28&lt;$A39),"",DP12/OFFSET(SSTotalESP!$A$2,MATCH(DP$29,SSTotalESP!$A$2:$A$500)+$A39-1,1)-1)</f>
        <v>-1.1805252121530607E-2</v>
      </c>
      <c r="DQ39" s="9">
        <f ca="1">IF(OR(DQ12="",DQ$28&lt;$A39),"",DQ12/OFFSET(SSTotalESP!$A$2,MATCH(DQ$29,SSTotalESP!$A$2:$A$500)+$A39-1,1)-1)</f>
        <v>-1.3331609621146323E-2</v>
      </c>
      <c r="DR39" s="9">
        <f ca="1">IF(OR(DR12="",DR$28&lt;$A39),"",DR12/OFFSET(SSTotalESP!$A$2,MATCH(DR$29,SSTotalESP!$A$2:$A$500)+$A39-1,1)-1)</f>
        <v>4.0063966951029428E-3</v>
      </c>
      <c r="DS39" s="9">
        <f ca="1">IF(OR(DS12="",DS$28&lt;$A39),"",DS12/OFFSET(SSTotalESP!$A$2,MATCH(DS$29,SSTotalESP!$A$2:$A$500)+$A39-1,1)-1)</f>
        <v>-1.1931052589842839E-2</v>
      </c>
      <c r="DT39" s="9">
        <f ca="1">IF(OR(DT12="",DT$28&lt;$A39),"",DT12/OFFSET(SSTotalESP!$A$2,MATCH(DT$29,SSTotalESP!$A$2:$A$500)+$A39-1,1)-1)</f>
        <v>-1.4895683118197556E-2</v>
      </c>
      <c r="DU39" s="9">
        <f ca="1">IF(OR(DU12="",DU$28&lt;$A39),"",DU12/OFFSET(SSTotalESP!$A$2,MATCH(DU$29,SSTotalESP!$A$2:$A$500)+$A39-1,1)-1)</f>
        <v>-1.3840535114196362E-2</v>
      </c>
      <c r="DV39" s="9">
        <f ca="1">IF(OR(DV12="",DV$28&lt;$A39),"",DV12/OFFSET(SSTotalESP!$A$2,MATCH(DV$29,SSTotalESP!$A$2:$A$500)+$A39-1,1)-1)</f>
        <v>-6.1974111881126781E-3</v>
      </c>
      <c r="DW39" s="9">
        <f ca="1">IF(OR(DW12="",DW$28&lt;$A39),"",DW12/OFFSET(SSTotalESP!$A$2,MATCH(DW$29,SSTotalESP!$A$2:$A$500)+$A39-1,1)-1)</f>
        <v>-7.4738431312580955E-3</v>
      </c>
      <c r="DX39" s="9">
        <f ca="1">IF(OR(DX12="",DX$28&lt;$A39),"",DX12/OFFSET(SSTotalESP!$A$2,MATCH(DX$29,SSTotalESP!$A$2:$A$500)+$A39-1,1)-1)</f>
        <v>-2.0225794394162278E-2</v>
      </c>
      <c r="DY39" s="9">
        <f ca="1">IF(OR(DY12="",DY$28&lt;$A39),"",DY12/OFFSET(SSTotalESP!$A$2,MATCH(DY$29,SSTotalESP!$A$2:$A$500)+$A39-1,1)-1)</f>
        <v>-2.1431106938147537E-2</v>
      </c>
      <c r="DZ39" s="9">
        <f ca="1">IF(OR(DZ12="",DZ$28&lt;$A39),"",DZ12/OFFSET(SSTotalESP!$A$2,MATCH(DZ$29,SSTotalESP!$A$2:$A$500)+$A39-1,1)-1)</f>
        <v>-2.4742074128815794E-2</v>
      </c>
      <c r="EA39" s="9">
        <f ca="1">IF(OR(EA12="",EA$28&lt;$A39),"",EA12/OFFSET(SSTotalESP!$A$2,MATCH(EA$29,SSTotalESP!$A$2:$A$500)+$A39-1,1)-1)</f>
        <v>-1.4895821852455637E-2</v>
      </c>
      <c r="EB39" s="9">
        <f ca="1">IF(OR(EB12="",EB$28&lt;$A39),"",EB12/OFFSET(SSTotalESP!$A$2,MATCH(EB$29,SSTotalESP!$A$2:$A$500)+$A39-1,1)-1)</f>
        <v>-1.7926430304082808E-2</v>
      </c>
      <c r="EC39" s="9">
        <f ca="1">IF(OR(EC12="",EC$28&lt;$A39),"",EC12/OFFSET(SSTotalESP!$A$2,MATCH(EC$29,SSTotalESP!$A$2:$A$500)+$A39-1,1)-1)</f>
        <v>2.5720711576893152E-4</v>
      </c>
      <c r="ED39" s="9">
        <f ca="1">IF(OR(ED12="",ED$28&lt;$A39),"",ED12/OFFSET(SSTotalESP!$A$2,MATCH(ED$29,SSTotalESP!$A$2:$A$500)+$A39-1,1)-1)</f>
        <v>5.3267351572885424E-3</v>
      </c>
      <c r="EE39" s="9">
        <f ca="1">IF(OR(EE12="",EE$28&lt;$A39),"",EE12/OFFSET(SSTotalESP!$A$2,MATCH(EE$29,SSTotalESP!$A$2:$A$500)+$A39-1,1)-1)</f>
        <v>-1.1201939430229291E-2</v>
      </c>
      <c r="EF39" s="9">
        <f ca="1">IF(OR(EF12="",EF$28&lt;$A39),"",EF12/OFFSET(SSTotalESP!$A$2,MATCH(EF$29,SSTotalESP!$A$2:$A$500)+$A39-1,1)-1)</f>
        <v>-2.3216376716161946E-4</v>
      </c>
      <c r="EG39" s="9">
        <f ca="1">IF(OR(EG12="",EG$28&lt;$A39),"",EG12/OFFSET(SSTotalESP!$A$2,MATCH(EG$29,SSTotalESP!$A$2:$A$500)+$A39-1,1)-1)</f>
        <v>1.4779501551213992E-2</v>
      </c>
      <c r="EH39" s="9">
        <f ca="1">IF(OR(EH12="",EH$28&lt;$A39),"",EH12/OFFSET(SSTotalESP!$A$2,MATCH(EH$29,SSTotalESP!$A$2:$A$500)+$A39-1,1)-1)</f>
        <v>1.7649836634203053E-2</v>
      </c>
      <c r="EI39" s="9">
        <f ca="1">IF(OR(EI12="",EI$28&lt;$A39),"",EI12/OFFSET(SSTotalESP!$A$2,MATCH(EI$29,SSTotalESP!$A$2:$A$500)+$A39-1,1)-1)</f>
        <v>1.4584737411396986E-2</v>
      </c>
      <c r="EJ39" s="9">
        <f ca="1">IF(OR(EJ12="",EJ$28&lt;$A39),"",EJ12/OFFSET(SSTotalESP!$A$2,MATCH(EJ$29,SSTotalESP!$A$2:$A$500)+$A39-1,1)-1)</f>
        <v>-3.6062407174708433E-3</v>
      </c>
      <c r="EK39" s="9">
        <f ca="1">IF(OR(EK12="",EK$28&lt;$A39),"",EK12/OFFSET(SSTotalESP!$A$2,MATCH(EK$29,SSTotalESP!$A$2:$A$500)+$A39-1,1)-1)</f>
        <v>-1.4063006835414171E-3</v>
      </c>
      <c r="EL39" s="9">
        <f ca="1">IF(OR(EL12="",EL$28&lt;$A39),"",EL12/OFFSET(SSTotalESP!$A$2,MATCH(EL$29,SSTotalESP!$A$2:$A$500)+$A39-1,1)-1)</f>
        <v>-1.7893214917666267E-2</v>
      </c>
      <c r="EM39" s="9">
        <f ca="1">IF(OR(EM12="",EM$28&lt;$A39),"",EM12/OFFSET(SSTotalESP!$A$2,MATCH(EM$29,SSTotalESP!$A$2:$A$500)+$A39-1,1)-1)</f>
        <v>-1.0860465124587049E-2</v>
      </c>
      <c r="EN39" s="9">
        <f ca="1">IF(OR(EN12="",EN$28&lt;$A39),"",EN12/OFFSET(SSTotalESP!$A$2,MATCH(EN$29,SSTotalESP!$A$2:$A$500)+$A39-1,1)-1)</f>
        <v>-5.6010546242913906E-3</v>
      </c>
      <c r="EO39" s="9">
        <f ca="1">IF(OR(EO12="",EO$28&lt;$A39),"",EO12/OFFSET(SSTotalESP!$A$2,MATCH(EO$29,SSTotalESP!$A$2:$A$500)+$A39-1,1)-1)</f>
        <v>-2.3435386195589381E-3</v>
      </c>
      <c r="EP39" s="9">
        <f ca="1">IF(OR(EP12="",EP$28&lt;$A39),"",EP12/OFFSET(SSTotalESP!$A$2,MATCH(EP$29,SSTotalESP!$A$2:$A$500)+$A39-1,1)-1)</f>
        <v>-8.5738218997966076E-4</v>
      </c>
      <c r="EQ39" s="9">
        <f ca="1">IF(OR(EQ12="",EQ$28&lt;$A39),"",EQ12/OFFSET(SSTotalESP!$A$2,MATCH(EQ$29,SSTotalESP!$A$2:$A$500)+$A39-1,1)-1)</f>
        <v>-6.9420646209662484E-3</v>
      </c>
      <c r="ER39" s="9">
        <f ca="1">IF(OR(ER12="",ER$28&lt;$A39),"",ER12/OFFSET(SSTotalESP!$A$2,MATCH(ER$29,SSTotalESP!$A$2:$A$500)+$A39-1,1)-1)</f>
        <v>-1.1689970330184818E-2</v>
      </c>
      <c r="ES39" s="9">
        <f ca="1">IF(OR(ES12="",ES$28&lt;$A39),"",ES12/OFFSET(SSTotalESP!$A$2,MATCH(ES$29,SSTotalESP!$A$2:$A$500)+$A39-1,1)-1)</f>
        <v>-8.0542117914058631E-3</v>
      </c>
      <c r="ET39" s="9">
        <f ca="1">IF(OR(ET12="",ET$28&lt;$A39),"",ET12/OFFSET(SSTotalESP!$A$2,MATCH(ET$29,SSTotalESP!$A$2:$A$500)+$A39-1,1)-1)</f>
        <v>-7.699396668474412E-3</v>
      </c>
      <c r="EU39" s="9">
        <f ca="1">IF(OR(EU12="",EU$28&lt;$A39),"",EU12/OFFSET(SSTotalESP!$A$2,MATCH(EU$29,SSTotalESP!$A$2:$A$500)+$A39-1,1)-1)</f>
        <v>-8.4611961807780078E-3</v>
      </c>
      <c r="EV39" s="9">
        <f ca="1">IF(OR(EV12="",EV$28&lt;$A39),"",EV12/OFFSET(SSTotalESP!$A$2,MATCH(EV$29,SSTotalESP!$A$2:$A$500)+$A39-1,1)-1)</f>
        <v>-3.6064136464658558E-3</v>
      </c>
      <c r="EW39" s="9">
        <f ca="1">IF(OR(EW12="",EW$28&lt;$A39),"",EW12/OFFSET(SSTotalESP!$A$2,MATCH(EW$29,SSTotalESP!$A$2:$A$500)+$A39-1,1)-1)</f>
        <v>-7.2347311761085109E-3</v>
      </c>
      <c r="EX39" s="9">
        <f ca="1">IF(OR(EX12="",EX$28&lt;$A39),"",EX12/OFFSET(SSTotalESP!$A$2,MATCH(EX$29,SSTotalESP!$A$2:$A$500)+$A39-1,1)-1)</f>
        <v>-1.8399304213649992E-2</v>
      </c>
      <c r="EY39" s="9">
        <f ca="1">IF(OR(EY12="",EY$28&lt;$A39),"",EY12/OFFSET(SSTotalESP!$A$2,MATCH(EY$29,SSTotalESP!$A$2:$A$500)+$A39-1,1)-1)</f>
        <v>-1.3437491167599069E-2</v>
      </c>
      <c r="EZ39" s="9">
        <f ca="1">IF(OR(EZ12="",EZ$28&lt;$A39),"",EZ12/OFFSET(SSTotalESP!$A$2,MATCH(EZ$29,SSTotalESP!$A$2:$A$500)+$A39-1,1)-1)</f>
        <v>5.4168455222050049E-3</v>
      </c>
      <c r="FA39" s="9">
        <f ca="1">IF(OR(FA12="",FA$28&lt;$A39),"",FA12/OFFSET(SSTotalESP!$A$2,MATCH(FA$29,SSTotalESP!$A$2:$A$500)+$A39-1,1)-1)</f>
        <v>-8.4064717526419752E-3</v>
      </c>
      <c r="FB39" s="9">
        <f ca="1">IF(OR(FB12="",FB$28&lt;$A39),"",FB12/OFFSET(SSTotalESP!$A$2,MATCH(FB$29,SSTotalESP!$A$2:$A$500)+$A39-1,1)-1)</f>
        <v>-8.0601465034435549E-3</v>
      </c>
      <c r="FC39" s="9">
        <f ca="1">IF(OR(FC12="",FC$28&lt;$A39),"",FC12/OFFSET(SSTotalESP!$A$2,MATCH(FC$29,SSTotalESP!$A$2:$A$500)+$A39-1,1)-1)</f>
        <v>-5.6238524758369657E-3</v>
      </c>
      <c r="FD39" s="9">
        <f ca="1">IF(OR(FD12="",FD$28&lt;$A39),"",FD12/OFFSET(SSTotalESP!$A$2,MATCH(FD$29,SSTotalESP!$A$2:$A$500)+$A39-1,1)-1)</f>
        <v>-5.2588954089399786E-3</v>
      </c>
      <c r="FE39" s="9">
        <f ca="1">IF(OR(FE12="",FE$28&lt;$A39),"",FE12/OFFSET(SSTotalESP!$A$2,MATCH(FE$29,SSTotalESP!$A$2:$A$500)+$A39-1,1)-1)</f>
        <v>1.7653902472802852E-3</v>
      </c>
      <c r="FF39" s="9">
        <f ca="1">IF(OR(FF12="",FF$28&lt;$A39),"",FF12/OFFSET(SSTotalESP!$A$2,MATCH(FF$29,SSTotalESP!$A$2:$A$500)+$A39-1,1)-1)</f>
        <v>1.166078699256623E-2</v>
      </c>
      <c r="FG39" s="9">
        <f ca="1">IF(OR(FG12="",FG$28&lt;$A39),"",FG12/OFFSET(SSTotalESP!$A$2,MATCH(FG$29,SSTotalESP!$A$2:$A$500)+$A39-1,1)-1)</f>
        <v>9.7372266039563726E-3</v>
      </c>
      <c r="FH39" s="9">
        <f ca="1">IF(OR(FH12="",FH$28&lt;$A39),"",FH12/OFFSET(SSTotalESP!$A$2,MATCH(FH$29,SSTotalESP!$A$2:$A$500)+$A39-1,1)-1)</f>
        <v>4.8457526077336777E-3</v>
      </c>
      <c r="FI39" s="9">
        <f ca="1">IF(OR(FI12="",FI$28&lt;$A39),"",FI12/OFFSET(SSTotalESP!$A$2,MATCH(FI$29,SSTotalESP!$A$2:$A$500)+$A39-1,1)-1)</f>
        <v>-3.3697315483646184E-3</v>
      </c>
      <c r="FJ39" s="9">
        <f ca="1">IF(OR(FJ12="",FJ$28&lt;$A39),"",FJ12/OFFSET(SSTotalESP!$A$2,MATCH(FJ$29,SSTotalESP!$A$2:$A$500)+$A39-1,1)-1)</f>
        <v>-1.8286197911803082E-2</v>
      </c>
      <c r="FK39" s="9">
        <f ca="1">IF(OR(FK12="",FK$28&lt;$A39),"",FK12/OFFSET(SSTotalESP!$A$2,MATCH(FK$29,SSTotalESP!$A$2:$A$500)+$A39-1,1)-1)</f>
        <v>-4.6935302720291228E-3</v>
      </c>
      <c r="FL39" s="9">
        <f ca="1">IF(OR(FL12="",FL$28&lt;$A39),"",FL12/OFFSET(SSTotalESP!$A$2,MATCH(FL$29,SSTotalESP!$A$2:$A$500)+$A39-1,1)-1)</f>
        <v>4.2986203780979171E-3</v>
      </c>
      <c r="FM39" s="9">
        <f ca="1">IF(OR(FM12="",FM$28&lt;$A39),"",FM12/OFFSET(SSTotalESP!$A$2,MATCH(FM$29,SSTotalESP!$A$2:$A$500)+$A39-1,1)-1)</f>
        <v>4.2719811209008807E-3</v>
      </c>
      <c r="FN39" s="9">
        <f ca="1">IF(OR(FN12="",FN$28&lt;$A39),"",FN12/OFFSET(SSTotalESP!$A$2,MATCH(FN$29,SSTotalESP!$A$2:$A$500)+$A39-1,1)-1)</f>
        <v>-5.8393963483529543E-3</v>
      </c>
      <c r="FO39" s="9">
        <f ca="1">IF(OR(FO12="",FO$28&lt;$A39),"",FO12/OFFSET(SSTotalESP!$A$2,MATCH(FO$29,SSTotalESP!$A$2:$A$500)+$A39-1,1)-1)</f>
        <v>-9.8143903177516645E-4</v>
      </c>
      <c r="FP39" s="9">
        <f ca="1">IF(OR(FP12="",FP$28&lt;$A39),"",FP12/OFFSET(SSTotalESP!$A$2,MATCH(FP$29,SSTotalESP!$A$2:$A$500)+$A39-1,1)-1)</f>
        <v>-1.093096635006674E-3</v>
      </c>
      <c r="FQ39" s="9">
        <f ca="1">IF(OR(FQ12="",FQ$28&lt;$A39),"",FQ12/OFFSET(SSTotalESP!$A$2,MATCH(FQ$29,SSTotalESP!$A$2:$A$500)+$A39-1,1)-1)</f>
        <v>-2.0445979696993577E-3</v>
      </c>
      <c r="FR39" s="9">
        <f ca="1">IF(OR(FR12="",FR$28&lt;$A39),"",FR12/OFFSET(SSTotalESP!$A$2,MATCH(FR$29,SSTotalESP!$A$2:$A$500)+$A39-1,1)-1)</f>
        <v>-1.584972157503306E-3</v>
      </c>
      <c r="FS39" s="9">
        <f ca="1">IF(OR(FS12="",FS$28&lt;$A39),"",FS12/OFFSET(SSTotalESP!$A$2,MATCH(FS$29,SSTotalESP!$A$2:$A$500)+$A39-1,1)-1)</f>
        <v>5.7431388076942813E-3</v>
      </c>
      <c r="FT39" s="9">
        <f ca="1">IF(OR(FT12="",FT$28&lt;$A39),"",FT12/OFFSET(SSTotalESP!$A$2,MATCH(FT$29,SSTotalESP!$A$2:$A$500)+$A39-1,1)-1)</f>
        <v>3.0693739578189216E-3</v>
      </c>
      <c r="FU39" s="9">
        <f ca="1">IF(OR(FU12="",FU$28&lt;$A39),"",FU12/OFFSET(SSTotalESP!$A$2,MATCH(FU$29,SSTotalESP!$A$2:$A$500)+$A39-1,1)-1)</f>
        <v>-4.9323421157674296E-3</v>
      </c>
      <c r="FV39" s="9">
        <f ca="1">IF(OR(FV12="",FV$28&lt;$A39),"",FV12/OFFSET(SSTotalESP!$A$2,MATCH(FV$29,SSTotalESP!$A$2:$A$500)+$A39-1,1)-1)</f>
        <v>-1.6874798169081662E-2</v>
      </c>
      <c r="FW39" s="9">
        <f ca="1">IF(OR(FW12="",FW$28&lt;$A39),"",FW12/OFFSET(SSTotalESP!$A$2,MATCH(FW$29,SSTotalESP!$A$2:$A$500)+$A39-1,1)-1)</f>
        <v>-6.8994397886207315E-3</v>
      </c>
      <c r="FX39" s="9">
        <f ca="1">IF(OR(FX12="",FX$28&lt;$A39),"",FX12/OFFSET(SSTotalESP!$A$2,MATCH(FX$29,SSTotalESP!$A$2:$A$500)+$A39-1,1)-1)</f>
        <v>1.2225564898333152E-2</v>
      </c>
      <c r="FY39" s="9">
        <f ca="1">IF(OR(FY12="",FY$28&lt;$A39),"",FY12/OFFSET(SSTotalESP!$A$2,MATCH(FY$29,SSTotalESP!$A$2:$A$500)+$A39-1,1)-1)</f>
        <v>-6.6896585531195374E-4</v>
      </c>
      <c r="FZ39" s="9">
        <f ca="1">IF(OR(FZ12="",FZ$28&lt;$A39),"",FZ12/OFFSET(SSTotalESP!$A$2,MATCH(FZ$29,SSTotalESP!$A$2:$A$500)+$A39-1,1)-1)</f>
        <v>8.9541658305121175E-3</v>
      </c>
      <c r="GA39" s="9">
        <f ca="1">IF(OR(GA12="",GA$28&lt;$A39),"",GA12/OFFSET(SSTotalESP!$A$2,MATCH(GA$29,SSTotalESP!$A$2:$A$500)+$A39-1,1)-1)</f>
        <v>3.043250447480883E-4</v>
      </c>
      <c r="GB39" s="9">
        <f ca="1">IF(OR(GB12="",GB$28&lt;$A39),"",GB12/OFFSET(SSTotalESP!$A$2,MATCH(GB$29,SSTotalESP!$A$2:$A$500)+$A39-1,1)-1)</f>
        <v>6.7940391037413228E-4</v>
      </c>
      <c r="GC39" s="9">
        <f ca="1">IF(OR(GC12="",GC$28&lt;$A39),"",GC12/OFFSET(SSTotalESP!$A$2,MATCH(GC$29,SSTotalESP!$A$2:$A$500)+$A39-1,1)-1)</f>
        <v>1.0328874860875414E-2</v>
      </c>
      <c r="GD39" s="9">
        <f ca="1">IF(OR(GD12="",GD$28&lt;$A39),"",GD12/OFFSET(SSTotalESP!$A$2,MATCH(GD$29,SSTotalESP!$A$2:$A$500)+$A39-1,1)-1)</f>
        <v>1.1449996161074338E-2</v>
      </c>
      <c r="GE39" s="9">
        <f ca="1">IF(OR(GE12="",GE$28&lt;$A39),"",GE12/OFFSET(SSTotalESP!$A$2,MATCH(GE$29,SSTotalESP!$A$2:$A$500)+$A39-1,1)-1)</f>
        <v>2.7928254016601928E-2</v>
      </c>
      <c r="GF39" s="9">
        <f ca="1">IF(OR(GF12="",GF$28&lt;$A39),"",GF12/OFFSET(SSTotalESP!$A$2,MATCH(GF$29,SSTotalESP!$A$2:$A$500)+$A39-1,1)-1)</f>
        <v>6.6519838989580915E-2</v>
      </c>
      <c r="GG39" s="9">
        <f ca="1">IF(OR(GG12="",GG$28&lt;$A39),"",GG12/OFFSET(SSTotalESP!$A$2,MATCH(GG$29,SSTotalESP!$A$2:$A$500)+$A39-1,1)-1)</f>
        <v>6.7639247555055571E-2</v>
      </c>
      <c r="GH39" s="9">
        <f ca="1">IF(OR(GH12="",GH$28&lt;$A39),"",GH12/OFFSET(SSTotalESP!$A$2,MATCH(GH$29,SSTotalESP!$A$2:$A$500)+$A39-1,1)-1)</f>
        <v>5.6889487850986686E-2</v>
      </c>
      <c r="GI39" s="9">
        <f ca="1">IF(OR(GI12="",GI$28&lt;$A39),"",GI12/OFFSET(SSTotalESP!$A$2,MATCH(GI$29,SSTotalESP!$A$2:$A$500)+$A39-1,1)-1)</f>
        <v>5.1978973653515004E-2</v>
      </c>
      <c r="GJ39" s="9">
        <f ca="1">IF(OR(GJ12="",GJ$28&lt;$A39),"",GJ12/OFFSET(SSTotalESP!$A$2,MATCH(GJ$29,SSTotalESP!$A$2:$A$500)+$A39-1,1)-1)</f>
        <v>4.9182798055432242E-2</v>
      </c>
      <c r="GK39" s="9">
        <f ca="1">IF(OR(GK12="",GK$28&lt;$A39),"",GK12/OFFSET(SSTotalESP!$A$2,MATCH(GK$29,SSTotalESP!$A$2:$A$500)+$A39-1,1)-1)</f>
        <v>4.2019559729605804E-2</v>
      </c>
      <c r="GL39" s="9">
        <f ca="1">IF(OR(GL12="",GL$28&lt;$A39),"",GL12/OFFSET(SSTotalESP!$A$2,MATCH(GL$29,SSTotalESP!$A$2:$A$500)+$A39-1,1)-1)</f>
        <v>3.7674096412812608E-2</v>
      </c>
      <c r="GM39" s="9">
        <f ca="1">IF(OR(GM12="",GM$28&lt;$A39),"",GM12/OFFSET(SSTotalESP!$A$2,MATCH(GM$29,SSTotalESP!$A$2:$A$500)+$A39-1,1)-1)</f>
        <v>2.3708432495685994E-2</v>
      </c>
      <c r="GN39" s="9">
        <f ca="1">IF(OR(GN12="",GN$28&lt;$A39),"",GN12/OFFSET(SSTotalESP!$A$2,MATCH(GN$29,SSTotalESP!$A$2:$A$500)+$A39-1,1)-1)</f>
        <v>3.6004202307053701E-2</v>
      </c>
      <c r="GO39" s="9">
        <f ca="1">IF(OR(GO12="",GO$28&lt;$A39),"",GO12/OFFSET(SSTotalESP!$A$2,MATCH(GO$29,SSTotalESP!$A$2:$A$500)+$A39-1,1)-1)</f>
        <v>-4.5304105249228677E-3</v>
      </c>
      <c r="GP39" s="9" t="str">
        <f ca="1">IF(OR(GP12="",GP$28&lt;$A39),"",GP12/OFFSET(SSTotalESP!$A$2,MATCH(GP$29,SSTotalESP!$A$2:$A$500)+$A39-1,1)-1)</f>
        <v/>
      </c>
      <c r="GQ39" s="9" t="str">
        <f ca="1">IF(OR(GQ12="",GQ$28&lt;$A39),"",GQ12/OFFSET(SSTotalESP!$A$2,MATCH(GQ$29,SSTotalESP!$A$2:$A$500)+$A39-1,1)-1)</f>
        <v/>
      </c>
      <c r="GR39" s="9" t="str">
        <f ca="1">IF(OR(GR12="",GR$28&lt;$A39),"",GR12/OFFSET(SSTotalESP!$A$2,MATCH(GR$29,SSTotalESP!$A$2:$A$500)+$A39-1,1)-1)</f>
        <v/>
      </c>
      <c r="GS39" s="9" t="str">
        <f ca="1">IF(OR(GS12="",GS$28&lt;$A39),"",GS12/OFFSET(SSTotalESP!$A$2,MATCH(GS$29,SSTotalESP!$A$2:$A$500)+$A39-1,1)-1)</f>
        <v/>
      </c>
      <c r="GT39" s="9" t="str">
        <f ca="1">IF(OR(GT12="",GT$28&lt;$A39),"",GT12/OFFSET(SSTotalESP!$A$2,MATCH(GT$29,SSTotalESP!$A$2:$A$500)+$A39-1,1)-1)</f>
        <v/>
      </c>
      <c r="GU39" s="9" t="str">
        <f ca="1">IF(OR(GU12="",GU$28&lt;$A39),"",GU12/OFFSET(SSTotalESP!$A$2,MATCH(GU$29,SSTotalESP!$A$2:$A$500)+$A39-1,1)-1)</f>
        <v/>
      </c>
      <c r="GV39" s="9" t="str">
        <f ca="1">IF(OR(GV12="",GV$28&lt;$A39),"",GV12/OFFSET(SSTotalESP!$A$2,MATCH(GV$29,SSTotalESP!$A$2:$A$500)+$A39-1,1)-1)</f>
        <v/>
      </c>
      <c r="GW39" s="9" t="str">
        <f ca="1">IF(OR(GW12="",GW$28&lt;$A39),"",GW12/OFFSET(SSTotalESP!$A$2,MATCH(GW$29,SSTotalESP!$A$2:$A$500)+$A39-1,1)-1)</f>
        <v/>
      </c>
      <c r="GX39" s="9" t="str">
        <f ca="1">IF(OR(GX12="",GX$28&lt;$A39),"",GX12/OFFSET(SSTotalESP!$A$2,MATCH(GX$29,SSTotalESP!$A$2:$A$500)+$A39-1,1)-1)</f>
        <v/>
      </c>
      <c r="GY39" s="9" t="str">
        <f ca="1">IF(OR(GY12="",GY$28&lt;$A39),"",GY12/OFFSET(SSTotalESP!$A$2,MATCH(GY$29,SSTotalESP!$A$2:$A$500)+$A39-1,1)-1)</f>
        <v/>
      </c>
      <c r="GZ39" s="9" t="str">
        <f ca="1">IF(OR(GZ12="",GZ$28&lt;$A39),"",GZ12/OFFSET(SSTotalESP!$A$2,MATCH(GZ$29,SSTotalESP!$A$2:$A$500)+$A39-1,1)-1)</f>
        <v/>
      </c>
      <c r="HA39" s="9" t="str">
        <f ca="1">IF(OR(HA12="",HA$28&lt;$A39),"",HA12/OFFSET(SSTotalESP!$A$2,MATCH(HA$29,SSTotalESP!$A$2:$A$500)+$A39-1,1)-1)</f>
        <v/>
      </c>
      <c r="HB39" s="9" t="str">
        <f ca="1">IF(OR(HB12="",HB$28&lt;$A39),"",HB12/OFFSET(SSTotalESP!$A$2,MATCH(HB$29,SSTotalESP!$A$2:$A$500)+$A39-1,1)-1)</f>
        <v/>
      </c>
      <c r="HC39" s="9" t="str">
        <f ca="1">IF(OR(HC12="",HC$28&lt;$A39),"",HC12/OFFSET(SSTotalESP!$A$2,MATCH(HC$29,SSTotalESP!$A$2:$A$500)+$A39-1,1)-1)</f>
        <v/>
      </c>
      <c r="HD39" s="9" t="str">
        <f ca="1">IF(OR(HD12="",HD$28&lt;$A39),"",HD12/OFFSET(SSTotalESP!$A$2,MATCH(HD$29,SSTotalESP!$A$2:$A$500)+$A39-1,1)-1)</f>
        <v/>
      </c>
      <c r="HE39" s="9" t="str">
        <f ca="1">IF(OR(HE12="",HE$28&lt;$A39),"",HE12/OFFSET(SSTotalESP!$A$2,MATCH(HE$29,SSTotalESP!$A$2:$A$500)+$A39-1,1)-1)</f>
        <v/>
      </c>
      <c r="HF39" s="9" t="str">
        <f ca="1">IF(OR(HF12="",HF$28&lt;$A39),"",HF12/OFFSET(SSTotalESP!$A$2,MATCH(HF$29,SSTotalESP!$A$2:$A$500)+$A39-1,1)-1)</f>
        <v/>
      </c>
      <c r="HG39" s="9" t="str">
        <f ca="1">IF(OR(HG12="",HG$28&lt;$A39),"",HG12/OFFSET(SSTotalESP!$A$2,MATCH(HG$29,SSTotalESP!$A$2:$A$500)+$A39-1,1)-1)</f>
        <v/>
      </c>
      <c r="HH39" s="9" t="str">
        <f ca="1">IF(OR(HH12="",HH$28&lt;$A39),"",HH12/OFFSET(SSTotalESP!$A$2,MATCH(HH$29,SSTotalESP!$A$2:$A$500)+$A39-1,1)-1)</f>
        <v/>
      </c>
      <c r="HI39" s="9" t="str">
        <f ca="1">IF(OR(HI12="",HI$28&lt;$A39),"",HI12/OFFSET(SSTotalESP!$A$2,MATCH(HI$29,SSTotalESP!$A$2:$A$500)+$A39-1,1)-1)</f>
        <v/>
      </c>
      <c r="HJ39" s="9" t="str">
        <f ca="1">IF(OR(HJ12="",HJ$28&lt;$A39),"",HJ12/OFFSET(SSTotalESP!$A$2,MATCH(HJ$29,SSTotalESP!$A$2:$A$500)+$A39-1,1)-1)</f>
        <v/>
      </c>
      <c r="HK39" s="9" t="str">
        <f ca="1">IF(OR(HK12="",HK$28&lt;$A39),"",HK12/OFFSET(SSTotalESP!$A$2,MATCH(HK$29,SSTotalESP!$A$2:$A$500)+$A39-1,1)-1)</f>
        <v/>
      </c>
      <c r="HL39" s="9" t="str">
        <f ca="1">IF(OR(HL12="",HL$28&lt;$A39),"",HL12/OFFSET(SSTotalESP!$A$2,MATCH(HL$29,SSTotalESP!$A$2:$A$500)+$A39-1,1)-1)</f>
        <v/>
      </c>
      <c r="HM39" s="9" t="str">
        <f ca="1">IF(OR(HM12="",HM$28&lt;$A39),"",HM12/OFFSET(SSTotalESP!$A$2,MATCH(HM$29,SSTotalESP!$A$2:$A$500)+$A39-1,1)-1)</f>
        <v/>
      </c>
      <c r="HN39" s="9" t="str">
        <f ca="1">IF(OR(HN12="",HN$28&lt;$A39),"",HN12/OFFSET(SSTotalESP!$A$2,MATCH(HN$29,SSTotalESP!$A$2:$A$500)+$A39-1,1)-1)</f>
        <v/>
      </c>
      <c r="HO39" s="9" t="str">
        <f ca="1">IF(OR(HO12="",HO$28&lt;$A39),"",HO12/OFFSET(SSTotalESP!$A$2,MATCH(HO$29,SSTotalESP!$A$2:$A$500)+$A39-1,1)-1)</f>
        <v/>
      </c>
      <c r="HP39" s="9" t="str">
        <f ca="1">IF(OR(HP12="",HP$28&lt;$A39),"",HP12/OFFSET(SSTotalESP!$A$2,MATCH(HP$29,SSTotalESP!$A$2:$A$500)+$A39-1,1)-1)</f>
        <v/>
      </c>
      <c r="HQ39" s="9" t="str">
        <f ca="1">IF(OR(HQ12="",HQ$28&lt;$A39),"",HQ12/OFFSET(SSTotalESP!$A$2,MATCH(HQ$29,SSTotalESP!$A$2:$A$500)+$A39-1,1)-1)</f>
        <v/>
      </c>
      <c r="HR39" s="9" t="str">
        <f ca="1">IF(OR(HR12="",HR$28&lt;$A39),"",HR12/OFFSET(SSTotalESP!$A$2,MATCH(HR$29,SSTotalESP!$A$2:$A$500)+$A39-1,1)-1)</f>
        <v/>
      </c>
      <c r="HS39" s="9" t="str">
        <f ca="1">IF(OR(HS12="",HS$28&lt;$A39),"",HS12/OFFSET(SSTotalESP!$A$2,MATCH(HS$29,SSTotalESP!$A$2:$A$500)+$A39-1,1)-1)</f>
        <v/>
      </c>
      <c r="HT39" s="9" t="str">
        <f ca="1">IF(OR(HT12="",HT$28&lt;$A39),"",HT12/OFFSET(SSTotalESP!$A$2,MATCH(HT$29,SSTotalESP!$A$2:$A$500)+$A39-1,1)-1)</f>
        <v/>
      </c>
      <c r="HU39" s="9" t="str">
        <f ca="1">IF(OR(HU12="",HU$28&lt;$A39),"",HU12/OFFSET(SSTotalESP!$A$2,MATCH(HU$29,SSTotalESP!$A$2:$A$500)+$A39-1,1)-1)</f>
        <v/>
      </c>
      <c r="HV39" s="9" t="str">
        <f ca="1">IF(OR(HV12="",HV$28&lt;$A39),"",HV12/OFFSET(SSTotalESP!$A$2,MATCH(HV$29,SSTotalESP!$A$2:$A$500)+$A39-1,1)-1)</f>
        <v/>
      </c>
      <c r="HW39" s="9" t="str">
        <f ca="1">IF(OR(HW12="",HW$28&lt;$A39),"",HW12/OFFSET(SSTotalESP!$A$2,MATCH(HW$29,SSTotalESP!$A$2:$A$500)+$A39-1,1)-1)</f>
        <v/>
      </c>
      <c r="HX39" s="9" t="str">
        <f ca="1">IF(OR(HX12="",HX$28&lt;$A39),"",HX12/OFFSET(SSTotalESP!$A$2,MATCH(HX$29,SSTotalESP!$A$2:$A$500)+$A39-1,1)-1)</f>
        <v/>
      </c>
      <c r="HY39" s="9" t="str">
        <f ca="1">IF(OR(HY12="",HY$28&lt;$A39),"",HY12/OFFSET(SSTotalESP!$A$2,MATCH(HY$29,SSTotalESP!$A$2:$A$500)+$A39-1,1)-1)</f>
        <v/>
      </c>
      <c r="HZ39" s="9" t="str">
        <f ca="1">IF(OR(HZ12="",HZ$28&lt;$A39),"",HZ12/OFFSET(SSTotalESP!$A$2,MATCH(HZ$29,SSTotalESP!$A$2:$A$500)+$A39-1,1)-1)</f>
        <v/>
      </c>
      <c r="IA39" s="9" t="str">
        <f ca="1">IF(OR(IA12="",IA$28&lt;$A39),"",IA12/OFFSET(SSTotalESP!$A$2,MATCH(IA$29,SSTotalESP!$A$2:$A$500)+$A39-1,1)-1)</f>
        <v/>
      </c>
      <c r="IB39" s="9" t="str">
        <f ca="1">IF(OR(IB12="",IB$28&lt;$A39),"",IB12/OFFSET(SSTotalESP!$A$2,MATCH(IB$29,SSTotalESP!$A$2:$A$500)+$A39-1,1)-1)</f>
        <v/>
      </c>
      <c r="IC39" s="9" t="str">
        <f ca="1">IF(OR(IC12="",IC$28&lt;$A39),"",IC12/OFFSET(SSTotalESP!$A$2,MATCH(IC$29,SSTotalESP!$A$2:$A$500)+$A39-1,1)-1)</f>
        <v/>
      </c>
      <c r="ID39" s="9" t="str">
        <f ca="1">IF(OR(ID12="",ID$28&lt;$A39),"",ID12/OFFSET(SSTotalESP!$A$2,MATCH(ID$29,SSTotalESP!$A$2:$A$500)+$A39-1,1)-1)</f>
        <v/>
      </c>
      <c r="IE39" s="9" t="str">
        <f ca="1">IF(OR(IE12="",IE$28&lt;$A39),"",IE12/OFFSET(SSTotalESP!$A$2,MATCH(IE$29,SSTotalESP!$A$2:$A$500)+$A39-1,1)-1)</f>
        <v/>
      </c>
      <c r="IF39" s="9" t="str">
        <f ca="1">IF(OR(IF12="",IF$28&lt;$A39),"",IF12/OFFSET(SSTotalESP!$A$2,MATCH(IF$29,SSTotalESP!$A$2:$A$500)+$A39-1,1)-1)</f>
        <v/>
      </c>
      <c r="IG39" s="9" t="str">
        <f ca="1">IF(OR(IG12="",IG$28&lt;$A39),"",IG12/OFFSET(SSTotalESP!$A$2,MATCH(IG$29,SSTotalESP!$A$2:$A$500)+$A39-1,1)-1)</f>
        <v/>
      </c>
      <c r="IH39" s="9" t="str">
        <f ca="1">IF(OR(IH12="",IH$28&lt;$A39),"",IH12/OFFSET(SSTotalESP!$A$2,MATCH(IH$29,SSTotalESP!$A$2:$A$500)+$A39-1,1)-1)</f>
        <v/>
      </c>
      <c r="II39" s="9" t="str">
        <f ca="1">IF(OR(II12="",II$28&lt;$A39),"",II12/OFFSET(SSTotalESP!$A$2,MATCH(II$29,SSTotalESP!$A$2:$A$500)+$A39-1,1)-1)</f>
        <v/>
      </c>
      <c r="IJ39" s="9" t="str">
        <f ca="1">IF(OR(IJ12="",IJ$28&lt;$A39),"",IJ12/OFFSET(SSTotalESP!$A$2,MATCH(IJ$29,SSTotalESP!$A$2:$A$500)+$A39-1,1)-1)</f>
        <v/>
      </c>
      <c r="IK39" s="9" t="str">
        <f ca="1">IF(OR(IK12="",IK$28&lt;$A39),"",IK12/OFFSET(SSTotalESP!$A$2,MATCH(IK$29,SSTotalESP!$A$2:$A$500)+$A39-1,1)-1)</f>
        <v/>
      </c>
      <c r="IL39" s="9" t="str">
        <f ca="1">IF(OR(IL12="",IL$28&lt;$A39),"",IL12/OFFSET(SSTotalESP!$A$2,MATCH(IL$29,SSTotalESP!$A$2:$A$500)+$A39-1,1)-1)</f>
        <v/>
      </c>
      <c r="IM39" s="9" t="str">
        <f ca="1">IF(OR(IM12="",IM$28&lt;$A39),"",IM12/OFFSET(SSTotalESP!$A$2,MATCH(IM$29,SSTotalESP!$A$2:$A$500)+$A39-1,1)-1)</f>
        <v/>
      </c>
      <c r="IN39" s="9" t="str">
        <f ca="1">IF(OR(IN12="",IN$28&lt;$A39),"",IN12/OFFSET(SSTotalESP!$A$2,MATCH(IN$29,SSTotalESP!$A$2:$A$500)+$A39-1,1)-1)</f>
        <v/>
      </c>
      <c r="IO39" s="9" t="str">
        <f ca="1">IF(OR(IO12="",IO$28&lt;$A39),"",IO12/OFFSET(SSTotalESP!$A$2,MATCH(IO$29,SSTotalESP!$A$2:$A$500)+$A39-1,1)-1)</f>
        <v/>
      </c>
      <c r="IP39" s="9" t="str">
        <f ca="1">IF(OR(IP12="",IP$28&lt;$A39),"",IP12/OFFSET(SSTotalESP!$A$2,MATCH(IP$29,SSTotalESP!$A$2:$A$500)+$A39-1,1)-1)</f>
        <v/>
      </c>
      <c r="IQ39" s="9" t="str">
        <f ca="1">IF(OR(IQ12="",IQ$28&lt;$A39),"",IQ12/OFFSET(SSTotalESP!$A$2,MATCH(IQ$29,SSTotalESP!$A$2:$A$500)+$A39-1,1)-1)</f>
        <v/>
      </c>
      <c r="IR39" s="9" t="str">
        <f ca="1">IF(OR(IR12="",IR$28&lt;$A39),"",IR12/OFFSET(SSTotalESP!$A$2,MATCH(IR$29,SSTotalESP!$A$2:$A$500)+$A39-1,1)-1)</f>
        <v/>
      </c>
      <c r="IS39" s="9" t="str">
        <f ca="1">IF(OR(IS12="",IS$28&lt;$A39),"",IS12/OFFSET(SSTotalESP!$A$2,MATCH(IS$29,SSTotalESP!$A$2:$A$500)+$A39-1,1)-1)</f>
        <v/>
      </c>
      <c r="IT39" s="9" t="str">
        <f ca="1">IF(OR(IT12="",IT$28&lt;$A39),"",IT12/OFFSET(SSTotalESP!$A$2,MATCH(IT$29,SSTotalESP!$A$2:$A$500)+$A39-1,1)-1)</f>
        <v/>
      </c>
      <c r="IU39" s="9" t="str">
        <f ca="1">IF(OR(IU12="",IU$28&lt;$A39),"",IU12/OFFSET(SSTotalESP!$A$2,MATCH(IU$29,SSTotalESP!$A$2:$A$500)+$A39-1,1)-1)</f>
        <v/>
      </c>
      <c r="IV39" s="9" t="str">
        <f ca="1">IF(OR(IV12="",IV$28&lt;$A39),"",IV12/OFFSET(SSTotalESP!$A$2,MATCH(IV$29,SSTotalESP!$A$2:$A$500)+$A39-1,1)-1)</f>
        <v/>
      </c>
      <c r="IW39" s="9" t="str">
        <f ca="1">IF(OR(IW12="",IW$28&lt;$A39),"",IW12/OFFSET(SSTotalESP!$A$2,MATCH(IW$29,SSTotalESP!$A$2:$A$500)+$A39-1,1)-1)</f>
        <v/>
      </c>
      <c r="IX39" s="9" t="str">
        <f ca="1">IF(OR(IX12="",IX$28&lt;$A39),"",IX12/OFFSET(SSTotalESP!$A$2,MATCH(IX$29,SSTotalESP!$A$2:$A$500)+$A39-1,1)-1)</f>
        <v/>
      </c>
      <c r="IY39" s="9" t="str">
        <f ca="1">IF(OR(IY12="",IY$28&lt;$A39),"",IY12/OFFSET(SSTotalESP!$A$2,MATCH(IY$29,SSTotalESP!$A$2:$A$500)+$A39-1,1)-1)</f>
        <v/>
      </c>
      <c r="IZ39" s="9" t="str">
        <f ca="1">IF(OR(IZ12="",IZ$28&lt;$A39),"",IZ12/OFFSET(SSTotalESP!$A$2,MATCH(IZ$29,SSTotalESP!$A$2:$A$500)+$A39-1,1)-1)</f>
        <v/>
      </c>
      <c r="JA39" s="9" t="str">
        <f ca="1">IF(OR(JA12="",JA$28&lt;$A39),"",JA12/OFFSET(SSTotalESP!$A$2,MATCH(JA$29,SSTotalESP!$A$2:$A$500)+$A39-1,1)-1)</f>
        <v/>
      </c>
      <c r="JB39" s="9" t="str">
        <f ca="1">IF(OR(JB12="",JB$28&lt;$A39),"",JB12/OFFSET(SSTotalESP!$A$2,MATCH(JB$29,SSTotalESP!$A$2:$A$500)+$A39-1,1)-1)</f>
        <v/>
      </c>
      <c r="JC39" s="9" t="str">
        <f ca="1">IF(OR(JC12="",JC$28&lt;$A39),"",JC12/OFFSET(SSTotalESP!$A$2,MATCH(JC$29,SSTotalESP!$A$2:$A$500)+$A39-1,1)-1)</f>
        <v/>
      </c>
      <c r="JD39" s="9" t="str">
        <f ca="1">IF(OR(JD12="",JD$28&lt;$A39),"",JD12/OFFSET(SSTotalESP!$A$2,MATCH(JD$29,SSTotalESP!$A$2:$A$500)+$A39-1,1)-1)</f>
        <v/>
      </c>
      <c r="JE39" s="9" t="str">
        <f ca="1">IF(OR(JE12="",JE$28&lt;$A39),"",JE12/OFFSET(SSTotalESP!$A$2,MATCH(JE$29,SSTotalESP!$A$2:$A$500)+$A39-1,1)-1)</f>
        <v/>
      </c>
      <c r="JF39" s="9" t="str">
        <f ca="1">IF(OR(JF12="",JF$28&lt;$A39),"",JF12/OFFSET(SSTotalESP!$A$2,MATCH(JF$29,SSTotalESP!$A$2:$A$500)+$A39-1,1)-1)</f>
        <v/>
      </c>
      <c r="JG39" s="9" t="str">
        <f ca="1">IF(OR(JG12="",JG$28&lt;$A39),"",JG12/OFFSET(SSTotalESP!$A$2,MATCH(JG$29,SSTotalESP!$A$2:$A$500)+$A39-1,1)-1)</f>
        <v/>
      </c>
      <c r="JH39" s="9" t="str">
        <f ca="1">IF(OR(JH12="",JH$28&lt;$A39),"",JH12/OFFSET(SSTotalESP!$A$2,MATCH(JH$29,SSTotalESP!$A$2:$A$500)+$A39-1,1)-1)</f>
        <v/>
      </c>
      <c r="JI39" s="13">
        <f t="shared" ca="1" si="13"/>
        <v>1.8990568318274142E-2</v>
      </c>
      <c r="JJ39" s="13">
        <f t="shared" ca="1" si="14"/>
        <v>1.0328874860875414E-2</v>
      </c>
      <c r="JK39" s="14">
        <f t="shared" ca="1" si="15"/>
        <v>6.0236770852693539E-4</v>
      </c>
      <c r="JL39" s="17">
        <f t="shared" ca="1" si="18"/>
        <v>2.454318048923031E-2</v>
      </c>
      <c r="JM39" s="15" t="str">
        <f t="shared" ca="1" si="16"/>
        <v>[ -3,01% ; 6,81% ]</v>
      </c>
      <c r="JN39" s="17">
        <f t="shared" ca="1" si="17"/>
        <v>3.1415271026214796E-2</v>
      </c>
      <c r="LY39" s="1"/>
    </row>
    <row r="40" spans="1:337" x14ac:dyDescent="0.25">
      <c r="A40" s="4">
        <v>11</v>
      </c>
      <c r="B40" s="9">
        <f ca="1">IF(OR(B13="",B$28&lt;$A40),"",B13/OFFSET(SSTotalESP!$A$2,MATCH(B$29,SSTotalESP!$A$2:$A$500)+$A40-1,1)-1)</f>
        <v>-1.6413417992288126E-3</v>
      </c>
      <c r="C40" s="9">
        <f ca="1">IF(OR(C13="",C$28&lt;$A40),"",C13/OFFSET(SSTotalESP!$A$2,MATCH(C$29,SSTotalESP!$A$2:$A$500)+$A40-1,1)-1)</f>
        <v>-1.4412098959928343E-3</v>
      </c>
      <c r="D40" s="9">
        <f ca="1">IF(OR(D13="",D$28&lt;$A40),"",D13/OFFSET(SSTotalESP!$A$2,MATCH(D$29,SSTotalESP!$A$2:$A$500)+$A40-1,1)-1)</f>
        <v>-9.2522684811879863E-4</v>
      </c>
      <c r="E40" s="9">
        <f ca="1">IF(OR(E13="",E$28&lt;$A40),"",E13/OFFSET(SSTotalESP!$A$2,MATCH(E$29,SSTotalESP!$A$2:$A$500)+$A40-1,1)-1)</f>
        <v>-1.3498927116972759E-4</v>
      </c>
      <c r="F40" s="9">
        <f ca="1">IF(OR(F13="",F$28&lt;$A40),"",F13/OFFSET(SSTotalESP!$A$2,MATCH(F$29,SSTotalESP!$A$2:$A$500)+$A40-1,1)-1)</f>
        <v>-1.0651477222777261E-3</v>
      </c>
      <c r="G40" s="9">
        <f ca="1">IF(OR(G13="",G$28&lt;$A40),"",G13/OFFSET(SSTotalESP!$A$2,MATCH(G$29,SSTotalESP!$A$2:$A$500)+$A40-1,1)-1)</f>
        <v>-2.5140775051105679E-3</v>
      </c>
      <c r="H40" s="9">
        <f ca="1">IF(OR(H13="",H$28&lt;$A40),"",H13/OFFSET(SSTotalESP!$A$2,MATCH(H$29,SSTotalESP!$A$2:$A$500)+$A40-1,1)-1)</f>
        <v>-5.7579342622591234E-3</v>
      </c>
      <c r="I40" s="9">
        <f ca="1">IF(OR(I13="",I$28&lt;$A40),"",I13/OFFSET(SSTotalESP!$A$2,MATCH(I$29,SSTotalESP!$A$2:$A$500)+$A40-1,1)-1)</f>
        <v>-1.3652623918404383E-2</v>
      </c>
      <c r="J40" s="9">
        <f ca="1">IF(OR(J13="",J$28&lt;$A40),"",J13/OFFSET(SSTotalESP!$A$2,MATCH(J$29,SSTotalESP!$A$2:$A$500)+$A40-1,1)-1)</f>
        <v>-2.139796086549417E-2</v>
      </c>
      <c r="K40" s="9">
        <f ca="1">IF(OR(K13="",K$28&lt;$A40),"",K13/OFFSET(SSTotalESP!$A$2,MATCH(K$29,SSTotalESP!$A$2:$A$500)+$A40-1,1)-1)</f>
        <v>-2.2308569834460612E-2</v>
      </c>
      <c r="L40" s="9">
        <f ca="1">IF(OR(L13="",L$28&lt;$A40),"",L13/OFFSET(SSTotalESP!$A$2,MATCH(L$29,SSTotalESP!$A$2:$A$500)+$A40-1,1)-1)</f>
        <v>-2.4532709784615969E-2</v>
      </c>
      <c r="M40" s="9">
        <f ca="1">IF(OR(M13="",M$28&lt;$A40),"",M13/OFFSET(SSTotalESP!$A$2,MATCH(M$29,SSTotalESP!$A$2:$A$500)+$A40-1,1)-1)</f>
        <v>-2.6388666642316982E-2</v>
      </c>
      <c r="N40" s="9">
        <f ca="1">IF(OR(N13="",N$28&lt;$A40),"",N13/OFFSET(SSTotalESP!$A$2,MATCH(N$29,SSTotalESP!$A$2:$A$500)+$A40-1,1)-1)</f>
        <v>-2.6718067173032045E-2</v>
      </c>
      <c r="O40" s="9">
        <f ca="1">IF(OR(O13="",O$28&lt;$A40),"",O13/OFFSET(SSTotalESP!$A$2,MATCH(O$29,SSTotalESP!$A$2:$A$500)+$A40-1,1)-1)</f>
        <v>-2.5014337409820286E-2</v>
      </c>
      <c r="P40" s="9">
        <f ca="1">IF(OR(P13="",P$28&lt;$A40),"",P13/OFFSET(SSTotalESP!$A$2,MATCH(P$29,SSTotalESP!$A$2:$A$500)+$A40-1,1)-1)</f>
        <v>-2.6403849190902329E-2</v>
      </c>
      <c r="Q40" s="9">
        <f ca="1">IF(OR(Q13="",Q$28&lt;$A40),"",Q13/OFFSET(SSTotalESP!$A$2,MATCH(Q$29,SSTotalESP!$A$2:$A$500)+$A40-1,1)-1)</f>
        <v>-2.5772654990775856E-2</v>
      </c>
      <c r="R40" s="9">
        <f ca="1">IF(OR(R13="",R$28&lt;$A40),"",R13/OFFSET(SSTotalESP!$A$2,MATCH(R$29,SSTotalESP!$A$2:$A$500)+$A40-1,1)-1)</f>
        <v>-2.4356952447341595E-2</v>
      </c>
      <c r="S40" s="9">
        <f ca="1">IF(OR(S13="",S$28&lt;$A40),"",S13/OFFSET(SSTotalESP!$A$2,MATCH(S$29,SSTotalESP!$A$2:$A$500)+$A40-1,1)-1)</f>
        <v>-2.1082792414693241E-2</v>
      </c>
      <c r="T40" s="9">
        <f ca="1">IF(OR(T13="",T$28&lt;$A40),"",T13/OFFSET(SSTotalESP!$A$2,MATCH(T$29,SSTotalESP!$A$2:$A$500)+$A40-1,1)-1)</f>
        <v>-7.695014276949852E-3</v>
      </c>
      <c r="U40" s="9">
        <f ca="1">IF(OR(U13="",U$28&lt;$A40),"",U13/OFFSET(SSTotalESP!$A$2,MATCH(U$29,SSTotalESP!$A$2:$A$500)+$A40-1,1)-1)</f>
        <v>3.7603077251726624E-3</v>
      </c>
      <c r="V40" s="9">
        <f ca="1">IF(OR(V13="",V$28&lt;$A40),"",V13/OFFSET(SSTotalESP!$A$2,MATCH(V$29,SSTotalESP!$A$2:$A$500)+$A40-1,1)-1)</f>
        <v>1.8351525243176292E-2</v>
      </c>
      <c r="W40" s="9">
        <f ca="1">IF(OR(W13="",W$28&lt;$A40),"",W13/OFFSET(SSTotalESP!$A$2,MATCH(W$29,SSTotalESP!$A$2:$A$500)+$A40-1,1)-1)</f>
        <v>2.4116611294769275E-2</v>
      </c>
      <c r="X40" s="9">
        <f ca="1">IF(OR(X13="",X$28&lt;$A40),"",X13/OFFSET(SSTotalESP!$A$2,MATCH(X$29,SSTotalESP!$A$2:$A$500)+$A40-1,1)-1)</f>
        <v>2.240672584825143E-2</v>
      </c>
      <c r="Y40" s="9">
        <f ca="1">IF(OR(Y13="",Y$28&lt;$A40),"",Y13/OFFSET(SSTotalESP!$A$2,MATCH(Y$29,SSTotalESP!$A$2:$A$500)+$A40-1,1)-1)</f>
        <v>1.3907539562880711E-2</v>
      </c>
      <c r="Z40" s="9">
        <f ca="1">IF(OR(Z13="",Z$28&lt;$A40),"",Z13/OFFSET(SSTotalESP!$A$2,MATCH(Z$29,SSTotalESP!$A$2:$A$500)+$A40-1,1)-1)</f>
        <v>1.3026705881203249E-2</v>
      </c>
      <c r="AA40" s="9">
        <f ca="1">IF(OR(AA13="",AA$28&lt;$A40),"",AA13/OFFSET(SSTotalESP!$A$2,MATCH(AA$29,SSTotalESP!$A$2:$A$500)+$A40-1,1)-1)</f>
        <v>1.364633359657641E-2</v>
      </c>
      <c r="AB40" s="9">
        <f ca="1">IF(OR(AB13="",AB$28&lt;$A40),"",AB13/OFFSET(SSTotalESP!$A$2,MATCH(AB$29,SSTotalESP!$A$2:$A$500)+$A40-1,1)-1)</f>
        <v>7.5287532544028313E-3</v>
      </c>
      <c r="AC40" s="9">
        <f ca="1">IF(OR(AC13="",AC$28&lt;$A40),"",AC13/OFFSET(SSTotalESP!$A$2,MATCH(AC$29,SSTotalESP!$A$2:$A$500)+$A40-1,1)-1)</f>
        <v>1.217080372859658E-2</v>
      </c>
      <c r="AD40" s="9">
        <f ca="1">IF(OR(AD13="",AD$28&lt;$A40),"",AD13/OFFSET(SSTotalESP!$A$2,MATCH(AD$29,SSTotalESP!$A$2:$A$500)+$A40-1,1)-1)</f>
        <v>7.8695834413065047E-3</v>
      </c>
      <c r="AE40" s="9">
        <f ca="1">IF(OR(AE13="",AE$28&lt;$A40),"",AE13/OFFSET(SSTotalESP!$A$2,MATCH(AE$29,SSTotalESP!$A$2:$A$500)+$A40-1,1)-1)</f>
        <v>6.2161319582967334E-3</v>
      </c>
      <c r="AF40" s="9">
        <f ca="1">IF(OR(AF13="",AF$28&lt;$A40),"",AF13/OFFSET(SSTotalESP!$A$2,MATCH(AF$29,SSTotalESP!$A$2:$A$500)+$A40-1,1)-1)</f>
        <v>5.3479260526967387E-4</v>
      </c>
      <c r="AG40" s="9">
        <f ca="1">IF(OR(AG13="",AG$28&lt;$A40),"",AG13/OFFSET(SSTotalESP!$A$2,MATCH(AG$29,SSTotalESP!$A$2:$A$500)+$A40-1,1)-1)</f>
        <v>9.2899637690657677E-4</v>
      </c>
      <c r="AH40" s="9">
        <f ca="1">IF(OR(AH13="",AH$28&lt;$A40),"",AH13/OFFSET(SSTotalESP!$A$2,MATCH(AH$29,SSTotalESP!$A$2:$A$500)+$A40-1,1)-1)</f>
        <v>-5.5050197481010255E-3</v>
      </c>
      <c r="AI40" s="9">
        <f ca="1">IF(OR(AI13="",AI$28&lt;$A40),"",AI13/OFFSET(SSTotalESP!$A$2,MATCH(AI$29,SSTotalESP!$A$2:$A$500)+$A40-1,1)-1)</f>
        <v>5.9245456388827833E-3</v>
      </c>
      <c r="AJ40" s="9">
        <f ca="1">IF(OR(AJ13="",AJ$28&lt;$A40),"",AJ13/OFFSET(SSTotalESP!$A$2,MATCH(AJ$29,SSTotalESP!$A$2:$A$500)+$A40-1,1)-1)</f>
        <v>8.2837890869829067E-3</v>
      </c>
      <c r="AK40" s="9">
        <f ca="1">IF(OR(AK13="",AK$28&lt;$A40),"",AK13/OFFSET(SSTotalESP!$A$2,MATCH(AK$29,SSTotalESP!$A$2:$A$500)+$A40-1,1)-1)</f>
        <v>1.2740650347379479E-2</v>
      </c>
      <c r="AL40" s="9">
        <f ca="1">IF(OR(AL13="",AL$28&lt;$A40),"",AL13/OFFSET(SSTotalESP!$A$2,MATCH(AL$29,SSTotalESP!$A$2:$A$500)+$A40-1,1)-1)</f>
        <v>1.2035254743385959E-2</v>
      </c>
      <c r="AM40" s="9">
        <f ca="1">IF(OR(AM13="",AM$28&lt;$A40),"",AM13/OFFSET(SSTotalESP!$A$2,MATCH(AM$29,SSTotalESP!$A$2:$A$500)+$A40-1,1)-1)</f>
        <v>1.6574672386047595E-2</v>
      </c>
      <c r="AN40" s="9">
        <f ca="1">IF(OR(AN13="",AN$28&lt;$A40),"",AN13/OFFSET(SSTotalESP!$A$2,MATCH(AN$29,SSTotalESP!$A$2:$A$500)+$A40-1,1)-1)</f>
        <v>1.6144833348047172E-2</v>
      </c>
      <c r="AO40" s="9">
        <f ca="1">IF(OR(AO13="",AO$28&lt;$A40),"",AO13/OFFSET(SSTotalESP!$A$2,MATCH(AO$29,SSTotalESP!$A$2:$A$500)+$A40-1,1)-1)</f>
        <v>2.2430552302898921E-2</v>
      </c>
      <c r="AP40" s="9">
        <f ca="1">IF(OR(AP13="",AP$28&lt;$A40),"",AP13/OFFSET(SSTotalESP!$A$2,MATCH(AP$29,SSTotalESP!$A$2:$A$500)+$A40-1,1)-1)</f>
        <v>1.6852381564385732E-2</v>
      </c>
      <c r="AQ40" s="9">
        <f ca="1">IF(OR(AQ13="",AQ$28&lt;$A40),"",AQ13/OFFSET(SSTotalESP!$A$2,MATCH(AQ$29,SSTotalESP!$A$2:$A$500)+$A40-1,1)-1)</f>
        <v>2.0189393162902469E-2</v>
      </c>
      <c r="AR40" s="9">
        <f ca="1">IF(OR(AR13="",AR$28&lt;$A40),"",AR13/OFFSET(SSTotalESP!$A$2,MATCH(AR$29,SSTotalESP!$A$2:$A$500)+$A40-1,1)-1)</f>
        <v>2.0814714232981757E-2</v>
      </c>
      <c r="AS40" s="9">
        <f ca="1">IF(OR(AS13="",AS$28&lt;$A40),"",AS13/OFFSET(SSTotalESP!$A$2,MATCH(AS$29,SSTotalESP!$A$2:$A$500)+$A40-1,1)-1)</f>
        <v>2.6484165237082635E-2</v>
      </c>
      <c r="AT40" s="9">
        <f ca="1">IF(OR(AT13="",AT$28&lt;$A40),"",AT13/OFFSET(SSTotalESP!$A$2,MATCH(AT$29,SSTotalESP!$A$2:$A$500)+$A40-1,1)-1)</f>
        <v>2.6780266127921282E-2</v>
      </c>
      <c r="AU40" s="9">
        <f ca="1">IF(OR(AU13="",AU$28&lt;$A40),"",AU13/OFFSET(SSTotalESP!$A$2,MATCH(AU$29,SSTotalESP!$A$2:$A$500)+$A40-1,1)-1)</f>
        <v>3.3339138161917914E-2</v>
      </c>
      <c r="AV40" s="9">
        <f ca="1">IF(OR(AV13="",AV$28&lt;$A40),"",AV13/OFFSET(SSTotalESP!$A$2,MATCH(AV$29,SSTotalESP!$A$2:$A$500)+$A40-1,1)-1)</f>
        <v>4.2766858494698523E-2</v>
      </c>
      <c r="AW40" s="9">
        <f ca="1">IF(OR(AW13="",AW$28&lt;$A40),"",AW13/OFFSET(SSTotalESP!$A$2,MATCH(AW$29,SSTotalESP!$A$2:$A$500)+$A40-1,1)-1)</f>
        <v>4.9199220597893278E-2</v>
      </c>
      <c r="AX40" s="9">
        <f ca="1">IF(OR(AX13="",AX$28&lt;$A40),"",AX13/OFFSET(SSTotalESP!$A$2,MATCH(AX$29,SSTotalESP!$A$2:$A$500)+$A40-1,1)-1)</f>
        <v>6.1151799457949352E-2</v>
      </c>
      <c r="AY40" s="9">
        <f ca="1">IF(OR(AY13="",AY$28&lt;$A40),"",AY13/OFFSET(SSTotalESP!$A$2,MATCH(AY$29,SSTotalESP!$A$2:$A$500)+$A40-1,1)-1)</f>
        <v>6.6869481183889024E-2</v>
      </c>
      <c r="AZ40" s="9">
        <f ca="1">IF(OR(AZ13="",AZ$28&lt;$A40),"",AZ13/OFFSET(SSTotalESP!$A$2,MATCH(AZ$29,SSTotalESP!$A$2:$A$500)+$A40-1,1)-1)</f>
        <v>7.2894560444746181E-2</v>
      </c>
      <c r="BA40" s="9">
        <f ca="1">IF(OR(BA13="",BA$28&lt;$A40),"",BA13/OFFSET(SSTotalESP!$A$2,MATCH(BA$29,SSTotalESP!$A$2:$A$500)+$A40-1,1)-1)</f>
        <v>7.638477419049039E-2</v>
      </c>
      <c r="BB40" s="9">
        <f ca="1">IF(OR(BB13="",BB$28&lt;$A40),"",BB13/OFFSET(SSTotalESP!$A$2,MATCH(BB$29,SSTotalESP!$A$2:$A$500)+$A40-1,1)-1)</f>
        <v>7.3992292656924752E-2</v>
      </c>
      <c r="BC40" s="9">
        <f ca="1">IF(OR(BC13="",BC$28&lt;$A40),"",BC13/OFFSET(SSTotalESP!$A$2,MATCH(BC$29,SSTotalESP!$A$2:$A$500)+$A40-1,1)-1)</f>
        <v>7.1973471726881844E-2</v>
      </c>
      <c r="BD40" s="9">
        <f ca="1">IF(OR(BD13="",BD$28&lt;$A40),"",BD13/OFFSET(SSTotalESP!$A$2,MATCH(BD$29,SSTotalESP!$A$2:$A$500)+$A40-1,1)-1)</f>
        <v>5.0154272281736523E-2</v>
      </c>
      <c r="BE40" s="9">
        <f ca="1">IF(OR(BE13="",BE$28&lt;$A40),"",BE13/OFFSET(SSTotalESP!$A$2,MATCH(BE$29,SSTotalESP!$A$2:$A$500)+$A40-1,1)-1)</f>
        <v>5.2192732677075249E-2</v>
      </c>
      <c r="BF40" s="9">
        <f ca="1">IF(OR(BF13="",BF$28&lt;$A40),"",BF13/OFFSET(SSTotalESP!$A$2,MATCH(BF$29,SSTotalESP!$A$2:$A$500)+$A40-1,1)-1)</f>
        <v>5.6021960981063046E-2</v>
      </c>
      <c r="BG40" s="9">
        <f ca="1">IF(OR(BG13="",BG$28&lt;$A40),"",BG13/OFFSET(SSTotalESP!$A$2,MATCH(BG$29,SSTotalESP!$A$2:$A$500)+$A40-1,1)-1)</f>
        <v>3.5414421205671731E-2</v>
      </c>
      <c r="BH40" s="9">
        <f ca="1">IF(OR(BH13="",BH$28&lt;$A40),"",BH13/OFFSET(SSTotalESP!$A$2,MATCH(BH$29,SSTotalESP!$A$2:$A$500)+$A40-1,1)-1)</f>
        <v>1.3768658403794376E-3</v>
      </c>
      <c r="BI40" s="9">
        <f ca="1">IF(OR(BI13="",BI$28&lt;$A40),"",BI13/OFFSET(SSTotalESP!$A$2,MATCH(BI$29,SSTotalESP!$A$2:$A$500)+$A40-1,1)-1)</f>
        <v>-4.173787010058494E-2</v>
      </c>
      <c r="BJ40" s="9">
        <f ca="1">IF(OR(BJ13="",BJ$28&lt;$A40),"",BJ13/OFFSET(SSTotalESP!$A$2,MATCH(BJ$29,SSTotalESP!$A$2:$A$500)+$A40-1,1)-1)</f>
        <v>-3.3342047965725707E-2</v>
      </c>
      <c r="BK40" s="9">
        <f ca="1">IF(OR(BK13="",BK$28&lt;$A40),"",BK13/OFFSET(SSTotalESP!$A$2,MATCH(BK$29,SSTotalESP!$A$2:$A$500)+$A40-1,1)-1)</f>
        <v>-4.2041273984247951E-2</v>
      </c>
      <c r="BL40" s="9">
        <f ca="1">IF(OR(BL13="",BL$28&lt;$A40),"",BL13/OFFSET(SSTotalESP!$A$2,MATCH(BL$29,SSTotalESP!$A$2:$A$500)+$A40-1,1)-1)</f>
        <v>-6.1270554626218554E-2</v>
      </c>
      <c r="BM40" s="9">
        <f ca="1">IF(OR(BM13="",BM$28&lt;$A40),"",BM13/OFFSET(SSTotalESP!$A$2,MATCH(BM$29,SSTotalESP!$A$2:$A$500)+$A40-1,1)-1)</f>
        <v>-7.2415864859360912E-2</v>
      </c>
      <c r="BN40" s="9">
        <f ca="1">IF(OR(BN13="",BN$28&lt;$A40),"",BN13/OFFSET(SSTotalESP!$A$2,MATCH(BN$29,SSTotalESP!$A$2:$A$500)+$A40-1,1)-1)</f>
        <v>-4.0021201209989421E-2</v>
      </c>
      <c r="BO40" s="9">
        <f ca="1">IF(OR(BO13="",BO$28&lt;$A40),"",BO13/OFFSET(SSTotalESP!$A$2,MATCH(BO$29,SSTotalESP!$A$2:$A$500)+$A40-1,1)-1)</f>
        <v>-2.2933650646010273E-2</v>
      </c>
      <c r="BP40" s="9">
        <f ca="1">IF(OR(BP13="",BP$28&lt;$A40),"",BP13/OFFSET(SSTotalESP!$A$2,MATCH(BP$29,SSTotalESP!$A$2:$A$500)+$A40-1,1)-1)</f>
        <v>-2.4406311796001612E-2</v>
      </c>
      <c r="BQ40" s="9">
        <f ca="1">IF(OR(BQ13="",BQ$28&lt;$A40),"",BQ13/OFFSET(SSTotalESP!$A$2,MATCH(BQ$29,SSTotalESP!$A$2:$A$500)+$A40-1,1)-1)</f>
        <v>-2.4912375463469361E-2</v>
      </c>
      <c r="BR40" s="9">
        <f ca="1">IF(OR(BR13="",BR$28&lt;$A40),"",BR13/OFFSET(SSTotalESP!$A$2,MATCH(BR$29,SSTotalESP!$A$2:$A$500)+$A40-1,1)-1)</f>
        <v>2.4713528892277292E-3</v>
      </c>
      <c r="BS40" s="9">
        <f ca="1">IF(OR(BS13="",BS$28&lt;$A40),"",BS13/OFFSET(SSTotalESP!$A$2,MATCH(BS$29,SSTotalESP!$A$2:$A$500)+$A40-1,1)-1)</f>
        <v>-1.5875644122831378E-2</v>
      </c>
      <c r="BT40" s="9">
        <f ca="1">IF(OR(BT13="",BT$28&lt;$A40),"",BT13/OFFSET(SSTotalESP!$A$2,MATCH(BT$29,SSTotalESP!$A$2:$A$500)+$A40-1,1)-1)</f>
        <v>-1.0436345342457964E-2</v>
      </c>
      <c r="BU40" s="9">
        <f ca="1">IF(OR(BU13="",BU$28&lt;$A40),"",BU13/OFFSET(SSTotalESP!$A$2,MATCH(BU$29,SSTotalESP!$A$2:$A$500)+$A40-1,1)-1)</f>
        <v>-7.3922817445982725E-3</v>
      </c>
      <c r="BV40" s="9">
        <f ca="1">IF(OR(BV13="",BV$28&lt;$A40),"",BV13/OFFSET(SSTotalESP!$A$2,MATCH(BV$29,SSTotalESP!$A$2:$A$500)+$A40-1,1)-1)</f>
        <v>1.185715228936135E-2</v>
      </c>
      <c r="BW40" s="9">
        <f ca="1">IF(OR(BW13="",BW$28&lt;$A40),"",BW13/OFFSET(SSTotalESP!$A$2,MATCH(BW$29,SSTotalESP!$A$2:$A$500)+$A40-1,1)-1)</f>
        <v>-5.4814802233621451E-3</v>
      </c>
      <c r="BX40" s="9">
        <f ca="1">IF(OR(BX13="",BX$28&lt;$A40),"",BX13/OFFSET(SSTotalESP!$A$2,MATCH(BX$29,SSTotalESP!$A$2:$A$500)+$A40-1,1)-1)</f>
        <v>-1.0095288417686032E-2</v>
      </c>
      <c r="BY40" s="9">
        <f ca="1">IF(OR(BY13="",BY$28&lt;$A40),"",BY13/OFFSET(SSTotalESP!$A$2,MATCH(BY$29,SSTotalESP!$A$2:$A$500)+$A40-1,1)-1)</f>
        <v>-9.0797256819967753E-3</v>
      </c>
      <c r="BZ40" s="9">
        <f ca="1">IF(OR(BZ13="",BZ$28&lt;$A40),"",BZ13/OFFSET(SSTotalESP!$A$2,MATCH(BZ$29,SSTotalESP!$A$2:$A$500)+$A40-1,1)-1)</f>
        <v>-8.7524075889755526E-4</v>
      </c>
      <c r="CA40" s="9">
        <f ca="1">IF(OR(CA13="",CA$28&lt;$A40),"",CA13/OFFSET(SSTotalESP!$A$2,MATCH(CA$29,SSTotalESP!$A$2:$A$500)+$A40-1,1)-1)</f>
        <v>-4.9915089786801703E-3</v>
      </c>
      <c r="CB40" s="9">
        <f ca="1">IF(OR(CB13="",CB$28&lt;$A40),"",CB13/OFFSET(SSTotalESP!$A$2,MATCH(CB$29,SSTotalESP!$A$2:$A$500)+$A40-1,1)-1)</f>
        <v>-5.8104181990615844E-3</v>
      </c>
      <c r="CC40" s="9">
        <f ca="1">IF(OR(CC13="",CC$28&lt;$A40),"",CC13/OFFSET(SSTotalESP!$A$2,MATCH(CC$29,SSTotalESP!$A$2:$A$500)+$A40-1,1)-1)</f>
        <v>-5.9538355828955281E-3</v>
      </c>
      <c r="CD40" s="9">
        <f ca="1">IF(OR(CD13="",CD$28&lt;$A40),"",CD13/OFFSET(SSTotalESP!$A$2,MATCH(CD$29,SSTotalESP!$A$2:$A$500)+$A40-1,1)-1)</f>
        <v>7.5965220412363976E-3</v>
      </c>
      <c r="CE40" s="9">
        <f ca="1">IF(OR(CE13="",CE$28&lt;$A40),"",CE13/OFFSET(SSTotalESP!$A$2,MATCH(CE$29,SSTotalESP!$A$2:$A$500)+$A40-1,1)-1)</f>
        <v>5.5327671774407783E-3</v>
      </c>
      <c r="CF40" s="9">
        <f ca="1">IF(OR(CF13="",CF$28&lt;$A40),"",CF13/OFFSET(SSTotalESP!$A$2,MATCH(CF$29,SSTotalESP!$A$2:$A$500)+$A40-1,1)-1)</f>
        <v>4.6786989650666744E-3</v>
      </c>
      <c r="CG40" s="9">
        <f ca="1">IF(OR(CG13="",CG$28&lt;$A40),"",CG13/OFFSET(SSTotalESP!$A$2,MATCH(CG$29,SSTotalESP!$A$2:$A$500)+$A40-1,1)-1)</f>
        <v>5.7010578269420797E-3</v>
      </c>
      <c r="CH40" s="9">
        <f ca="1">IF(OR(CH13="",CH$28&lt;$A40),"",CH13/OFFSET(SSTotalESP!$A$2,MATCH(CH$29,SSTotalESP!$A$2:$A$500)+$A40-1,1)-1)</f>
        <v>1.8344154183150163E-2</v>
      </c>
      <c r="CI40" s="9">
        <f ca="1">IF(OR(CI13="",CI$28&lt;$A40),"",CI13/OFFSET(SSTotalESP!$A$2,MATCH(CI$29,SSTotalESP!$A$2:$A$500)+$A40-1,1)-1)</f>
        <v>1.5899046394207916E-2</v>
      </c>
      <c r="CJ40" s="9">
        <f ca="1">IF(OR(CJ13="",CJ$28&lt;$A40),"",CJ13/OFFSET(SSTotalESP!$A$2,MATCH(CJ$29,SSTotalESP!$A$2:$A$500)+$A40-1,1)-1)</f>
        <v>-2.9215743482675638E-3</v>
      </c>
      <c r="CK40" s="9">
        <f ca="1">IF(OR(CK13="",CK$28&lt;$A40),"",CK13/OFFSET(SSTotalESP!$A$2,MATCH(CK$29,SSTotalESP!$A$2:$A$500)+$A40-1,1)-1)</f>
        <v>1.743311362286426E-2</v>
      </c>
      <c r="CL40" s="9">
        <f ca="1">IF(OR(CL13="",CL$28&lt;$A40),"",CL13/OFFSET(SSTotalESP!$A$2,MATCH(CL$29,SSTotalESP!$A$2:$A$500)+$A40-1,1)-1)</f>
        <v>2.5913176149123585E-2</v>
      </c>
      <c r="CM40" s="9">
        <f ca="1">IF(OR(CM13="",CM$28&lt;$A40),"",CM13/OFFSET(SSTotalESP!$A$2,MATCH(CM$29,SSTotalESP!$A$2:$A$500)+$A40-1,1)-1)</f>
        <v>2.6300890917330344E-2</v>
      </c>
      <c r="CN40" s="9">
        <f ca="1">IF(OR(CN13="",CN$28&lt;$A40),"",CN13/OFFSET(SSTotalESP!$A$2,MATCH(CN$29,SSTotalESP!$A$2:$A$500)+$A40-1,1)-1)</f>
        <v>1.44322327983466E-2</v>
      </c>
      <c r="CO40" s="9">
        <f ca="1">IF(OR(CO13="",CO$28&lt;$A40),"",CO13/OFFSET(SSTotalESP!$A$2,MATCH(CO$29,SSTotalESP!$A$2:$A$500)+$A40-1,1)-1)</f>
        <v>1.4913169242452229E-2</v>
      </c>
      <c r="CP40" s="9">
        <f ca="1">IF(OR(CP13="",CP$28&lt;$A40),"",CP13/OFFSET(SSTotalESP!$A$2,MATCH(CP$29,SSTotalESP!$A$2:$A$500)+$A40-1,1)-1)</f>
        <v>2.0675125003570383E-2</v>
      </c>
      <c r="CQ40" s="9">
        <f ca="1">IF(OR(CQ13="",CQ$28&lt;$A40),"",CQ13/OFFSET(SSTotalESP!$A$2,MATCH(CQ$29,SSTotalESP!$A$2:$A$500)+$A40-1,1)-1)</f>
        <v>1.8412558653860822E-2</v>
      </c>
      <c r="CR40" s="9">
        <f ca="1">IF(OR(CR13="",CR$28&lt;$A40),"",CR13/OFFSET(SSTotalESP!$A$2,MATCH(CR$29,SSTotalESP!$A$2:$A$500)+$A40-1,1)-1)</f>
        <v>1.9073043898369946E-3</v>
      </c>
      <c r="CS40" s="9">
        <f ca="1">IF(OR(CS13="",CS$28&lt;$A40),"",CS13/OFFSET(SSTotalESP!$A$2,MATCH(CS$29,SSTotalESP!$A$2:$A$500)+$A40-1,1)-1)</f>
        <v>1.9481325325025889E-3</v>
      </c>
      <c r="CT40" s="9">
        <f ca="1">IF(OR(CT13="",CT$28&lt;$A40),"",CT13/OFFSET(SSTotalESP!$A$2,MATCH(CT$29,SSTotalESP!$A$2:$A$500)+$A40-1,1)-1)</f>
        <v>2.959442955390279E-2</v>
      </c>
      <c r="CU40" s="9">
        <f ca="1">IF(OR(CU13="",CU$28&lt;$A40),"",CU13/OFFSET(SSTotalESP!$A$2,MATCH(CU$29,SSTotalESP!$A$2:$A$500)+$A40-1,1)-1)</f>
        <v>1.4111319516480814E-2</v>
      </c>
      <c r="CV40" s="9">
        <f ca="1">IF(OR(CV13="",CV$28&lt;$A40),"",CV13/OFFSET(SSTotalESP!$A$2,MATCH(CV$29,SSTotalESP!$A$2:$A$500)+$A40-1,1)-1)</f>
        <v>7.8062659280691005E-3</v>
      </c>
      <c r="CW40" s="9">
        <f ca="1">IF(OR(CW13="",CW$28&lt;$A40),"",CW13/OFFSET(SSTotalESP!$A$2,MATCH(CW$29,SSTotalESP!$A$2:$A$500)+$A40-1,1)-1)</f>
        <v>1.102602480293835E-2</v>
      </c>
      <c r="CX40" s="9">
        <f ca="1">IF(OR(CX13="",CX$28&lt;$A40),"",CX13/OFFSET(SSTotalESP!$A$2,MATCH(CX$29,SSTotalESP!$A$2:$A$500)+$A40-1,1)-1)</f>
        <v>5.9048683449152151E-3</v>
      </c>
      <c r="CY40" s="9">
        <f ca="1">IF(OR(CY13="",CY$28&lt;$A40),"",CY13/OFFSET(SSTotalESP!$A$2,MATCH(CY$29,SSTotalESP!$A$2:$A$500)+$A40-1,1)-1)</f>
        <v>8.7457257003029643E-3</v>
      </c>
      <c r="CZ40" s="9">
        <f ca="1">IF(OR(CZ13="",CZ$28&lt;$A40),"",CZ13/OFFSET(SSTotalESP!$A$2,MATCH(CZ$29,SSTotalESP!$A$2:$A$500)+$A40-1,1)-1)</f>
        <v>1.7438659362379649E-2</v>
      </c>
      <c r="DA40" s="9">
        <f ca="1">IF(OR(DA13="",DA$28&lt;$A40),"",DA13/OFFSET(SSTotalESP!$A$2,MATCH(DA$29,SSTotalESP!$A$2:$A$500)+$A40-1,1)-1)</f>
        <v>-2.2739923579517818E-4</v>
      </c>
      <c r="DB40" s="9">
        <f ca="1">IF(OR(DB13="",DB$28&lt;$A40),"",DB13/OFFSET(SSTotalESP!$A$2,MATCH(DB$29,SSTotalESP!$A$2:$A$500)+$A40-1,1)-1)</f>
        <v>5.2008044001039533E-3</v>
      </c>
      <c r="DC40" s="9">
        <f ca="1">IF(OR(DC13="",DC$28&lt;$A40),"",DC13/OFFSET(SSTotalESP!$A$2,MATCH(DC$29,SSTotalESP!$A$2:$A$500)+$A40-1,1)-1)</f>
        <v>1.3169087769491217E-3</v>
      </c>
      <c r="DD40" s="9">
        <f ca="1">IF(OR(DD13="",DD$28&lt;$A40),"",DD13/OFFSET(SSTotalESP!$A$2,MATCH(DD$29,SSTotalESP!$A$2:$A$500)+$A40-1,1)-1)</f>
        <v>-5.4597798393062336E-3</v>
      </c>
      <c r="DE40" s="9">
        <f ca="1">IF(OR(DE13="",DE$28&lt;$A40),"",DE13/OFFSET(SSTotalESP!$A$2,MATCH(DE$29,SSTotalESP!$A$2:$A$500)+$A40-1,1)-1)</f>
        <v>-4.2968569447916938E-2</v>
      </c>
      <c r="DF40" s="9">
        <f ca="1">IF(OR(DF13="",DF$28&lt;$A40),"",DF13/OFFSET(SSTotalESP!$A$2,MATCH(DF$29,SSTotalESP!$A$2:$A$500)+$A40-1,1)-1)</f>
        <v>-3.6141763823845485E-2</v>
      </c>
      <c r="DG40" s="9">
        <f ca="1">IF(OR(DG13="",DG$28&lt;$A40),"",DG13/OFFSET(SSTotalESP!$A$2,MATCH(DG$29,SSTotalESP!$A$2:$A$500)+$A40-1,1)-1)</f>
        <v>-3.6477078802674034E-2</v>
      </c>
      <c r="DH40" s="9">
        <f ca="1">IF(OR(DH13="",DH$28&lt;$A40),"",DH13/OFFSET(SSTotalESP!$A$2,MATCH(DH$29,SSTotalESP!$A$2:$A$500)+$A40-1,1)-1)</f>
        <v>-3.7049700847326283E-2</v>
      </c>
      <c r="DI40" s="9">
        <f ca="1">IF(OR(DI13="",DI$28&lt;$A40),"",DI13/OFFSET(SSTotalESP!$A$2,MATCH(DI$29,SSTotalESP!$A$2:$A$500)+$A40-1,1)-1)</f>
        <v>-3.8846572474432572E-2</v>
      </c>
      <c r="DJ40" s="9">
        <f ca="1">IF(OR(DJ13="",DJ$28&lt;$A40),"",DJ13/OFFSET(SSTotalESP!$A$2,MATCH(DJ$29,SSTotalESP!$A$2:$A$500)+$A40-1,1)-1)</f>
        <v>-3.9190106627214227E-2</v>
      </c>
      <c r="DK40" s="9">
        <f ca="1">IF(OR(DK13="",DK$28&lt;$A40),"",DK13/OFFSET(SSTotalESP!$A$2,MATCH(DK$29,SSTotalESP!$A$2:$A$500)+$A40-1,1)-1)</f>
        <v>-3.1815527891823403E-2</v>
      </c>
      <c r="DL40" s="9">
        <f ca="1">IF(OR(DL13="",DL$28&lt;$A40),"",DL13/OFFSET(SSTotalESP!$A$2,MATCH(DL$29,SSTotalESP!$A$2:$A$500)+$A40-1,1)-1)</f>
        <v>-4.0193772372686953E-2</v>
      </c>
      <c r="DM40" s="9">
        <f ca="1">IF(OR(DM13="",DM$28&lt;$A40),"",DM13/OFFSET(SSTotalESP!$A$2,MATCH(DM$29,SSTotalESP!$A$2:$A$500)+$A40-1,1)-1)</f>
        <v>-4.3421186364310804E-2</v>
      </c>
      <c r="DN40" s="9">
        <f ca="1">IF(OR(DN13="",DN$28&lt;$A40),"",DN13/OFFSET(SSTotalESP!$A$2,MATCH(DN$29,SSTotalESP!$A$2:$A$500)+$A40-1,1)-1)</f>
        <v>-3.3887016667804803E-2</v>
      </c>
      <c r="DO40" s="9">
        <f ca="1">IF(OR(DO13="",DO$28&lt;$A40),"",DO13/OFFSET(SSTotalESP!$A$2,MATCH(DO$29,SSTotalESP!$A$2:$A$500)+$A40-1,1)-1)</f>
        <v>-2.8277708391331702E-2</v>
      </c>
      <c r="DP40" s="9">
        <f ca="1">IF(OR(DP13="",DP$28&lt;$A40),"",DP13/OFFSET(SSTotalESP!$A$2,MATCH(DP$29,SSTotalESP!$A$2:$A$500)+$A40-1,1)-1)</f>
        <v>-1.4442760232871721E-2</v>
      </c>
      <c r="DQ40" s="9">
        <f ca="1">IF(OR(DQ13="",DQ$28&lt;$A40),"",DQ13/OFFSET(SSTotalESP!$A$2,MATCH(DQ$29,SSTotalESP!$A$2:$A$500)+$A40-1,1)-1)</f>
        <v>-1.4274669968726394E-2</v>
      </c>
      <c r="DR40" s="9">
        <f ca="1">IF(OR(DR13="",DR$28&lt;$A40),"",DR13/OFFSET(SSTotalESP!$A$2,MATCH(DR$29,SSTotalESP!$A$2:$A$500)+$A40-1,1)-1)</f>
        <v>-3.8317511622742995E-4</v>
      </c>
      <c r="DS40" s="9">
        <f ca="1">IF(OR(DS13="",DS$28&lt;$A40),"",DS13/OFFSET(SSTotalESP!$A$2,MATCH(DS$29,SSTotalESP!$A$2:$A$500)+$A40-1,1)-1)</f>
        <v>-1.6361769678143068E-2</v>
      </c>
      <c r="DT40" s="9">
        <f ca="1">IF(OR(DT13="",DT$28&lt;$A40),"",DT13/OFFSET(SSTotalESP!$A$2,MATCH(DT$29,SSTotalESP!$A$2:$A$500)+$A40-1,1)-1)</f>
        <v>-1.5273148919764501E-2</v>
      </c>
      <c r="DU40" s="9">
        <f ca="1">IF(OR(DU13="",DU$28&lt;$A40),"",DU13/OFFSET(SSTotalESP!$A$2,MATCH(DU$29,SSTotalESP!$A$2:$A$500)+$A40-1,1)-1)</f>
        <v>-1.794025432380808E-2</v>
      </c>
      <c r="DV40" s="9">
        <f ca="1">IF(OR(DV13="",DV$28&lt;$A40),"",DV13/OFFSET(SSTotalESP!$A$2,MATCH(DV$29,SSTotalESP!$A$2:$A$500)+$A40-1,1)-1)</f>
        <v>-1.0816943700724946E-2</v>
      </c>
      <c r="DW40" s="9">
        <f ca="1">IF(OR(DW13="",DW$28&lt;$A40),"",DW13/OFFSET(SSTotalESP!$A$2,MATCH(DW$29,SSTotalESP!$A$2:$A$500)+$A40-1,1)-1)</f>
        <v>-1.1366717922000946E-2</v>
      </c>
      <c r="DX40" s="9">
        <f ca="1">IF(OR(DX13="",DX$28&lt;$A40),"",DX13/OFFSET(SSTotalESP!$A$2,MATCH(DX$29,SSTotalESP!$A$2:$A$500)+$A40-1,1)-1)</f>
        <v>-2.2670559275657309E-2</v>
      </c>
      <c r="DY40" s="9">
        <f ca="1">IF(OR(DY13="",DY$28&lt;$A40),"",DY13/OFFSET(SSTotalESP!$A$2,MATCH(DY$29,SSTotalESP!$A$2:$A$500)+$A40-1,1)-1)</f>
        <v>-2.0385911803567192E-2</v>
      </c>
      <c r="DZ40" s="9">
        <f ca="1">IF(OR(DZ13="",DZ$28&lt;$A40),"",DZ13/OFFSET(SSTotalESP!$A$2,MATCH(DZ$29,SSTotalESP!$A$2:$A$500)+$A40-1,1)-1)</f>
        <v>-2.4077055398339597E-2</v>
      </c>
      <c r="EA40" s="9">
        <f ca="1">IF(OR(EA13="",EA$28&lt;$A40),"",EA13/OFFSET(SSTotalESP!$A$2,MATCH(EA$29,SSTotalESP!$A$2:$A$500)+$A40-1,1)-1)</f>
        <v>-1.3240841736629094E-2</v>
      </c>
      <c r="EB40" s="9">
        <f ca="1">IF(OR(EB13="",EB$28&lt;$A40),"",EB13/OFFSET(SSTotalESP!$A$2,MATCH(EB$29,SSTotalESP!$A$2:$A$500)+$A40-1,1)-1)</f>
        <v>-1.9594441859573486E-2</v>
      </c>
      <c r="EC40" s="9">
        <f ca="1">IF(OR(EC13="",EC$28&lt;$A40),"",EC13/OFFSET(SSTotalESP!$A$2,MATCH(EC$29,SSTotalESP!$A$2:$A$500)+$A40-1,1)-1)</f>
        <v>5.257234131457178E-4</v>
      </c>
      <c r="ED40" s="9">
        <f ca="1">IF(OR(ED13="",ED$28&lt;$A40),"",ED13/OFFSET(SSTotalESP!$A$2,MATCH(ED$29,SSTotalESP!$A$2:$A$500)+$A40-1,1)-1)</f>
        <v>4.1508573237305502E-3</v>
      </c>
      <c r="EE40" s="9">
        <f ca="1">IF(OR(EE13="",EE$28&lt;$A40),"",EE13/OFFSET(SSTotalESP!$A$2,MATCH(EE$29,SSTotalESP!$A$2:$A$500)+$A40-1,1)-1)</f>
        <v>-1.4571898389316718E-2</v>
      </c>
      <c r="EF40" s="9">
        <f ca="1">IF(OR(EF13="",EF$28&lt;$A40),"",EF13/OFFSET(SSTotalESP!$A$2,MATCH(EF$29,SSTotalESP!$A$2:$A$500)+$A40-1,1)-1)</f>
        <v>3.7504777489116847E-4</v>
      </c>
      <c r="EG40" s="9">
        <f ca="1">IF(OR(EG13="",EG$28&lt;$A40),"",EG13/OFFSET(SSTotalESP!$A$2,MATCH(EG$29,SSTotalESP!$A$2:$A$500)+$A40-1,1)-1)</f>
        <v>1.5875472629500953E-2</v>
      </c>
      <c r="EH40" s="9">
        <f ca="1">IF(OR(EH13="",EH$28&lt;$A40),"",EH13/OFFSET(SSTotalESP!$A$2,MATCH(EH$29,SSTotalESP!$A$2:$A$500)+$A40-1,1)-1)</f>
        <v>1.70865139969405E-2</v>
      </c>
      <c r="EI40" s="9">
        <f ca="1">IF(OR(EI13="",EI$28&lt;$A40),"",EI13/OFFSET(SSTotalESP!$A$2,MATCH(EI$29,SSTotalESP!$A$2:$A$500)+$A40-1,1)-1)</f>
        <v>1.2480218048163572E-2</v>
      </c>
      <c r="EJ40" s="9">
        <f ca="1">IF(OR(EJ13="",EJ$28&lt;$A40),"",EJ13/OFFSET(SSTotalESP!$A$2,MATCH(EJ$29,SSTotalESP!$A$2:$A$500)+$A40-1,1)-1)</f>
        <v>-3.9707975788486616E-3</v>
      </c>
      <c r="EK40" s="9">
        <f ca="1">IF(OR(EK13="",EK$28&lt;$A40),"",EK13/OFFSET(SSTotalESP!$A$2,MATCH(EK$29,SSTotalESP!$A$2:$A$500)+$A40-1,1)-1)</f>
        <v>-3.78920894991297E-3</v>
      </c>
      <c r="EL40" s="9">
        <f ca="1">IF(OR(EL13="",EL$28&lt;$A40),"",EL13/OFFSET(SSTotalESP!$A$2,MATCH(EL$29,SSTotalESP!$A$2:$A$500)+$A40-1,1)-1)</f>
        <v>-2.0715078273763954E-2</v>
      </c>
      <c r="EM40" s="9">
        <f ca="1">IF(OR(EM13="",EM$28&lt;$A40),"",EM13/OFFSET(SSTotalESP!$A$2,MATCH(EM$29,SSTotalESP!$A$2:$A$500)+$A40-1,1)-1)</f>
        <v>-9.0967681707297965E-3</v>
      </c>
      <c r="EN40" s="9">
        <f ca="1">IF(OR(EN13="",EN$28&lt;$A40),"",EN13/OFFSET(SSTotalESP!$A$2,MATCH(EN$29,SSTotalESP!$A$2:$A$500)+$A40-1,1)-1)</f>
        <v>-7.557753424203395E-3</v>
      </c>
      <c r="EO40" s="9">
        <f ca="1">IF(OR(EO13="",EO$28&lt;$A40),"",EO13/OFFSET(SSTotalESP!$A$2,MATCH(EO$29,SSTotalESP!$A$2:$A$500)+$A40-1,1)-1)</f>
        <v>-6.3422158875169332E-3</v>
      </c>
      <c r="EP40" s="9">
        <f ca="1">IF(OR(EP13="",EP$28&lt;$A40),"",EP13/OFFSET(SSTotalESP!$A$2,MATCH(EP$29,SSTotalESP!$A$2:$A$500)+$A40-1,1)-1)</f>
        <v>-6.4448310042886092E-4</v>
      </c>
      <c r="EQ40" s="9">
        <f ca="1">IF(OR(EQ13="",EQ$28&lt;$A40),"",EQ13/OFFSET(SSTotalESP!$A$2,MATCH(EQ$29,SSTotalESP!$A$2:$A$500)+$A40-1,1)-1)</f>
        <v>-8.7928319504724239E-3</v>
      </c>
      <c r="ER40" s="9">
        <f ca="1">IF(OR(ER13="",ER$28&lt;$A40),"",ER13/OFFSET(SSTotalESP!$A$2,MATCH(ER$29,SSTotalESP!$A$2:$A$500)+$A40-1,1)-1)</f>
        <v>-1.3493727287782087E-2</v>
      </c>
      <c r="ES40" s="9">
        <f ca="1">IF(OR(ES13="",ES$28&lt;$A40),"",ES13/OFFSET(SSTotalESP!$A$2,MATCH(ES$29,SSTotalESP!$A$2:$A$500)+$A40-1,1)-1)</f>
        <v>-8.6259574434871533E-3</v>
      </c>
      <c r="ET40" s="9">
        <f ca="1">IF(OR(ET13="",ET$28&lt;$A40),"",ET13/OFFSET(SSTotalESP!$A$2,MATCH(ET$29,SSTotalESP!$A$2:$A$500)+$A40-1,1)-1)</f>
        <v>-9.9559146234778906E-3</v>
      </c>
      <c r="EU40" s="9">
        <f ca="1">IF(OR(EU13="",EU$28&lt;$A40),"",EU13/OFFSET(SSTotalESP!$A$2,MATCH(EU$29,SSTotalESP!$A$2:$A$500)+$A40-1,1)-1)</f>
        <v>-1.2450093265656159E-2</v>
      </c>
      <c r="EV40" s="9">
        <f ca="1">IF(OR(EV13="",EV$28&lt;$A40),"",EV13/OFFSET(SSTotalESP!$A$2,MATCH(EV$29,SSTotalESP!$A$2:$A$500)+$A40-1,1)-1)</f>
        <v>-5.420217165223562E-3</v>
      </c>
      <c r="EW40" s="9">
        <f ca="1">IF(OR(EW13="",EW$28&lt;$A40),"",EW13/OFFSET(SSTotalESP!$A$2,MATCH(EW$29,SSTotalESP!$A$2:$A$500)+$A40-1,1)-1)</f>
        <v>-6.8097339821356906E-3</v>
      </c>
      <c r="EX40" s="9">
        <f ca="1">IF(OR(EX13="",EX$28&lt;$A40),"",EX13/OFFSET(SSTotalESP!$A$2,MATCH(EX$29,SSTotalESP!$A$2:$A$500)+$A40-1,1)-1)</f>
        <v>-1.6329165951779023E-2</v>
      </c>
      <c r="EY40" s="9">
        <f ca="1">IF(OR(EY13="",EY$28&lt;$A40),"",EY13/OFFSET(SSTotalESP!$A$2,MATCH(EY$29,SSTotalESP!$A$2:$A$500)+$A40-1,1)-1)</f>
        <v>-1.0807138303592256E-2</v>
      </c>
      <c r="EZ40" s="9">
        <f ca="1">IF(OR(EZ13="",EZ$28&lt;$A40),"",EZ13/OFFSET(SSTotalESP!$A$2,MATCH(EZ$29,SSTotalESP!$A$2:$A$500)+$A40-1,1)-1)</f>
        <v>4.6337496512571796E-3</v>
      </c>
      <c r="FA40" s="9">
        <f ca="1">IF(OR(FA13="",FA$28&lt;$A40),"",FA13/OFFSET(SSTotalESP!$A$2,MATCH(FA$29,SSTotalESP!$A$2:$A$500)+$A40-1,1)-1)</f>
        <v>-1.0869527658476041E-2</v>
      </c>
      <c r="FB40" s="9">
        <f ca="1">IF(OR(FB13="",FB$28&lt;$A40),"",FB13/OFFSET(SSTotalESP!$A$2,MATCH(FB$29,SSTotalESP!$A$2:$A$500)+$A40-1,1)-1)</f>
        <v>-9.2061245600485453E-3</v>
      </c>
      <c r="FC40" s="9">
        <f ca="1">IF(OR(FC13="",FC$28&lt;$A40),"",FC13/OFFSET(SSTotalESP!$A$2,MATCH(FC$29,SSTotalESP!$A$2:$A$500)+$A40-1,1)-1)</f>
        <v>-5.9145353864022976E-3</v>
      </c>
      <c r="FD40" s="9">
        <f ca="1">IF(OR(FD13="",FD$28&lt;$A40),"",FD13/OFFSET(SSTotalESP!$A$2,MATCH(FD$29,SSTotalESP!$A$2:$A$500)+$A40-1,1)-1)</f>
        <v>-6.0871838516586285E-3</v>
      </c>
      <c r="FE40" s="9">
        <f ca="1">IF(OR(FE13="",FE$28&lt;$A40),"",FE13/OFFSET(SSTotalESP!$A$2,MATCH(FE$29,SSTotalESP!$A$2:$A$500)+$A40-1,1)-1)</f>
        <v>1.0303042756021341E-3</v>
      </c>
      <c r="FF40" s="9">
        <f ca="1">IF(OR(FF13="",FF$28&lt;$A40),"",FF13/OFFSET(SSTotalESP!$A$2,MATCH(FF$29,SSTotalESP!$A$2:$A$500)+$A40-1,1)-1)</f>
        <v>1.2029896295209452E-2</v>
      </c>
      <c r="FG40" s="9">
        <f ca="1">IF(OR(FG13="",FG$28&lt;$A40),"",FG13/OFFSET(SSTotalESP!$A$2,MATCH(FG$29,SSTotalESP!$A$2:$A$500)+$A40-1,1)-1)</f>
        <v>7.5430628070984884E-3</v>
      </c>
      <c r="FH40" s="9">
        <f ca="1">IF(OR(FH13="",FH$28&lt;$A40),"",FH13/OFFSET(SSTotalESP!$A$2,MATCH(FH$29,SSTotalESP!$A$2:$A$500)+$A40-1,1)-1)</f>
        <v>2.9794972609036297E-3</v>
      </c>
      <c r="FI40" s="9">
        <f ca="1">IF(OR(FI13="",FI$28&lt;$A40),"",FI13/OFFSET(SSTotalESP!$A$2,MATCH(FI$29,SSTotalESP!$A$2:$A$500)+$A40-1,1)-1)</f>
        <v>-4.1484760914028973E-3</v>
      </c>
      <c r="FJ40" s="9">
        <f ca="1">IF(OR(FJ13="",FJ$28&lt;$A40),"",FJ13/OFFSET(SSTotalESP!$A$2,MATCH(FJ$29,SSTotalESP!$A$2:$A$500)+$A40-1,1)-1)</f>
        <v>-1.6465902575827251E-2</v>
      </c>
      <c r="FK40" s="9">
        <f ca="1">IF(OR(FK13="",FK$28&lt;$A40),"",FK13/OFFSET(SSTotalESP!$A$2,MATCH(FK$29,SSTotalESP!$A$2:$A$500)+$A40-1,1)-1)</f>
        <v>-1.8511294471637019E-3</v>
      </c>
      <c r="FL40" s="9">
        <f ca="1">IF(OR(FL13="",FL$28&lt;$A40),"",FL13/OFFSET(SSTotalESP!$A$2,MATCH(FL$29,SSTotalESP!$A$2:$A$500)+$A40-1,1)-1)</f>
        <v>3.7357110686326855E-3</v>
      </c>
      <c r="FM40" s="9">
        <f ca="1">IF(OR(FM13="",FM$28&lt;$A40),"",FM13/OFFSET(SSTotalESP!$A$2,MATCH(FM$29,SSTotalESP!$A$2:$A$500)+$A40-1,1)-1)</f>
        <v>6.9789998630254146E-4</v>
      </c>
      <c r="FN40" s="9">
        <f ca="1">IF(OR(FN13="",FN$28&lt;$A40),"",FN13/OFFSET(SSTotalESP!$A$2,MATCH(FN$29,SSTotalESP!$A$2:$A$500)+$A40-1,1)-1)</f>
        <v>-4.2478698358295874E-3</v>
      </c>
      <c r="FO40" s="9">
        <f ca="1">IF(OR(FO13="",FO$28&lt;$A40),"",FO13/OFFSET(SSTotalESP!$A$2,MATCH(FO$29,SSTotalESP!$A$2:$A$500)+$A40-1,1)-1)</f>
        <v>-3.5602901831885969E-3</v>
      </c>
      <c r="FP40" s="9">
        <f ca="1">IF(OR(FP13="",FP$28&lt;$A40),"",FP13/OFFSET(SSTotalESP!$A$2,MATCH(FP$29,SSTotalESP!$A$2:$A$500)+$A40-1,1)-1)</f>
        <v>-3.7212785650453384E-4</v>
      </c>
      <c r="FQ40" s="9">
        <f ca="1">IF(OR(FQ13="",FQ$28&lt;$A40),"",FQ13/OFFSET(SSTotalESP!$A$2,MATCH(FQ$29,SSTotalESP!$A$2:$A$500)+$A40-1,1)-1)</f>
        <v>-2.5070521709023019E-3</v>
      </c>
      <c r="FR40" s="9">
        <f ca="1">IF(OR(FR13="",FR$28&lt;$A40),"",FR13/OFFSET(SSTotalESP!$A$2,MATCH(FR$29,SSTotalESP!$A$2:$A$500)+$A40-1,1)-1)</f>
        <v>-3.8035340330767609E-3</v>
      </c>
      <c r="FS40" s="9">
        <f ca="1">IF(OR(FS13="",FS$28&lt;$A40),"",FS13/OFFSET(SSTotalESP!$A$2,MATCH(FS$29,SSTotalESP!$A$2:$A$500)+$A40-1,1)-1)</f>
        <v>3.7368892667419829E-3</v>
      </c>
      <c r="FT40" s="9">
        <f ca="1">IF(OR(FT13="",FT$28&lt;$A40),"",FT13/OFFSET(SSTotalESP!$A$2,MATCH(FT$29,SSTotalESP!$A$2:$A$500)+$A40-1,1)-1)</f>
        <v>2.1082550688087398E-3</v>
      </c>
      <c r="FU40" s="9">
        <f ca="1">IF(OR(FU13="",FU$28&lt;$A40),"",FU13/OFFSET(SSTotalESP!$A$2,MATCH(FU$29,SSTotalESP!$A$2:$A$500)+$A40-1,1)-1)</f>
        <v>-4.7600644860125163E-3</v>
      </c>
      <c r="FV40" s="9">
        <f ca="1">IF(OR(FV13="",FV$28&lt;$A40),"",FV13/OFFSET(SSTotalESP!$A$2,MATCH(FV$29,SSTotalESP!$A$2:$A$500)+$A40-1,1)-1)</f>
        <v>-1.5046629076552187E-2</v>
      </c>
      <c r="FW40" s="9">
        <f ca="1">IF(OR(FW13="",FW$28&lt;$A40),"",FW13/OFFSET(SSTotalESP!$A$2,MATCH(FW$29,SSTotalESP!$A$2:$A$500)+$A40-1,1)-1)</f>
        <v>-4.6590432996593822E-3</v>
      </c>
      <c r="FX40" s="9">
        <f ca="1">IF(OR(FX13="",FX$28&lt;$A40),"",FX13/OFFSET(SSTotalESP!$A$2,MATCH(FX$29,SSTotalESP!$A$2:$A$500)+$A40-1,1)-1)</f>
        <v>1.3050507793609611E-2</v>
      </c>
      <c r="FY40" s="9">
        <f ca="1">IF(OR(FY13="",FY$28&lt;$A40),"",FY13/OFFSET(SSTotalESP!$A$2,MATCH(FY$29,SSTotalESP!$A$2:$A$500)+$A40-1,1)-1)</f>
        <v>-3.1027448675317038E-3</v>
      </c>
      <c r="FZ40" s="9">
        <f ca="1">IF(OR(FZ13="",FZ$28&lt;$A40),"",FZ13/OFFSET(SSTotalESP!$A$2,MATCH(FZ$29,SSTotalESP!$A$2:$A$500)+$A40-1,1)-1)</f>
        <v>9.6022227712966313E-3</v>
      </c>
      <c r="GA40" s="9">
        <f ca="1">IF(OR(GA13="",GA$28&lt;$A40),"",GA13/OFFSET(SSTotalESP!$A$2,MATCH(GA$29,SSTotalESP!$A$2:$A$500)+$A40-1,1)-1)</f>
        <v>3.6514975513446402E-4</v>
      </c>
      <c r="GB40" s="9">
        <f ca="1">IF(OR(GB13="",GB$28&lt;$A40),"",GB13/OFFSET(SSTotalESP!$A$2,MATCH(GB$29,SSTotalESP!$A$2:$A$500)+$A40-1,1)-1)</f>
        <v>2.588562578135889E-3</v>
      </c>
      <c r="GC40" s="9">
        <f ca="1">IF(OR(GC13="",GC$28&lt;$A40),"",GC13/OFFSET(SSTotalESP!$A$2,MATCH(GC$29,SSTotalESP!$A$2:$A$500)+$A40-1,1)-1)</f>
        <v>9.0897658725130892E-3</v>
      </c>
      <c r="GD40" s="9">
        <f ca="1">IF(OR(GD13="",GD$28&lt;$A40),"",GD13/OFFSET(SSTotalESP!$A$2,MATCH(GD$29,SSTotalESP!$A$2:$A$500)+$A40-1,1)-1)</f>
        <v>3.1181034173909605E-2</v>
      </c>
      <c r="GE40" s="9">
        <f ca="1">IF(OR(GE13="",GE$28&lt;$A40),"",GE13/OFFSET(SSTotalESP!$A$2,MATCH(GE$29,SSTotalESP!$A$2:$A$500)+$A40-1,1)-1)</f>
        <v>6.741958243625179E-2</v>
      </c>
      <c r="GF40" s="9">
        <f ca="1">IF(OR(GF13="",GF$28&lt;$A40),"",GF13/OFFSET(SSTotalESP!$A$2,MATCH(GF$29,SSTotalESP!$A$2:$A$500)+$A40-1,1)-1)</f>
        <v>7.2546656731729886E-2</v>
      </c>
      <c r="GG40" s="9">
        <f ca="1">IF(OR(GG13="",GG$28&lt;$A40),"",GG13/OFFSET(SSTotalESP!$A$2,MATCH(GG$29,SSTotalESP!$A$2:$A$500)+$A40-1,1)-1)</f>
        <v>6.6673364830136528E-2</v>
      </c>
      <c r="GH40" s="9">
        <f ca="1">IF(OR(GH13="",GH$28&lt;$A40),"",GH13/OFFSET(SSTotalESP!$A$2,MATCH(GH$29,SSTotalESP!$A$2:$A$500)+$A40-1,1)-1)</f>
        <v>5.0150574660252412E-2</v>
      </c>
      <c r="GI40" s="9">
        <f ca="1">IF(OR(GI13="",GI$28&lt;$A40),"",GI13/OFFSET(SSTotalESP!$A$2,MATCH(GI$29,SSTotalESP!$A$2:$A$500)+$A40-1,1)-1)</f>
        <v>4.1709729858705247E-2</v>
      </c>
      <c r="GJ40" s="9">
        <f ca="1">IF(OR(GJ13="",GJ$28&lt;$A40),"",GJ13/OFFSET(SSTotalESP!$A$2,MATCH(GJ$29,SSTotalESP!$A$2:$A$500)+$A40-1,1)-1)</f>
        <v>4.430838268343007E-2</v>
      </c>
      <c r="GK40" s="9">
        <f ca="1">IF(OR(GK13="",GK$28&lt;$A40),"",GK13/OFFSET(SSTotalESP!$A$2,MATCH(GK$29,SSTotalESP!$A$2:$A$500)+$A40-1,1)-1)</f>
        <v>3.8026766984623928E-2</v>
      </c>
      <c r="GL40" s="9">
        <f ca="1">IF(OR(GL13="",GL$28&lt;$A40),"",GL13/OFFSET(SSTotalESP!$A$2,MATCH(GL$29,SSTotalESP!$A$2:$A$500)+$A40-1,1)-1)</f>
        <v>3.3029708047469075E-2</v>
      </c>
      <c r="GM40" s="9">
        <f ca="1">IF(OR(GM13="",GM$28&lt;$A40),"",GM13/OFFSET(SSTotalESP!$A$2,MATCH(GM$29,SSTotalESP!$A$2:$A$500)+$A40-1,1)-1)</f>
        <v>2.3538823289342981E-2</v>
      </c>
      <c r="GN40" s="9">
        <f ca="1">IF(OR(GN13="",GN$28&lt;$A40),"",GN13/OFFSET(SSTotalESP!$A$2,MATCH(GN$29,SSTotalESP!$A$2:$A$500)+$A40-1,1)-1)</f>
        <v>3.6048379890279092E-2</v>
      </c>
      <c r="GO40" s="9" t="str">
        <f ca="1">IF(OR(GO13="",GO$28&lt;$A40),"",GO13/OFFSET(SSTotalESP!$A$2,MATCH(GO$29,SSTotalESP!$A$2:$A$500)+$A40-1,1)-1)</f>
        <v/>
      </c>
      <c r="GP40" s="9" t="str">
        <f ca="1">IF(OR(GP13="",GP$28&lt;$A40),"",GP13/OFFSET(SSTotalESP!$A$2,MATCH(GP$29,SSTotalESP!$A$2:$A$500)+$A40-1,1)-1)</f>
        <v/>
      </c>
      <c r="GQ40" s="9" t="str">
        <f ca="1">IF(OR(GQ13="",GQ$28&lt;$A40),"",GQ13/OFFSET(SSTotalESP!$A$2,MATCH(GQ$29,SSTotalESP!$A$2:$A$500)+$A40-1,1)-1)</f>
        <v/>
      </c>
      <c r="GR40" s="9" t="str">
        <f ca="1">IF(OR(GR13="",GR$28&lt;$A40),"",GR13/OFFSET(SSTotalESP!$A$2,MATCH(GR$29,SSTotalESP!$A$2:$A$500)+$A40-1,1)-1)</f>
        <v/>
      </c>
      <c r="GS40" s="9" t="str">
        <f ca="1">IF(OR(GS13="",GS$28&lt;$A40),"",GS13/OFFSET(SSTotalESP!$A$2,MATCH(GS$29,SSTotalESP!$A$2:$A$500)+$A40-1,1)-1)</f>
        <v/>
      </c>
      <c r="GT40" s="9" t="str">
        <f ca="1">IF(OR(GT13="",GT$28&lt;$A40),"",GT13/OFFSET(SSTotalESP!$A$2,MATCH(GT$29,SSTotalESP!$A$2:$A$500)+$A40-1,1)-1)</f>
        <v/>
      </c>
      <c r="GU40" s="9" t="str">
        <f ca="1">IF(OR(GU13="",GU$28&lt;$A40),"",GU13/OFFSET(SSTotalESP!$A$2,MATCH(GU$29,SSTotalESP!$A$2:$A$500)+$A40-1,1)-1)</f>
        <v/>
      </c>
      <c r="GV40" s="9" t="str">
        <f ca="1">IF(OR(GV13="",GV$28&lt;$A40),"",GV13/OFFSET(SSTotalESP!$A$2,MATCH(GV$29,SSTotalESP!$A$2:$A$500)+$A40-1,1)-1)</f>
        <v/>
      </c>
      <c r="GW40" s="9" t="str">
        <f ca="1">IF(OR(GW13="",GW$28&lt;$A40),"",GW13/OFFSET(SSTotalESP!$A$2,MATCH(GW$29,SSTotalESP!$A$2:$A$500)+$A40-1,1)-1)</f>
        <v/>
      </c>
      <c r="GX40" s="9" t="str">
        <f ca="1">IF(OR(GX13="",GX$28&lt;$A40),"",GX13/OFFSET(SSTotalESP!$A$2,MATCH(GX$29,SSTotalESP!$A$2:$A$500)+$A40-1,1)-1)</f>
        <v/>
      </c>
      <c r="GY40" s="9" t="str">
        <f ca="1">IF(OR(GY13="",GY$28&lt;$A40),"",GY13/OFFSET(SSTotalESP!$A$2,MATCH(GY$29,SSTotalESP!$A$2:$A$500)+$A40-1,1)-1)</f>
        <v/>
      </c>
      <c r="GZ40" s="9" t="str">
        <f ca="1">IF(OR(GZ13="",GZ$28&lt;$A40),"",GZ13/OFFSET(SSTotalESP!$A$2,MATCH(GZ$29,SSTotalESP!$A$2:$A$500)+$A40-1,1)-1)</f>
        <v/>
      </c>
      <c r="HA40" s="9" t="str">
        <f ca="1">IF(OR(HA13="",HA$28&lt;$A40),"",HA13/OFFSET(SSTotalESP!$A$2,MATCH(HA$29,SSTotalESP!$A$2:$A$500)+$A40-1,1)-1)</f>
        <v/>
      </c>
      <c r="HB40" s="9" t="str">
        <f ca="1">IF(OR(HB13="",HB$28&lt;$A40),"",HB13/OFFSET(SSTotalESP!$A$2,MATCH(HB$29,SSTotalESP!$A$2:$A$500)+$A40-1,1)-1)</f>
        <v/>
      </c>
      <c r="HC40" s="9" t="str">
        <f ca="1">IF(OR(HC13="",HC$28&lt;$A40),"",HC13/OFFSET(SSTotalESP!$A$2,MATCH(HC$29,SSTotalESP!$A$2:$A$500)+$A40-1,1)-1)</f>
        <v/>
      </c>
      <c r="HD40" s="9" t="str">
        <f ca="1">IF(OR(HD13="",HD$28&lt;$A40),"",HD13/OFFSET(SSTotalESP!$A$2,MATCH(HD$29,SSTotalESP!$A$2:$A$500)+$A40-1,1)-1)</f>
        <v/>
      </c>
      <c r="HE40" s="9" t="str">
        <f ca="1">IF(OR(HE13="",HE$28&lt;$A40),"",HE13/OFFSET(SSTotalESP!$A$2,MATCH(HE$29,SSTotalESP!$A$2:$A$500)+$A40-1,1)-1)</f>
        <v/>
      </c>
      <c r="HF40" s="9" t="str">
        <f ca="1">IF(OR(HF13="",HF$28&lt;$A40),"",HF13/OFFSET(SSTotalESP!$A$2,MATCH(HF$29,SSTotalESP!$A$2:$A$500)+$A40-1,1)-1)</f>
        <v/>
      </c>
      <c r="HG40" s="9" t="str">
        <f ca="1">IF(OR(HG13="",HG$28&lt;$A40),"",HG13/OFFSET(SSTotalESP!$A$2,MATCH(HG$29,SSTotalESP!$A$2:$A$500)+$A40-1,1)-1)</f>
        <v/>
      </c>
      <c r="HH40" s="9" t="str">
        <f ca="1">IF(OR(HH13="",HH$28&lt;$A40),"",HH13/OFFSET(SSTotalESP!$A$2,MATCH(HH$29,SSTotalESP!$A$2:$A$500)+$A40-1,1)-1)</f>
        <v/>
      </c>
      <c r="HI40" s="9" t="str">
        <f ca="1">IF(OR(HI13="",HI$28&lt;$A40),"",HI13/OFFSET(SSTotalESP!$A$2,MATCH(HI$29,SSTotalESP!$A$2:$A$500)+$A40-1,1)-1)</f>
        <v/>
      </c>
      <c r="HJ40" s="9" t="str">
        <f ca="1">IF(OR(HJ13="",HJ$28&lt;$A40),"",HJ13/OFFSET(SSTotalESP!$A$2,MATCH(HJ$29,SSTotalESP!$A$2:$A$500)+$A40-1,1)-1)</f>
        <v/>
      </c>
      <c r="HK40" s="9" t="str">
        <f ca="1">IF(OR(HK13="",HK$28&lt;$A40),"",HK13/OFFSET(SSTotalESP!$A$2,MATCH(HK$29,SSTotalESP!$A$2:$A$500)+$A40-1,1)-1)</f>
        <v/>
      </c>
      <c r="HL40" s="9" t="str">
        <f ca="1">IF(OR(HL13="",HL$28&lt;$A40),"",HL13/OFFSET(SSTotalESP!$A$2,MATCH(HL$29,SSTotalESP!$A$2:$A$500)+$A40-1,1)-1)</f>
        <v/>
      </c>
      <c r="HM40" s="9" t="str">
        <f ca="1">IF(OR(HM13="",HM$28&lt;$A40),"",HM13/OFFSET(SSTotalESP!$A$2,MATCH(HM$29,SSTotalESP!$A$2:$A$500)+$A40-1,1)-1)</f>
        <v/>
      </c>
      <c r="HN40" s="9" t="str">
        <f ca="1">IF(OR(HN13="",HN$28&lt;$A40),"",HN13/OFFSET(SSTotalESP!$A$2,MATCH(HN$29,SSTotalESP!$A$2:$A$500)+$A40-1,1)-1)</f>
        <v/>
      </c>
      <c r="HO40" s="9" t="str">
        <f ca="1">IF(OR(HO13="",HO$28&lt;$A40),"",HO13/OFFSET(SSTotalESP!$A$2,MATCH(HO$29,SSTotalESP!$A$2:$A$500)+$A40-1,1)-1)</f>
        <v/>
      </c>
      <c r="HP40" s="9" t="str">
        <f ca="1">IF(OR(HP13="",HP$28&lt;$A40),"",HP13/OFFSET(SSTotalESP!$A$2,MATCH(HP$29,SSTotalESP!$A$2:$A$500)+$A40-1,1)-1)</f>
        <v/>
      </c>
      <c r="HQ40" s="9" t="str">
        <f ca="1">IF(OR(HQ13="",HQ$28&lt;$A40),"",HQ13/OFFSET(SSTotalESP!$A$2,MATCH(HQ$29,SSTotalESP!$A$2:$A$500)+$A40-1,1)-1)</f>
        <v/>
      </c>
      <c r="HR40" s="9" t="str">
        <f ca="1">IF(OR(HR13="",HR$28&lt;$A40),"",HR13/OFFSET(SSTotalESP!$A$2,MATCH(HR$29,SSTotalESP!$A$2:$A$500)+$A40-1,1)-1)</f>
        <v/>
      </c>
      <c r="HS40" s="9" t="str">
        <f ca="1">IF(OR(HS13="",HS$28&lt;$A40),"",HS13/OFFSET(SSTotalESP!$A$2,MATCH(HS$29,SSTotalESP!$A$2:$A$500)+$A40-1,1)-1)</f>
        <v/>
      </c>
      <c r="HT40" s="9" t="str">
        <f ca="1">IF(OR(HT13="",HT$28&lt;$A40),"",HT13/OFFSET(SSTotalESP!$A$2,MATCH(HT$29,SSTotalESP!$A$2:$A$500)+$A40-1,1)-1)</f>
        <v/>
      </c>
      <c r="HU40" s="9" t="str">
        <f ca="1">IF(OR(HU13="",HU$28&lt;$A40),"",HU13/OFFSET(SSTotalESP!$A$2,MATCH(HU$29,SSTotalESP!$A$2:$A$500)+$A40-1,1)-1)</f>
        <v/>
      </c>
      <c r="HV40" s="9" t="str">
        <f ca="1">IF(OR(HV13="",HV$28&lt;$A40),"",HV13/OFFSET(SSTotalESP!$A$2,MATCH(HV$29,SSTotalESP!$A$2:$A$500)+$A40-1,1)-1)</f>
        <v/>
      </c>
      <c r="HW40" s="9" t="str">
        <f ca="1">IF(OR(HW13="",HW$28&lt;$A40),"",HW13/OFFSET(SSTotalESP!$A$2,MATCH(HW$29,SSTotalESP!$A$2:$A$500)+$A40-1,1)-1)</f>
        <v/>
      </c>
      <c r="HX40" s="9" t="str">
        <f ca="1">IF(OR(HX13="",HX$28&lt;$A40),"",HX13/OFFSET(SSTotalESP!$A$2,MATCH(HX$29,SSTotalESP!$A$2:$A$500)+$A40-1,1)-1)</f>
        <v/>
      </c>
      <c r="HY40" s="9" t="str">
        <f ca="1">IF(OR(HY13="",HY$28&lt;$A40),"",HY13/OFFSET(SSTotalESP!$A$2,MATCH(HY$29,SSTotalESP!$A$2:$A$500)+$A40-1,1)-1)</f>
        <v/>
      </c>
      <c r="HZ40" s="9" t="str">
        <f ca="1">IF(OR(HZ13="",HZ$28&lt;$A40),"",HZ13/OFFSET(SSTotalESP!$A$2,MATCH(HZ$29,SSTotalESP!$A$2:$A$500)+$A40-1,1)-1)</f>
        <v/>
      </c>
      <c r="IA40" s="9" t="str">
        <f ca="1">IF(OR(IA13="",IA$28&lt;$A40),"",IA13/OFFSET(SSTotalESP!$A$2,MATCH(IA$29,SSTotalESP!$A$2:$A$500)+$A40-1,1)-1)</f>
        <v/>
      </c>
      <c r="IB40" s="9" t="str">
        <f ca="1">IF(OR(IB13="",IB$28&lt;$A40),"",IB13/OFFSET(SSTotalESP!$A$2,MATCH(IB$29,SSTotalESP!$A$2:$A$500)+$A40-1,1)-1)</f>
        <v/>
      </c>
      <c r="IC40" s="9" t="str">
        <f ca="1">IF(OR(IC13="",IC$28&lt;$A40),"",IC13/OFFSET(SSTotalESP!$A$2,MATCH(IC$29,SSTotalESP!$A$2:$A$500)+$A40-1,1)-1)</f>
        <v/>
      </c>
      <c r="ID40" s="9" t="str">
        <f ca="1">IF(OR(ID13="",ID$28&lt;$A40),"",ID13/OFFSET(SSTotalESP!$A$2,MATCH(ID$29,SSTotalESP!$A$2:$A$500)+$A40-1,1)-1)</f>
        <v/>
      </c>
      <c r="IE40" s="9" t="str">
        <f ca="1">IF(OR(IE13="",IE$28&lt;$A40),"",IE13/OFFSET(SSTotalESP!$A$2,MATCH(IE$29,SSTotalESP!$A$2:$A$500)+$A40-1,1)-1)</f>
        <v/>
      </c>
      <c r="IF40" s="9" t="str">
        <f ca="1">IF(OR(IF13="",IF$28&lt;$A40),"",IF13/OFFSET(SSTotalESP!$A$2,MATCH(IF$29,SSTotalESP!$A$2:$A$500)+$A40-1,1)-1)</f>
        <v/>
      </c>
      <c r="IG40" s="9" t="str">
        <f ca="1">IF(OR(IG13="",IG$28&lt;$A40),"",IG13/OFFSET(SSTotalESP!$A$2,MATCH(IG$29,SSTotalESP!$A$2:$A$500)+$A40-1,1)-1)</f>
        <v/>
      </c>
      <c r="IH40" s="9" t="str">
        <f ca="1">IF(OR(IH13="",IH$28&lt;$A40),"",IH13/OFFSET(SSTotalESP!$A$2,MATCH(IH$29,SSTotalESP!$A$2:$A$500)+$A40-1,1)-1)</f>
        <v/>
      </c>
      <c r="II40" s="9" t="str">
        <f ca="1">IF(OR(II13="",II$28&lt;$A40),"",II13/OFFSET(SSTotalESP!$A$2,MATCH(II$29,SSTotalESP!$A$2:$A$500)+$A40-1,1)-1)</f>
        <v/>
      </c>
      <c r="IJ40" s="9" t="str">
        <f ca="1">IF(OR(IJ13="",IJ$28&lt;$A40),"",IJ13/OFFSET(SSTotalESP!$A$2,MATCH(IJ$29,SSTotalESP!$A$2:$A$500)+$A40-1,1)-1)</f>
        <v/>
      </c>
      <c r="IK40" s="9" t="str">
        <f ca="1">IF(OR(IK13="",IK$28&lt;$A40),"",IK13/OFFSET(SSTotalESP!$A$2,MATCH(IK$29,SSTotalESP!$A$2:$A$500)+$A40-1,1)-1)</f>
        <v/>
      </c>
      <c r="IL40" s="9" t="str">
        <f ca="1">IF(OR(IL13="",IL$28&lt;$A40),"",IL13/OFFSET(SSTotalESP!$A$2,MATCH(IL$29,SSTotalESP!$A$2:$A$500)+$A40-1,1)-1)</f>
        <v/>
      </c>
      <c r="IM40" s="9" t="str">
        <f ca="1">IF(OR(IM13="",IM$28&lt;$A40),"",IM13/OFFSET(SSTotalESP!$A$2,MATCH(IM$29,SSTotalESP!$A$2:$A$500)+$A40-1,1)-1)</f>
        <v/>
      </c>
      <c r="IN40" s="9" t="str">
        <f ca="1">IF(OR(IN13="",IN$28&lt;$A40),"",IN13/OFFSET(SSTotalESP!$A$2,MATCH(IN$29,SSTotalESP!$A$2:$A$500)+$A40-1,1)-1)</f>
        <v/>
      </c>
      <c r="IO40" s="9" t="str">
        <f ca="1">IF(OR(IO13="",IO$28&lt;$A40),"",IO13/OFFSET(SSTotalESP!$A$2,MATCH(IO$29,SSTotalESP!$A$2:$A$500)+$A40-1,1)-1)</f>
        <v/>
      </c>
      <c r="IP40" s="9" t="str">
        <f ca="1">IF(OR(IP13="",IP$28&lt;$A40),"",IP13/OFFSET(SSTotalESP!$A$2,MATCH(IP$29,SSTotalESP!$A$2:$A$500)+$A40-1,1)-1)</f>
        <v/>
      </c>
      <c r="IQ40" s="9" t="str">
        <f ca="1">IF(OR(IQ13="",IQ$28&lt;$A40),"",IQ13/OFFSET(SSTotalESP!$A$2,MATCH(IQ$29,SSTotalESP!$A$2:$A$500)+$A40-1,1)-1)</f>
        <v/>
      </c>
      <c r="IR40" s="9" t="str">
        <f ca="1">IF(OR(IR13="",IR$28&lt;$A40),"",IR13/OFFSET(SSTotalESP!$A$2,MATCH(IR$29,SSTotalESP!$A$2:$A$500)+$A40-1,1)-1)</f>
        <v/>
      </c>
      <c r="IS40" s="9" t="str">
        <f ca="1">IF(OR(IS13="",IS$28&lt;$A40),"",IS13/OFFSET(SSTotalESP!$A$2,MATCH(IS$29,SSTotalESP!$A$2:$A$500)+$A40-1,1)-1)</f>
        <v/>
      </c>
      <c r="IT40" s="9" t="str">
        <f ca="1">IF(OR(IT13="",IT$28&lt;$A40),"",IT13/OFFSET(SSTotalESP!$A$2,MATCH(IT$29,SSTotalESP!$A$2:$A$500)+$A40-1,1)-1)</f>
        <v/>
      </c>
      <c r="IU40" s="9" t="str">
        <f ca="1">IF(OR(IU13="",IU$28&lt;$A40),"",IU13/OFFSET(SSTotalESP!$A$2,MATCH(IU$29,SSTotalESP!$A$2:$A$500)+$A40-1,1)-1)</f>
        <v/>
      </c>
      <c r="IV40" s="9" t="str">
        <f ca="1">IF(OR(IV13="",IV$28&lt;$A40),"",IV13/OFFSET(SSTotalESP!$A$2,MATCH(IV$29,SSTotalESP!$A$2:$A$500)+$A40-1,1)-1)</f>
        <v/>
      </c>
      <c r="IW40" s="9" t="str">
        <f ca="1">IF(OR(IW13="",IW$28&lt;$A40),"",IW13/OFFSET(SSTotalESP!$A$2,MATCH(IW$29,SSTotalESP!$A$2:$A$500)+$A40-1,1)-1)</f>
        <v/>
      </c>
      <c r="IX40" s="9" t="str">
        <f ca="1">IF(OR(IX13="",IX$28&lt;$A40),"",IX13/OFFSET(SSTotalESP!$A$2,MATCH(IX$29,SSTotalESP!$A$2:$A$500)+$A40-1,1)-1)</f>
        <v/>
      </c>
      <c r="IY40" s="9" t="str">
        <f ca="1">IF(OR(IY13="",IY$28&lt;$A40),"",IY13/OFFSET(SSTotalESP!$A$2,MATCH(IY$29,SSTotalESP!$A$2:$A$500)+$A40-1,1)-1)</f>
        <v/>
      </c>
      <c r="IZ40" s="9" t="str">
        <f ca="1">IF(OR(IZ13="",IZ$28&lt;$A40),"",IZ13/OFFSET(SSTotalESP!$A$2,MATCH(IZ$29,SSTotalESP!$A$2:$A$500)+$A40-1,1)-1)</f>
        <v/>
      </c>
      <c r="JA40" s="9" t="str">
        <f ca="1">IF(OR(JA13="",JA$28&lt;$A40),"",JA13/OFFSET(SSTotalESP!$A$2,MATCH(JA$29,SSTotalESP!$A$2:$A$500)+$A40-1,1)-1)</f>
        <v/>
      </c>
      <c r="JB40" s="9" t="str">
        <f ca="1">IF(OR(JB13="",JB$28&lt;$A40),"",JB13/OFFSET(SSTotalESP!$A$2,MATCH(JB$29,SSTotalESP!$A$2:$A$500)+$A40-1,1)-1)</f>
        <v/>
      </c>
      <c r="JC40" s="9" t="str">
        <f ca="1">IF(OR(JC13="",JC$28&lt;$A40),"",JC13/OFFSET(SSTotalESP!$A$2,MATCH(JC$29,SSTotalESP!$A$2:$A$500)+$A40-1,1)-1)</f>
        <v/>
      </c>
      <c r="JD40" s="9" t="str">
        <f ca="1">IF(OR(JD13="",JD$28&lt;$A40),"",JD13/OFFSET(SSTotalESP!$A$2,MATCH(JD$29,SSTotalESP!$A$2:$A$500)+$A40-1,1)-1)</f>
        <v/>
      </c>
      <c r="JE40" s="9" t="str">
        <f ca="1">IF(OR(JE13="",JE$28&lt;$A40),"",JE13/OFFSET(SSTotalESP!$A$2,MATCH(JE$29,SSTotalESP!$A$2:$A$500)+$A40-1,1)-1)</f>
        <v/>
      </c>
      <c r="JF40" s="9" t="str">
        <f ca="1">IF(OR(JF13="",JF$28&lt;$A40),"",JF13/OFFSET(SSTotalESP!$A$2,MATCH(JF$29,SSTotalESP!$A$2:$A$500)+$A40-1,1)-1)</f>
        <v/>
      </c>
      <c r="JG40" s="9" t="str">
        <f ca="1">IF(OR(JG13="",JG$28&lt;$A40),"",JG13/OFFSET(SSTotalESP!$A$2,MATCH(JG$29,SSTotalESP!$A$2:$A$500)+$A40-1,1)-1)</f>
        <v/>
      </c>
      <c r="JH40" s="9" t="str">
        <f ca="1">IF(OR(JH13="",JH$28&lt;$A40),"",JH13/OFFSET(SSTotalESP!$A$2,MATCH(JH$29,SSTotalESP!$A$2:$A$500)+$A40-1,1)-1)</f>
        <v/>
      </c>
      <c r="JI40" s="13">
        <f t="shared" ca="1" si="13"/>
        <v>2.1303970364943175E-2</v>
      </c>
      <c r="JJ40" s="13">
        <f t="shared" ca="1" si="14"/>
        <v>1.1326365282453121E-2</v>
      </c>
      <c r="JK40" s="14">
        <f t="shared" ca="1" si="15"/>
        <v>6.5056232448962271E-4</v>
      </c>
      <c r="JL40" s="17">
        <f t="shared" ca="1" si="18"/>
        <v>2.5506123274414375E-2</v>
      </c>
      <c r="JM40" s="15" t="str">
        <f t="shared" ca="1" si="16"/>
        <v>[ -2,97% ; 7,23% ]</v>
      </c>
      <c r="JN40" s="17">
        <f t="shared" ca="1" si="17"/>
        <v>3.2647837791250398E-2</v>
      </c>
      <c r="LY40" s="1"/>
    </row>
    <row r="41" spans="1:337" x14ac:dyDescent="0.25">
      <c r="A41" s="4">
        <v>12</v>
      </c>
      <c r="B41" s="9">
        <f ca="1">IF(OR(B14="",B$28&lt;$A41),"",B14/OFFSET(SSTotalESP!$A$2,MATCH(B$29,SSTotalESP!$A$2:$A$500)+$A41-1,1)-1)</f>
        <v>-1.223590168774269E-3</v>
      </c>
      <c r="C41" s="9">
        <f ca="1">IF(OR(C14="",C$28&lt;$A41),"",C14/OFFSET(SSTotalESP!$A$2,MATCH(C$29,SSTotalESP!$A$2:$A$500)+$A41-1,1)-1)</f>
        <v>-3.2016176251806749E-3</v>
      </c>
      <c r="D41" s="9">
        <f ca="1">IF(OR(D14="",D$28&lt;$A41),"",D14/OFFSET(SSTotalESP!$A$2,MATCH(D$29,SSTotalESP!$A$2:$A$500)+$A41-1,1)-1)</f>
        <v>-8.3100848636952218E-4</v>
      </c>
      <c r="E41" s="9">
        <f ca="1">IF(OR(E14="",E$28&lt;$A41),"",E14/OFFSET(SSTotalESP!$A$2,MATCH(E$29,SSTotalESP!$A$2:$A$500)+$A41-1,1)-1)</f>
        <v>1.6133935334172733E-5</v>
      </c>
      <c r="F41" s="9">
        <f ca="1">IF(OR(F14="",F$28&lt;$A41),"",F14/OFFSET(SSTotalESP!$A$2,MATCH(F$29,SSTotalESP!$A$2:$A$500)+$A41-1,1)-1)</f>
        <v>-3.315032529851214E-3</v>
      </c>
      <c r="G41" s="9">
        <f ca="1">IF(OR(G14="",G$28&lt;$A41),"",G14/OFFSET(SSTotalESP!$A$2,MATCH(G$29,SSTotalESP!$A$2:$A$500)+$A41-1,1)-1)</f>
        <v>-6.2918388634328748E-3</v>
      </c>
      <c r="H41" s="9">
        <f ca="1">IF(OR(H14="",H$28&lt;$A41),"",H14/OFFSET(SSTotalESP!$A$2,MATCH(H$29,SSTotalESP!$A$2:$A$500)+$A41-1,1)-1)</f>
        <v>-1.3190003479854218E-2</v>
      </c>
      <c r="I41" s="9">
        <f ca="1">IF(OR(I14="",I$28&lt;$A41),"",I14/OFFSET(SSTotalESP!$A$2,MATCH(I$29,SSTotalESP!$A$2:$A$500)+$A41-1,1)-1)</f>
        <v>-1.8886990010392957E-2</v>
      </c>
      <c r="J41" s="9">
        <f ca="1">IF(OR(J14="",J$28&lt;$A41),"",J14/OFFSET(SSTotalESP!$A$2,MATCH(J$29,SSTotalESP!$A$2:$A$500)+$A41-1,1)-1)</f>
        <v>-2.369256012220855E-2</v>
      </c>
      <c r="K41" s="9">
        <f ca="1">IF(OR(K14="",K$28&lt;$A41),"",K14/OFFSET(SSTotalESP!$A$2,MATCH(K$29,SSTotalESP!$A$2:$A$500)+$A41-1,1)-1)</f>
        <v>-2.5059104073972605E-2</v>
      </c>
      <c r="L41" s="9">
        <f ca="1">IF(OR(L14="",L$28&lt;$A41),"",L14/OFFSET(SSTotalESP!$A$2,MATCH(L$29,SSTotalESP!$A$2:$A$500)+$A41-1,1)-1)</f>
        <v>-2.661496074661629E-2</v>
      </c>
      <c r="M41" s="9">
        <f ca="1">IF(OR(M14="",M$28&lt;$A41),"",M14/OFFSET(SSTotalESP!$A$2,MATCH(M$29,SSTotalESP!$A$2:$A$500)+$A41-1,1)-1)</f>
        <v>-2.6517382479902762E-2</v>
      </c>
      <c r="N41" s="9">
        <f ca="1">IF(OR(N14="",N$28&lt;$A41),"",N14/OFFSET(SSTotalESP!$A$2,MATCH(N$29,SSTotalESP!$A$2:$A$500)+$A41-1,1)-1)</f>
        <v>-2.6282171862186843E-2</v>
      </c>
      <c r="O41" s="9">
        <f ca="1">IF(OR(O14="",O$28&lt;$A41),"",O14/OFFSET(SSTotalESP!$A$2,MATCH(O$29,SSTotalESP!$A$2:$A$500)+$A41-1,1)-1)</f>
        <v>-2.6301940158445336E-2</v>
      </c>
      <c r="P41" s="9">
        <f ca="1">IF(OR(P14="",P$28&lt;$A41),"",P14/OFFSET(SSTotalESP!$A$2,MATCH(P$29,SSTotalESP!$A$2:$A$500)+$A41-1,1)-1)</f>
        <v>-2.5653426095202159E-2</v>
      </c>
      <c r="Q41" s="9">
        <f ca="1">IF(OR(Q14="",Q$28&lt;$A41),"",Q14/OFFSET(SSTotalESP!$A$2,MATCH(Q$29,SSTotalESP!$A$2:$A$500)+$A41-1,1)-1)</f>
        <v>-2.6477099598059661E-2</v>
      </c>
      <c r="R41" s="9">
        <f ca="1">IF(OR(R14="",R$28&lt;$A41),"",R14/OFFSET(SSTotalESP!$A$2,MATCH(R$29,SSTotalESP!$A$2:$A$500)+$A41-1,1)-1)</f>
        <v>-2.5028952603068366E-2</v>
      </c>
      <c r="S41" s="9">
        <f ca="1">IF(OR(S14="",S$28&lt;$A41),"",S14/OFFSET(SSTotalESP!$A$2,MATCH(S$29,SSTotalESP!$A$2:$A$500)+$A41-1,1)-1)</f>
        <v>-2.070396406484265E-2</v>
      </c>
      <c r="T41" s="9">
        <f ca="1">IF(OR(T14="",T$28&lt;$A41),"",T14/OFFSET(SSTotalESP!$A$2,MATCH(T$29,SSTotalESP!$A$2:$A$500)+$A41-1,1)-1)</f>
        <v>-7.0019913040879622E-3</v>
      </c>
      <c r="U41" s="9">
        <f ca="1">IF(OR(U14="",U$28&lt;$A41),"",U14/OFFSET(SSTotalESP!$A$2,MATCH(U$29,SSTotalESP!$A$2:$A$500)+$A41-1,1)-1)</f>
        <v>7.0347246263775531E-3</v>
      </c>
      <c r="V41" s="9">
        <f ca="1">IF(OR(V14="",V$28&lt;$A41),"",V14/OFFSET(SSTotalESP!$A$2,MATCH(V$29,SSTotalESP!$A$2:$A$500)+$A41-1,1)-1)</f>
        <v>2.3212529882744581E-2</v>
      </c>
      <c r="W41" s="9">
        <f ca="1">IF(OR(W14="",W$28&lt;$A41),"",W14/OFFSET(SSTotalESP!$A$2,MATCH(W$29,SSTotalESP!$A$2:$A$500)+$A41-1,1)-1)</f>
        <v>2.398481035122213E-2</v>
      </c>
      <c r="X41" s="9">
        <f ca="1">IF(OR(X14="",X$28&lt;$A41),"",X14/OFFSET(SSTotalESP!$A$2,MATCH(X$29,SSTotalESP!$A$2:$A$500)+$A41-1,1)-1)</f>
        <v>2.2757129184913349E-2</v>
      </c>
      <c r="Y41" s="9">
        <f ca="1">IF(OR(Y14="",Y$28&lt;$A41),"",Y14/OFFSET(SSTotalESP!$A$2,MATCH(Y$29,SSTotalESP!$A$2:$A$500)+$A41-1,1)-1)</f>
        <v>1.3168486562851189E-2</v>
      </c>
      <c r="Z41" s="9">
        <f ca="1">IF(OR(Z14="",Z$28&lt;$A41),"",Z14/OFFSET(SSTotalESP!$A$2,MATCH(Z$29,SSTotalESP!$A$2:$A$500)+$A41-1,1)-1)</f>
        <v>1.2660647120047885E-2</v>
      </c>
      <c r="AA41" s="9">
        <f ca="1">IF(OR(AA14="",AA$28&lt;$A41),"",AA14/OFFSET(SSTotalESP!$A$2,MATCH(AA$29,SSTotalESP!$A$2:$A$500)+$A41-1,1)-1)</f>
        <v>1.3536283339113053E-2</v>
      </c>
      <c r="AB41" s="9">
        <f ca="1">IF(OR(AB14="",AB$28&lt;$A41),"",AB14/OFFSET(SSTotalESP!$A$2,MATCH(AB$29,SSTotalESP!$A$2:$A$500)+$A41-1,1)-1)</f>
        <v>7.9769005576186824E-3</v>
      </c>
      <c r="AC41" s="9">
        <f ca="1">IF(OR(AC14="",AC$28&lt;$A41),"",AC14/OFFSET(SSTotalESP!$A$2,MATCH(AC$29,SSTotalESP!$A$2:$A$500)+$A41-1,1)-1)</f>
        <v>1.1384428067306107E-2</v>
      </c>
      <c r="AD41" s="9">
        <f ca="1">IF(OR(AD14="",AD$28&lt;$A41),"",AD14/OFFSET(SSTotalESP!$A$2,MATCH(AD$29,SSTotalESP!$A$2:$A$500)+$A41-1,1)-1)</f>
        <v>9.9531760796656155E-3</v>
      </c>
      <c r="AE41" s="9">
        <f ca="1">IF(OR(AE14="",AE$28&lt;$A41),"",AE14/OFFSET(SSTotalESP!$A$2,MATCH(AE$29,SSTotalESP!$A$2:$A$500)+$A41-1,1)-1)</f>
        <v>7.1565838850637942E-3</v>
      </c>
      <c r="AF41" s="9">
        <f ca="1">IF(OR(AF14="",AF$28&lt;$A41),"",AF14/OFFSET(SSTotalESP!$A$2,MATCH(AF$29,SSTotalESP!$A$2:$A$500)+$A41-1,1)-1)</f>
        <v>3.8128215164454637E-3</v>
      </c>
      <c r="AG41" s="9">
        <f ca="1">IF(OR(AG14="",AG$28&lt;$A41),"",AG14/OFFSET(SSTotalESP!$A$2,MATCH(AG$29,SSTotalESP!$A$2:$A$500)+$A41-1,1)-1)</f>
        <v>3.3023975259827143E-3</v>
      </c>
      <c r="AH41" s="9">
        <f ca="1">IF(OR(AH14="",AH$28&lt;$A41),"",AH14/OFFSET(SSTotalESP!$A$2,MATCH(AH$29,SSTotalESP!$A$2:$A$500)+$A41-1,1)-1)</f>
        <v>-2.7354824857216409E-3</v>
      </c>
      <c r="AI41" s="9">
        <f ca="1">IF(OR(AI14="",AI$28&lt;$A41),"",AI14/OFFSET(SSTotalESP!$A$2,MATCH(AI$29,SSTotalESP!$A$2:$A$500)+$A41-1,1)-1)</f>
        <v>5.8673101586483867E-3</v>
      </c>
      <c r="AJ41" s="9">
        <f ca="1">IF(OR(AJ14="",AJ$28&lt;$A41),"",AJ14/OFFSET(SSTotalESP!$A$2,MATCH(AJ$29,SSTotalESP!$A$2:$A$500)+$A41-1,1)-1)</f>
        <v>8.2558836012460723E-3</v>
      </c>
      <c r="AK41" s="9">
        <f ca="1">IF(OR(AK14="",AK$28&lt;$A41),"",AK14/OFFSET(SSTotalESP!$A$2,MATCH(AK$29,SSTotalESP!$A$2:$A$500)+$A41-1,1)-1)</f>
        <v>1.423827869645522E-2</v>
      </c>
      <c r="AL41" s="9">
        <f ca="1">IF(OR(AL14="",AL$28&lt;$A41),"",AL14/OFFSET(SSTotalESP!$A$2,MATCH(AL$29,SSTotalESP!$A$2:$A$500)+$A41-1,1)-1)</f>
        <v>1.3104954354048015E-2</v>
      </c>
      <c r="AM41" s="9">
        <f ca="1">IF(OR(AM14="",AM$28&lt;$A41),"",AM14/OFFSET(SSTotalESP!$A$2,MATCH(AM$29,SSTotalESP!$A$2:$A$500)+$A41-1,1)-1)</f>
        <v>1.9375267466808621E-2</v>
      </c>
      <c r="AN41" s="9">
        <f ca="1">IF(OR(AN14="",AN$28&lt;$A41),"",AN14/OFFSET(SSTotalESP!$A$2,MATCH(AN$29,SSTotalESP!$A$2:$A$500)+$A41-1,1)-1)</f>
        <v>1.9065395584199285E-2</v>
      </c>
      <c r="AO41" s="9">
        <f ca="1">IF(OR(AO14="",AO$28&lt;$A41),"",AO14/OFFSET(SSTotalESP!$A$2,MATCH(AO$29,SSTotalESP!$A$2:$A$500)+$A41-1,1)-1)</f>
        <v>2.6314854985877156E-2</v>
      </c>
      <c r="AP41" s="9">
        <f ca="1">IF(OR(AP14="",AP$28&lt;$A41),"",AP14/OFFSET(SSTotalESP!$A$2,MATCH(AP$29,SSTotalESP!$A$2:$A$500)+$A41-1,1)-1)</f>
        <v>2.007767787462722E-2</v>
      </c>
      <c r="AQ41" s="9">
        <f ca="1">IF(OR(AQ14="",AQ$28&lt;$A41),"",AQ14/OFFSET(SSTotalESP!$A$2,MATCH(AQ$29,SSTotalESP!$A$2:$A$500)+$A41-1,1)-1)</f>
        <v>2.574391691705924E-2</v>
      </c>
      <c r="AR41" s="9">
        <f ca="1">IF(OR(AR14="",AR$28&lt;$A41),"",AR14/OFFSET(SSTotalESP!$A$2,MATCH(AR$29,SSTotalESP!$A$2:$A$500)+$A41-1,1)-1)</f>
        <v>2.8854771238102872E-2</v>
      </c>
      <c r="AS41" s="9">
        <f ca="1">IF(OR(AS14="",AS$28&lt;$A41),"",AS14/OFFSET(SSTotalESP!$A$2,MATCH(AS$29,SSTotalESP!$A$2:$A$500)+$A41-1,1)-1)</f>
        <v>3.2281460759874703E-2</v>
      </c>
      <c r="AT41" s="9">
        <f ca="1">IF(OR(AT14="",AT$28&lt;$A41),"",AT14/OFFSET(SSTotalESP!$A$2,MATCH(AT$29,SSTotalESP!$A$2:$A$500)+$A41-1,1)-1)</f>
        <v>3.0986108120921507E-2</v>
      </c>
      <c r="AU41" s="9">
        <f ca="1">IF(OR(AU14="",AU$28&lt;$A41),"",AU14/OFFSET(SSTotalESP!$A$2,MATCH(AU$29,SSTotalESP!$A$2:$A$500)+$A41-1,1)-1)</f>
        <v>3.9293353268277986E-2</v>
      </c>
      <c r="AV41" s="9">
        <f ca="1">IF(OR(AV14="",AV$28&lt;$A41),"",AV14/OFFSET(SSTotalESP!$A$2,MATCH(AV$29,SSTotalESP!$A$2:$A$500)+$A41-1,1)-1)</f>
        <v>5.2423179130405506E-2</v>
      </c>
      <c r="AW41" s="9">
        <f ca="1">IF(OR(AW14="",AW$28&lt;$A41),"",AW14/OFFSET(SSTotalESP!$A$2,MATCH(AW$29,SSTotalESP!$A$2:$A$500)+$A41-1,1)-1)</f>
        <v>6.174956172556878E-2</v>
      </c>
      <c r="AX41" s="9">
        <f ca="1">IF(OR(AX14="",AX$28&lt;$A41),"",AX14/OFFSET(SSTotalESP!$A$2,MATCH(AX$29,SSTotalESP!$A$2:$A$500)+$A41-1,1)-1)</f>
        <v>7.1318652342375666E-2</v>
      </c>
      <c r="AY41" s="9">
        <f ca="1">IF(OR(AY14="",AY$28&lt;$A41),"",AY14/OFFSET(SSTotalESP!$A$2,MATCH(AY$29,SSTotalESP!$A$2:$A$500)+$A41-1,1)-1)</f>
        <v>7.7012280438522485E-2</v>
      </c>
      <c r="AZ41" s="9">
        <f ca="1">IF(OR(AZ14="",AZ$28&lt;$A41),"",AZ14/OFFSET(SSTotalESP!$A$2,MATCH(AZ$29,SSTotalESP!$A$2:$A$500)+$A41-1,1)-1)</f>
        <v>8.3515043155362845E-2</v>
      </c>
      <c r="BA41" s="9">
        <f ca="1">IF(OR(BA14="",BA$28&lt;$A41),"",BA14/OFFSET(SSTotalESP!$A$2,MATCH(BA$29,SSTotalESP!$A$2:$A$500)+$A41-1,1)-1)</f>
        <v>8.4692079895436922E-2</v>
      </c>
      <c r="BB41" s="9">
        <f ca="1">IF(OR(BB14="",BB$28&lt;$A41),"",BB14/OFFSET(SSTotalESP!$A$2,MATCH(BB$29,SSTotalESP!$A$2:$A$500)+$A41-1,1)-1)</f>
        <v>7.8562484152207457E-2</v>
      </c>
      <c r="BC41" s="9">
        <f ca="1">IF(OR(BC14="",BC$28&lt;$A41),"",BC14/OFFSET(SSTotalESP!$A$2,MATCH(BC$29,SSTotalESP!$A$2:$A$500)+$A41-1,1)-1)</f>
        <v>7.2775223334107242E-2</v>
      </c>
      <c r="BD41" s="9">
        <f ca="1">IF(OR(BD14="",BD$28&lt;$A41),"",BD14/OFFSET(SSTotalESP!$A$2,MATCH(BD$29,SSTotalESP!$A$2:$A$500)+$A41-1,1)-1)</f>
        <v>4.9307931818805661E-2</v>
      </c>
      <c r="BE41" s="9">
        <f ca="1">IF(OR(BE14="",BE$28&lt;$A41),"",BE14/OFFSET(SSTotalESP!$A$2,MATCH(BE$29,SSTotalESP!$A$2:$A$500)+$A41-1,1)-1)</f>
        <v>5.1983888468912554E-2</v>
      </c>
      <c r="BF41" s="9">
        <f ca="1">IF(OR(BF14="",BF$28&lt;$A41),"",BF14/OFFSET(SSTotalESP!$A$2,MATCH(BF$29,SSTotalESP!$A$2:$A$500)+$A41-1,1)-1)</f>
        <v>5.2035793928963958E-2</v>
      </c>
      <c r="BG41" s="9">
        <f ca="1">IF(OR(BG14="",BG$28&lt;$A41),"",BG14/OFFSET(SSTotalESP!$A$2,MATCH(BG$29,SSTotalESP!$A$2:$A$500)+$A41-1,1)-1)</f>
        <v>3.4631675601632494E-2</v>
      </c>
      <c r="BH41" s="9">
        <f ca="1">IF(OR(BH14="",BH$28&lt;$A41),"",BH14/OFFSET(SSTotalESP!$A$2,MATCH(BH$29,SSTotalESP!$A$2:$A$500)+$A41-1,1)-1)</f>
        <v>-2.0361682372627143E-5</v>
      </c>
      <c r="BI41" s="9">
        <f ca="1">IF(OR(BI14="",BI$28&lt;$A41),"",BI14/OFFSET(SSTotalESP!$A$2,MATCH(BI$29,SSTotalESP!$A$2:$A$500)+$A41-1,1)-1)</f>
        <v>-4.8237950771634952E-2</v>
      </c>
      <c r="BJ41" s="9">
        <f ca="1">IF(OR(BJ14="",BJ$28&lt;$A41),"",BJ14/OFFSET(SSTotalESP!$A$2,MATCH(BJ$29,SSTotalESP!$A$2:$A$500)+$A41-1,1)-1)</f>
        <v>-4.0865121405614158E-2</v>
      </c>
      <c r="BK41" s="9">
        <f ca="1">IF(OR(BK14="",BK$28&lt;$A41),"",BK14/OFFSET(SSTotalESP!$A$2,MATCH(BK$29,SSTotalESP!$A$2:$A$500)+$A41-1,1)-1)</f>
        <v>-4.679452319521471E-2</v>
      </c>
      <c r="BL41" s="9">
        <f ca="1">IF(OR(BL14="",BL$28&lt;$A41),"",BL14/OFFSET(SSTotalESP!$A$2,MATCH(BL$29,SSTotalESP!$A$2:$A$500)+$A41-1,1)-1)</f>
        <v>-6.6103145458803692E-2</v>
      </c>
      <c r="BM41" s="9">
        <f ca="1">IF(OR(BM14="",BM$28&lt;$A41),"",BM14/OFFSET(SSTotalESP!$A$2,MATCH(BM$29,SSTotalESP!$A$2:$A$500)+$A41-1,1)-1)</f>
        <v>-7.8872073160624945E-2</v>
      </c>
      <c r="BN41" s="9">
        <f ca="1">IF(OR(BN14="",BN$28&lt;$A41),"",BN14/OFFSET(SSTotalESP!$A$2,MATCH(BN$29,SSTotalESP!$A$2:$A$500)+$A41-1,1)-1)</f>
        <v>-4.3953591891812582E-2</v>
      </c>
      <c r="BO41" s="9">
        <f ca="1">IF(OR(BO14="",BO$28&lt;$A41),"",BO14/OFFSET(SSTotalESP!$A$2,MATCH(BO$29,SSTotalESP!$A$2:$A$500)+$A41-1,1)-1)</f>
        <v>-2.5599246264825348E-2</v>
      </c>
      <c r="BP41" s="9">
        <f ca="1">IF(OR(BP14="",BP$28&lt;$A41),"",BP14/OFFSET(SSTotalESP!$A$2,MATCH(BP$29,SSTotalESP!$A$2:$A$500)+$A41-1,1)-1)</f>
        <v>-2.5503450477064704E-2</v>
      </c>
      <c r="BQ41" s="9">
        <f ca="1">IF(OR(BQ14="",BQ$28&lt;$A41),"",BQ14/OFFSET(SSTotalESP!$A$2,MATCH(BQ$29,SSTotalESP!$A$2:$A$500)+$A41-1,1)-1)</f>
        <v>-2.5594001345073614E-2</v>
      </c>
      <c r="BR41" s="9">
        <f ca="1">IF(OR(BR14="",BR$28&lt;$A41),"",BR14/OFFSET(SSTotalESP!$A$2,MATCH(BR$29,SSTotalESP!$A$2:$A$500)+$A41-1,1)-1)</f>
        <v>1.7748521692770858E-3</v>
      </c>
      <c r="BS41" s="9">
        <f ca="1">IF(OR(BS14="",BS$28&lt;$A41),"",BS14/OFFSET(SSTotalESP!$A$2,MATCH(BS$29,SSTotalESP!$A$2:$A$500)+$A41-1,1)-1)</f>
        <v>-1.697946593308286E-2</v>
      </c>
      <c r="BT41" s="9">
        <f ca="1">IF(OR(BT14="",BT$28&lt;$A41),"",BT14/OFFSET(SSTotalESP!$A$2,MATCH(BT$29,SSTotalESP!$A$2:$A$500)+$A41-1,1)-1)</f>
        <v>-9.8866855692812949E-3</v>
      </c>
      <c r="BU41" s="9">
        <f ca="1">IF(OR(BU14="",BU$28&lt;$A41),"",BU14/OFFSET(SSTotalESP!$A$2,MATCH(BU$29,SSTotalESP!$A$2:$A$500)+$A41-1,1)-1)</f>
        <v>-6.7803608291823192E-3</v>
      </c>
      <c r="BV41" s="9">
        <f ca="1">IF(OR(BV14="",BV$28&lt;$A41),"",BV14/OFFSET(SSTotalESP!$A$2,MATCH(BV$29,SSTotalESP!$A$2:$A$500)+$A41-1,1)-1)</f>
        <v>8.900761707617777E-3</v>
      </c>
      <c r="BW41" s="9">
        <f ca="1">IF(OR(BW14="",BW$28&lt;$A41),"",BW14/OFFSET(SSTotalESP!$A$2,MATCH(BW$29,SSTotalESP!$A$2:$A$500)+$A41-1,1)-1)</f>
        <v>-6.850572282688705E-3</v>
      </c>
      <c r="BX41" s="9">
        <f ca="1">IF(OR(BX14="",BX$28&lt;$A41),"",BX14/OFFSET(SSTotalESP!$A$2,MATCH(BX$29,SSTotalESP!$A$2:$A$500)+$A41-1,1)-1)</f>
        <v>-9.027526463186164E-3</v>
      </c>
      <c r="BY41" s="9">
        <f ca="1">IF(OR(BY14="",BY$28&lt;$A41),"",BY14/OFFSET(SSTotalESP!$A$2,MATCH(BY$29,SSTotalESP!$A$2:$A$500)+$A41-1,1)-1)</f>
        <v>-8.9996273366207413E-3</v>
      </c>
      <c r="BZ41" s="9">
        <f ca="1">IF(OR(BZ14="",BZ$28&lt;$A41),"",BZ14/OFFSET(SSTotalESP!$A$2,MATCH(BZ$29,SSTotalESP!$A$2:$A$500)+$A41-1,1)-1)</f>
        <v>-4.0249307973915238E-3</v>
      </c>
      <c r="CA41" s="9">
        <f ca="1">IF(OR(CA14="",CA$28&lt;$A41),"",CA14/OFFSET(SSTotalESP!$A$2,MATCH(CA$29,SSTotalESP!$A$2:$A$500)+$A41-1,1)-1)</f>
        <v>-5.9598551522916932E-3</v>
      </c>
      <c r="CB41" s="9">
        <f ca="1">IF(OR(CB14="",CB$28&lt;$A41),"",CB14/OFFSET(SSTotalESP!$A$2,MATCH(CB$29,SSTotalESP!$A$2:$A$500)+$A41-1,1)-1)</f>
        <v>-3.353724195236385E-3</v>
      </c>
      <c r="CC41" s="9">
        <f ca="1">IF(OR(CC14="",CC$28&lt;$A41),"",CC14/OFFSET(SSTotalESP!$A$2,MATCH(CC$29,SSTotalESP!$A$2:$A$500)+$A41-1,1)-1)</f>
        <v>-4.1242222600450518E-3</v>
      </c>
      <c r="CD41" s="9">
        <f ca="1">IF(OR(CD14="",CD$28&lt;$A41),"",CD14/OFFSET(SSTotalESP!$A$2,MATCH(CD$29,SSTotalESP!$A$2:$A$500)+$A41-1,1)-1)</f>
        <v>6.1255468064862484E-3</v>
      </c>
      <c r="CE41" s="9">
        <f ca="1">IF(OR(CE14="",CE$28&lt;$A41),"",CE14/OFFSET(SSTotalESP!$A$2,MATCH(CE$29,SSTotalESP!$A$2:$A$500)+$A41-1,1)-1)</f>
        <v>6.5896432083618617E-3</v>
      </c>
      <c r="CF41" s="9">
        <f ca="1">IF(OR(CF14="",CF$28&lt;$A41),"",CF14/OFFSET(SSTotalESP!$A$2,MATCH(CF$29,SSTotalESP!$A$2:$A$500)+$A41-1,1)-1)</f>
        <v>9.1583623937514513E-3</v>
      </c>
      <c r="CG41" s="9">
        <f ca="1">IF(OR(CG14="",CG$28&lt;$A41),"",CG14/OFFSET(SSTotalESP!$A$2,MATCH(CG$29,SSTotalESP!$A$2:$A$500)+$A41-1,1)-1)</f>
        <v>1.0134604526210733E-2</v>
      </c>
      <c r="CH41" s="9">
        <f ca="1">IF(OR(CH14="",CH$28&lt;$A41),"",CH14/OFFSET(SSTotalESP!$A$2,MATCH(CH$29,SSTotalESP!$A$2:$A$500)+$A41-1,1)-1)</f>
        <v>1.6836576205128795E-2</v>
      </c>
      <c r="CI41" s="9">
        <f ca="1">IF(OR(CI14="",CI$28&lt;$A41),"",CI14/OFFSET(SSTotalESP!$A$2,MATCH(CI$29,SSTotalESP!$A$2:$A$500)+$A41-1,1)-1)</f>
        <v>1.8449425649018414E-2</v>
      </c>
      <c r="CJ41" s="9">
        <f ca="1">IF(OR(CJ14="",CJ$28&lt;$A41),"",CJ14/OFFSET(SSTotalESP!$A$2,MATCH(CJ$29,SSTotalESP!$A$2:$A$500)+$A41-1,1)-1)</f>
        <v>5.826932688524078E-4</v>
      </c>
      <c r="CK41" s="9">
        <f ca="1">IF(OR(CK14="",CK$28&lt;$A41),"",CK14/OFFSET(SSTotalESP!$A$2,MATCH(CK$29,SSTotalESP!$A$2:$A$500)+$A41-1,1)-1)</f>
        <v>1.9239513776541983E-2</v>
      </c>
      <c r="CL41" s="9">
        <f ca="1">IF(OR(CL14="",CL$28&lt;$A41),"",CL14/OFFSET(SSTotalESP!$A$2,MATCH(CL$29,SSTotalESP!$A$2:$A$500)+$A41-1,1)-1)</f>
        <v>2.938718186959921E-2</v>
      </c>
      <c r="CM41" s="9">
        <f ca="1">IF(OR(CM14="",CM$28&lt;$A41),"",CM14/OFFSET(SSTotalESP!$A$2,MATCH(CM$29,SSTotalESP!$A$2:$A$500)+$A41-1,1)-1)</f>
        <v>2.8376430211982662E-2</v>
      </c>
      <c r="CN41" s="9">
        <f ca="1">IF(OR(CN14="",CN$28&lt;$A41),"",CN14/OFFSET(SSTotalESP!$A$2,MATCH(CN$29,SSTotalESP!$A$2:$A$500)+$A41-1,1)-1)</f>
        <v>1.3369562395577406E-2</v>
      </c>
      <c r="CO41" s="9">
        <f ca="1">IF(OR(CO14="",CO$28&lt;$A41),"",CO14/OFFSET(SSTotalESP!$A$2,MATCH(CO$29,SSTotalESP!$A$2:$A$500)+$A41-1,1)-1)</f>
        <v>1.763365323705246E-2</v>
      </c>
      <c r="CP41" s="9">
        <f ca="1">IF(OR(CP14="",CP$28&lt;$A41),"",CP14/OFFSET(SSTotalESP!$A$2,MATCH(CP$29,SSTotalESP!$A$2:$A$500)+$A41-1,1)-1)</f>
        <v>2.1849974495626201E-2</v>
      </c>
      <c r="CQ41" s="9">
        <f ca="1">IF(OR(CQ14="",CQ$28&lt;$A41),"",CQ14/OFFSET(SSTotalESP!$A$2,MATCH(CQ$29,SSTotalESP!$A$2:$A$500)+$A41-1,1)-1)</f>
        <v>1.9893005592869217E-2</v>
      </c>
      <c r="CR41" s="9">
        <f ca="1">IF(OR(CR14="",CR$28&lt;$A41),"",CR14/OFFSET(SSTotalESP!$A$2,MATCH(CR$29,SSTotalESP!$A$2:$A$500)+$A41-1,1)-1)</f>
        <v>3.7547425316355465E-3</v>
      </c>
      <c r="CS41" s="9">
        <f ca="1">IF(OR(CS14="",CS$28&lt;$A41),"",CS14/OFFSET(SSTotalESP!$A$2,MATCH(CS$29,SSTotalESP!$A$2:$A$500)+$A41-1,1)-1)</f>
        <v>9.0872412947176073E-3</v>
      </c>
      <c r="CT41" s="9">
        <f ca="1">IF(OR(CT14="",CT$28&lt;$A41),"",CT14/OFFSET(SSTotalESP!$A$2,MATCH(CT$29,SSTotalESP!$A$2:$A$500)+$A41-1,1)-1)</f>
        <v>3.2568704273638005E-2</v>
      </c>
      <c r="CU41" s="9">
        <f ca="1">IF(OR(CU14="",CU$28&lt;$A41),"",CU14/OFFSET(SSTotalESP!$A$2,MATCH(CU$29,SSTotalESP!$A$2:$A$500)+$A41-1,1)-1)</f>
        <v>2.0417600771396094E-2</v>
      </c>
      <c r="CV41" s="9">
        <f ca="1">IF(OR(CV14="",CV$28&lt;$A41),"",CV14/OFFSET(SSTotalESP!$A$2,MATCH(CV$29,SSTotalESP!$A$2:$A$500)+$A41-1,1)-1)</f>
        <v>6.2470206792404337E-3</v>
      </c>
      <c r="CW41" s="9">
        <f ca="1">IF(OR(CW14="",CW$28&lt;$A41),"",CW14/OFFSET(SSTotalESP!$A$2,MATCH(CW$29,SSTotalESP!$A$2:$A$500)+$A41-1,1)-1)</f>
        <v>1.0239102474193684E-2</v>
      </c>
      <c r="CX41" s="9">
        <f ca="1">IF(OR(CX14="",CX$28&lt;$A41),"",CX14/OFFSET(SSTotalESP!$A$2,MATCH(CX$29,SSTotalESP!$A$2:$A$500)+$A41-1,1)-1)</f>
        <v>4.5655942627207402E-3</v>
      </c>
      <c r="CY41" s="9">
        <f ca="1">IF(OR(CY14="",CY$28&lt;$A41),"",CY14/OFFSET(SSTotalESP!$A$2,MATCH(CY$29,SSTotalESP!$A$2:$A$500)+$A41-1,1)-1)</f>
        <v>5.3162890116622563E-3</v>
      </c>
      <c r="CZ41" s="9">
        <f ca="1">IF(OR(CZ14="",CZ$28&lt;$A41),"",CZ14/OFFSET(SSTotalESP!$A$2,MATCH(CZ$29,SSTotalESP!$A$2:$A$500)+$A41-1,1)-1)</f>
        <v>1.7429664826176694E-2</v>
      </c>
      <c r="DA41" s="9">
        <f ca="1">IF(OR(DA14="",DA$28&lt;$A41),"",DA14/OFFSET(SSTotalESP!$A$2,MATCH(DA$29,SSTotalESP!$A$2:$A$500)+$A41-1,1)-1)</f>
        <v>-2.0800332301240676E-4</v>
      </c>
      <c r="DB41" s="9">
        <f ca="1">IF(OR(DB14="",DB$28&lt;$A41),"",DB14/OFFSET(SSTotalESP!$A$2,MATCH(DB$29,SSTotalESP!$A$2:$A$500)+$A41-1,1)-1)</f>
        <v>5.4498934899793738E-3</v>
      </c>
      <c r="DC41" s="9">
        <f ca="1">IF(OR(DC14="",DC$28&lt;$A41),"",DC14/OFFSET(SSTotalESP!$A$2,MATCH(DC$29,SSTotalESP!$A$2:$A$500)+$A41-1,1)-1)</f>
        <v>-2.0553487750913924E-3</v>
      </c>
      <c r="DD41" s="9">
        <f ca="1">IF(OR(DD14="",DD$28&lt;$A41),"",DD14/OFFSET(SSTotalESP!$A$2,MATCH(DD$29,SSTotalESP!$A$2:$A$500)+$A41-1,1)-1)</f>
        <v>-1.1764448701311214E-2</v>
      </c>
      <c r="DE41" s="9">
        <f ca="1">IF(OR(DE14="",DE$28&lt;$A41),"",DE14/OFFSET(SSTotalESP!$A$2,MATCH(DE$29,SSTotalESP!$A$2:$A$500)+$A41-1,1)-1)</f>
        <v>-5.0271027408794966E-2</v>
      </c>
      <c r="DF41" s="9">
        <f ca="1">IF(OR(DF14="",DF$28&lt;$A41),"",DF14/OFFSET(SSTotalESP!$A$2,MATCH(DF$29,SSTotalESP!$A$2:$A$500)+$A41-1,1)-1)</f>
        <v>-4.527368415867794E-2</v>
      </c>
      <c r="DG41" s="9">
        <f ca="1">IF(OR(DG14="",DG$28&lt;$A41),"",DG14/OFFSET(SSTotalESP!$A$2,MATCH(DG$29,SSTotalESP!$A$2:$A$500)+$A41-1,1)-1)</f>
        <v>-4.0438293521671498E-2</v>
      </c>
      <c r="DH41" s="9">
        <f ca="1">IF(OR(DH14="",DH$28&lt;$A41),"",DH14/OFFSET(SSTotalESP!$A$2,MATCH(DH$29,SSTotalESP!$A$2:$A$500)+$A41-1,1)-1)</f>
        <v>-4.0091436953700543E-2</v>
      </c>
      <c r="DI41" s="9">
        <f ca="1">IF(OR(DI14="",DI$28&lt;$A41),"",DI14/OFFSET(SSTotalESP!$A$2,MATCH(DI$29,SSTotalESP!$A$2:$A$500)+$A41-1,1)-1)</f>
        <v>-4.2255682162243735E-2</v>
      </c>
      <c r="DJ41" s="9">
        <f ca="1">IF(OR(DJ14="",DJ$28&lt;$A41),"",DJ14/OFFSET(SSTotalESP!$A$2,MATCH(DJ$29,SSTotalESP!$A$2:$A$500)+$A41-1,1)-1)</f>
        <v>-4.4410330285574617E-2</v>
      </c>
      <c r="DK41" s="9">
        <f ca="1">IF(OR(DK14="",DK$28&lt;$A41),"",DK14/OFFSET(SSTotalESP!$A$2,MATCH(DK$29,SSTotalESP!$A$2:$A$500)+$A41-1,1)-1)</f>
        <v>-3.7756215806799887E-2</v>
      </c>
      <c r="DL41" s="9">
        <f ca="1">IF(OR(DL14="",DL$28&lt;$A41),"",DL14/OFFSET(SSTotalESP!$A$2,MATCH(DL$29,SSTotalESP!$A$2:$A$500)+$A41-1,1)-1)</f>
        <v>-4.1408497603187322E-2</v>
      </c>
      <c r="DM41" s="9">
        <f ca="1">IF(OR(DM14="",DM$28&lt;$A41),"",DM14/OFFSET(SSTotalESP!$A$2,MATCH(DM$29,SSTotalESP!$A$2:$A$500)+$A41-1,1)-1)</f>
        <v>-4.3721958863865318E-2</v>
      </c>
      <c r="DN41" s="9">
        <f ca="1">IF(OR(DN14="",DN$28&lt;$A41),"",DN14/OFFSET(SSTotalESP!$A$2,MATCH(DN$29,SSTotalESP!$A$2:$A$500)+$A41-1,1)-1)</f>
        <v>-3.3970369740341955E-2</v>
      </c>
      <c r="DO41" s="9">
        <f ca="1">IF(OR(DO14="",DO$28&lt;$A41),"",DO14/OFFSET(SSTotalESP!$A$2,MATCH(DO$29,SSTotalESP!$A$2:$A$500)+$A41-1,1)-1)</f>
        <v>-3.2260678537675003E-2</v>
      </c>
      <c r="DP41" s="9">
        <f ca="1">IF(OR(DP14="",DP$28&lt;$A41),"",DP14/OFFSET(SSTotalESP!$A$2,MATCH(DP$29,SSTotalESP!$A$2:$A$500)+$A41-1,1)-1)</f>
        <v>-1.482217964569521E-2</v>
      </c>
      <c r="DQ41" s="9">
        <f ca="1">IF(OR(DQ14="",DQ$28&lt;$A41),"",DQ14/OFFSET(SSTotalESP!$A$2,MATCH(DQ$29,SSTotalESP!$A$2:$A$500)+$A41-1,1)-1)</f>
        <v>-1.9493423306572333E-2</v>
      </c>
      <c r="DR41" s="9">
        <f ca="1">IF(OR(DR14="",DR$28&lt;$A41),"",DR14/OFFSET(SSTotalESP!$A$2,MATCH(DR$29,SSTotalESP!$A$2:$A$500)+$A41-1,1)-1)</f>
        <v>-3.9068145908250917E-3</v>
      </c>
      <c r="DS41" s="9">
        <f ca="1">IF(OR(DS14="",DS$28&lt;$A41),"",DS14/OFFSET(SSTotalESP!$A$2,MATCH(DS$29,SSTotalESP!$A$2:$A$500)+$A41-1,1)-1)</f>
        <v>-1.4760291907132128E-2</v>
      </c>
      <c r="DT41" s="9">
        <f ca="1">IF(OR(DT14="",DT$28&lt;$A41),"",DT14/OFFSET(SSTotalESP!$A$2,MATCH(DT$29,SSTotalESP!$A$2:$A$500)+$A41-1,1)-1)</f>
        <v>-1.88947873438573E-2</v>
      </c>
      <c r="DU41" s="9">
        <f ca="1">IF(OR(DU14="",DU$28&lt;$A41),"",DU14/OFFSET(SSTotalESP!$A$2,MATCH(DU$29,SSTotalESP!$A$2:$A$500)+$A41-1,1)-1)</f>
        <v>-2.3112057785903639E-2</v>
      </c>
      <c r="DV41" s="9">
        <f ca="1">IF(OR(DV14="",DV$28&lt;$A41),"",DV14/OFFSET(SSTotalESP!$A$2,MATCH(DV$29,SSTotalESP!$A$2:$A$500)+$A41-1,1)-1)</f>
        <v>-1.4543530974803653E-2</v>
      </c>
      <c r="DW41" s="9">
        <f ca="1">IF(OR(DW14="",DW$28&lt;$A41),"",DW14/OFFSET(SSTotalESP!$A$2,MATCH(DW$29,SSTotalESP!$A$2:$A$500)+$A41-1,1)-1)</f>
        <v>-1.3672330305956493E-2</v>
      </c>
      <c r="DX41" s="9">
        <f ca="1">IF(OR(DX14="",DX$28&lt;$A41),"",DX14/OFFSET(SSTotalESP!$A$2,MATCH(DX$29,SSTotalESP!$A$2:$A$500)+$A41-1,1)-1)</f>
        <v>-2.1410765444316859E-2</v>
      </c>
      <c r="DY41" s="9">
        <f ca="1">IF(OR(DY14="",DY$28&lt;$A41),"",DY14/OFFSET(SSTotalESP!$A$2,MATCH(DY$29,SSTotalESP!$A$2:$A$500)+$A41-1,1)-1)</f>
        <v>-2.0447412547368482E-2</v>
      </c>
      <c r="DZ41" s="9">
        <f ca="1">IF(OR(DZ14="",DZ$28&lt;$A41),"",DZ14/OFFSET(SSTotalESP!$A$2,MATCH(DZ$29,SSTotalESP!$A$2:$A$500)+$A41-1,1)-1)</f>
        <v>-2.2516481704108915E-2</v>
      </c>
      <c r="EA41" s="9">
        <f ca="1">IF(OR(EA14="",EA$28&lt;$A41),"",EA14/OFFSET(SSTotalESP!$A$2,MATCH(EA$29,SSTotalESP!$A$2:$A$500)+$A41-1,1)-1)</f>
        <v>-1.4004336569622855E-2</v>
      </c>
      <c r="EB41" s="9">
        <f ca="1">IF(OR(EB14="",EB$28&lt;$A41),"",EB14/OFFSET(SSTotalESP!$A$2,MATCH(EB$29,SSTotalESP!$A$2:$A$500)+$A41-1,1)-1)</f>
        <v>-2.056523204595273E-2</v>
      </c>
      <c r="EC41" s="9">
        <f ca="1">IF(OR(EC14="",EC$28&lt;$A41),"",EC14/OFFSET(SSTotalESP!$A$2,MATCH(EC$29,SSTotalESP!$A$2:$A$500)+$A41-1,1)-1)</f>
        <v>-1.1608337139479286E-3</v>
      </c>
      <c r="ED41" s="9">
        <f ca="1">IF(OR(ED14="",ED$28&lt;$A41),"",ED14/OFFSET(SSTotalESP!$A$2,MATCH(ED$29,SSTotalESP!$A$2:$A$500)+$A41-1,1)-1)</f>
        <v>2.1483094403309533E-3</v>
      </c>
      <c r="EE41" s="9">
        <f ca="1">IF(OR(EE14="",EE$28&lt;$A41),"",EE14/OFFSET(SSTotalESP!$A$2,MATCH(EE$29,SSTotalESP!$A$2:$A$500)+$A41-1,1)-1)</f>
        <v>-1.3724611309227752E-2</v>
      </c>
      <c r="EF41" s="9">
        <f ca="1">IF(OR(EF14="",EF$28&lt;$A41),"",EF14/OFFSET(SSTotalESP!$A$2,MATCH(EF$29,SSTotalESP!$A$2:$A$500)+$A41-1,1)-1)</f>
        <v>7.4153620854811031E-4</v>
      </c>
      <c r="EG41" s="9">
        <f ca="1">IF(OR(EG14="",EG$28&lt;$A41),"",EG14/OFFSET(SSTotalESP!$A$2,MATCH(EG$29,SSTotalESP!$A$2:$A$500)+$A41-1,1)-1)</f>
        <v>1.5204330943734412E-2</v>
      </c>
      <c r="EH41" s="9">
        <f ca="1">IF(OR(EH14="",EH$28&lt;$A41),"",EH14/OFFSET(SSTotalESP!$A$2,MATCH(EH$29,SSTotalESP!$A$2:$A$500)+$A41-1,1)-1)</f>
        <v>1.6472598062001742E-2</v>
      </c>
      <c r="EI41" s="9">
        <f ca="1">IF(OR(EI14="",EI$28&lt;$A41),"",EI14/OFFSET(SSTotalESP!$A$2,MATCH(EI$29,SSTotalESP!$A$2:$A$500)+$A41-1,1)-1)</f>
        <v>1.1426530976922145E-2</v>
      </c>
      <c r="EJ41" s="9">
        <f ca="1">IF(OR(EJ14="",EJ$28&lt;$A41),"",EJ14/OFFSET(SSTotalESP!$A$2,MATCH(EJ$29,SSTotalESP!$A$2:$A$500)+$A41-1,1)-1)</f>
        <v>-6.7259284875604841E-3</v>
      </c>
      <c r="EK41" s="9">
        <f ca="1">IF(OR(EK14="",EK$28&lt;$A41),"",EK14/OFFSET(SSTotalESP!$A$2,MATCH(EK$29,SSTotalESP!$A$2:$A$500)+$A41-1,1)-1)</f>
        <v>-5.2508115799295707E-3</v>
      </c>
      <c r="EL41" s="9">
        <f ca="1">IF(OR(EL14="",EL$28&lt;$A41),"",EL14/OFFSET(SSTotalESP!$A$2,MATCH(EL$29,SSTotalESP!$A$2:$A$500)+$A41-1,1)-1)</f>
        <v>-1.7380346517020917E-2</v>
      </c>
      <c r="EM41" s="9">
        <f ca="1">IF(OR(EM14="",EM$28&lt;$A41),"",EM14/OFFSET(SSTotalESP!$A$2,MATCH(EM$29,SSTotalESP!$A$2:$A$500)+$A41-1,1)-1)</f>
        <v>-1.1269195279600352E-2</v>
      </c>
      <c r="EN41" s="9">
        <f ca="1">IF(OR(EN14="",EN$28&lt;$A41),"",EN14/OFFSET(SSTotalESP!$A$2,MATCH(EN$29,SSTotalESP!$A$2:$A$500)+$A41-1,1)-1)</f>
        <v>-1.4210901525976705E-2</v>
      </c>
      <c r="EO41" s="9">
        <f ca="1">IF(OR(EO14="",EO$28&lt;$A41),"",EO14/OFFSET(SSTotalESP!$A$2,MATCH(EO$29,SSTotalESP!$A$2:$A$500)+$A41-1,1)-1)</f>
        <v>-5.9836051469231988E-3</v>
      </c>
      <c r="EP41" s="9">
        <f ca="1">IF(OR(EP14="",EP$28&lt;$A41),"",EP14/OFFSET(SSTotalESP!$A$2,MATCH(EP$29,SSTotalESP!$A$2:$A$500)+$A41-1,1)-1)</f>
        <v>-1.4186300148988362E-4</v>
      </c>
      <c r="EQ41" s="9">
        <f ca="1">IF(OR(EQ14="",EQ$28&lt;$A41),"",EQ14/OFFSET(SSTotalESP!$A$2,MATCH(EQ$29,SSTotalESP!$A$2:$A$500)+$A41-1,1)-1)</f>
        <v>-1.0306414166713296E-2</v>
      </c>
      <c r="ER41" s="9">
        <f ca="1">IF(OR(ER14="",ER$28&lt;$A41),"",ER14/OFFSET(SSTotalESP!$A$2,MATCH(ER$29,SSTotalESP!$A$2:$A$500)+$A41-1,1)-1)</f>
        <v>-1.464559230815865E-2</v>
      </c>
      <c r="ES41" s="9">
        <f ca="1">IF(OR(ES14="",ES$28&lt;$A41),"",ES14/OFFSET(SSTotalESP!$A$2,MATCH(ES$29,SSTotalESP!$A$2:$A$500)+$A41-1,1)-1)</f>
        <v>-1.0597795016668576E-2</v>
      </c>
      <c r="ET41" s="9">
        <f ca="1">IF(OR(ET14="",ET$28&lt;$A41),"",ET14/OFFSET(SSTotalESP!$A$2,MATCH(ET$29,SSTotalESP!$A$2:$A$500)+$A41-1,1)-1)</f>
        <v>-1.2927090142398567E-2</v>
      </c>
      <c r="EU41" s="9">
        <f ca="1">IF(OR(EU14="",EU$28&lt;$A41),"",EU14/OFFSET(SSTotalESP!$A$2,MATCH(EU$29,SSTotalESP!$A$2:$A$500)+$A41-1,1)-1)</f>
        <v>-1.437924976526328E-2</v>
      </c>
      <c r="EV41" s="9">
        <f ca="1">IF(OR(EV14="",EV$28&lt;$A41),"",EV14/OFFSET(SSTotalESP!$A$2,MATCH(EV$29,SSTotalESP!$A$2:$A$500)+$A41-1,1)-1)</f>
        <v>-5.9282375439965174E-3</v>
      </c>
      <c r="EW41" s="9">
        <f ca="1">IF(OR(EW14="",EW$28&lt;$A41),"",EW14/OFFSET(SSTotalESP!$A$2,MATCH(EW$29,SSTotalESP!$A$2:$A$500)+$A41-1,1)-1)</f>
        <v>-5.812745148611187E-3</v>
      </c>
      <c r="EX41" s="9">
        <f ca="1">IF(OR(EX14="",EX$28&lt;$A41),"",EX14/OFFSET(SSTotalESP!$A$2,MATCH(EX$29,SSTotalESP!$A$2:$A$500)+$A41-1,1)-1)</f>
        <v>-1.402899019575532E-2</v>
      </c>
      <c r="EY41" s="9">
        <f ca="1">IF(OR(EY14="",EY$28&lt;$A41),"",EY14/OFFSET(SSTotalESP!$A$2,MATCH(EY$29,SSTotalESP!$A$2:$A$500)+$A41-1,1)-1)</f>
        <v>-1.236548289574535E-2</v>
      </c>
      <c r="EZ41" s="9">
        <f ca="1">IF(OR(EZ14="",EZ$28&lt;$A41),"",EZ14/OFFSET(SSTotalESP!$A$2,MATCH(EZ$29,SSTotalESP!$A$2:$A$500)+$A41-1,1)-1)</f>
        <v>3.0214339189507111E-3</v>
      </c>
      <c r="FA41" s="9">
        <f ca="1">IF(OR(FA14="",FA$28&lt;$A41),"",FA14/OFFSET(SSTotalESP!$A$2,MATCH(FA$29,SSTotalESP!$A$2:$A$500)+$A41-1,1)-1)</f>
        <v>-1.2104716550869088E-2</v>
      </c>
      <c r="FB41" s="9">
        <f ca="1">IF(OR(FB14="",FB$28&lt;$A41),"",FB14/OFFSET(SSTotalESP!$A$2,MATCH(FB$29,SSTotalESP!$A$2:$A$500)+$A41-1,1)-1)</f>
        <v>-8.2866978954743153E-3</v>
      </c>
      <c r="FC41" s="9">
        <f ca="1">IF(OR(FC14="",FC$28&lt;$A41),"",FC14/OFFSET(SSTotalESP!$A$2,MATCH(FC$29,SSTotalESP!$A$2:$A$500)+$A41-1,1)-1)</f>
        <v>-6.4567673483876264E-3</v>
      </c>
      <c r="FD41" s="9">
        <f ca="1">IF(OR(FD14="",FD$28&lt;$A41),"",FD14/OFFSET(SSTotalESP!$A$2,MATCH(FD$29,SSTotalESP!$A$2:$A$500)+$A41-1,1)-1)</f>
        <v>-7.1818852132929933E-3</v>
      </c>
      <c r="FE41" s="9">
        <f ca="1">IF(OR(FE14="",FE$28&lt;$A41),"",FE14/OFFSET(SSTotalESP!$A$2,MATCH(FE$29,SSTotalESP!$A$2:$A$500)+$A41-1,1)-1)</f>
        <v>9.6491478333238234E-4</v>
      </c>
      <c r="FF41" s="9">
        <f ca="1">IF(OR(FF14="",FF$28&lt;$A41),"",FF14/OFFSET(SSTotalESP!$A$2,MATCH(FF$29,SSTotalESP!$A$2:$A$500)+$A41-1,1)-1)</f>
        <v>1.2133995642133133E-2</v>
      </c>
      <c r="FG41" s="9">
        <f ca="1">IF(OR(FG14="",FG$28&lt;$A41),"",FG14/OFFSET(SSTotalESP!$A$2,MATCH(FG$29,SSTotalESP!$A$2:$A$500)+$A41-1,1)-1)</f>
        <v>5.0915656925549779E-3</v>
      </c>
      <c r="FH41" s="9">
        <f ca="1">IF(OR(FH14="",FH$28&lt;$A41),"",FH14/OFFSET(SSTotalESP!$A$2,MATCH(FH$29,SSTotalESP!$A$2:$A$500)+$A41-1,1)-1)</f>
        <v>3.2104924690075087E-3</v>
      </c>
      <c r="FI41" s="9">
        <f ca="1">IF(OR(FI14="",FI$28&lt;$A41),"",FI14/OFFSET(SSTotalESP!$A$2,MATCH(FI$29,SSTotalESP!$A$2:$A$500)+$A41-1,1)-1)</f>
        <v>-3.0850366584560529E-3</v>
      </c>
      <c r="FJ41" s="9">
        <f ca="1">IF(OR(FJ14="",FJ$28&lt;$A41),"",FJ14/OFFSET(SSTotalESP!$A$2,MATCH(FJ$29,SSTotalESP!$A$2:$A$500)+$A41-1,1)-1)</f>
        <v>-1.0581404753406076E-2</v>
      </c>
      <c r="FK41" s="9">
        <f ca="1">IF(OR(FK14="",FK$28&lt;$A41),"",FK14/OFFSET(SSTotalESP!$A$2,MATCH(FK$29,SSTotalESP!$A$2:$A$500)+$A41-1,1)-1)</f>
        <v>-2.8448818585719016E-3</v>
      </c>
      <c r="FL41" s="9">
        <f ca="1">IF(OR(FL14="",FL$28&lt;$A41),"",FL14/OFFSET(SSTotalESP!$A$2,MATCH(FL$29,SSTotalESP!$A$2:$A$500)+$A41-1,1)-1)</f>
        <v>1.6468129192293013E-4</v>
      </c>
      <c r="FM41" s="9">
        <f ca="1">IF(OR(FM14="",FM$28&lt;$A41),"",FM14/OFFSET(SSTotalESP!$A$2,MATCH(FM$29,SSTotalESP!$A$2:$A$500)+$A41-1,1)-1)</f>
        <v>1.7290781577790071E-3</v>
      </c>
      <c r="FN41" s="9">
        <f ca="1">IF(OR(FN14="",FN$28&lt;$A41),"",FN14/OFFSET(SSTotalESP!$A$2,MATCH(FN$29,SSTotalESP!$A$2:$A$500)+$A41-1,1)-1)</f>
        <v>-7.1127522619789385E-3</v>
      </c>
      <c r="FO41" s="9">
        <f ca="1">IF(OR(FO14="",FO$28&lt;$A41),"",FO14/OFFSET(SSTotalESP!$A$2,MATCH(FO$29,SSTotalESP!$A$2:$A$500)+$A41-1,1)-1)</f>
        <v>-2.6981183778914675E-3</v>
      </c>
      <c r="FP41" s="9">
        <f ca="1">IF(OR(FP14="",FP$28&lt;$A41),"",FP14/OFFSET(SSTotalESP!$A$2,MATCH(FP$29,SSTotalESP!$A$2:$A$500)+$A41-1,1)-1)</f>
        <v>-7.2611998439342518E-4</v>
      </c>
      <c r="FQ41" s="9">
        <f ca="1">IF(OR(FQ14="",FQ$28&lt;$A41),"",FQ14/OFFSET(SSTotalESP!$A$2,MATCH(FQ$29,SSTotalESP!$A$2:$A$500)+$A41-1,1)-1)</f>
        <v>-4.2361027089156122E-3</v>
      </c>
      <c r="FR41" s="9">
        <f ca="1">IF(OR(FR14="",FR$28&lt;$A41),"",FR14/OFFSET(SSTotalESP!$A$2,MATCH(FR$29,SSTotalESP!$A$2:$A$500)+$A41-1,1)-1)</f>
        <v>-4.6925661350347703E-3</v>
      </c>
      <c r="FS41" s="9">
        <f ca="1">IF(OR(FS14="",FS$28&lt;$A41),"",FS14/OFFSET(SSTotalESP!$A$2,MATCH(FS$29,SSTotalESP!$A$2:$A$500)+$A41-1,1)-1)</f>
        <v>3.5027523813564443E-3</v>
      </c>
      <c r="FT41" s="9">
        <f ca="1">IF(OR(FT14="",FT$28&lt;$A41),"",FT14/OFFSET(SSTotalESP!$A$2,MATCH(FT$29,SSTotalESP!$A$2:$A$500)+$A41-1,1)-1)</f>
        <v>3.2471230889836722E-3</v>
      </c>
      <c r="FU41" s="9">
        <f ca="1">IF(OR(FU14="",FU$28&lt;$A41),"",FU14/OFFSET(SSTotalESP!$A$2,MATCH(FU$29,SSTotalESP!$A$2:$A$500)+$A41-1,1)-1)</f>
        <v>-3.7100906663054545E-3</v>
      </c>
      <c r="FV41" s="9">
        <f ca="1">IF(OR(FV14="",FV$28&lt;$A41),"",FV14/OFFSET(SSTotalESP!$A$2,MATCH(FV$29,SSTotalESP!$A$2:$A$500)+$A41-1,1)-1)</f>
        <v>-1.1171766616375089E-2</v>
      </c>
      <c r="FW41" s="9">
        <f ca="1">IF(OR(FW14="",FW$28&lt;$A41),"",FW14/OFFSET(SSTotalESP!$A$2,MATCH(FW$29,SSTotalESP!$A$2:$A$500)+$A41-1,1)-1)</f>
        <v>-4.9003300186121201E-3</v>
      </c>
      <c r="FX41" s="9">
        <f ca="1">IF(OR(FX14="",FX$28&lt;$A41),"",FX14/OFFSET(SSTotalESP!$A$2,MATCH(FX$29,SSTotalESP!$A$2:$A$500)+$A41-1,1)-1)</f>
        <v>1.2187729118406043E-2</v>
      </c>
      <c r="FY41" s="9">
        <f ca="1">IF(OR(FY14="",FY$28&lt;$A41),"",FY14/OFFSET(SSTotalESP!$A$2,MATCH(FY$29,SSTotalESP!$A$2:$A$500)+$A41-1,1)-1)</f>
        <v>-3.0071365625060631E-3</v>
      </c>
      <c r="FZ41" s="9">
        <f ca="1">IF(OR(FZ14="",FZ$28&lt;$A41),"",FZ14/OFFSET(SSTotalESP!$A$2,MATCH(FZ$29,SSTotalESP!$A$2:$A$500)+$A41-1,1)-1)</f>
        <v>9.0978815071405261E-3</v>
      </c>
      <c r="GA41" s="9">
        <f ca="1">IF(OR(GA14="",GA$28&lt;$A41),"",GA14/OFFSET(SSTotalESP!$A$2,MATCH(GA$29,SSTotalESP!$A$2:$A$500)+$A41-1,1)-1)</f>
        <v>2.556207972270963E-3</v>
      </c>
      <c r="GB41" s="9">
        <f ca="1">IF(OR(GB14="",GB$28&lt;$A41),"",GB14/OFFSET(SSTotalESP!$A$2,MATCH(GB$29,SSTotalESP!$A$2:$A$500)+$A41-1,1)-1)</f>
        <v>1.0843402647373601E-3</v>
      </c>
      <c r="GC41" s="9">
        <f ca="1">IF(OR(GC14="",GC$28&lt;$A41),"",GC14/OFFSET(SSTotalESP!$A$2,MATCH(GC$29,SSTotalESP!$A$2:$A$500)+$A41-1,1)-1)</f>
        <v>2.9078242132732246E-2</v>
      </c>
      <c r="GD41" s="9">
        <f ca="1">IF(OR(GD14="",GD$28&lt;$A41),"",GD14/OFFSET(SSTotalESP!$A$2,MATCH(GD$29,SSTotalESP!$A$2:$A$500)+$A41-1,1)-1)</f>
        <v>7.1099537351652087E-2</v>
      </c>
      <c r="GE41" s="9">
        <f ca="1">IF(OR(GE14="",GE$28&lt;$A41),"",GE14/OFFSET(SSTotalESP!$A$2,MATCH(GE$29,SSTotalESP!$A$2:$A$500)+$A41-1,1)-1)</f>
        <v>7.3121889223985992E-2</v>
      </c>
      <c r="GF41" s="9">
        <f ca="1">IF(OR(GF14="",GF$28&lt;$A41),"",GF14/OFFSET(SSTotalESP!$A$2,MATCH(GF$29,SSTotalESP!$A$2:$A$500)+$A41-1,1)-1)</f>
        <v>7.2956709920813712E-2</v>
      </c>
      <c r="GG41" s="9">
        <f ca="1">IF(OR(GG14="",GG$28&lt;$A41),"",GG14/OFFSET(SSTotalESP!$A$2,MATCH(GG$29,SSTotalESP!$A$2:$A$500)+$A41-1,1)-1)</f>
        <v>5.917795797119596E-2</v>
      </c>
      <c r="GH41" s="9">
        <f ca="1">IF(OR(GH14="",GH$28&lt;$A41),"",GH14/OFFSET(SSTotalESP!$A$2,MATCH(GH$29,SSTotalESP!$A$2:$A$500)+$A41-1,1)-1)</f>
        <v>4.0222871131937232E-2</v>
      </c>
      <c r="GI41" s="9">
        <f ca="1">IF(OR(GI14="",GI$28&lt;$A41),"",GI14/OFFSET(SSTotalESP!$A$2,MATCH(GI$29,SSTotalESP!$A$2:$A$500)+$A41-1,1)-1)</f>
        <v>3.6268372773340607E-2</v>
      </c>
      <c r="GJ41" s="9">
        <f ca="1">IF(OR(GJ14="",GJ$28&lt;$A41),"",GJ14/OFFSET(SSTotalESP!$A$2,MATCH(GJ$29,SSTotalESP!$A$2:$A$500)+$A41-1,1)-1)</f>
        <v>4.2174208941848645E-2</v>
      </c>
      <c r="GK41" s="9">
        <f ca="1">IF(OR(GK14="",GK$28&lt;$A41),"",GK14/OFFSET(SSTotalESP!$A$2,MATCH(GK$29,SSTotalESP!$A$2:$A$500)+$A41-1,1)-1)</f>
        <v>3.311137796096264E-2</v>
      </c>
      <c r="GL41" s="9">
        <f ca="1">IF(OR(GL14="",GL$28&lt;$A41),"",GL14/OFFSET(SSTotalESP!$A$2,MATCH(GL$29,SSTotalESP!$A$2:$A$500)+$A41-1,1)-1)</f>
        <v>3.3497117705270529E-2</v>
      </c>
      <c r="GM41" s="9">
        <f ca="1">IF(OR(GM14="",GM$28&lt;$A41),"",GM14/OFFSET(SSTotalESP!$A$2,MATCH(GM$29,SSTotalESP!$A$2:$A$500)+$A41-1,1)-1)</f>
        <v>2.6371330030518836E-2</v>
      </c>
      <c r="GN41" s="9" t="str">
        <f ca="1">IF(OR(GN14="",GN$28&lt;$A41),"",GN14/OFFSET(SSTotalESP!$A$2,MATCH(GN$29,SSTotalESP!$A$2:$A$500)+$A41-1,1)-1)</f>
        <v/>
      </c>
      <c r="GO41" s="9" t="str">
        <f ca="1">IF(OR(GO14="",GO$28&lt;$A41),"",GO14/OFFSET(SSTotalESP!$A$2,MATCH(GO$29,SSTotalESP!$A$2:$A$500)+$A41-1,1)-1)</f>
        <v/>
      </c>
      <c r="GP41" s="9" t="str">
        <f ca="1">IF(OR(GP14="",GP$28&lt;$A41),"",GP14/OFFSET(SSTotalESP!$A$2,MATCH(GP$29,SSTotalESP!$A$2:$A$500)+$A41-1,1)-1)</f>
        <v/>
      </c>
      <c r="GQ41" s="9" t="str">
        <f ca="1">IF(OR(GQ14="",GQ$28&lt;$A41),"",GQ14/OFFSET(SSTotalESP!$A$2,MATCH(GQ$29,SSTotalESP!$A$2:$A$500)+$A41-1,1)-1)</f>
        <v/>
      </c>
      <c r="GR41" s="9" t="str">
        <f ca="1">IF(OR(GR14="",GR$28&lt;$A41),"",GR14/OFFSET(SSTotalESP!$A$2,MATCH(GR$29,SSTotalESP!$A$2:$A$500)+$A41-1,1)-1)</f>
        <v/>
      </c>
      <c r="GS41" s="9" t="str">
        <f ca="1">IF(OR(GS14="",GS$28&lt;$A41),"",GS14/OFFSET(SSTotalESP!$A$2,MATCH(GS$29,SSTotalESP!$A$2:$A$500)+$A41-1,1)-1)</f>
        <v/>
      </c>
      <c r="GT41" s="9" t="str">
        <f ca="1">IF(OR(GT14="",GT$28&lt;$A41),"",GT14/OFFSET(SSTotalESP!$A$2,MATCH(GT$29,SSTotalESP!$A$2:$A$500)+$A41-1,1)-1)</f>
        <v/>
      </c>
      <c r="GU41" s="9" t="str">
        <f ca="1">IF(OR(GU14="",GU$28&lt;$A41),"",GU14/OFFSET(SSTotalESP!$A$2,MATCH(GU$29,SSTotalESP!$A$2:$A$500)+$A41-1,1)-1)</f>
        <v/>
      </c>
      <c r="GV41" s="9" t="str">
        <f ca="1">IF(OR(GV14="",GV$28&lt;$A41),"",GV14/OFFSET(SSTotalESP!$A$2,MATCH(GV$29,SSTotalESP!$A$2:$A$500)+$A41-1,1)-1)</f>
        <v/>
      </c>
      <c r="GW41" s="9" t="str">
        <f ca="1">IF(OR(GW14="",GW$28&lt;$A41),"",GW14/OFFSET(SSTotalESP!$A$2,MATCH(GW$29,SSTotalESP!$A$2:$A$500)+$A41-1,1)-1)</f>
        <v/>
      </c>
      <c r="GX41" s="9" t="str">
        <f ca="1">IF(OR(GX14="",GX$28&lt;$A41),"",GX14/OFFSET(SSTotalESP!$A$2,MATCH(GX$29,SSTotalESP!$A$2:$A$500)+$A41-1,1)-1)</f>
        <v/>
      </c>
      <c r="GY41" s="9" t="str">
        <f ca="1">IF(OR(GY14="",GY$28&lt;$A41),"",GY14/OFFSET(SSTotalESP!$A$2,MATCH(GY$29,SSTotalESP!$A$2:$A$500)+$A41-1,1)-1)</f>
        <v/>
      </c>
      <c r="GZ41" s="9" t="str">
        <f ca="1">IF(OR(GZ14="",GZ$28&lt;$A41),"",GZ14/OFFSET(SSTotalESP!$A$2,MATCH(GZ$29,SSTotalESP!$A$2:$A$500)+$A41-1,1)-1)</f>
        <v/>
      </c>
      <c r="HA41" s="9" t="str">
        <f ca="1">IF(OR(HA14="",HA$28&lt;$A41),"",HA14/OFFSET(SSTotalESP!$A$2,MATCH(HA$29,SSTotalESP!$A$2:$A$500)+$A41-1,1)-1)</f>
        <v/>
      </c>
      <c r="HB41" s="9" t="str">
        <f ca="1">IF(OR(HB14="",HB$28&lt;$A41),"",HB14/OFFSET(SSTotalESP!$A$2,MATCH(HB$29,SSTotalESP!$A$2:$A$500)+$A41-1,1)-1)</f>
        <v/>
      </c>
      <c r="HC41" s="9" t="str">
        <f ca="1">IF(OR(HC14="",HC$28&lt;$A41),"",HC14/OFFSET(SSTotalESP!$A$2,MATCH(HC$29,SSTotalESP!$A$2:$A$500)+$A41-1,1)-1)</f>
        <v/>
      </c>
      <c r="HD41" s="9" t="str">
        <f ca="1">IF(OR(HD14="",HD$28&lt;$A41),"",HD14/OFFSET(SSTotalESP!$A$2,MATCH(HD$29,SSTotalESP!$A$2:$A$500)+$A41-1,1)-1)</f>
        <v/>
      </c>
      <c r="HE41" s="9" t="str">
        <f ca="1">IF(OR(HE14="",HE$28&lt;$A41),"",HE14/OFFSET(SSTotalESP!$A$2,MATCH(HE$29,SSTotalESP!$A$2:$A$500)+$A41-1,1)-1)</f>
        <v/>
      </c>
      <c r="HF41" s="9" t="str">
        <f ca="1">IF(OR(HF14="",HF$28&lt;$A41),"",HF14/OFFSET(SSTotalESP!$A$2,MATCH(HF$29,SSTotalESP!$A$2:$A$500)+$A41-1,1)-1)</f>
        <v/>
      </c>
      <c r="HG41" s="9" t="str">
        <f ca="1">IF(OR(HG14="",HG$28&lt;$A41),"",HG14/OFFSET(SSTotalESP!$A$2,MATCH(HG$29,SSTotalESP!$A$2:$A$500)+$A41-1,1)-1)</f>
        <v/>
      </c>
      <c r="HH41" s="9" t="str">
        <f ca="1">IF(OR(HH14="",HH$28&lt;$A41),"",HH14/OFFSET(SSTotalESP!$A$2,MATCH(HH$29,SSTotalESP!$A$2:$A$500)+$A41-1,1)-1)</f>
        <v/>
      </c>
      <c r="HI41" s="9" t="str">
        <f ca="1">IF(OR(HI14="",HI$28&lt;$A41),"",HI14/OFFSET(SSTotalESP!$A$2,MATCH(HI$29,SSTotalESP!$A$2:$A$500)+$A41-1,1)-1)</f>
        <v/>
      </c>
      <c r="HJ41" s="9" t="str">
        <f ca="1">IF(OR(HJ14="",HJ$28&lt;$A41),"",HJ14/OFFSET(SSTotalESP!$A$2,MATCH(HJ$29,SSTotalESP!$A$2:$A$500)+$A41-1,1)-1)</f>
        <v/>
      </c>
      <c r="HK41" s="9" t="str">
        <f ca="1">IF(OR(HK14="",HK$28&lt;$A41),"",HK14/OFFSET(SSTotalESP!$A$2,MATCH(HK$29,SSTotalESP!$A$2:$A$500)+$A41-1,1)-1)</f>
        <v/>
      </c>
      <c r="HL41" s="9" t="str">
        <f ca="1">IF(OR(HL14="",HL$28&lt;$A41),"",HL14/OFFSET(SSTotalESP!$A$2,MATCH(HL$29,SSTotalESP!$A$2:$A$500)+$A41-1,1)-1)</f>
        <v/>
      </c>
      <c r="HM41" s="9" t="str">
        <f ca="1">IF(OR(HM14="",HM$28&lt;$A41),"",HM14/OFFSET(SSTotalESP!$A$2,MATCH(HM$29,SSTotalESP!$A$2:$A$500)+$A41-1,1)-1)</f>
        <v/>
      </c>
      <c r="HN41" s="9" t="str">
        <f ca="1">IF(OR(HN14="",HN$28&lt;$A41),"",HN14/OFFSET(SSTotalESP!$A$2,MATCH(HN$29,SSTotalESP!$A$2:$A$500)+$A41-1,1)-1)</f>
        <v/>
      </c>
      <c r="HO41" s="9" t="str">
        <f ca="1">IF(OR(HO14="",HO$28&lt;$A41),"",HO14/OFFSET(SSTotalESP!$A$2,MATCH(HO$29,SSTotalESP!$A$2:$A$500)+$A41-1,1)-1)</f>
        <v/>
      </c>
      <c r="HP41" s="9" t="str">
        <f ca="1">IF(OR(HP14="",HP$28&lt;$A41),"",HP14/OFFSET(SSTotalESP!$A$2,MATCH(HP$29,SSTotalESP!$A$2:$A$500)+$A41-1,1)-1)</f>
        <v/>
      </c>
      <c r="HQ41" s="9" t="str">
        <f ca="1">IF(OR(HQ14="",HQ$28&lt;$A41),"",HQ14/OFFSET(SSTotalESP!$A$2,MATCH(HQ$29,SSTotalESP!$A$2:$A$500)+$A41-1,1)-1)</f>
        <v/>
      </c>
      <c r="HR41" s="9" t="str">
        <f ca="1">IF(OR(HR14="",HR$28&lt;$A41),"",HR14/OFFSET(SSTotalESP!$A$2,MATCH(HR$29,SSTotalESP!$A$2:$A$500)+$A41-1,1)-1)</f>
        <v/>
      </c>
      <c r="HS41" s="9" t="str">
        <f ca="1">IF(OR(HS14="",HS$28&lt;$A41),"",HS14/OFFSET(SSTotalESP!$A$2,MATCH(HS$29,SSTotalESP!$A$2:$A$500)+$A41-1,1)-1)</f>
        <v/>
      </c>
      <c r="HT41" s="9" t="str">
        <f ca="1">IF(OR(HT14="",HT$28&lt;$A41),"",HT14/OFFSET(SSTotalESP!$A$2,MATCH(HT$29,SSTotalESP!$A$2:$A$500)+$A41-1,1)-1)</f>
        <v/>
      </c>
      <c r="HU41" s="9" t="str">
        <f ca="1">IF(OR(HU14="",HU$28&lt;$A41),"",HU14/OFFSET(SSTotalESP!$A$2,MATCH(HU$29,SSTotalESP!$A$2:$A$500)+$A41-1,1)-1)</f>
        <v/>
      </c>
      <c r="HV41" s="9" t="str">
        <f ca="1">IF(OR(HV14="",HV$28&lt;$A41),"",HV14/OFFSET(SSTotalESP!$A$2,MATCH(HV$29,SSTotalESP!$A$2:$A$500)+$A41-1,1)-1)</f>
        <v/>
      </c>
      <c r="HW41" s="9" t="str">
        <f ca="1">IF(OR(HW14="",HW$28&lt;$A41),"",HW14/OFFSET(SSTotalESP!$A$2,MATCH(HW$29,SSTotalESP!$A$2:$A$500)+$A41-1,1)-1)</f>
        <v/>
      </c>
      <c r="HX41" s="9" t="str">
        <f ca="1">IF(OR(HX14="",HX$28&lt;$A41),"",HX14/OFFSET(SSTotalESP!$A$2,MATCH(HX$29,SSTotalESP!$A$2:$A$500)+$A41-1,1)-1)</f>
        <v/>
      </c>
      <c r="HY41" s="9" t="str">
        <f ca="1">IF(OR(HY14="",HY$28&lt;$A41),"",HY14/OFFSET(SSTotalESP!$A$2,MATCH(HY$29,SSTotalESP!$A$2:$A$500)+$A41-1,1)-1)</f>
        <v/>
      </c>
      <c r="HZ41" s="9" t="str">
        <f ca="1">IF(OR(HZ14="",HZ$28&lt;$A41),"",HZ14/OFFSET(SSTotalESP!$A$2,MATCH(HZ$29,SSTotalESP!$A$2:$A$500)+$A41-1,1)-1)</f>
        <v/>
      </c>
      <c r="IA41" s="9" t="str">
        <f ca="1">IF(OR(IA14="",IA$28&lt;$A41),"",IA14/OFFSET(SSTotalESP!$A$2,MATCH(IA$29,SSTotalESP!$A$2:$A$500)+$A41-1,1)-1)</f>
        <v/>
      </c>
      <c r="IB41" s="9" t="str">
        <f ca="1">IF(OR(IB14="",IB$28&lt;$A41),"",IB14/OFFSET(SSTotalESP!$A$2,MATCH(IB$29,SSTotalESP!$A$2:$A$500)+$A41-1,1)-1)</f>
        <v/>
      </c>
      <c r="IC41" s="9" t="str">
        <f ca="1">IF(OR(IC14="",IC$28&lt;$A41),"",IC14/OFFSET(SSTotalESP!$A$2,MATCH(IC$29,SSTotalESP!$A$2:$A$500)+$A41-1,1)-1)</f>
        <v/>
      </c>
      <c r="ID41" s="9" t="str">
        <f ca="1">IF(OR(ID14="",ID$28&lt;$A41),"",ID14/OFFSET(SSTotalESP!$A$2,MATCH(ID$29,SSTotalESP!$A$2:$A$500)+$A41-1,1)-1)</f>
        <v/>
      </c>
      <c r="IE41" s="9" t="str">
        <f ca="1">IF(OR(IE14="",IE$28&lt;$A41),"",IE14/OFFSET(SSTotalESP!$A$2,MATCH(IE$29,SSTotalESP!$A$2:$A$500)+$A41-1,1)-1)</f>
        <v/>
      </c>
      <c r="IF41" s="9" t="str">
        <f ca="1">IF(OR(IF14="",IF$28&lt;$A41),"",IF14/OFFSET(SSTotalESP!$A$2,MATCH(IF$29,SSTotalESP!$A$2:$A$500)+$A41-1,1)-1)</f>
        <v/>
      </c>
      <c r="IG41" s="9" t="str">
        <f ca="1">IF(OR(IG14="",IG$28&lt;$A41),"",IG14/OFFSET(SSTotalESP!$A$2,MATCH(IG$29,SSTotalESP!$A$2:$A$500)+$A41-1,1)-1)</f>
        <v/>
      </c>
      <c r="IH41" s="9" t="str">
        <f ca="1">IF(OR(IH14="",IH$28&lt;$A41),"",IH14/OFFSET(SSTotalESP!$A$2,MATCH(IH$29,SSTotalESP!$A$2:$A$500)+$A41-1,1)-1)</f>
        <v/>
      </c>
      <c r="II41" s="9" t="str">
        <f ca="1">IF(OR(II14="",II$28&lt;$A41),"",II14/OFFSET(SSTotalESP!$A$2,MATCH(II$29,SSTotalESP!$A$2:$A$500)+$A41-1,1)-1)</f>
        <v/>
      </c>
      <c r="IJ41" s="9" t="str">
        <f ca="1">IF(OR(IJ14="",IJ$28&lt;$A41),"",IJ14/OFFSET(SSTotalESP!$A$2,MATCH(IJ$29,SSTotalESP!$A$2:$A$500)+$A41-1,1)-1)</f>
        <v/>
      </c>
      <c r="IK41" s="9" t="str">
        <f ca="1">IF(OR(IK14="",IK$28&lt;$A41),"",IK14/OFFSET(SSTotalESP!$A$2,MATCH(IK$29,SSTotalESP!$A$2:$A$500)+$A41-1,1)-1)</f>
        <v/>
      </c>
      <c r="IL41" s="9" t="str">
        <f ca="1">IF(OR(IL14="",IL$28&lt;$A41),"",IL14/OFFSET(SSTotalESP!$A$2,MATCH(IL$29,SSTotalESP!$A$2:$A$500)+$A41-1,1)-1)</f>
        <v/>
      </c>
      <c r="IM41" s="9" t="str">
        <f ca="1">IF(OR(IM14="",IM$28&lt;$A41),"",IM14/OFFSET(SSTotalESP!$A$2,MATCH(IM$29,SSTotalESP!$A$2:$A$500)+$A41-1,1)-1)</f>
        <v/>
      </c>
      <c r="IN41" s="9" t="str">
        <f ca="1">IF(OR(IN14="",IN$28&lt;$A41),"",IN14/OFFSET(SSTotalESP!$A$2,MATCH(IN$29,SSTotalESP!$A$2:$A$500)+$A41-1,1)-1)</f>
        <v/>
      </c>
      <c r="IO41" s="9" t="str">
        <f ca="1">IF(OR(IO14="",IO$28&lt;$A41),"",IO14/OFFSET(SSTotalESP!$A$2,MATCH(IO$29,SSTotalESP!$A$2:$A$500)+$A41-1,1)-1)</f>
        <v/>
      </c>
      <c r="IP41" s="9" t="str">
        <f ca="1">IF(OR(IP14="",IP$28&lt;$A41),"",IP14/OFFSET(SSTotalESP!$A$2,MATCH(IP$29,SSTotalESP!$A$2:$A$500)+$A41-1,1)-1)</f>
        <v/>
      </c>
      <c r="IQ41" s="9" t="str">
        <f ca="1">IF(OR(IQ14="",IQ$28&lt;$A41),"",IQ14/OFFSET(SSTotalESP!$A$2,MATCH(IQ$29,SSTotalESP!$A$2:$A$500)+$A41-1,1)-1)</f>
        <v/>
      </c>
      <c r="IR41" s="9" t="str">
        <f ca="1">IF(OR(IR14="",IR$28&lt;$A41),"",IR14/OFFSET(SSTotalESP!$A$2,MATCH(IR$29,SSTotalESP!$A$2:$A$500)+$A41-1,1)-1)</f>
        <v/>
      </c>
      <c r="IS41" s="9" t="str">
        <f ca="1">IF(OR(IS14="",IS$28&lt;$A41),"",IS14/OFFSET(SSTotalESP!$A$2,MATCH(IS$29,SSTotalESP!$A$2:$A$500)+$A41-1,1)-1)</f>
        <v/>
      </c>
      <c r="IT41" s="9" t="str">
        <f ca="1">IF(OR(IT14="",IT$28&lt;$A41),"",IT14/OFFSET(SSTotalESP!$A$2,MATCH(IT$29,SSTotalESP!$A$2:$A$500)+$A41-1,1)-1)</f>
        <v/>
      </c>
      <c r="IU41" s="9" t="str">
        <f ca="1">IF(OR(IU14="",IU$28&lt;$A41),"",IU14/OFFSET(SSTotalESP!$A$2,MATCH(IU$29,SSTotalESP!$A$2:$A$500)+$A41-1,1)-1)</f>
        <v/>
      </c>
      <c r="IV41" s="9" t="str">
        <f ca="1">IF(OR(IV14="",IV$28&lt;$A41),"",IV14/OFFSET(SSTotalESP!$A$2,MATCH(IV$29,SSTotalESP!$A$2:$A$500)+$A41-1,1)-1)</f>
        <v/>
      </c>
      <c r="IW41" s="9" t="str">
        <f ca="1">IF(OR(IW14="",IW$28&lt;$A41),"",IW14/OFFSET(SSTotalESP!$A$2,MATCH(IW$29,SSTotalESP!$A$2:$A$500)+$A41-1,1)-1)</f>
        <v/>
      </c>
      <c r="IX41" s="9" t="str">
        <f ca="1">IF(OR(IX14="",IX$28&lt;$A41),"",IX14/OFFSET(SSTotalESP!$A$2,MATCH(IX$29,SSTotalESP!$A$2:$A$500)+$A41-1,1)-1)</f>
        <v/>
      </c>
      <c r="IY41" s="9" t="str">
        <f ca="1">IF(OR(IY14="",IY$28&lt;$A41),"",IY14/OFFSET(SSTotalESP!$A$2,MATCH(IY$29,SSTotalESP!$A$2:$A$500)+$A41-1,1)-1)</f>
        <v/>
      </c>
      <c r="IZ41" s="9" t="str">
        <f ca="1">IF(OR(IZ14="",IZ$28&lt;$A41),"",IZ14/OFFSET(SSTotalESP!$A$2,MATCH(IZ$29,SSTotalESP!$A$2:$A$500)+$A41-1,1)-1)</f>
        <v/>
      </c>
      <c r="JA41" s="9" t="str">
        <f ca="1">IF(OR(JA14="",JA$28&lt;$A41),"",JA14/OFFSET(SSTotalESP!$A$2,MATCH(JA$29,SSTotalESP!$A$2:$A$500)+$A41-1,1)-1)</f>
        <v/>
      </c>
      <c r="JB41" s="9" t="str">
        <f ca="1">IF(OR(JB14="",JB$28&lt;$A41),"",JB14/OFFSET(SSTotalESP!$A$2,MATCH(JB$29,SSTotalESP!$A$2:$A$500)+$A41-1,1)-1)</f>
        <v/>
      </c>
      <c r="JC41" s="9" t="str">
        <f ca="1">IF(OR(JC14="",JC$28&lt;$A41),"",JC14/OFFSET(SSTotalESP!$A$2,MATCH(JC$29,SSTotalESP!$A$2:$A$500)+$A41-1,1)-1)</f>
        <v/>
      </c>
      <c r="JD41" s="9" t="str">
        <f ca="1">IF(OR(JD14="",JD$28&lt;$A41),"",JD14/OFFSET(SSTotalESP!$A$2,MATCH(JD$29,SSTotalESP!$A$2:$A$500)+$A41-1,1)-1)</f>
        <v/>
      </c>
      <c r="JE41" s="9" t="str">
        <f ca="1">IF(OR(JE14="",JE$28&lt;$A41),"",JE14/OFFSET(SSTotalESP!$A$2,MATCH(JE$29,SSTotalESP!$A$2:$A$500)+$A41-1,1)-1)</f>
        <v/>
      </c>
      <c r="JF41" s="9" t="str">
        <f ca="1">IF(OR(JF14="",JF$28&lt;$A41),"",JF14/OFFSET(SSTotalESP!$A$2,MATCH(JF$29,SSTotalESP!$A$2:$A$500)+$A41-1,1)-1)</f>
        <v/>
      </c>
      <c r="JG41" s="9" t="str">
        <f ca="1">IF(OR(JG14="",JG$28&lt;$A41),"",JG14/OFFSET(SSTotalESP!$A$2,MATCH(JG$29,SSTotalESP!$A$2:$A$500)+$A41-1,1)-1)</f>
        <v/>
      </c>
      <c r="JH41" s="9" t="str">
        <f ca="1">IF(OR(JH14="",JH$28&lt;$A41),"",JH14/OFFSET(SSTotalESP!$A$2,MATCH(JH$29,SSTotalESP!$A$2:$A$500)+$A41-1,1)-1)</f>
        <v/>
      </c>
      <c r="JI41" s="13">
        <f t="shared" ca="1" si="13"/>
        <v>2.2479898120408886E-2</v>
      </c>
      <c r="JJ41" s="13">
        <f t="shared" ca="1" si="14"/>
        <v>1.2187729118406043E-2</v>
      </c>
      <c r="JK41" s="14">
        <f t="shared" ca="1" si="15"/>
        <v>7.1949965725739062E-4</v>
      </c>
      <c r="JL41" s="17">
        <f t="shared" ca="1" si="18"/>
        <v>2.6823490773152374E-2</v>
      </c>
      <c r="JM41" s="15" t="str">
        <f t="shared" ca="1" si="16"/>
        <v>[ -3,12% ; 7,61% ]</v>
      </c>
      <c r="JN41" s="17">
        <f t="shared" ca="1" si="17"/>
        <v>3.4334068189635039E-2</v>
      </c>
      <c r="LY41" s="1"/>
    </row>
    <row r="42" spans="1:337" hidden="1" x14ac:dyDescent="0.25">
      <c r="A42" s="4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13"/>
      <c r="JJ42" s="13"/>
      <c r="JK42" s="14"/>
      <c r="JL42" s="17"/>
      <c r="JM42" s="15"/>
      <c r="JN42" s="17"/>
      <c r="LY42" s="1"/>
    </row>
    <row r="43" spans="1:337" hidden="1" x14ac:dyDescent="0.25">
      <c r="A43" s="4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13"/>
      <c r="JJ43" s="13"/>
      <c r="JK43" s="14"/>
      <c r="JL43" s="17"/>
      <c r="JM43" s="15"/>
      <c r="JN43" s="17"/>
      <c r="LY43" s="1"/>
    </row>
    <row r="44" spans="1:337" hidden="1" x14ac:dyDescent="0.25">
      <c r="A44" s="4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13"/>
      <c r="JJ44" s="13"/>
      <c r="JK44" s="14"/>
      <c r="JL44" s="17"/>
      <c r="JM44" s="15"/>
      <c r="JN44" s="17"/>
      <c r="LY44" s="1"/>
    </row>
    <row r="45" spans="1:337" hidden="1" x14ac:dyDescent="0.25">
      <c r="A45" s="4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13"/>
      <c r="JJ45" s="13"/>
      <c r="JK45" s="14"/>
      <c r="JL45" s="17"/>
      <c r="JM45" s="15"/>
      <c r="JN45" s="17"/>
      <c r="LY45" s="1"/>
    </row>
    <row r="46" spans="1:337" hidden="1" x14ac:dyDescent="0.25">
      <c r="A46" s="4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13"/>
      <c r="JJ46" s="13"/>
      <c r="JK46" s="14"/>
      <c r="JL46" s="17"/>
      <c r="JM46" s="15"/>
      <c r="JN46" s="17"/>
      <c r="LY46" s="1"/>
    </row>
    <row r="47" spans="1:337" hidden="1" x14ac:dyDescent="0.25">
      <c r="A47" s="4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13"/>
      <c r="JJ47" s="13"/>
      <c r="JK47" s="14"/>
      <c r="JL47" s="17"/>
      <c r="JM47" s="15"/>
      <c r="JN47" s="17"/>
      <c r="LY47" s="1"/>
    </row>
    <row r="48" spans="1:337" hidden="1" x14ac:dyDescent="0.25">
      <c r="A48" s="4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13"/>
      <c r="JJ48" s="13"/>
      <c r="JK48" s="14"/>
      <c r="JL48" s="17"/>
      <c r="JM48" s="15"/>
      <c r="JN48" s="17"/>
      <c r="LY48" s="1"/>
    </row>
    <row r="49" spans="1:337" hidden="1" x14ac:dyDescent="0.25">
      <c r="A49" s="4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13"/>
      <c r="JJ49" s="13"/>
      <c r="JK49" s="14"/>
      <c r="JL49" s="17"/>
      <c r="JM49" s="15"/>
      <c r="JN49" s="17"/>
      <c r="LY49" s="1"/>
    </row>
    <row r="50" spans="1:337" hidden="1" x14ac:dyDescent="0.25">
      <c r="A50" s="4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13"/>
      <c r="JJ50" s="13"/>
      <c r="JK50" s="14"/>
      <c r="JL50" s="17"/>
      <c r="JM50" s="15"/>
      <c r="JN50" s="17"/>
      <c r="LY50" s="1"/>
    </row>
    <row r="51" spans="1:337" hidden="1" x14ac:dyDescent="0.25">
      <c r="A51" s="4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13"/>
      <c r="JJ51" s="13"/>
      <c r="JK51" s="14"/>
      <c r="JL51" s="17"/>
      <c r="JM51" s="15"/>
      <c r="JN51" s="17"/>
      <c r="LY51" s="1"/>
    </row>
    <row r="52" spans="1:337" hidden="1" x14ac:dyDescent="0.25">
      <c r="A52" s="4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13"/>
      <c r="JJ52" s="13"/>
      <c r="JK52" s="14"/>
      <c r="JL52" s="17"/>
      <c r="JM52" s="15"/>
      <c r="JN52" s="17"/>
      <c r="LY52" s="1"/>
    </row>
    <row r="53" spans="1:337" hidden="1" x14ac:dyDescent="0.25">
      <c r="A53" s="4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13"/>
      <c r="JJ53" s="13"/>
      <c r="JK53" s="14"/>
      <c r="JL53" s="17"/>
      <c r="JM53" s="15"/>
      <c r="JN53" s="17"/>
      <c r="LY53" s="1"/>
    </row>
    <row r="54" spans="1:337" x14ac:dyDescent="0.25">
      <c r="A54" s="5"/>
      <c r="LY54" s="1"/>
    </row>
    <row r="55" spans="1:337" x14ac:dyDescent="0.25">
      <c r="A55" s="5"/>
      <c r="CL55" s="20"/>
      <c r="CM55" s="20"/>
      <c r="JL55" s="16"/>
      <c r="LY55" s="1"/>
    </row>
    <row r="56" spans="1:337" ht="15.75" x14ac:dyDescent="0.25">
      <c r="A56" s="3" t="s">
        <v>1</v>
      </c>
      <c r="B56" s="7">
        <v>37986</v>
      </c>
      <c r="C56" s="7">
        <v>38017</v>
      </c>
      <c r="D56" s="7">
        <v>38046</v>
      </c>
      <c r="E56" s="7">
        <v>38077</v>
      </c>
      <c r="F56" s="7">
        <v>38107</v>
      </c>
      <c r="G56" s="7">
        <v>38138</v>
      </c>
      <c r="H56" s="7">
        <v>38168</v>
      </c>
      <c r="I56" s="7">
        <v>38199</v>
      </c>
      <c r="J56" s="7">
        <v>38230</v>
      </c>
      <c r="K56" s="7">
        <v>38260</v>
      </c>
      <c r="L56" s="7">
        <v>38291</v>
      </c>
      <c r="M56" s="7">
        <v>38321</v>
      </c>
      <c r="N56" s="7">
        <v>38352</v>
      </c>
      <c r="O56" s="7">
        <v>38383</v>
      </c>
      <c r="P56" s="7">
        <v>38411</v>
      </c>
      <c r="Q56" s="7">
        <v>38442</v>
      </c>
      <c r="R56" s="7">
        <v>38472</v>
      </c>
      <c r="S56" s="7">
        <v>38503</v>
      </c>
      <c r="T56" s="7">
        <v>38533</v>
      </c>
      <c r="U56" s="7">
        <v>38564</v>
      </c>
      <c r="V56" s="7">
        <v>38595</v>
      </c>
      <c r="W56" s="7">
        <v>38625</v>
      </c>
      <c r="X56" s="7">
        <v>38656</v>
      </c>
      <c r="Y56" s="7">
        <v>38686</v>
      </c>
      <c r="Z56" s="7">
        <v>38717</v>
      </c>
      <c r="AA56" s="7">
        <v>38748</v>
      </c>
      <c r="AB56" s="7">
        <v>38776</v>
      </c>
      <c r="AC56" s="7">
        <v>38807</v>
      </c>
      <c r="AD56" s="7">
        <v>38837</v>
      </c>
      <c r="AE56" s="7">
        <v>38868</v>
      </c>
      <c r="AF56" s="7">
        <v>38898</v>
      </c>
      <c r="AG56" s="7">
        <v>38929</v>
      </c>
      <c r="AH56" s="7">
        <v>38960</v>
      </c>
      <c r="AI56" s="7">
        <v>38990</v>
      </c>
      <c r="AJ56" s="7">
        <v>39021</v>
      </c>
      <c r="AK56" s="7">
        <v>39051</v>
      </c>
      <c r="AL56" s="7">
        <v>39082</v>
      </c>
      <c r="AM56" s="7">
        <v>39113</v>
      </c>
      <c r="AN56" s="7">
        <v>39141</v>
      </c>
      <c r="AO56" s="7">
        <v>39172</v>
      </c>
      <c r="AP56" s="7">
        <v>39202</v>
      </c>
      <c r="AQ56" s="7">
        <v>39233</v>
      </c>
      <c r="AR56" s="7">
        <v>39263</v>
      </c>
      <c r="AS56" s="7">
        <v>39294</v>
      </c>
      <c r="AT56" s="7">
        <v>39325</v>
      </c>
      <c r="AU56" s="7">
        <v>39355</v>
      </c>
      <c r="AV56" s="7">
        <v>39386</v>
      </c>
      <c r="AW56" s="7">
        <v>39416</v>
      </c>
      <c r="AX56" s="7">
        <v>39447</v>
      </c>
      <c r="AY56" s="7">
        <v>39478</v>
      </c>
      <c r="AZ56" s="7">
        <v>39507</v>
      </c>
      <c r="BA56" s="7">
        <v>39538</v>
      </c>
      <c r="BB56" s="7">
        <v>39568</v>
      </c>
      <c r="BC56" s="7">
        <v>39599</v>
      </c>
      <c r="BD56" s="7">
        <v>39629</v>
      </c>
      <c r="BE56" s="7">
        <v>39660</v>
      </c>
      <c r="BF56" s="7">
        <v>39691</v>
      </c>
      <c r="BG56" s="7">
        <v>39721</v>
      </c>
      <c r="BH56" s="7">
        <v>39752</v>
      </c>
      <c r="BI56" s="7">
        <v>39782</v>
      </c>
      <c r="BJ56" s="7">
        <v>39813</v>
      </c>
      <c r="BK56" s="7">
        <v>39844</v>
      </c>
      <c r="BL56" s="7">
        <v>39872</v>
      </c>
      <c r="BM56" s="7">
        <v>39903</v>
      </c>
      <c r="BN56" s="7">
        <v>39933</v>
      </c>
      <c r="BO56" s="7">
        <v>39964</v>
      </c>
      <c r="BP56" s="7">
        <v>39994</v>
      </c>
      <c r="BQ56" s="7">
        <v>40025</v>
      </c>
      <c r="BR56" s="7">
        <v>40056</v>
      </c>
      <c r="BS56" s="7">
        <v>40086</v>
      </c>
      <c r="BT56" s="7">
        <v>40117</v>
      </c>
      <c r="BU56" s="7">
        <v>40147</v>
      </c>
      <c r="BV56" s="7">
        <v>40178</v>
      </c>
      <c r="BW56" s="7">
        <v>40209</v>
      </c>
      <c r="BX56" s="7">
        <v>40237</v>
      </c>
      <c r="BY56" s="7">
        <v>40268</v>
      </c>
      <c r="BZ56" s="7">
        <v>40298</v>
      </c>
      <c r="CA56" s="7">
        <v>40329</v>
      </c>
      <c r="CB56" s="7">
        <v>40359</v>
      </c>
      <c r="CC56" s="7">
        <v>40390</v>
      </c>
      <c r="CD56" s="7">
        <v>40421</v>
      </c>
      <c r="CE56" s="7">
        <v>40451</v>
      </c>
      <c r="CF56" s="7">
        <v>40482</v>
      </c>
      <c r="CG56" s="7">
        <v>40512</v>
      </c>
      <c r="CH56" s="7">
        <v>40543</v>
      </c>
      <c r="CI56" s="7">
        <v>40574</v>
      </c>
      <c r="CJ56" s="7">
        <v>40602</v>
      </c>
      <c r="CK56" s="7">
        <v>40633</v>
      </c>
      <c r="CL56" s="7">
        <v>40663</v>
      </c>
      <c r="CM56" s="7">
        <v>40694</v>
      </c>
      <c r="CN56" s="7">
        <v>40724</v>
      </c>
      <c r="CO56" s="7">
        <v>40755</v>
      </c>
      <c r="CP56" s="7">
        <v>40786</v>
      </c>
      <c r="CQ56" s="7">
        <v>40816</v>
      </c>
      <c r="CR56" s="7">
        <v>40847</v>
      </c>
      <c r="CS56" s="7">
        <v>40877</v>
      </c>
      <c r="CT56" s="7">
        <v>40908</v>
      </c>
      <c r="CU56" s="7">
        <v>40939</v>
      </c>
      <c r="CV56" s="7">
        <v>40968</v>
      </c>
      <c r="CW56" s="7">
        <v>40999</v>
      </c>
      <c r="CX56" s="7">
        <v>41029</v>
      </c>
      <c r="CY56" s="7">
        <v>41060</v>
      </c>
      <c r="CZ56" s="7">
        <v>41090</v>
      </c>
      <c r="DA56" s="7">
        <v>41121</v>
      </c>
      <c r="DB56" s="7">
        <v>41152</v>
      </c>
      <c r="DC56" s="7">
        <v>41182</v>
      </c>
      <c r="DD56" s="7">
        <v>41213</v>
      </c>
      <c r="DE56" s="7">
        <v>41243</v>
      </c>
      <c r="DF56" s="7">
        <v>41274</v>
      </c>
      <c r="DG56" s="7">
        <v>41305</v>
      </c>
      <c r="DH56" s="7">
        <v>41333</v>
      </c>
      <c r="DI56" s="7">
        <v>41364</v>
      </c>
      <c r="DJ56" s="7">
        <v>41394</v>
      </c>
      <c r="DK56" s="7">
        <v>41425</v>
      </c>
      <c r="DL56" s="7">
        <v>41455</v>
      </c>
      <c r="DM56" s="7">
        <v>41486</v>
      </c>
      <c r="DN56" s="7">
        <v>41517</v>
      </c>
      <c r="DO56" s="7">
        <v>41547</v>
      </c>
      <c r="DP56" s="7">
        <v>41578</v>
      </c>
      <c r="DQ56" s="7">
        <v>41608</v>
      </c>
      <c r="DR56" s="7">
        <v>41639</v>
      </c>
      <c r="DS56" s="7">
        <v>41670</v>
      </c>
      <c r="DT56" s="7">
        <v>41698</v>
      </c>
      <c r="DU56" s="7">
        <v>41729</v>
      </c>
      <c r="DV56" s="7">
        <v>41759</v>
      </c>
      <c r="DW56" s="7">
        <v>41790</v>
      </c>
      <c r="DX56" s="7">
        <v>41820</v>
      </c>
      <c r="DY56" s="7">
        <v>41851</v>
      </c>
      <c r="DZ56" s="7">
        <v>41882</v>
      </c>
      <c r="EA56" s="7">
        <v>41912</v>
      </c>
      <c r="EB56" s="7">
        <v>41943</v>
      </c>
      <c r="EC56" s="7">
        <v>41973</v>
      </c>
      <c r="ED56" s="7">
        <v>42004</v>
      </c>
      <c r="EE56" s="7">
        <v>42035</v>
      </c>
      <c r="EF56" s="7">
        <v>42063</v>
      </c>
      <c r="EG56" s="7">
        <v>42094</v>
      </c>
      <c r="EH56" s="7">
        <v>42124</v>
      </c>
      <c r="EI56" s="7">
        <v>42155</v>
      </c>
      <c r="EJ56" s="7">
        <v>42185</v>
      </c>
      <c r="EK56" s="7">
        <v>42216</v>
      </c>
      <c r="EL56" s="7">
        <v>42247</v>
      </c>
      <c r="EM56" s="7">
        <v>42277</v>
      </c>
      <c r="EN56" s="7">
        <v>42308</v>
      </c>
      <c r="EO56" s="7">
        <v>42338</v>
      </c>
      <c r="EP56" s="7">
        <v>42369</v>
      </c>
      <c r="EQ56" s="7">
        <v>42400</v>
      </c>
      <c r="ER56" s="7">
        <v>42429</v>
      </c>
      <c r="ES56" s="7">
        <v>42460</v>
      </c>
      <c r="ET56" s="7">
        <v>42490</v>
      </c>
      <c r="EU56" s="7">
        <v>42521</v>
      </c>
      <c r="EV56" s="7">
        <v>42551</v>
      </c>
      <c r="EW56" s="7">
        <v>42582</v>
      </c>
      <c r="EX56" s="7">
        <v>42613</v>
      </c>
      <c r="EY56" s="7">
        <v>42643</v>
      </c>
      <c r="EZ56" s="7">
        <v>42674</v>
      </c>
      <c r="FA56" s="7">
        <v>42704</v>
      </c>
      <c r="FB56" s="7">
        <v>42735</v>
      </c>
      <c r="FC56" s="7">
        <v>42766</v>
      </c>
      <c r="FD56" s="7">
        <v>42794</v>
      </c>
      <c r="FE56" s="7">
        <v>42825</v>
      </c>
      <c r="FF56" s="7">
        <v>42855</v>
      </c>
      <c r="FG56" s="7">
        <v>42886</v>
      </c>
      <c r="FH56" s="7">
        <v>42916</v>
      </c>
      <c r="FI56" s="7">
        <v>42947</v>
      </c>
      <c r="FJ56" s="7">
        <v>42978</v>
      </c>
      <c r="FK56" s="7">
        <v>43008</v>
      </c>
      <c r="FL56" s="7">
        <v>43039</v>
      </c>
      <c r="FM56" s="7">
        <v>43069</v>
      </c>
      <c r="FN56" s="7">
        <v>43100</v>
      </c>
      <c r="FO56" s="7">
        <v>43131</v>
      </c>
      <c r="FP56" s="7">
        <v>43159</v>
      </c>
      <c r="FQ56" s="7">
        <v>43190</v>
      </c>
      <c r="FR56" s="7">
        <v>43220</v>
      </c>
      <c r="FS56" s="7">
        <v>43251</v>
      </c>
      <c r="FT56" s="7">
        <v>43281</v>
      </c>
      <c r="FU56" s="7">
        <v>43312</v>
      </c>
      <c r="FV56" s="7">
        <v>43343</v>
      </c>
      <c r="FW56" s="7">
        <v>43373</v>
      </c>
      <c r="FX56" s="7">
        <v>43404</v>
      </c>
      <c r="FY56" s="7">
        <v>43434</v>
      </c>
      <c r="FZ56" s="7">
        <v>43465</v>
      </c>
      <c r="GA56" s="7">
        <v>43496</v>
      </c>
      <c r="GB56" s="7">
        <v>43524</v>
      </c>
      <c r="GC56" s="7">
        <v>43555</v>
      </c>
      <c r="GD56" s="7">
        <v>43585</v>
      </c>
      <c r="GE56" s="7">
        <v>43616</v>
      </c>
      <c r="GF56" s="7">
        <v>43646</v>
      </c>
      <c r="GG56" s="7">
        <v>43677</v>
      </c>
      <c r="GH56" s="7">
        <v>43708</v>
      </c>
      <c r="GI56" s="7">
        <v>43738</v>
      </c>
      <c r="GJ56" s="7">
        <v>43769</v>
      </c>
      <c r="GK56" s="7">
        <v>43799</v>
      </c>
      <c r="GL56" s="7">
        <v>43830</v>
      </c>
      <c r="GM56" s="7">
        <v>43861</v>
      </c>
      <c r="GN56" s="7">
        <v>43890</v>
      </c>
      <c r="GO56" s="7">
        <v>43921</v>
      </c>
      <c r="GP56" s="7">
        <v>43951</v>
      </c>
      <c r="GQ56" s="7">
        <v>43982</v>
      </c>
      <c r="GR56" s="7">
        <v>44012</v>
      </c>
      <c r="GS56" s="7">
        <v>44043</v>
      </c>
      <c r="GT56" s="7">
        <v>44074</v>
      </c>
      <c r="GU56" s="7">
        <v>44104</v>
      </c>
      <c r="GV56" s="7">
        <v>44135</v>
      </c>
      <c r="GW56" s="7">
        <v>44165</v>
      </c>
      <c r="GX56" s="7">
        <v>44196</v>
      </c>
      <c r="GY56" s="7">
        <v>44227</v>
      </c>
      <c r="GZ56" s="7">
        <v>44255</v>
      </c>
      <c r="HA56" s="7">
        <v>44286</v>
      </c>
      <c r="HB56" s="7">
        <v>44316</v>
      </c>
      <c r="HC56" s="7">
        <v>44347</v>
      </c>
      <c r="HD56" s="7">
        <v>44377</v>
      </c>
      <c r="HE56" s="7">
        <v>44408</v>
      </c>
      <c r="HF56" s="7">
        <v>44439</v>
      </c>
      <c r="HG56" s="7">
        <v>44469</v>
      </c>
      <c r="HH56" s="7">
        <v>44500</v>
      </c>
      <c r="HI56" s="7">
        <v>44530</v>
      </c>
      <c r="HJ56" s="7">
        <v>44561</v>
      </c>
      <c r="HK56" s="7">
        <v>44592</v>
      </c>
      <c r="HL56" s="7">
        <v>44620</v>
      </c>
      <c r="HM56" s="7">
        <v>44651</v>
      </c>
      <c r="HN56" s="7">
        <v>44681</v>
      </c>
      <c r="HO56" s="7">
        <v>44712</v>
      </c>
      <c r="HP56" s="7">
        <v>44742</v>
      </c>
      <c r="HQ56" s="7">
        <v>44773</v>
      </c>
      <c r="HR56" s="7">
        <v>44804</v>
      </c>
      <c r="HS56" s="7">
        <v>44834</v>
      </c>
      <c r="HT56" s="7">
        <v>44865</v>
      </c>
      <c r="HU56" s="7">
        <v>44895</v>
      </c>
      <c r="HV56" s="7">
        <v>44926</v>
      </c>
      <c r="HW56" s="7">
        <v>44957</v>
      </c>
      <c r="HX56" s="7">
        <v>44985</v>
      </c>
      <c r="HY56" s="7">
        <v>45016</v>
      </c>
      <c r="HZ56" s="7">
        <v>45046</v>
      </c>
      <c r="IA56" s="7">
        <v>45077</v>
      </c>
      <c r="IB56" s="7">
        <v>45107</v>
      </c>
      <c r="IC56" s="7">
        <v>45138</v>
      </c>
      <c r="ID56" s="7">
        <v>45169</v>
      </c>
      <c r="IE56" s="7">
        <v>45199</v>
      </c>
      <c r="IF56" s="7">
        <v>45230</v>
      </c>
      <c r="IG56" s="7">
        <v>45260</v>
      </c>
      <c r="IH56" s="7">
        <v>45291</v>
      </c>
      <c r="II56" s="7">
        <v>45322</v>
      </c>
      <c r="IJ56" s="7">
        <v>45351</v>
      </c>
      <c r="IK56" s="7">
        <v>45382</v>
      </c>
      <c r="IL56" s="7">
        <v>45412</v>
      </c>
      <c r="IM56" s="7">
        <v>45443</v>
      </c>
      <c r="IN56" s="7">
        <v>45473</v>
      </c>
      <c r="IO56" s="7">
        <v>45504</v>
      </c>
      <c r="IP56" s="7">
        <v>45535</v>
      </c>
      <c r="IQ56" s="7">
        <v>45565</v>
      </c>
      <c r="IR56" s="7">
        <v>45596</v>
      </c>
      <c r="IS56" s="7">
        <v>45626</v>
      </c>
      <c r="IT56" s="7">
        <v>45657</v>
      </c>
      <c r="IU56" s="7">
        <v>45688</v>
      </c>
      <c r="IV56" s="7">
        <v>45716</v>
      </c>
      <c r="IW56" s="7">
        <v>45747</v>
      </c>
      <c r="IX56" s="7">
        <v>45777</v>
      </c>
      <c r="IY56" s="7">
        <v>45808</v>
      </c>
      <c r="IZ56" s="7">
        <v>45838</v>
      </c>
      <c r="JA56" s="7">
        <v>45869</v>
      </c>
      <c r="JB56" s="7">
        <v>45900</v>
      </c>
      <c r="JC56" s="7">
        <v>45930</v>
      </c>
      <c r="JD56" s="7">
        <v>45961</v>
      </c>
      <c r="JE56" s="7">
        <v>45991</v>
      </c>
      <c r="JF56" s="7">
        <v>46022</v>
      </c>
      <c r="JG56" s="7">
        <v>46053</v>
      </c>
      <c r="JH56" s="7">
        <v>46081</v>
      </c>
      <c r="JI56" s="10" t="s">
        <v>2</v>
      </c>
      <c r="JJ56" s="11" t="s">
        <v>3</v>
      </c>
      <c r="JK56" s="10" t="s">
        <v>4</v>
      </c>
      <c r="JL56" s="12" t="s">
        <v>5</v>
      </c>
      <c r="JM56" s="10" t="s">
        <v>6</v>
      </c>
      <c r="JN56" s="19">
        <f>JN29</f>
        <v>1.28</v>
      </c>
      <c r="LY56" s="1"/>
    </row>
    <row r="57" spans="1:337" x14ac:dyDescent="0.25">
      <c r="A57" s="4">
        <v>1</v>
      </c>
      <c r="B57" s="9">
        <f t="shared" ref="B57:BM57" ca="1" si="19">IF(B30="","",ABS(B30))</f>
        <v>6.3935590368324746E-5</v>
      </c>
      <c r="C57" s="9">
        <f t="shared" ca="1" si="19"/>
        <v>1.4549430725495638E-3</v>
      </c>
      <c r="D57" s="9">
        <f t="shared" ca="1" si="19"/>
        <v>4.2320206334034438E-4</v>
      </c>
      <c r="E57" s="9">
        <f t="shared" ca="1" si="19"/>
        <v>6.6969491773671841E-4</v>
      </c>
      <c r="F57" s="9">
        <f t="shared" ca="1" si="19"/>
        <v>3.4481357786098066E-4</v>
      </c>
      <c r="G57" s="9">
        <f t="shared" ca="1" si="19"/>
        <v>8.963520930092006E-4</v>
      </c>
      <c r="H57" s="9">
        <f t="shared" ca="1" si="19"/>
        <v>5.5226761207727293E-5</v>
      </c>
      <c r="I57" s="9">
        <f t="shared" ca="1" si="19"/>
        <v>1.6318126897352236E-3</v>
      </c>
      <c r="J57" s="9">
        <f t="shared" ca="1" si="19"/>
        <v>9.7329048925443029E-4</v>
      </c>
      <c r="K57" s="9">
        <f t="shared" ca="1" si="19"/>
        <v>9.8686717662743728E-4</v>
      </c>
      <c r="L57" s="9">
        <f t="shared" ca="1" si="19"/>
        <v>6.4971400936353341E-4</v>
      </c>
      <c r="M57" s="9">
        <f t="shared" ca="1" si="19"/>
        <v>1.0126290945766669E-5</v>
      </c>
      <c r="N57" s="9">
        <f t="shared" ca="1" si="19"/>
        <v>1.2588519912184459E-3</v>
      </c>
      <c r="O57" s="9">
        <f t="shared" ca="1" si="19"/>
        <v>8.2496399294851308E-4</v>
      </c>
      <c r="P57" s="9">
        <f t="shared" ca="1" si="19"/>
        <v>1.23285766464587E-4</v>
      </c>
      <c r="Q57" s="9">
        <f t="shared" ca="1" si="19"/>
        <v>2.5172426725793562E-3</v>
      </c>
      <c r="R57" s="9">
        <f t="shared" ca="1" si="19"/>
        <v>3.6343680085579866E-3</v>
      </c>
      <c r="S57" s="9">
        <f t="shared" ca="1" si="19"/>
        <v>7.8207926394445737E-3</v>
      </c>
      <c r="T57" s="9">
        <f t="shared" ca="1" si="19"/>
        <v>8.4845953258044782E-3</v>
      </c>
      <c r="U57" s="9">
        <f t="shared" ca="1" si="19"/>
        <v>1.6127953959520491E-3</v>
      </c>
      <c r="V57" s="9">
        <f t="shared" ca="1" si="19"/>
        <v>8.7374818664387455E-4</v>
      </c>
      <c r="W57" s="9">
        <f t="shared" ca="1" si="19"/>
        <v>7.320871845998278E-4</v>
      </c>
      <c r="X57" s="9">
        <f t="shared" ca="1" si="19"/>
        <v>1.2851691844002477E-3</v>
      </c>
      <c r="Y57" s="9">
        <f t="shared" ca="1" si="19"/>
        <v>8.0105141724295947E-6</v>
      </c>
      <c r="Z57" s="9">
        <f t="shared" ca="1" si="19"/>
        <v>1.9870842220970353E-4</v>
      </c>
      <c r="AA57" s="9">
        <f t="shared" ca="1" si="19"/>
        <v>1.5765314858624535E-3</v>
      </c>
      <c r="AB57" s="9">
        <f t="shared" ca="1" si="19"/>
        <v>1.396551164669857E-3</v>
      </c>
      <c r="AC57" s="9">
        <f t="shared" ca="1" si="19"/>
        <v>1.3416763797524656E-3</v>
      </c>
      <c r="AD57" s="9">
        <f t="shared" ca="1" si="19"/>
        <v>1.1360770485555616E-3</v>
      </c>
      <c r="AE57" s="9">
        <f t="shared" ca="1" si="19"/>
        <v>1.8930289364700315E-3</v>
      </c>
      <c r="AF57" s="9">
        <f t="shared" ca="1" si="19"/>
        <v>1.4540145801831272E-3</v>
      </c>
      <c r="AG57" s="9">
        <f t="shared" ca="1" si="19"/>
        <v>2.8762640605364265E-3</v>
      </c>
      <c r="AH57" s="9">
        <f t="shared" ca="1" si="19"/>
        <v>3.2216054786646797E-3</v>
      </c>
      <c r="AI57" s="9">
        <f t="shared" ca="1" si="19"/>
        <v>7.0105083244353938E-4</v>
      </c>
      <c r="AJ57" s="9">
        <f t="shared" ca="1" si="19"/>
        <v>1.852011230807471E-3</v>
      </c>
      <c r="AK57" s="9">
        <f t="shared" ca="1" si="19"/>
        <v>3.1272498887324751E-4</v>
      </c>
      <c r="AL57" s="9">
        <f t="shared" ca="1" si="19"/>
        <v>1.2262832140826907E-3</v>
      </c>
      <c r="AM57" s="9">
        <f t="shared" ca="1" si="19"/>
        <v>5.5474221152107539E-4</v>
      </c>
      <c r="AN57" s="9">
        <f t="shared" ca="1" si="19"/>
        <v>1.326876636125629E-3</v>
      </c>
      <c r="AO57" s="9">
        <f t="shared" ca="1" si="19"/>
        <v>2.4187968157300954E-3</v>
      </c>
      <c r="AP57" s="9">
        <f t="shared" ca="1" si="19"/>
        <v>1.0039746554713069E-4</v>
      </c>
      <c r="AQ57" s="9">
        <f t="shared" ca="1" si="19"/>
        <v>2.2158192648200625E-3</v>
      </c>
      <c r="AR57" s="9">
        <f t="shared" ca="1" si="19"/>
        <v>5.8777130687936996E-4</v>
      </c>
      <c r="AS57" s="9">
        <f t="shared" ca="1" si="19"/>
        <v>1.8285108060931421E-3</v>
      </c>
      <c r="AT57" s="9">
        <f t="shared" ca="1" si="19"/>
        <v>1.3062167348361076E-3</v>
      </c>
      <c r="AU57" s="9">
        <f t="shared" ca="1" si="19"/>
        <v>4.5732529438025082E-4</v>
      </c>
      <c r="AV57" s="9">
        <f t="shared" ca="1" si="19"/>
        <v>7.0663765593881323E-4</v>
      </c>
      <c r="AW57" s="9">
        <f t="shared" ca="1" si="19"/>
        <v>1.5674225455231117E-5</v>
      </c>
      <c r="AX57" s="9">
        <f t="shared" ca="1" si="19"/>
        <v>2.0623120045084598E-3</v>
      </c>
      <c r="AY57" s="9">
        <f t="shared" ca="1" si="19"/>
        <v>1.1195418622997888E-3</v>
      </c>
      <c r="AZ57" s="9">
        <f t="shared" ca="1" si="19"/>
        <v>1.9715224137841769E-3</v>
      </c>
      <c r="BA57" s="9">
        <f t="shared" ca="1" si="19"/>
        <v>8.9841474601581872E-4</v>
      </c>
      <c r="BB57" s="9">
        <f t="shared" ca="1" si="19"/>
        <v>2.9186846257356347E-3</v>
      </c>
      <c r="BC57" s="9">
        <f t="shared" ca="1" si="19"/>
        <v>3.7825456230495824E-3</v>
      </c>
      <c r="BD57" s="9">
        <f t="shared" ca="1" si="19"/>
        <v>3.9558182863763669E-4</v>
      </c>
      <c r="BE57" s="9">
        <f t="shared" ca="1" si="19"/>
        <v>1.6742484235522381E-3</v>
      </c>
      <c r="BF57" s="9">
        <f t="shared" ca="1" si="19"/>
        <v>3.5698674323974E-3</v>
      </c>
      <c r="BG57" s="9">
        <f t="shared" ca="1" si="19"/>
        <v>4.3945701600605069E-3</v>
      </c>
      <c r="BH57" s="9">
        <f t="shared" ca="1" si="19"/>
        <v>4.1262097654910512E-3</v>
      </c>
      <c r="BI57" s="9">
        <f t="shared" ca="1" si="19"/>
        <v>1.3456882775121359E-3</v>
      </c>
      <c r="BJ57" s="9">
        <f t="shared" ca="1" si="19"/>
        <v>1.067057955122408E-3</v>
      </c>
      <c r="BK57" s="9">
        <f t="shared" ca="1" si="19"/>
        <v>2.3427986290085467E-3</v>
      </c>
      <c r="BL57" s="9">
        <f t="shared" ca="1" si="19"/>
        <v>7.3365391733848373E-4</v>
      </c>
      <c r="BM57" s="9">
        <f t="shared" ca="1" si="19"/>
        <v>2.6523296104984384E-3</v>
      </c>
      <c r="BN57" s="9">
        <f t="shared" ref="BN57:DY57" ca="1" si="20">IF(BN30="","",ABS(BN30))</f>
        <v>3.4147296650643977E-3</v>
      </c>
      <c r="BO57" s="9">
        <f t="shared" ca="1" si="20"/>
        <v>2.6429545595219039E-4</v>
      </c>
      <c r="BP57" s="9">
        <f t="shared" ca="1" si="20"/>
        <v>1.2091885764831112E-4</v>
      </c>
      <c r="BQ57" s="9">
        <f t="shared" ca="1" si="20"/>
        <v>5.2608178309347942E-3</v>
      </c>
      <c r="BR57" s="9">
        <f t="shared" ca="1" si="20"/>
        <v>1.822331958888368E-3</v>
      </c>
      <c r="BS57" s="9">
        <f t="shared" ca="1" si="20"/>
        <v>4.8948217537037042E-4</v>
      </c>
      <c r="BT57" s="9">
        <f t="shared" ca="1" si="20"/>
        <v>2.1833159141245728E-3</v>
      </c>
      <c r="BU57" s="9">
        <f t="shared" ca="1" si="20"/>
        <v>2.55905131417411E-3</v>
      </c>
      <c r="BV57" s="9">
        <f t="shared" ca="1" si="20"/>
        <v>2.4411873749825563E-3</v>
      </c>
      <c r="BW57" s="9">
        <f t="shared" ca="1" si="20"/>
        <v>2.1851248929793954E-4</v>
      </c>
      <c r="BX57" s="9">
        <f t="shared" ca="1" si="20"/>
        <v>4.9984315549700398E-5</v>
      </c>
      <c r="BY57" s="9">
        <f t="shared" ca="1" si="20"/>
        <v>1.313873480616623E-3</v>
      </c>
      <c r="BZ57" s="9">
        <f t="shared" ca="1" si="20"/>
        <v>4.277508096275362E-4</v>
      </c>
      <c r="CA57" s="9">
        <f t="shared" ca="1" si="20"/>
        <v>6.6758109688969114E-4</v>
      </c>
      <c r="CB57" s="9">
        <f t="shared" ca="1" si="20"/>
        <v>6.0775114569566746E-4</v>
      </c>
      <c r="CC57" s="9">
        <f t="shared" ca="1" si="20"/>
        <v>2.7227067239777858E-3</v>
      </c>
      <c r="CD57" s="9">
        <f t="shared" ca="1" si="20"/>
        <v>3.473076094286931E-4</v>
      </c>
      <c r="CE57" s="9">
        <f t="shared" ca="1" si="20"/>
        <v>4.6191010588669812E-4</v>
      </c>
      <c r="CF57" s="9">
        <f t="shared" ca="1" si="20"/>
        <v>2.0901282186547299E-4</v>
      </c>
      <c r="CG57" s="9">
        <f t="shared" ca="1" si="20"/>
        <v>1.9116056459176356E-3</v>
      </c>
      <c r="CH57" s="9">
        <f t="shared" ca="1" si="20"/>
        <v>1.7855532004251717E-4</v>
      </c>
      <c r="CI57" s="9">
        <f t="shared" ca="1" si="20"/>
        <v>4.6978629891496482E-3</v>
      </c>
      <c r="CJ57" s="9">
        <f t="shared" ca="1" si="20"/>
        <v>2.4237585134783135E-3</v>
      </c>
      <c r="CK57" s="9">
        <f t="shared" ca="1" si="20"/>
        <v>1.08326394539493E-3</v>
      </c>
      <c r="CL57" s="9">
        <f t="shared" ca="1" si="20"/>
        <v>8.2748330404736059E-4</v>
      </c>
      <c r="CM57" s="9">
        <f t="shared" ca="1" si="20"/>
        <v>2.5267382262810223E-3</v>
      </c>
      <c r="CN57" s="9">
        <f t="shared" ca="1" si="20"/>
        <v>5.8931421470109768E-4</v>
      </c>
      <c r="CO57" s="9">
        <f t="shared" ca="1" si="20"/>
        <v>5.7262297412064012E-4</v>
      </c>
      <c r="CP57" s="9">
        <f t="shared" ca="1" si="20"/>
        <v>8.9808742524843943E-4</v>
      </c>
      <c r="CQ57" s="9">
        <f t="shared" ca="1" si="20"/>
        <v>2.9694136981104347E-3</v>
      </c>
      <c r="CR57" s="9">
        <f t="shared" ca="1" si="20"/>
        <v>1.4449480196354614E-4</v>
      </c>
      <c r="CS57" s="9">
        <f t="shared" ca="1" si="20"/>
        <v>3.8606648547430122E-3</v>
      </c>
      <c r="CT57" s="9">
        <f t="shared" ca="1" si="20"/>
        <v>3.1238901202010894E-3</v>
      </c>
      <c r="CU57" s="9">
        <f t="shared" ca="1" si="20"/>
        <v>2.1813221486384204E-3</v>
      </c>
      <c r="CV57" s="9">
        <f t="shared" ca="1" si="20"/>
        <v>2.6816844752775015E-4</v>
      </c>
      <c r="CW57" s="9">
        <f t="shared" ca="1" si="20"/>
        <v>1.3736238728658812E-3</v>
      </c>
      <c r="CX57" s="9">
        <f t="shared" ca="1" si="20"/>
        <v>6.0685338623600593E-4</v>
      </c>
      <c r="CY57" s="9">
        <f t="shared" ca="1" si="20"/>
        <v>2.2387660564721079E-3</v>
      </c>
      <c r="CZ57" s="9">
        <f t="shared" ca="1" si="20"/>
        <v>4.1535552736913228E-3</v>
      </c>
      <c r="DA57" s="9">
        <f t="shared" ca="1" si="20"/>
        <v>2.62156804172331E-3</v>
      </c>
      <c r="DB57" s="9">
        <f t="shared" ca="1" si="20"/>
        <v>1.4395729483080988E-3</v>
      </c>
      <c r="DC57" s="9">
        <f t="shared" ca="1" si="20"/>
        <v>3.5458050218772907E-4</v>
      </c>
      <c r="DD57" s="9">
        <f t="shared" ca="1" si="20"/>
        <v>5.8555813192082695E-3</v>
      </c>
      <c r="DE57" s="9">
        <f t="shared" ca="1" si="20"/>
        <v>1.3763805096869142E-3</v>
      </c>
      <c r="DF57" s="9">
        <f t="shared" ca="1" si="20"/>
        <v>1.8100714111296545E-3</v>
      </c>
      <c r="DG57" s="9">
        <f t="shared" ca="1" si="20"/>
        <v>7.2015946968273514E-4</v>
      </c>
      <c r="DH57" s="9">
        <f t="shared" ca="1" si="20"/>
        <v>5.9583529286122427E-4</v>
      </c>
      <c r="DI57" s="9">
        <f t="shared" ca="1" si="20"/>
        <v>6.2634856191789989E-4</v>
      </c>
      <c r="DJ57" s="9">
        <f t="shared" ca="1" si="20"/>
        <v>2.0362166716910712E-3</v>
      </c>
      <c r="DK57" s="9">
        <f t="shared" ca="1" si="20"/>
        <v>1.4782241623418901E-3</v>
      </c>
      <c r="DL57" s="9">
        <f t="shared" ca="1" si="20"/>
        <v>3.4257600336018434E-4</v>
      </c>
      <c r="DM57" s="9">
        <f t="shared" ca="1" si="20"/>
        <v>1.5618924256115552E-3</v>
      </c>
      <c r="DN57" s="9">
        <f t="shared" ca="1" si="20"/>
        <v>1.6756544348220936E-3</v>
      </c>
      <c r="DO57" s="9">
        <f t="shared" ca="1" si="20"/>
        <v>4.5853251778796844E-3</v>
      </c>
      <c r="DP57" s="9">
        <f t="shared" ca="1" si="20"/>
        <v>3.1585892153906947E-4</v>
      </c>
      <c r="DQ57" s="9">
        <f t="shared" ca="1" si="20"/>
        <v>4.5126591143712647E-3</v>
      </c>
      <c r="DR57" s="9">
        <f t="shared" ca="1" si="20"/>
        <v>2.1587953332329324E-3</v>
      </c>
      <c r="DS57" s="9">
        <f t="shared" ca="1" si="20"/>
        <v>3.2225015556486269E-4</v>
      </c>
      <c r="DT57" s="9">
        <f t="shared" ca="1" si="20"/>
        <v>2.0169669784908528E-4</v>
      </c>
      <c r="DU57" s="9">
        <f t="shared" ca="1" si="20"/>
        <v>2.4670270274286255E-3</v>
      </c>
      <c r="DV57" s="9">
        <f t="shared" ca="1" si="20"/>
        <v>1.1133075967169059E-3</v>
      </c>
      <c r="DW57" s="9">
        <f t="shared" ca="1" si="20"/>
        <v>1.9731703219438845E-3</v>
      </c>
      <c r="DX57" s="9">
        <f t="shared" ca="1" si="20"/>
        <v>1.5821514465685915E-4</v>
      </c>
      <c r="DY57" s="9">
        <f t="shared" ca="1" si="20"/>
        <v>9.0931516466530304E-4</v>
      </c>
      <c r="DZ57" s="9">
        <f t="shared" ref="DZ57:GK57" ca="1" si="21">IF(DZ30="","",ABS(DZ30))</f>
        <v>2.0907009184623071E-3</v>
      </c>
      <c r="EA57" s="9">
        <f t="shared" ca="1" si="21"/>
        <v>1.3976306983722875E-3</v>
      </c>
      <c r="EB57" s="9">
        <f t="shared" ca="1" si="21"/>
        <v>5.081248345357503E-3</v>
      </c>
      <c r="EC57" s="9">
        <f t="shared" ca="1" si="21"/>
        <v>8.4323890164539339E-4</v>
      </c>
      <c r="ED57" s="9">
        <f t="shared" ca="1" si="21"/>
        <v>2.949952728019678E-3</v>
      </c>
      <c r="EE57" s="9">
        <f t="shared" ca="1" si="21"/>
        <v>3.3956561316331735E-3</v>
      </c>
      <c r="EF57" s="9">
        <f t="shared" ca="1" si="21"/>
        <v>2.4181988834216517E-3</v>
      </c>
      <c r="EG57" s="9">
        <f t="shared" ca="1" si="21"/>
        <v>5.8856547580454777E-4</v>
      </c>
      <c r="EH57" s="9">
        <f t="shared" ca="1" si="21"/>
        <v>5.0256890574673641E-4</v>
      </c>
      <c r="EI57" s="9">
        <f t="shared" ca="1" si="21"/>
        <v>3.662317125752601E-3</v>
      </c>
      <c r="EJ57" s="9">
        <f t="shared" ca="1" si="21"/>
        <v>7.6677198598695817E-4</v>
      </c>
      <c r="EK57" s="9">
        <f t="shared" ca="1" si="21"/>
        <v>2.0485741334415053E-3</v>
      </c>
      <c r="EL57" s="9">
        <f t="shared" ca="1" si="21"/>
        <v>2.067303671758447E-3</v>
      </c>
      <c r="EM57" s="9">
        <f t="shared" ca="1" si="21"/>
        <v>4.5399216610952919E-5</v>
      </c>
      <c r="EN57" s="9">
        <f t="shared" ca="1" si="21"/>
        <v>1.430629632361291E-3</v>
      </c>
      <c r="EO57" s="9">
        <f t="shared" ca="1" si="21"/>
        <v>1.2586333233792768E-3</v>
      </c>
      <c r="EP57" s="9">
        <f t="shared" ca="1" si="21"/>
        <v>1.3786181637969186E-3</v>
      </c>
      <c r="EQ57" s="9">
        <f t="shared" ca="1" si="21"/>
        <v>8.2589436434155061E-4</v>
      </c>
      <c r="ER57" s="9">
        <f t="shared" ca="1" si="21"/>
        <v>1.1905953511628375E-3</v>
      </c>
      <c r="ES57" s="9">
        <f t="shared" ca="1" si="21"/>
        <v>5.9956915748116124E-4</v>
      </c>
      <c r="ET57" s="9">
        <f t="shared" ca="1" si="21"/>
        <v>5.7526995814294324E-5</v>
      </c>
      <c r="EU57" s="9">
        <f t="shared" ca="1" si="21"/>
        <v>2.180724930140987E-3</v>
      </c>
      <c r="EV57" s="9">
        <f t="shared" ca="1" si="21"/>
        <v>1.0370568445332573E-3</v>
      </c>
      <c r="EW57" s="9">
        <f t="shared" ca="1" si="21"/>
        <v>3.046898533798803E-3</v>
      </c>
      <c r="EX57" s="9">
        <f t="shared" ca="1" si="21"/>
        <v>1.1036893347942112E-3</v>
      </c>
      <c r="EY57" s="9">
        <f t="shared" ca="1" si="21"/>
        <v>3.7498151599844043E-3</v>
      </c>
      <c r="EZ57" s="9">
        <f t="shared" ca="1" si="21"/>
        <v>2.9069026044867829E-3</v>
      </c>
      <c r="FA57" s="9">
        <f t="shared" ca="1" si="21"/>
        <v>6.4333265878124823E-4</v>
      </c>
      <c r="FB57" s="9">
        <f t="shared" ca="1" si="21"/>
        <v>1.5081014745291776E-3</v>
      </c>
      <c r="FC57" s="9">
        <f t="shared" ca="1" si="21"/>
        <v>2.051287085802489E-4</v>
      </c>
      <c r="FD57" s="9">
        <f t="shared" ca="1" si="21"/>
        <v>1.5397983647106317E-3</v>
      </c>
      <c r="FE57" s="9">
        <f t="shared" ca="1" si="21"/>
        <v>2.5535519914362537E-3</v>
      </c>
      <c r="FF57" s="9">
        <f t="shared" ca="1" si="21"/>
        <v>3.8637082213077711E-4</v>
      </c>
      <c r="FG57" s="9">
        <f t="shared" ca="1" si="21"/>
        <v>5.2012886787755619E-4</v>
      </c>
      <c r="FH57" s="9">
        <f t="shared" ca="1" si="21"/>
        <v>1.7795875852650855E-3</v>
      </c>
      <c r="FI57" s="9">
        <f t="shared" ca="1" si="21"/>
        <v>2.6520496031987584E-3</v>
      </c>
      <c r="FJ57" s="9">
        <f t="shared" ca="1" si="21"/>
        <v>2.5022872312969735E-3</v>
      </c>
      <c r="FK57" s="9">
        <f t="shared" ca="1" si="21"/>
        <v>1.7231793736159906E-3</v>
      </c>
      <c r="FL57" s="9">
        <f t="shared" ca="1" si="21"/>
        <v>9.8049025205715346E-5</v>
      </c>
      <c r="FM57" s="9">
        <f t="shared" ca="1" si="21"/>
        <v>1.6786968641593347E-3</v>
      </c>
      <c r="FN57" s="9">
        <f t="shared" ca="1" si="21"/>
        <v>9.7624629810266761E-4</v>
      </c>
      <c r="FO57" s="9">
        <f t="shared" ca="1" si="21"/>
        <v>5.8137088682985727E-4</v>
      </c>
      <c r="FP57" s="9">
        <f t="shared" ca="1" si="21"/>
        <v>1.9015068675498625E-4</v>
      </c>
      <c r="FQ57" s="9">
        <f t="shared" ca="1" si="21"/>
        <v>4.4765277099578782E-4</v>
      </c>
      <c r="FR57" s="9">
        <f t="shared" ca="1" si="21"/>
        <v>2.0306136548076115E-3</v>
      </c>
      <c r="FS57" s="9">
        <f t="shared" ca="1" si="21"/>
        <v>8.6998867482090958E-5</v>
      </c>
      <c r="FT57" s="9">
        <f t="shared" ca="1" si="21"/>
        <v>1.7455384578173305E-3</v>
      </c>
      <c r="FU57" s="9">
        <f t="shared" ca="1" si="21"/>
        <v>2.5779060414894417E-3</v>
      </c>
      <c r="FV57" s="9">
        <f t="shared" ca="1" si="21"/>
        <v>1.6452826818031951E-3</v>
      </c>
      <c r="FW57" s="9">
        <f t="shared" ca="1" si="21"/>
        <v>3.6086510162938179E-3</v>
      </c>
      <c r="FX57" s="9">
        <f t="shared" ca="1" si="21"/>
        <v>2.7157922621592334E-3</v>
      </c>
      <c r="FY57" s="9">
        <f t="shared" ca="1" si="21"/>
        <v>2.5150994779917779E-3</v>
      </c>
      <c r="FZ57" s="9">
        <f t="shared" ca="1" si="21"/>
        <v>1.7433239606350348E-3</v>
      </c>
      <c r="GA57" s="9">
        <f t="shared" ca="1" si="21"/>
        <v>3.3728177297520645E-4</v>
      </c>
      <c r="GB57" s="9">
        <f t="shared" ca="1" si="21"/>
        <v>1.6592351950912576E-3</v>
      </c>
      <c r="GC57" s="9">
        <f t="shared" ca="1" si="21"/>
        <v>9.4995649266205184E-4</v>
      </c>
      <c r="GD57" s="9">
        <f t="shared" ca="1" si="21"/>
        <v>1.8977133604103358E-4</v>
      </c>
      <c r="GE57" s="9">
        <f t="shared" ca="1" si="21"/>
        <v>1.6629436513060369E-4</v>
      </c>
      <c r="GF57" s="9">
        <f t="shared" ca="1" si="21"/>
        <v>1.5677683184360802E-3</v>
      </c>
      <c r="GG57" s="9">
        <f t="shared" ca="1" si="21"/>
        <v>1.411828644976465E-3</v>
      </c>
      <c r="GH57" s="9">
        <f t="shared" ca="1" si="21"/>
        <v>5.2868341890222048E-5</v>
      </c>
      <c r="GI57" s="9">
        <f t="shared" ca="1" si="21"/>
        <v>1.8862672339158282E-3</v>
      </c>
      <c r="GJ57" s="9">
        <f t="shared" ca="1" si="21"/>
        <v>1.9521207113304406E-4</v>
      </c>
      <c r="GK57" s="9">
        <f t="shared" ca="1" si="21"/>
        <v>8.9783021535216889E-4</v>
      </c>
      <c r="GL57" s="9">
        <f t="shared" ref="GL57:IW57" ca="1" si="22">IF(GL30="","",ABS(GL30))</f>
        <v>1.2662945587766927E-3</v>
      </c>
      <c r="GM57" s="9">
        <f t="shared" ca="1" si="22"/>
        <v>2.484463486871813E-3</v>
      </c>
      <c r="GN57" s="9">
        <f t="shared" ca="1" si="22"/>
        <v>1.9632126899098212E-2</v>
      </c>
      <c r="GO57" s="9">
        <f t="shared" ca="1" si="22"/>
        <v>3.4719112872152236E-2</v>
      </c>
      <c r="GP57" s="9">
        <f t="shared" ca="1" si="22"/>
        <v>5.5572281671778523E-4</v>
      </c>
      <c r="GQ57" s="9">
        <f t="shared" ca="1" si="22"/>
        <v>4.2179227521901286E-3</v>
      </c>
      <c r="GR57" s="9">
        <f t="shared" ca="1" si="22"/>
        <v>8.8411104033515597E-3</v>
      </c>
      <c r="GS57" s="9">
        <f t="shared" ca="1" si="22"/>
        <v>9.1235282533783657E-3</v>
      </c>
      <c r="GT57" s="9">
        <f t="shared" ca="1" si="22"/>
        <v>3.3731942374704005E-4</v>
      </c>
      <c r="GU57" s="9">
        <f t="shared" ca="1" si="22"/>
        <v>7.208237308430343E-4</v>
      </c>
      <c r="GV57" s="9">
        <f t="shared" ca="1" si="22"/>
        <v>3.667553960629677E-3</v>
      </c>
      <c r="GW57" s="9">
        <f t="shared" ca="1" si="22"/>
        <v>1.8181478147931696E-3</v>
      </c>
      <c r="GX57" s="9">
        <f t="shared" ca="1" si="22"/>
        <v>9.4333792092293756E-4</v>
      </c>
      <c r="GY57" s="9" t="str">
        <f t="shared" ca="1" si="22"/>
        <v/>
      </c>
      <c r="GZ57" s="9" t="str">
        <f t="shared" ca="1" si="22"/>
        <v/>
      </c>
      <c r="HA57" s="9" t="str">
        <f t="shared" ca="1" si="22"/>
        <v/>
      </c>
      <c r="HB57" s="9" t="str">
        <f t="shared" ca="1" si="22"/>
        <v/>
      </c>
      <c r="HC57" s="9" t="str">
        <f t="shared" ca="1" si="22"/>
        <v/>
      </c>
      <c r="HD57" s="9" t="str">
        <f t="shared" ca="1" si="22"/>
        <v/>
      </c>
      <c r="HE57" s="9" t="str">
        <f t="shared" ca="1" si="22"/>
        <v/>
      </c>
      <c r="HF57" s="9" t="str">
        <f t="shared" ca="1" si="22"/>
        <v/>
      </c>
      <c r="HG57" s="9" t="str">
        <f t="shared" ca="1" si="22"/>
        <v/>
      </c>
      <c r="HH57" s="9" t="str">
        <f t="shared" ca="1" si="22"/>
        <v/>
      </c>
      <c r="HI57" s="9" t="str">
        <f t="shared" ca="1" si="22"/>
        <v/>
      </c>
      <c r="HJ57" s="9" t="str">
        <f t="shared" ca="1" si="22"/>
        <v/>
      </c>
      <c r="HK57" s="9" t="str">
        <f t="shared" ca="1" si="22"/>
        <v/>
      </c>
      <c r="HL57" s="9" t="str">
        <f t="shared" ca="1" si="22"/>
        <v/>
      </c>
      <c r="HM57" s="9" t="str">
        <f t="shared" ca="1" si="22"/>
        <v/>
      </c>
      <c r="HN57" s="9" t="str">
        <f t="shared" ca="1" si="22"/>
        <v/>
      </c>
      <c r="HO57" s="9" t="str">
        <f t="shared" ca="1" si="22"/>
        <v/>
      </c>
      <c r="HP57" s="9" t="str">
        <f t="shared" ca="1" si="22"/>
        <v/>
      </c>
      <c r="HQ57" s="9" t="str">
        <f t="shared" ca="1" si="22"/>
        <v/>
      </c>
      <c r="HR57" s="9" t="str">
        <f t="shared" ca="1" si="22"/>
        <v/>
      </c>
      <c r="HS57" s="9" t="str">
        <f t="shared" ca="1" si="22"/>
        <v/>
      </c>
      <c r="HT57" s="9" t="str">
        <f t="shared" ca="1" si="22"/>
        <v/>
      </c>
      <c r="HU57" s="9" t="str">
        <f t="shared" ca="1" si="22"/>
        <v/>
      </c>
      <c r="HV57" s="9" t="str">
        <f t="shared" ca="1" si="22"/>
        <v/>
      </c>
      <c r="HW57" s="9" t="str">
        <f t="shared" ca="1" si="22"/>
        <v/>
      </c>
      <c r="HX57" s="9" t="str">
        <f t="shared" ca="1" si="22"/>
        <v/>
      </c>
      <c r="HY57" s="9" t="str">
        <f t="shared" ca="1" si="22"/>
        <v/>
      </c>
      <c r="HZ57" s="9" t="str">
        <f t="shared" ca="1" si="22"/>
        <v/>
      </c>
      <c r="IA57" s="9" t="str">
        <f t="shared" ca="1" si="22"/>
        <v/>
      </c>
      <c r="IB57" s="9" t="str">
        <f t="shared" ca="1" si="22"/>
        <v/>
      </c>
      <c r="IC57" s="9" t="str">
        <f t="shared" ca="1" si="22"/>
        <v/>
      </c>
      <c r="ID57" s="9" t="str">
        <f t="shared" ca="1" si="22"/>
        <v/>
      </c>
      <c r="IE57" s="9" t="str">
        <f t="shared" ca="1" si="22"/>
        <v/>
      </c>
      <c r="IF57" s="9" t="str">
        <f t="shared" ca="1" si="22"/>
        <v/>
      </c>
      <c r="IG57" s="9" t="str">
        <f t="shared" ca="1" si="22"/>
        <v/>
      </c>
      <c r="IH57" s="9" t="str">
        <f t="shared" ca="1" si="22"/>
        <v/>
      </c>
      <c r="II57" s="9" t="str">
        <f t="shared" ca="1" si="22"/>
        <v/>
      </c>
      <c r="IJ57" s="9" t="str">
        <f t="shared" ca="1" si="22"/>
        <v/>
      </c>
      <c r="IK57" s="9" t="str">
        <f t="shared" ca="1" si="22"/>
        <v/>
      </c>
      <c r="IL57" s="9" t="str">
        <f t="shared" ca="1" si="22"/>
        <v/>
      </c>
      <c r="IM57" s="9" t="str">
        <f t="shared" ca="1" si="22"/>
        <v/>
      </c>
      <c r="IN57" s="9" t="str">
        <f t="shared" ca="1" si="22"/>
        <v/>
      </c>
      <c r="IO57" s="9" t="str">
        <f t="shared" ca="1" si="22"/>
        <v/>
      </c>
      <c r="IP57" s="9" t="str">
        <f t="shared" ca="1" si="22"/>
        <v/>
      </c>
      <c r="IQ57" s="9" t="str">
        <f t="shared" ca="1" si="22"/>
        <v/>
      </c>
      <c r="IR57" s="9" t="str">
        <f t="shared" ca="1" si="22"/>
        <v/>
      </c>
      <c r="IS57" s="9" t="str">
        <f t="shared" ca="1" si="22"/>
        <v/>
      </c>
      <c r="IT57" s="9" t="str">
        <f t="shared" ca="1" si="22"/>
        <v/>
      </c>
      <c r="IU57" s="9" t="str">
        <f t="shared" ca="1" si="22"/>
        <v/>
      </c>
      <c r="IV57" s="9" t="str">
        <f t="shared" ca="1" si="22"/>
        <v/>
      </c>
      <c r="IW57" s="9" t="str">
        <f t="shared" ca="1" si="22"/>
        <v/>
      </c>
      <c r="IX57" s="9" t="str">
        <f t="shared" ref="IX57:JH57" ca="1" si="23">IF(IX30="","",ABS(IX30))</f>
        <v/>
      </c>
      <c r="IY57" s="9" t="str">
        <f t="shared" ca="1" si="23"/>
        <v/>
      </c>
      <c r="IZ57" s="9" t="str">
        <f t="shared" ca="1" si="23"/>
        <v/>
      </c>
      <c r="JA57" s="9" t="str">
        <f t="shared" ca="1" si="23"/>
        <v/>
      </c>
      <c r="JB57" s="9" t="str">
        <f t="shared" ca="1" si="23"/>
        <v/>
      </c>
      <c r="JC57" s="9" t="str">
        <f t="shared" ca="1" si="23"/>
        <v/>
      </c>
      <c r="JD57" s="9" t="str">
        <f t="shared" ca="1" si="23"/>
        <v/>
      </c>
      <c r="JE57" s="9" t="str">
        <f t="shared" ca="1" si="23"/>
        <v/>
      </c>
      <c r="JF57" s="9" t="str">
        <f t="shared" ca="1" si="23"/>
        <v/>
      </c>
      <c r="JG57" s="9" t="str">
        <f t="shared" ca="1" si="23"/>
        <v/>
      </c>
      <c r="JH57" s="9" t="str">
        <f t="shared" ca="1" si="23"/>
        <v/>
      </c>
      <c r="JI57" s="13">
        <f t="shared" ref="JI57:JI68" ca="1" si="24">AVERAGE(OFFSET($B57,0,Inicio-1,1,Amplitud))</f>
        <v>3.4340775903691743E-3</v>
      </c>
      <c r="JJ57" s="13">
        <f t="shared" ref="JJ57:JJ68" ca="1" si="25">MEDIAN(OFFSET($B57,0,Inicio-1,1,Amplitud))</f>
        <v>1.6522589384472264E-3</v>
      </c>
      <c r="JK57" s="14">
        <f t="shared" ref="JK57:JK68" ca="1" si="26">VARP(OFFSET($B57,0,Inicio-1,1,Amplitud))</f>
        <v>4.2782979133347912E-5</v>
      </c>
      <c r="JL57" s="17">
        <f ca="1">SQRT(JK57)</f>
        <v>6.5408699064687043E-3</v>
      </c>
      <c r="JM57" s="15" t="str">
        <f t="shared" ref="JM57:JM68" ca="1" si="27">CONCATENATE("[ ",TEXT(JI57-2*JL57,"0,00%")," ; ",TEXT(JI57+2*JL57,"0,00%")," ]")</f>
        <v>[ -0,96% ; 1,65% ]</v>
      </c>
      <c r="JN57" s="17">
        <f t="shared" ref="JN57:JN68" ca="1" si="28">JL57*JN$29</f>
        <v>8.3723134802799418E-3</v>
      </c>
      <c r="LY57" s="1"/>
    </row>
    <row r="58" spans="1:337" x14ac:dyDescent="0.25">
      <c r="A58" s="4">
        <v>2</v>
      </c>
      <c r="B58" s="9">
        <f t="shared" ref="B58:BM58" ca="1" si="29">IF(B31="","",ABS(B31))</f>
        <v>1.7973243600164501E-3</v>
      </c>
      <c r="C58" s="9">
        <f t="shared" ca="1" si="29"/>
        <v>1.8783041790442212E-3</v>
      </c>
      <c r="D58" s="9">
        <f t="shared" ca="1" si="29"/>
        <v>6.0999635699321431E-4</v>
      </c>
      <c r="E58" s="9">
        <f t="shared" ca="1" si="29"/>
        <v>5.0914820815139983E-4</v>
      </c>
      <c r="F58" s="9">
        <f t="shared" ca="1" si="29"/>
        <v>1.0526227487043238E-3</v>
      </c>
      <c r="G58" s="9">
        <f t="shared" ca="1" si="29"/>
        <v>2.3382796963811181E-4</v>
      </c>
      <c r="H58" s="9">
        <f t="shared" ca="1" si="29"/>
        <v>2.1320177198391743E-3</v>
      </c>
      <c r="I58" s="9">
        <f t="shared" ca="1" si="29"/>
        <v>9.5889699802675921E-4</v>
      </c>
      <c r="J58" s="9">
        <f t="shared" ca="1" si="29"/>
        <v>2.1605256435822673E-3</v>
      </c>
      <c r="K58" s="9">
        <f t="shared" ca="1" si="29"/>
        <v>1.6452535436143334E-3</v>
      </c>
      <c r="L58" s="9">
        <f t="shared" ca="1" si="29"/>
        <v>8.5000573677385116E-4</v>
      </c>
      <c r="M58" s="9">
        <f t="shared" ca="1" si="29"/>
        <v>1.1832591873111031E-3</v>
      </c>
      <c r="N58" s="9">
        <f t="shared" ca="1" si="29"/>
        <v>5.4975729110728899E-4</v>
      </c>
      <c r="O58" s="9">
        <f t="shared" ca="1" si="29"/>
        <v>1.0419497601024119E-3</v>
      </c>
      <c r="P58" s="9">
        <f t="shared" ca="1" si="29"/>
        <v>2.407193597564028E-3</v>
      </c>
      <c r="Q58" s="9">
        <f t="shared" ca="1" si="29"/>
        <v>6.2157194487553191E-3</v>
      </c>
      <c r="R58" s="9">
        <f t="shared" ca="1" si="29"/>
        <v>1.1878107646440705E-2</v>
      </c>
      <c r="S58" s="9">
        <f t="shared" ca="1" si="29"/>
        <v>1.2930639515465026E-2</v>
      </c>
      <c r="T58" s="9">
        <f t="shared" ca="1" si="29"/>
        <v>9.6890152527862039E-3</v>
      </c>
      <c r="U58" s="9">
        <f t="shared" ca="1" si="29"/>
        <v>3.1480769225078475E-3</v>
      </c>
      <c r="V58" s="9">
        <f t="shared" ca="1" si="29"/>
        <v>1.3311206421127153E-3</v>
      </c>
      <c r="W58" s="9">
        <f t="shared" ca="1" si="29"/>
        <v>1.168769966268135E-3</v>
      </c>
      <c r="X58" s="9">
        <f t="shared" ca="1" si="29"/>
        <v>2.5738377576989269E-3</v>
      </c>
      <c r="Y58" s="9">
        <f t="shared" ca="1" si="29"/>
        <v>4.4604294519556831E-4</v>
      </c>
      <c r="Z58" s="9">
        <f t="shared" ca="1" si="29"/>
        <v>2.382132533914838E-3</v>
      </c>
      <c r="AA58" s="9">
        <f t="shared" ca="1" si="29"/>
        <v>1.6694222582778195E-3</v>
      </c>
      <c r="AB58" s="9">
        <f t="shared" ca="1" si="29"/>
        <v>1.2409620552552569E-3</v>
      </c>
      <c r="AC58" s="9">
        <f t="shared" ca="1" si="29"/>
        <v>3.7993713971267162E-3</v>
      </c>
      <c r="AD58" s="9">
        <f t="shared" ca="1" si="29"/>
        <v>4.8231462987005091E-3</v>
      </c>
      <c r="AE58" s="9">
        <f t="shared" ca="1" si="29"/>
        <v>4.3248878649144729E-3</v>
      </c>
      <c r="AF58" s="9">
        <f t="shared" ca="1" si="29"/>
        <v>4.5807539761066884E-3</v>
      </c>
      <c r="AG58" s="9">
        <f t="shared" ca="1" si="29"/>
        <v>1.4416598618576248E-3</v>
      </c>
      <c r="AH58" s="9">
        <f t="shared" ca="1" si="29"/>
        <v>5.6820795701925109E-3</v>
      </c>
      <c r="AI58" s="9">
        <f t="shared" ca="1" si="29"/>
        <v>1.999754867975434E-3</v>
      </c>
      <c r="AJ58" s="9">
        <f t="shared" ca="1" si="29"/>
        <v>2.1035471321856347E-3</v>
      </c>
      <c r="AK58" s="9">
        <f t="shared" ca="1" si="29"/>
        <v>8.4376450032797035E-4</v>
      </c>
      <c r="AL58" s="9">
        <f t="shared" ca="1" si="29"/>
        <v>1.1467086179818287E-3</v>
      </c>
      <c r="AM58" s="9">
        <f t="shared" ca="1" si="29"/>
        <v>3.9144101255206287E-4</v>
      </c>
      <c r="AN58" s="9">
        <f t="shared" ca="1" si="29"/>
        <v>7.0678282114289281E-4</v>
      </c>
      <c r="AO58" s="9">
        <f t="shared" ca="1" si="29"/>
        <v>3.8193065562941442E-3</v>
      </c>
      <c r="AP58" s="9">
        <f t="shared" ca="1" si="29"/>
        <v>2.0580111928183431E-3</v>
      </c>
      <c r="AQ58" s="9">
        <f t="shared" ca="1" si="29"/>
        <v>4.1781822208648567E-3</v>
      </c>
      <c r="AR58" s="9">
        <f t="shared" ca="1" si="29"/>
        <v>2.5629869036654096E-3</v>
      </c>
      <c r="AS58" s="9">
        <f t="shared" ca="1" si="29"/>
        <v>1.0226249519704744E-3</v>
      </c>
      <c r="AT58" s="9">
        <f t="shared" ca="1" si="29"/>
        <v>2.4707346703666255E-3</v>
      </c>
      <c r="AU58" s="9">
        <f t="shared" ca="1" si="29"/>
        <v>3.1015257417665865E-5</v>
      </c>
      <c r="AV58" s="9">
        <f t="shared" ca="1" si="29"/>
        <v>1.2429920261058935E-3</v>
      </c>
      <c r="AW58" s="9">
        <f t="shared" ca="1" si="29"/>
        <v>2.0402440792910426E-3</v>
      </c>
      <c r="AX58" s="9">
        <f t="shared" ca="1" si="29"/>
        <v>4.4896325685286342E-3</v>
      </c>
      <c r="AY58" s="9">
        <f t="shared" ca="1" si="29"/>
        <v>3.3304017725490631E-3</v>
      </c>
      <c r="AZ58" s="9">
        <f t="shared" ca="1" si="29"/>
        <v>4.3197519464475143E-3</v>
      </c>
      <c r="BA58" s="9">
        <f t="shared" ca="1" si="29"/>
        <v>4.9143930566752925E-3</v>
      </c>
      <c r="BB58" s="9">
        <f t="shared" ca="1" si="29"/>
        <v>8.5578865630924206E-3</v>
      </c>
      <c r="BC58" s="9">
        <f t="shared" ca="1" si="29"/>
        <v>6.3761491730021103E-3</v>
      </c>
      <c r="BD58" s="9">
        <f t="shared" ca="1" si="29"/>
        <v>1.0614759036237098E-3</v>
      </c>
      <c r="BE58" s="9">
        <f t="shared" ca="1" si="29"/>
        <v>1.4461251861899171E-3</v>
      </c>
      <c r="BF58" s="9">
        <f t="shared" ca="1" si="29"/>
        <v>1.0917436763334454E-2</v>
      </c>
      <c r="BG58" s="9">
        <f t="shared" ca="1" si="29"/>
        <v>1.2026107069860847E-2</v>
      </c>
      <c r="BH58" s="9">
        <f t="shared" ca="1" si="29"/>
        <v>6.3671569739354172E-3</v>
      </c>
      <c r="BI58" s="9">
        <f t="shared" ca="1" si="29"/>
        <v>2.0972822324107909E-3</v>
      </c>
      <c r="BJ58" s="9">
        <f t="shared" ca="1" si="29"/>
        <v>3.127859526299126E-3</v>
      </c>
      <c r="BK58" s="9">
        <f t="shared" ca="1" si="29"/>
        <v>2.9095342788891809E-3</v>
      </c>
      <c r="BL58" s="9">
        <f t="shared" ca="1" si="29"/>
        <v>3.3486567665342859E-3</v>
      </c>
      <c r="BM58" s="9">
        <f t="shared" ca="1" si="29"/>
        <v>8.67982262666811E-3</v>
      </c>
      <c r="BN58" s="9">
        <f t="shared" ref="BN58:DY58" ca="1" si="30">IF(BN31="","",ABS(BN31))</f>
        <v>6.2779108928185945E-3</v>
      </c>
      <c r="BO58" s="9">
        <f t="shared" ca="1" si="30"/>
        <v>1.0110753794057015E-4</v>
      </c>
      <c r="BP58" s="9">
        <f t="shared" ca="1" si="30"/>
        <v>5.6045533997832742E-3</v>
      </c>
      <c r="BQ58" s="9">
        <f t="shared" ca="1" si="30"/>
        <v>7.3580485546163032E-3</v>
      </c>
      <c r="BR58" s="9">
        <f t="shared" ca="1" si="30"/>
        <v>4.5571016456527058E-3</v>
      </c>
      <c r="BS58" s="9">
        <f t="shared" ca="1" si="30"/>
        <v>4.1115077206661521E-3</v>
      </c>
      <c r="BT58" s="9">
        <f t="shared" ca="1" si="30"/>
        <v>6.8652877459436379E-3</v>
      </c>
      <c r="BU58" s="9">
        <f t="shared" ca="1" si="30"/>
        <v>1.6612893200084189E-3</v>
      </c>
      <c r="BV58" s="9">
        <f t="shared" ca="1" si="30"/>
        <v>3.8607242764840954E-3</v>
      </c>
      <c r="BW58" s="9">
        <f t="shared" ca="1" si="30"/>
        <v>9.6297259635225174E-4</v>
      </c>
      <c r="BX58" s="9">
        <f t="shared" ca="1" si="30"/>
        <v>1.1708915071914072E-3</v>
      </c>
      <c r="BY58" s="9">
        <f t="shared" ca="1" si="30"/>
        <v>2.9180506095066727E-3</v>
      </c>
      <c r="BZ58" s="9">
        <f t="shared" ca="1" si="30"/>
        <v>2.4160149957230814E-4</v>
      </c>
      <c r="CA58" s="9">
        <f t="shared" ca="1" si="30"/>
        <v>1.3538740221739065E-3</v>
      </c>
      <c r="CB58" s="9">
        <f t="shared" ca="1" si="30"/>
        <v>2.2667244804559505E-3</v>
      </c>
      <c r="CC58" s="9">
        <f t="shared" ca="1" si="30"/>
        <v>4.1986484130129842E-3</v>
      </c>
      <c r="CD58" s="9">
        <f t="shared" ca="1" si="30"/>
        <v>7.0080736162592139E-4</v>
      </c>
      <c r="CE58" s="9">
        <f t="shared" ca="1" si="30"/>
        <v>1.3445585400326809E-3</v>
      </c>
      <c r="CF58" s="9">
        <f t="shared" ca="1" si="30"/>
        <v>1.2806231361756071E-3</v>
      </c>
      <c r="CG58" s="9">
        <f t="shared" ca="1" si="30"/>
        <v>2.7717185726104931E-3</v>
      </c>
      <c r="CH58" s="9">
        <f t="shared" ca="1" si="30"/>
        <v>4.3759353362660125E-3</v>
      </c>
      <c r="CI58" s="9">
        <f t="shared" ca="1" si="30"/>
        <v>5.2358914867547401E-3</v>
      </c>
      <c r="CJ58" s="9">
        <f t="shared" ca="1" si="30"/>
        <v>6.1298124579884927E-3</v>
      </c>
      <c r="CK58" s="9">
        <f t="shared" ca="1" si="30"/>
        <v>1.7917360346118016E-3</v>
      </c>
      <c r="CL58" s="9">
        <f t="shared" ca="1" si="30"/>
        <v>4.0578249303435676E-3</v>
      </c>
      <c r="CM58" s="9">
        <f t="shared" ca="1" si="30"/>
        <v>3.4359642695407366E-3</v>
      </c>
      <c r="CN58" s="9">
        <f t="shared" ca="1" si="30"/>
        <v>1.6017364036043924E-3</v>
      </c>
      <c r="CO58" s="9">
        <f t="shared" ca="1" si="30"/>
        <v>1.2531448044228455E-4</v>
      </c>
      <c r="CP58" s="9">
        <f t="shared" ca="1" si="30"/>
        <v>4.6874871517572636E-3</v>
      </c>
      <c r="CQ58" s="9">
        <f t="shared" ca="1" si="30"/>
        <v>5.4192136390145418E-3</v>
      </c>
      <c r="CR58" s="9">
        <f t="shared" ca="1" si="30"/>
        <v>3.7641833807695591E-3</v>
      </c>
      <c r="CS58" s="9">
        <f t="shared" ca="1" si="30"/>
        <v>3.5492099500098462E-3</v>
      </c>
      <c r="CT58" s="9">
        <f t="shared" ca="1" si="30"/>
        <v>7.8415159134959111E-3</v>
      </c>
      <c r="CU58" s="9">
        <f t="shared" ca="1" si="30"/>
        <v>3.4871935275790911E-3</v>
      </c>
      <c r="CV58" s="9">
        <f t="shared" ca="1" si="30"/>
        <v>2.9947526254692214E-4</v>
      </c>
      <c r="CW58" s="9">
        <f t="shared" ca="1" si="30"/>
        <v>1.4947006802321638E-3</v>
      </c>
      <c r="CX58" s="9">
        <f t="shared" ca="1" si="30"/>
        <v>4.007780814438977E-3</v>
      </c>
      <c r="CY58" s="9">
        <f t="shared" ca="1" si="30"/>
        <v>2.1455378660925062E-3</v>
      </c>
      <c r="CZ58" s="9">
        <f t="shared" ca="1" si="30"/>
        <v>4.7547379760477515E-3</v>
      </c>
      <c r="DA58" s="9">
        <f t="shared" ca="1" si="30"/>
        <v>3.3070122981764261E-3</v>
      </c>
      <c r="DB58" s="9">
        <f t="shared" ca="1" si="30"/>
        <v>2.2693601898688964E-3</v>
      </c>
      <c r="DC58" s="9">
        <f t="shared" ca="1" si="30"/>
        <v>5.131342624851376E-3</v>
      </c>
      <c r="DD58" s="9">
        <f t="shared" ca="1" si="30"/>
        <v>8.7778327468914785E-3</v>
      </c>
      <c r="DE58" s="9">
        <f t="shared" ca="1" si="30"/>
        <v>5.4443232425550603E-3</v>
      </c>
      <c r="DF58" s="9">
        <f t="shared" ca="1" si="30"/>
        <v>3.3687475584510684E-3</v>
      </c>
      <c r="DG58" s="9">
        <f t="shared" ca="1" si="30"/>
        <v>1.8930475105052302E-3</v>
      </c>
      <c r="DH58" s="9">
        <f t="shared" ca="1" si="30"/>
        <v>2.1598886202884859E-3</v>
      </c>
      <c r="DI58" s="9">
        <f t="shared" ca="1" si="30"/>
        <v>3.3828209970934164E-3</v>
      </c>
      <c r="DJ58" s="9">
        <f t="shared" ca="1" si="30"/>
        <v>1.8718676386922928E-3</v>
      </c>
      <c r="DK58" s="9">
        <f t="shared" ca="1" si="30"/>
        <v>3.2346255573019178E-3</v>
      </c>
      <c r="DL58" s="9">
        <f t="shared" ca="1" si="30"/>
        <v>2.0402931766356769E-3</v>
      </c>
      <c r="DM58" s="9">
        <f t="shared" ca="1" si="30"/>
        <v>4.3377088903500116E-3</v>
      </c>
      <c r="DN58" s="9">
        <f t="shared" ca="1" si="30"/>
        <v>7.3715228978664671E-3</v>
      </c>
      <c r="DO58" s="9">
        <f t="shared" ca="1" si="30"/>
        <v>8.3677067074732214E-3</v>
      </c>
      <c r="DP58" s="9">
        <f t="shared" ca="1" si="30"/>
        <v>3.4982332300875774E-3</v>
      </c>
      <c r="DQ58" s="9">
        <f t="shared" ca="1" si="30"/>
        <v>3.2779236092658204E-3</v>
      </c>
      <c r="DR58" s="9">
        <f t="shared" ca="1" si="30"/>
        <v>3.4298262459209194E-3</v>
      </c>
      <c r="DS58" s="9">
        <f t="shared" ca="1" si="30"/>
        <v>6.5916257106701792E-4</v>
      </c>
      <c r="DT58" s="9">
        <f t="shared" ca="1" si="30"/>
        <v>2.7790085193993841E-3</v>
      </c>
      <c r="DU58" s="9">
        <f t="shared" ca="1" si="30"/>
        <v>5.1418210878841908E-3</v>
      </c>
      <c r="DV58" s="9">
        <f t="shared" ca="1" si="30"/>
        <v>6.0571369650741502E-4</v>
      </c>
      <c r="DW58" s="9">
        <f t="shared" ca="1" si="30"/>
        <v>3.5349464931158092E-3</v>
      </c>
      <c r="DX58" s="9">
        <f t="shared" ca="1" si="30"/>
        <v>1.1452923130554904E-3</v>
      </c>
      <c r="DY58" s="9">
        <f t="shared" ca="1" si="30"/>
        <v>7.5070709124580581E-4</v>
      </c>
      <c r="DZ58" s="9">
        <f t="shared" ref="DZ58:GK58" ca="1" si="31">IF(DZ31="","",ABS(DZ31))</f>
        <v>2.308137355710671E-3</v>
      </c>
      <c r="EA58" s="9">
        <f t="shared" ca="1" si="31"/>
        <v>1.8625730313405198E-3</v>
      </c>
      <c r="EB58" s="9">
        <f t="shared" ca="1" si="31"/>
        <v>8.100415208138867E-3</v>
      </c>
      <c r="EC58" s="9">
        <f t="shared" ca="1" si="31"/>
        <v>3.1679528150447833E-3</v>
      </c>
      <c r="ED58" s="9">
        <f t="shared" ca="1" si="31"/>
        <v>2.3520910725396416E-3</v>
      </c>
      <c r="EE58" s="9">
        <f t="shared" ca="1" si="31"/>
        <v>7.1706966840445752E-3</v>
      </c>
      <c r="EF58" s="9">
        <f t="shared" ca="1" si="31"/>
        <v>4.5500359626177156E-3</v>
      </c>
      <c r="EG58" s="9">
        <f t="shared" ca="1" si="31"/>
        <v>3.4578767854731574E-5</v>
      </c>
      <c r="EH58" s="9">
        <f t="shared" ca="1" si="31"/>
        <v>4.8819072685459819E-3</v>
      </c>
      <c r="EI58" s="9">
        <f t="shared" ca="1" si="31"/>
        <v>6.2661272442887661E-3</v>
      </c>
      <c r="EJ58" s="9">
        <f t="shared" ca="1" si="31"/>
        <v>3.2080372522069744E-3</v>
      </c>
      <c r="EK58" s="9">
        <f t="shared" ca="1" si="31"/>
        <v>1.5132056197288968E-3</v>
      </c>
      <c r="EL58" s="9">
        <f t="shared" ca="1" si="31"/>
        <v>3.6358085732784984E-3</v>
      </c>
      <c r="EM58" s="9">
        <f t="shared" ca="1" si="31"/>
        <v>1.8301884864793116E-3</v>
      </c>
      <c r="EN58" s="9">
        <f t="shared" ca="1" si="31"/>
        <v>4.0329235735840907E-3</v>
      </c>
      <c r="EO58" s="9">
        <f t="shared" ca="1" si="31"/>
        <v>5.6365893351517649E-4</v>
      </c>
      <c r="EP58" s="9">
        <f t="shared" ca="1" si="31"/>
        <v>3.153894066743268E-3</v>
      </c>
      <c r="EQ58" s="9">
        <f t="shared" ca="1" si="31"/>
        <v>1.1688198652537451E-4</v>
      </c>
      <c r="ER58" s="9">
        <f t="shared" ca="1" si="31"/>
        <v>2.6106075501226567E-3</v>
      </c>
      <c r="ES58" s="9">
        <f t="shared" ca="1" si="31"/>
        <v>7.5124007906934853E-4</v>
      </c>
      <c r="ET58" s="9">
        <f t="shared" ca="1" si="31"/>
        <v>2.9609236200990319E-3</v>
      </c>
      <c r="EU58" s="9">
        <f t="shared" ca="1" si="31"/>
        <v>3.2679561040912519E-3</v>
      </c>
      <c r="EV58" s="9">
        <f t="shared" ca="1" si="31"/>
        <v>4.3413242394081397E-3</v>
      </c>
      <c r="EW58" s="9">
        <f t="shared" ca="1" si="31"/>
        <v>3.7526638228397857E-3</v>
      </c>
      <c r="EX58" s="9">
        <f t="shared" ca="1" si="31"/>
        <v>5.6104045913728529E-3</v>
      </c>
      <c r="EY58" s="9">
        <f t="shared" ca="1" si="31"/>
        <v>2.4903294936379217E-3</v>
      </c>
      <c r="EZ58" s="9">
        <f t="shared" ca="1" si="31"/>
        <v>4.0754925745694059E-3</v>
      </c>
      <c r="FA58" s="9">
        <f t="shared" ca="1" si="31"/>
        <v>1.6449022995121965E-3</v>
      </c>
      <c r="FB58" s="9">
        <f t="shared" ca="1" si="31"/>
        <v>2.2966964287911562E-3</v>
      </c>
      <c r="FC58" s="9">
        <f t="shared" ca="1" si="31"/>
        <v>1.6940031749269613E-3</v>
      </c>
      <c r="FD58" s="9">
        <f t="shared" ca="1" si="31"/>
        <v>5.4643384701196229E-3</v>
      </c>
      <c r="FE58" s="9">
        <f t="shared" ca="1" si="31"/>
        <v>3.1191211271601738E-3</v>
      </c>
      <c r="FF58" s="9">
        <f t="shared" ca="1" si="31"/>
        <v>2.1723378968823148E-3</v>
      </c>
      <c r="FG58" s="9">
        <f t="shared" ca="1" si="31"/>
        <v>3.9051683405999515E-3</v>
      </c>
      <c r="FH58" s="9">
        <f t="shared" ca="1" si="31"/>
        <v>6.5094199099053895E-3</v>
      </c>
      <c r="FI58" s="9">
        <f t="shared" ca="1" si="31"/>
        <v>1.3265748062312177E-3</v>
      </c>
      <c r="FJ58" s="9">
        <f t="shared" ca="1" si="31"/>
        <v>4.9036288937951422E-3</v>
      </c>
      <c r="FK58" s="9">
        <f t="shared" ca="1" si="31"/>
        <v>1.9176122963534548E-3</v>
      </c>
      <c r="FL58" s="9">
        <f t="shared" ca="1" si="31"/>
        <v>1.4515935432697358E-3</v>
      </c>
      <c r="FM58" s="9">
        <f t="shared" ca="1" si="31"/>
        <v>2.2068368997196774E-3</v>
      </c>
      <c r="FN58" s="9">
        <f t="shared" ca="1" si="31"/>
        <v>2.0226302583625788E-3</v>
      </c>
      <c r="FO58" s="9">
        <f t="shared" ca="1" si="31"/>
        <v>3.4453888864127702E-4</v>
      </c>
      <c r="FP58" s="9">
        <f t="shared" ca="1" si="31"/>
        <v>1.5357479452471345E-4</v>
      </c>
      <c r="FQ58" s="9">
        <f t="shared" ca="1" si="31"/>
        <v>2.1981058829547706E-3</v>
      </c>
      <c r="FR58" s="9">
        <f t="shared" ca="1" si="31"/>
        <v>3.0333889153594251E-3</v>
      </c>
      <c r="FS58" s="9">
        <f t="shared" ca="1" si="31"/>
        <v>2.231894578860194E-3</v>
      </c>
      <c r="FT58" s="9">
        <f t="shared" ca="1" si="31"/>
        <v>6.3069108777582539E-3</v>
      </c>
      <c r="FU58" s="9">
        <f t="shared" ca="1" si="31"/>
        <v>1.3582822942823647E-3</v>
      </c>
      <c r="FV58" s="9">
        <f t="shared" ca="1" si="31"/>
        <v>6.0812386571251764E-3</v>
      </c>
      <c r="FW58" s="9">
        <f t="shared" ca="1" si="31"/>
        <v>2.2350102270545236E-3</v>
      </c>
      <c r="FX58" s="9">
        <f t="shared" ca="1" si="31"/>
        <v>2.6802809174852893E-3</v>
      </c>
      <c r="FY58" s="9">
        <f t="shared" ca="1" si="31"/>
        <v>1.6307301546925057E-3</v>
      </c>
      <c r="FZ58" s="9">
        <f t="shared" ca="1" si="31"/>
        <v>2.9290030493080987E-3</v>
      </c>
      <c r="GA58" s="9">
        <f t="shared" ca="1" si="31"/>
        <v>1.54028158270203E-3</v>
      </c>
      <c r="GB58" s="9">
        <f t="shared" ca="1" si="31"/>
        <v>3.0398963323594597E-3</v>
      </c>
      <c r="GC58" s="9">
        <f t="shared" ca="1" si="31"/>
        <v>4.8949243964879763E-4</v>
      </c>
      <c r="GD58" s="9">
        <f t="shared" ca="1" si="31"/>
        <v>1.0475313131894648E-3</v>
      </c>
      <c r="GE58" s="9">
        <f t="shared" ca="1" si="31"/>
        <v>1.954104360675446E-3</v>
      </c>
      <c r="GF58" s="9">
        <f t="shared" ca="1" si="31"/>
        <v>4.2487372609705254E-3</v>
      </c>
      <c r="GG58" s="9">
        <f t="shared" ca="1" si="31"/>
        <v>9.3073704184143402E-4</v>
      </c>
      <c r="GH58" s="9">
        <f t="shared" ca="1" si="31"/>
        <v>2.674332307386007E-3</v>
      </c>
      <c r="GI58" s="9">
        <f t="shared" ca="1" si="31"/>
        <v>1.3912545713190561E-3</v>
      </c>
      <c r="GJ58" s="9">
        <f t="shared" ca="1" si="31"/>
        <v>1.4882540284726353E-3</v>
      </c>
      <c r="GK58" s="9">
        <f t="shared" ca="1" si="31"/>
        <v>2.9500036665450757E-3</v>
      </c>
      <c r="GL58" s="9">
        <f t="shared" ref="GL58:IW58" ca="1" si="32">IF(GL31="","",ABS(GL31))</f>
        <v>7.7069172562516108E-4</v>
      </c>
      <c r="GM58" s="9">
        <f t="shared" ca="1" si="32"/>
        <v>1.6463161369990598E-2</v>
      </c>
      <c r="GN58" s="9">
        <f t="shared" ca="1" si="32"/>
        <v>5.8850770345753256E-2</v>
      </c>
      <c r="GO58" s="9">
        <f t="shared" ca="1" si="32"/>
        <v>3.593100148181505E-2</v>
      </c>
      <c r="GP58" s="9">
        <f t="shared" ca="1" si="32"/>
        <v>2.4655693367582332E-3</v>
      </c>
      <c r="GQ58" s="9">
        <f t="shared" ca="1" si="32"/>
        <v>1.5643009044442824E-2</v>
      </c>
      <c r="GR58" s="9">
        <f t="shared" ca="1" si="32"/>
        <v>2.1897676244194697E-2</v>
      </c>
      <c r="GS58" s="9">
        <f t="shared" ca="1" si="32"/>
        <v>1.5381553773605061E-2</v>
      </c>
      <c r="GT58" s="9">
        <f t="shared" ca="1" si="32"/>
        <v>1.8982019493372082E-3</v>
      </c>
      <c r="GU58" s="9">
        <f t="shared" ca="1" si="32"/>
        <v>3.0376276857726481E-3</v>
      </c>
      <c r="GV58" s="9">
        <f t="shared" ca="1" si="32"/>
        <v>3.180238107705069E-3</v>
      </c>
      <c r="GW58" s="9">
        <f t="shared" ca="1" si="32"/>
        <v>4.658037578642249E-3</v>
      </c>
      <c r="GX58" s="9" t="str">
        <f t="shared" ca="1" si="32"/>
        <v/>
      </c>
      <c r="GY58" s="9" t="str">
        <f t="shared" ca="1" si="32"/>
        <v/>
      </c>
      <c r="GZ58" s="9" t="str">
        <f t="shared" ca="1" si="32"/>
        <v/>
      </c>
      <c r="HA58" s="9" t="str">
        <f t="shared" ca="1" si="32"/>
        <v/>
      </c>
      <c r="HB58" s="9" t="str">
        <f t="shared" ca="1" si="32"/>
        <v/>
      </c>
      <c r="HC58" s="9" t="str">
        <f t="shared" ca="1" si="32"/>
        <v/>
      </c>
      <c r="HD58" s="9" t="str">
        <f t="shared" ca="1" si="32"/>
        <v/>
      </c>
      <c r="HE58" s="9" t="str">
        <f t="shared" ca="1" si="32"/>
        <v/>
      </c>
      <c r="HF58" s="9" t="str">
        <f t="shared" ca="1" si="32"/>
        <v/>
      </c>
      <c r="HG58" s="9" t="str">
        <f t="shared" ca="1" si="32"/>
        <v/>
      </c>
      <c r="HH58" s="9" t="str">
        <f t="shared" ca="1" si="32"/>
        <v/>
      </c>
      <c r="HI58" s="9" t="str">
        <f t="shared" ca="1" si="32"/>
        <v/>
      </c>
      <c r="HJ58" s="9" t="str">
        <f t="shared" ca="1" si="32"/>
        <v/>
      </c>
      <c r="HK58" s="9" t="str">
        <f t="shared" ca="1" si="32"/>
        <v/>
      </c>
      <c r="HL58" s="9" t="str">
        <f t="shared" ca="1" si="32"/>
        <v/>
      </c>
      <c r="HM58" s="9" t="str">
        <f t="shared" ca="1" si="32"/>
        <v/>
      </c>
      <c r="HN58" s="9" t="str">
        <f t="shared" ca="1" si="32"/>
        <v/>
      </c>
      <c r="HO58" s="9" t="str">
        <f t="shared" ca="1" si="32"/>
        <v/>
      </c>
      <c r="HP58" s="9" t="str">
        <f t="shared" ca="1" si="32"/>
        <v/>
      </c>
      <c r="HQ58" s="9" t="str">
        <f t="shared" ca="1" si="32"/>
        <v/>
      </c>
      <c r="HR58" s="9" t="str">
        <f t="shared" ca="1" si="32"/>
        <v/>
      </c>
      <c r="HS58" s="9" t="str">
        <f t="shared" ca="1" si="32"/>
        <v/>
      </c>
      <c r="HT58" s="9" t="str">
        <f t="shared" ca="1" si="32"/>
        <v/>
      </c>
      <c r="HU58" s="9" t="str">
        <f t="shared" ca="1" si="32"/>
        <v/>
      </c>
      <c r="HV58" s="9" t="str">
        <f t="shared" ca="1" si="32"/>
        <v/>
      </c>
      <c r="HW58" s="9" t="str">
        <f t="shared" ca="1" si="32"/>
        <v/>
      </c>
      <c r="HX58" s="9" t="str">
        <f t="shared" ca="1" si="32"/>
        <v/>
      </c>
      <c r="HY58" s="9" t="str">
        <f t="shared" ca="1" si="32"/>
        <v/>
      </c>
      <c r="HZ58" s="9" t="str">
        <f t="shared" ca="1" si="32"/>
        <v/>
      </c>
      <c r="IA58" s="9" t="str">
        <f t="shared" ca="1" si="32"/>
        <v/>
      </c>
      <c r="IB58" s="9" t="str">
        <f t="shared" ca="1" si="32"/>
        <v/>
      </c>
      <c r="IC58" s="9" t="str">
        <f t="shared" ca="1" si="32"/>
        <v/>
      </c>
      <c r="ID58" s="9" t="str">
        <f t="shared" ca="1" si="32"/>
        <v/>
      </c>
      <c r="IE58" s="9" t="str">
        <f t="shared" ca="1" si="32"/>
        <v/>
      </c>
      <c r="IF58" s="9" t="str">
        <f t="shared" ca="1" si="32"/>
        <v/>
      </c>
      <c r="IG58" s="9" t="str">
        <f t="shared" ca="1" si="32"/>
        <v/>
      </c>
      <c r="IH58" s="9" t="str">
        <f t="shared" ca="1" si="32"/>
        <v/>
      </c>
      <c r="II58" s="9" t="str">
        <f t="shared" ca="1" si="32"/>
        <v/>
      </c>
      <c r="IJ58" s="9" t="str">
        <f t="shared" ca="1" si="32"/>
        <v/>
      </c>
      <c r="IK58" s="9" t="str">
        <f t="shared" ca="1" si="32"/>
        <v/>
      </c>
      <c r="IL58" s="9" t="str">
        <f t="shared" ca="1" si="32"/>
        <v/>
      </c>
      <c r="IM58" s="9" t="str">
        <f t="shared" ca="1" si="32"/>
        <v/>
      </c>
      <c r="IN58" s="9" t="str">
        <f t="shared" ca="1" si="32"/>
        <v/>
      </c>
      <c r="IO58" s="9" t="str">
        <f t="shared" ca="1" si="32"/>
        <v/>
      </c>
      <c r="IP58" s="9" t="str">
        <f t="shared" ca="1" si="32"/>
        <v/>
      </c>
      <c r="IQ58" s="9" t="str">
        <f t="shared" ca="1" si="32"/>
        <v/>
      </c>
      <c r="IR58" s="9" t="str">
        <f t="shared" ca="1" si="32"/>
        <v/>
      </c>
      <c r="IS58" s="9" t="str">
        <f t="shared" ca="1" si="32"/>
        <v/>
      </c>
      <c r="IT58" s="9" t="str">
        <f t="shared" ca="1" si="32"/>
        <v/>
      </c>
      <c r="IU58" s="9" t="str">
        <f t="shared" ca="1" si="32"/>
        <v/>
      </c>
      <c r="IV58" s="9" t="str">
        <f t="shared" ca="1" si="32"/>
        <v/>
      </c>
      <c r="IW58" s="9" t="str">
        <f t="shared" ca="1" si="32"/>
        <v/>
      </c>
      <c r="IX58" s="9" t="str">
        <f t="shared" ref="IX58:JH58" ca="1" si="33">IF(IX31="","",ABS(IX31))</f>
        <v/>
      </c>
      <c r="IY58" s="9" t="str">
        <f t="shared" ca="1" si="33"/>
        <v/>
      </c>
      <c r="IZ58" s="9" t="str">
        <f t="shared" ca="1" si="33"/>
        <v/>
      </c>
      <c r="JA58" s="9" t="str">
        <f t="shared" ca="1" si="33"/>
        <v/>
      </c>
      <c r="JB58" s="9" t="str">
        <f t="shared" ca="1" si="33"/>
        <v/>
      </c>
      <c r="JC58" s="9" t="str">
        <f t="shared" ca="1" si="33"/>
        <v/>
      </c>
      <c r="JD58" s="9" t="str">
        <f t="shared" ca="1" si="33"/>
        <v/>
      </c>
      <c r="JE58" s="9" t="str">
        <f t="shared" ca="1" si="33"/>
        <v/>
      </c>
      <c r="JF58" s="9" t="str">
        <f t="shared" ca="1" si="33"/>
        <v/>
      </c>
      <c r="JG58" s="9" t="str">
        <f t="shared" ca="1" si="33"/>
        <v/>
      </c>
      <c r="JH58" s="9" t="str">
        <f t="shared" ca="1" si="33"/>
        <v/>
      </c>
      <c r="JI58" s="13">
        <f t="shared" ca="1" si="24"/>
        <v>7.049000275867654E-3</v>
      </c>
      <c r="JJ58" s="13">
        <f t="shared" ca="1" si="25"/>
        <v>2.6802809174852893E-3</v>
      </c>
      <c r="JK58" s="14">
        <f t="shared" ca="1" si="26"/>
        <v>1.3862468446438267E-4</v>
      </c>
      <c r="JL58" s="17">
        <f t="shared" ref="JL58:JL68" ca="1" si="34">SQRT(JK58)</f>
        <v>1.1773898439530667E-2</v>
      </c>
      <c r="JM58" s="15" t="str">
        <f t="shared" ca="1" si="27"/>
        <v>[ -1,65% ; 3,06% ]</v>
      </c>
      <c r="JN58" s="17">
        <f t="shared" ca="1" si="28"/>
        <v>1.5070590002599254E-2</v>
      </c>
      <c r="LY58" s="1"/>
    </row>
    <row r="59" spans="1:337" x14ac:dyDescent="0.25">
      <c r="A59" s="4">
        <v>3</v>
      </c>
      <c r="B59" s="9">
        <f t="shared" ref="B59:BM59" ca="1" si="35">IF(B32="","",ABS(B32))</f>
        <v>2.3138849570207842E-3</v>
      </c>
      <c r="C59" s="9">
        <f t="shared" ca="1" si="35"/>
        <v>1.1393938952445337E-3</v>
      </c>
      <c r="D59" s="9">
        <f t="shared" ca="1" si="35"/>
        <v>1.2536854010103404E-4</v>
      </c>
      <c r="E59" s="9">
        <f t="shared" ca="1" si="35"/>
        <v>3.635581734446891E-4</v>
      </c>
      <c r="F59" s="9">
        <f t="shared" ca="1" si="35"/>
        <v>6.9268042256565021E-4</v>
      </c>
      <c r="G59" s="9">
        <f t="shared" ca="1" si="35"/>
        <v>1.6916827322708272E-3</v>
      </c>
      <c r="H59" s="9">
        <f t="shared" ca="1" si="35"/>
        <v>1.5712720375331557E-3</v>
      </c>
      <c r="I59" s="9">
        <f t="shared" ca="1" si="35"/>
        <v>2.8806111216905794E-4</v>
      </c>
      <c r="J59" s="9">
        <f t="shared" ca="1" si="35"/>
        <v>2.3970158429083011E-3</v>
      </c>
      <c r="K59" s="9">
        <f t="shared" ca="1" si="35"/>
        <v>1.4775575735916924E-3</v>
      </c>
      <c r="L59" s="9">
        <f t="shared" ca="1" si="35"/>
        <v>1.8598471074543488E-3</v>
      </c>
      <c r="M59" s="9">
        <f t="shared" ca="1" si="35"/>
        <v>3.3686435400615E-4</v>
      </c>
      <c r="N59" s="9">
        <f t="shared" ca="1" si="35"/>
        <v>3.151258816378455E-4</v>
      </c>
      <c r="O59" s="9">
        <f t="shared" ca="1" si="35"/>
        <v>1.5076076404423322E-3</v>
      </c>
      <c r="P59" s="9">
        <f t="shared" ca="1" si="35"/>
        <v>6.0829121675515241E-3</v>
      </c>
      <c r="Q59" s="9">
        <f t="shared" ca="1" si="35"/>
        <v>1.3821003986686176E-2</v>
      </c>
      <c r="R59" s="9">
        <f t="shared" ca="1" si="35"/>
        <v>1.6993436363517467E-2</v>
      </c>
      <c r="S59" s="9">
        <f t="shared" ca="1" si="35"/>
        <v>1.5125948536117817E-2</v>
      </c>
      <c r="T59" s="9">
        <f t="shared" ca="1" si="35"/>
        <v>1.1460217904556869E-2</v>
      </c>
      <c r="U59" s="9">
        <f t="shared" ca="1" si="35"/>
        <v>4.6081038989183032E-3</v>
      </c>
      <c r="V59" s="9">
        <f t="shared" ca="1" si="35"/>
        <v>4.371731747083718E-4</v>
      </c>
      <c r="W59" s="9">
        <f t="shared" ca="1" si="35"/>
        <v>4.0596966245081134E-3</v>
      </c>
      <c r="X59" s="9">
        <f t="shared" ca="1" si="35"/>
        <v>3.3616522516002334E-3</v>
      </c>
      <c r="Y59" s="9">
        <f t="shared" ca="1" si="35"/>
        <v>2.3583484673839195E-3</v>
      </c>
      <c r="Z59" s="9">
        <f t="shared" ca="1" si="35"/>
        <v>2.9791706887198899E-3</v>
      </c>
      <c r="AA59" s="9">
        <f t="shared" ca="1" si="35"/>
        <v>2.1799424873432116E-3</v>
      </c>
      <c r="AB59" s="9">
        <f t="shared" ca="1" si="35"/>
        <v>8.6675643638001176E-4</v>
      </c>
      <c r="AC59" s="9">
        <f t="shared" ca="1" si="35"/>
        <v>7.9222880156000208E-3</v>
      </c>
      <c r="AD59" s="9">
        <f t="shared" ca="1" si="35"/>
        <v>8.4217090031524222E-3</v>
      </c>
      <c r="AE59" s="9">
        <f t="shared" ca="1" si="35"/>
        <v>8.4020172494216894E-3</v>
      </c>
      <c r="AF59" s="9">
        <f t="shared" ca="1" si="35"/>
        <v>2.9295912983058336E-3</v>
      </c>
      <c r="AG59" s="9">
        <f t="shared" ca="1" si="35"/>
        <v>1.7730217671374504E-4</v>
      </c>
      <c r="AH59" s="9">
        <f t="shared" ca="1" si="35"/>
        <v>8.2036461264067828E-3</v>
      </c>
      <c r="AI59" s="9">
        <f t="shared" ca="1" si="35"/>
        <v>2.8166615443737664E-3</v>
      </c>
      <c r="AJ59" s="9">
        <f t="shared" ca="1" si="35"/>
        <v>3.4370108867104454E-3</v>
      </c>
      <c r="AK59" s="9">
        <f t="shared" ca="1" si="35"/>
        <v>4.832917743478049E-4</v>
      </c>
      <c r="AL59" s="9">
        <f t="shared" ca="1" si="35"/>
        <v>2.0935664217758276E-3</v>
      </c>
      <c r="AM59" s="9">
        <f t="shared" ca="1" si="35"/>
        <v>1.6662138611449606E-3</v>
      </c>
      <c r="AN59" s="9">
        <f t="shared" ca="1" si="35"/>
        <v>1.755042916552485E-3</v>
      </c>
      <c r="AO59" s="9">
        <f t="shared" ca="1" si="35"/>
        <v>7.1162549172054668E-3</v>
      </c>
      <c r="AP59" s="9">
        <f t="shared" ca="1" si="35"/>
        <v>3.8681557561104363E-3</v>
      </c>
      <c r="AQ59" s="9">
        <f t="shared" ca="1" si="35"/>
        <v>7.04927075381101E-3</v>
      </c>
      <c r="AR59" s="9">
        <f t="shared" ca="1" si="35"/>
        <v>1.1022570266236986E-3</v>
      </c>
      <c r="AS59" s="9">
        <f t="shared" ca="1" si="35"/>
        <v>7.7899690785154796E-4</v>
      </c>
      <c r="AT59" s="9">
        <f t="shared" ca="1" si="35"/>
        <v>2.124073401505111E-3</v>
      </c>
      <c r="AU59" s="9">
        <f t="shared" ca="1" si="35"/>
        <v>4.0693236844746572E-4</v>
      </c>
      <c r="AV59" s="9">
        <f t="shared" ca="1" si="35"/>
        <v>3.4243157218845077E-3</v>
      </c>
      <c r="AW59" s="9">
        <f t="shared" ca="1" si="35"/>
        <v>4.2910984229043159E-3</v>
      </c>
      <c r="AX59" s="9">
        <f t="shared" ca="1" si="35"/>
        <v>7.0885268778686505E-3</v>
      </c>
      <c r="AY59" s="9">
        <f t="shared" ca="1" si="35"/>
        <v>5.9807067400650116E-3</v>
      </c>
      <c r="AZ59" s="9">
        <f t="shared" ca="1" si="35"/>
        <v>9.2037966023403861E-3</v>
      </c>
      <c r="BA59" s="9">
        <f t="shared" ca="1" si="35"/>
        <v>1.1219995470175048E-2</v>
      </c>
      <c r="BB59" s="9">
        <f t="shared" ca="1" si="35"/>
        <v>1.2568662033291877E-2</v>
      </c>
      <c r="BC59" s="9">
        <f t="shared" ca="1" si="35"/>
        <v>7.3924213039759934E-3</v>
      </c>
      <c r="BD59" s="9">
        <f t="shared" ca="1" si="35"/>
        <v>1.2356389240353316E-4</v>
      </c>
      <c r="BE59" s="9">
        <f t="shared" ca="1" si="35"/>
        <v>8.5118360503804169E-3</v>
      </c>
      <c r="BF59" s="9">
        <f t="shared" ca="1" si="35"/>
        <v>2.1381702921980938E-2</v>
      </c>
      <c r="BG59" s="9">
        <f t="shared" ca="1" si="35"/>
        <v>1.7588700109226085E-2</v>
      </c>
      <c r="BH59" s="9">
        <f t="shared" ca="1" si="35"/>
        <v>9.2958358016950182E-3</v>
      </c>
      <c r="BI59" s="9">
        <f t="shared" ca="1" si="35"/>
        <v>1.1577967062206262E-3</v>
      </c>
      <c r="BJ59" s="9">
        <f t="shared" ca="1" si="35"/>
        <v>3.6945586797076935E-3</v>
      </c>
      <c r="BK59" s="9">
        <f t="shared" ca="1" si="35"/>
        <v>1.108461701077923E-3</v>
      </c>
      <c r="BL59" s="9">
        <f t="shared" ca="1" si="35"/>
        <v>9.2087175953817768E-3</v>
      </c>
      <c r="BM59" s="9">
        <f t="shared" ca="1" si="35"/>
        <v>1.2998619387301069E-2</v>
      </c>
      <c r="BN59" s="9">
        <f t="shared" ref="BN59:DY59" ca="1" si="36">IF(BN32="","",ABS(BN32))</f>
        <v>1.0289643874911714E-2</v>
      </c>
      <c r="BO59" s="9">
        <f t="shared" ca="1" si="36"/>
        <v>5.2020825699328199E-3</v>
      </c>
      <c r="BP59" s="9">
        <f t="shared" ca="1" si="36"/>
        <v>7.0628482185756125E-3</v>
      </c>
      <c r="BQ59" s="9">
        <f t="shared" ca="1" si="36"/>
        <v>8.4178239050718418E-3</v>
      </c>
      <c r="BR59" s="9">
        <f t="shared" ca="1" si="36"/>
        <v>4.8205530614797709E-3</v>
      </c>
      <c r="BS59" s="9">
        <f t="shared" ca="1" si="36"/>
        <v>8.8918253261793812E-3</v>
      </c>
      <c r="BT59" s="9">
        <f t="shared" ca="1" si="36"/>
        <v>6.8726638129852358E-3</v>
      </c>
      <c r="BU59" s="9">
        <f t="shared" ca="1" si="36"/>
        <v>1.8481758650720215E-3</v>
      </c>
      <c r="BV59" s="9">
        <f t="shared" ca="1" si="36"/>
        <v>5.3762115693056778E-3</v>
      </c>
      <c r="BW59" s="9">
        <f t="shared" ca="1" si="36"/>
        <v>2.8878161782230904E-4</v>
      </c>
      <c r="BX59" s="9">
        <f t="shared" ca="1" si="36"/>
        <v>2.5874162873126272E-3</v>
      </c>
      <c r="BY59" s="9">
        <f t="shared" ca="1" si="36"/>
        <v>3.2132172564837136E-3</v>
      </c>
      <c r="BZ59" s="9">
        <f t="shared" ca="1" si="36"/>
        <v>1.3654175364863352E-3</v>
      </c>
      <c r="CA59" s="9">
        <f t="shared" ca="1" si="36"/>
        <v>6.2292856701784416E-5</v>
      </c>
      <c r="CB59" s="9">
        <f t="shared" ca="1" si="36"/>
        <v>2.9611837509381234E-3</v>
      </c>
      <c r="CC59" s="9">
        <f t="shared" ca="1" si="36"/>
        <v>4.0231400932068118E-3</v>
      </c>
      <c r="CD59" s="9">
        <f t="shared" ca="1" si="36"/>
        <v>1.4768655032377787E-3</v>
      </c>
      <c r="CE59" s="9">
        <f t="shared" ca="1" si="36"/>
        <v>1.3941287016749904E-4</v>
      </c>
      <c r="CF59" s="9">
        <f t="shared" ca="1" si="36"/>
        <v>1.805337325476053E-3</v>
      </c>
      <c r="CG59" s="9">
        <f t="shared" ca="1" si="36"/>
        <v>8.1176302011143342E-4</v>
      </c>
      <c r="CH59" s="9">
        <f t="shared" ca="1" si="36"/>
        <v>4.7857560044346492E-3</v>
      </c>
      <c r="CI59" s="9">
        <f t="shared" ca="1" si="36"/>
        <v>4.6387538231988934E-3</v>
      </c>
      <c r="CJ59" s="9">
        <f t="shared" ca="1" si="36"/>
        <v>8.3193807676031906E-3</v>
      </c>
      <c r="CK59" s="9">
        <f t="shared" ca="1" si="36"/>
        <v>5.0397777254507226E-4</v>
      </c>
      <c r="CL59" s="9">
        <f t="shared" ca="1" si="36"/>
        <v>5.9694713095064245E-3</v>
      </c>
      <c r="CM59" s="9">
        <f t="shared" ca="1" si="36"/>
        <v>3.5155424002182301E-3</v>
      </c>
      <c r="CN59" s="9">
        <f t="shared" ca="1" si="36"/>
        <v>1.540166015571609E-3</v>
      </c>
      <c r="CO59" s="9">
        <f t="shared" ca="1" si="36"/>
        <v>3.2222157827381803E-3</v>
      </c>
      <c r="CP59" s="9">
        <f t="shared" ca="1" si="36"/>
        <v>7.813160123367302E-3</v>
      </c>
      <c r="CQ59" s="9">
        <f t="shared" ca="1" si="36"/>
        <v>3.8305616415290622E-3</v>
      </c>
      <c r="CR59" s="9">
        <f t="shared" ca="1" si="36"/>
        <v>3.0164530250396115E-3</v>
      </c>
      <c r="CS59" s="9">
        <f t="shared" ca="1" si="36"/>
        <v>1.6085182332857828E-3</v>
      </c>
      <c r="CT59" s="9">
        <f t="shared" ca="1" si="36"/>
        <v>1.0165958960827615E-2</v>
      </c>
      <c r="CU59" s="9">
        <f t="shared" ca="1" si="36"/>
        <v>4.9021621171461138E-3</v>
      </c>
      <c r="CV59" s="9">
        <f t="shared" ca="1" si="36"/>
        <v>5.0168296163333181E-4</v>
      </c>
      <c r="CW59" s="9">
        <f t="shared" ca="1" si="36"/>
        <v>8.5791994129769122E-4</v>
      </c>
      <c r="CX59" s="9">
        <f t="shared" ca="1" si="36"/>
        <v>3.8469611992091313E-3</v>
      </c>
      <c r="CY59" s="9">
        <f t="shared" ca="1" si="36"/>
        <v>2.4733638893441601E-3</v>
      </c>
      <c r="CZ59" s="9">
        <f t="shared" ca="1" si="36"/>
        <v>6.1307904065353025E-3</v>
      </c>
      <c r="DA59" s="9">
        <f t="shared" ca="1" si="36"/>
        <v>2.2154566180168089E-3</v>
      </c>
      <c r="DB59" s="9">
        <f t="shared" ca="1" si="36"/>
        <v>8.7900966434626415E-3</v>
      </c>
      <c r="DC59" s="9">
        <f t="shared" ca="1" si="36"/>
        <v>8.2949388568727134E-3</v>
      </c>
      <c r="DD59" s="9">
        <f t="shared" ca="1" si="36"/>
        <v>9.2719045694937829E-3</v>
      </c>
      <c r="DE59" s="9">
        <f t="shared" ca="1" si="36"/>
        <v>9.7918320414710491E-3</v>
      </c>
      <c r="DF59" s="9">
        <f t="shared" ca="1" si="36"/>
        <v>6.1294999430538954E-3</v>
      </c>
      <c r="DG59" s="9">
        <f t="shared" ca="1" si="36"/>
        <v>3.6201914884812503E-3</v>
      </c>
      <c r="DH59" s="9">
        <f t="shared" ca="1" si="36"/>
        <v>5.4561694159490637E-3</v>
      </c>
      <c r="DI59" s="9">
        <f t="shared" ca="1" si="36"/>
        <v>3.6960928326387199E-3</v>
      </c>
      <c r="DJ59" s="9">
        <f t="shared" ca="1" si="36"/>
        <v>1.6857277935270476E-3</v>
      </c>
      <c r="DK59" s="9">
        <f t="shared" ca="1" si="36"/>
        <v>1.3138170338016231E-3</v>
      </c>
      <c r="DL59" s="9">
        <f t="shared" ca="1" si="36"/>
        <v>4.8467641019146468E-3</v>
      </c>
      <c r="DM59" s="9">
        <f t="shared" ca="1" si="36"/>
        <v>1.1220708811312985E-2</v>
      </c>
      <c r="DN59" s="9">
        <f t="shared" ca="1" si="36"/>
        <v>1.2376932158090215E-2</v>
      </c>
      <c r="DO59" s="9">
        <f t="shared" ca="1" si="36"/>
        <v>1.4059730266278381E-2</v>
      </c>
      <c r="DP59" s="9">
        <f t="shared" ca="1" si="36"/>
        <v>4.1040591449820196E-3</v>
      </c>
      <c r="DQ59" s="9">
        <f t="shared" ca="1" si="36"/>
        <v>4.1610504561218065E-3</v>
      </c>
      <c r="DR59" s="9">
        <f t="shared" ca="1" si="36"/>
        <v>4.5933335815784293E-3</v>
      </c>
      <c r="DS59" s="9">
        <f t="shared" ca="1" si="36"/>
        <v>2.4700323213731057E-3</v>
      </c>
      <c r="DT59" s="9">
        <f t="shared" ca="1" si="36"/>
        <v>5.5281563395281896E-3</v>
      </c>
      <c r="DU59" s="9">
        <f t="shared" ca="1" si="36"/>
        <v>4.8164615493321294E-3</v>
      </c>
      <c r="DV59" s="9">
        <f t="shared" ca="1" si="36"/>
        <v>2.6442351754469851E-3</v>
      </c>
      <c r="DW59" s="9">
        <f t="shared" ca="1" si="36"/>
        <v>5.7727491421617483E-3</v>
      </c>
      <c r="DX59" s="9">
        <f t="shared" ca="1" si="36"/>
        <v>4.7033890231185094E-4</v>
      </c>
      <c r="DY59" s="9">
        <f t="shared" ca="1" si="36"/>
        <v>9.1619287574284947E-5</v>
      </c>
      <c r="DZ59" s="9">
        <f t="shared" ref="DZ59:GK59" ca="1" si="37">IF(DZ32="","",ABS(DZ32))</f>
        <v>7.4545146862405876E-3</v>
      </c>
      <c r="EA59" s="9">
        <f t="shared" ca="1" si="37"/>
        <v>4.751724696363091E-3</v>
      </c>
      <c r="EB59" s="9">
        <f t="shared" ca="1" si="37"/>
        <v>7.62954001673255E-3</v>
      </c>
      <c r="EC59" s="9">
        <f t="shared" ca="1" si="37"/>
        <v>3.5444726453337516E-4</v>
      </c>
      <c r="ED59" s="9">
        <f t="shared" ca="1" si="37"/>
        <v>4.7318912657101642E-4</v>
      </c>
      <c r="EE59" s="9">
        <f t="shared" ca="1" si="37"/>
        <v>1.0759035675047102E-2</v>
      </c>
      <c r="EF59" s="9">
        <f t="shared" ca="1" si="37"/>
        <v>5.3988971822016563E-3</v>
      </c>
      <c r="EG59" s="9">
        <f t="shared" ca="1" si="37"/>
        <v>4.1882902291086044E-3</v>
      </c>
      <c r="EH59" s="9">
        <f t="shared" ca="1" si="37"/>
        <v>8.4807295569548913E-3</v>
      </c>
      <c r="EI59" s="9">
        <f t="shared" ca="1" si="37"/>
        <v>1.1077311633969522E-2</v>
      </c>
      <c r="EJ59" s="9">
        <f t="shared" ca="1" si="37"/>
        <v>2.5435658409520556E-3</v>
      </c>
      <c r="EK59" s="9">
        <f t="shared" ca="1" si="37"/>
        <v>1.344016414597915E-3</v>
      </c>
      <c r="EL59" s="9">
        <f t="shared" ca="1" si="37"/>
        <v>6.6357615805797687E-3</v>
      </c>
      <c r="EM59" s="9">
        <f t="shared" ca="1" si="37"/>
        <v>4.7455044466692131E-3</v>
      </c>
      <c r="EN59" s="9">
        <f t="shared" ca="1" si="37"/>
        <v>2.4137123334226906E-3</v>
      </c>
      <c r="EO59" s="9">
        <f t="shared" ca="1" si="37"/>
        <v>9.4480703236743402E-4</v>
      </c>
      <c r="EP59" s="9">
        <f t="shared" ca="1" si="37"/>
        <v>3.8304490767004928E-3</v>
      </c>
      <c r="EQ59" s="9">
        <f t="shared" ca="1" si="37"/>
        <v>1.3597108754817011E-3</v>
      </c>
      <c r="ER59" s="9">
        <f t="shared" ca="1" si="37"/>
        <v>3.4496181466175946E-3</v>
      </c>
      <c r="ES59" s="9">
        <f t="shared" ca="1" si="37"/>
        <v>3.165181991770627E-3</v>
      </c>
      <c r="ET59" s="9">
        <f t="shared" ca="1" si="37"/>
        <v>4.234866561965589E-3</v>
      </c>
      <c r="EU59" s="9">
        <f t="shared" ca="1" si="37"/>
        <v>3.3090121420908947E-4</v>
      </c>
      <c r="EV59" s="9">
        <f t="shared" ca="1" si="37"/>
        <v>5.5304243234579609E-3</v>
      </c>
      <c r="EW59" s="9">
        <f t="shared" ca="1" si="37"/>
        <v>2.3969446327365418E-4</v>
      </c>
      <c r="EX59" s="9">
        <f t="shared" ca="1" si="37"/>
        <v>4.8443860247938675E-3</v>
      </c>
      <c r="EY59" s="9">
        <f t="shared" ca="1" si="37"/>
        <v>4.0055184737493033E-3</v>
      </c>
      <c r="EZ59" s="9">
        <f t="shared" ca="1" si="37"/>
        <v>4.5304814768878376E-3</v>
      </c>
      <c r="FA59" s="9">
        <f t="shared" ca="1" si="37"/>
        <v>2.4252042554850917E-3</v>
      </c>
      <c r="FB59" s="9">
        <f t="shared" ca="1" si="37"/>
        <v>4.2000526079691847E-3</v>
      </c>
      <c r="FC59" s="9">
        <f t="shared" ca="1" si="37"/>
        <v>5.7762751084816655E-3</v>
      </c>
      <c r="FD59" s="9">
        <f t="shared" ca="1" si="37"/>
        <v>6.9208602852334211E-3</v>
      </c>
      <c r="FE59" s="9">
        <f t="shared" ca="1" si="37"/>
        <v>2.4853014636851967E-3</v>
      </c>
      <c r="FF59" s="9">
        <f t="shared" ca="1" si="37"/>
        <v>5.5307343765307326E-3</v>
      </c>
      <c r="FG59" s="9">
        <f t="shared" ca="1" si="37"/>
        <v>8.6387107441041611E-3</v>
      </c>
      <c r="FH59" s="9">
        <f t="shared" ca="1" si="37"/>
        <v>6.2584443706537041E-3</v>
      </c>
      <c r="FI59" s="9">
        <f t="shared" ca="1" si="37"/>
        <v>9.7007440355578733E-4</v>
      </c>
      <c r="FJ59" s="9">
        <f t="shared" ca="1" si="37"/>
        <v>7.4016859021265313E-3</v>
      </c>
      <c r="FK59" s="9">
        <f t="shared" ca="1" si="37"/>
        <v>1.9142085305152712E-3</v>
      </c>
      <c r="FL59" s="9">
        <f t="shared" ca="1" si="37"/>
        <v>1.4687706581570925E-3</v>
      </c>
      <c r="FM59" s="9">
        <f t="shared" ca="1" si="37"/>
        <v>1.8817305775546966E-3</v>
      </c>
      <c r="FN59" s="9">
        <f t="shared" ca="1" si="37"/>
        <v>2.3099039578008407E-3</v>
      </c>
      <c r="FO59" s="9">
        <f t="shared" ca="1" si="37"/>
        <v>1.3416293237565879E-3</v>
      </c>
      <c r="FP59" s="9">
        <f t="shared" ca="1" si="37"/>
        <v>1.3757377202818777E-3</v>
      </c>
      <c r="FQ59" s="9">
        <f t="shared" ca="1" si="37"/>
        <v>2.8439936006178224E-3</v>
      </c>
      <c r="FR59" s="9">
        <f t="shared" ca="1" si="37"/>
        <v>2.1064416556061394E-3</v>
      </c>
      <c r="FS59" s="9">
        <f t="shared" ca="1" si="37"/>
        <v>7.1518180957073074E-3</v>
      </c>
      <c r="FT59" s="9">
        <f t="shared" ca="1" si="37"/>
        <v>6.4018331953370478E-3</v>
      </c>
      <c r="FU59" s="9">
        <f t="shared" ca="1" si="37"/>
        <v>2.5682311502792654E-3</v>
      </c>
      <c r="FV59" s="9">
        <f t="shared" ca="1" si="37"/>
        <v>5.3739988366914293E-3</v>
      </c>
      <c r="FW59" s="9">
        <f t="shared" ca="1" si="37"/>
        <v>5.0443781689033518E-3</v>
      </c>
      <c r="FX59" s="9">
        <f t="shared" ca="1" si="37"/>
        <v>4.8522109651769618E-3</v>
      </c>
      <c r="FY59" s="9">
        <f t="shared" ca="1" si="37"/>
        <v>1.7472774525658652E-3</v>
      </c>
      <c r="FZ59" s="9">
        <f t="shared" ca="1" si="37"/>
        <v>3.0501302590661972E-3</v>
      </c>
      <c r="GA59" s="9">
        <f t="shared" ca="1" si="37"/>
        <v>3.6223754413233777E-3</v>
      </c>
      <c r="GB59" s="9">
        <f t="shared" ca="1" si="37"/>
        <v>3.2292012527967984E-3</v>
      </c>
      <c r="GC59" s="9">
        <f t="shared" ca="1" si="37"/>
        <v>1.6099158509308431E-4</v>
      </c>
      <c r="GD59" s="9">
        <f t="shared" ca="1" si="37"/>
        <v>3.7273300124982534E-3</v>
      </c>
      <c r="GE59" s="9">
        <f t="shared" ca="1" si="37"/>
        <v>4.9445080691987719E-3</v>
      </c>
      <c r="GF59" s="9">
        <f t="shared" ca="1" si="37"/>
        <v>4.7010425011337897E-3</v>
      </c>
      <c r="GG59" s="9">
        <f t="shared" ca="1" si="37"/>
        <v>4.2313353007839005E-4</v>
      </c>
      <c r="GH59" s="9">
        <f t="shared" ca="1" si="37"/>
        <v>2.2397348953357987E-3</v>
      </c>
      <c r="GI59" s="9">
        <f t="shared" ca="1" si="37"/>
        <v>1.6439391576664741E-3</v>
      </c>
      <c r="GJ59" s="9">
        <f t="shared" ca="1" si="37"/>
        <v>3.5214597186921104E-3</v>
      </c>
      <c r="GK59" s="9">
        <f t="shared" ca="1" si="37"/>
        <v>1.6697871190478608E-3</v>
      </c>
      <c r="GL59" s="9">
        <f t="shared" ref="GL59:IW59" ca="1" si="38">IF(GL32="","",ABS(GL32))</f>
        <v>1.8846221394249074E-2</v>
      </c>
      <c r="GM59" s="9">
        <f t="shared" ca="1" si="38"/>
        <v>5.3443710433037195E-2</v>
      </c>
      <c r="GN59" s="9">
        <f t="shared" ca="1" si="38"/>
        <v>6.425764139632939E-2</v>
      </c>
      <c r="GO59" s="9">
        <f t="shared" ca="1" si="38"/>
        <v>3.3776193263914456E-2</v>
      </c>
      <c r="GP59" s="9">
        <f t="shared" ca="1" si="38"/>
        <v>1.4119822862377007E-2</v>
      </c>
      <c r="GQ59" s="9">
        <f t="shared" ca="1" si="38"/>
        <v>2.9385317819741186E-2</v>
      </c>
      <c r="GR59" s="9">
        <f t="shared" ca="1" si="38"/>
        <v>2.971321996221099E-2</v>
      </c>
      <c r="GS59" s="9">
        <f t="shared" ca="1" si="38"/>
        <v>2.2331259217877042E-2</v>
      </c>
      <c r="GT59" s="9">
        <f t="shared" ca="1" si="38"/>
        <v>3.4717360936431518E-4</v>
      </c>
      <c r="GU59" s="9">
        <f t="shared" ca="1" si="38"/>
        <v>8.4960733039851632E-4</v>
      </c>
      <c r="GV59" s="9">
        <f t="shared" ca="1" si="38"/>
        <v>2.9718173832146144E-3</v>
      </c>
      <c r="GW59" s="9" t="str">
        <f t="shared" ca="1" si="38"/>
        <v/>
      </c>
      <c r="GX59" s="9" t="str">
        <f t="shared" ca="1" si="38"/>
        <v/>
      </c>
      <c r="GY59" s="9" t="str">
        <f t="shared" ca="1" si="38"/>
        <v/>
      </c>
      <c r="GZ59" s="9" t="str">
        <f t="shared" ca="1" si="38"/>
        <v/>
      </c>
      <c r="HA59" s="9" t="str">
        <f t="shared" ca="1" si="38"/>
        <v/>
      </c>
      <c r="HB59" s="9" t="str">
        <f t="shared" ca="1" si="38"/>
        <v/>
      </c>
      <c r="HC59" s="9" t="str">
        <f t="shared" ca="1" si="38"/>
        <v/>
      </c>
      <c r="HD59" s="9" t="str">
        <f t="shared" ca="1" si="38"/>
        <v/>
      </c>
      <c r="HE59" s="9" t="str">
        <f t="shared" ca="1" si="38"/>
        <v/>
      </c>
      <c r="HF59" s="9" t="str">
        <f t="shared" ca="1" si="38"/>
        <v/>
      </c>
      <c r="HG59" s="9" t="str">
        <f t="shared" ca="1" si="38"/>
        <v/>
      </c>
      <c r="HH59" s="9" t="str">
        <f t="shared" ca="1" si="38"/>
        <v/>
      </c>
      <c r="HI59" s="9" t="str">
        <f t="shared" ca="1" si="38"/>
        <v/>
      </c>
      <c r="HJ59" s="9" t="str">
        <f t="shared" ca="1" si="38"/>
        <v/>
      </c>
      <c r="HK59" s="9" t="str">
        <f t="shared" ca="1" si="38"/>
        <v/>
      </c>
      <c r="HL59" s="9" t="str">
        <f t="shared" ca="1" si="38"/>
        <v/>
      </c>
      <c r="HM59" s="9" t="str">
        <f t="shared" ca="1" si="38"/>
        <v/>
      </c>
      <c r="HN59" s="9" t="str">
        <f t="shared" ca="1" si="38"/>
        <v/>
      </c>
      <c r="HO59" s="9" t="str">
        <f t="shared" ca="1" si="38"/>
        <v/>
      </c>
      <c r="HP59" s="9" t="str">
        <f t="shared" ca="1" si="38"/>
        <v/>
      </c>
      <c r="HQ59" s="9" t="str">
        <f t="shared" ca="1" si="38"/>
        <v/>
      </c>
      <c r="HR59" s="9" t="str">
        <f t="shared" ca="1" si="38"/>
        <v/>
      </c>
      <c r="HS59" s="9" t="str">
        <f t="shared" ca="1" si="38"/>
        <v/>
      </c>
      <c r="HT59" s="9" t="str">
        <f t="shared" ca="1" si="38"/>
        <v/>
      </c>
      <c r="HU59" s="9" t="str">
        <f t="shared" ca="1" si="38"/>
        <v/>
      </c>
      <c r="HV59" s="9" t="str">
        <f t="shared" ca="1" si="38"/>
        <v/>
      </c>
      <c r="HW59" s="9" t="str">
        <f t="shared" ca="1" si="38"/>
        <v/>
      </c>
      <c r="HX59" s="9" t="str">
        <f t="shared" ca="1" si="38"/>
        <v/>
      </c>
      <c r="HY59" s="9" t="str">
        <f t="shared" ca="1" si="38"/>
        <v/>
      </c>
      <c r="HZ59" s="9" t="str">
        <f t="shared" ca="1" si="38"/>
        <v/>
      </c>
      <c r="IA59" s="9" t="str">
        <f t="shared" ca="1" si="38"/>
        <v/>
      </c>
      <c r="IB59" s="9" t="str">
        <f t="shared" ca="1" si="38"/>
        <v/>
      </c>
      <c r="IC59" s="9" t="str">
        <f t="shared" ca="1" si="38"/>
        <v/>
      </c>
      <c r="ID59" s="9" t="str">
        <f t="shared" ca="1" si="38"/>
        <v/>
      </c>
      <c r="IE59" s="9" t="str">
        <f t="shared" ca="1" si="38"/>
        <v/>
      </c>
      <c r="IF59" s="9" t="str">
        <f t="shared" ca="1" si="38"/>
        <v/>
      </c>
      <c r="IG59" s="9" t="str">
        <f t="shared" ca="1" si="38"/>
        <v/>
      </c>
      <c r="IH59" s="9" t="str">
        <f t="shared" ca="1" si="38"/>
        <v/>
      </c>
      <c r="II59" s="9" t="str">
        <f t="shared" ca="1" si="38"/>
        <v/>
      </c>
      <c r="IJ59" s="9" t="str">
        <f t="shared" ca="1" si="38"/>
        <v/>
      </c>
      <c r="IK59" s="9" t="str">
        <f t="shared" ca="1" si="38"/>
        <v/>
      </c>
      <c r="IL59" s="9" t="str">
        <f t="shared" ca="1" si="38"/>
        <v/>
      </c>
      <c r="IM59" s="9" t="str">
        <f t="shared" ca="1" si="38"/>
        <v/>
      </c>
      <c r="IN59" s="9" t="str">
        <f t="shared" ca="1" si="38"/>
        <v/>
      </c>
      <c r="IO59" s="9" t="str">
        <f t="shared" ca="1" si="38"/>
        <v/>
      </c>
      <c r="IP59" s="9" t="str">
        <f t="shared" ca="1" si="38"/>
        <v/>
      </c>
      <c r="IQ59" s="9" t="str">
        <f t="shared" ca="1" si="38"/>
        <v/>
      </c>
      <c r="IR59" s="9" t="str">
        <f t="shared" ca="1" si="38"/>
        <v/>
      </c>
      <c r="IS59" s="9" t="str">
        <f t="shared" ca="1" si="38"/>
        <v/>
      </c>
      <c r="IT59" s="9" t="str">
        <f t="shared" ca="1" si="38"/>
        <v/>
      </c>
      <c r="IU59" s="9" t="str">
        <f t="shared" ca="1" si="38"/>
        <v/>
      </c>
      <c r="IV59" s="9" t="str">
        <f t="shared" ca="1" si="38"/>
        <v/>
      </c>
      <c r="IW59" s="9" t="str">
        <f t="shared" ca="1" si="38"/>
        <v/>
      </c>
      <c r="IX59" s="9" t="str">
        <f t="shared" ref="IX59:JH59" ca="1" si="39">IF(IX32="","",ABS(IX32))</f>
        <v/>
      </c>
      <c r="IY59" s="9" t="str">
        <f t="shared" ca="1" si="39"/>
        <v/>
      </c>
      <c r="IZ59" s="9" t="str">
        <f t="shared" ca="1" si="39"/>
        <v/>
      </c>
      <c r="JA59" s="9" t="str">
        <f t="shared" ca="1" si="39"/>
        <v/>
      </c>
      <c r="JB59" s="9" t="str">
        <f t="shared" ca="1" si="39"/>
        <v/>
      </c>
      <c r="JC59" s="9" t="str">
        <f t="shared" ca="1" si="39"/>
        <v/>
      </c>
      <c r="JD59" s="9" t="str">
        <f t="shared" ca="1" si="39"/>
        <v/>
      </c>
      <c r="JE59" s="9" t="str">
        <f t="shared" ca="1" si="39"/>
        <v/>
      </c>
      <c r="JF59" s="9" t="str">
        <f t="shared" ca="1" si="39"/>
        <v/>
      </c>
      <c r="JG59" s="9" t="str">
        <f t="shared" ca="1" si="39"/>
        <v/>
      </c>
      <c r="JH59" s="9" t="str">
        <f t="shared" ca="1" si="39"/>
        <v/>
      </c>
      <c r="JI59" s="13">
        <f t="shared" ca="1" si="24"/>
        <v>1.0658306291735309E-2</v>
      </c>
      <c r="JJ59" s="13">
        <f t="shared" ca="1" si="25"/>
        <v>3.6748527269108155E-3</v>
      </c>
      <c r="JK59" s="14">
        <f t="shared" ca="1" si="26"/>
        <v>2.3777453769243599E-4</v>
      </c>
      <c r="JL59" s="17">
        <f t="shared" ca="1" si="34"/>
        <v>1.5419939613773978E-2</v>
      </c>
      <c r="JM59" s="15" t="str">
        <f t="shared" ca="1" si="27"/>
        <v>[ -2,02% ; 4,15% ]</v>
      </c>
      <c r="JN59" s="17">
        <f t="shared" ca="1" si="28"/>
        <v>1.9737522705630693E-2</v>
      </c>
      <c r="LY59" s="1"/>
    </row>
    <row r="60" spans="1:337" x14ac:dyDescent="0.25">
      <c r="A60" s="4">
        <v>4</v>
      </c>
      <c r="B60" s="9">
        <f t="shared" ref="B60:BM60" ca="1" si="40">IF(B33="","",ABS(B33))</f>
        <v>1.4754426012184574E-3</v>
      </c>
      <c r="C60" s="9">
        <f t="shared" ca="1" si="40"/>
        <v>1.0583471406272471E-3</v>
      </c>
      <c r="D60" s="9">
        <f t="shared" ca="1" si="40"/>
        <v>6.6611796068849483E-4</v>
      </c>
      <c r="E60" s="9">
        <f t="shared" ca="1" si="40"/>
        <v>9.7964190269639317E-5</v>
      </c>
      <c r="F60" s="9">
        <f t="shared" ca="1" si="40"/>
        <v>1.3948216287358317E-3</v>
      </c>
      <c r="G60" s="9">
        <f t="shared" ca="1" si="40"/>
        <v>9.5881033557243533E-4</v>
      </c>
      <c r="H60" s="9">
        <f t="shared" ca="1" si="40"/>
        <v>3.1055785620948129E-4</v>
      </c>
      <c r="I60" s="9">
        <f t="shared" ca="1" si="40"/>
        <v>3.9891243537371057E-4</v>
      </c>
      <c r="J60" s="9">
        <f t="shared" ca="1" si="40"/>
        <v>2.3649672838188529E-3</v>
      </c>
      <c r="K60" s="9">
        <f t="shared" ca="1" si="40"/>
        <v>2.6579698658333317E-3</v>
      </c>
      <c r="L60" s="9">
        <f t="shared" ca="1" si="40"/>
        <v>9.4988778217497405E-4</v>
      </c>
      <c r="M60" s="9">
        <f t="shared" ca="1" si="40"/>
        <v>2.0752835554471716E-6</v>
      </c>
      <c r="N60" s="9">
        <f t="shared" ca="1" si="40"/>
        <v>2.7427619424678085E-3</v>
      </c>
      <c r="O60" s="9">
        <f t="shared" ca="1" si="40"/>
        <v>5.2579537985442126E-3</v>
      </c>
      <c r="P60" s="9">
        <f t="shared" ca="1" si="40"/>
        <v>1.3724758882179833E-2</v>
      </c>
      <c r="Q60" s="9">
        <f t="shared" ca="1" si="40"/>
        <v>1.9120792064783232E-2</v>
      </c>
      <c r="R60" s="9">
        <f t="shared" ca="1" si="40"/>
        <v>1.8922495024462416E-2</v>
      </c>
      <c r="S60" s="9">
        <f t="shared" ca="1" si="40"/>
        <v>1.7875748762370525E-2</v>
      </c>
      <c r="T60" s="9">
        <f t="shared" ca="1" si="40"/>
        <v>1.3018729791231975E-2</v>
      </c>
      <c r="U60" s="9">
        <f t="shared" ca="1" si="40"/>
        <v>3.8692215381478379E-3</v>
      </c>
      <c r="V60" s="9">
        <f t="shared" ca="1" si="40"/>
        <v>3.1006032889751012E-3</v>
      </c>
      <c r="W60" s="9">
        <f t="shared" ca="1" si="40"/>
        <v>4.84303180874468E-3</v>
      </c>
      <c r="X60" s="9">
        <f t="shared" ca="1" si="40"/>
        <v>5.6822333947719184E-3</v>
      </c>
      <c r="Y60" s="9">
        <f t="shared" ca="1" si="40"/>
        <v>2.6303495463342319E-3</v>
      </c>
      <c r="Z60" s="9">
        <f t="shared" ca="1" si="40"/>
        <v>3.6098958030965633E-3</v>
      </c>
      <c r="AA60" s="9">
        <f t="shared" ca="1" si="40"/>
        <v>4.3005557785862347E-3</v>
      </c>
      <c r="AB60" s="9">
        <f t="shared" ca="1" si="40"/>
        <v>3.4047615002710252E-3</v>
      </c>
      <c r="AC60" s="9">
        <f t="shared" ca="1" si="40"/>
        <v>1.1759850355411716E-2</v>
      </c>
      <c r="AD60" s="9">
        <f t="shared" ca="1" si="40"/>
        <v>1.2154975817437519E-2</v>
      </c>
      <c r="AE60" s="9">
        <f t="shared" ca="1" si="40"/>
        <v>7.748304424640251E-3</v>
      </c>
      <c r="AF60" s="9">
        <f t="shared" ca="1" si="40"/>
        <v>1.6617641586356147E-3</v>
      </c>
      <c r="AG60" s="9">
        <f t="shared" ca="1" si="40"/>
        <v>1.1665664295752443E-3</v>
      </c>
      <c r="AH60" s="9">
        <f t="shared" ca="1" si="40"/>
        <v>9.9526082037501018E-3</v>
      </c>
      <c r="AI60" s="9">
        <f t="shared" ca="1" si="40"/>
        <v>4.2502405386005693E-3</v>
      </c>
      <c r="AJ60" s="9">
        <f t="shared" ca="1" si="40"/>
        <v>2.8242092436012722E-3</v>
      </c>
      <c r="AK60" s="9">
        <f t="shared" ca="1" si="40"/>
        <v>1.5556819082196416E-3</v>
      </c>
      <c r="AL60" s="9">
        <f t="shared" ca="1" si="40"/>
        <v>4.1323398079029516E-4</v>
      </c>
      <c r="AM60" s="9">
        <f t="shared" ca="1" si="40"/>
        <v>3.1638941099323414E-3</v>
      </c>
      <c r="AN60" s="9">
        <f t="shared" ca="1" si="40"/>
        <v>4.9863612231000332E-3</v>
      </c>
      <c r="AO60" s="9">
        <f t="shared" ca="1" si="40"/>
        <v>1.0129731837069444E-2</v>
      </c>
      <c r="AP60" s="9">
        <f t="shared" ca="1" si="40"/>
        <v>6.8663436229725594E-3</v>
      </c>
      <c r="AQ60" s="9">
        <f t="shared" ca="1" si="40"/>
        <v>6.6608898402309435E-3</v>
      </c>
      <c r="AR60" s="9">
        <f t="shared" ca="1" si="40"/>
        <v>6.1013613981275583E-4</v>
      </c>
      <c r="AS60" s="9">
        <f t="shared" ca="1" si="40"/>
        <v>1.5530647589254709E-3</v>
      </c>
      <c r="AT60" s="9">
        <f t="shared" ca="1" si="40"/>
        <v>1.9470342689440479E-3</v>
      </c>
      <c r="AU60" s="9">
        <f t="shared" ca="1" si="40"/>
        <v>2.477239050514557E-3</v>
      </c>
      <c r="AV60" s="9">
        <f t="shared" ca="1" si="40"/>
        <v>6.0567288584363332E-3</v>
      </c>
      <c r="AW60" s="9">
        <f t="shared" ca="1" si="40"/>
        <v>7.3684446063138065E-3</v>
      </c>
      <c r="AX60" s="9">
        <f t="shared" ca="1" si="40"/>
        <v>1.0223941380880452E-2</v>
      </c>
      <c r="AY60" s="9">
        <f t="shared" ca="1" si="40"/>
        <v>1.1038903321181515E-2</v>
      </c>
      <c r="AZ60" s="9">
        <f t="shared" ca="1" si="40"/>
        <v>1.6690804850711061E-2</v>
      </c>
      <c r="BA60" s="9">
        <f t="shared" ca="1" si="40"/>
        <v>1.6116882347485317E-2</v>
      </c>
      <c r="BB60" s="9">
        <f t="shared" ca="1" si="40"/>
        <v>1.4853935174239608E-2</v>
      </c>
      <c r="BC60" s="9">
        <f t="shared" ca="1" si="40"/>
        <v>1.1713775495662437E-2</v>
      </c>
      <c r="BD60" s="9">
        <f t="shared" ca="1" si="40"/>
        <v>6.833938985172594E-3</v>
      </c>
      <c r="BE60" s="9">
        <f t="shared" ca="1" si="40"/>
        <v>1.8533725766581854E-2</v>
      </c>
      <c r="BF60" s="9">
        <f t="shared" ca="1" si="40"/>
        <v>2.9117436110616124E-2</v>
      </c>
      <c r="BG60" s="9">
        <f t="shared" ca="1" si="40"/>
        <v>2.3146518703480501E-2</v>
      </c>
      <c r="BH60" s="9">
        <f t="shared" ca="1" si="40"/>
        <v>1.3691702387260918E-2</v>
      </c>
      <c r="BI60" s="9">
        <f t="shared" ca="1" si="40"/>
        <v>1.9899821113712468E-3</v>
      </c>
      <c r="BJ60" s="9">
        <f t="shared" ca="1" si="40"/>
        <v>1.9645575336759702E-3</v>
      </c>
      <c r="BK60" s="9">
        <f t="shared" ca="1" si="40"/>
        <v>3.516312167902047E-3</v>
      </c>
      <c r="BL60" s="9">
        <f t="shared" ca="1" si="40"/>
        <v>1.4388327846254767E-2</v>
      </c>
      <c r="BM60" s="9">
        <f t="shared" ca="1" si="40"/>
        <v>2.0206988476464849E-2</v>
      </c>
      <c r="BN60" s="9">
        <f t="shared" ref="BN60:DY60" ca="1" si="41">IF(BN33="","",ABS(BN33))</f>
        <v>1.6540338871264382E-2</v>
      </c>
      <c r="BO60" s="9">
        <f t="shared" ca="1" si="41"/>
        <v>6.5117106327831076E-3</v>
      </c>
      <c r="BP60" s="9">
        <f t="shared" ca="1" si="41"/>
        <v>8.0053967371028767E-3</v>
      </c>
      <c r="BQ60" s="9">
        <f t="shared" ca="1" si="41"/>
        <v>1.0842104550112031E-2</v>
      </c>
      <c r="BR60" s="9">
        <f t="shared" ca="1" si="41"/>
        <v>2.3826979781356172E-3</v>
      </c>
      <c r="BS60" s="9">
        <f t="shared" ca="1" si="41"/>
        <v>8.2455662903420102E-3</v>
      </c>
      <c r="BT60" s="9">
        <f t="shared" ca="1" si="41"/>
        <v>6.7972475357575002E-3</v>
      </c>
      <c r="BU60" s="9">
        <f t="shared" ca="1" si="41"/>
        <v>1.7598899516787503E-3</v>
      </c>
      <c r="BV60" s="9">
        <f t="shared" ca="1" si="41"/>
        <v>5.5304141661227657E-3</v>
      </c>
      <c r="BW60" s="9">
        <f t="shared" ca="1" si="41"/>
        <v>5.0561336513488264E-4</v>
      </c>
      <c r="BX60" s="9">
        <f t="shared" ca="1" si="41"/>
        <v>2.4770428239873077E-3</v>
      </c>
      <c r="BY60" s="9">
        <f t="shared" ca="1" si="41"/>
        <v>3.0086624938834294E-3</v>
      </c>
      <c r="BZ60" s="9">
        <f t="shared" ca="1" si="41"/>
        <v>6.5015884735397655E-4</v>
      </c>
      <c r="CA60" s="9">
        <f t="shared" ca="1" si="41"/>
        <v>1.8809827890475805E-4</v>
      </c>
      <c r="CB60" s="9">
        <f t="shared" ca="1" si="41"/>
        <v>2.3865482915692571E-3</v>
      </c>
      <c r="CC60" s="9">
        <f t="shared" ca="1" si="41"/>
        <v>4.4134045114737619E-3</v>
      </c>
      <c r="CD60" s="9">
        <f t="shared" ca="1" si="41"/>
        <v>2.0872731363597019E-4</v>
      </c>
      <c r="CE60" s="9">
        <f t="shared" ca="1" si="41"/>
        <v>4.1382290876357253E-4</v>
      </c>
      <c r="CF60" s="9">
        <f t="shared" ca="1" si="41"/>
        <v>2.4253440395103354E-3</v>
      </c>
      <c r="CG60" s="9">
        <f t="shared" ca="1" si="41"/>
        <v>4.238939981853207E-4</v>
      </c>
      <c r="CH60" s="9">
        <f t="shared" ca="1" si="41"/>
        <v>4.0407042508354696E-3</v>
      </c>
      <c r="CI60" s="9">
        <f t="shared" ca="1" si="41"/>
        <v>4.5150559925324352E-3</v>
      </c>
      <c r="CJ60" s="9">
        <f t="shared" ca="1" si="41"/>
        <v>7.7030109352723697E-3</v>
      </c>
      <c r="CK60" s="9">
        <f t="shared" ca="1" si="41"/>
        <v>2.0566953262279863E-3</v>
      </c>
      <c r="CL60" s="9">
        <f t="shared" ca="1" si="41"/>
        <v>6.084234045296899E-3</v>
      </c>
      <c r="CM60" s="9">
        <f t="shared" ca="1" si="41"/>
        <v>4.8576660207879652E-3</v>
      </c>
      <c r="CN60" s="9">
        <f t="shared" ca="1" si="41"/>
        <v>1.6709501516194436E-3</v>
      </c>
      <c r="CO60" s="9">
        <f t="shared" ca="1" si="41"/>
        <v>5.9887437345069738E-3</v>
      </c>
      <c r="CP60" s="9">
        <f t="shared" ca="1" si="41"/>
        <v>6.7827889393856644E-3</v>
      </c>
      <c r="CQ60" s="9">
        <f t="shared" ca="1" si="41"/>
        <v>7.0755166802336511E-3</v>
      </c>
      <c r="CR60" s="9">
        <f t="shared" ca="1" si="41"/>
        <v>5.8978360907846472E-5</v>
      </c>
      <c r="CS60" s="9">
        <f t="shared" ca="1" si="41"/>
        <v>1.136446755920506E-3</v>
      </c>
      <c r="CT60" s="9">
        <f t="shared" ca="1" si="41"/>
        <v>1.3404719992915481E-2</v>
      </c>
      <c r="CU60" s="9">
        <f t="shared" ca="1" si="41"/>
        <v>4.382710226963793E-3</v>
      </c>
      <c r="CV60" s="9">
        <f t="shared" ca="1" si="41"/>
        <v>2.8422221701632777E-3</v>
      </c>
      <c r="CW60" s="9">
        <f t="shared" ca="1" si="41"/>
        <v>7.9866997146127439E-4</v>
      </c>
      <c r="CX60" s="9">
        <f t="shared" ca="1" si="41"/>
        <v>3.7761455223112028E-3</v>
      </c>
      <c r="CY60" s="9">
        <f t="shared" ca="1" si="41"/>
        <v>1.8388415925821855E-3</v>
      </c>
      <c r="CZ60" s="9">
        <f t="shared" ca="1" si="41"/>
        <v>8.3391362043712114E-3</v>
      </c>
      <c r="DA60" s="9">
        <f t="shared" ca="1" si="41"/>
        <v>4.1811412529380032E-3</v>
      </c>
      <c r="DB60" s="9">
        <f t="shared" ca="1" si="41"/>
        <v>1.2788779637948E-2</v>
      </c>
      <c r="DC60" s="9">
        <f t="shared" ca="1" si="41"/>
        <v>1.0650129045047141E-2</v>
      </c>
      <c r="DD60" s="9">
        <f t="shared" ca="1" si="41"/>
        <v>8.3008721323634127E-3</v>
      </c>
      <c r="DE60" s="9">
        <f t="shared" ca="1" si="41"/>
        <v>1.4312157424189342E-2</v>
      </c>
      <c r="DF60" s="9">
        <f t="shared" ca="1" si="41"/>
        <v>9.1013316589904081E-3</v>
      </c>
      <c r="DG60" s="9">
        <f t="shared" ca="1" si="41"/>
        <v>6.5461598461701298E-3</v>
      </c>
      <c r="DH60" s="9">
        <f t="shared" ca="1" si="41"/>
        <v>6.281166753747347E-3</v>
      </c>
      <c r="DI60" s="9">
        <f t="shared" ca="1" si="41"/>
        <v>3.4438479604039784E-3</v>
      </c>
      <c r="DJ60" s="9">
        <f t="shared" ca="1" si="41"/>
        <v>4.0585535393207195E-3</v>
      </c>
      <c r="DK60" s="9">
        <f t="shared" ca="1" si="41"/>
        <v>3.8357766845853458E-4</v>
      </c>
      <c r="DL60" s="9">
        <f t="shared" ca="1" si="41"/>
        <v>1.1631106497274724E-2</v>
      </c>
      <c r="DM60" s="9">
        <f t="shared" ca="1" si="41"/>
        <v>1.5534447531212359E-2</v>
      </c>
      <c r="DN60" s="9">
        <f t="shared" ca="1" si="41"/>
        <v>1.9067402566434577E-2</v>
      </c>
      <c r="DO60" s="9">
        <f t="shared" ca="1" si="41"/>
        <v>1.4332557236245491E-2</v>
      </c>
      <c r="DP60" s="9">
        <f t="shared" ca="1" si="41"/>
        <v>5.1711784825896334E-3</v>
      </c>
      <c r="DQ60" s="9">
        <f t="shared" ca="1" si="41"/>
        <v>4.828116246300973E-3</v>
      </c>
      <c r="DR60" s="9">
        <f t="shared" ca="1" si="41"/>
        <v>3.116111043433234E-3</v>
      </c>
      <c r="DS60" s="9">
        <f t="shared" ca="1" si="41"/>
        <v>5.6287318443503098E-3</v>
      </c>
      <c r="DT60" s="9">
        <f t="shared" ca="1" si="41"/>
        <v>5.2779797608225598E-3</v>
      </c>
      <c r="DU60" s="9">
        <f t="shared" ca="1" si="41"/>
        <v>4.9170722503841802E-3</v>
      </c>
      <c r="DV60" s="9">
        <f t="shared" ca="1" si="41"/>
        <v>3.3691770840191815E-3</v>
      </c>
      <c r="DW60" s="9">
        <f t="shared" ca="1" si="41"/>
        <v>5.2751937506048119E-3</v>
      </c>
      <c r="DX60" s="9">
        <f t="shared" ca="1" si="41"/>
        <v>1.8166991393253618E-4</v>
      </c>
      <c r="DY60" s="9">
        <f t="shared" ca="1" si="41"/>
        <v>5.317305962651675E-3</v>
      </c>
      <c r="DZ60" s="9">
        <f t="shared" ref="DZ60:GK60" ca="1" si="42">IF(DZ33="","",ABS(DZ33))</f>
        <v>1.0399143058366644E-2</v>
      </c>
      <c r="EA60" s="9">
        <f t="shared" ca="1" si="42"/>
        <v>4.2635291676431653E-3</v>
      </c>
      <c r="EB60" s="9">
        <f t="shared" ca="1" si="42"/>
        <v>9.8708299462634264E-3</v>
      </c>
      <c r="EC60" s="9">
        <f t="shared" ca="1" si="42"/>
        <v>2.8412645618645094E-3</v>
      </c>
      <c r="ED60" s="9">
        <f t="shared" ca="1" si="42"/>
        <v>2.1620604397624144E-3</v>
      </c>
      <c r="EE60" s="9">
        <f t="shared" ca="1" si="42"/>
        <v>1.3114302826757185E-2</v>
      </c>
      <c r="EF60" s="9">
        <f t="shared" ca="1" si="42"/>
        <v>2.4451164997378871E-3</v>
      </c>
      <c r="EG60" s="9">
        <f t="shared" ca="1" si="42"/>
        <v>7.6298133606076401E-3</v>
      </c>
      <c r="EH60" s="9">
        <f t="shared" ca="1" si="42"/>
        <v>1.2839931052619269E-2</v>
      </c>
      <c r="EI60" s="9">
        <f t="shared" ca="1" si="42"/>
        <v>1.3163903202782601E-2</v>
      </c>
      <c r="EJ60" s="9">
        <f t="shared" ca="1" si="42"/>
        <v>2.3857193530263388E-3</v>
      </c>
      <c r="EK60" s="9">
        <f t="shared" ca="1" si="42"/>
        <v>2.1406178538585507E-4</v>
      </c>
      <c r="EL60" s="9">
        <f t="shared" ca="1" si="42"/>
        <v>9.5344578951525039E-3</v>
      </c>
      <c r="EM60" s="9">
        <f t="shared" ca="1" si="42"/>
        <v>3.3016563443479807E-3</v>
      </c>
      <c r="EN60" s="9">
        <f t="shared" ca="1" si="42"/>
        <v>1.5987700081903089E-3</v>
      </c>
      <c r="EO60" s="9">
        <f t="shared" ca="1" si="42"/>
        <v>2.4360372567922006E-4</v>
      </c>
      <c r="EP60" s="9">
        <f t="shared" ca="1" si="42"/>
        <v>3.245470273564699E-3</v>
      </c>
      <c r="EQ60" s="9">
        <f t="shared" ca="1" si="42"/>
        <v>2.3079509432596401E-3</v>
      </c>
      <c r="ER60" s="9">
        <f t="shared" ca="1" si="42"/>
        <v>6.2090203821499879E-3</v>
      </c>
      <c r="ES60" s="9">
        <f t="shared" ca="1" si="42"/>
        <v>4.4219086411304565E-3</v>
      </c>
      <c r="ET60" s="9">
        <f t="shared" ca="1" si="42"/>
        <v>1.1929036796819448E-3</v>
      </c>
      <c r="EU60" s="9">
        <f t="shared" ca="1" si="42"/>
        <v>9.6086352304125544E-4</v>
      </c>
      <c r="EV60" s="9">
        <f t="shared" ca="1" si="42"/>
        <v>2.4438382679827786E-3</v>
      </c>
      <c r="EW60" s="9">
        <f t="shared" ca="1" si="42"/>
        <v>1.7621093485920003E-3</v>
      </c>
      <c r="EX60" s="9">
        <f t="shared" ca="1" si="42"/>
        <v>5.9774447910783124E-3</v>
      </c>
      <c r="EY60" s="9">
        <f t="shared" ca="1" si="42"/>
        <v>4.8077004999360629E-3</v>
      </c>
      <c r="EZ60" s="9">
        <f t="shared" ca="1" si="42"/>
        <v>5.0954584584077534E-3</v>
      </c>
      <c r="FA60" s="9">
        <f t="shared" ca="1" si="42"/>
        <v>4.9668280863206515E-3</v>
      </c>
      <c r="FB60" s="9">
        <f t="shared" ca="1" si="42"/>
        <v>7.606217012401828E-3</v>
      </c>
      <c r="FC60" s="9">
        <f t="shared" ca="1" si="42"/>
        <v>7.3037357209835285E-3</v>
      </c>
      <c r="FD60" s="9">
        <f t="shared" ca="1" si="42"/>
        <v>7.0813657396729957E-3</v>
      </c>
      <c r="FE60" s="9">
        <f t="shared" ca="1" si="42"/>
        <v>1.7563518352803342E-4</v>
      </c>
      <c r="FF60" s="9">
        <f t="shared" ca="1" si="42"/>
        <v>9.2309979760740735E-3</v>
      </c>
      <c r="FG60" s="9">
        <f t="shared" ca="1" si="42"/>
        <v>8.7089164715814515E-3</v>
      </c>
      <c r="FH60" s="9">
        <f t="shared" ca="1" si="42"/>
        <v>5.2301767439526525E-3</v>
      </c>
      <c r="FI60" s="9">
        <f t="shared" ca="1" si="42"/>
        <v>2.2227662814500171E-3</v>
      </c>
      <c r="FJ60" s="9">
        <f t="shared" ca="1" si="42"/>
        <v>7.5396412353804232E-3</v>
      </c>
      <c r="FK60" s="9">
        <f t="shared" ca="1" si="42"/>
        <v>1.8207911380280217E-3</v>
      </c>
      <c r="FL60" s="9">
        <f t="shared" ca="1" si="42"/>
        <v>1.2900210329005457E-3</v>
      </c>
      <c r="FM60" s="9">
        <f t="shared" ca="1" si="42"/>
        <v>1.7737442344227805E-3</v>
      </c>
      <c r="FN60" s="9">
        <f t="shared" ca="1" si="42"/>
        <v>2.5209702724047212E-3</v>
      </c>
      <c r="FO60" s="9">
        <f t="shared" ca="1" si="42"/>
        <v>3.3676477907996771E-3</v>
      </c>
      <c r="FP60" s="9">
        <f t="shared" ca="1" si="42"/>
        <v>1.9185079377963543E-3</v>
      </c>
      <c r="FQ60" s="9">
        <f t="shared" ca="1" si="42"/>
        <v>1.006255399740752E-3</v>
      </c>
      <c r="FR60" s="9">
        <f t="shared" ca="1" si="42"/>
        <v>2.4366118655743119E-3</v>
      </c>
      <c r="FS60" s="9">
        <f t="shared" ca="1" si="42"/>
        <v>7.2866126011790211E-3</v>
      </c>
      <c r="FT60" s="9">
        <f t="shared" ca="1" si="42"/>
        <v>3.6204526438832207E-3</v>
      </c>
      <c r="FU60" s="9">
        <f t="shared" ca="1" si="42"/>
        <v>1.5426101909217227E-3</v>
      </c>
      <c r="FV60" s="9">
        <f t="shared" ca="1" si="42"/>
        <v>8.8318201803161411E-3</v>
      </c>
      <c r="FW60" s="9">
        <f t="shared" ca="1" si="42"/>
        <v>3.9607388633158269E-3</v>
      </c>
      <c r="FX60" s="9">
        <f t="shared" ca="1" si="42"/>
        <v>5.9515675064036877E-3</v>
      </c>
      <c r="FY60" s="9">
        <f t="shared" ca="1" si="42"/>
        <v>3.1577472901902492E-3</v>
      </c>
      <c r="FZ60" s="9">
        <f t="shared" ca="1" si="42"/>
        <v>2.4412231209842705E-3</v>
      </c>
      <c r="GA60" s="9">
        <f t="shared" ca="1" si="42"/>
        <v>4.4098178828443357E-3</v>
      </c>
      <c r="GB60" s="9">
        <f t="shared" ca="1" si="42"/>
        <v>3.2543256157461231E-3</v>
      </c>
      <c r="GC60" s="9">
        <f t="shared" ca="1" si="42"/>
        <v>2.5754204981240925E-3</v>
      </c>
      <c r="GD60" s="9">
        <f t="shared" ca="1" si="42"/>
        <v>7.0806707988466666E-3</v>
      </c>
      <c r="GE60" s="9">
        <f t="shared" ca="1" si="42"/>
        <v>5.5673604213011263E-3</v>
      </c>
      <c r="GF60" s="9">
        <f t="shared" ca="1" si="42"/>
        <v>3.5581206318771041E-3</v>
      </c>
      <c r="GG60" s="9">
        <f t="shared" ca="1" si="42"/>
        <v>4.0054623763086106E-4</v>
      </c>
      <c r="GH60" s="9">
        <f t="shared" ca="1" si="42"/>
        <v>2.6116565038966089E-3</v>
      </c>
      <c r="GI60" s="9">
        <f t="shared" ca="1" si="42"/>
        <v>7.2200122911203479E-4</v>
      </c>
      <c r="GJ60" s="9">
        <f t="shared" ca="1" si="42"/>
        <v>2.4672888256707104E-3</v>
      </c>
      <c r="GK60" s="9">
        <f t="shared" ca="1" si="42"/>
        <v>2.0783704168269246E-2</v>
      </c>
      <c r="GL60" s="9">
        <f t="shared" ref="GL60:IW60" ca="1" si="43">IF(GL33="","",ABS(GL33))</f>
        <v>5.7494814139795958E-2</v>
      </c>
      <c r="GM60" s="9">
        <f t="shared" ca="1" si="43"/>
        <v>5.6944380174837939E-2</v>
      </c>
      <c r="GN60" s="9">
        <f t="shared" ca="1" si="43"/>
        <v>6.4137650878316466E-2</v>
      </c>
      <c r="GO60" s="9">
        <f t="shared" ca="1" si="43"/>
        <v>2.6148789362670621E-2</v>
      </c>
      <c r="GP60" s="9">
        <f t="shared" ca="1" si="43"/>
        <v>2.4554259099680897E-2</v>
      </c>
      <c r="GQ60" s="9">
        <f t="shared" ca="1" si="43"/>
        <v>3.8162336144304421E-2</v>
      </c>
      <c r="GR60" s="9">
        <f t="shared" ca="1" si="43"/>
        <v>3.4728686821902555E-2</v>
      </c>
      <c r="GS60" s="9">
        <f t="shared" ca="1" si="43"/>
        <v>2.7923005765763231E-2</v>
      </c>
      <c r="GT60" s="9">
        <f t="shared" ca="1" si="43"/>
        <v>3.1137624566228705E-3</v>
      </c>
      <c r="GU60" s="9">
        <f t="shared" ca="1" si="43"/>
        <v>1.9895686205668728E-3</v>
      </c>
      <c r="GV60" s="9" t="str">
        <f t="shared" ca="1" si="43"/>
        <v/>
      </c>
      <c r="GW60" s="9" t="str">
        <f t="shared" ca="1" si="43"/>
        <v/>
      </c>
      <c r="GX60" s="9" t="str">
        <f t="shared" ca="1" si="43"/>
        <v/>
      </c>
      <c r="GY60" s="9" t="str">
        <f t="shared" ca="1" si="43"/>
        <v/>
      </c>
      <c r="GZ60" s="9" t="str">
        <f t="shared" ca="1" si="43"/>
        <v/>
      </c>
      <c r="HA60" s="9" t="str">
        <f t="shared" ca="1" si="43"/>
        <v/>
      </c>
      <c r="HB60" s="9" t="str">
        <f t="shared" ca="1" si="43"/>
        <v/>
      </c>
      <c r="HC60" s="9" t="str">
        <f t="shared" ca="1" si="43"/>
        <v/>
      </c>
      <c r="HD60" s="9" t="str">
        <f t="shared" ca="1" si="43"/>
        <v/>
      </c>
      <c r="HE60" s="9" t="str">
        <f t="shared" ca="1" si="43"/>
        <v/>
      </c>
      <c r="HF60" s="9" t="str">
        <f t="shared" ca="1" si="43"/>
        <v/>
      </c>
      <c r="HG60" s="9" t="str">
        <f t="shared" ca="1" si="43"/>
        <v/>
      </c>
      <c r="HH60" s="9" t="str">
        <f t="shared" ca="1" si="43"/>
        <v/>
      </c>
      <c r="HI60" s="9" t="str">
        <f t="shared" ca="1" si="43"/>
        <v/>
      </c>
      <c r="HJ60" s="9" t="str">
        <f t="shared" ca="1" si="43"/>
        <v/>
      </c>
      <c r="HK60" s="9" t="str">
        <f t="shared" ca="1" si="43"/>
        <v/>
      </c>
      <c r="HL60" s="9" t="str">
        <f t="shared" ca="1" si="43"/>
        <v/>
      </c>
      <c r="HM60" s="9" t="str">
        <f t="shared" ca="1" si="43"/>
        <v/>
      </c>
      <c r="HN60" s="9" t="str">
        <f t="shared" ca="1" si="43"/>
        <v/>
      </c>
      <c r="HO60" s="9" t="str">
        <f t="shared" ca="1" si="43"/>
        <v/>
      </c>
      <c r="HP60" s="9" t="str">
        <f t="shared" ca="1" si="43"/>
        <v/>
      </c>
      <c r="HQ60" s="9" t="str">
        <f t="shared" ca="1" si="43"/>
        <v/>
      </c>
      <c r="HR60" s="9" t="str">
        <f t="shared" ca="1" si="43"/>
        <v/>
      </c>
      <c r="HS60" s="9" t="str">
        <f t="shared" ca="1" si="43"/>
        <v/>
      </c>
      <c r="HT60" s="9" t="str">
        <f t="shared" ca="1" si="43"/>
        <v/>
      </c>
      <c r="HU60" s="9" t="str">
        <f t="shared" ca="1" si="43"/>
        <v/>
      </c>
      <c r="HV60" s="9" t="str">
        <f t="shared" ca="1" si="43"/>
        <v/>
      </c>
      <c r="HW60" s="9" t="str">
        <f t="shared" ca="1" si="43"/>
        <v/>
      </c>
      <c r="HX60" s="9" t="str">
        <f t="shared" ca="1" si="43"/>
        <v/>
      </c>
      <c r="HY60" s="9" t="str">
        <f t="shared" ca="1" si="43"/>
        <v/>
      </c>
      <c r="HZ60" s="9" t="str">
        <f t="shared" ca="1" si="43"/>
        <v/>
      </c>
      <c r="IA60" s="9" t="str">
        <f t="shared" ca="1" si="43"/>
        <v/>
      </c>
      <c r="IB60" s="9" t="str">
        <f t="shared" ca="1" si="43"/>
        <v/>
      </c>
      <c r="IC60" s="9" t="str">
        <f t="shared" ca="1" si="43"/>
        <v/>
      </c>
      <c r="ID60" s="9" t="str">
        <f t="shared" ca="1" si="43"/>
        <v/>
      </c>
      <c r="IE60" s="9" t="str">
        <f t="shared" ca="1" si="43"/>
        <v/>
      </c>
      <c r="IF60" s="9" t="str">
        <f t="shared" ca="1" si="43"/>
        <v/>
      </c>
      <c r="IG60" s="9" t="str">
        <f t="shared" ca="1" si="43"/>
        <v/>
      </c>
      <c r="IH60" s="9" t="str">
        <f t="shared" ca="1" si="43"/>
        <v/>
      </c>
      <c r="II60" s="9" t="str">
        <f t="shared" ca="1" si="43"/>
        <v/>
      </c>
      <c r="IJ60" s="9" t="str">
        <f t="shared" ca="1" si="43"/>
        <v/>
      </c>
      <c r="IK60" s="9" t="str">
        <f t="shared" ca="1" si="43"/>
        <v/>
      </c>
      <c r="IL60" s="9" t="str">
        <f t="shared" ca="1" si="43"/>
        <v/>
      </c>
      <c r="IM60" s="9" t="str">
        <f t="shared" ca="1" si="43"/>
        <v/>
      </c>
      <c r="IN60" s="9" t="str">
        <f t="shared" ca="1" si="43"/>
        <v/>
      </c>
      <c r="IO60" s="9" t="str">
        <f t="shared" ca="1" si="43"/>
        <v/>
      </c>
      <c r="IP60" s="9" t="str">
        <f t="shared" ca="1" si="43"/>
        <v/>
      </c>
      <c r="IQ60" s="9" t="str">
        <f t="shared" ca="1" si="43"/>
        <v/>
      </c>
      <c r="IR60" s="9" t="str">
        <f t="shared" ca="1" si="43"/>
        <v/>
      </c>
      <c r="IS60" s="9" t="str">
        <f t="shared" ca="1" si="43"/>
        <v/>
      </c>
      <c r="IT60" s="9" t="str">
        <f t="shared" ca="1" si="43"/>
        <v/>
      </c>
      <c r="IU60" s="9" t="str">
        <f t="shared" ca="1" si="43"/>
        <v/>
      </c>
      <c r="IV60" s="9" t="str">
        <f t="shared" ca="1" si="43"/>
        <v/>
      </c>
      <c r="IW60" s="9" t="str">
        <f t="shared" ca="1" si="43"/>
        <v/>
      </c>
      <c r="IX60" s="9" t="str">
        <f t="shared" ref="IX60:JH60" ca="1" si="44">IF(IX33="","",ABS(IX33))</f>
        <v/>
      </c>
      <c r="IY60" s="9" t="str">
        <f t="shared" ca="1" si="44"/>
        <v/>
      </c>
      <c r="IZ60" s="9" t="str">
        <f t="shared" ca="1" si="44"/>
        <v/>
      </c>
      <c r="JA60" s="9" t="str">
        <f t="shared" ca="1" si="44"/>
        <v/>
      </c>
      <c r="JB60" s="9" t="str">
        <f t="shared" ca="1" si="44"/>
        <v/>
      </c>
      <c r="JC60" s="9" t="str">
        <f t="shared" ca="1" si="44"/>
        <v/>
      </c>
      <c r="JD60" s="9" t="str">
        <f t="shared" ca="1" si="44"/>
        <v/>
      </c>
      <c r="JE60" s="9" t="str">
        <f t="shared" ca="1" si="44"/>
        <v/>
      </c>
      <c r="JF60" s="9" t="str">
        <f t="shared" ca="1" si="44"/>
        <v/>
      </c>
      <c r="JG60" s="9" t="str">
        <f t="shared" ca="1" si="44"/>
        <v/>
      </c>
      <c r="JH60" s="9" t="str">
        <f t="shared" ca="1" si="44"/>
        <v/>
      </c>
      <c r="JI60" s="13">
        <f t="shared" ca="1" si="24"/>
        <v>1.3834316320654514E-2</v>
      </c>
      <c r="JJ60" s="13">
        <f t="shared" ca="1" si="25"/>
        <v>3.9607388633158269E-3</v>
      </c>
      <c r="JK60" s="14">
        <f t="shared" ca="1" si="26"/>
        <v>3.3122475865631623E-4</v>
      </c>
      <c r="JL60" s="17">
        <f t="shared" ca="1" si="34"/>
        <v>1.8199581276950198E-2</v>
      </c>
      <c r="JM60" s="15" t="str">
        <f t="shared" ca="1" si="27"/>
        <v>[ -2,26% ; 5,02% ]</v>
      </c>
      <c r="JN60" s="17">
        <f t="shared" ca="1" si="28"/>
        <v>2.3295464034496255E-2</v>
      </c>
      <c r="LY60" s="1"/>
    </row>
    <row r="61" spans="1:337" x14ac:dyDescent="0.25">
      <c r="A61" s="4">
        <v>5</v>
      </c>
      <c r="B61" s="9">
        <f t="shared" ref="B61:BM61" ca="1" si="45">IF(B34="","",ABS(B34))</f>
        <v>1.3891685942470922E-3</v>
      </c>
      <c r="C61" s="9">
        <f t="shared" ca="1" si="45"/>
        <v>1.6258884987413458E-3</v>
      </c>
      <c r="D61" s="9">
        <f t="shared" ca="1" si="45"/>
        <v>1.3999669465258879E-4</v>
      </c>
      <c r="E61" s="9">
        <f t="shared" ca="1" si="45"/>
        <v>2.2215928452262723E-3</v>
      </c>
      <c r="F61" s="9">
        <f t="shared" ca="1" si="45"/>
        <v>7.1267985556477953E-4</v>
      </c>
      <c r="G61" s="9">
        <f t="shared" ca="1" si="45"/>
        <v>4.0942312512504131E-5</v>
      </c>
      <c r="H61" s="9">
        <f t="shared" ca="1" si="45"/>
        <v>2.5163196351840611E-4</v>
      </c>
      <c r="I61" s="9">
        <f t="shared" ca="1" si="45"/>
        <v>8.9902443202505289E-5</v>
      </c>
      <c r="J61" s="9">
        <f t="shared" ca="1" si="45"/>
        <v>3.5963456018077711E-3</v>
      </c>
      <c r="K61" s="9">
        <f t="shared" ca="1" si="45"/>
        <v>1.9376849452731326E-3</v>
      </c>
      <c r="L61" s="9">
        <f t="shared" ca="1" si="45"/>
        <v>3.6548767049982001E-4</v>
      </c>
      <c r="M61" s="9">
        <f t="shared" ca="1" si="45"/>
        <v>2.5429879090304031E-3</v>
      </c>
      <c r="N61" s="9">
        <f t="shared" ca="1" si="45"/>
        <v>6.4548838063263059E-3</v>
      </c>
      <c r="O61" s="9">
        <f t="shared" ca="1" si="45"/>
        <v>1.3010835533085796E-2</v>
      </c>
      <c r="P61" s="9">
        <f t="shared" ca="1" si="45"/>
        <v>1.8990287439828002E-2</v>
      </c>
      <c r="Q61" s="9">
        <f t="shared" ca="1" si="45"/>
        <v>2.0884812108658224E-2</v>
      </c>
      <c r="R61" s="9">
        <f t="shared" ca="1" si="45"/>
        <v>2.158969235307584E-2</v>
      </c>
      <c r="S61" s="9">
        <f t="shared" ca="1" si="45"/>
        <v>2.0101822638779132E-2</v>
      </c>
      <c r="T61" s="9">
        <f t="shared" ca="1" si="45"/>
        <v>1.2343112347286689E-2</v>
      </c>
      <c r="U61" s="9">
        <f t="shared" ca="1" si="45"/>
        <v>2.8526363315481973E-3</v>
      </c>
      <c r="V61" s="9">
        <f t="shared" ca="1" si="45"/>
        <v>4.068769626325297E-3</v>
      </c>
      <c r="W61" s="9">
        <f t="shared" ca="1" si="45"/>
        <v>7.9695475487737699E-3</v>
      </c>
      <c r="X61" s="9">
        <f t="shared" ca="1" si="45"/>
        <v>6.5205442356173204E-3</v>
      </c>
      <c r="Y61" s="9">
        <f t="shared" ca="1" si="45"/>
        <v>3.0862790511283489E-3</v>
      </c>
      <c r="Z61" s="9">
        <f t="shared" ca="1" si="45"/>
        <v>5.4338425394035994E-3</v>
      </c>
      <c r="AA61" s="9">
        <f t="shared" ca="1" si="45"/>
        <v>7.716036277110927E-3</v>
      </c>
      <c r="AB61" s="9">
        <f t="shared" ca="1" si="45"/>
        <v>6.0895210445894854E-3</v>
      </c>
      <c r="AC61" s="9">
        <f t="shared" ca="1" si="45"/>
        <v>1.5614632929306982E-2</v>
      </c>
      <c r="AD61" s="9">
        <f t="shared" ca="1" si="45"/>
        <v>1.1804784319755512E-2</v>
      </c>
      <c r="AE61" s="9">
        <f t="shared" ca="1" si="45"/>
        <v>6.9850206073331922E-3</v>
      </c>
      <c r="AF61" s="9">
        <f t="shared" ca="1" si="45"/>
        <v>3.1682701771917898E-4</v>
      </c>
      <c r="AG61" s="9">
        <f t="shared" ca="1" si="45"/>
        <v>1.8600654517181292E-3</v>
      </c>
      <c r="AH61" s="9">
        <f t="shared" ca="1" si="45"/>
        <v>1.1641838032036333E-2</v>
      </c>
      <c r="AI61" s="9">
        <f t="shared" ca="1" si="45"/>
        <v>3.8572521420301431E-3</v>
      </c>
      <c r="AJ61" s="9">
        <f t="shared" ca="1" si="45"/>
        <v>4.2388583486245857E-3</v>
      </c>
      <c r="AK61" s="9">
        <f t="shared" ca="1" si="45"/>
        <v>6.6972806275300556E-4</v>
      </c>
      <c r="AL61" s="9">
        <f t="shared" ca="1" si="45"/>
        <v>1.92361175921274E-3</v>
      </c>
      <c r="AM61" s="9">
        <f t="shared" ca="1" si="45"/>
        <v>6.7506588401466949E-3</v>
      </c>
      <c r="AN61" s="9">
        <f t="shared" ca="1" si="45"/>
        <v>7.7165714031504073E-3</v>
      </c>
      <c r="AO61" s="9">
        <f t="shared" ca="1" si="45"/>
        <v>1.3435989965803419E-2</v>
      </c>
      <c r="AP61" s="9">
        <f t="shared" ca="1" si="45"/>
        <v>6.6053361961520007E-3</v>
      </c>
      <c r="AQ61" s="9">
        <f t="shared" ca="1" si="45"/>
        <v>6.273851449625667E-3</v>
      </c>
      <c r="AR61" s="9">
        <f t="shared" ca="1" si="45"/>
        <v>1.6991095209573093E-3</v>
      </c>
      <c r="AS61" s="9">
        <f t="shared" ca="1" si="45"/>
        <v>2.1666768229342548E-3</v>
      </c>
      <c r="AT61" s="9">
        <f t="shared" ca="1" si="45"/>
        <v>2.637787864046004E-4</v>
      </c>
      <c r="AU61" s="9">
        <f t="shared" ca="1" si="45"/>
        <v>4.8623968633869641E-3</v>
      </c>
      <c r="AV61" s="9">
        <f t="shared" ca="1" si="45"/>
        <v>9.5114914383522819E-3</v>
      </c>
      <c r="AW61" s="9">
        <f t="shared" ca="1" si="45"/>
        <v>1.0526389593909169E-2</v>
      </c>
      <c r="AX61" s="9">
        <f t="shared" ca="1" si="45"/>
        <v>1.5644592557536807E-2</v>
      </c>
      <c r="AY61" s="9">
        <f t="shared" ca="1" si="45"/>
        <v>1.9035099015302759E-2</v>
      </c>
      <c r="AZ61" s="9">
        <f t="shared" ca="1" si="45"/>
        <v>2.2282807978531549E-2</v>
      </c>
      <c r="BA61" s="9">
        <f t="shared" ca="1" si="45"/>
        <v>1.8745653892882297E-2</v>
      </c>
      <c r="BB61" s="9">
        <f t="shared" ca="1" si="45"/>
        <v>1.976352093699707E-2</v>
      </c>
      <c r="BC61" s="9">
        <f t="shared" ca="1" si="45"/>
        <v>2.0293594986651176E-2</v>
      </c>
      <c r="BD61" s="9">
        <f t="shared" ca="1" si="45"/>
        <v>1.6537643292531712E-2</v>
      </c>
      <c r="BE61" s="9">
        <f t="shared" ca="1" si="45"/>
        <v>2.6242828452110345E-2</v>
      </c>
      <c r="BF61" s="9">
        <f t="shared" ca="1" si="45"/>
        <v>3.6915029815767442E-2</v>
      </c>
      <c r="BG61" s="9">
        <f t="shared" ca="1" si="45"/>
        <v>3.0252485012701502E-2</v>
      </c>
      <c r="BH61" s="9">
        <f t="shared" ca="1" si="45"/>
        <v>1.5726684957055204E-2</v>
      </c>
      <c r="BI61" s="9">
        <f t="shared" ca="1" si="45"/>
        <v>4.3389188639365583E-3</v>
      </c>
      <c r="BJ61" s="9">
        <f t="shared" ca="1" si="45"/>
        <v>2.5690863958377497E-3</v>
      </c>
      <c r="BK61" s="9">
        <f t="shared" ca="1" si="45"/>
        <v>8.0373474859921634E-3</v>
      </c>
      <c r="BL61" s="9">
        <f t="shared" ca="1" si="45"/>
        <v>1.9386257617903691E-2</v>
      </c>
      <c r="BM61" s="9">
        <f t="shared" ca="1" si="45"/>
        <v>2.8784490876044511E-2</v>
      </c>
      <c r="BN61" s="9">
        <f t="shared" ref="BN61:DY61" ca="1" si="46">IF(BN34="","",ABS(BN34))</f>
        <v>2.1198834402769595E-2</v>
      </c>
      <c r="BO61" s="9">
        <f t="shared" ca="1" si="46"/>
        <v>7.7703920994071085E-3</v>
      </c>
      <c r="BP61" s="9">
        <f t="shared" ca="1" si="46"/>
        <v>1.0066538496118493E-2</v>
      </c>
      <c r="BQ61" s="9">
        <f t="shared" ca="1" si="46"/>
        <v>1.526528383522141E-2</v>
      </c>
      <c r="BR61" s="9">
        <f t="shared" ca="1" si="46"/>
        <v>2.8266675072459169E-3</v>
      </c>
      <c r="BS61" s="9">
        <f t="shared" ca="1" si="46"/>
        <v>8.7452477489525782E-3</v>
      </c>
      <c r="BT61" s="9">
        <f t="shared" ca="1" si="46"/>
        <v>6.8783709183517505E-3</v>
      </c>
      <c r="BU61" s="9">
        <f t="shared" ca="1" si="46"/>
        <v>2.7083549947726215E-3</v>
      </c>
      <c r="BV61" s="9">
        <f t="shared" ca="1" si="46"/>
        <v>6.1467008738846918E-3</v>
      </c>
      <c r="BW61" s="9">
        <f t="shared" ca="1" si="46"/>
        <v>8.3635432360673612E-5</v>
      </c>
      <c r="BX61" s="9">
        <f t="shared" ca="1" si="46"/>
        <v>2.5906971833979942E-3</v>
      </c>
      <c r="BY61" s="9">
        <f t="shared" ca="1" si="46"/>
        <v>4.5739966549077637E-3</v>
      </c>
      <c r="BZ61" s="9">
        <f t="shared" ca="1" si="46"/>
        <v>6.8106937420076008E-4</v>
      </c>
      <c r="CA61" s="9">
        <f t="shared" ca="1" si="46"/>
        <v>1.0022230424855394E-4</v>
      </c>
      <c r="CB61" s="9">
        <f t="shared" ca="1" si="46"/>
        <v>2.4331345502873747E-3</v>
      </c>
      <c r="CC61" s="9">
        <f t="shared" ca="1" si="46"/>
        <v>6.7532946627280044E-3</v>
      </c>
      <c r="CD61" s="9">
        <f t="shared" ca="1" si="46"/>
        <v>7.5799512880969644E-4</v>
      </c>
      <c r="CE61" s="9">
        <f t="shared" ca="1" si="46"/>
        <v>3.6061060367968967E-3</v>
      </c>
      <c r="CF61" s="9">
        <f t="shared" ca="1" si="46"/>
        <v>2.4370305708034667E-3</v>
      </c>
      <c r="CG61" s="9">
        <f t="shared" ca="1" si="46"/>
        <v>9.6082423481114176E-4</v>
      </c>
      <c r="CH61" s="9">
        <f t="shared" ca="1" si="46"/>
        <v>4.2327338224013022E-3</v>
      </c>
      <c r="CI61" s="9">
        <f t="shared" ca="1" si="46"/>
        <v>7.2087536907434746E-3</v>
      </c>
      <c r="CJ61" s="9">
        <f t="shared" ca="1" si="46"/>
        <v>7.7011710934808963E-3</v>
      </c>
      <c r="CK61" s="9">
        <f t="shared" ca="1" si="46"/>
        <v>3.4859249488510269E-3</v>
      </c>
      <c r="CL61" s="9">
        <f t="shared" ca="1" si="46"/>
        <v>7.9313110527978736E-3</v>
      </c>
      <c r="CM61" s="9">
        <f t="shared" ca="1" si="46"/>
        <v>8.8254929813929017E-3</v>
      </c>
      <c r="CN61" s="9">
        <f t="shared" ca="1" si="46"/>
        <v>4.5653663375551101E-3</v>
      </c>
      <c r="CO61" s="9">
        <f t="shared" ca="1" si="46"/>
        <v>4.6524099951448239E-3</v>
      </c>
      <c r="CP61" s="9">
        <f t="shared" ca="1" si="46"/>
        <v>9.1363273790376898E-3</v>
      </c>
      <c r="CQ61" s="9">
        <f t="shared" ca="1" si="46"/>
        <v>9.8414133064406162E-3</v>
      </c>
      <c r="CR61" s="9">
        <f t="shared" ca="1" si="46"/>
        <v>4.2887440000871635E-4</v>
      </c>
      <c r="CS61" s="9">
        <f t="shared" ca="1" si="46"/>
        <v>3.1257251214955595E-4</v>
      </c>
      <c r="CT61" s="9">
        <f t="shared" ca="1" si="46"/>
        <v>1.5971179697603199E-2</v>
      </c>
      <c r="CU61" s="9">
        <f t="shared" ca="1" si="46"/>
        <v>2.9579560437593688E-3</v>
      </c>
      <c r="CV61" s="9">
        <f t="shared" ca="1" si="46"/>
        <v>1.3707716113936508E-3</v>
      </c>
      <c r="CW61" s="9">
        <f t="shared" ca="1" si="46"/>
        <v>3.794163854209387E-6</v>
      </c>
      <c r="CX61" s="9">
        <f t="shared" ca="1" si="46"/>
        <v>3.2631366417725793E-3</v>
      </c>
      <c r="CY61" s="9">
        <f t="shared" ca="1" si="46"/>
        <v>6.1020720046489618E-4</v>
      </c>
      <c r="CZ61" s="9">
        <f t="shared" ca="1" si="46"/>
        <v>1.6498526051105245E-2</v>
      </c>
      <c r="DA61" s="9">
        <f t="shared" ca="1" si="46"/>
        <v>5.9062639330744737E-3</v>
      </c>
      <c r="DB61" s="9">
        <f t="shared" ca="1" si="46"/>
        <v>1.3392820458191235E-2</v>
      </c>
      <c r="DC61" s="9">
        <f t="shared" ca="1" si="46"/>
        <v>9.6017723295491741E-3</v>
      </c>
      <c r="DD61" s="9">
        <f t="shared" ca="1" si="46"/>
        <v>7.0371928043573284E-3</v>
      </c>
      <c r="DE61" s="9">
        <f t="shared" ca="1" si="46"/>
        <v>1.8088115998737275E-2</v>
      </c>
      <c r="DF61" s="9">
        <f t="shared" ca="1" si="46"/>
        <v>1.3524944984244613E-2</v>
      </c>
      <c r="DG61" s="9">
        <f t="shared" ca="1" si="46"/>
        <v>6.7551760228011792E-3</v>
      </c>
      <c r="DH61" s="9">
        <f t="shared" ca="1" si="46"/>
        <v>6.5026895981245003E-3</v>
      </c>
      <c r="DI61" s="9">
        <f t="shared" ca="1" si="46"/>
        <v>6.6269796879689924E-3</v>
      </c>
      <c r="DJ61" s="9">
        <f t="shared" ca="1" si="46"/>
        <v>6.6322487614969283E-3</v>
      </c>
      <c r="DK61" s="9">
        <f t="shared" ca="1" si="46"/>
        <v>5.8396986375849336E-3</v>
      </c>
      <c r="DL61" s="9">
        <f t="shared" ca="1" si="46"/>
        <v>1.5364692519451162E-2</v>
      </c>
      <c r="DM61" s="9">
        <f t="shared" ca="1" si="46"/>
        <v>2.336807390972695E-2</v>
      </c>
      <c r="DN61" s="9">
        <f t="shared" ca="1" si="46"/>
        <v>1.9427029172023214E-2</v>
      </c>
      <c r="DO61" s="9">
        <f t="shared" ca="1" si="46"/>
        <v>1.6084446846574507E-2</v>
      </c>
      <c r="DP61" s="9">
        <f t="shared" ca="1" si="46"/>
        <v>5.9879320206798203E-3</v>
      </c>
      <c r="DQ61" s="9">
        <f t="shared" ca="1" si="46"/>
        <v>7.8233614387730466E-3</v>
      </c>
      <c r="DR61" s="9">
        <f t="shared" ca="1" si="46"/>
        <v>9.7256278663815365E-4</v>
      </c>
      <c r="DS61" s="9">
        <f t="shared" ca="1" si="46"/>
        <v>5.4630152153545275E-3</v>
      </c>
      <c r="DT61" s="9">
        <f t="shared" ca="1" si="46"/>
        <v>4.6712938834920781E-3</v>
      </c>
      <c r="DU61" s="9">
        <f t="shared" ca="1" si="46"/>
        <v>4.3443135849248193E-3</v>
      </c>
      <c r="DV61" s="9">
        <f t="shared" ca="1" si="46"/>
        <v>2.4951408677498232E-3</v>
      </c>
      <c r="DW61" s="9">
        <f t="shared" ca="1" si="46"/>
        <v>5.5124755560327365E-3</v>
      </c>
      <c r="DX61" s="9">
        <f t="shared" ca="1" si="46"/>
        <v>2.9911292502968756E-3</v>
      </c>
      <c r="DY61" s="9">
        <f t="shared" ca="1" si="46"/>
        <v>8.4634796552588432E-3</v>
      </c>
      <c r="DZ61" s="9">
        <f t="shared" ref="DZ61:GK61" ca="1" si="47">IF(DZ34="","",ABS(DZ34))</f>
        <v>1.0315351887648649E-2</v>
      </c>
      <c r="EA61" s="9">
        <f t="shared" ca="1" si="47"/>
        <v>7.2398471188046543E-3</v>
      </c>
      <c r="EB61" s="9">
        <f t="shared" ca="1" si="47"/>
        <v>1.4409208882429914E-2</v>
      </c>
      <c r="EC61" s="9">
        <f t="shared" ca="1" si="47"/>
        <v>5.3167330199945795E-3</v>
      </c>
      <c r="ED61" s="9">
        <f t="shared" ca="1" si="47"/>
        <v>4.1096636809671017E-3</v>
      </c>
      <c r="EE61" s="9">
        <f t="shared" ca="1" si="47"/>
        <v>1.1289672164642606E-2</v>
      </c>
      <c r="EF61" s="9">
        <f t="shared" ca="1" si="47"/>
        <v>1.1544425334497621E-4</v>
      </c>
      <c r="EG61" s="9">
        <f t="shared" ca="1" si="47"/>
        <v>1.1847563799321614E-2</v>
      </c>
      <c r="EH61" s="9">
        <f t="shared" ca="1" si="47"/>
        <v>1.4272208104687323E-2</v>
      </c>
      <c r="EI61" s="9">
        <f t="shared" ca="1" si="47"/>
        <v>1.4687236313785323E-2</v>
      </c>
      <c r="EJ61" s="9">
        <f t="shared" ca="1" si="47"/>
        <v>3.645986557987424E-4</v>
      </c>
      <c r="EK61" s="9">
        <f t="shared" ca="1" si="47"/>
        <v>1.4206223850277144E-3</v>
      </c>
      <c r="EL61" s="9">
        <f t="shared" ca="1" si="47"/>
        <v>9.7640285240008229E-3</v>
      </c>
      <c r="EM61" s="9">
        <f t="shared" ca="1" si="47"/>
        <v>2.7126565960406968E-3</v>
      </c>
      <c r="EN61" s="9">
        <f t="shared" ca="1" si="47"/>
        <v>1.6379291358569192E-3</v>
      </c>
      <c r="EO61" s="9">
        <f t="shared" ca="1" si="47"/>
        <v>6.2066826417084275E-4</v>
      </c>
      <c r="EP61" s="9">
        <f t="shared" ca="1" si="47"/>
        <v>3.6580454195085377E-3</v>
      </c>
      <c r="EQ61" s="9">
        <f t="shared" ca="1" si="47"/>
        <v>4.5246965504285308E-3</v>
      </c>
      <c r="ER61" s="9">
        <f t="shared" ca="1" si="47"/>
        <v>6.9813528850279916E-3</v>
      </c>
      <c r="ES61" s="9">
        <f t="shared" ca="1" si="47"/>
        <v>2.9331281877850168E-3</v>
      </c>
      <c r="ET61" s="9">
        <f t="shared" ca="1" si="47"/>
        <v>1.5793009475075781E-3</v>
      </c>
      <c r="EU61" s="9">
        <f t="shared" ca="1" si="47"/>
        <v>4.5382277437838736E-3</v>
      </c>
      <c r="EV61" s="9">
        <f t="shared" ca="1" si="47"/>
        <v>3.8729897059190943E-3</v>
      </c>
      <c r="EW61" s="9">
        <f t="shared" ca="1" si="47"/>
        <v>1.1427990665671128E-3</v>
      </c>
      <c r="EX61" s="9">
        <f t="shared" ca="1" si="47"/>
        <v>7.7374116982730223E-3</v>
      </c>
      <c r="EY61" s="9">
        <f t="shared" ca="1" si="47"/>
        <v>5.3984571874652332E-3</v>
      </c>
      <c r="EZ61" s="9">
        <f t="shared" ca="1" si="47"/>
        <v>3.7115493627508656E-3</v>
      </c>
      <c r="FA61" s="9">
        <f t="shared" ca="1" si="47"/>
        <v>8.7946276656134525E-3</v>
      </c>
      <c r="FB61" s="9">
        <f t="shared" ca="1" si="47"/>
        <v>8.9439837951457157E-3</v>
      </c>
      <c r="FC61" s="9">
        <f t="shared" ca="1" si="47"/>
        <v>7.531259789744893E-3</v>
      </c>
      <c r="FD61" s="9">
        <f t="shared" ca="1" si="47"/>
        <v>5.3229184687442199E-3</v>
      </c>
      <c r="FE61" s="9">
        <f t="shared" ca="1" si="47"/>
        <v>3.2535705610057253E-3</v>
      </c>
      <c r="FF61" s="9">
        <f t="shared" ca="1" si="47"/>
        <v>9.4275734635700381E-3</v>
      </c>
      <c r="FG61" s="9">
        <f t="shared" ca="1" si="47"/>
        <v>7.8396507146130112E-3</v>
      </c>
      <c r="FH61" s="9">
        <f t="shared" ca="1" si="47"/>
        <v>5.0963178339138437E-3</v>
      </c>
      <c r="FI61" s="9">
        <f t="shared" ca="1" si="47"/>
        <v>1.6407692886868386E-3</v>
      </c>
      <c r="FJ61" s="9">
        <f t="shared" ca="1" si="47"/>
        <v>8.2823540693309772E-3</v>
      </c>
      <c r="FK61" s="9">
        <f t="shared" ca="1" si="47"/>
        <v>2.5430745730454785E-3</v>
      </c>
      <c r="FL61" s="9">
        <f t="shared" ca="1" si="47"/>
        <v>1.4236601046289099E-3</v>
      </c>
      <c r="FM61" s="9">
        <f t="shared" ca="1" si="47"/>
        <v>1.7388113267227112E-3</v>
      </c>
      <c r="FN61" s="9">
        <f t="shared" ca="1" si="47"/>
        <v>4.4058246796638834E-3</v>
      </c>
      <c r="FO61" s="9">
        <f t="shared" ca="1" si="47"/>
        <v>4.0986854940713302E-3</v>
      </c>
      <c r="FP61" s="9">
        <f t="shared" ca="1" si="47"/>
        <v>4.3378032394514321E-5</v>
      </c>
      <c r="FQ61" s="9">
        <f t="shared" ca="1" si="47"/>
        <v>1.0052787972856247E-3</v>
      </c>
      <c r="FR61" s="9">
        <f t="shared" ca="1" si="47"/>
        <v>1.657420872884785E-3</v>
      </c>
      <c r="FS61" s="9">
        <f t="shared" ca="1" si="47"/>
        <v>4.1844197774556502E-3</v>
      </c>
      <c r="FT61" s="9">
        <f t="shared" ca="1" si="47"/>
        <v>5.2539029837912476E-3</v>
      </c>
      <c r="FU61" s="9">
        <f t="shared" ca="1" si="47"/>
        <v>3.5324547683148744E-3</v>
      </c>
      <c r="FV61" s="9">
        <f t="shared" ca="1" si="47"/>
        <v>7.7550795123950689E-3</v>
      </c>
      <c r="FW61" s="9">
        <f t="shared" ca="1" si="47"/>
        <v>4.1924646000041088E-3</v>
      </c>
      <c r="FX61" s="9">
        <f t="shared" ca="1" si="47"/>
        <v>5.459293620831529E-3</v>
      </c>
      <c r="FY61" s="9">
        <f t="shared" ca="1" si="47"/>
        <v>4.6453799713991328E-3</v>
      </c>
      <c r="FZ61" s="9">
        <f t="shared" ca="1" si="47"/>
        <v>1.3122361215365252E-3</v>
      </c>
      <c r="GA61" s="9">
        <f t="shared" ca="1" si="47"/>
        <v>4.1518199423644653E-3</v>
      </c>
      <c r="GB61" s="9">
        <f t="shared" ca="1" si="47"/>
        <v>1.5027584939988348E-3</v>
      </c>
      <c r="GC61" s="9">
        <f t="shared" ca="1" si="47"/>
        <v>5.1034856887903768E-3</v>
      </c>
      <c r="GD61" s="9">
        <f t="shared" ca="1" si="47"/>
        <v>7.9383994622701515E-3</v>
      </c>
      <c r="GE61" s="9">
        <f t="shared" ca="1" si="47"/>
        <v>4.5752290765495029E-3</v>
      </c>
      <c r="GF61" s="9">
        <f t="shared" ca="1" si="47"/>
        <v>4.2069135996416485E-3</v>
      </c>
      <c r="GG61" s="9">
        <f t="shared" ca="1" si="47"/>
        <v>9.5728207915657393E-4</v>
      </c>
      <c r="GH61" s="9">
        <f t="shared" ca="1" si="47"/>
        <v>1.0021970216771425E-3</v>
      </c>
      <c r="GI61" s="9">
        <f t="shared" ca="1" si="47"/>
        <v>1.1720929561181981E-3</v>
      </c>
      <c r="GJ61" s="9">
        <f t="shared" ca="1" si="47"/>
        <v>2.2326062455670037E-2</v>
      </c>
      <c r="GK61" s="9">
        <f t="shared" ca="1" si="47"/>
        <v>5.9487272526040025E-2</v>
      </c>
      <c r="GL61" s="9">
        <f t="shared" ref="GL61:IW61" ca="1" si="48">IF(GL34="","",ABS(GL34))</f>
        <v>6.1653202268111551E-2</v>
      </c>
      <c r="GM61" s="9">
        <f t="shared" ca="1" si="48"/>
        <v>5.5867281660993307E-2</v>
      </c>
      <c r="GN61" s="9">
        <f t="shared" ca="1" si="48"/>
        <v>5.6841112645861669E-2</v>
      </c>
      <c r="GO61" s="9">
        <f t="shared" ca="1" si="48"/>
        <v>1.9766859512951873E-2</v>
      </c>
      <c r="GP61" s="9">
        <f t="shared" ca="1" si="48"/>
        <v>3.6208774455940174E-2</v>
      </c>
      <c r="GQ61" s="9">
        <f t="shared" ca="1" si="48"/>
        <v>4.6877927610117553E-2</v>
      </c>
      <c r="GR61" s="9">
        <f t="shared" ca="1" si="48"/>
        <v>4.1374427653919965E-2</v>
      </c>
      <c r="GS61" s="9">
        <f t="shared" ca="1" si="48"/>
        <v>2.7242522662312418E-2</v>
      </c>
      <c r="GT61" s="9">
        <f t="shared" ca="1" si="48"/>
        <v>4.5792101877171199E-3</v>
      </c>
      <c r="GU61" s="9" t="str">
        <f t="shared" ca="1" si="48"/>
        <v/>
      </c>
      <c r="GV61" s="9" t="str">
        <f t="shared" ca="1" si="48"/>
        <v/>
      </c>
      <c r="GW61" s="9" t="str">
        <f t="shared" ca="1" si="48"/>
        <v/>
      </c>
      <c r="GX61" s="9" t="str">
        <f t="shared" ca="1" si="48"/>
        <v/>
      </c>
      <c r="GY61" s="9" t="str">
        <f t="shared" ca="1" si="48"/>
        <v/>
      </c>
      <c r="GZ61" s="9" t="str">
        <f t="shared" ca="1" si="48"/>
        <v/>
      </c>
      <c r="HA61" s="9" t="str">
        <f t="shared" ca="1" si="48"/>
        <v/>
      </c>
      <c r="HB61" s="9" t="str">
        <f t="shared" ca="1" si="48"/>
        <v/>
      </c>
      <c r="HC61" s="9" t="str">
        <f t="shared" ca="1" si="48"/>
        <v/>
      </c>
      <c r="HD61" s="9" t="str">
        <f t="shared" ca="1" si="48"/>
        <v/>
      </c>
      <c r="HE61" s="9" t="str">
        <f t="shared" ca="1" si="48"/>
        <v/>
      </c>
      <c r="HF61" s="9" t="str">
        <f t="shared" ca="1" si="48"/>
        <v/>
      </c>
      <c r="HG61" s="9" t="str">
        <f t="shared" ca="1" si="48"/>
        <v/>
      </c>
      <c r="HH61" s="9" t="str">
        <f t="shared" ca="1" si="48"/>
        <v/>
      </c>
      <c r="HI61" s="9" t="str">
        <f t="shared" ca="1" si="48"/>
        <v/>
      </c>
      <c r="HJ61" s="9" t="str">
        <f t="shared" ca="1" si="48"/>
        <v/>
      </c>
      <c r="HK61" s="9" t="str">
        <f t="shared" ca="1" si="48"/>
        <v/>
      </c>
      <c r="HL61" s="9" t="str">
        <f t="shared" ca="1" si="48"/>
        <v/>
      </c>
      <c r="HM61" s="9" t="str">
        <f t="shared" ca="1" si="48"/>
        <v/>
      </c>
      <c r="HN61" s="9" t="str">
        <f t="shared" ca="1" si="48"/>
        <v/>
      </c>
      <c r="HO61" s="9" t="str">
        <f t="shared" ca="1" si="48"/>
        <v/>
      </c>
      <c r="HP61" s="9" t="str">
        <f t="shared" ca="1" si="48"/>
        <v/>
      </c>
      <c r="HQ61" s="9" t="str">
        <f t="shared" ca="1" si="48"/>
        <v/>
      </c>
      <c r="HR61" s="9" t="str">
        <f t="shared" ca="1" si="48"/>
        <v/>
      </c>
      <c r="HS61" s="9" t="str">
        <f t="shared" ca="1" si="48"/>
        <v/>
      </c>
      <c r="HT61" s="9" t="str">
        <f t="shared" ca="1" si="48"/>
        <v/>
      </c>
      <c r="HU61" s="9" t="str">
        <f t="shared" ca="1" si="48"/>
        <v/>
      </c>
      <c r="HV61" s="9" t="str">
        <f t="shared" ca="1" si="48"/>
        <v/>
      </c>
      <c r="HW61" s="9" t="str">
        <f t="shared" ca="1" si="48"/>
        <v/>
      </c>
      <c r="HX61" s="9" t="str">
        <f t="shared" ca="1" si="48"/>
        <v/>
      </c>
      <c r="HY61" s="9" t="str">
        <f t="shared" ca="1" si="48"/>
        <v/>
      </c>
      <c r="HZ61" s="9" t="str">
        <f t="shared" ca="1" si="48"/>
        <v/>
      </c>
      <c r="IA61" s="9" t="str">
        <f t="shared" ca="1" si="48"/>
        <v/>
      </c>
      <c r="IB61" s="9" t="str">
        <f t="shared" ca="1" si="48"/>
        <v/>
      </c>
      <c r="IC61" s="9" t="str">
        <f t="shared" ca="1" si="48"/>
        <v/>
      </c>
      <c r="ID61" s="9" t="str">
        <f t="shared" ca="1" si="48"/>
        <v/>
      </c>
      <c r="IE61" s="9" t="str">
        <f t="shared" ca="1" si="48"/>
        <v/>
      </c>
      <c r="IF61" s="9" t="str">
        <f t="shared" ca="1" si="48"/>
        <v/>
      </c>
      <c r="IG61" s="9" t="str">
        <f t="shared" ca="1" si="48"/>
        <v/>
      </c>
      <c r="IH61" s="9" t="str">
        <f t="shared" ca="1" si="48"/>
        <v/>
      </c>
      <c r="II61" s="9" t="str">
        <f t="shared" ca="1" si="48"/>
        <v/>
      </c>
      <c r="IJ61" s="9" t="str">
        <f t="shared" ca="1" si="48"/>
        <v/>
      </c>
      <c r="IK61" s="9" t="str">
        <f t="shared" ca="1" si="48"/>
        <v/>
      </c>
      <c r="IL61" s="9" t="str">
        <f t="shared" ca="1" si="48"/>
        <v/>
      </c>
      <c r="IM61" s="9" t="str">
        <f t="shared" ca="1" si="48"/>
        <v/>
      </c>
      <c r="IN61" s="9" t="str">
        <f t="shared" ca="1" si="48"/>
        <v/>
      </c>
      <c r="IO61" s="9" t="str">
        <f t="shared" ca="1" si="48"/>
        <v/>
      </c>
      <c r="IP61" s="9" t="str">
        <f t="shared" ca="1" si="48"/>
        <v/>
      </c>
      <c r="IQ61" s="9" t="str">
        <f t="shared" ca="1" si="48"/>
        <v/>
      </c>
      <c r="IR61" s="9" t="str">
        <f t="shared" ca="1" si="48"/>
        <v/>
      </c>
      <c r="IS61" s="9" t="str">
        <f t="shared" ca="1" si="48"/>
        <v/>
      </c>
      <c r="IT61" s="9" t="str">
        <f t="shared" ca="1" si="48"/>
        <v/>
      </c>
      <c r="IU61" s="9" t="str">
        <f t="shared" ca="1" si="48"/>
        <v/>
      </c>
      <c r="IV61" s="9" t="str">
        <f t="shared" ca="1" si="48"/>
        <v/>
      </c>
      <c r="IW61" s="9" t="str">
        <f t="shared" ca="1" si="48"/>
        <v/>
      </c>
      <c r="IX61" s="9" t="str">
        <f t="shared" ref="IX61:JH61" ca="1" si="49">IF(IX34="","",ABS(IX34))</f>
        <v/>
      </c>
      <c r="IY61" s="9" t="str">
        <f t="shared" ca="1" si="49"/>
        <v/>
      </c>
      <c r="IZ61" s="9" t="str">
        <f t="shared" ca="1" si="49"/>
        <v/>
      </c>
      <c r="JA61" s="9" t="str">
        <f t="shared" ca="1" si="49"/>
        <v/>
      </c>
      <c r="JB61" s="9" t="str">
        <f t="shared" ca="1" si="49"/>
        <v/>
      </c>
      <c r="JC61" s="9" t="str">
        <f t="shared" ca="1" si="49"/>
        <v/>
      </c>
      <c r="JD61" s="9" t="str">
        <f t="shared" ca="1" si="49"/>
        <v/>
      </c>
      <c r="JE61" s="9" t="str">
        <f t="shared" ca="1" si="49"/>
        <v/>
      </c>
      <c r="JF61" s="9" t="str">
        <f t="shared" ca="1" si="49"/>
        <v/>
      </c>
      <c r="JG61" s="9" t="str">
        <f t="shared" ca="1" si="49"/>
        <v/>
      </c>
      <c r="JH61" s="9" t="str">
        <f t="shared" ca="1" si="49"/>
        <v/>
      </c>
      <c r="JI61" s="13">
        <f t="shared" ca="1" si="24"/>
        <v>1.672775876620337E-2</v>
      </c>
      <c r="JJ61" s="13">
        <f t="shared" ca="1" si="25"/>
        <v>4.8744328300947548E-3</v>
      </c>
      <c r="JK61" s="14">
        <f t="shared" ca="1" si="26"/>
        <v>4.170934245368653E-4</v>
      </c>
      <c r="JL61" s="17">
        <f t="shared" ca="1" si="34"/>
        <v>2.0422865238180106E-2</v>
      </c>
      <c r="JM61" s="15" t="str">
        <f t="shared" ca="1" si="27"/>
        <v>[ -2,41% ; 5,76% ]</v>
      </c>
      <c r="JN61" s="17">
        <f t="shared" ca="1" si="28"/>
        <v>2.6141267504870537E-2</v>
      </c>
      <c r="LY61" s="1"/>
    </row>
    <row r="62" spans="1:337" x14ac:dyDescent="0.25">
      <c r="A62" s="4">
        <v>6</v>
      </c>
      <c r="B62" s="9">
        <f t="shared" ref="B62:BM62" ca="1" si="50">IF(B35="","",ABS(B35))</f>
        <v>1.8431066850870259E-3</v>
      </c>
      <c r="C62" s="9">
        <f t="shared" ca="1" si="50"/>
        <v>1.4405797537915266E-3</v>
      </c>
      <c r="D62" s="9">
        <f t="shared" ca="1" si="50"/>
        <v>1.770235851345392E-3</v>
      </c>
      <c r="E62" s="9">
        <f t="shared" ca="1" si="50"/>
        <v>1.5740755833777431E-3</v>
      </c>
      <c r="F62" s="9">
        <f t="shared" ca="1" si="50"/>
        <v>5.0527680640077843E-4</v>
      </c>
      <c r="G62" s="9">
        <f t="shared" ca="1" si="50"/>
        <v>3.1291795165211411E-4</v>
      </c>
      <c r="H62" s="9">
        <f t="shared" ca="1" si="50"/>
        <v>7.342811713701991E-4</v>
      </c>
      <c r="I62" s="9">
        <f t="shared" ca="1" si="50"/>
        <v>1.3132035346304916E-3</v>
      </c>
      <c r="J62" s="9">
        <f t="shared" ca="1" si="50"/>
        <v>2.8971569886092619E-3</v>
      </c>
      <c r="K62" s="9">
        <f t="shared" ca="1" si="50"/>
        <v>1.630636033344901E-3</v>
      </c>
      <c r="L62" s="9">
        <f t="shared" ca="1" si="50"/>
        <v>2.9260385030008829E-3</v>
      </c>
      <c r="M62" s="9">
        <f t="shared" ca="1" si="50"/>
        <v>6.2179213872520789E-3</v>
      </c>
      <c r="N62" s="9">
        <f t="shared" ca="1" si="50"/>
        <v>1.410789343248553E-2</v>
      </c>
      <c r="O62" s="9">
        <f t="shared" ca="1" si="50"/>
        <v>1.8603076346968117E-2</v>
      </c>
      <c r="P62" s="9">
        <f t="shared" ca="1" si="50"/>
        <v>2.0757488830226767E-2</v>
      </c>
      <c r="Q62" s="9">
        <f t="shared" ca="1" si="50"/>
        <v>2.3697579747027908E-2</v>
      </c>
      <c r="R62" s="9">
        <f t="shared" ca="1" si="50"/>
        <v>2.3856902971591931E-2</v>
      </c>
      <c r="S62" s="9">
        <f t="shared" ca="1" si="50"/>
        <v>2.0535646541479324E-2</v>
      </c>
      <c r="T62" s="9">
        <f t="shared" ca="1" si="50"/>
        <v>1.1152251991282669E-2</v>
      </c>
      <c r="U62" s="9">
        <f t="shared" ca="1" si="50"/>
        <v>3.2538597924109958E-3</v>
      </c>
      <c r="V62" s="9">
        <f t="shared" ca="1" si="50"/>
        <v>7.0345770947100039E-3</v>
      </c>
      <c r="W62" s="9">
        <f t="shared" ca="1" si="50"/>
        <v>9.7328198156159118E-3</v>
      </c>
      <c r="X62" s="9">
        <f t="shared" ca="1" si="50"/>
        <v>7.6155802865727207E-3</v>
      </c>
      <c r="Y62" s="9">
        <f t="shared" ca="1" si="50"/>
        <v>5.165087021609116E-3</v>
      </c>
      <c r="Z62" s="9">
        <f t="shared" ca="1" si="50"/>
        <v>7.8984268711101979E-3</v>
      </c>
      <c r="AA62" s="9">
        <f t="shared" ca="1" si="50"/>
        <v>1.118248335067773E-2</v>
      </c>
      <c r="AB62" s="9">
        <f t="shared" ca="1" si="50"/>
        <v>1.0322802017984634E-2</v>
      </c>
      <c r="AC62" s="9">
        <f t="shared" ca="1" si="50"/>
        <v>1.539311557054579E-2</v>
      </c>
      <c r="AD62" s="9">
        <f t="shared" ca="1" si="50"/>
        <v>1.1509848835490111E-2</v>
      </c>
      <c r="AE62" s="9">
        <f t="shared" ca="1" si="50"/>
        <v>6.0986720302398378E-3</v>
      </c>
      <c r="AF62" s="9">
        <f t="shared" ca="1" si="50"/>
        <v>3.7593330658114432E-4</v>
      </c>
      <c r="AG62" s="9">
        <f t="shared" ca="1" si="50"/>
        <v>3.0193166460269483E-3</v>
      </c>
      <c r="AH62" s="9">
        <f t="shared" ca="1" si="50"/>
        <v>1.2086602199282037E-2</v>
      </c>
      <c r="AI62" s="9">
        <f t="shared" ca="1" si="50"/>
        <v>5.0057791183183431E-3</v>
      </c>
      <c r="AJ62" s="9">
        <f t="shared" ca="1" si="50"/>
        <v>2.4549345300052261E-3</v>
      </c>
      <c r="AK62" s="9">
        <f t="shared" ca="1" si="50"/>
        <v>1.9838406427721278E-3</v>
      </c>
      <c r="AL62" s="9">
        <f t="shared" ca="1" si="50"/>
        <v>5.075325685385268E-3</v>
      </c>
      <c r="AM62" s="9">
        <f t="shared" ca="1" si="50"/>
        <v>9.6833278669568035E-3</v>
      </c>
      <c r="AN62" s="9">
        <f t="shared" ca="1" si="50"/>
        <v>1.118700849264509E-2</v>
      </c>
      <c r="AO62" s="9">
        <f t="shared" ca="1" si="50"/>
        <v>1.3649004145478205E-2</v>
      </c>
      <c r="AP62" s="9">
        <f t="shared" ca="1" si="50"/>
        <v>6.16041294634595E-3</v>
      </c>
      <c r="AQ62" s="9">
        <f t="shared" ca="1" si="50"/>
        <v>7.3711533901865689E-3</v>
      </c>
      <c r="AR62" s="9">
        <f t="shared" ca="1" si="50"/>
        <v>2.4013851387603147E-3</v>
      </c>
      <c r="AS62" s="9">
        <f t="shared" ca="1" si="50"/>
        <v>4.5216230568330129E-3</v>
      </c>
      <c r="AT62" s="9">
        <f t="shared" ca="1" si="50"/>
        <v>2.085694933207316E-3</v>
      </c>
      <c r="AU62" s="9">
        <f t="shared" ca="1" si="50"/>
        <v>7.8580359272084621E-3</v>
      </c>
      <c r="AV62" s="9">
        <f t="shared" ca="1" si="50"/>
        <v>1.2864823883493859E-2</v>
      </c>
      <c r="AW62" s="9">
        <f t="shared" ca="1" si="50"/>
        <v>1.5967052265133175E-2</v>
      </c>
      <c r="AX62" s="9">
        <f t="shared" ca="1" si="50"/>
        <v>2.3237527437265815E-2</v>
      </c>
      <c r="AY62" s="9">
        <f t="shared" ca="1" si="50"/>
        <v>2.5017405704078399E-2</v>
      </c>
      <c r="AZ62" s="9">
        <f t="shared" ca="1" si="50"/>
        <v>2.5898009414326406E-2</v>
      </c>
      <c r="BA62" s="9">
        <f t="shared" ca="1" si="50"/>
        <v>2.4674505846935535E-2</v>
      </c>
      <c r="BB62" s="9">
        <f t="shared" ca="1" si="50"/>
        <v>2.8630637265455228E-2</v>
      </c>
      <c r="BC62" s="9">
        <f t="shared" ca="1" si="50"/>
        <v>3.1743367002279976E-2</v>
      </c>
      <c r="BD62" s="9">
        <f t="shared" ca="1" si="50"/>
        <v>2.4159998361774848E-2</v>
      </c>
      <c r="BE62" s="9">
        <f t="shared" ca="1" si="50"/>
        <v>3.3283678341455625E-2</v>
      </c>
      <c r="BF62" s="9">
        <f t="shared" ca="1" si="50"/>
        <v>4.5411237480424971E-2</v>
      </c>
      <c r="BG62" s="9">
        <f t="shared" ca="1" si="50"/>
        <v>3.555794732908435E-2</v>
      </c>
      <c r="BH62" s="9">
        <f t="shared" ca="1" si="50"/>
        <v>1.6000296743823084E-2</v>
      </c>
      <c r="BI62" s="9">
        <f t="shared" ca="1" si="50"/>
        <v>1.0123042076028321E-2</v>
      </c>
      <c r="BJ62" s="9">
        <f t="shared" ca="1" si="50"/>
        <v>6.496799058717917E-3</v>
      </c>
      <c r="BK62" s="9">
        <f t="shared" ca="1" si="50"/>
        <v>1.1376191581443651E-2</v>
      </c>
      <c r="BL62" s="9">
        <f t="shared" ca="1" si="50"/>
        <v>2.9370674932696184E-2</v>
      </c>
      <c r="BM62" s="9">
        <f t="shared" ca="1" si="50"/>
        <v>3.5636432844569521E-2</v>
      </c>
      <c r="BN62" s="9">
        <f t="shared" ref="BN62:DY62" ca="1" si="51">IF(BN35="","",ABS(BN35))</f>
        <v>2.3603936566654271E-2</v>
      </c>
      <c r="BO62" s="9">
        <f t="shared" ca="1" si="51"/>
        <v>1.106287425705843E-2</v>
      </c>
      <c r="BP62" s="9">
        <f t="shared" ca="1" si="51"/>
        <v>1.4493790801100692E-2</v>
      </c>
      <c r="BQ62" s="9">
        <f t="shared" ca="1" si="51"/>
        <v>1.7257908053150417E-2</v>
      </c>
      <c r="BR62" s="9">
        <f t="shared" ca="1" si="51"/>
        <v>2.8333869287795466E-3</v>
      </c>
      <c r="BS62" s="9">
        <f t="shared" ca="1" si="51"/>
        <v>9.245821651903241E-3</v>
      </c>
      <c r="BT62" s="9">
        <f t="shared" ca="1" si="51"/>
        <v>8.3467227040912029E-3</v>
      </c>
      <c r="BU62" s="9">
        <f t="shared" ca="1" si="51"/>
        <v>4.8072130781962041E-3</v>
      </c>
      <c r="BV62" s="9">
        <f t="shared" ca="1" si="51"/>
        <v>7.8496015427373944E-3</v>
      </c>
      <c r="BW62" s="9">
        <f t="shared" ca="1" si="51"/>
        <v>6.9007915928342989E-4</v>
      </c>
      <c r="BX62" s="9">
        <f t="shared" ca="1" si="51"/>
        <v>4.3746300547752304E-3</v>
      </c>
      <c r="BY62" s="9">
        <f t="shared" ca="1" si="51"/>
        <v>7.1126019729144119E-3</v>
      </c>
      <c r="BZ62" s="9">
        <f t="shared" ca="1" si="51"/>
        <v>4.3265707809880816E-4</v>
      </c>
      <c r="CA62" s="9">
        <f t="shared" ca="1" si="51"/>
        <v>5.2122624205674928E-4</v>
      </c>
      <c r="CB62" s="9">
        <f t="shared" ca="1" si="51"/>
        <v>4.4861707771558512E-3</v>
      </c>
      <c r="CC62" s="9">
        <f t="shared" ca="1" si="51"/>
        <v>8.4186202985521152E-3</v>
      </c>
      <c r="CD62" s="9">
        <f t="shared" ca="1" si="51"/>
        <v>4.0506373829141129E-3</v>
      </c>
      <c r="CE62" s="9">
        <f t="shared" ca="1" si="51"/>
        <v>3.7415620792968785E-3</v>
      </c>
      <c r="CF62" s="9">
        <f t="shared" ca="1" si="51"/>
        <v>1.0034528670874732E-3</v>
      </c>
      <c r="CG62" s="9">
        <f t="shared" ca="1" si="51"/>
        <v>1.8213970000806601E-3</v>
      </c>
      <c r="CH62" s="9">
        <f t="shared" ca="1" si="51"/>
        <v>6.7844546342392675E-3</v>
      </c>
      <c r="CI62" s="9">
        <f t="shared" ca="1" si="51"/>
        <v>9.1468534210863428E-3</v>
      </c>
      <c r="CJ62" s="9">
        <f t="shared" ca="1" si="51"/>
        <v>9.5145523329031034E-3</v>
      </c>
      <c r="CK62" s="9">
        <f t="shared" ca="1" si="51"/>
        <v>4.3300736567011278E-3</v>
      </c>
      <c r="CL62" s="9">
        <f t="shared" ca="1" si="51"/>
        <v>1.298787073133667E-2</v>
      </c>
      <c r="CM62" s="9">
        <f t="shared" ca="1" si="51"/>
        <v>1.261074464234424E-2</v>
      </c>
      <c r="CN62" s="9">
        <f t="shared" ca="1" si="51"/>
        <v>2.3774624415486834E-3</v>
      </c>
      <c r="CO62" s="9">
        <f t="shared" ca="1" si="51"/>
        <v>6.6998316548283476E-3</v>
      </c>
      <c r="CP62" s="9">
        <f t="shared" ca="1" si="51"/>
        <v>1.2389288223840333E-2</v>
      </c>
      <c r="CQ62" s="9">
        <f t="shared" ca="1" si="51"/>
        <v>1.1113867926525245E-2</v>
      </c>
      <c r="CR62" s="9">
        <f t="shared" ca="1" si="51"/>
        <v>1.5786401803887795E-3</v>
      </c>
      <c r="CS62" s="9">
        <f t="shared" ca="1" si="51"/>
        <v>1.2932761365185286E-3</v>
      </c>
      <c r="CT62" s="9">
        <f t="shared" ca="1" si="51"/>
        <v>1.444419519122242E-2</v>
      </c>
      <c r="CU62" s="9">
        <f t="shared" ca="1" si="51"/>
        <v>3.85209687363397E-3</v>
      </c>
      <c r="CV62" s="9">
        <f t="shared" ca="1" si="51"/>
        <v>2.3135115368261294E-3</v>
      </c>
      <c r="CW62" s="9">
        <f t="shared" ca="1" si="51"/>
        <v>5.8762033029768901E-4</v>
      </c>
      <c r="CX62" s="9">
        <f t="shared" ca="1" si="51"/>
        <v>3.804590402625041E-3</v>
      </c>
      <c r="CY62" s="9">
        <f t="shared" ca="1" si="51"/>
        <v>5.0448061425565349E-3</v>
      </c>
      <c r="CZ62" s="9">
        <f t="shared" ca="1" si="51"/>
        <v>1.9868917718642853E-2</v>
      </c>
      <c r="DA62" s="9">
        <f t="shared" ca="1" si="51"/>
        <v>5.8889133100279434E-3</v>
      </c>
      <c r="DB62" s="9">
        <f t="shared" ca="1" si="51"/>
        <v>1.265189965605118E-2</v>
      </c>
      <c r="DC62" s="9">
        <f t="shared" ca="1" si="51"/>
        <v>8.0095594877795939E-3</v>
      </c>
      <c r="DD62" s="9">
        <f t="shared" ca="1" si="51"/>
        <v>5.3592237650288421E-3</v>
      </c>
      <c r="DE62" s="9">
        <f t="shared" ca="1" si="51"/>
        <v>2.3066455764161553E-2</v>
      </c>
      <c r="DF62" s="9">
        <f t="shared" ca="1" si="51"/>
        <v>1.5268655752425198E-2</v>
      </c>
      <c r="DG62" s="9">
        <f t="shared" ca="1" si="51"/>
        <v>7.7347053498306728E-3</v>
      </c>
      <c r="DH62" s="9">
        <f t="shared" ca="1" si="51"/>
        <v>9.8353261470515152E-3</v>
      </c>
      <c r="DI62" s="9">
        <f t="shared" ca="1" si="51"/>
        <v>9.5465902598352859E-3</v>
      </c>
      <c r="DJ62" s="9">
        <f t="shared" ca="1" si="51"/>
        <v>1.3680711200045659E-2</v>
      </c>
      <c r="DK62" s="9">
        <f t="shared" ca="1" si="51"/>
        <v>1.1607348281045038E-2</v>
      </c>
      <c r="DL62" s="9">
        <f t="shared" ca="1" si="51"/>
        <v>2.3794225604516162E-2</v>
      </c>
      <c r="DM62" s="9">
        <f t="shared" ca="1" si="51"/>
        <v>2.8016617998801951E-2</v>
      </c>
      <c r="DN62" s="9">
        <f t="shared" ca="1" si="51"/>
        <v>2.1565253843228382E-2</v>
      </c>
      <c r="DO62" s="9">
        <f t="shared" ca="1" si="51"/>
        <v>1.7849117883929733E-2</v>
      </c>
      <c r="DP62" s="9">
        <f t="shared" ca="1" si="51"/>
        <v>9.1041346606312024E-3</v>
      </c>
      <c r="DQ62" s="9">
        <f t="shared" ca="1" si="51"/>
        <v>1.2057370753184027E-2</v>
      </c>
      <c r="DR62" s="9">
        <f t="shared" ca="1" si="51"/>
        <v>2.5731660587537952E-3</v>
      </c>
      <c r="DS62" s="9">
        <f t="shared" ca="1" si="51"/>
        <v>4.5967752780264881E-3</v>
      </c>
      <c r="DT62" s="9">
        <f t="shared" ca="1" si="51"/>
        <v>4.9316739402208709E-3</v>
      </c>
      <c r="DU62" s="9">
        <f t="shared" ca="1" si="51"/>
        <v>6.1510992669131515E-3</v>
      </c>
      <c r="DV62" s="9">
        <f t="shared" ca="1" si="51"/>
        <v>3.373245401798286E-3</v>
      </c>
      <c r="DW62" s="9">
        <f t="shared" ca="1" si="51"/>
        <v>8.2756644197923279E-4</v>
      </c>
      <c r="DX62" s="9">
        <f t="shared" ca="1" si="51"/>
        <v>9.3328422879890294E-3</v>
      </c>
      <c r="DY62" s="9">
        <f t="shared" ca="1" si="51"/>
        <v>7.5487478867003466E-3</v>
      </c>
      <c r="DZ62" s="9">
        <f t="shared" ref="DZ62:GK62" ca="1" si="52">IF(DZ35="","",ABS(DZ35))</f>
        <v>1.3105071173603822E-2</v>
      </c>
      <c r="EA62" s="9">
        <f t="shared" ca="1" si="52"/>
        <v>1.1746283029766991E-2</v>
      </c>
      <c r="EB62" s="9">
        <f t="shared" ca="1" si="52"/>
        <v>1.8805893113797434E-2</v>
      </c>
      <c r="EC62" s="9">
        <f t="shared" ca="1" si="52"/>
        <v>6.4534277608269131E-3</v>
      </c>
      <c r="ED62" s="9">
        <f t="shared" ca="1" si="52"/>
        <v>1.1753212580871697E-3</v>
      </c>
      <c r="EE62" s="9">
        <f t="shared" ca="1" si="52"/>
        <v>1.0293161211054724E-2</v>
      </c>
      <c r="EF62" s="9">
        <f t="shared" ca="1" si="52"/>
        <v>2.8354006884896421E-3</v>
      </c>
      <c r="EG62" s="9">
        <f t="shared" ca="1" si="52"/>
        <v>1.3147611853411956E-2</v>
      </c>
      <c r="EH62" s="9">
        <f t="shared" ca="1" si="52"/>
        <v>1.6002812735234739E-2</v>
      </c>
      <c r="EI62" s="9">
        <f t="shared" ca="1" si="52"/>
        <v>1.3808406765229986E-2</v>
      </c>
      <c r="EJ62" s="9">
        <f t="shared" ca="1" si="52"/>
        <v>2.2061963452837396E-3</v>
      </c>
      <c r="EK62" s="9">
        <f t="shared" ca="1" si="52"/>
        <v>1.4101953508782739E-3</v>
      </c>
      <c r="EL62" s="9">
        <f t="shared" ca="1" si="52"/>
        <v>9.7908499615081412E-3</v>
      </c>
      <c r="EM62" s="9">
        <f t="shared" ca="1" si="52"/>
        <v>3.9509014745217064E-3</v>
      </c>
      <c r="EN62" s="9">
        <f t="shared" ca="1" si="52"/>
        <v>2.6260015360702882E-3</v>
      </c>
      <c r="EO62" s="9">
        <f t="shared" ca="1" si="52"/>
        <v>9.7588061286213446E-4</v>
      </c>
      <c r="EP62" s="9">
        <f t="shared" ca="1" si="52"/>
        <v>1.6168002035439333E-3</v>
      </c>
      <c r="EQ62" s="9">
        <f t="shared" ca="1" si="52"/>
        <v>4.4964977264002615E-3</v>
      </c>
      <c r="ER62" s="9">
        <f t="shared" ca="1" si="52"/>
        <v>5.5907803650441235E-3</v>
      </c>
      <c r="ES62" s="9">
        <f t="shared" ca="1" si="52"/>
        <v>3.2059973717877277E-3</v>
      </c>
      <c r="ET62" s="9">
        <f t="shared" ca="1" si="52"/>
        <v>6.6724587872644125E-3</v>
      </c>
      <c r="EU62" s="9">
        <f t="shared" ca="1" si="52"/>
        <v>3.3535219661577909E-3</v>
      </c>
      <c r="EV62" s="9">
        <f t="shared" ca="1" si="52"/>
        <v>3.7336893274817484E-3</v>
      </c>
      <c r="EW62" s="9">
        <f t="shared" ca="1" si="52"/>
        <v>1.4936188620937596E-3</v>
      </c>
      <c r="EX62" s="9">
        <f t="shared" ca="1" si="52"/>
        <v>7.8600291679206125E-3</v>
      </c>
      <c r="EY62" s="9">
        <f t="shared" ca="1" si="52"/>
        <v>8.0773631888566566E-3</v>
      </c>
      <c r="EZ62" s="9">
        <f t="shared" ca="1" si="52"/>
        <v>5.9653773410706101E-4</v>
      </c>
      <c r="FA62" s="9">
        <f t="shared" ca="1" si="52"/>
        <v>1.0952752549243994E-2</v>
      </c>
      <c r="FB62" s="9">
        <f t="shared" ca="1" si="52"/>
        <v>9.4081406411627988E-3</v>
      </c>
      <c r="FC62" s="9">
        <f t="shared" ca="1" si="52"/>
        <v>5.3701399575628583E-3</v>
      </c>
      <c r="FD62" s="9">
        <f t="shared" ca="1" si="52"/>
        <v>1.8018156417336506E-3</v>
      </c>
      <c r="FE62" s="9">
        <f t="shared" ca="1" si="52"/>
        <v>2.8073132620580754E-3</v>
      </c>
      <c r="FF62" s="9">
        <f t="shared" ca="1" si="52"/>
        <v>9.5516897665384182E-3</v>
      </c>
      <c r="FG62" s="9">
        <f t="shared" ca="1" si="52"/>
        <v>7.8617038938626482E-3</v>
      </c>
      <c r="FH62" s="9">
        <f t="shared" ca="1" si="52"/>
        <v>4.591400173717286E-3</v>
      </c>
      <c r="FI62" s="9">
        <f t="shared" ca="1" si="52"/>
        <v>2.3855867777878847E-3</v>
      </c>
      <c r="FJ62" s="9">
        <f t="shared" ca="1" si="52"/>
        <v>8.8366711179367341E-3</v>
      </c>
      <c r="FK62" s="9">
        <f t="shared" ca="1" si="52"/>
        <v>3.0659982607142977E-3</v>
      </c>
      <c r="FL62" s="9">
        <f t="shared" ca="1" si="52"/>
        <v>1.2892072764885132E-3</v>
      </c>
      <c r="FM62" s="9">
        <f t="shared" ca="1" si="52"/>
        <v>1.0523075982926677E-4</v>
      </c>
      <c r="FN62" s="9">
        <f t="shared" ca="1" si="52"/>
        <v>4.9169287742863999E-3</v>
      </c>
      <c r="FO62" s="9">
        <f t="shared" ca="1" si="52"/>
        <v>1.5558972147549088E-3</v>
      </c>
      <c r="FP62" s="9">
        <f t="shared" ca="1" si="52"/>
        <v>3.5804606983078635E-3</v>
      </c>
      <c r="FQ62" s="9">
        <f t="shared" ca="1" si="52"/>
        <v>4.2335172236618313E-4</v>
      </c>
      <c r="FR62" s="9">
        <f t="shared" ca="1" si="52"/>
        <v>3.6001546112135463E-3</v>
      </c>
      <c r="FS62" s="9">
        <f t="shared" ca="1" si="52"/>
        <v>5.6139183359800171E-3</v>
      </c>
      <c r="FT62" s="9">
        <f t="shared" ca="1" si="52"/>
        <v>3.195519861316054E-3</v>
      </c>
      <c r="FU62" s="9">
        <f t="shared" ca="1" si="52"/>
        <v>3.0280126151835951E-3</v>
      </c>
      <c r="FV62" s="9">
        <f t="shared" ca="1" si="52"/>
        <v>8.2692603667720022E-3</v>
      </c>
      <c r="FW62" s="9">
        <f t="shared" ca="1" si="52"/>
        <v>6.1811129591138325E-3</v>
      </c>
      <c r="FX62" s="9">
        <f t="shared" ca="1" si="52"/>
        <v>4.8978575022777804E-3</v>
      </c>
      <c r="FY62" s="9">
        <f t="shared" ca="1" si="52"/>
        <v>4.9531355952470157E-3</v>
      </c>
      <c r="FZ62" s="9">
        <f t="shared" ca="1" si="52"/>
        <v>2.7131694635291748E-3</v>
      </c>
      <c r="GA62" s="9">
        <f t="shared" ca="1" si="52"/>
        <v>1.4652001500382594E-3</v>
      </c>
      <c r="GB62" s="9">
        <f t="shared" ca="1" si="52"/>
        <v>1.1215783900095921E-3</v>
      </c>
      <c r="GC62" s="9">
        <f t="shared" ca="1" si="52"/>
        <v>5.953694274222654E-3</v>
      </c>
      <c r="GD62" s="9">
        <f t="shared" ca="1" si="52"/>
        <v>6.7288634965274596E-3</v>
      </c>
      <c r="GE62" s="9">
        <f t="shared" ca="1" si="52"/>
        <v>5.3507658941380765E-3</v>
      </c>
      <c r="GF62" s="9">
        <f t="shared" ca="1" si="52"/>
        <v>5.516613511820978E-3</v>
      </c>
      <c r="GG62" s="9">
        <f t="shared" ca="1" si="52"/>
        <v>2.6671282723063072E-3</v>
      </c>
      <c r="GH62" s="9">
        <f t="shared" ca="1" si="52"/>
        <v>1.6594380441288248E-3</v>
      </c>
      <c r="GI62" s="9">
        <f t="shared" ca="1" si="52"/>
        <v>1.7581020500416322E-2</v>
      </c>
      <c r="GJ62" s="9">
        <f t="shared" ca="1" si="52"/>
        <v>6.2272789840552845E-2</v>
      </c>
      <c r="GK62" s="9">
        <f t="shared" ca="1" si="52"/>
        <v>6.4422381136076456E-2</v>
      </c>
      <c r="GL62" s="9">
        <f t="shared" ref="GL62:IW62" ca="1" si="53">IF(GL35="","",ABS(GL35))</f>
        <v>6.1616028258418609E-2</v>
      </c>
      <c r="GM62" s="9">
        <f t="shared" ca="1" si="53"/>
        <v>4.8385877825735557E-2</v>
      </c>
      <c r="GN62" s="9">
        <f t="shared" ca="1" si="53"/>
        <v>4.6684820061223986E-2</v>
      </c>
      <c r="GO62" s="9">
        <f t="shared" ca="1" si="53"/>
        <v>1.1721638762845599E-2</v>
      </c>
      <c r="GP62" s="9">
        <f t="shared" ca="1" si="53"/>
        <v>4.8161573691276161E-2</v>
      </c>
      <c r="GQ62" s="9">
        <f t="shared" ca="1" si="53"/>
        <v>5.5158386908226609E-2</v>
      </c>
      <c r="GR62" s="9">
        <f t="shared" ca="1" si="53"/>
        <v>4.4385590987608192E-2</v>
      </c>
      <c r="GS62" s="9">
        <f t="shared" ca="1" si="53"/>
        <v>2.6610484795135059E-2</v>
      </c>
      <c r="GT62" s="9" t="str">
        <f t="shared" ca="1" si="53"/>
        <v/>
      </c>
      <c r="GU62" s="9" t="str">
        <f t="shared" ca="1" si="53"/>
        <v/>
      </c>
      <c r="GV62" s="9" t="str">
        <f t="shared" ca="1" si="53"/>
        <v/>
      </c>
      <c r="GW62" s="9" t="str">
        <f t="shared" ca="1" si="53"/>
        <v/>
      </c>
      <c r="GX62" s="9" t="str">
        <f t="shared" ca="1" si="53"/>
        <v/>
      </c>
      <c r="GY62" s="9" t="str">
        <f t="shared" ca="1" si="53"/>
        <v/>
      </c>
      <c r="GZ62" s="9" t="str">
        <f t="shared" ca="1" si="53"/>
        <v/>
      </c>
      <c r="HA62" s="9" t="str">
        <f t="shared" ca="1" si="53"/>
        <v/>
      </c>
      <c r="HB62" s="9" t="str">
        <f t="shared" ca="1" si="53"/>
        <v/>
      </c>
      <c r="HC62" s="9" t="str">
        <f t="shared" ca="1" si="53"/>
        <v/>
      </c>
      <c r="HD62" s="9" t="str">
        <f t="shared" ca="1" si="53"/>
        <v/>
      </c>
      <c r="HE62" s="9" t="str">
        <f t="shared" ca="1" si="53"/>
        <v/>
      </c>
      <c r="HF62" s="9" t="str">
        <f t="shared" ca="1" si="53"/>
        <v/>
      </c>
      <c r="HG62" s="9" t="str">
        <f t="shared" ca="1" si="53"/>
        <v/>
      </c>
      <c r="HH62" s="9" t="str">
        <f t="shared" ca="1" si="53"/>
        <v/>
      </c>
      <c r="HI62" s="9" t="str">
        <f t="shared" ca="1" si="53"/>
        <v/>
      </c>
      <c r="HJ62" s="9" t="str">
        <f t="shared" ca="1" si="53"/>
        <v/>
      </c>
      <c r="HK62" s="9" t="str">
        <f t="shared" ca="1" si="53"/>
        <v/>
      </c>
      <c r="HL62" s="9" t="str">
        <f t="shared" ca="1" si="53"/>
        <v/>
      </c>
      <c r="HM62" s="9" t="str">
        <f t="shared" ca="1" si="53"/>
        <v/>
      </c>
      <c r="HN62" s="9" t="str">
        <f t="shared" ca="1" si="53"/>
        <v/>
      </c>
      <c r="HO62" s="9" t="str">
        <f t="shared" ca="1" si="53"/>
        <v/>
      </c>
      <c r="HP62" s="9" t="str">
        <f t="shared" ca="1" si="53"/>
        <v/>
      </c>
      <c r="HQ62" s="9" t="str">
        <f t="shared" ca="1" si="53"/>
        <v/>
      </c>
      <c r="HR62" s="9" t="str">
        <f t="shared" ca="1" si="53"/>
        <v/>
      </c>
      <c r="HS62" s="9" t="str">
        <f t="shared" ca="1" si="53"/>
        <v/>
      </c>
      <c r="HT62" s="9" t="str">
        <f t="shared" ca="1" si="53"/>
        <v/>
      </c>
      <c r="HU62" s="9" t="str">
        <f t="shared" ca="1" si="53"/>
        <v/>
      </c>
      <c r="HV62" s="9" t="str">
        <f t="shared" ca="1" si="53"/>
        <v/>
      </c>
      <c r="HW62" s="9" t="str">
        <f t="shared" ca="1" si="53"/>
        <v/>
      </c>
      <c r="HX62" s="9" t="str">
        <f t="shared" ca="1" si="53"/>
        <v/>
      </c>
      <c r="HY62" s="9" t="str">
        <f t="shared" ca="1" si="53"/>
        <v/>
      </c>
      <c r="HZ62" s="9" t="str">
        <f t="shared" ca="1" si="53"/>
        <v/>
      </c>
      <c r="IA62" s="9" t="str">
        <f t="shared" ca="1" si="53"/>
        <v/>
      </c>
      <c r="IB62" s="9" t="str">
        <f t="shared" ca="1" si="53"/>
        <v/>
      </c>
      <c r="IC62" s="9" t="str">
        <f t="shared" ca="1" si="53"/>
        <v/>
      </c>
      <c r="ID62" s="9" t="str">
        <f t="shared" ca="1" si="53"/>
        <v/>
      </c>
      <c r="IE62" s="9" t="str">
        <f t="shared" ca="1" si="53"/>
        <v/>
      </c>
      <c r="IF62" s="9" t="str">
        <f t="shared" ca="1" si="53"/>
        <v/>
      </c>
      <c r="IG62" s="9" t="str">
        <f t="shared" ca="1" si="53"/>
        <v/>
      </c>
      <c r="IH62" s="9" t="str">
        <f t="shared" ca="1" si="53"/>
        <v/>
      </c>
      <c r="II62" s="9" t="str">
        <f t="shared" ca="1" si="53"/>
        <v/>
      </c>
      <c r="IJ62" s="9" t="str">
        <f t="shared" ca="1" si="53"/>
        <v/>
      </c>
      <c r="IK62" s="9" t="str">
        <f t="shared" ca="1" si="53"/>
        <v/>
      </c>
      <c r="IL62" s="9" t="str">
        <f t="shared" ca="1" si="53"/>
        <v/>
      </c>
      <c r="IM62" s="9" t="str">
        <f t="shared" ca="1" si="53"/>
        <v/>
      </c>
      <c r="IN62" s="9" t="str">
        <f t="shared" ca="1" si="53"/>
        <v/>
      </c>
      <c r="IO62" s="9" t="str">
        <f t="shared" ca="1" si="53"/>
        <v/>
      </c>
      <c r="IP62" s="9" t="str">
        <f t="shared" ca="1" si="53"/>
        <v/>
      </c>
      <c r="IQ62" s="9" t="str">
        <f t="shared" ca="1" si="53"/>
        <v/>
      </c>
      <c r="IR62" s="9" t="str">
        <f t="shared" ca="1" si="53"/>
        <v/>
      </c>
      <c r="IS62" s="9" t="str">
        <f t="shared" ca="1" si="53"/>
        <v/>
      </c>
      <c r="IT62" s="9" t="str">
        <f t="shared" ca="1" si="53"/>
        <v/>
      </c>
      <c r="IU62" s="9" t="str">
        <f t="shared" ca="1" si="53"/>
        <v/>
      </c>
      <c r="IV62" s="9" t="str">
        <f t="shared" ca="1" si="53"/>
        <v/>
      </c>
      <c r="IW62" s="9" t="str">
        <f t="shared" ca="1" si="53"/>
        <v/>
      </c>
      <c r="IX62" s="9" t="str">
        <f t="shared" ref="IX62:JH62" ca="1" si="54">IF(IX35="","",ABS(IX35))</f>
        <v/>
      </c>
      <c r="IY62" s="9" t="str">
        <f t="shared" ca="1" si="54"/>
        <v/>
      </c>
      <c r="IZ62" s="9" t="str">
        <f t="shared" ca="1" si="54"/>
        <v/>
      </c>
      <c r="JA62" s="9" t="str">
        <f t="shared" ca="1" si="54"/>
        <v/>
      </c>
      <c r="JB62" s="9" t="str">
        <f t="shared" ca="1" si="54"/>
        <v/>
      </c>
      <c r="JC62" s="9" t="str">
        <f t="shared" ca="1" si="54"/>
        <v/>
      </c>
      <c r="JD62" s="9" t="str">
        <f t="shared" ca="1" si="54"/>
        <v/>
      </c>
      <c r="JE62" s="9" t="str">
        <f t="shared" ca="1" si="54"/>
        <v/>
      </c>
      <c r="JF62" s="9" t="str">
        <f t="shared" ca="1" si="54"/>
        <v/>
      </c>
      <c r="JG62" s="9" t="str">
        <f t="shared" ca="1" si="54"/>
        <v/>
      </c>
      <c r="JH62" s="9" t="str">
        <f t="shared" ca="1" si="54"/>
        <v/>
      </c>
      <c r="JI62" s="13">
        <f t="shared" ca="1" si="24"/>
        <v>1.9322047166679544E-2</v>
      </c>
      <c r="JJ62" s="13">
        <f t="shared" ca="1" si="25"/>
        <v>5.953694274222654E-3</v>
      </c>
      <c r="JK62" s="14">
        <f t="shared" ca="1" si="26"/>
        <v>4.9602345020158896E-4</v>
      </c>
      <c r="JL62" s="17">
        <f t="shared" ca="1" si="34"/>
        <v>2.2271583917664879E-2</v>
      </c>
      <c r="JM62" s="15" t="str">
        <f t="shared" ca="1" si="27"/>
        <v>[ -2,52% ; 6,39% ]</v>
      </c>
      <c r="JN62" s="17">
        <f t="shared" ca="1" si="28"/>
        <v>2.8507627414611048E-2</v>
      </c>
      <c r="LY62" s="1"/>
    </row>
    <row r="63" spans="1:337" x14ac:dyDescent="0.25">
      <c r="A63" s="4">
        <v>7</v>
      </c>
      <c r="B63" s="9">
        <f t="shared" ref="B63:BM63" ca="1" si="55">IF(B36="","",ABS(B36))</f>
        <v>1.1945213899047236E-3</v>
      </c>
      <c r="C63" s="9">
        <f t="shared" ca="1" si="55"/>
        <v>6.2030125263845548E-4</v>
      </c>
      <c r="D63" s="9">
        <f t="shared" ca="1" si="55"/>
        <v>1.152503955583084E-3</v>
      </c>
      <c r="E63" s="9">
        <f t="shared" ca="1" si="55"/>
        <v>4.2535542840016483E-4</v>
      </c>
      <c r="F63" s="9">
        <f t="shared" ca="1" si="55"/>
        <v>6.5992638080036858E-4</v>
      </c>
      <c r="G63" s="9">
        <f t="shared" ca="1" si="55"/>
        <v>4.4644679096217388E-4</v>
      </c>
      <c r="H63" s="9">
        <f t="shared" ca="1" si="55"/>
        <v>2.9172750246120316E-4</v>
      </c>
      <c r="I63" s="9">
        <f t="shared" ca="1" si="55"/>
        <v>9.3001360848898873E-4</v>
      </c>
      <c r="J63" s="9">
        <f t="shared" ca="1" si="55"/>
        <v>2.4773749928954647E-3</v>
      </c>
      <c r="K63" s="9">
        <f t="shared" ca="1" si="55"/>
        <v>4.1877232348493942E-3</v>
      </c>
      <c r="L63" s="9">
        <f t="shared" ca="1" si="55"/>
        <v>6.5785698004185988E-3</v>
      </c>
      <c r="M63" s="9">
        <f t="shared" ca="1" si="55"/>
        <v>1.3921947317318883E-2</v>
      </c>
      <c r="N63" s="9">
        <f t="shared" ca="1" si="55"/>
        <v>1.9310722431113869E-2</v>
      </c>
      <c r="O63" s="9">
        <f t="shared" ca="1" si="55"/>
        <v>2.0472671866729408E-2</v>
      </c>
      <c r="P63" s="9">
        <f t="shared" ca="1" si="55"/>
        <v>2.3433296761632749E-2</v>
      </c>
      <c r="Q63" s="9">
        <f t="shared" ca="1" si="55"/>
        <v>2.5948111480689762E-2</v>
      </c>
      <c r="R63" s="9">
        <f t="shared" ca="1" si="55"/>
        <v>2.410880765259904E-2</v>
      </c>
      <c r="S63" s="9">
        <f t="shared" ca="1" si="55"/>
        <v>1.9953995181731909E-2</v>
      </c>
      <c r="T63" s="9">
        <f t="shared" ca="1" si="55"/>
        <v>1.1872082340224854E-2</v>
      </c>
      <c r="U63" s="9">
        <f t="shared" ca="1" si="55"/>
        <v>1.5519723749284342E-3</v>
      </c>
      <c r="V63" s="9">
        <f t="shared" ca="1" si="55"/>
        <v>8.6012655327647458E-3</v>
      </c>
      <c r="W63" s="9">
        <f t="shared" ca="1" si="55"/>
        <v>1.0894799727924731E-2</v>
      </c>
      <c r="X63" s="9">
        <f t="shared" ca="1" si="55"/>
        <v>9.9493743599867734E-3</v>
      </c>
      <c r="Y63" s="9">
        <f t="shared" ca="1" si="55"/>
        <v>7.7051624313630995E-3</v>
      </c>
      <c r="Z63" s="9">
        <f t="shared" ca="1" si="55"/>
        <v>1.1019125504008187E-2</v>
      </c>
      <c r="AA63" s="9">
        <f t="shared" ca="1" si="55"/>
        <v>1.5174586936816725E-2</v>
      </c>
      <c r="AB63" s="9">
        <f t="shared" ca="1" si="55"/>
        <v>9.4124839096432211E-3</v>
      </c>
      <c r="AC63" s="9">
        <f t="shared" ca="1" si="55"/>
        <v>1.5205715444226442E-2</v>
      </c>
      <c r="AD63" s="9">
        <f t="shared" ca="1" si="55"/>
        <v>1.0363797157671106E-2</v>
      </c>
      <c r="AE63" s="9">
        <f t="shared" ca="1" si="55"/>
        <v>5.6814050375597613E-3</v>
      </c>
      <c r="AF63" s="9">
        <f t="shared" ca="1" si="55"/>
        <v>1.9684486388966693E-3</v>
      </c>
      <c r="AG63" s="9">
        <f t="shared" ca="1" si="55"/>
        <v>2.9858250893693983E-3</v>
      </c>
      <c r="AH63" s="9">
        <f t="shared" ca="1" si="55"/>
        <v>1.3354297633063394E-2</v>
      </c>
      <c r="AI63" s="9">
        <f t="shared" ca="1" si="55"/>
        <v>3.6987204604573831E-3</v>
      </c>
      <c r="AJ63" s="9">
        <f t="shared" ca="1" si="55"/>
        <v>7.3026836326739453E-4</v>
      </c>
      <c r="AK63" s="9">
        <f t="shared" ca="1" si="55"/>
        <v>5.359249799427479E-3</v>
      </c>
      <c r="AL63" s="9">
        <f t="shared" ca="1" si="55"/>
        <v>7.5772001312590653E-3</v>
      </c>
      <c r="AM63" s="9">
        <f t="shared" ca="1" si="55"/>
        <v>1.4345645224868475E-2</v>
      </c>
      <c r="AN63" s="9">
        <f t="shared" ca="1" si="55"/>
        <v>1.1496992227633562E-2</v>
      </c>
      <c r="AO63" s="9">
        <f t="shared" ca="1" si="55"/>
        <v>1.3917850740027271E-2</v>
      </c>
      <c r="AP63" s="9">
        <f t="shared" ca="1" si="55"/>
        <v>7.0879589745962424E-3</v>
      </c>
      <c r="AQ63" s="9">
        <f t="shared" ca="1" si="55"/>
        <v>8.2071231934168765E-3</v>
      </c>
      <c r="AR63" s="9">
        <f t="shared" ca="1" si="55"/>
        <v>5.1088873354914188E-3</v>
      </c>
      <c r="AS63" s="9">
        <f t="shared" ca="1" si="55"/>
        <v>6.7951470582454654E-3</v>
      </c>
      <c r="AT63" s="9">
        <f t="shared" ca="1" si="55"/>
        <v>4.9169234476948986E-3</v>
      </c>
      <c r="AU63" s="9">
        <f t="shared" ca="1" si="55"/>
        <v>1.0691870146760651E-2</v>
      </c>
      <c r="AV63" s="9">
        <f t="shared" ca="1" si="55"/>
        <v>1.8280375146520367E-2</v>
      </c>
      <c r="AW63" s="9">
        <f t="shared" ca="1" si="55"/>
        <v>2.3858787188426156E-2</v>
      </c>
      <c r="AX63" s="9">
        <f t="shared" ca="1" si="55"/>
        <v>2.8837350505390935E-2</v>
      </c>
      <c r="AY63" s="9">
        <f t="shared" ca="1" si="55"/>
        <v>2.8311177485631278E-2</v>
      </c>
      <c r="AZ63" s="9">
        <f t="shared" ca="1" si="55"/>
        <v>3.2064356049081644E-2</v>
      </c>
      <c r="BA63" s="9">
        <f t="shared" ca="1" si="55"/>
        <v>3.4335761181406133E-2</v>
      </c>
      <c r="BB63" s="9">
        <f t="shared" ca="1" si="55"/>
        <v>4.0122186796705428E-2</v>
      </c>
      <c r="BC63" s="9">
        <f t="shared" ca="1" si="55"/>
        <v>4.0836846165093421E-2</v>
      </c>
      <c r="BD63" s="9">
        <f t="shared" ca="1" si="55"/>
        <v>3.1544080634904992E-2</v>
      </c>
      <c r="BE63" s="9">
        <f t="shared" ca="1" si="55"/>
        <v>4.1398411259007561E-2</v>
      </c>
      <c r="BF63" s="9">
        <f t="shared" ca="1" si="55"/>
        <v>5.1582961343579203E-2</v>
      </c>
      <c r="BG63" s="9">
        <f t="shared" ca="1" si="55"/>
        <v>3.8667662337069197E-2</v>
      </c>
      <c r="BH63" s="9">
        <f t="shared" ca="1" si="55"/>
        <v>1.3622296368402953E-2</v>
      </c>
      <c r="BI63" s="9">
        <f t="shared" ca="1" si="55"/>
        <v>1.5341742192000019E-2</v>
      </c>
      <c r="BJ63" s="9">
        <f t="shared" ca="1" si="55"/>
        <v>1.0281808649150737E-2</v>
      </c>
      <c r="BK63" s="9">
        <f t="shared" ca="1" si="55"/>
        <v>2.0232808785869194E-2</v>
      </c>
      <c r="BL63" s="9">
        <f t="shared" ca="1" si="55"/>
        <v>3.5276109125893407E-2</v>
      </c>
      <c r="BM63" s="9">
        <f t="shared" ca="1" si="55"/>
        <v>4.1647366676036413E-2</v>
      </c>
      <c r="BN63" s="9">
        <f t="shared" ref="BN63:DY63" ca="1" si="56">IF(BN36="","",ABS(BN36))</f>
        <v>2.6647348695836626E-2</v>
      </c>
      <c r="BO63" s="9">
        <f t="shared" ca="1" si="56"/>
        <v>1.6109488168387531E-2</v>
      </c>
      <c r="BP63" s="9">
        <f t="shared" ca="1" si="56"/>
        <v>1.6744063019491384E-2</v>
      </c>
      <c r="BQ63" s="9">
        <f t="shared" ca="1" si="56"/>
        <v>1.7471409264438464E-2</v>
      </c>
      <c r="BR63" s="9">
        <f t="shared" ca="1" si="56"/>
        <v>2.9112270001292462E-3</v>
      </c>
      <c r="BS63" s="9">
        <f t="shared" ca="1" si="56"/>
        <v>1.1332065095135624E-2</v>
      </c>
      <c r="BT63" s="9">
        <f t="shared" ca="1" si="56"/>
        <v>9.3871650284585995E-3</v>
      </c>
      <c r="BU63" s="9">
        <f t="shared" ca="1" si="56"/>
        <v>3.7318961602195166E-3</v>
      </c>
      <c r="BV63" s="9">
        <f t="shared" ca="1" si="56"/>
        <v>9.018134437183134E-3</v>
      </c>
      <c r="BW63" s="9">
        <f t="shared" ca="1" si="56"/>
        <v>2.9449675965071975E-3</v>
      </c>
      <c r="BX63" s="9">
        <f t="shared" ca="1" si="56"/>
        <v>6.4432318766308727E-3</v>
      </c>
      <c r="BY63" s="9">
        <f t="shared" ca="1" si="56"/>
        <v>7.5389063740450846E-3</v>
      </c>
      <c r="BZ63" s="9">
        <f t="shared" ca="1" si="56"/>
        <v>1.9813764468823436E-4</v>
      </c>
      <c r="CA63" s="9">
        <f t="shared" ca="1" si="56"/>
        <v>3.7535845802970647E-3</v>
      </c>
      <c r="CB63" s="9">
        <f t="shared" ca="1" si="56"/>
        <v>5.8793187081186415E-3</v>
      </c>
      <c r="CC63" s="9">
        <f t="shared" ca="1" si="56"/>
        <v>5.3158344180672668E-3</v>
      </c>
      <c r="CD63" s="9">
        <f t="shared" ca="1" si="56"/>
        <v>4.3916949794096105E-3</v>
      </c>
      <c r="CE63" s="9">
        <f t="shared" ca="1" si="56"/>
        <v>2.5154419007511475E-3</v>
      </c>
      <c r="CF63" s="9">
        <f t="shared" ca="1" si="56"/>
        <v>7.2119045763829881E-4</v>
      </c>
      <c r="CG63" s="9">
        <f t="shared" ca="1" si="56"/>
        <v>7.9862669042207735E-4</v>
      </c>
      <c r="CH63" s="9">
        <f t="shared" ca="1" si="56"/>
        <v>8.849783097776065E-3</v>
      </c>
      <c r="CI63" s="9">
        <f t="shared" ca="1" si="56"/>
        <v>7.6509088504443934E-3</v>
      </c>
      <c r="CJ63" s="9">
        <f t="shared" ca="1" si="56"/>
        <v>9.2618617085101773E-3</v>
      </c>
      <c r="CK63" s="9">
        <f t="shared" ca="1" si="56"/>
        <v>6.2036024062270823E-3</v>
      </c>
      <c r="CL63" s="9">
        <f t="shared" ca="1" si="56"/>
        <v>1.7366459812977242E-2</v>
      </c>
      <c r="CM63" s="9">
        <f t="shared" ca="1" si="56"/>
        <v>1.1362429005222552E-2</v>
      </c>
      <c r="CN63" s="9">
        <f t="shared" ca="1" si="56"/>
        <v>4.3314664927494029E-3</v>
      </c>
      <c r="CO63" s="9">
        <f t="shared" ca="1" si="56"/>
        <v>1.0177092560094803E-2</v>
      </c>
      <c r="CP63" s="9">
        <f t="shared" ca="1" si="56"/>
        <v>1.4322541996110827E-2</v>
      </c>
      <c r="CQ63" s="9">
        <f t="shared" ca="1" si="56"/>
        <v>1.3550404035720387E-2</v>
      </c>
      <c r="CR63" s="9">
        <f t="shared" ca="1" si="56"/>
        <v>2.1204436176027741E-3</v>
      </c>
      <c r="CS63" s="9">
        <f t="shared" ca="1" si="56"/>
        <v>1.2462548884523139E-3</v>
      </c>
      <c r="CT63" s="9">
        <f t="shared" ca="1" si="56"/>
        <v>1.7779640029379484E-2</v>
      </c>
      <c r="CU63" s="9">
        <f t="shared" ca="1" si="56"/>
        <v>6.4376674717321336E-3</v>
      </c>
      <c r="CV63" s="9">
        <f t="shared" ca="1" si="56"/>
        <v>1.6888879544907365E-3</v>
      </c>
      <c r="CW63" s="9">
        <f t="shared" ca="1" si="56"/>
        <v>3.258555614533698E-4</v>
      </c>
      <c r="CX63" s="9">
        <f t="shared" ca="1" si="56"/>
        <v>1.4953093956269203E-3</v>
      </c>
      <c r="CY63" s="9">
        <f t="shared" ca="1" si="56"/>
        <v>6.3597356453528597E-3</v>
      </c>
      <c r="CZ63" s="9">
        <f t="shared" ca="1" si="56"/>
        <v>2.1108765679331842E-2</v>
      </c>
      <c r="DA63" s="9">
        <f t="shared" ca="1" si="56"/>
        <v>6.1682401532656694E-3</v>
      </c>
      <c r="DB63" s="9">
        <f t="shared" ca="1" si="56"/>
        <v>1.1314564970624552E-2</v>
      </c>
      <c r="DC63" s="9">
        <f t="shared" ca="1" si="56"/>
        <v>6.6060284324978014E-3</v>
      </c>
      <c r="DD63" s="9">
        <f t="shared" ca="1" si="56"/>
        <v>2.016913112714791E-3</v>
      </c>
      <c r="DE63" s="9">
        <f t="shared" ca="1" si="56"/>
        <v>2.492310318541946E-2</v>
      </c>
      <c r="DF63" s="9">
        <f t="shared" ca="1" si="56"/>
        <v>1.6314423591628047E-2</v>
      </c>
      <c r="DG63" s="9">
        <f t="shared" ca="1" si="56"/>
        <v>1.0112729661694186E-2</v>
      </c>
      <c r="DH63" s="9">
        <f t="shared" ca="1" si="56"/>
        <v>1.3323849630286877E-2</v>
      </c>
      <c r="DI63" s="9">
        <f t="shared" ca="1" si="56"/>
        <v>1.5694180601482532E-2</v>
      </c>
      <c r="DJ63" s="9">
        <f t="shared" ca="1" si="56"/>
        <v>1.9661027946672238E-2</v>
      </c>
      <c r="DK63" s="9">
        <f t="shared" ca="1" si="56"/>
        <v>1.9089502060385843E-2</v>
      </c>
      <c r="DL63" s="9">
        <f t="shared" ca="1" si="56"/>
        <v>2.6382981776284731E-2</v>
      </c>
      <c r="DM63" s="9">
        <f t="shared" ca="1" si="56"/>
        <v>2.9582707561191635E-2</v>
      </c>
      <c r="DN63" s="9">
        <f t="shared" ca="1" si="56"/>
        <v>2.4037604705929971E-2</v>
      </c>
      <c r="DO63" s="9">
        <f t="shared" ca="1" si="56"/>
        <v>2.1637775995374531E-2</v>
      </c>
      <c r="DP63" s="9">
        <f t="shared" ca="1" si="56"/>
        <v>1.1863180176382437E-2</v>
      </c>
      <c r="DQ63" s="9">
        <f t="shared" ca="1" si="56"/>
        <v>1.1473186462841789E-2</v>
      </c>
      <c r="DR63" s="9">
        <f t="shared" ca="1" si="56"/>
        <v>3.1591233727066292E-3</v>
      </c>
      <c r="DS63" s="9">
        <f t="shared" ca="1" si="56"/>
        <v>4.0740316831232581E-3</v>
      </c>
      <c r="DT63" s="9">
        <f t="shared" ca="1" si="56"/>
        <v>6.7676349528985602E-3</v>
      </c>
      <c r="DU63" s="9">
        <f t="shared" ca="1" si="56"/>
        <v>6.1338173063493207E-3</v>
      </c>
      <c r="DV63" s="9">
        <f t="shared" ca="1" si="56"/>
        <v>1.7977731610296921E-4</v>
      </c>
      <c r="DW63" s="9">
        <f t="shared" ca="1" si="56"/>
        <v>1.0835879817387983E-3</v>
      </c>
      <c r="DX63" s="9">
        <f t="shared" ca="1" si="56"/>
        <v>7.9233775490560321E-3</v>
      </c>
      <c r="DY63" s="9">
        <f t="shared" ca="1" si="56"/>
        <v>1.1671397521293869E-2</v>
      </c>
      <c r="DZ63" s="9">
        <f t="shared" ref="DZ63:GK63" ca="1" si="57">IF(DZ36="","",ABS(DZ36))</f>
        <v>1.8782830921067584E-2</v>
      </c>
      <c r="EA63" s="9">
        <f t="shared" ca="1" si="57"/>
        <v>1.5380470628513665E-2</v>
      </c>
      <c r="EB63" s="9">
        <f t="shared" ca="1" si="57"/>
        <v>2.3252079339107223E-2</v>
      </c>
      <c r="EC63" s="9">
        <f t="shared" ca="1" si="57"/>
        <v>3.8351117848363092E-3</v>
      </c>
      <c r="ED63" s="9">
        <f t="shared" ca="1" si="57"/>
        <v>1.1113186359976712E-3</v>
      </c>
      <c r="EE63" s="9">
        <f t="shared" ca="1" si="57"/>
        <v>5.6278743944189191E-3</v>
      </c>
      <c r="EF63" s="9">
        <f t="shared" ca="1" si="57"/>
        <v>3.0550292656470468E-3</v>
      </c>
      <c r="EG63" s="9">
        <f t="shared" ca="1" si="57"/>
        <v>1.4747102391531541E-2</v>
      </c>
      <c r="EH63" s="9">
        <f t="shared" ca="1" si="57"/>
        <v>1.5764716652711508E-2</v>
      </c>
      <c r="EI63" s="9">
        <f t="shared" ca="1" si="57"/>
        <v>1.0802112089372873E-2</v>
      </c>
      <c r="EJ63" s="9">
        <f t="shared" ca="1" si="57"/>
        <v>2.0231737721292387E-3</v>
      </c>
      <c r="EK63" s="9">
        <f t="shared" ca="1" si="57"/>
        <v>7.5001684193165552E-4</v>
      </c>
      <c r="EL63" s="9">
        <f t="shared" ca="1" si="57"/>
        <v>1.0524365092525745E-2</v>
      </c>
      <c r="EM63" s="9">
        <f t="shared" ca="1" si="57"/>
        <v>5.511402749792671E-3</v>
      </c>
      <c r="EN63" s="9">
        <f t="shared" ca="1" si="57"/>
        <v>5.325426093952812E-3</v>
      </c>
      <c r="EO63" s="9">
        <f t="shared" ca="1" si="57"/>
        <v>3.2959254441848884E-3</v>
      </c>
      <c r="EP63" s="9">
        <f t="shared" ca="1" si="57"/>
        <v>4.8660517277410165E-4</v>
      </c>
      <c r="EQ63" s="9">
        <f t="shared" ca="1" si="57"/>
        <v>3.2360730487838163E-3</v>
      </c>
      <c r="ER63" s="9">
        <f t="shared" ca="1" si="57"/>
        <v>6.3460823703671565E-3</v>
      </c>
      <c r="ES63" s="9">
        <f t="shared" ca="1" si="57"/>
        <v>7.6951316793097968E-3</v>
      </c>
      <c r="ET63" s="9">
        <f t="shared" ca="1" si="57"/>
        <v>5.7929175366819852E-3</v>
      </c>
      <c r="EU63" s="9">
        <f t="shared" ca="1" si="57"/>
        <v>5.8001419597433213E-3</v>
      </c>
      <c r="EV63" s="9">
        <f t="shared" ca="1" si="57"/>
        <v>4.5709945156329201E-3</v>
      </c>
      <c r="EW63" s="9">
        <f t="shared" ca="1" si="57"/>
        <v>1.3234129100196945E-3</v>
      </c>
      <c r="EX63" s="9">
        <f t="shared" ca="1" si="57"/>
        <v>1.06793493675994E-2</v>
      </c>
      <c r="EY63" s="9">
        <f t="shared" ca="1" si="57"/>
        <v>1.2647746292072548E-2</v>
      </c>
      <c r="EZ63" s="9">
        <f t="shared" ca="1" si="57"/>
        <v>5.3979046337970793E-4</v>
      </c>
      <c r="FA63" s="9">
        <f t="shared" ca="1" si="57"/>
        <v>1.1335454517706678E-2</v>
      </c>
      <c r="FB63" s="9">
        <f t="shared" ca="1" si="57"/>
        <v>7.9866579118879066E-3</v>
      </c>
      <c r="FC63" s="9">
        <f t="shared" ca="1" si="57"/>
        <v>2.2575501390806885E-3</v>
      </c>
      <c r="FD63" s="9">
        <f t="shared" ca="1" si="57"/>
        <v>2.8547821389564021E-3</v>
      </c>
      <c r="FE63" s="9">
        <f t="shared" ca="1" si="57"/>
        <v>1.7665684745480359E-3</v>
      </c>
      <c r="FF63" s="9">
        <f t="shared" ca="1" si="57"/>
        <v>9.515759915795563E-3</v>
      </c>
      <c r="FG63" s="9">
        <f t="shared" ca="1" si="57"/>
        <v>8.4444838635495678E-3</v>
      </c>
      <c r="FH63" s="9">
        <f t="shared" ca="1" si="57"/>
        <v>4.9732179056649617E-3</v>
      </c>
      <c r="FI63" s="9">
        <f t="shared" ca="1" si="57"/>
        <v>2.8407280029032478E-3</v>
      </c>
      <c r="FJ63" s="9">
        <f t="shared" ca="1" si="57"/>
        <v>1.0018969762961794E-2</v>
      </c>
      <c r="FK63" s="9">
        <f t="shared" ca="1" si="57"/>
        <v>4.3263938328401697E-3</v>
      </c>
      <c r="FL63" s="9">
        <f t="shared" ca="1" si="57"/>
        <v>3.7033571614031313E-4</v>
      </c>
      <c r="FM63" s="9">
        <f t="shared" ca="1" si="57"/>
        <v>5.1807981847107332E-4</v>
      </c>
      <c r="FN63" s="9">
        <f t="shared" ca="1" si="57"/>
        <v>4.0501582615081189E-3</v>
      </c>
      <c r="FO63" s="9">
        <f t="shared" ca="1" si="57"/>
        <v>1.6361156269508736E-3</v>
      </c>
      <c r="FP63" s="9">
        <f t="shared" ca="1" si="57"/>
        <v>3.0941064576917032E-3</v>
      </c>
      <c r="FQ63" s="9">
        <f t="shared" ca="1" si="57"/>
        <v>2.2484946100244096E-3</v>
      </c>
      <c r="FR63" s="9">
        <f t="shared" ca="1" si="57"/>
        <v>2.625176813918717E-3</v>
      </c>
      <c r="FS63" s="9">
        <f t="shared" ca="1" si="57"/>
        <v>3.9596222504689749E-3</v>
      </c>
      <c r="FT63" s="9">
        <f t="shared" ca="1" si="57"/>
        <v>5.129232302653719E-3</v>
      </c>
      <c r="FU63" s="9">
        <f t="shared" ca="1" si="57"/>
        <v>2.6432353517891194E-3</v>
      </c>
      <c r="FV63" s="9">
        <f t="shared" ca="1" si="57"/>
        <v>1.1934324517855477E-2</v>
      </c>
      <c r="FW63" s="9">
        <f t="shared" ca="1" si="57"/>
        <v>8.4939339425332827E-3</v>
      </c>
      <c r="FX63" s="9">
        <f t="shared" ca="1" si="57"/>
        <v>5.5148915955849365E-3</v>
      </c>
      <c r="FY63" s="9">
        <f t="shared" ca="1" si="57"/>
        <v>5.1496345716536274E-3</v>
      </c>
      <c r="FZ63" s="9">
        <f t="shared" ca="1" si="57"/>
        <v>5.1806521404393902E-3</v>
      </c>
      <c r="GA63" s="9">
        <f t="shared" ca="1" si="57"/>
        <v>7.8826620363270372E-4</v>
      </c>
      <c r="GB63" s="9">
        <f t="shared" ca="1" si="57"/>
        <v>9.380001068604038E-4</v>
      </c>
      <c r="GC63" s="9">
        <f t="shared" ca="1" si="57"/>
        <v>5.453858726004901E-3</v>
      </c>
      <c r="GD63" s="9">
        <f t="shared" ca="1" si="57"/>
        <v>7.8408275120942506E-3</v>
      </c>
      <c r="GE63" s="9">
        <f t="shared" ca="1" si="57"/>
        <v>6.1212169354114554E-3</v>
      </c>
      <c r="GF63" s="9">
        <f t="shared" ca="1" si="57"/>
        <v>7.8908680086082761E-3</v>
      </c>
      <c r="GG63" s="9">
        <f t="shared" ca="1" si="57"/>
        <v>1.5042779811538232E-3</v>
      </c>
      <c r="GH63" s="9">
        <f t="shared" ca="1" si="57"/>
        <v>1.6222636271935098E-2</v>
      </c>
      <c r="GI63" s="9">
        <f t="shared" ca="1" si="57"/>
        <v>5.5129604192319048E-2</v>
      </c>
      <c r="GJ63" s="9">
        <f t="shared" ca="1" si="57"/>
        <v>6.7542034291814046E-2</v>
      </c>
      <c r="GK63" s="9">
        <f t="shared" ca="1" si="57"/>
        <v>6.3846291460203819E-2</v>
      </c>
      <c r="GL63" s="9">
        <f t="shared" ref="GL63:IW63" ca="1" si="58">IF(GL36="","",ABS(GL36))</f>
        <v>5.5133538440781393E-2</v>
      </c>
      <c r="GM63" s="9">
        <f t="shared" ca="1" si="58"/>
        <v>3.9540019234853174E-2</v>
      </c>
      <c r="GN63" s="9">
        <f t="shared" ca="1" si="58"/>
        <v>4.2009024060943867E-2</v>
      </c>
      <c r="GO63" s="9">
        <f t="shared" ca="1" si="58"/>
        <v>2.9397247242690661E-3</v>
      </c>
      <c r="GP63" s="9">
        <f t="shared" ca="1" si="58"/>
        <v>5.7856813461140022E-2</v>
      </c>
      <c r="GQ63" s="9">
        <f t="shared" ca="1" si="58"/>
        <v>6.0173513432171588E-2</v>
      </c>
      <c r="GR63" s="9">
        <f t="shared" ca="1" si="58"/>
        <v>4.8249168867767867E-2</v>
      </c>
      <c r="GS63" s="9" t="str">
        <f t="shared" ca="1" si="58"/>
        <v/>
      </c>
      <c r="GT63" s="9" t="str">
        <f t="shared" ca="1" si="58"/>
        <v/>
      </c>
      <c r="GU63" s="9" t="str">
        <f t="shared" ca="1" si="58"/>
        <v/>
      </c>
      <c r="GV63" s="9" t="str">
        <f t="shared" ca="1" si="58"/>
        <v/>
      </c>
      <c r="GW63" s="9" t="str">
        <f t="shared" ca="1" si="58"/>
        <v/>
      </c>
      <c r="GX63" s="9" t="str">
        <f t="shared" ca="1" si="58"/>
        <v/>
      </c>
      <c r="GY63" s="9" t="str">
        <f t="shared" ca="1" si="58"/>
        <v/>
      </c>
      <c r="GZ63" s="9" t="str">
        <f t="shared" ca="1" si="58"/>
        <v/>
      </c>
      <c r="HA63" s="9" t="str">
        <f t="shared" ca="1" si="58"/>
        <v/>
      </c>
      <c r="HB63" s="9" t="str">
        <f t="shared" ca="1" si="58"/>
        <v/>
      </c>
      <c r="HC63" s="9" t="str">
        <f t="shared" ca="1" si="58"/>
        <v/>
      </c>
      <c r="HD63" s="9" t="str">
        <f t="shared" ca="1" si="58"/>
        <v/>
      </c>
      <c r="HE63" s="9" t="str">
        <f t="shared" ca="1" si="58"/>
        <v/>
      </c>
      <c r="HF63" s="9" t="str">
        <f t="shared" ca="1" si="58"/>
        <v/>
      </c>
      <c r="HG63" s="9" t="str">
        <f t="shared" ca="1" si="58"/>
        <v/>
      </c>
      <c r="HH63" s="9" t="str">
        <f t="shared" ca="1" si="58"/>
        <v/>
      </c>
      <c r="HI63" s="9" t="str">
        <f t="shared" ca="1" si="58"/>
        <v/>
      </c>
      <c r="HJ63" s="9" t="str">
        <f t="shared" ca="1" si="58"/>
        <v/>
      </c>
      <c r="HK63" s="9" t="str">
        <f t="shared" ca="1" si="58"/>
        <v/>
      </c>
      <c r="HL63" s="9" t="str">
        <f t="shared" ca="1" si="58"/>
        <v/>
      </c>
      <c r="HM63" s="9" t="str">
        <f t="shared" ca="1" si="58"/>
        <v/>
      </c>
      <c r="HN63" s="9" t="str">
        <f t="shared" ca="1" si="58"/>
        <v/>
      </c>
      <c r="HO63" s="9" t="str">
        <f t="shared" ca="1" si="58"/>
        <v/>
      </c>
      <c r="HP63" s="9" t="str">
        <f t="shared" ca="1" si="58"/>
        <v/>
      </c>
      <c r="HQ63" s="9" t="str">
        <f t="shared" ca="1" si="58"/>
        <v/>
      </c>
      <c r="HR63" s="9" t="str">
        <f t="shared" ca="1" si="58"/>
        <v/>
      </c>
      <c r="HS63" s="9" t="str">
        <f t="shared" ca="1" si="58"/>
        <v/>
      </c>
      <c r="HT63" s="9" t="str">
        <f t="shared" ca="1" si="58"/>
        <v/>
      </c>
      <c r="HU63" s="9" t="str">
        <f t="shared" ca="1" si="58"/>
        <v/>
      </c>
      <c r="HV63" s="9" t="str">
        <f t="shared" ca="1" si="58"/>
        <v/>
      </c>
      <c r="HW63" s="9" t="str">
        <f t="shared" ca="1" si="58"/>
        <v/>
      </c>
      <c r="HX63" s="9" t="str">
        <f t="shared" ca="1" si="58"/>
        <v/>
      </c>
      <c r="HY63" s="9" t="str">
        <f t="shared" ca="1" si="58"/>
        <v/>
      </c>
      <c r="HZ63" s="9" t="str">
        <f t="shared" ca="1" si="58"/>
        <v/>
      </c>
      <c r="IA63" s="9" t="str">
        <f t="shared" ca="1" si="58"/>
        <v/>
      </c>
      <c r="IB63" s="9" t="str">
        <f t="shared" ca="1" si="58"/>
        <v/>
      </c>
      <c r="IC63" s="9" t="str">
        <f t="shared" ca="1" si="58"/>
        <v/>
      </c>
      <c r="ID63" s="9" t="str">
        <f t="shared" ca="1" si="58"/>
        <v/>
      </c>
      <c r="IE63" s="9" t="str">
        <f t="shared" ca="1" si="58"/>
        <v/>
      </c>
      <c r="IF63" s="9" t="str">
        <f t="shared" ca="1" si="58"/>
        <v/>
      </c>
      <c r="IG63" s="9" t="str">
        <f t="shared" ca="1" si="58"/>
        <v/>
      </c>
      <c r="IH63" s="9" t="str">
        <f t="shared" ca="1" si="58"/>
        <v/>
      </c>
      <c r="II63" s="9" t="str">
        <f t="shared" ca="1" si="58"/>
        <v/>
      </c>
      <c r="IJ63" s="9" t="str">
        <f t="shared" ca="1" si="58"/>
        <v/>
      </c>
      <c r="IK63" s="9" t="str">
        <f t="shared" ca="1" si="58"/>
        <v/>
      </c>
      <c r="IL63" s="9" t="str">
        <f t="shared" ca="1" si="58"/>
        <v/>
      </c>
      <c r="IM63" s="9" t="str">
        <f t="shared" ca="1" si="58"/>
        <v/>
      </c>
      <c r="IN63" s="9" t="str">
        <f t="shared" ca="1" si="58"/>
        <v/>
      </c>
      <c r="IO63" s="9" t="str">
        <f t="shared" ca="1" si="58"/>
        <v/>
      </c>
      <c r="IP63" s="9" t="str">
        <f t="shared" ca="1" si="58"/>
        <v/>
      </c>
      <c r="IQ63" s="9" t="str">
        <f t="shared" ca="1" si="58"/>
        <v/>
      </c>
      <c r="IR63" s="9" t="str">
        <f t="shared" ca="1" si="58"/>
        <v/>
      </c>
      <c r="IS63" s="9" t="str">
        <f t="shared" ca="1" si="58"/>
        <v/>
      </c>
      <c r="IT63" s="9" t="str">
        <f t="shared" ca="1" si="58"/>
        <v/>
      </c>
      <c r="IU63" s="9" t="str">
        <f t="shared" ca="1" si="58"/>
        <v/>
      </c>
      <c r="IV63" s="9" t="str">
        <f t="shared" ca="1" si="58"/>
        <v/>
      </c>
      <c r="IW63" s="9" t="str">
        <f t="shared" ca="1" si="58"/>
        <v/>
      </c>
      <c r="IX63" s="9" t="str">
        <f t="shared" ref="IX63:JH63" ca="1" si="59">IF(IX36="","",ABS(IX36))</f>
        <v/>
      </c>
      <c r="IY63" s="9" t="str">
        <f t="shared" ca="1" si="59"/>
        <v/>
      </c>
      <c r="IZ63" s="9" t="str">
        <f t="shared" ca="1" si="59"/>
        <v/>
      </c>
      <c r="JA63" s="9" t="str">
        <f t="shared" ca="1" si="59"/>
        <v/>
      </c>
      <c r="JB63" s="9" t="str">
        <f t="shared" ca="1" si="59"/>
        <v/>
      </c>
      <c r="JC63" s="9" t="str">
        <f t="shared" ca="1" si="59"/>
        <v/>
      </c>
      <c r="JD63" s="9" t="str">
        <f t="shared" ca="1" si="59"/>
        <v/>
      </c>
      <c r="JE63" s="9" t="str">
        <f t="shared" ca="1" si="59"/>
        <v/>
      </c>
      <c r="JF63" s="9" t="str">
        <f t="shared" ca="1" si="59"/>
        <v/>
      </c>
      <c r="JG63" s="9" t="str">
        <f t="shared" ca="1" si="59"/>
        <v/>
      </c>
      <c r="JH63" s="9" t="str">
        <f t="shared" ca="1" si="59"/>
        <v/>
      </c>
      <c r="JI63" s="13">
        <f t="shared" ca="1" si="24"/>
        <v>2.1144960071745943E-2</v>
      </c>
      <c r="JJ63" s="13">
        <f t="shared" ca="1" si="25"/>
        <v>6.981022223752853E-3</v>
      </c>
      <c r="JK63" s="14">
        <f t="shared" ca="1" si="26"/>
        <v>5.5887203895690224E-4</v>
      </c>
      <c r="JL63" s="17">
        <f t="shared" ca="1" si="34"/>
        <v>2.3640474592463288E-2</v>
      </c>
      <c r="JM63" s="15" t="str">
        <f t="shared" ca="1" si="27"/>
        <v>[ -2,61% ; 6,84% ]</v>
      </c>
      <c r="JN63" s="17">
        <f t="shared" ca="1" si="28"/>
        <v>3.025980747835301E-2</v>
      </c>
      <c r="LY63" s="1"/>
    </row>
    <row r="64" spans="1:337" x14ac:dyDescent="0.25">
      <c r="A64" s="4">
        <v>8</v>
      </c>
      <c r="B64" s="9">
        <f t="shared" ref="B64:BM64" ca="1" si="60">IF(B37="","",ABS(B37))</f>
        <v>5.9442085688976576E-4</v>
      </c>
      <c r="C64" s="9">
        <f t="shared" ca="1" si="60"/>
        <v>4.6010604426549584E-5</v>
      </c>
      <c r="D64" s="9">
        <f t="shared" ca="1" si="60"/>
        <v>2.0954968800168672E-5</v>
      </c>
      <c r="E64" s="9">
        <f t="shared" ca="1" si="60"/>
        <v>2.5658848444676252E-4</v>
      </c>
      <c r="F64" s="9">
        <f t="shared" ca="1" si="60"/>
        <v>1.0464141517640968E-4</v>
      </c>
      <c r="G64" s="9">
        <f t="shared" ca="1" si="60"/>
        <v>9.9837647862832668E-4</v>
      </c>
      <c r="H64" s="9">
        <f t="shared" ca="1" si="60"/>
        <v>3.5748998320483949E-6</v>
      </c>
      <c r="I64" s="9">
        <f t="shared" ca="1" si="60"/>
        <v>2.7925419583851863E-4</v>
      </c>
      <c r="J64" s="9">
        <f t="shared" ca="1" si="60"/>
        <v>4.8727893481617102E-3</v>
      </c>
      <c r="K64" s="9">
        <f t="shared" ca="1" si="60"/>
        <v>7.7792007655231865E-3</v>
      </c>
      <c r="L64" s="9">
        <f t="shared" ca="1" si="60"/>
        <v>1.4194755760466693E-2</v>
      </c>
      <c r="M64" s="9">
        <f t="shared" ca="1" si="60"/>
        <v>1.9129176624689492E-2</v>
      </c>
      <c r="N64" s="9">
        <f t="shared" ca="1" si="60"/>
        <v>2.1351888209710013E-2</v>
      </c>
      <c r="O64" s="9">
        <f t="shared" ca="1" si="60"/>
        <v>2.305797846292601E-2</v>
      </c>
      <c r="P64" s="9">
        <f t="shared" ca="1" si="60"/>
        <v>2.5827141123531905E-2</v>
      </c>
      <c r="Q64" s="9">
        <f t="shared" ca="1" si="60"/>
        <v>2.6227395275791099E-2</v>
      </c>
      <c r="R64" s="9">
        <f t="shared" ca="1" si="60"/>
        <v>2.3644479380512284E-2</v>
      </c>
      <c r="S64" s="9">
        <f t="shared" ca="1" si="60"/>
        <v>2.0623696344412967E-2</v>
      </c>
      <c r="T64" s="9">
        <f t="shared" ca="1" si="60"/>
        <v>9.5499282420284937E-3</v>
      </c>
      <c r="U64" s="9">
        <f t="shared" ca="1" si="60"/>
        <v>1.4994980215810028E-3</v>
      </c>
      <c r="V64" s="9">
        <f t="shared" ca="1" si="60"/>
        <v>9.7802528716459669E-3</v>
      </c>
      <c r="W64" s="9">
        <f t="shared" ca="1" si="60"/>
        <v>1.3463510794130995E-2</v>
      </c>
      <c r="X64" s="9">
        <f t="shared" ca="1" si="60"/>
        <v>1.3086685538786558E-2</v>
      </c>
      <c r="Y64" s="9">
        <f t="shared" ca="1" si="60"/>
        <v>1.0738092010619482E-2</v>
      </c>
      <c r="Z64" s="9">
        <f t="shared" ca="1" si="60"/>
        <v>1.512055062874551E-2</v>
      </c>
      <c r="AA64" s="9">
        <f t="shared" ca="1" si="60"/>
        <v>1.4937032811318529E-2</v>
      </c>
      <c r="AB64" s="9">
        <f t="shared" ca="1" si="60"/>
        <v>8.7658899967075765E-3</v>
      </c>
      <c r="AC64" s="9">
        <f t="shared" ca="1" si="60"/>
        <v>1.405946788048329E-2</v>
      </c>
      <c r="AD64" s="9">
        <f t="shared" ca="1" si="60"/>
        <v>9.5107134166529939E-3</v>
      </c>
      <c r="AE64" s="9">
        <f t="shared" ca="1" si="60"/>
        <v>4.7679262578115278E-3</v>
      </c>
      <c r="AF64" s="9">
        <f t="shared" ca="1" si="60"/>
        <v>1.5364073998989092E-3</v>
      </c>
      <c r="AG64" s="9">
        <f t="shared" ca="1" si="60"/>
        <v>4.12612244277899E-3</v>
      </c>
      <c r="AH64" s="9">
        <f t="shared" ca="1" si="60"/>
        <v>1.1871636681209052E-2</v>
      </c>
      <c r="AI64" s="9">
        <f t="shared" ca="1" si="60"/>
        <v>2.9611466381260776E-3</v>
      </c>
      <c r="AJ64" s="9">
        <f t="shared" ca="1" si="60"/>
        <v>2.4453620293463096E-3</v>
      </c>
      <c r="AK64" s="9">
        <f t="shared" ca="1" si="60"/>
        <v>8.1405143698412008E-3</v>
      </c>
      <c r="AL64" s="9">
        <f t="shared" ca="1" si="60"/>
        <v>1.0718348598817373E-2</v>
      </c>
      <c r="AM64" s="9">
        <f t="shared" ca="1" si="60"/>
        <v>1.4351754214343426E-2</v>
      </c>
      <c r="AN64" s="9">
        <f t="shared" ca="1" si="60"/>
        <v>1.1331481152229816E-2</v>
      </c>
      <c r="AO64" s="9">
        <f t="shared" ca="1" si="60"/>
        <v>1.5394319430372061E-2</v>
      </c>
      <c r="AP64" s="9">
        <f t="shared" ca="1" si="60"/>
        <v>7.8668378333297539E-3</v>
      </c>
      <c r="AQ64" s="9">
        <f t="shared" ca="1" si="60"/>
        <v>1.0858970419453495E-2</v>
      </c>
      <c r="AR64" s="9">
        <f t="shared" ca="1" si="60"/>
        <v>7.6774392724865415E-3</v>
      </c>
      <c r="AS64" s="9">
        <f t="shared" ca="1" si="60"/>
        <v>9.8525728690841419E-3</v>
      </c>
      <c r="AT64" s="9">
        <f t="shared" ca="1" si="60"/>
        <v>7.9490160251036723E-3</v>
      </c>
      <c r="AU64" s="9">
        <f t="shared" ca="1" si="60"/>
        <v>1.5762998756545077E-2</v>
      </c>
      <c r="AV64" s="9">
        <f t="shared" ca="1" si="60"/>
        <v>2.6186235197827923E-2</v>
      </c>
      <c r="AW64" s="9">
        <f t="shared" ca="1" si="60"/>
        <v>2.957540235867806E-2</v>
      </c>
      <c r="AX64" s="9">
        <f t="shared" ca="1" si="60"/>
        <v>3.3151522091883434E-2</v>
      </c>
      <c r="AY64" s="9">
        <f t="shared" ca="1" si="60"/>
        <v>3.5136304768985438E-2</v>
      </c>
      <c r="AZ64" s="9">
        <f t="shared" ca="1" si="60"/>
        <v>4.0985789963071451E-2</v>
      </c>
      <c r="BA64" s="9">
        <f t="shared" ca="1" si="60"/>
        <v>4.6734682363961166E-2</v>
      </c>
      <c r="BB64" s="9">
        <f t="shared" ca="1" si="60"/>
        <v>4.8684433146419126E-2</v>
      </c>
      <c r="BC64" s="9">
        <f t="shared" ca="1" si="60"/>
        <v>4.9740712283197652E-2</v>
      </c>
      <c r="BD64" s="9">
        <f t="shared" ca="1" si="60"/>
        <v>3.9918890352233616E-2</v>
      </c>
      <c r="BE64" s="9">
        <f t="shared" ca="1" si="60"/>
        <v>4.778967482409624E-2</v>
      </c>
      <c r="BF64" s="9">
        <f t="shared" ca="1" si="60"/>
        <v>5.5199110019432229E-2</v>
      </c>
      <c r="BG64" s="9">
        <f t="shared" ca="1" si="60"/>
        <v>3.8847989417356121E-2</v>
      </c>
      <c r="BH64" s="9">
        <f t="shared" ca="1" si="60"/>
        <v>1.1781809492670492E-2</v>
      </c>
      <c r="BI64" s="9">
        <f t="shared" ca="1" si="60"/>
        <v>2.0399232716584614E-2</v>
      </c>
      <c r="BJ64" s="9">
        <f t="shared" ca="1" si="60"/>
        <v>1.9103325395938398E-2</v>
      </c>
      <c r="BK64" s="9">
        <f t="shared" ca="1" si="60"/>
        <v>2.502854687759537E-2</v>
      </c>
      <c r="BL64" s="9">
        <f t="shared" ca="1" si="60"/>
        <v>4.0475685301103792E-2</v>
      </c>
      <c r="BM64" s="9">
        <f t="shared" ca="1" si="60"/>
        <v>4.9154080324597116E-2</v>
      </c>
      <c r="BN64" s="9">
        <f t="shared" ref="BN64:DY64" ca="1" si="61">IF(BN37="","",ABS(BN37))</f>
        <v>3.4328931272072261E-2</v>
      </c>
      <c r="BO64" s="9">
        <f t="shared" ca="1" si="61"/>
        <v>1.8287392257435364E-2</v>
      </c>
      <c r="BP64" s="9">
        <f t="shared" ca="1" si="61"/>
        <v>1.8393251983484626E-2</v>
      </c>
      <c r="BQ64" s="9">
        <f t="shared" ca="1" si="61"/>
        <v>1.8354393428874571E-2</v>
      </c>
      <c r="BR64" s="9">
        <f t="shared" ca="1" si="61"/>
        <v>1.8491001716638422E-3</v>
      </c>
      <c r="BS64" s="9">
        <f t="shared" ca="1" si="61"/>
        <v>1.4576804664311216E-2</v>
      </c>
      <c r="BT64" s="9">
        <f t="shared" ca="1" si="61"/>
        <v>8.7899450211300634E-3</v>
      </c>
      <c r="BU64" s="9">
        <f t="shared" ca="1" si="61"/>
        <v>4.3848848149747877E-3</v>
      </c>
      <c r="BV64" s="9">
        <f t="shared" ca="1" si="61"/>
        <v>8.8129560890362058E-3</v>
      </c>
      <c r="BW64" s="9">
        <f t="shared" ca="1" si="61"/>
        <v>4.013187227836279E-3</v>
      </c>
      <c r="BX64" s="9">
        <f t="shared" ca="1" si="61"/>
        <v>7.2014120002971138E-3</v>
      </c>
      <c r="BY64" s="9">
        <f t="shared" ca="1" si="61"/>
        <v>7.9345388859980437E-3</v>
      </c>
      <c r="BZ64" s="9">
        <f t="shared" ca="1" si="61"/>
        <v>1.97913484854495E-3</v>
      </c>
      <c r="CA64" s="9">
        <f t="shared" ca="1" si="61"/>
        <v>4.1435084728801419E-3</v>
      </c>
      <c r="CB64" s="9">
        <f t="shared" ca="1" si="61"/>
        <v>2.6539962364252601E-3</v>
      </c>
      <c r="CC64" s="9">
        <f t="shared" ca="1" si="61"/>
        <v>5.3318241145685619E-3</v>
      </c>
      <c r="CD64" s="9">
        <f t="shared" ca="1" si="61"/>
        <v>3.0612009255219785E-3</v>
      </c>
      <c r="CE64" s="9">
        <f t="shared" ca="1" si="61"/>
        <v>2.2086069262789998E-3</v>
      </c>
      <c r="CF64" s="9">
        <f t="shared" ca="1" si="61"/>
        <v>3.4084510309841942E-3</v>
      </c>
      <c r="CG64" s="9">
        <f t="shared" ca="1" si="61"/>
        <v>2.7742548094398245E-3</v>
      </c>
      <c r="CH64" s="9">
        <f t="shared" ca="1" si="61"/>
        <v>8.0129201904555192E-3</v>
      </c>
      <c r="CI64" s="9">
        <f t="shared" ca="1" si="61"/>
        <v>8.6654617992716343E-3</v>
      </c>
      <c r="CJ64" s="9">
        <f t="shared" ca="1" si="61"/>
        <v>6.1223060100417115E-3</v>
      </c>
      <c r="CK64" s="9">
        <f t="shared" ca="1" si="61"/>
        <v>1.0084134428704816E-2</v>
      </c>
      <c r="CL64" s="9">
        <f t="shared" ca="1" si="61"/>
        <v>1.6379976128743534E-2</v>
      </c>
      <c r="CM64" s="9">
        <f t="shared" ca="1" si="61"/>
        <v>1.4920085202400513E-2</v>
      </c>
      <c r="CN64" s="9">
        <f t="shared" ca="1" si="61"/>
        <v>8.5761717209580368E-3</v>
      </c>
      <c r="CO64" s="9">
        <f t="shared" ca="1" si="61"/>
        <v>1.1893479988354327E-2</v>
      </c>
      <c r="CP64" s="9">
        <f t="shared" ca="1" si="61"/>
        <v>1.7573442483283408E-2</v>
      </c>
      <c r="CQ64" s="9">
        <f t="shared" ca="1" si="61"/>
        <v>1.4956057703657821E-2</v>
      </c>
      <c r="CR64" s="9">
        <f t="shared" ca="1" si="61"/>
        <v>1.0446867346036726E-4</v>
      </c>
      <c r="CS64" s="9">
        <f t="shared" ca="1" si="61"/>
        <v>1.0796954128529102E-3</v>
      </c>
      <c r="CT64" s="9">
        <f t="shared" ca="1" si="61"/>
        <v>1.7926204543242674E-2</v>
      </c>
      <c r="CU64" s="9">
        <f t="shared" ca="1" si="61"/>
        <v>7.1916805382785665E-3</v>
      </c>
      <c r="CV64" s="9">
        <f t="shared" ca="1" si="61"/>
        <v>1.6335500973445605E-3</v>
      </c>
      <c r="CW64" s="9">
        <f t="shared" ca="1" si="61"/>
        <v>7.1597397978451216E-3</v>
      </c>
      <c r="CX64" s="9">
        <f t="shared" ca="1" si="61"/>
        <v>3.3457143488588859E-3</v>
      </c>
      <c r="CY64" s="9">
        <f t="shared" ca="1" si="61"/>
        <v>9.397400388758248E-3</v>
      </c>
      <c r="CZ64" s="9">
        <f t="shared" ca="1" si="61"/>
        <v>2.2127752389946354E-2</v>
      </c>
      <c r="DA64" s="9">
        <f t="shared" ca="1" si="61"/>
        <v>5.0613023181544925E-3</v>
      </c>
      <c r="DB64" s="9">
        <f t="shared" ca="1" si="61"/>
        <v>1.0129024657450358E-2</v>
      </c>
      <c r="DC64" s="9">
        <f t="shared" ca="1" si="61"/>
        <v>2.0680516144742089E-3</v>
      </c>
      <c r="DD64" s="9">
        <f t="shared" ca="1" si="61"/>
        <v>1.2546295569919597E-3</v>
      </c>
      <c r="DE64" s="9">
        <f t="shared" ca="1" si="61"/>
        <v>2.7248684025111158E-2</v>
      </c>
      <c r="DF64" s="9">
        <f t="shared" ca="1" si="61"/>
        <v>2.0599030863315937E-2</v>
      </c>
      <c r="DG64" s="9">
        <f t="shared" ca="1" si="61"/>
        <v>1.3680941418573234E-2</v>
      </c>
      <c r="DH64" s="9">
        <f t="shared" ca="1" si="61"/>
        <v>1.972784593575283E-2</v>
      </c>
      <c r="DI64" s="9">
        <f t="shared" ca="1" si="61"/>
        <v>2.2116661503881474E-2</v>
      </c>
      <c r="DJ64" s="9">
        <f t="shared" ca="1" si="61"/>
        <v>2.7899530667702455E-2</v>
      </c>
      <c r="DK64" s="9">
        <f t="shared" ca="1" si="61"/>
        <v>2.0090045264138823E-2</v>
      </c>
      <c r="DL64" s="9">
        <f t="shared" ca="1" si="61"/>
        <v>2.7933711659380522E-2</v>
      </c>
      <c r="DM64" s="9">
        <f t="shared" ca="1" si="61"/>
        <v>3.2414508470104297E-2</v>
      </c>
      <c r="DN64" s="9">
        <f t="shared" ca="1" si="61"/>
        <v>2.7901084811696952E-2</v>
      </c>
      <c r="DO64" s="9">
        <f t="shared" ca="1" si="61"/>
        <v>2.7933768799753955E-2</v>
      </c>
      <c r="DP64" s="9">
        <f t="shared" ca="1" si="61"/>
        <v>1.2213814922402699E-2</v>
      </c>
      <c r="DQ64" s="9">
        <f t="shared" ca="1" si="61"/>
        <v>1.2204125403638022E-2</v>
      </c>
      <c r="DR64" s="9">
        <f t="shared" ca="1" si="61"/>
        <v>4.3735408747698212E-3</v>
      </c>
      <c r="DS64" s="9">
        <f t="shared" ca="1" si="61"/>
        <v>6.6644448371948606E-3</v>
      </c>
      <c r="DT64" s="9">
        <f t="shared" ca="1" si="61"/>
        <v>6.7442133372630497E-3</v>
      </c>
      <c r="DU64" s="9">
        <f t="shared" ca="1" si="61"/>
        <v>1.1264952938424111E-2</v>
      </c>
      <c r="DV64" s="9">
        <f t="shared" ca="1" si="61"/>
        <v>3.3809389005045043E-3</v>
      </c>
      <c r="DW64" s="9">
        <f t="shared" ca="1" si="61"/>
        <v>1.2153055772374799E-3</v>
      </c>
      <c r="DX64" s="9">
        <f t="shared" ca="1" si="61"/>
        <v>1.0480282763502657E-2</v>
      </c>
      <c r="DY64" s="9">
        <f t="shared" ca="1" si="61"/>
        <v>1.6616991884101484E-2</v>
      </c>
      <c r="DZ64" s="9">
        <f t="shared" ref="DZ64:GK64" ca="1" si="62">IF(DZ37="","",ABS(DZ37))</f>
        <v>2.3311144058078548E-2</v>
      </c>
      <c r="EA64" s="9">
        <f t="shared" ca="1" si="62"/>
        <v>1.7462880903889144E-2</v>
      </c>
      <c r="EB64" s="9">
        <f t="shared" ca="1" si="62"/>
        <v>2.097679319407153E-2</v>
      </c>
      <c r="EC64" s="9">
        <f t="shared" ca="1" si="62"/>
        <v>1.9760555647376776E-3</v>
      </c>
      <c r="ED64" s="9">
        <f t="shared" ca="1" si="62"/>
        <v>7.1627645472474022E-3</v>
      </c>
      <c r="EE64" s="9">
        <f t="shared" ca="1" si="62"/>
        <v>7.3248119991218275E-3</v>
      </c>
      <c r="EF64" s="9">
        <f t="shared" ca="1" si="62"/>
        <v>3.4475865626295565E-3</v>
      </c>
      <c r="EG64" s="9">
        <f t="shared" ca="1" si="62"/>
        <v>1.4380731065923413E-2</v>
      </c>
      <c r="EH64" s="9">
        <f t="shared" ca="1" si="62"/>
        <v>1.4567337169275163E-2</v>
      </c>
      <c r="EI64" s="9">
        <f t="shared" ca="1" si="62"/>
        <v>1.6837320892487906E-2</v>
      </c>
      <c r="EJ64" s="9">
        <f t="shared" ca="1" si="62"/>
        <v>1.4540759255919911E-3</v>
      </c>
      <c r="EK64" s="9">
        <f t="shared" ca="1" si="62"/>
        <v>9.435058837233834E-4</v>
      </c>
      <c r="EL64" s="9">
        <f t="shared" ca="1" si="62"/>
        <v>1.266768958100295E-2</v>
      </c>
      <c r="EM64" s="9">
        <f t="shared" ca="1" si="62"/>
        <v>8.2291149350735004E-3</v>
      </c>
      <c r="EN64" s="9">
        <f t="shared" ca="1" si="62"/>
        <v>7.6702127052675761E-3</v>
      </c>
      <c r="EO64" s="9">
        <f t="shared" ca="1" si="62"/>
        <v>3.6794212848479946E-3</v>
      </c>
      <c r="EP64" s="9">
        <f t="shared" ca="1" si="62"/>
        <v>4.4625166183518417E-3</v>
      </c>
      <c r="EQ64" s="9">
        <f t="shared" ca="1" si="62"/>
        <v>4.1543454486315801E-3</v>
      </c>
      <c r="ER64" s="9">
        <f t="shared" ca="1" si="62"/>
        <v>1.0984226558650056E-2</v>
      </c>
      <c r="ES64" s="9">
        <f t="shared" ca="1" si="62"/>
        <v>6.4401401976903472E-3</v>
      </c>
      <c r="ET64" s="9">
        <f t="shared" ca="1" si="62"/>
        <v>5.7623712441511321E-3</v>
      </c>
      <c r="EU64" s="9">
        <f t="shared" ca="1" si="62"/>
        <v>5.9604763889603563E-3</v>
      </c>
      <c r="EV64" s="9">
        <f t="shared" ca="1" si="62"/>
        <v>3.5320835638124048E-3</v>
      </c>
      <c r="EW64" s="9">
        <f t="shared" ca="1" si="62"/>
        <v>1.330358630564632E-4</v>
      </c>
      <c r="EX64" s="9">
        <f t="shared" ca="1" si="62"/>
        <v>1.5404402902164271E-2</v>
      </c>
      <c r="EY64" s="9">
        <f t="shared" ca="1" si="62"/>
        <v>1.5066374696911189E-2</v>
      </c>
      <c r="EZ64" s="9">
        <f t="shared" ca="1" si="62"/>
        <v>3.8884728729871032E-4</v>
      </c>
      <c r="FA64" s="9">
        <f t="shared" ca="1" si="62"/>
        <v>1.0665751272275981E-2</v>
      </c>
      <c r="FB64" s="9">
        <f t="shared" ca="1" si="62"/>
        <v>5.8535473594919507E-3</v>
      </c>
      <c r="FC64" s="9">
        <f t="shared" ca="1" si="62"/>
        <v>3.3837120553475986E-3</v>
      </c>
      <c r="FD64" s="9">
        <f t="shared" ca="1" si="62"/>
        <v>4.7042446344770505E-3</v>
      </c>
      <c r="FE64" s="9">
        <f t="shared" ca="1" si="62"/>
        <v>1.1800776755568343E-3</v>
      </c>
      <c r="FF64" s="9">
        <f t="shared" ca="1" si="62"/>
        <v>1.1699251548689782E-2</v>
      </c>
      <c r="FG64" s="9">
        <f t="shared" ca="1" si="62"/>
        <v>1.0126706865038582E-2</v>
      </c>
      <c r="FH64" s="9">
        <f t="shared" ca="1" si="62"/>
        <v>5.0313763699372238E-3</v>
      </c>
      <c r="FI64" s="9">
        <f t="shared" ca="1" si="62"/>
        <v>2.8145159401629094E-3</v>
      </c>
      <c r="FJ64" s="9">
        <f t="shared" ca="1" si="62"/>
        <v>1.3507274972871852E-2</v>
      </c>
      <c r="FK64" s="9">
        <f t="shared" ca="1" si="62"/>
        <v>6.8308982723915834E-3</v>
      </c>
      <c r="FL64" s="9">
        <f t="shared" ca="1" si="62"/>
        <v>1.0177439094698482E-3</v>
      </c>
      <c r="FM64" s="9">
        <f t="shared" ca="1" si="62"/>
        <v>1.3647686165234596E-3</v>
      </c>
      <c r="FN64" s="9">
        <f t="shared" ca="1" si="62"/>
        <v>1.4431296835446528E-3</v>
      </c>
      <c r="FO64" s="9">
        <f t="shared" ca="1" si="62"/>
        <v>8.1987110830805676E-4</v>
      </c>
      <c r="FP64" s="9">
        <f t="shared" ca="1" si="62"/>
        <v>4.138205533289474E-4</v>
      </c>
      <c r="FQ64" s="9">
        <f t="shared" ca="1" si="62"/>
        <v>8.7699200510993336E-4</v>
      </c>
      <c r="FR64" s="9">
        <f t="shared" ca="1" si="62"/>
        <v>4.2549682447133863E-3</v>
      </c>
      <c r="FS64" s="9">
        <f t="shared" ca="1" si="62"/>
        <v>6.5080649883073605E-3</v>
      </c>
      <c r="FT64" s="9">
        <f t="shared" ca="1" si="62"/>
        <v>5.6551714825905375E-3</v>
      </c>
      <c r="FU64" s="9">
        <f t="shared" ca="1" si="62"/>
        <v>3.8777177073681113E-3</v>
      </c>
      <c r="FV64" s="9">
        <f t="shared" ca="1" si="62"/>
        <v>1.4849444651891641E-2</v>
      </c>
      <c r="FW64" s="9">
        <f t="shared" ca="1" si="62"/>
        <v>9.5270789034455072E-3</v>
      </c>
      <c r="FX64" s="9">
        <f t="shared" ca="1" si="62"/>
        <v>6.305930302549223E-3</v>
      </c>
      <c r="FY64" s="9">
        <f t="shared" ca="1" si="62"/>
        <v>3.5867018870406886E-3</v>
      </c>
      <c r="FZ64" s="9">
        <f t="shared" ca="1" si="62"/>
        <v>9.5772617537535076E-3</v>
      </c>
      <c r="GA64" s="9">
        <f t="shared" ca="1" si="62"/>
        <v>5.3609359475959018E-4</v>
      </c>
      <c r="GB64" s="9">
        <f t="shared" ca="1" si="62"/>
        <v>5.1441060580625919E-4</v>
      </c>
      <c r="GC64" s="9">
        <f t="shared" ca="1" si="62"/>
        <v>6.3049984804632864E-3</v>
      </c>
      <c r="GD64" s="9">
        <f t="shared" ca="1" si="62"/>
        <v>9.142019557010439E-3</v>
      </c>
      <c r="GE64" s="9">
        <f t="shared" ca="1" si="62"/>
        <v>9.2632556041081227E-3</v>
      </c>
      <c r="GF64" s="9">
        <f t="shared" ca="1" si="62"/>
        <v>6.5207476668269759E-3</v>
      </c>
      <c r="GG64" s="9">
        <f t="shared" ca="1" si="62"/>
        <v>2.1969854572676306E-2</v>
      </c>
      <c r="GH64" s="9">
        <f t="shared" ca="1" si="62"/>
        <v>5.3621187357445699E-2</v>
      </c>
      <c r="GI64" s="9">
        <f t="shared" ca="1" si="62"/>
        <v>5.9130667535553183E-2</v>
      </c>
      <c r="GJ64" s="9">
        <f t="shared" ca="1" si="62"/>
        <v>6.7261952633664635E-2</v>
      </c>
      <c r="GK64" s="9">
        <f t="shared" ca="1" si="62"/>
        <v>5.6111016366725774E-2</v>
      </c>
      <c r="GL64" s="9">
        <f t="shared" ref="GL64:IW64" ca="1" si="63">IF(GL37="","",ABS(GL37))</f>
        <v>4.3101208632104537E-2</v>
      </c>
      <c r="GM64" s="9">
        <f t="shared" ca="1" si="63"/>
        <v>3.4625262191724238E-2</v>
      </c>
      <c r="GN64" s="9">
        <f t="shared" ca="1" si="63"/>
        <v>3.9987398305354915E-2</v>
      </c>
      <c r="GO64" s="9">
        <f t="shared" ca="1" si="63"/>
        <v>3.3184849135025063E-3</v>
      </c>
      <c r="GP64" s="9">
        <f t="shared" ca="1" si="63"/>
        <v>6.5774746176817112E-2</v>
      </c>
      <c r="GQ64" s="9">
        <f t="shared" ca="1" si="63"/>
        <v>6.5511949851456253E-2</v>
      </c>
      <c r="GR64" s="9" t="str">
        <f t="shared" ca="1" si="63"/>
        <v/>
      </c>
      <c r="GS64" s="9" t="str">
        <f t="shared" ca="1" si="63"/>
        <v/>
      </c>
      <c r="GT64" s="9" t="str">
        <f t="shared" ca="1" si="63"/>
        <v/>
      </c>
      <c r="GU64" s="9" t="str">
        <f t="shared" ca="1" si="63"/>
        <v/>
      </c>
      <c r="GV64" s="9" t="str">
        <f t="shared" ca="1" si="63"/>
        <v/>
      </c>
      <c r="GW64" s="9" t="str">
        <f t="shared" ca="1" si="63"/>
        <v/>
      </c>
      <c r="GX64" s="9" t="str">
        <f t="shared" ca="1" si="63"/>
        <v/>
      </c>
      <c r="GY64" s="9" t="str">
        <f t="shared" ca="1" si="63"/>
        <v/>
      </c>
      <c r="GZ64" s="9" t="str">
        <f t="shared" ca="1" si="63"/>
        <v/>
      </c>
      <c r="HA64" s="9" t="str">
        <f t="shared" ca="1" si="63"/>
        <v/>
      </c>
      <c r="HB64" s="9" t="str">
        <f t="shared" ca="1" si="63"/>
        <v/>
      </c>
      <c r="HC64" s="9" t="str">
        <f t="shared" ca="1" si="63"/>
        <v/>
      </c>
      <c r="HD64" s="9" t="str">
        <f t="shared" ca="1" si="63"/>
        <v/>
      </c>
      <c r="HE64" s="9" t="str">
        <f t="shared" ca="1" si="63"/>
        <v/>
      </c>
      <c r="HF64" s="9" t="str">
        <f t="shared" ca="1" si="63"/>
        <v/>
      </c>
      <c r="HG64" s="9" t="str">
        <f t="shared" ca="1" si="63"/>
        <v/>
      </c>
      <c r="HH64" s="9" t="str">
        <f t="shared" ca="1" si="63"/>
        <v/>
      </c>
      <c r="HI64" s="9" t="str">
        <f t="shared" ca="1" si="63"/>
        <v/>
      </c>
      <c r="HJ64" s="9" t="str">
        <f t="shared" ca="1" si="63"/>
        <v/>
      </c>
      <c r="HK64" s="9" t="str">
        <f t="shared" ca="1" si="63"/>
        <v/>
      </c>
      <c r="HL64" s="9" t="str">
        <f t="shared" ca="1" si="63"/>
        <v/>
      </c>
      <c r="HM64" s="9" t="str">
        <f t="shared" ca="1" si="63"/>
        <v/>
      </c>
      <c r="HN64" s="9" t="str">
        <f t="shared" ca="1" si="63"/>
        <v/>
      </c>
      <c r="HO64" s="9" t="str">
        <f t="shared" ca="1" si="63"/>
        <v/>
      </c>
      <c r="HP64" s="9" t="str">
        <f t="shared" ca="1" si="63"/>
        <v/>
      </c>
      <c r="HQ64" s="9" t="str">
        <f t="shared" ca="1" si="63"/>
        <v/>
      </c>
      <c r="HR64" s="9" t="str">
        <f t="shared" ca="1" si="63"/>
        <v/>
      </c>
      <c r="HS64" s="9" t="str">
        <f t="shared" ca="1" si="63"/>
        <v/>
      </c>
      <c r="HT64" s="9" t="str">
        <f t="shared" ca="1" si="63"/>
        <v/>
      </c>
      <c r="HU64" s="9" t="str">
        <f t="shared" ca="1" si="63"/>
        <v/>
      </c>
      <c r="HV64" s="9" t="str">
        <f t="shared" ca="1" si="63"/>
        <v/>
      </c>
      <c r="HW64" s="9" t="str">
        <f t="shared" ca="1" si="63"/>
        <v/>
      </c>
      <c r="HX64" s="9" t="str">
        <f t="shared" ca="1" si="63"/>
        <v/>
      </c>
      <c r="HY64" s="9" t="str">
        <f t="shared" ca="1" si="63"/>
        <v/>
      </c>
      <c r="HZ64" s="9" t="str">
        <f t="shared" ca="1" si="63"/>
        <v/>
      </c>
      <c r="IA64" s="9" t="str">
        <f t="shared" ca="1" si="63"/>
        <v/>
      </c>
      <c r="IB64" s="9" t="str">
        <f t="shared" ca="1" si="63"/>
        <v/>
      </c>
      <c r="IC64" s="9" t="str">
        <f t="shared" ca="1" si="63"/>
        <v/>
      </c>
      <c r="ID64" s="9" t="str">
        <f t="shared" ca="1" si="63"/>
        <v/>
      </c>
      <c r="IE64" s="9" t="str">
        <f t="shared" ca="1" si="63"/>
        <v/>
      </c>
      <c r="IF64" s="9" t="str">
        <f t="shared" ca="1" si="63"/>
        <v/>
      </c>
      <c r="IG64" s="9" t="str">
        <f t="shared" ca="1" si="63"/>
        <v/>
      </c>
      <c r="IH64" s="9" t="str">
        <f t="shared" ca="1" si="63"/>
        <v/>
      </c>
      <c r="II64" s="9" t="str">
        <f t="shared" ca="1" si="63"/>
        <v/>
      </c>
      <c r="IJ64" s="9" t="str">
        <f t="shared" ca="1" si="63"/>
        <v/>
      </c>
      <c r="IK64" s="9" t="str">
        <f t="shared" ca="1" si="63"/>
        <v/>
      </c>
      <c r="IL64" s="9" t="str">
        <f t="shared" ca="1" si="63"/>
        <v/>
      </c>
      <c r="IM64" s="9" t="str">
        <f t="shared" ca="1" si="63"/>
        <v/>
      </c>
      <c r="IN64" s="9" t="str">
        <f t="shared" ca="1" si="63"/>
        <v/>
      </c>
      <c r="IO64" s="9" t="str">
        <f t="shared" ca="1" si="63"/>
        <v/>
      </c>
      <c r="IP64" s="9" t="str">
        <f t="shared" ca="1" si="63"/>
        <v/>
      </c>
      <c r="IQ64" s="9" t="str">
        <f t="shared" ca="1" si="63"/>
        <v/>
      </c>
      <c r="IR64" s="9" t="str">
        <f t="shared" ca="1" si="63"/>
        <v/>
      </c>
      <c r="IS64" s="9" t="str">
        <f t="shared" ca="1" si="63"/>
        <v/>
      </c>
      <c r="IT64" s="9" t="str">
        <f t="shared" ca="1" si="63"/>
        <v/>
      </c>
      <c r="IU64" s="9" t="str">
        <f t="shared" ca="1" si="63"/>
        <v/>
      </c>
      <c r="IV64" s="9" t="str">
        <f t="shared" ca="1" si="63"/>
        <v/>
      </c>
      <c r="IW64" s="9" t="str">
        <f t="shared" ca="1" si="63"/>
        <v/>
      </c>
      <c r="IX64" s="9" t="str">
        <f t="shared" ref="IX64:JH64" ca="1" si="64">IF(IX37="","",ABS(IX37))</f>
        <v/>
      </c>
      <c r="IY64" s="9" t="str">
        <f t="shared" ca="1" si="64"/>
        <v/>
      </c>
      <c r="IZ64" s="9" t="str">
        <f t="shared" ca="1" si="64"/>
        <v/>
      </c>
      <c r="JA64" s="9" t="str">
        <f t="shared" ca="1" si="64"/>
        <v/>
      </c>
      <c r="JB64" s="9" t="str">
        <f t="shared" ca="1" si="64"/>
        <v/>
      </c>
      <c r="JC64" s="9" t="str">
        <f t="shared" ca="1" si="64"/>
        <v/>
      </c>
      <c r="JD64" s="9" t="str">
        <f t="shared" ca="1" si="64"/>
        <v/>
      </c>
      <c r="JE64" s="9" t="str">
        <f t="shared" ca="1" si="64"/>
        <v/>
      </c>
      <c r="JF64" s="9" t="str">
        <f t="shared" ca="1" si="64"/>
        <v/>
      </c>
      <c r="JG64" s="9" t="str">
        <f t="shared" ca="1" si="64"/>
        <v/>
      </c>
      <c r="JH64" s="9" t="str">
        <f t="shared" ca="1" si="64"/>
        <v/>
      </c>
      <c r="JI64" s="13">
        <f t="shared" ca="1" si="24"/>
        <v>2.25079476286211E-2</v>
      </c>
      <c r="JJ64" s="13">
        <f t="shared" ca="1" si="25"/>
        <v>9.2632556041081227E-3</v>
      </c>
      <c r="JK64" s="14">
        <f t="shared" ca="1" si="26"/>
        <v>5.5368114768019803E-4</v>
      </c>
      <c r="JL64" s="17">
        <f t="shared" ca="1" si="34"/>
        <v>2.3530430248514329E-2</v>
      </c>
      <c r="JM64" s="15" t="str">
        <f t="shared" ca="1" si="27"/>
        <v>[ -2,46% ; 6,96% ]</v>
      </c>
      <c r="JN64" s="17">
        <f t="shared" ca="1" si="28"/>
        <v>3.011895071809834E-2</v>
      </c>
      <c r="LY64" s="1"/>
    </row>
    <row r="65" spans="1:337" x14ac:dyDescent="0.25">
      <c r="A65" s="4">
        <v>9</v>
      </c>
      <c r="B65" s="9">
        <f t="shared" ref="B65:BM65" ca="1" si="65">IF(B38="","",ABS(B38))</f>
        <v>2.3593592369397509E-4</v>
      </c>
      <c r="C65" s="9">
        <f t="shared" ca="1" si="65"/>
        <v>1.1933431381251358E-3</v>
      </c>
      <c r="D65" s="9">
        <f t="shared" ca="1" si="65"/>
        <v>1.8640408983872092E-4</v>
      </c>
      <c r="E65" s="9">
        <f t="shared" ca="1" si="65"/>
        <v>8.549143428995265E-4</v>
      </c>
      <c r="F65" s="9">
        <f t="shared" ca="1" si="65"/>
        <v>1.2444744129860297E-3</v>
      </c>
      <c r="G65" s="9">
        <f t="shared" ca="1" si="65"/>
        <v>6.8682870188541134E-4</v>
      </c>
      <c r="H65" s="9">
        <f t="shared" ca="1" si="65"/>
        <v>1.9140375955406519E-4</v>
      </c>
      <c r="I65" s="9">
        <f t="shared" ca="1" si="65"/>
        <v>2.5658631585167013E-3</v>
      </c>
      <c r="J65" s="9">
        <f t="shared" ca="1" si="65"/>
        <v>8.5337576491749667E-3</v>
      </c>
      <c r="K65" s="9">
        <f t="shared" ca="1" si="65"/>
        <v>1.5343703179126145E-2</v>
      </c>
      <c r="L65" s="9">
        <f t="shared" ca="1" si="65"/>
        <v>1.9515126785750625E-2</v>
      </c>
      <c r="M65" s="9">
        <f t="shared" ca="1" si="65"/>
        <v>2.143048452442009E-2</v>
      </c>
      <c r="N65" s="9">
        <f t="shared" ca="1" si="65"/>
        <v>2.41470541541291E-2</v>
      </c>
      <c r="O65" s="9">
        <f t="shared" ca="1" si="65"/>
        <v>2.5613010852947093E-2</v>
      </c>
      <c r="P65" s="9">
        <f t="shared" ca="1" si="65"/>
        <v>2.6107288011523289E-2</v>
      </c>
      <c r="Q65" s="9">
        <f t="shared" ca="1" si="65"/>
        <v>2.5765402723084252E-2</v>
      </c>
      <c r="R65" s="9">
        <f t="shared" ca="1" si="65"/>
        <v>2.4282438173021892E-2</v>
      </c>
      <c r="S65" s="9">
        <f t="shared" ca="1" si="65"/>
        <v>1.998006091677873E-2</v>
      </c>
      <c r="T65" s="9">
        <f t="shared" ca="1" si="65"/>
        <v>9.2376847125765771E-3</v>
      </c>
      <c r="U65" s="9">
        <f t="shared" ca="1" si="65"/>
        <v>9.7165655495334846E-4</v>
      </c>
      <c r="V65" s="9">
        <f t="shared" ca="1" si="65"/>
        <v>1.2443487499275374E-2</v>
      </c>
      <c r="W65" s="9">
        <f t="shared" ca="1" si="65"/>
        <v>1.6042268027905315E-2</v>
      </c>
      <c r="X65" s="9">
        <f t="shared" ca="1" si="65"/>
        <v>1.6539928184501118E-2</v>
      </c>
      <c r="Y65" s="9">
        <f t="shared" ca="1" si="65"/>
        <v>1.4705286468651879E-2</v>
      </c>
      <c r="Z65" s="9">
        <f t="shared" ca="1" si="65"/>
        <v>1.4382257427199674E-2</v>
      </c>
      <c r="AA65" s="9">
        <f t="shared" ca="1" si="65"/>
        <v>1.476548573305525E-2</v>
      </c>
      <c r="AB65" s="9">
        <f t="shared" ca="1" si="65"/>
        <v>8.1369623057134799E-3</v>
      </c>
      <c r="AC65" s="9">
        <f t="shared" ca="1" si="65"/>
        <v>1.3187137856738529E-2</v>
      </c>
      <c r="AD65" s="9">
        <f t="shared" ca="1" si="65"/>
        <v>8.3818933624091319E-3</v>
      </c>
      <c r="AE65" s="9">
        <f t="shared" ca="1" si="65"/>
        <v>5.3963576292117565E-3</v>
      </c>
      <c r="AF65" s="9">
        <f t="shared" ca="1" si="65"/>
        <v>2.3523321417188159E-3</v>
      </c>
      <c r="AG65" s="9">
        <f t="shared" ca="1" si="65"/>
        <v>2.7333220682783654E-3</v>
      </c>
      <c r="AH65" s="9">
        <f t="shared" ca="1" si="65"/>
        <v>1.107106537292446E-2</v>
      </c>
      <c r="AI65" s="9">
        <f t="shared" ca="1" si="65"/>
        <v>1.2300799415909669E-4</v>
      </c>
      <c r="AJ65" s="9">
        <f t="shared" ca="1" si="65"/>
        <v>5.1915978109300376E-3</v>
      </c>
      <c r="AK65" s="9">
        <f t="shared" ca="1" si="65"/>
        <v>1.2029848674331767E-2</v>
      </c>
      <c r="AL65" s="9">
        <f t="shared" ca="1" si="65"/>
        <v>1.0658516552202402E-2</v>
      </c>
      <c r="AM65" s="9">
        <f t="shared" ca="1" si="65"/>
        <v>1.4354446852351321E-2</v>
      </c>
      <c r="AN65" s="9">
        <f t="shared" ca="1" si="65"/>
        <v>1.2538008967633019E-2</v>
      </c>
      <c r="AO65" s="9">
        <f t="shared" ca="1" si="65"/>
        <v>1.6547834109437609E-2</v>
      </c>
      <c r="AP65" s="9">
        <f t="shared" ca="1" si="65"/>
        <v>1.0895055044342516E-2</v>
      </c>
      <c r="AQ65" s="9">
        <f t="shared" ca="1" si="65"/>
        <v>1.3427446802862342E-2</v>
      </c>
      <c r="AR65" s="9">
        <f t="shared" ca="1" si="65"/>
        <v>1.1392162630991853E-2</v>
      </c>
      <c r="AS65" s="9">
        <f t="shared" ca="1" si="65"/>
        <v>1.3063321474332312E-2</v>
      </c>
      <c r="AT65" s="9">
        <f t="shared" ca="1" si="65"/>
        <v>1.3237623219339856E-2</v>
      </c>
      <c r="AU65" s="9">
        <f t="shared" ca="1" si="65"/>
        <v>2.3401472435079951E-2</v>
      </c>
      <c r="AV65" s="9">
        <f t="shared" ca="1" si="65"/>
        <v>3.2046193252830646E-2</v>
      </c>
      <c r="AW65" s="9">
        <f t="shared" ca="1" si="65"/>
        <v>3.3594478535046379E-2</v>
      </c>
      <c r="AX65" s="9">
        <f t="shared" ca="1" si="65"/>
        <v>3.9280787392282246E-2</v>
      </c>
      <c r="AY65" s="9">
        <f t="shared" ca="1" si="65"/>
        <v>4.457285251240406E-2</v>
      </c>
      <c r="AZ65" s="9">
        <f t="shared" ca="1" si="65"/>
        <v>5.3246027846026722E-2</v>
      </c>
      <c r="BA65" s="9">
        <f t="shared" ca="1" si="65"/>
        <v>5.6400294592897415E-2</v>
      </c>
      <c r="BB65" s="9">
        <f t="shared" ca="1" si="65"/>
        <v>5.736069024462731E-2</v>
      </c>
      <c r="BC65" s="9">
        <f t="shared" ca="1" si="65"/>
        <v>5.9364401358700469E-2</v>
      </c>
      <c r="BD65" s="9">
        <f t="shared" ca="1" si="65"/>
        <v>4.657214288565048E-2</v>
      </c>
      <c r="BE65" s="9">
        <f t="shared" ca="1" si="65"/>
        <v>5.1619265085970589E-2</v>
      </c>
      <c r="BF65" s="9">
        <f t="shared" ca="1" si="65"/>
        <v>5.4673830073062479E-2</v>
      </c>
      <c r="BG65" s="9">
        <f t="shared" ca="1" si="65"/>
        <v>3.915206072733346E-2</v>
      </c>
      <c r="BH65" s="9">
        <f t="shared" ca="1" si="65"/>
        <v>1.0638030313494751E-2</v>
      </c>
      <c r="BI65" s="9">
        <f t="shared" ca="1" si="65"/>
        <v>3.0489097259852938E-2</v>
      </c>
      <c r="BJ65" s="9">
        <f t="shared" ca="1" si="65"/>
        <v>2.3862746410095115E-2</v>
      </c>
      <c r="BK65" s="9">
        <f t="shared" ca="1" si="65"/>
        <v>2.9148346071184328E-2</v>
      </c>
      <c r="BL65" s="9">
        <f t="shared" ca="1" si="65"/>
        <v>4.6920667926370285E-2</v>
      </c>
      <c r="BM65" s="9">
        <f t="shared" ca="1" si="65"/>
        <v>5.8895923518763271E-2</v>
      </c>
      <c r="BN65" s="9">
        <f t="shared" ref="BN65:DY65" ca="1" si="66">IF(BN38="","",ABS(BN38))</f>
        <v>3.4767779740078941E-2</v>
      </c>
      <c r="BO65" s="9">
        <f t="shared" ca="1" si="66"/>
        <v>1.9258750533351687E-2</v>
      </c>
      <c r="BP65" s="9">
        <f t="shared" ca="1" si="66"/>
        <v>1.9458918557274663E-2</v>
      </c>
      <c r="BQ65" s="9">
        <f t="shared" ca="1" si="66"/>
        <v>2.0954479232625389E-2</v>
      </c>
      <c r="BR65" s="9">
        <f t="shared" ca="1" si="66"/>
        <v>1.360613240311892E-3</v>
      </c>
      <c r="BS65" s="9">
        <f t="shared" ca="1" si="66"/>
        <v>1.353898561782696E-2</v>
      </c>
      <c r="BT65" s="9">
        <f t="shared" ca="1" si="66"/>
        <v>7.8391340232478735E-3</v>
      </c>
      <c r="BU65" s="9">
        <f t="shared" ca="1" si="66"/>
        <v>5.7277125408525809E-3</v>
      </c>
      <c r="BV65" s="9">
        <f t="shared" ca="1" si="66"/>
        <v>8.4729982562417039E-3</v>
      </c>
      <c r="BW65" s="9">
        <f t="shared" ca="1" si="66"/>
        <v>3.7260756756914981E-3</v>
      </c>
      <c r="BX65" s="9">
        <f t="shared" ca="1" si="66"/>
        <v>6.8670314870961091E-3</v>
      </c>
      <c r="BY65" s="9">
        <f t="shared" ca="1" si="66"/>
        <v>1.0294537216855137E-2</v>
      </c>
      <c r="BZ65" s="9">
        <f t="shared" ca="1" si="66"/>
        <v>3.2459189571304448E-3</v>
      </c>
      <c r="CA65" s="9">
        <f t="shared" ca="1" si="66"/>
        <v>1.9682309843899182E-3</v>
      </c>
      <c r="CB65" s="9">
        <f t="shared" ca="1" si="66"/>
        <v>3.1269167418246369E-3</v>
      </c>
      <c r="CC65" s="9">
        <f t="shared" ca="1" si="66"/>
        <v>7.4402677965450525E-3</v>
      </c>
      <c r="CD65" s="9">
        <f t="shared" ca="1" si="66"/>
        <v>2.7771415723143456E-3</v>
      </c>
      <c r="CE65" s="9">
        <f t="shared" ca="1" si="66"/>
        <v>4.9779411938857265E-3</v>
      </c>
      <c r="CF65" s="9">
        <f t="shared" ca="1" si="66"/>
        <v>4.1739305851162811E-3</v>
      </c>
      <c r="CG65" s="9">
        <f t="shared" ca="1" si="66"/>
        <v>1.7049354410314521E-4</v>
      </c>
      <c r="CH65" s="9">
        <f t="shared" ca="1" si="66"/>
        <v>9.4720359484257166E-3</v>
      </c>
      <c r="CI65" s="9">
        <f t="shared" ca="1" si="66"/>
        <v>1.3303615364546939E-2</v>
      </c>
      <c r="CJ65" s="9">
        <f t="shared" ca="1" si="66"/>
        <v>3.5231115615198538E-3</v>
      </c>
      <c r="CK65" s="9">
        <f t="shared" ca="1" si="66"/>
        <v>8.3384032145732423E-3</v>
      </c>
      <c r="CL65" s="9">
        <f t="shared" ca="1" si="66"/>
        <v>1.9442698045850193E-2</v>
      </c>
      <c r="CM65" s="9">
        <f t="shared" ca="1" si="66"/>
        <v>2.0494340621991736E-2</v>
      </c>
      <c r="CN65" s="9">
        <f t="shared" ca="1" si="66"/>
        <v>1.0435888558251172E-2</v>
      </c>
      <c r="CO65" s="9">
        <f t="shared" ca="1" si="66"/>
        <v>1.49190043478864E-2</v>
      </c>
      <c r="CP65" s="9">
        <f t="shared" ca="1" si="66"/>
        <v>1.9698842902249547E-2</v>
      </c>
      <c r="CQ65" s="9">
        <f t="shared" ca="1" si="66"/>
        <v>1.339337463053103E-2</v>
      </c>
      <c r="CR65" s="9">
        <f t="shared" ca="1" si="66"/>
        <v>2.5834364594732317E-3</v>
      </c>
      <c r="CS65" s="9">
        <f t="shared" ca="1" si="66"/>
        <v>2.022394959970697E-4</v>
      </c>
      <c r="CT65" s="9">
        <f t="shared" ca="1" si="66"/>
        <v>1.9695092184252916E-2</v>
      </c>
      <c r="CU65" s="9">
        <f t="shared" ca="1" si="66"/>
        <v>6.4588498750535184E-3</v>
      </c>
      <c r="CV65" s="9">
        <f t="shared" ca="1" si="66"/>
        <v>4.2439923139174773E-3</v>
      </c>
      <c r="CW65" s="9">
        <f t="shared" ca="1" si="66"/>
        <v>9.4392713473698819E-3</v>
      </c>
      <c r="CX65" s="9">
        <f t="shared" ca="1" si="66"/>
        <v>7.376891939119945E-3</v>
      </c>
      <c r="CY65" s="9">
        <f t="shared" ca="1" si="66"/>
        <v>1.0539309562366039E-2</v>
      </c>
      <c r="CZ65" s="9">
        <f t="shared" ca="1" si="66"/>
        <v>2.1381606492926197E-2</v>
      </c>
      <c r="DA65" s="9">
        <f t="shared" ca="1" si="66"/>
        <v>3.5541903109315154E-3</v>
      </c>
      <c r="DB65" s="9">
        <f t="shared" ca="1" si="66"/>
        <v>6.4878691200733751E-3</v>
      </c>
      <c r="DC65" s="9">
        <f t="shared" ca="1" si="66"/>
        <v>1.9933310956086192E-3</v>
      </c>
      <c r="DD65" s="9">
        <f t="shared" ca="1" si="66"/>
        <v>1.0987327351921206E-3</v>
      </c>
      <c r="DE65" s="9">
        <f t="shared" ca="1" si="66"/>
        <v>3.0546422398597617E-2</v>
      </c>
      <c r="DF65" s="9">
        <f t="shared" ca="1" si="66"/>
        <v>2.496147351277489E-2</v>
      </c>
      <c r="DG65" s="9">
        <f t="shared" ca="1" si="66"/>
        <v>2.1261040644516949E-2</v>
      </c>
      <c r="DH65" s="9">
        <f t="shared" ca="1" si="66"/>
        <v>2.3871226071039309E-2</v>
      </c>
      <c r="DI65" s="9">
        <f t="shared" ca="1" si="66"/>
        <v>3.0186384810288458E-2</v>
      </c>
      <c r="DJ65" s="9">
        <f t="shared" ca="1" si="66"/>
        <v>3.2040273265907193E-2</v>
      </c>
      <c r="DK65" s="9">
        <f t="shared" ca="1" si="66"/>
        <v>2.350101127721238E-2</v>
      </c>
      <c r="DL65" s="9">
        <f t="shared" ca="1" si="66"/>
        <v>3.0666813164096474E-2</v>
      </c>
      <c r="DM65" s="9">
        <f t="shared" ca="1" si="66"/>
        <v>3.7385859315349657E-2</v>
      </c>
      <c r="DN65" s="9">
        <f t="shared" ca="1" si="66"/>
        <v>3.2877050131188135E-2</v>
      </c>
      <c r="DO65" s="9">
        <f t="shared" ca="1" si="66"/>
        <v>2.8192990628563508E-2</v>
      </c>
      <c r="DP65" s="9">
        <f t="shared" ca="1" si="66"/>
        <v>1.2959841312870535E-2</v>
      </c>
      <c r="DQ65" s="9">
        <f t="shared" ca="1" si="66"/>
        <v>1.1165911159390141E-2</v>
      </c>
      <c r="DR65" s="9">
        <f t="shared" ca="1" si="66"/>
        <v>3.3767980435872591E-3</v>
      </c>
      <c r="DS65" s="9">
        <f t="shared" ca="1" si="66"/>
        <v>8.1502761749772112E-3</v>
      </c>
      <c r="DT65" s="9">
        <f t="shared" ca="1" si="66"/>
        <v>1.1050448119161227E-2</v>
      </c>
      <c r="DU65" s="9">
        <f t="shared" ca="1" si="66"/>
        <v>1.4233975993588666E-2</v>
      </c>
      <c r="DV65" s="9">
        <f t="shared" ca="1" si="66"/>
        <v>3.0736622443916506E-3</v>
      </c>
      <c r="DW65" s="9">
        <f t="shared" ca="1" si="66"/>
        <v>2.3547000953642039E-3</v>
      </c>
      <c r="DX65" s="9">
        <f t="shared" ca="1" si="66"/>
        <v>1.528571368866205E-2</v>
      </c>
      <c r="DY65" s="9">
        <f t="shared" ca="1" si="66"/>
        <v>1.9945088604305328E-2</v>
      </c>
      <c r="DZ65" s="9">
        <f t="shared" ref="DZ65:GK65" ca="1" si="67">IF(DZ38="","",ABS(DZ38))</f>
        <v>2.594751610041679E-2</v>
      </c>
      <c r="EA65" s="9">
        <f t="shared" ca="1" si="67"/>
        <v>1.5922824521028556E-2</v>
      </c>
      <c r="EB65" s="9">
        <f t="shared" ca="1" si="67"/>
        <v>2.0043055751728156E-2</v>
      </c>
      <c r="EC65" s="9">
        <f t="shared" ca="1" si="67"/>
        <v>4.4402681241373365E-4</v>
      </c>
      <c r="ED65" s="9">
        <f t="shared" ca="1" si="67"/>
        <v>6.8455761154202488E-3</v>
      </c>
      <c r="EE65" s="9">
        <f t="shared" ca="1" si="67"/>
        <v>9.7073579441409041E-3</v>
      </c>
      <c r="EF65" s="9">
        <f t="shared" ca="1" si="67"/>
        <v>2.1372393510528109E-3</v>
      </c>
      <c r="EG65" s="9">
        <f t="shared" ca="1" si="67"/>
        <v>1.3062302822824501E-2</v>
      </c>
      <c r="EH65" s="9">
        <f t="shared" ca="1" si="67"/>
        <v>1.6433529925548918E-2</v>
      </c>
      <c r="EI65" s="9">
        <f t="shared" ca="1" si="67"/>
        <v>1.6844974517047362E-2</v>
      </c>
      <c r="EJ65" s="9">
        <f t="shared" ca="1" si="67"/>
        <v>1.8634166310917966E-3</v>
      </c>
      <c r="EK65" s="9">
        <f t="shared" ca="1" si="67"/>
        <v>9.5234914857411646E-4</v>
      </c>
      <c r="EL65" s="9">
        <f t="shared" ca="1" si="67"/>
        <v>1.553941916400281E-2</v>
      </c>
      <c r="EM65" s="9">
        <f t="shared" ca="1" si="67"/>
        <v>1.0670568617301313E-2</v>
      </c>
      <c r="EN65" s="9">
        <f t="shared" ca="1" si="67"/>
        <v>9.8559333790820824E-3</v>
      </c>
      <c r="EO65" s="9">
        <f t="shared" ca="1" si="67"/>
        <v>1.7724535781584727E-3</v>
      </c>
      <c r="EP65" s="9">
        <f t="shared" ca="1" si="67"/>
        <v>4.3201885974970544E-3</v>
      </c>
      <c r="EQ65" s="9">
        <f t="shared" ca="1" si="67"/>
        <v>7.9514437108066938E-3</v>
      </c>
      <c r="ER65" s="9">
        <f t="shared" ca="1" si="67"/>
        <v>1.0461431639717023E-2</v>
      </c>
      <c r="ES65" s="9">
        <f t="shared" ca="1" si="67"/>
        <v>6.1336019179104584E-3</v>
      </c>
      <c r="ET65" s="9">
        <f t="shared" ca="1" si="67"/>
        <v>6.8145219713732219E-3</v>
      </c>
      <c r="EU65" s="9">
        <f t="shared" ca="1" si="67"/>
        <v>6.0534392963791372E-3</v>
      </c>
      <c r="EV65" s="9">
        <f t="shared" ca="1" si="67"/>
        <v>5.4583382331419017E-4</v>
      </c>
      <c r="EW65" s="9">
        <f t="shared" ca="1" si="67"/>
        <v>3.751930898196143E-3</v>
      </c>
      <c r="EX65" s="9">
        <f t="shared" ca="1" si="67"/>
        <v>1.7917589414735424E-2</v>
      </c>
      <c r="EY65" s="9">
        <f t="shared" ca="1" si="67"/>
        <v>1.5461798677776417E-2</v>
      </c>
      <c r="EZ65" s="9">
        <f t="shared" ca="1" si="67"/>
        <v>1.6150570600528269E-3</v>
      </c>
      <c r="FA65" s="9">
        <f t="shared" ca="1" si="67"/>
        <v>7.4219662278004472E-3</v>
      </c>
      <c r="FB65" s="9">
        <f t="shared" ca="1" si="67"/>
        <v>6.8518543435964752E-3</v>
      </c>
      <c r="FC65" s="9">
        <f t="shared" ca="1" si="67"/>
        <v>5.2815812784050564E-3</v>
      </c>
      <c r="FD65" s="9">
        <f t="shared" ca="1" si="67"/>
        <v>5.771396301035514E-3</v>
      </c>
      <c r="FE65" s="9">
        <f t="shared" ca="1" si="67"/>
        <v>2.3550991098786334E-3</v>
      </c>
      <c r="FF65" s="9">
        <f t="shared" ca="1" si="67"/>
        <v>1.179529016476466E-2</v>
      </c>
      <c r="FG65" s="9">
        <f t="shared" ca="1" si="67"/>
        <v>9.7263195492347521E-3</v>
      </c>
      <c r="FH65" s="9">
        <f t="shared" ca="1" si="67"/>
        <v>4.4638973558652761E-3</v>
      </c>
      <c r="FI65" s="9">
        <f t="shared" ca="1" si="67"/>
        <v>1.8963189780906164E-3</v>
      </c>
      <c r="FJ65" s="9">
        <f t="shared" ca="1" si="67"/>
        <v>1.6875580853432659E-2</v>
      </c>
      <c r="FK65" s="9">
        <f t="shared" ca="1" si="67"/>
        <v>7.3378895959318458E-3</v>
      </c>
      <c r="FL65" s="9">
        <f t="shared" ca="1" si="67"/>
        <v>8.4613448823711579E-4</v>
      </c>
      <c r="FM65" s="9">
        <f t="shared" ca="1" si="67"/>
        <v>4.9791247977057917E-3</v>
      </c>
      <c r="FN65" s="9">
        <f t="shared" ca="1" si="67"/>
        <v>2.2306796291554631E-3</v>
      </c>
      <c r="FO65" s="9">
        <f t="shared" ca="1" si="67"/>
        <v>2.7488363078154165E-3</v>
      </c>
      <c r="FP65" s="9">
        <f t="shared" ca="1" si="67"/>
        <v>6.7681922931206451E-4</v>
      </c>
      <c r="FQ65" s="9">
        <f t="shared" ca="1" si="67"/>
        <v>2.6679080640727992E-3</v>
      </c>
      <c r="FR65" s="9">
        <f t="shared" ca="1" si="67"/>
        <v>1.3547345158647639E-3</v>
      </c>
      <c r="FS65" s="9">
        <f t="shared" ca="1" si="67"/>
        <v>7.7231118021026113E-3</v>
      </c>
      <c r="FT65" s="9">
        <f t="shared" ca="1" si="67"/>
        <v>3.7967592984875509E-3</v>
      </c>
      <c r="FU65" s="9">
        <f t="shared" ca="1" si="67"/>
        <v>5.329734159738253E-3</v>
      </c>
      <c r="FV65" s="9">
        <f t="shared" ca="1" si="67"/>
        <v>1.6454699867767486E-2</v>
      </c>
      <c r="FW65" s="9">
        <f t="shared" ca="1" si="67"/>
        <v>9.3416168107522957E-3</v>
      </c>
      <c r="FX65" s="9">
        <f t="shared" ca="1" si="67"/>
        <v>8.8959208917696042E-3</v>
      </c>
      <c r="FY65" s="9">
        <f t="shared" ca="1" si="67"/>
        <v>8.3081248615912706E-4</v>
      </c>
      <c r="FZ65" s="9">
        <f t="shared" ca="1" si="67"/>
        <v>1.0835102165298816E-2</v>
      </c>
      <c r="GA65" s="9">
        <f t="shared" ca="1" si="67"/>
        <v>7.532107981729208E-4</v>
      </c>
      <c r="GB65" s="9">
        <f t="shared" ca="1" si="67"/>
        <v>2.6047732913114796E-4</v>
      </c>
      <c r="GC65" s="9">
        <f t="shared" ca="1" si="67"/>
        <v>7.7828266176442895E-3</v>
      </c>
      <c r="GD65" s="9">
        <f t="shared" ca="1" si="67"/>
        <v>1.2053300137663925E-2</v>
      </c>
      <c r="GE65" s="9">
        <f t="shared" ca="1" si="67"/>
        <v>7.9863397047705842E-3</v>
      </c>
      <c r="GF65" s="9">
        <f t="shared" ca="1" si="67"/>
        <v>2.6352634527522456E-2</v>
      </c>
      <c r="GG65" s="9">
        <f t="shared" ca="1" si="67"/>
        <v>6.2111940152116407E-2</v>
      </c>
      <c r="GH65" s="9">
        <f t="shared" ca="1" si="67"/>
        <v>5.7511820737847552E-2</v>
      </c>
      <c r="GI65" s="9">
        <f t="shared" ca="1" si="67"/>
        <v>5.861897123769455E-2</v>
      </c>
      <c r="GJ65" s="9">
        <f t="shared" ca="1" si="67"/>
        <v>5.9496346429070757E-2</v>
      </c>
      <c r="GK65" s="9">
        <f t="shared" ca="1" si="67"/>
        <v>4.72082809023322E-2</v>
      </c>
      <c r="GL65" s="9">
        <f t="shared" ref="GL65:IW65" ca="1" si="68">IF(GL38="","",ABS(GL38))</f>
        <v>3.8479712232378116E-2</v>
      </c>
      <c r="GM65" s="9">
        <f t="shared" ca="1" si="68"/>
        <v>2.9051469457486379E-2</v>
      </c>
      <c r="GN65" s="9">
        <f t="shared" ca="1" si="68"/>
        <v>3.5450314845332453E-2</v>
      </c>
      <c r="GO65" s="9">
        <f t="shared" ca="1" si="68"/>
        <v>8.047942944405917E-3</v>
      </c>
      <c r="GP65" s="9">
        <f t="shared" ca="1" si="68"/>
        <v>6.6116253385286039E-2</v>
      </c>
      <c r="GQ65" s="9" t="str">
        <f t="shared" ca="1" si="68"/>
        <v/>
      </c>
      <c r="GR65" s="9" t="str">
        <f t="shared" ca="1" si="68"/>
        <v/>
      </c>
      <c r="GS65" s="9" t="str">
        <f t="shared" ca="1" si="68"/>
        <v/>
      </c>
      <c r="GT65" s="9" t="str">
        <f t="shared" ca="1" si="68"/>
        <v/>
      </c>
      <c r="GU65" s="9" t="str">
        <f t="shared" ca="1" si="68"/>
        <v/>
      </c>
      <c r="GV65" s="9" t="str">
        <f t="shared" ca="1" si="68"/>
        <v/>
      </c>
      <c r="GW65" s="9" t="str">
        <f t="shared" ca="1" si="68"/>
        <v/>
      </c>
      <c r="GX65" s="9" t="str">
        <f t="shared" ca="1" si="68"/>
        <v/>
      </c>
      <c r="GY65" s="9" t="str">
        <f t="shared" ca="1" si="68"/>
        <v/>
      </c>
      <c r="GZ65" s="9" t="str">
        <f t="shared" ca="1" si="68"/>
        <v/>
      </c>
      <c r="HA65" s="9" t="str">
        <f t="shared" ca="1" si="68"/>
        <v/>
      </c>
      <c r="HB65" s="9" t="str">
        <f t="shared" ca="1" si="68"/>
        <v/>
      </c>
      <c r="HC65" s="9" t="str">
        <f t="shared" ca="1" si="68"/>
        <v/>
      </c>
      <c r="HD65" s="9" t="str">
        <f t="shared" ca="1" si="68"/>
        <v/>
      </c>
      <c r="HE65" s="9" t="str">
        <f t="shared" ca="1" si="68"/>
        <v/>
      </c>
      <c r="HF65" s="9" t="str">
        <f t="shared" ca="1" si="68"/>
        <v/>
      </c>
      <c r="HG65" s="9" t="str">
        <f t="shared" ca="1" si="68"/>
        <v/>
      </c>
      <c r="HH65" s="9" t="str">
        <f t="shared" ca="1" si="68"/>
        <v/>
      </c>
      <c r="HI65" s="9" t="str">
        <f t="shared" ca="1" si="68"/>
        <v/>
      </c>
      <c r="HJ65" s="9" t="str">
        <f t="shared" ca="1" si="68"/>
        <v/>
      </c>
      <c r="HK65" s="9" t="str">
        <f t="shared" ca="1" si="68"/>
        <v/>
      </c>
      <c r="HL65" s="9" t="str">
        <f t="shared" ca="1" si="68"/>
        <v/>
      </c>
      <c r="HM65" s="9" t="str">
        <f t="shared" ca="1" si="68"/>
        <v/>
      </c>
      <c r="HN65" s="9" t="str">
        <f t="shared" ca="1" si="68"/>
        <v/>
      </c>
      <c r="HO65" s="9" t="str">
        <f t="shared" ca="1" si="68"/>
        <v/>
      </c>
      <c r="HP65" s="9" t="str">
        <f t="shared" ca="1" si="68"/>
        <v/>
      </c>
      <c r="HQ65" s="9" t="str">
        <f t="shared" ca="1" si="68"/>
        <v/>
      </c>
      <c r="HR65" s="9" t="str">
        <f t="shared" ca="1" si="68"/>
        <v/>
      </c>
      <c r="HS65" s="9" t="str">
        <f t="shared" ca="1" si="68"/>
        <v/>
      </c>
      <c r="HT65" s="9" t="str">
        <f t="shared" ca="1" si="68"/>
        <v/>
      </c>
      <c r="HU65" s="9" t="str">
        <f t="shared" ca="1" si="68"/>
        <v/>
      </c>
      <c r="HV65" s="9" t="str">
        <f t="shared" ca="1" si="68"/>
        <v/>
      </c>
      <c r="HW65" s="9" t="str">
        <f t="shared" ca="1" si="68"/>
        <v/>
      </c>
      <c r="HX65" s="9" t="str">
        <f t="shared" ca="1" si="68"/>
        <v/>
      </c>
      <c r="HY65" s="9" t="str">
        <f t="shared" ca="1" si="68"/>
        <v/>
      </c>
      <c r="HZ65" s="9" t="str">
        <f t="shared" ca="1" si="68"/>
        <v/>
      </c>
      <c r="IA65" s="9" t="str">
        <f t="shared" ca="1" si="68"/>
        <v/>
      </c>
      <c r="IB65" s="9" t="str">
        <f t="shared" ca="1" si="68"/>
        <v/>
      </c>
      <c r="IC65" s="9" t="str">
        <f t="shared" ca="1" si="68"/>
        <v/>
      </c>
      <c r="ID65" s="9" t="str">
        <f t="shared" ca="1" si="68"/>
        <v/>
      </c>
      <c r="IE65" s="9" t="str">
        <f t="shared" ca="1" si="68"/>
        <v/>
      </c>
      <c r="IF65" s="9" t="str">
        <f t="shared" ca="1" si="68"/>
        <v/>
      </c>
      <c r="IG65" s="9" t="str">
        <f t="shared" ca="1" si="68"/>
        <v/>
      </c>
      <c r="IH65" s="9" t="str">
        <f t="shared" ca="1" si="68"/>
        <v/>
      </c>
      <c r="II65" s="9" t="str">
        <f t="shared" ca="1" si="68"/>
        <v/>
      </c>
      <c r="IJ65" s="9" t="str">
        <f t="shared" ca="1" si="68"/>
        <v/>
      </c>
      <c r="IK65" s="9" t="str">
        <f t="shared" ca="1" si="68"/>
        <v/>
      </c>
      <c r="IL65" s="9" t="str">
        <f t="shared" ca="1" si="68"/>
        <v/>
      </c>
      <c r="IM65" s="9" t="str">
        <f t="shared" ca="1" si="68"/>
        <v/>
      </c>
      <c r="IN65" s="9" t="str">
        <f t="shared" ca="1" si="68"/>
        <v/>
      </c>
      <c r="IO65" s="9" t="str">
        <f t="shared" ca="1" si="68"/>
        <v/>
      </c>
      <c r="IP65" s="9" t="str">
        <f t="shared" ca="1" si="68"/>
        <v/>
      </c>
      <c r="IQ65" s="9" t="str">
        <f t="shared" ca="1" si="68"/>
        <v/>
      </c>
      <c r="IR65" s="9" t="str">
        <f t="shared" ca="1" si="68"/>
        <v/>
      </c>
      <c r="IS65" s="9" t="str">
        <f t="shared" ca="1" si="68"/>
        <v/>
      </c>
      <c r="IT65" s="9" t="str">
        <f t="shared" ca="1" si="68"/>
        <v/>
      </c>
      <c r="IU65" s="9" t="str">
        <f t="shared" ca="1" si="68"/>
        <v/>
      </c>
      <c r="IV65" s="9" t="str">
        <f t="shared" ca="1" si="68"/>
        <v/>
      </c>
      <c r="IW65" s="9" t="str">
        <f t="shared" ca="1" si="68"/>
        <v/>
      </c>
      <c r="IX65" s="9" t="str">
        <f t="shared" ref="IX65:JH65" ca="1" si="69">IF(IX38="","",ABS(IX38))</f>
        <v/>
      </c>
      <c r="IY65" s="9" t="str">
        <f t="shared" ca="1" si="69"/>
        <v/>
      </c>
      <c r="IZ65" s="9" t="str">
        <f t="shared" ca="1" si="69"/>
        <v/>
      </c>
      <c r="JA65" s="9" t="str">
        <f t="shared" ca="1" si="69"/>
        <v/>
      </c>
      <c r="JB65" s="9" t="str">
        <f t="shared" ca="1" si="69"/>
        <v/>
      </c>
      <c r="JC65" s="9" t="str">
        <f t="shared" ca="1" si="69"/>
        <v/>
      </c>
      <c r="JD65" s="9" t="str">
        <f t="shared" ca="1" si="69"/>
        <v/>
      </c>
      <c r="JE65" s="9" t="str">
        <f t="shared" ca="1" si="69"/>
        <v/>
      </c>
      <c r="JF65" s="9" t="str">
        <f t="shared" ca="1" si="69"/>
        <v/>
      </c>
      <c r="JG65" s="9" t="str">
        <f t="shared" ca="1" si="69"/>
        <v/>
      </c>
      <c r="JH65" s="9" t="str">
        <f t="shared" ca="1" si="69"/>
        <v/>
      </c>
      <c r="JI65" s="13">
        <f t="shared" ca="1" si="24"/>
        <v>2.248124005772573E-2</v>
      </c>
      <c r="JJ65" s="13">
        <f t="shared" ca="1" si="25"/>
        <v>1.0088359488025556E-2</v>
      </c>
      <c r="JK65" s="14">
        <f t="shared" ca="1" si="26"/>
        <v>4.9532678075753093E-4</v>
      </c>
      <c r="JL65" s="17">
        <f t="shared" ca="1" si="34"/>
        <v>2.2255938101044651E-2</v>
      </c>
      <c r="JM65" s="15" t="str">
        <f t="shared" ca="1" si="27"/>
        <v>[ -2,20% ; 6,70% ]</v>
      </c>
      <c r="JN65" s="17">
        <f t="shared" ca="1" si="28"/>
        <v>2.8487600769337155E-2</v>
      </c>
      <c r="LY65" s="1"/>
    </row>
    <row r="66" spans="1:337" x14ac:dyDescent="0.25">
      <c r="A66" s="4">
        <v>10</v>
      </c>
      <c r="B66" s="9">
        <f t="shared" ref="B66:BM66" ca="1" si="70">IF(B39="","",ABS(B39))</f>
        <v>1.3057927057033014E-3</v>
      </c>
      <c r="C66" s="9">
        <f t="shared" ca="1" si="70"/>
        <v>1.4369037782135941E-3</v>
      </c>
      <c r="D66" s="9">
        <f t="shared" ca="1" si="70"/>
        <v>3.4992212768836239E-4</v>
      </c>
      <c r="E66" s="9">
        <f t="shared" ca="1" si="70"/>
        <v>4.4661573667825749E-4</v>
      </c>
      <c r="F66" s="9">
        <f t="shared" ca="1" si="70"/>
        <v>1.1731706894502203E-3</v>
      </c>
      <c r="G66" s="9">
        <f t="shared" ca="1" si="70"/>
        <v>3.7915059808102392E-4</v>
      </c>
      <c r="H66" s="9">
        <f t="shared" ca="1" si="70"/>
        <v>2.0977218939315367E-3</v>
      </c>
      <c r="I66" s="9">
        <f t="shared" ca="1" si="70"/>
        <v>5.9818548286206807E-3</v>
      </c>
      <c r="J66" s="9">
        <f t="shared" ca="1" si="70"/>
        <v>1.6210233894560999E-2</v>
      </c>
      <c r="K66" s="9">
        <f t="shared" ca="1" si="70"/>
        <v>2.0675108303620848E-2</v>
      </c>
      <c r="L66" s="9">
        <f t="shared" ca="1" si="70"/>
        <v>2.1931416576862817E-2</v>
      </c>
      <c r="M66" s="9">
        <f t="shared" ca="1" si="70"/>
        <v>2.4173544437204653E-2</v>
      </c>
      <c r="N66" s="9">
        <f t="shared" ca="1" si="70"/>
        <v>2.6579764526896921E-2</v>
      </c>
      <c r="O66" s="9">
        <f t="shared" ca="1" si="70"/>
        <v>2.563293515304077E-2</v>
      </c>
      <c r="P66" s="9">
        <f t="shared" ca="1" si="70"/>
        <v>2.5646908036793037E-2</v>
      </c>
      <c r="Q66" s="9">
        <f t="shared" ca="1" si="70"/>
        <v>2.6420035479475135E-2</v>
      </c>
      <c r="R66" s="9">
        <f t="shared" ca="1" si="70"/>
        <v>2.3665432520867724E-2</v>
      </c>
      <c r="S66" s="9">
        <f t="shared" ca="1" si="70"/>
        <v>2.073254265961233E-2</v>
      </c>
      <c r="T66" s="9">
        <f t="shared" ca="1" si="70"/>
        <v>9.0732123160955913E-3</v>
      </c>
      <c r="U66" s="9">
        <f t="shared" ca="1" si="70"/>
        <v>1.014456886136772E-3</v>
      </c>
      <c r="V66" s="9">
        <f t="shared" ca="1" si="70"/>
        <v>1.5098794589492481E-2</v>
      </c>
      <c r="W66" s="9">
        <f t="shared" ca="1" si="70"/>
        <v>1.9327901720547658E-2</v>
      </c>
      <c r="X66" s="9">
        <f t="shared" ca="1" si="70"/>
        <v>2.1906362187823269E-2</v>
      </c>
      <c r="Y66" s="9">
        <f t="shared" ca="1" si="70"/>
        <v>1.4418812639302558E-2</v>
      </c>
      <c r="Z66" s="9">
        <f t="shared" ca="1" si="70"/>
        <v>1.3772436720089098E-2</v>
      </c>
      <c r="AA66" s="9">
        <f t="shared" ca="1" si="70"/>
        <v>1.402013451048445E-2</v>
      </c>
      <c r="AB66" s="9">
        <f t="shared" ca="1" si="70"/>
        <v>8.0937048764941899E-3</v>
      </c>
      <c r="AC66" s="9">
        <f t="shared" ca="1" si="70"/>
        <v>1.2121099925375134E-2</v>
      </c>
      <c r="AD66" s="9">
        <f t="shared" ca="1" si="70"/>
        <v>8.51591321984424E-3</v>
      </c>
      <c r="AE66" s="9">
        <f t="shared" ca="1" si="70"/>
        <v>4.431486254230288E-3</v>
      </c>
      <c r="AF66" s="9">
        <f t="shared" ca="1" si="70"/>
        <v>6.3904637075218318E-4</v>
      </c>
      <c r="AG66" s="9">
        <f t="shared" ca="1" si="70"/>
        <v>2.0019655286358518E-3</v>
      </c>
      <c r="AH66" s="9">
        <f t="shared" ca="1" si="70"/>
        <v>7.9171904420762829E-3</v>
      </c>
      <c r="AI66" s="9">
        <f t="shared" ca="1" si="70"/>
        <v>2.229110657173905E-3</v>
      </c>
      <c r="AJ66" s="9">
        <f t="shared" ca="1" si="70"/>
        <v>8.2878831244663775E-3</v>
      </c>
      <c r="AK66" s="9">
        <f t="shared" ca="1" si="70"/>
        <v>1.2508619404935084E-2</v>
      </c>
      <c r="AL66" s="9">
        <f t="shared" ca="1" si="70"/>
        <v>1.0720743933330779E-2</v>
      </c>
      <c r="AM66" s="9">
        <f t="shared" ca="1" si="70"/>
        <v>1.5704212715162758E-2</v>
      </c>
      <c r="AN66" s="9">
        <f t="shared" ca="1" si="70"/>
        <v>1.3544546569377758E-2</v>
      </c>
      <c r="AO66" s="9">
        <f t="shared" ca="1" si="70"/>
        <v>1.9350414263160864E-2</v>
      </c>
      <c r="AP66" s="9">
        <f t="shared" ca="1" si="70"/>
        <v>1.3246678733626283E-2</v>
      </c>
      <c r="AQ66" s="9">
        <f t="shared" ca="1" si="70"/>
        <v>1.6711691659542449E-2</v>
      </c>
      <c r="AR66" s="9">
        <f t="shared" ca="1" si="70"/>
        <v>1.491085909758838E-2</v>
      </c>
      <c r="AS66" s="9">
        <f t="shared" ca="1" si="70"/>
        <v>1.8637433577908258E-2</v>
      </c>
      <c r="AT66" s="9">
        <f t="shared" ca="1" si="70"/>
        <v>2.1253476235621127E-2</v>
      </c>
      <c r="AU66" s="9">
        <f t="shared" ca="1" si="70"/>
        <v>2.90201510051602E-2</v>
      </c>
      <c r="AV66" s="9">
        <f t="shared" ca="1" si="70"/>
        <v>3.6580163981553726E-2</v>
      </c>
      <c r="AW66" s="9">
        <f t="shared" ca="1" si="70"/>
        <v>4.0053913184344259E-2</v>
      </c>
      <c r="AX66" s="9">
        <f t="shared" ca="1" si="70"/>
        <v>4.8489428147541425E-2</v>
      </c>
      <c r="AY66" s="9">
        <f t="shared" ca="1" si="70"/>
        <v>5.7034197838493839E-2</v>
      </c>
      <c r="AZ66" s="9">
        <f t="shared" ca="1" si="70"/>
        <v>6.2989894249994238E-2</v>
      </c>
      <c r="BA66" s="9">
        <f t="shared" ca="1" si="70"/>
        <v>6.6137287075750395E-2</v>
      </c>
      <c r="BB66" s="9">
        <f t="shared" ca="1" si="70"/>
        <v>6.6654982153451003E-2</v>
      </c>
      <c r="BC66" s="9">
        <f t="shared" ca="1" si="70"/>
        <v>6.7181010452459944E-2</v>
      </c>
      <c r="BD66" s="9">
        <f t="shared" ca="1" si="70"/>
        <v>5.0350434665702215E-2</v>
      </c>
      <c r="BE66" s="9">
        <f t="shared" ca="1" si="70"/>
        <v>5.2125762551546106E-2</v>
      </c>
      <c r="BF66" s="9">
        <f t="shared" ca="1" si="70"/>
        <v>5.5196708946370965E-2</v>
      </c>
      <c r="BG66" s="9">
        <f t="shared" ca="1" si="70"/>
        <v>3.9924321292510667E-2</v>
      </c>
      <c r="BH66" s="9">
        <f t="shared" ca="1" si="70"/>
        <v>4.0494041127994151E-3</v>
      </c>
      <c r="BI66" s="9">
        <f t="shared" ca="1" si="70"/>
        <v>3.6480141622598827E-2</v>
      </c>
      <c r="BJ66" s="9">
        <f t="shared" ca="1" si="70"/>
        <v>2.7952501258018292E-2</v>
      </c>
      <c r="BK66" s="9">
        <f t="shared" ca="1" si="70"/>
        <v>3.4539341544396418E-2</v>
      </c>
      <c r="BL66" s="9">
        <f t="shared" ca="1" si="70"/>
        <v>5.5421263236346996E-2</v>
      </c>
      <c r="BM66" s="9">
        <f t="shared" ca="1" si="70"/>
        <v>6.6085340582965557E-2</v>
      </c>
      <c r="BN66" s="9">
        <f t="shared" ref="BN66:DY66" ca="1" si="71">IF(BN39="","",ABS(BN39))</f>
        <v>3.8868419601276738E-2</v>
      </c>
      <c r="BO66" s="9">
        <f t="shared" ca="1" si="71"/>
        <v>2.0363391030291722E-2</v>
      </c>
      <c r="BP66" s="9">
        <f t="shared" ca="1" si="71"/>
        <v>2.220535739481877E-2</v>
      </c>
      <c r="BQ66" s="9">
        <f t="shared" ca="1" si="71"/>
        <v>2.3559232959526999E-2</v>
      </c>
      <c r="BR66" s="9">
        <f t="shared" ca="1" si="71"/>
        <v>1.634643825443538E-3</v>
      </c>
      <c r="BS66" s="9">
        <f t="shared" ca="1" si="71"/>
        <v>1.3246311600003668E-2</v>
      </c>
      <c r="BT66" s="9">
        <f t="shared" ca="1" si="71"/>
        <v>1.0114795904346718E-2</v>
      </c>
      <c r="BU66" s="9">
        <f t="shared" ca="1" si="71"/>
        <v>7.3095205842332867E-3</v>
      </c>
      <c r="BV66" s="9">
        <f t="shared" ca="1" si="71"/>
        <v>9.5525167920942344E-3</v>
      </c>
      <c r="BW66" s="9">
        <f t="shared" ca="1" si="71"/>
        <v>3.0274144954116622E-3</v>
      </c>
      <c r="BX66" s="9">
        <f t="shared" ca="1" si="71"/>
        <v>1.0262314921182236E-2</v>
      </c>
      <c r="BY66" s="9">
        <f t="shared" ca="1" si="71"/>
        <v>1.2080060358465206E-2</v>
      </c>
      <c r="BZ66" s="9">
        <f t="shared" ca="1" si="71"/>
        <v>5.6097803284482772E-4</v>
      </c>
      <c r="CA66" s="9">
        <f t="shared" ca="1" si="71"/>
        <v>2.8307034971428724E-3</v>
      </c>
      <c r="CB66" s="9">
        <f t="shared" ca="1" si="71"/>
        <v>5.0939872800087604E-3</v>
      </c>
      <c r="CC66" s="9">
        <f t="shared" ca="1" si="71"/>
        <v>8.4447407275585196E-3</v>
      </c>
      <c r="CD66" s="9">
        <f t="shared" ca="1" si="71"/>
        <v>5.5658450944722215E-3</v>
      </c>
      <c r="CE66" s="9">
        <f t="shared" ca="1" si="71"/>
        <v>7.0003319069922298E-3</v>
      </c>
      <c r="CF66" s="9">
        <f t="shared" ca="1" si="71"/>
        <v>3.8274191936489288E-3</v>
      </c>
      <c r="CG66" s="9">
        <f t="shared" ca="1" si="71"/>
        <v>9.4157998507093943E-4</v>
      </c>
      <c r="CH66" s="9">
        <f t="shared" ca="1" si="71"/>
        <v>1.4123414593498307E-2</v>
      </c>
      <c r="CI66" s="9">
        <f t="shared" ca="1" si="71"/>
        <v>1.7496859530838238E-2</v>
      </c>
      <c r="CJ66" s="9">
        <f t="shared" ca="1" si="71"/>
        <v>4.9948568586145603E-3</v>
      </c>
      <c r="CK66" s="9">
        <f t="shared" ca="1" si="71"/>
        <v>1.4058819715732085E-2</v>
      </c>
      <c r="CL66" s="9">
        <f t="shared" ca="1" si="71"/>
        <v>2.3675783887691759E-2</v>
      </c>
      <c r="CM66" s="9">
        <f t="shared" ca="1" si="71"/>
        <v>2.3338805727652234E-2</v>
      </c>
      <c r="CN66" s="9">
        <f t="shared" ca="1" si="71"/>
        <v>1.2820207868316613E-2</v>
      </c>
      <c r="CO66" s="9">
        <f t="shared" ca="1" si="71"/>
        <v>1.6800230840300578E-2</v>
      </c>
      <c r="CP66" s="9">
        <f t="shared" ca="1" si="71"/>
        <v>1.7843764936369411E-2</v>
      </c>
      <c r="CQ66" s="9">
        <f t="shared" ca="1" si="71"/>
        <v>1.5555977287275313E-2</v>
      </c>
      <c r="CR66" s="9">
        <f t="shared" ca="1" si="71"/>
        <v>7.8014522882896564E-4</v>
      </c>
      <c r="CS66" s="9">
        <f t="shared" ca="1" si="71"/>
        <v>1.2582569318813075E-3</v>
      </c>
      <c r="CT66" s="9">
        <f t="shared" ca="1" si="71"/>
        <v>2.0963332709590832E-2</v>
      </c>
      <c r="CU66" s="9">
        <f t="shared" ca="1" si="71"/>
        <v>1.2433693975139715E-2</v>
      </c>
      <c r="CV66" s="9">
        <f t="shared" ca="1" si="71"/>
        <v>7.3777908510410661E-3</v>
      </c>
      <c r="CW66" s="9">
        <f t="shared" ca="1" si="71"/>
        <v>1.1530466916544801E-2</v>
      </c>
      <c r="CX66" s="9">
        <f t="shared" ca="1" si="71"/>
        <v>7.4109168192464381E-3</v>
      </c>
      <c r="CY66" s="9">
        <f t="shared" ca="1" si="71"/>
        <v>9.8727326804877169E-3</v>
      </c>
      <c r="CZ66" s="9">
        <f t="shared" ca="1" si="71"/>
        <v>2.0306297255478167E-2</v>
      </c>
      <c r="DA66" s="9">
        <f t="shared" ca="1" si="71"/>
        <v>3.7707346647697371E-4</v>
      </c>
      <c r="DB66" s="9">
        <f t="shared" ca="1" si="71"/>
        <v>6.2323990027348675E-3</v>
      </c>
      <c r="DC66" s="9">
        <f t="shared" ca="1" si="71"/>
        <v>4.6603057639904577E-4</v>
      </c>
      <c r="DD66" s="9">
        <f t="shared" ca="1" si="71"/>
        <v>2.3743430552569667E-3</v>
      </c>
      <c r="DE66" s="9">
        <f t="shared" ca="1" si="71"/>
        <v>3.4873433906428497E-2</v>
      </c>
      <c r="DF66" s="9">
        <f t="shared" ca="1" si="71"/>
        <v>3.2011511944032067E-2</v>
      </c>
      <c r="DG66" s="9">
        <f t="shared" ca="1" si="71"/>
        <v>2.8248814821205226E-2</v>
      </c>
      <c r="DH66" s="9">
        <f t="shared" ca="1" si="71"/>
        <v>3.1973907316534045E-2</v>
      </c>
      <c r="DI66" s="9">
        <f t="shared" ca="1" si="71"/>
        <v>3.5285922742780862E-2</v>
      </c>
      <c r="DJ66" s="9">
        <f t="shared" ca="1" si="71"/>
        <v>3.5335538797425126E-2</v>
      </c>
      <c r="DK66" s="9">
        <f t="shared" ca="1" si="71"/>
        <v>2.6748004741704579E-2</v>
      </c>
      <c r="DL66" s="9">
        <f t="shared" ca="1" si="71"/>
        <v>3.5547492613931864E-2</v>
      </c>
      <c r="DM66" s="9">
        <f t="shared" ca="1" si="71"/>
        <v>4.2112631764076092E-2</v>
      </c>
      <c r="DN66" s="9">
        <f t="shared" ca="1" si="71"/>
        <v>3.3300011273821095E-2</v>
      </c>
      <c r="DO66" s="9">
        <f t="shared" ca="1" si="71"/>
        <v>2.8510614156061154E-2</v>
      </c>
      <c r="DP66" s="9">
        <f t="shared" ca="1" si="71"/>
        <v>1.1805252121530607E-2</v>
      </c>
      <c r="DQ66" s="9">
        <f t="shared" ca="1" si="71"/>
        <v>1.3331609621146323E-2</v>
      </c>
      <c r="DR66" s="9">
        <f t="shared" ca="1" si="71"/>
        <v>4.0063966951029428E-3</v>
      </c>
      <c r="DS66" s="9">
        <f t="shared" ca="1" si="71"/>
        <v>1.1931052589842839E-2</v>
      </c>
      <c r="DT66" s="9">
        <f t="shared" ca="1" si="71"/>
        <v>1.4895683118197556E-2</v>
      </c>
      <c r="DU66" s="9">
        <f t="shared" ca="1" si="71"/>
        <v>1.3840535114196362E-2</v>
      </c>
      <c r="DV66" s="9">
        <f t="shared" ca="1" si="71"/>
        <v>6.1974111881126781E-3</v>
      </c>
      <c r="DW66" s="9">
        <f t="shared" ca="1" si="71"/>
        <v>7.4738431312580955E-3</v>
      </c>
      <c r="DX66" s="9">
        <f t="shared" ca="1" si="71"/>
        <v>2.0225794394162278E-2</v>
      </c>
      <c r="DY66" s="9">
        <f t="shared" ca="1" si="71"/>
        <v>2.1431106938147537E-2</v>
      </c>
      <c r="DZ66" s="9">
        <f t="shared" ref="DZ66:GK66" ca="1" si="72">IF(DZ39="","",ABS(DZ39))</f>
        <v>2.4742074128815794E-2</v>
      </c>
      <c r="EA66" s="9">
        <f t="shared" ca="1" si="72"/>
        <v>1.4895821852455637E-2</v>
      </c>
      <c r="EB66" s="9">
        <f t="shared" ca="1" si="72"/>
        <v>1.7926430304082808E-2</v>
      </c>
      <c r="EC66" s="9">
        <f t="shared" ca="1" si="72"/>
        <v>2.5720711576893152E-4</v>
      </c>
      <c r="ED66" s="9">
        <f t="shared" ca="1" si="72"/>
        <v>5.3267351572885424E-3</v>
      </c>
      <c r="EE66" s="9">
        <f t="shared" ca="1" si="72"/>
        <v>1.1201939430229291E-2</v>
      </c>
      <c r="EF66" s="9">
        <f t="shared" ca="1" si="72"/>
        <v>2.3216376716161946E-4</v>
      </c>
      <c r="EG66" s="9">
        <f t="shared" ca="1" si="72"/>
        <v>1.4779501551213992E-2</v>
      </c>
      <c r="EH66" s="9">
        <f t="shared" ca="1" si="72"/>
        <v>1.7649836634203053E-2</v>
      </c>
      <c r="EI66" s="9">
        <f t="shared" ca="1" si="72"/>
        <v>1.4584737411396986E-2</v>
      </c>
      <c r="EJ66" s="9">
        <f t="shared" ca="1" si="72"/>
        <v>3.6062407174708433E-3</v>
      </c>
      <c r="EK66" s="9">
        <f t="shared" ca="1" si="72"/>
        <v>1.4063006835414171E-3</v>
      </c>
      <c r="EL66" s="9">
        <f t="shared" ca="1" si="72"/>
        <v>1.7893214917666267E-2</v>
      </c>
      <c r="EM66" s="9">
        <f t="shared" ca="1" si="72"/>
        <v>1.0860465124587049E-2</v>
      </c>
      <c r="EN66" s="9">
        <f t="shared" ca="1" si="72"/>
        <v>5.6010546242913906E-3</v>
      </c>
      <c r="EO66" s="9">
        <f t="shared" ca="1" si="72"/>
        <v>2.3435386195589381E-3</v>
      </c>
      <c r="EP66" s="9">
        <f t="shared" ca="1" si="72"/>
        <v>8.5738218997966076E-4</v>
      </c>
      <c r="EQ66" s="9">
        <f t="shared" ca="1" si="72"/>
        <v>6.9420646209662484E-3</v>
      </c>
      <c r="ER66" s="9">
        <f t="shared" ca="1" si="72"/>
        <v>1.1689970330184818E-2</v>
      </c>
      <c r="ES66" s="9">
        <f t="shared" ca="1" si="72"/>
        <v>8.0542117914058631E-3</v>
      </c>
      <c r="ET66" s="9">
        <f t="shared" ca="1" si="72"/>
        <v>7.699396668474412E-3</v>
      </c>
      <c r="EU66" s="9">
        <f t="shared" ca="1" si="72"/>
        <v>8.4611961807780078E-3</v>
      </c>
      <c r="EV66" s="9">
        <f t="shared" ca="1" si="72"/>
        <v>3.6064136464658558E-3</v>
      </c>
      <c r="EW66" s="9">
        <f t="shared" ca="1" si="72"/>
        <v>7.2347311761085109E-3</v>
      </c>
      <c r="EX66" s="9">
        <f t="shared" ca="1" si="72"/>
        <v>1.8399304213649992E-2</v>
      </c>
      <c r="EY66" s="9">
        <f t="shared" ca="1" si="72"/>
        <v>1.3437491167599069E-2</v>
      </c>
      <c r="EZ66" s="9">
        <f t="shared" ca="1" si="72"/>
        <v>5.4168455222050049E-3</v>
      </c>
      <c r="FA66" s="9">
        <f t="shared" ca="1" si="72"/>
        <v>8.4064717526419752E-3</v>
      </c>
      <c r="FB66" s="9">
        <f t="shared" ca="1" si="72"/>
        <v>8.0601465034435549E-3</v>
      </c>
      <c r="FC66" s="9">
        <f t="shared" ca="1" si="72"/>
        <v>5.6238524758369657E-3</v>
      </c>
      <c r="FD66" s="9">
        <f t="shared" ca="1" si="72"/>
        <v>5.2588954089399786E-3</v>
      </c>
      <c r="FE66" s="9">
        <f t="shared" ca="1" si="72"/>
        <v>1.7653902472802852E-3</v>
      </c>
      <c r="FF66" s="9">
        <f t="shared" ca="1" si="72"/>
        <v>1.166078699256623E-2</v>
      </c>
      <c r="FG66" s="9">
        <f t="shared" ca="1" si="72"/>
        <v>9.7372266039563726E-3</v>
      </c>
      <c r="FH66" s="9">
        <f t="shared" ca="1" si="72"/>
        <v>4.8457526077336777E-3</v>
      </c>
      <c r="FI66" s="9">
        <f t="shared" ca="1" si="72"/>
        <v>3.3697315483646184E-3</v>
      </c>
      <c r="FJ66" s="9">
        <f t="shared" ca="1" si="72"/>
        <v>1.8286197911803082E-2</v>
      </c>
      <c r="FK66" s="9">
        <f t="shared" ca="1" si="72"/>
        <v>4.6935302720291228E-3</v>
      </c>
      <c r="FL66" s="9">
        <f t="shared" ca="1" si="72"/>
        <v>4.2986203780979171E-3</v>
      </c>
      <c r="FM66" s="9">
        <f t="shared" ca="1" si="72"/>
        <v>4.2719811209008807E-3</v>
      </c>
      <c r="FN66" s="9">
        <f t="shared" ca="1" si="72"/>
        <v>5.8393963483529543E-3</v>
      </c>
      <c r="FO66" s="9">
        <f t="shared" ca="1" si="72"/>
        <v>9.8143903177516645E-4</v>
      </c>
      <c r="FP66" s="9">
        <f t="shared" ca="1" si="72"/>
        <v>1.093096635006674E-3</v>
      </c>
      <c r="FQ66" s="9">
        <f t="shared" ca="1" si="72"/>
        <v>2.0445979696993577E-3</v>
      </c>
      <c r="FR66" s="9">
        <f t="shared" ca="1" si="72"/>
        <v>1.584972157503306E-3</v>
      </c>
      <c r="FS66" s="9">
        <f t="shared" ca="1" si="72"/>
        <v>5.7431388076942813E-3</v>
      </c>
      <c r="FT66" s="9">
        <f t="shared" ca="1" si="72"/>
        <v>3.0693739578189216E-3</v>
      </c>
      <c r="FU66" s="9">
        <f t="shared" ca="1" si="72"/>
        <v>4.9323421157674296E-3</v>
      </c>
      <c r="FV66" s="9">
        <f t="shared" ca="1" si="72"/>
        <v>1.6874798169081662E-2</v>
      </c>
      <c r="FW66" s="9">
        <f t="shared" ca="1" si="72"/>
        <v>6.8994397886207315E-3</v>
      </c>
      <c r="FX66" s="9">
        <f t="shared" ca="1" si="72"/>
        <v>1.2225564898333152E-2</v>
      </c>
      <c r="FY66" s="9">
        <f t="shared" ca="1" si="72"/>
        <v>6.6896585531195374E-4</v>
      </c>
      <c r="FZ66" s="9">
        <f t="shared" ca="1" si="72"/>
        <v>8.9541658305121175E-3</v>
      </c>
      <c r="GA66" s="9">
        <f t="shared" ca="1" si="72"/>
        <v>3.043250447480883E-4</v>
      </c>
      <c r="GB66" s="9">
        <f t="shared" ca="1" si="72"/>
        <v>6.7940391037413228E-4</v>
      </c>
      <c r="GC66" s="9">
        <f t="shared" ca="1" si="72"/>
        <v>1.0328874860875414E-2</v>
      </c>
      <c r="GD66" s="9">
        <f t="shared" ca="1" si="72"/>
        <v>1.1449996161074338E-2</v>
      </c>
      <c r="GE66" s="9">
        <f t="shared" ca="1" si="72"/>
        <v>2.7928254016601928E-2</v>
      </c>
      <c r="GF66" s="9">
        <f t="shared" ca="1" si="72"/>
        <v>6.6519838989580915E-2</v>
      </c>
      <c r="GG66" s="9">
        <f t="shared" ca="1" si="72"/>
        <v>6.7639247555055571E-2</v>
      </c>
      <c r="GH66" s="9">
        <f t="shared" ca="1" si="72"/>
        <v>5.6889487850986686E-2</v>
      </c>
      <c r="GI66" s="9">
        <f t="shared" ca="1" si="72"/>
        <v>5.1978973653515004E-2</v>
      </c>
      <c r="GJ66" s="9">
        <f t="shared" ca="1" si="72"/>
        <v>4.9182798055432242E-2</v>
      </c>
      <c r="GK66" s="9">
        <f t="shared" ca="1" si="72"/>
        <v>4.2019559729605804E-2</v>
      </c>
      <c r="GL66" s="9">
        <f t="shared" ref="GL66:IW66" ca="1" si="73">IF(GL39="","",ABS(GL39))</f>
        <v>3.7674096412812608E-2</v>
      </c>
      <c r="GM66" s="9">
        <f t="shared" ca="1" si="73"/>
        <v>2.3708432495685994E-2</v>
      </c>
      <c r="GN66" s="9">
        <f t="shared" ca="1" si="73"/>
        <v>3.6004202307053701E-2</v>
      </c>
      <c r="GO66" s="9">
        <f t="shared" ca="1" si="73"/>
        <v>4.5304105249228677E-3</v>
      </c>
      <c r="GP66" s="9" t="str">
        <f t="shared" ca="1" si="73"/>
        <v/>
      </c>
      <c r="GQ66" s="9" t="str">
        <f t="shared" ca="1" si="73"/>
        <v/>
      </c>
      <c r="GR66" s="9" t="str">
        <f t="shared" ca="1" si="73"/>
        <v/>
      </c>
      <c r="GS66" s="9" t="str">
        <f t="shared" ca="1" si="73"/>
        <v/>
      </c>
      <c r="GT66" s="9" t="str">
        <f t="shared" ca="1" si="73"/>
        <v/>
      </c>
      <c r="GU66" s="9" t="str">
        <f t="shared" ca="1" si="73"/>
        <v/>
      </c>
      <c r="GV66" s="9" t="str">
        <f t="shared" ca="1" si="73"/>
        <v/>
      </c>
      <c r="GW66" s="9" t="str">
        <f t="shared" ca="1" si="73"/>
        <v/>
      </c>
      <c r="GX66" s="9" t="str">
        <f t="shared" ca="1" si="73"/>
        <v/>
      </c>
      <c r="GY66" s="9" t="str">
        <f t="shared" ca="1" si="73"/>
        <v/>
      </c>
      <c r="GZ66" s="9" t="str">
        <f t="shared" ca="1" si="73"/>
        <v/>
      </c>
      <c r="HA66" s="9" t="str">
        <f t="shared" ca="1" si="73"/>
        <v/>
      </c>
      <c r="HB66" s="9" t="str">
        <f t="shared" ca="1" si="73"/>
        <v/>
      </c>
      <c r="HC66" s="9" t="str">
        <f t="shared" ca="1" si="73"/>
        <v/>
      </c>
      <c r="HD66" s="9" t="str">
        <f t="shared" ca="1" si="73"/>
        <v/>
      </c>
      <c r="HE66" s="9" t="str">
        <f t="shared" ca="1" si="73"/>
        <v/>
      </c>
      <c r="HF66" s="9" t="str">
        <f t="shared" ca="1" si="73"/>
        <v/>
      </c>
      <c r="HG66" s="9" t="str">
        <f t="shared" ca="1" si="73"/>
        <v/>
      </c>
      <c r="HH66" s="9" t="str">
        <f t="shared" ca="1" si="73"/>
        <v/>
      </c>
      <c r="HI66" s="9" t="str">
        <f t="shared" ca="1" si="73"/>
        <v/>
      </c>
      <c r="HJ66" s="9" t="str">
        <f t="shared" ca="1" si="73"/>
        <v/>
      </c>
      <c r="HK66" s="9" t="str">
        <f t="shared" ca="1" si="73"/>
        <v/>
      </c>
      <c r="HL66" s="9" t="str">
        <f t="shared" ca="1" si="73"/>
        <v/>
      </c>
      <c r="HM66" s="9" t="str">
        <f t="shared" ca="1" si="73"/>
        <v/>
      </c>
      <c r="HN66" s="9" t="str">
        <f t="shared" ca="1" si="73"/>
        <v/>
      </c>
      <c r="HO66" s="9" t="str">
        <f t="shared" ca="1" si="73"/>
        <v/>
      </c>
      <c r="HP66" s="9" t="str">
        <f t="shared" ca="1" si="73"/>
        <v/>
      </c>
      <c r="HQ66" s="9" t="str">
        <f t="shared" ca="1" si="73"/>
        <v/>
      </c>
      <c r="HR66" s="9" t="str">
        <f t="shared" ca="1" si="73"/>
        <v/>
      </c>
      <c r="HS66" s="9" t="str">
        <f t="shared" ca="1" si="73"/>
        <v/>
      </c>
      <c r="HT66" s="9" t="str">
        <f t="shared" ca="1" si="73"/>
        <v/>
      </c>
      <c r="HU66" s="9" t="str">
        <f t="shared" ca="1" si="73"/>
        <v/>
      </c>
      <c r="HV66" s="9" t="str">
        <f t="shared" ca="1" si="73"/>
        <v/>
      </c>
      <c r="HW66" s="9" t="str">
        <f t="shared" ca="1" si="73"/>
        <v/>
      </c>
      <c r="HX66" s="9" t="str">
        <f t="shared" ca="1" si="73"/>
        <v/>
      </c>
      <c r="HY66" s="9" t="str">
        <f t="shared" ca="1" si="73"/>
        <v/>
      </c>
      <c r="HZ66" s="9" t="str">
        <f t="shared" ca="1" si="73"/>
        <v/>
      </c>
      <c r="IA66" s="9" t="str">
        <f t="shared" ca="1" si="73"/>
        <v/>
      </c>
      <c r="IB66" s="9" t="str">
        <f t="shared" ca="1" si="73"/>
        <v/>
      </c>
      <c r="IC66" s="9" t="str">
        <f t="shared" ca="1" si="73"/>
        <v/>
      </c>
      <c r="ID66" s="9" t="str">
        <f t="shared" ca="1" si="73"/>
        <v/>
      </c>
      <c r="IE66" s="9" t="str">
        <f t="shared" ca="1" si="73"/>
        <v/>
      </c>
      <c r="IF66" s="9" t="str">
        <f t="shared" ca="1" si="73"/>
        <v/>
      </c>
      <c r="IG66" s="9" t="str">
        <f t="shared" ca="1" si="73"/>
        <v/>
      </c>
      <c r="IH66" s="9" t="str">
        <f t="shared" ca="1" si="73"/>
        <v/>
      </c>
      <c r="II66" s="9" t="str">
        <f t="shared" ca="1" si="73"/>
        <v/>
      </c>
      <c r="IJ66" s="9" t="str">
        <f t="shared" ca="1" si="73"/>
        <v/>
      </c>
      <c r="IK66" s="9" t="str">
        <f t="shared" ca="1" si="73"/>
        <v/>
      </c>
      <c r="IL66" s="9" t="str">
        <f t="shared" ca="1" si="73"/>
        <v/>
      </c>
      <c r="IM66" s="9" t="str">
        <f t="shared" ca="1" si="73"/>
        <v/>
      </c>
      <c r="IN66" s="9" t="str">
        <f t="shared" ca="1" si="73"/>
        <v/>
      </c>
      <c r="IO66" s="9" t="str">
        <f t="shared" ca="1" si="73"/>
        <v/>
      </c>
      <c r="IP66" s="9" t="str">
        <f t="shared" ca="1" si="73"/>
        <v/>
      </c>
      <c r="IQ66" s="9" t="str">
        <f t="shared" ca="1" si="73"/>
        <v/>
      </c>
      <c r="IR66" s="9" t="str">
        <f t="shared" ca="1" si="73"/>
        <v/>
      </c>
      <c r="IS66" s="9" t="str">
        <f t="shared" ca="1" si="73"/>
        <v/>
      </c>
      <c r="IT66" s="9" t="str">
        <f t="shared" ca="1" si="73"/>
        <v/>
      </c>
      <c r="IU66" s="9" t="str">
        <f t="shared" ca="1" si="73"/>
        <v/>
      </c>
      <c r="IV66" s="9" t="str">
        <f t="shared" ca="1" si="73"/>
        <v/>
      </c>
      <c r="IW66" s="9" t="str">
        <f t="shared" ca="1" si="73"/>
        <v/>
      </c>
      <c r="IX66" s="9" t="str">
        <f t="shared" ref="IX66:JH66" ca="1" si="74">IF(IX39="","",ABS(IX39))</f>
        <v/>
      </c>
      <c r="IY66" s="9" t="str">
        <f t="shared" ca="1" si="74"/>
        <v/>
      </c>
      <c r="IZ66" s="9" t="str">
        <f t="shared" ca="1" si="74"/>
        <v/>
      </c>
      <c r="JA66" s="9" t="str">
        <f t="shared" ca="1" si="74"/>
        <v/>
      </c>
      <c r="JB66" s="9" t="str">
        <f t="shared" ca="1" si="74"/>
        <v/>
      </c>
      <c r="JC66" s="9" t="str">
        <f t="shared" ca="1" si="74"/>
        <v/>
      </c>
      <c r="JD66" s="9" t="str">
        <f t="shared" ca="1" si="74"/>
        <v/>
      </c>
      <c r="JE66" s="9" t="str">
        <f t="shared" ca="1" si="74"/>
        <v/>
      </c>
      <c r="JF66" s="9" t="str">
        <f t="shared" ca="1" si="74"/>
        <v/>
      </c>
      <c r="JG66" s="9" t="str">
        <f t="shared" ca="1" si="74"/>
        <v/>
      </c>
      <c r="JH66" s="9" t="str">
        <f t="shared" ca="1" si="74"/>
        <v/>
      </c>
      <c r="JI66" s="13">
        <f t="shared" ca="1" si="24"/>
        <v>2.1993410444746727E-2</v>
      </c>
      <c r="JJ66" s="13">
        <f t="shared" ca="1" si="25"/>
        <v>1.1449996161074338E-2</v>
      </c>
      <c r="JK66" s="14">
        <f t="shared" ca="1" si="26"/>
        <v>4.7929929058687854E-4</v>
      </c>
      <c r="JL66" s="17">
        <f t="shared" ca="1" si="34"/>
        <v>2.1892905028499041E-2</v>
      </c>
      <c r="JM66" s="15" t="str">
        <f t="shared" ca="1" si="27"/>
        <v>[ -2,18% ; 6,58% ]</v>
      </c>
      <c r="JN66" s="17">
        <f t="shared" ca="1" si="28"/>
        <v>2.8022918436478774E-2</v>
      </c>
      <c r="LY66" s="1"/>
    </row>
    <row r="67" spans="1:337" x14ac:dyDescent="0.25">
      <c r="A67" s="4">
        <v>11</v>
      </c>
      <c r="B67" s="9">
        <f t="shared" ref="B67:BM67" ca="1" si="75">IF(B40="","",ABS(B40))</f>
        <v>1.6413417992288126E-3</v>
      </c>
      <c r="C67" s="9">
        <f t="shared" ca="1" si="75"/>
        <v>1.4412098959928343E-3</v>
      </c>
      <c r="D67" s="9">
        <f t="shared" ca="1" si="75"/>
        <v>9.2522684811879863E-4</v>
      </c>
      <c r="E67" s="9">
        <f t="shared" ca="1" si="75"/>
        <v>1.3498927116972759E-4</v>
      </c>
      <c r="F67" s="9">
        <f t="shared" ca="1" si="75"/>
        <v>1.0651477222777261E-3</v>
      </c>
      <c r="G67" s="9">
        <f t="shared" ca="1" si="75"/>
        <v>2.5140775051105679E-3</v>
      </c>
      <c r="H67" s="9">
        <f t="shared" ca="1" si="75"/>
        <v>5.7579342622591234E-3</v>
      </c>
      <c r="I67" s="9">
        <f t="shared" ca="1" si="75"/>
        <v>1.3652623918404383E-2</v>
      </c>
      <c r="J67" s="9">
        <f t="shared" ca="1" si="75"/>
        <v>2.139796086549417E-2</v>
      </c>
      <c r="K67" s="9">
        <f t="shared" ca="1" si="75"/>
        <v>2.2308569834460612E-2</v>
      </c>
      <c r="L67" s="9">
        <f t="shared" ca="1" si="75"/>
        <v>2.4532709784615969E-2</v>
      </c>
      <c r="M67" s="9">
        <f t="shared" ca="1" si="75"/>
        <v>2.6388666642316982E-2</v>
      </c>
      <c r="N67" s="9">
        <f t="shared" ca="1" si="75"/>
        <v>2.6718067173032045E-2</v>
      </c>
      <c r="O67" s="9">
        <f t="shared" ca="1" si="75"/>
        <v>2.5014337409820286E-2</v>
      </c>
      <c r="P67" s="9">
        <f t="shared" ca="1" si="75"/>
        <v>2.6403849190902329E-2</v>
      </c>
      <c r="Q67" s="9">
        <f t="shared" ca="1" si="75"/>
        <v>2.5772654990775856E-2</v>
      </c>
      <c r="R67" s="9">
        <f t="shared" ca="1" si="75"/>
        <v>2.4356952447341595E-2</v>
      </c>
      <c r="S67" s="9">
        <f t="shared" ca="1" si="75"/>
        <v>2.1082792414693241E-2</v>
      </c>
      <c r="T67" s="9">
        <f t="shared" ca="1" si="75"/>
        <v>7.695014276949852E-3</v>
      </c>
      <c r="U67" s="9">
        <f t="shared" ca="1" si="75"/>
        <v>3.7603077251726624E-3</v>
      </c>
      <c r="V67" s="9">
        <f t="shared" ca="1" si="75"/>
        <v>1.8351525243176292E-2</v>
      </c>
      <c r="W67" s="9">
        <f t="shared" ca="1" si="75"/>
        <v>2.4116611294769275E-2</v>
      </c>
      <c r="X67" s="9">
        <f t="shared" ca="1" si="75"/>
        <v>2.240672584825143E-2</v>
      </c>
      <c r="Y67" s="9">
        <f t="shared" ca="1" si="75"/>
        <v>1.3907539562880711E-2</v>
      </c>
      <c r="Z67" s="9">
        <f t="shared" ca="1" si="75"/>
        <v>1.3026705881203249E-2</v>
      </c>
      <c r="AA67" s="9">
        <f t="shared" ca="1" si="75"/>
        <v>1.364633359657641E-2</v>
      </c>
      <c r="AB67" s="9">
        <f t="shared" ca="1" si="75"/>
        <v>7.5287532544028313E-3</v>
      </c>
      <c r="AC67" s="9">
        <f t="shared" ca="1" si="75"/>
        <v>1.217080372859658E-2</v>
      </c>
      <c r="AD67" s="9">
        <f t="shared" ca="1" si="75"/>
        <v>7.8695834413065047E-3</v>
      </c>
      <c r="AE67" s="9">
        <f t="shared" ca="1" si="75"/>
        <v>6.2161319582967334E-3</v>
      </c>
      <c r="AF67" s="9">
        <f t="shared" ca="1" si="75"/>
        <v>5.3479260526967387E-4</v>
      </c>
      <c r="AG67" s="9">
        <f t="shared" ca="1" si="75"/>
        <v>9.2899637690657677E-4</v>
      </c>
      <c r="AH67" s="9">
        <f t="shared" ca="1" si="75"/>
        <v>5.5050197481010255E-3</v>
      </c>
      <c r="AI67" s="9">
        <f t="shared" ca="1" si="75"/>
        <v>5.9245456388827833E-3</v>
      </c>
      <c r="AJ67" s="9">
        <f t="shared" ca="1" si="75"/>
        <v>8.2837890869829067E-3</v>
      </c>
      <c r="AK67" s="9">
        <f t="shared" ca="1" si="75"/>
        <v>1.2740650347379479E-2</v>
      </c>
      <c r="AL67" s="9">
        <f t="shared" ca="1" si="75"/>
        <v>1.2035254743385959E-2</v>
      </c>
      <c r="AM67" s="9">
        <f t="shared" ca="1" si="75"/>
        <v>1.6574672386047595E-2</v>
      </c>
      <c r="AN67" s="9">
        <f t="shared" ca="1" si="75"/>
        <v>1.6144833348047172E-2</v>
      </c>
      <c r="AO67" s="9">
        <f t="shared" ca="1" si="75"/>
        <v>2.2430552302898921E-2</v>
      </c>
      <c r="AP67" s="9">
        <f t="shared" ca="1" si="75"/>
        <v>1.6852381564385732E-2</v>
      </c>
      <c r="AQ67" s="9">
        <f t="shared" ca="1" si="75"/>
        <v>2.0189393162902469E-2</v>
      </c>
      <c r="AR67" s="9">
        <f t="shared" ca="1" si="75"/>
        <v>2.0814714232981757E-2</v>
      </c>
      <c r="AS67" s="9">
        <f t="shared" ca="1" si="75"/>
        <v>2.6484165237082635E-2</v>
      </c>
      <c r="AT67" s="9">
        <f t="shared" ca="1" si="75"/>
        <v>2.6780266127921282E-2</v>
      </c>
      <c r="AU67" s="9">
        <f t="shared" ca="1" si="75"/>
        <v>3.3339138161917914E-2</v>
      </c>
      <c r="AV67" s="9">
        <f t="shared" ca="1" si="75"/>
        <v>4.2766858494698523E-2</v>
      </c>
      <c r="AW67" s="9">
        <f t="shared" ca="1" si="75"/>
        <v>4.9199220597893278E-2</v>
      </c>
      <c r="AX67" s="9">
        <f t="shared" ca="1" si="75"/>
        <v>6.1151799457949352E-2</v>
      </c>
      <c r="AY67" s="9">
        <f t="shared" ca="1" si="75"/>
        <v>6.6869481183889024E-2</v>
      </c>
      <c r="AZ67" s="9">
        <f t="shared" ca="1" si="75"/>
        <v>7.2894560444746181E-2</v>
      </c>
      <c r="BA67" s="9">
        <f t="shared" ca="1" si="75"/>
        <v>7.638477419049039E-2</v>
      </c>
      <c r="BB67" s="9">
        <f t="shared" ca="1" si="75"/>
        <v>7.3992292656924752E-2</v>
      </c>
      <c r="BC67" s="9">
        <f t="shared" ca="1" si="75"/>
        <v>7.1973471726881844E-2</v>
      </c>
      <c r="BD67" s="9">
        <f t="shared" ca="1" si="75"/>
        <v>5.0154272281736523E-2</v>
      </c>
      <c r="BE67" s="9">
        <f t="shared" ca="1" si="75"/>
        <v>5.2192732677075249E-2</v>
      </c>
      <c r="BF67" s="9">
        <f t="shared" ca="1" si="75"/>
        <v>5.6021960981063046E-2</v>
      </c>
      <c r="BG67" s="9">
        <f t="shared" ca="1" si="75"/>
        <v>3.5414421205671731E-2</v>
      </c>
      <c r="BH67" s="9">
        <f t="shared" ca="1" si="75"/>
        <v>1.3768658403794376E-3</v>
      </c>
      <c r="BI67" s="9">
        <f t="shared" ca="1" si="75"/>
        <v>4.173787010058494E-2</v>
      </c>
      <c r="BJ67" s="9">
        <f t="shared" ca="1" si="75"/>
        <v>3.3342047965725707E-2</v>
      </c>
      <c r="BK67" s="9">
        <f t="shared" ca="1" si="75"/>
        <v>4.2041273984247951E-2</v>
      </c>
      <c r="BL67" s="9">
        <f t="shared" ca="1" si="75"/>
        <v>6.1270554626218554E-2</v>
      </c>
      <c r="BM67" s="9">
        <f t="shared" ca="1" si="75"/>
        <v>7.2415864859360912E-2</v>
      </c>
      <c r="BN67" s="9">
        <f t="shared" ref="BN67:DY67" ca="1" si="76">IF(BN40="","",ABS(BN40))</f>
        <v>4.0021201209989421E-2</v>
      </c>
      <c r="BO67" s="9">
        <f t="shared" ca="1" si="76"/>
        <v>2.2933650646010273E-2</v>
      </c>
      <c r="BP67" s="9">
        <f t="shared" ca="1" si="76"/>
        <v>2.4406311796001612E-2</v>
      </c>
      <c r="BQ67" s="9">
        <f t="shared" ca="1" si="76"/>
        <v>2.4912375463469361E-2</v>
      </c>
      <c r="BR67" s="9">
        <f t="shared" ca="1" si="76"/>
        <v>2.4713528892277292E-3</v>
      </c>
      <c r="BS67" s="9">
        <f t="shared" ca="1" si="76"/>
        <v>1.5875644122831378E-2</v>
      </c>
      <c r="BT67" s="9">
        <f t="shared" ca="1" si="76"/>
        <v>1.0436345342457964E-2</v>
      </c>
      <c r="BU67" s="9">
        <f t="shared" ca="1" si="76"/>
        <v>7.3922817445982725E-3</v>
      </c>
      <c r="BV67" s="9">
        <f t="shared" ca="1" si="76"/>
        <v>1.185715228936135E-2</v>
      </c>
      <c r="BW67" s="9">
        <f t="shared" ca="1" si="76"/>
        <v>5.4814802233621451E-3</v>
      </c>
      <c r="BX67" s="9">
        <f t="shared" ca="1" si="76"/>
        <v>1.0095288417686032E-2</v>
      </c>
      <c r="BY67" s="9">
        <f t="shared" ca="1" si="76"/>
        <v>9.0797256819967753E-3</v>
      </c>
      <c r="BZ67" s="9">
        <f t="shared" ca="1" si="76"/>
        <v>8.7524075889755526E-4</v>
      </c>
      <c r="CA67" s="9">
        <f t="shared" ca="1" si="76"/>
        <v>4.9915089786801703E-3</v>
      </c>
      <c r="CB67" s="9">
        <f t="shared" ca="1" si="76"/>
        <v>5.8104181990615844E-3</v>
      </c>
      <c r="CC67" s="9">
        <f t="shared" ca="1" si="76"/>
        <v>5.9538355828955281E-3</v>
      </c>
      <c r="CD67" s="9">
        <f t="shared" ca="1" si="76"/>
        <v>7.5965220412363976E-3</v>
      </c>
      <c r="CE67" s="9">
        <f t="shared" ca="1" si="76"/>
        <v>5.5327671774407783E-3</v>
      </c>
      <c r="CF67" s="9">
        <f t="shared" ca="1" si="76"/>
        <v>4.6786989650666744E-3</v>
      </c>
      <c r="CG67" s="9">
        <f t="shared" ca="1" si="76"/>
        <v>5.7010578269420797E-3</v>
      </c>
      <c r="CH67" s="9">
        <f t="shared" ca="1" si="76"/>
        <v>1.8344154183150163E-2</v>
      </c>
      <c r="CI67" s="9">
        <f t="shared" ca="1" si="76"/>
        <v>1.5899046394207916E-2</v>
      </c>
      <c r="CJ67" s="9">
        <f t="shared" ca="1" si="76"/>
        <v>2.9215743482675638E-3</v>
      </c>
      <c r="CK67" s="9">
        <f t="shared" ca="1" si="76"/>
        <v>1.743311362286426E-2</v>
      </c>
      <c r="CL67" s="9">
        <f t="shared" ca="1" si="76"/>
        <v>2.5913176149123585E-2</v>
      </c>
      <c r="CM67" s="9">
        <f t="shared" ca="1" si="76"/>
        <v>2.6300890917330344E-2</v>
      </c>
      <c r="CN67" s="9">
        <f t="shared" ca="1" si="76"/>
        <v>1.44322327983466E-2</v>
      </c>
      <c r="CO67" s="9">
        <f t="shared" ca="1" si="76"/>
        <v>1.4913169242452229E-2</v>
      </c>
      <c r="CP67" s="9">
        <f t="shared" ca="1" si="76"/>
        <v>2.0675125003570383E-2</v>
      </c>
      <c r="CQ67" s="9">
        <f t="shared" ca="1" si="76"/>
        <v>1.8412558653860822E-2</v>
      </c>
      <c r="CR67" s="9">
        <f t="shared" ca="1" si="76"/>
        <v>1.9073043898369946E-3</v>
      </c>
      <c r="CS67" s="9">
        <f t="shared" ca="1" si="76"/>
        <v>1.9481325325025889E-3</v>
      </c>
      <c r="CT67" s="9">
        <f t="shared" ca="1" si="76"/>
        <v>2.959442955390279E-2</v>
      </c>
      <c r="CU67" s="9">
        <f t="shared" ca="1" si="76"/>
        <v>1.4111319516480814E-2</v>
      </c>
      <c r="CV67" s="9">
        <f t="shared" ca="1" si="76"/>
        <v>7.8062659280691005E-3</v>
      </c>
      <c r="CW67" s="9">
        <f t="shared" ca="1" si="76"/>
        <v>1.102602480293835E-2</v>
      </c>
      <c r="CX67" s="9">
        <f t="shared" ca="1" si="76"/>
        <v>5.9048683449152151E-3</v>
      </c>
      <c r="CY67" s="9">
        <f t="shared" ca="1" si="76"/>
        <v>8.7457257003029643E-3</v>
      </c>
      <c r="CZ67" s="9">
        <f t="shared" ca="1" si="76"/>
        <v>1.7438659362379649E-2</v>
      </c>
      <c r="DA67" s="9">
        <f t="shared" ca="1" si="76"/>
        <v>2.2739923579517818E-4</v>
      </c>
      <c r="DB67" s="9">
        <f t="shared" ca="1" si="76"/>
        <v>5.2008044001039533E-3</v>
      </c>
      <c r="DC67" s="9">
        <f t="shared" ca="1" si="76"/>
        <v>1.3169087769491217E-3</v>
      </c>
      <c r="DD67" s="9">
        <f t="shared" ca="1" si="76"/>
        <v>5.4597798393062336E-3</v>
      </c>
      <c r="DE67" s="9">
        <f t="shared" ca="1" si="76"/>
        <v>4.2968569447916938E-2</v>
      </c>
      <c r="DF67" s="9">
        <f t="shared" ca="1" si="76"/>
        <v>3.6141763823845485E-2</v>
      </c>
      <c r="DG67" s="9">
        <f t="shared" ca="1" si="76"/>
        <v>3.6477078802674034E-2</v>
      </c>
      <c r="DH67" s="9">
        <f t="shared" ca="1" si="76"/>
        <v>3.7049700847326283E-2</v>
      </c>
      <c r="DI67" s="9">
        <f t="shared" ca="1" si="76"/>
        <v>3.8846572474432572E-2</v>
      </c>
      <c r="DJ67" s="9">
        <f t="shared" ca="1" si="76"/>
        <v>3.9190106627214227E-2</v>
      </c>
      <c r="DK67" s="9">
        <f t="shared" ca="1" si="76"/>
        <v>3.1815527891823403E-2</v>
      </c>
      <c r="DL67" s="9">
        <f t="shared" ca="1" si="76"/>
        <v>4.0193772372686953E-2</v>
      </c>
      <c r="DM67" s="9">
        <f t="shared" ca="1" si="76"/>
        <v>4.3421186364310804E-2</v>
      </c>
      <c r="DN67" s="9">
        <f t="shared" ca="1" si="76"/>
        <v>3.3887016667804803E-2</v>
      </c>
      <c r="DO67" s="9">
        <f t="shared" ca="1" si="76"/>
        <v>2.8277708391331702E-2</v>
      </c>
      <c r="DP67" s="9">
        <f t="shared" ca="1" si="76"/>
        <v>1.4442760232871721E-2</v>
      </c>
      <c r="DQ67" s="9">
        <f t="shared" ca="1" si="76"/>
        <v>1.4274669968726394E-2</v>
      </c>
      <c r="DR67" s="9">
        <f t="shared" ca="1" si="76"/>
        <v>3.8317511622742995E-4</v>
      </c>
      <c r="DS67" s="9">
        <f t="shared" ca="1" si="76"/>
        <v>1.6361769678143068E-2</v>
      </c>
      <c r="DT67" s="9">
        <f t="shared" ca="1" si="76"/>
        <v>1.5273148919764501E-2</v>
      </c>
      <c r="DU67" s="9">
        <f t="shared" ca="1" si="76"/>
        <v>1.794025432380808E-2</v>
      </c>
      <c r="DV67" s="9">
        <f t="shared" ca="1" si="76"/>
        <v>1.0816943700724946E-2</v>
      </c>
      <c r="DW67" s="9">
        <f t="shared" ca="1" si="76"/>
        <v>1.1366717922000946E-2</v>
      </c>
      <c r="DX67" s="9">
        <f t="shared" ca="1" si="76"/>
        <v>2.2670559275657309E-2</v>
      </c>
      <c r="DY67" s="9">
        <f t="shared" ca="1" si="76"/>
        <v>2.0385911803567192E-2</v>
      </c>
      <c r="DZ67" s="9">
        <f t="shared" ref="DZ67:GK67" ca="1" si="77">IF(DZ40="","",ABS(DZ40))</f>
        <v>2.4077055398339597E-2</v>
      </c>
      <c r="EA67" s="9">
        <f t="shared" ca="1" si="77"/>
        <v>1.3240841736629094E-2</v>
      </c>
      <c r="EB67" s="9">
        <f t="shared" ca="1" si="77"/>
        <v>1.9594441859573486E-2</v>
      </c>
      <c r="EC67" s="9">
        <f t="shared" ca="1" si="77"/>
        <v>5.257234131457178E-4</v>
      </c>
      <c r="ED67" s="9">
        <f t="shared" ca="1" si="77"/>
        <v>4.1508573237305502E-3</v>
      </c>
      <c r="EE67" s="9">
        <f t="shared" ca="1" si="77"/>
        <v>1.4571898389316718E-2</v>
      </c>
      <c r="EF67" s="9">
        <f t="shared" ca="1" si="77"/>
        <v>3.7504777489116847E-4</v>
      </c>
      <c r="EG67" s="9">
        <f t="shared" ca="1" si="77"/>
        <v>1.5875472629500953E-2</v>
      </c>
      <c r="EH67" s="9">
        <f t="shared" ca="1" si="77"/>
        <v>1.70865139969405E-2</v>
      </c>
      <c r="EI67" s="9">
        <f t="shared" ca="1" si="77"/>
        <v>1.2480218048163572E-2</v>
      </c>
      <c r="EJ67" s="9">
        <f t="shared" ca="1" si="77"/>
        <v>3.9707975788486616E-3</v>
      </c>
      <c r="EK67" s="9">
        <f t="shared" ca="1" si="77"/>
        <v>3.78920894991297E-3</v>
      </c>
      <c r="EL67" s="9">
        <f t="shared" ca="1" si="77"/>
        <v>2.0715078273763954E-2</v>
      </c>
      <c r="EM67" s="9">
        <f t="shared" ca="1" si="77"/>
        <v>9.0967681707297965E-3</v>
      </c>
      <c r="EN67" s="9">
        <f t="shared" ca="1" si="77"/>
        <v>7.557753424203395E-3</v>
      </c>
      <c r="EO67" s="9">
        <f t="shared" ca="1" si="77"/>
        <v>6.3422158875169332E-3</v>
      </c>
      <c r="EP67" s="9">
        <f t="shared" ca="1" si="77"/>
        <v>6.4448310042886092E-4</v>
      </c>
      <c r="EQ67" s="9">
        <f t="shared" ca="1" si="77"/>
        <v>8.7928319504724239E-3</v>
      </c>
      <c r="ER67" s="9">
        <f t="shared" ca="1" si="77"/>
        <v>1.3493727287782087E-2</v>
      </c>
      <c r="ES67" s="9">
        <f t="shared" ca="1" si="77"/>
        <v>8.6259574434871533E-3</v>
      </c>
      <c r="ET67" s="9">
        <f t="shared" ca="1" si="77"/>
        <v>9.9559146234778906E-3</v>
      </c>
      <c r="EU67" s="9">
        <f t="shared" ca="1" si="77"/>
        <v>1.2450093265656159E-2</v>
      </c>
      <c r="EV67" s="9">
        <f t="shared" ca="1" si="77"/>
        <v>5.420217165223562E-3</v>
      </c>
      <c r="EW67" s="9">
        <f t="shared" ca="1" si="77"/>
        <v>6.8097339821356906E-3</v>
      </c>
      <c r="EX67" s="9">
        <f t="shared" ca="1" si="77"/>
        <v>1.6329165951779023E-2</v>
      </c>
      <c r="EY67" s="9">
        <f t="shared" ca="1" si="77"/>
        <v>1.0807138303592256E-2</v>
      </c>
      <c r="EZ67" s="9">
        <f t="shared" ca="1" si="77"/>
        <v>4.6337496512571796E-3</v>
      </c>
      <c r="FA67" s="9">
        <f t="shared" ca="1" si="77"/>
        <v>1.0869527658476041E-2</v>
      </c>
      <c r="FB67" s="9">
        <f t="shared" ca="1" si="77"/>
        <v>9.2061245600485453E-3</v>
      </c>
      <c r="FC67" s="9">
        <f t="shared" ca="1" si="77"/>
        <v>5.9145353864022976E-3</v>
      </c>
      <c r="FD67" s="9">
        <f t="shared" ca="1" si="77"/>
        <v>6.0871838516586285E-3</v>
      </c>
      <c r="FE67" s="9">
        <f t="shared" ca="1" si="77"/>
        <v>1.0303042756021341E-3</v>
      </c>
      <c r="FF67" s="9">
        <f t="shared" ca="1" si="77"/>
        <v>1.2029896295209452E-2</v>
      </c>
      <c r="FG67" s="9">
        <f t="shared" ca="1" si="77"/>
        <v>7.5430628070984884E-3</v>
      </c>
      <c r="FH67" s="9">
        <f t="shared" ca="1" si="77"/>
        <v>2.9794972609036297E-3</v>
      </c>
      <c r="FI67" s="9">
        <f t="shared" ca="1" si="77"/>
        <v>4.1484760914028973E-3</v>
      </c>
      <c r="FJ67" s="9">
        <f t="shared" ca="1" si="77"/>
        <v>1.6465902575827251E-2</v>
      </c>
      <c r="FK67" s="9">
        <f t="shared" ca="1" si="77"/>
        <v>1.8511294471637019E-3</v>
      </c>
      <c r="FL67" s="9">
        <f t="shared" ca="1" si="77"/>
        <v>3.7357110686326855E-3</v>
      </c>
      <c r="FM67" s="9">
        <f t="shared" ca="1" si="77"/>
        <v>6.9789998630254146E-4</v>
      </c>
      <c r="FN67" s="9">
        <f t="shared" ca="1" si="77"/>
        <v>4.2478698358295874E-3</v>
      </c>
      <c r="FO67" s="9">
        <f t="shared" ca="1" si="77"/>
        <v>3.5602901831885969E-3</v>
      </c>
      <c r="FP67" s="9">
        <f t="shared" ca="1" si="77"/>
        <v>3.7212785650453384E-4</v>
      </c>
      <c r="FQ67" s="9">
        <f t="shared" ca="1" si="77"/>
        <v>2.5070521709023019E-3</v>
      </c>
      <c r="FR67" s="9">
        <f t="shared" ca="1" si="77"/>
        <v>3.8035340330767609E-3</v>
      </c>
      <c r="FS67" s="9">
        <f t="shared" ca="1" si="77"/>
        <v>3.7368892667419829E-3</v>
      </c>
      <c r="FT67" s="9">
        <f t="shared" ca="1" si="77"/>
        <v>2.1082550688087398E-3</v>
      </c>
      <c r="FU67" s="9">
        <f t="shared" ca="1" si="77"/>
        <v>4.7600644860125163E-3</v>
      </c>
      <c r="FV67" s="9">
        <f t="shared" ca="1" si="77"/>
        <v>1.5046629076552187E-2</v>
      </c>
      <c r="FW67" s="9">
        <f t="shared" ca="1" si="77"/>
        <v>4.6590432996593822E-3</v>
      </c>
      <c r="FX67" s="9">
        <f t="shared" ca="1" si="77"/>
        <v>1.3050507793609611E-2</v>
      </c>
      <c r="FY67" s="9">
        <f t="shared" ca="1" si="77"/>
        <v>3.1027448675317038E-3</v>
      </c>
      <c r="FZ67" s="9">
        <f t="shared" ca="1" si="77"/>
        <v>9.6022227712966313E-3</v>
      </c>
      <c r="GA67" s="9">
        <f t="shared" ca="1" si="77"/>
        <v>3.6514975513446402E-4</v>
      </c>
      <c r="GB67" s="9">
        <f t="shared" ca="1" si="77"/>
        <v>2.588562578135889E-3</v>
      </c>
      <c r="GC67" s="9">
        <f t="shared" ca="1" si="77"/>
        <v>9.0897658725130892E-3</v>
      </c>
      <c r="GD67" s="9">
        <f t="shared" ca="1" si="77"/>
        <v>3.1181034173909605E-2</v>
      </c>
      <c r="GE67" s="9">
        <f t="shared" ca="1" si="77"/>
        <v>6.741958243625179E-2</v>
      </c>
      <c r="GF67" s="9">
        <f t="shared" ca="1" si="77"/>
        <v>7.2546656731729886E-2</v>
      </c>
      <c r="GG67" s="9">
        <f t="shared" ca="1" si="77"/>
        <v>6.6673364830136528E-2</v>
      </c>
      <c r="GH67" s="9">
        <f t="shared" ca="1" si="77"/>
        <v>5.0150574660252412E-2</v>
      </c>
      <c r="GI67" s="9">
        <f t="shared" ca="1" si="77"/>
        <v>4.1709729858705247E-2</v>
      </c>
      <c r="GJ67" s="9">
        <f t="shared" ca="1" si="77"/>
        <v>4.430838268343007E-2</v>
      </c>
      <c r="GK67" s="9">
        <f t="shared" ca="1" si="77"/>
        <v>3.8026766984623928E-2</v>
      </c>
      <c r="GL67" s="9">
        <f t="shared" ref="GL67:IW67" ca="1" si="78">IF(GL40="","",ABS(GL40))</f>
        <v>3.3029708047469075E-2</v>
      </c>
      <c r="GM67" s="9">
        <f t="shared" ca="1" si="78"/>
        <v>2.3538823289342981E-2</v>
      </c>
      <c r="GN67" s="9">
        <f t="shared" ca="1" si="78"/>
        <v>3.6048379890279092E-2</v>
      </c>
      <c r="GO67" s="9" t="str">
        <f t="shared" ca="1" si="78"/>
        <v/>
      </c>
      <c r="GP67" s="9" t="str">
        <f t="shared" ca="1" si="78"/>
        <v/>
      </c>
      <c r="GQ67" s="9" t="str">
        <f t="shared" ca="1" si="78"/>
        <v/>
      </c>
      <c r="GR67" s="9" t="str">
        <f t="shared" ca="1" si="78"/>
        <v/>
      </c>
      <c r="GS67" s="9" t="str">
        <f t="shared" ca="1" si="78"/>
        <v/>
      </c>
      <c r="GT67" s="9" t="str">
        <f t="shared" ca="1" si="78"/>
        <v/>
      </c>
      <c r="GU67" s="9" t="str">
        <f t="shared" ca="1" si="78"/>
        <v/>
      </c>
      <c r="GV67" s="9" t="str">
        <f t="shared" ca="1" si="78"/>
        <v/>
      </c>
      <c r="GW67" s="9" t="str">
        <f t="shared" ca="1" si="78"/>
        <v/>
      </c>
      <c r="GX67" s="9" t="str">
        <f t="shared" ca="1" si="78"/>
        <v/>
      </c>
      <c r="GY67" s="9" t="str">
        <f t="shared" ca="1" si="78"/>
        <v/>
      </c>
      <c r="GZ67" s="9" t="str">
        <f t="shared" ca="1" si="78"/>
        <v/>
      </c>
      <c r="HA67" s="9" t="str">
        <f t="shared" ca="1" si="78"/>
        <v/>
      </c>
      <c r="HB67" s="9" t="str">
        <f t="shared" ca="1" si="78"/>
        <v/>
      </c>
      <c r="HC67" s="9" t="str">
        <f t="shared" ca="1" si="78"/>
        <v/>
      </c>
      <c r="HD67" s="9" t="str">
        <f t="shared" ca="1" si="78"/>
        <v/>
      </c>
      <c r="HE67" s="9" t="str">
        <f t="shared" ca="1" si="78"/>
        <v/>
      </c>
      <c r="HF67" s="9" t="str">
        <f t="shared" ca="1" si="78"/>
        <v/>
      </c>
      <c r="HG67" s="9" t="str">
        <f t="shared" ca="1" si="78"/>
        <v/>
      </c>
      <c r="HH67" s="9" t="str">
        <f t="shared" ca="1" si="78"/>
        <v/>
      </c>
      <c r="HI67" s="9" t="str">
        <f t="shared" ca="1" si="78"/>
        <v/>
      </c>
      <c r="HJ67" s="9" t="str">
        <f t="shared" ca="1" si="78"/>
        <v/>
      </c>
      <c r="HK67" s="9" t="str">
        <f t="shared" ca="1" si="78"/>
        <v/>
      </c>
      <c r="HL67" s="9" t="str">
        <f t="shared" ca="1" si="78"/>
        <v/>
      </c>
      <c r="HM67" s="9" t="str">
        <f t="shared" ca="1" si="78"/>
        <v/>
      </c>
      <c r="HN67" s="9" t="str">
        <f t="shared" ca="1" si="78"/>
        <v/>
      </c>
      <c r="HO67" s="9" t="str">
        <f t="shared" ca="1" si="78"/>
        <v/>
      </c>
      <c r="HP67" s="9" t="str">
        <f t="shared" ca="1" si="78"/>
        <v/>
      </c>
      <c r="HQ67" s="9" t="str">
        <f t="shared" ca="1" si="78"/>
        <v/>
      </c>
      <c r="HR67" s="9" t="str">
        <f t="shared" ca="1" si="78"/>
        <v/>
      </c>
      <c r="HS67" s="9" t="str">
        <f t="shared" ca="1" si="78"/>
        <v/>
      </c>
      <c r="HT67" s="9" t="str">
        <f t="shared" ca="1" si="78"/>
        <v/>
      </c>
      <c r="HU67" s="9" t="str">
        <f t="shared" ca="1" si="78"/>
        <v/>
      </c>
      <c r="HV67" s="9" t="str">
        <f t="shared" ca="1" si="78"/>
        <v/>
      </c>
      <c r="HW67" s="9" t="str">
        <f t="shared" ca="1" si="78"/>
        <v/>
      </c>
      <c r="HX67" s="9" t="str">
        <f t="shared" ca="1" si="78"/>
        <v/>
      </c>
      <c r="HY67" s="9" t="str">
        <f t="shared" ca="1" si="78"/>
        <v/>
      </c>
      <c r="HZ67" s="9" t="str">
        <f t="shared" ca="1" si="78"/>
        <v/>
      </c>
      <c r="IA67" s="9" t="str">
        <f t="shared" ca="1" si="78"/>
        <v/>
      </c>
      <c r="IB67" s="9" t="str">
        <f t="shared" ca="1" si="78"/>
        <v/>
      </c>
      <c r="IC67" s="9" t="str">
        <f t="shared" ca="1" si="78"/>
        <v/>
      </c>
      <c r="ID67" s="9" t="str">
        <f t="shared" ca="1" si="78"/>
        <v/>
      </c>
      <c r="IE67" s="9" t="str">
        <f t="shared" ca="1" si="78"/>
        <v/>
      </c>
      <c r="IF67" s="9" t="str">
        <f t="shared" ca="1" si="78"/>
        <v/>
      </c>
      <c r="IG67" s="9" t="str">
        <f t="shared" ca="1" si="78"/>
        <v/>
      </c>
      <c r="IH67" s="9" t="str">
        <f t="shared" ca="1" si="78"/>
        <v/>
      </c>
      <c r="II67" s="9" t="str">
        <f t="shared" ca="1" si="78"/>
        <v/>
      </c>
      <c r="IJ67" s="9" t="str">
        <f t="shared" ca="1" si="78"/>
        <v/>
      </c>
      <c r="IK67" s="9" t="str">
        <f t="shared" ca="1" si="78"/>
        <v/>
      </c>
      <c r="IL67" s="9" t="str">
        <f t="shared" ca="1" si="78"/>
        <v/>
      </c>
      <c r="IM67" s="9" t="str">
        <f t="shared" ca="1" si="78"/>
        <v/>
      </c>
      <c r="IN67" s="9" t="str">
        <f t="shared" ca="1" si="78"/>
        <v/>
      </c>
      <c r="IO67" s="9" t="str">
        <f t="shared" ca="1" si="78"/>
        <v/>
      </c>
      <c r="IP67" s="9" t="str">
        <f t="shared" ca="1" si="78"/>
        <v/>
      </c>
      <c r="IQ67" s="9" t="str">
        <f t="shared" ca="1" si="78"/>
        <v/>
      </c>
      <c r="IR67" s="9" t="str">
        <f t="shared" ca="1" si="78"/>
        <v/>
      </c>
      <c r="IS67" s="9" t="str">
        <f t="shared" ca="1" si="78"/>
        <v/>
      </c>
      <c r="IT67" s="9" t="str">
        <f t="shared" ca="1" si="78"/>
        <v/>
      </c>
      <c r="IU67" s="9" t="str">
        <f t="shared" ca="1" si="78"/>
        <v/>
      </c>
      <c r="IV67" s="9" t="str">
        <f t="shared" ca="1" si="78"/>
        <v/>
      </c>
      <c r="IW67" s="9" t="str">
        <f t="shared" ca="1" si="78"/>
        <v/>
      </c>
      <c r="IX67" s="9" t="str">
        <f t="shared" ref="IX67:JH67" ca="1" si="79">IF(IX40="","",ABS(IX40))</f>
        <v/>
      </c>
      <c r="IY67" s="9" t="str">
        <f t="shared" ca="1" si="79"/>
        <v/>
      </c>
      <c r="IZ67" s="9" t="str">
        <f t="shared" ca="1" si="79"/>
        <v/>
      </c>
      <c r="JA67" s="9" t="str">
        <f t="shared" ca="1" si="79"/>
        <v/>
      </c>
      <c r="JB67" s="9" t="str">
        <f t="shared" ca="1" si="79"/>
        <v/>
      </c>
      <c r="JC67" s="9" t="str">
        <f t="shared" ca="1" si="79"/>
        <v/>
      </c>
      <c r="JD67" s="9" t="str">
        <f t="shared" ca="1" si="79"/>
        <v/>
      </c>
      <c r="JE67" s="9" t="str">
        <f t="shared" ca="1" si="79"/>
        <v/>
      </c>
      <c r="JF67" s="9" t="str">
        <f t="shared" ca="1" si="79"/>
        <v/>
      </c>
      <c r="JG67" s="9" t="str">
        <f t="shared" ca="1" si="79"/>
        <v/>
      </c>
      <c r="JH67" s="9" t="str">
        <f t="shared" ca="1" si="79"/>
        <v/>
      </c>
      <c r="JI67" s="13">
        <f t="shared" ca="1" si="24"/>
        <v>2.4127226026087745E-2</v>
      </c>
      <c r="JJ67" s="13">
        <f t="shared" ca="1" si="25"/>
        <v>1.4048568435080899E-2</v>
      </c>
      <c r="JK67" s="14">
        <f t="shared" ca="1" si="26"/>
        <v>5.2229844208607394E-4</v>
      </c>
      <c r="JL67" s="17">
        <f t="shared" ca="1" si="34"/>
        <v>2.2853849611959774E-2</v>
      </c>
      <c r="JM67" s="15" t="str">
        <f t="shared" ca="1" si="27"/>
        <v>[ -2,16% ; 6,98% ]</v>
      </c>
      <c r="JN67" s="17">
        <f t="shared" ca="1" si="28"/>
        <v>2.9252927503308511E-2</v>
      </c>
      <c r="LY67" s="1"/>
    </row>
    <row r="68" spans="1:337" x14ac:dyDescent="0.25">
      <c r="A68" s="4">
        <v>12</v>
      </c>
      <c r="B68" s="9">
        <f t="shared" ref="B68:BM68" ca="1" si="80">IF(B41="","",ABS(B41))</f>
        <v>1.223590168774269E-3</v>
      </c>
      <c r="C68" s="9">
        <f t="shared" ca="1" si="80"/>
        <v>3.2016176251806749E-3</v>
      </c>
      <c r="D68" s="9">
        <f t="shared" ca="1" si="80"/>
        <v>8.3100848636952218E-4</v>
      </c>
      <c r="E68" s="9">
        <f t="shared" ca="1" si="80"/>
        <v>1.6133935334172733E-5</v>
      </c>
      <c r="F68" s="9">
        <f t="shared" ca="1" si="80"/>
        <v>3.315032529851214E-3</v>
      </c>
      <c r="G68" s="9">
        <f t="shared" ca="1" si="80"/>
        <v>6.2918388634328748E-3</v>
      </c>
      <c r="H68" s="9">
        <f t="shared" ca="1" si="80"/>
        <v>1.3190003479854218E-2</v>
      </c>
      <c r="I68" s="9">
        <f t="shared" ca="1" si="80"/>
        <v>1.8886990010392957E-2</v>
      </c>
      <c r="J68" s="9">
        <f t="shared" ca="1" si="80"/>
        <v>2.369256012220855E-2</v>
      </c>
      <c r="K68" s="9">
        <f t="shared" ca="1" si="80"/>
        <v>2.5059104073972605E-2</v>
      </c>
      <c r="L68" s="9">
        <f t="shared" ca="1" si="80"/>
        <v>2.661496074661629E-2</v>
      </c>
      <c r="M68" s="9">
        <f t="shared" ca="1" si="80"/>
        <v>2.6517382479902762E-2</v>
      </c>
      <c r="N68" s="9">
        <f t="shared" ca="1" si="80"/>
        <v>2.6282171862186843E-2</v>
      </c>
      <c r="O68" s="9">
        <f t="shared" ca="1" si="80"/>
        <v>2.6301940158445336E-2</v>
      </c>
      <c r="P68" s="9">
        <f t="shared" ca="1" si="80"/>
        <v>2.5653426095202159E-2</v>
      </c>
      <c r="Q68" s="9">
        <f t="shared" ca="1" si="80"/>
        <v>2.6477099598059661E-2</v>
      </c>
      <c r="R68" s="9">
        <f t="shared" ca="1" si="80"/>
        <v>2.5028952603068366E-2</v>
      </c>
      <c r="S68" s="9">
        <f t="shared" ca="1" si="80"/>
        <v>2.070396406484265E-2</v>
      </c>
      <c r="T68" s="9">
        <f t="shared" ca="1" si="80"/>
        <v>7.0019913040879622E-3</v>
      </c>
      <c r="U68" s="9">
        <f t="shared" ca="1" si="80"/>
        <v>7.0347246263775531E-3</v>
      </c>
      <c r="V68" s="9">
        <f t="shared" ca="1" si="80"/>
        <v>2.3212529882744581E-2</v>
      </c>
      <c r="W68" s="9">
        <f t="shared" ca="1" si="80"/>
        <v>2.398481035122213E-2</v>
      </c>
      <c r="X68" s="9">
        <f t="shared" ca="1" si="80"/>
        <v>2.2757129184913349E-2</v>
      </c>
      <c r="Y68" s="9">
        <f t="shared" ca="1" si="80"/>
        <v>1.3168486562851189E-2</v>
      </c>
      <c r="Z68" s="9">
        <f t="shared" ca="1" si="80"/>
        <v>1.2660647120047885E-2</v>
      </c>
      <c r="AA68" s="9">
        <f t="shared" ca="1" si="80"/>
        <v>1.3536283339113053E-2</v>
      </c>
      <c r="AB68" s="9">
        <f t="shared" ca="1" si="80"/>
        <v>7.9769005576186824E-3</v>
      </c>
      <c r="AC68" s="9">
        <f t="shared" ca="1" si="80"/>
        <v>1.1384428067306107E-2</v>
      </c>
      <c r="AD68" s="9">
        <f t="shared" ca="1" si="80"/>
        <v>9.9531760796656155E-3</v>
      </c>
      <c r="AE68" s="9">
        <f t="shared" ca="1" si="80"/>
        <v>7.1565838850637942E-3</v>
      </c>
      <c r="AF68" s="9">
        <f t="shared" ca="1" si="80"/>
        <v>3.8128215164454637E-3</v>
      </c>
      <c r="AG68" s="9">
        <f t="shared" ca="1" si="80"/>
        <v>3.3023975259827143E-3</v>
      </c>
      <c r="AH68" s="9">
        <f t="shared" ca="1" si="80"/>
        <v>2.7354824857216409E-3</v>
      </c>
      <c r="AI68" s="9">
        <f t="shared" ca="1" si="80"/>
        <v>5.8673101586483867E-3</v>
      </c>
      <c r="AJ68" s="9">
        <f t="shared" ca="1" si="80"/>
        <v>8.2558836012460723E-3</v>
      </c>
      <c r="AK68" s="9">
        <f t="shared" ca="1" si="80"/>
        <v>1.423827869645522E-2</v>
      </c>
      <c r="AL68" s="9">
        <f t="shared" ca="1" si="80"/>
        <v>1.3104954354048015E-2</v>
      </c>
      <c r="AM68" s="9">
        <f t="shared" ca="1" si="80"/>
        <v>1.9375267466808621E-2</v>
      </c>
      <c r="AN68" s="9">
        <f t="shared" ca="1" si="80"/>
        <v>1.9065395584199285E-2</v>
      </c>
      <c r="AO68" s="9">
        <f t="shared" ca="1" si="80"/>
        <v>2.6314854985877156E-2</v>
      </c>
      <c r="AP68" s="9">
        <f t="shared" ca="1" si="80"/>
        <v>2.007767787462722E-2</v>
      </c>
      <c r="AQ68" s="9">
        <f t="shared" ca="1" si="80"/>
        <v>2.574391691705924E-2</v>
      </c>
      <c r="AR68" s="9">
        <f t="shared" ca="1" si="80"/>
        <v>2.8854771238102872E-2</v>
      </c>
      <c r="AS68" s="9">
        <f t="shared" ca="1" si="80"/>
        <v>3.2281460759874703E-2</v>
      </c>
      <c r="AT68" s="9">
        <f t="shared" ca="1" si="80"/>
        <v>3.0986108120921507E-2</v>
      </c>
      <c r="AU68" s="9">
        <f t="shared" ca="1" si="80"/>
        <v>3.9293353268277986E-2</v>
      </c>
      <c r="AV68" s="9">
        <f t="shared" ca="1" si="80"/>
        <v>5.2423179130405506E-2</v>
      </c>
      <c r="AW68" s="9">
        <f t="shared" ca="1" si="80"/>
        <v>6.174956172556878E-2</v>
      </c>
      <c r="AX68" s="9">
        <f t="shared" ca="1" si="80"/>
        <v>7.1318652342375666E-2</v>
      </c>
      <c r="AY68" s="9">
        <f t="shared" ca="1" si="80"/>
        <v>7.7012280438522485E-2</v>
      </c>
      <c r="AZ68" s="9">
        <f t="shared" ca="1" si="80"/>
        <v>8.3515043155362845E-2</v>
      </c>
      <c r="BA68" s="9">
        <f t="shared" ca="1" si="80"/>
        <v>8.4692079895436922E-2</v>
      </c>
      <c r="BB68" s="9">
        <f t="shared" ca="1" si="80"/>
        <v>7.8562484152207457E-2</v>
      </c>
      <c r="BC68" s="9">
        <f t="shared" ca="1" si="80"/>
        <v>7.2775223334107242E-2</v>
      </c>
      <c r="BD68" s="9">
        <f t="shared" ca="1" si="80"/>
        <v>4.9307931818805661E-2</v>
      </c>
      <c r="BE68" s="9">
        <f t="shared" ca="1" si="80"/>
        <v>5.1983888468912554E-2</v>
      </c>
      <c r="BF68" s="9">
        <f t="shared" ca="1" si="80"/>
        <v>5.2035793928963958E-2</v>
      </c>
      <c r="BG68" s="9">
        <f t="shared" ca="1" si="80"/>
        <v>3.4631675601632494E-2</v>
      </c>
      <c r="BH68" s="9">
        <f t="shared" ca="1" si="80"/>
        <v>2.0361682372627143E-5</v>
      </c>
      <c r="BI68" s="9">
        <f t="shared" ca="1" si="80"/>
        <v>4.8237950771634952E-2</v>
      </c>
      <c r="BJ68" s="9">
        <f t="shared" ca="1" si="80"/>
        <v>4.0865121405614158E-2</v>
      </c>
      <c r="BK68" s="9">
        <f t="shared" ca="1" si="80"/>
        <v>4.679452319521471E-2</v>
      </c>
      <c r="BL68" s="9">
        <f t="shared" ca="1" si="80"/>
        <v>6.6103145458803692E-2</v>
      </c>
      <c r="BM68" s="9">
        <f t="shared" ca="1" si="80"/>
        <v>7.8872073160624945E-2</v>
      </c>
      <c r="BN68" s="9">
        <f t="shared" ref="BN68:DY68" ca="1" si="81">IF(BN41="","",ABS(BN41))</f>
        <v>4.3953591891812582E-2</v>
      </c>
      <c r="BO68" s="9">
        <f t="shared" ca="1" si="81"/>
        <v>2.5599246264825348E-2</v>
      </c>
      <c r="BP68" s="9">
        <f t="shared" ca="1" si="81"/>
        <v>2.5503450477064704E-2</v>
      </c>
      <c r="BQ68" s="9">
        <f t="shared" ca="1" si="81"/>
        <v>2.5594001345073614E-2</v>
      </c>
      <c r="BR68" s="9">
        <f t="shared" ca="1" si="81"/>
        <v>1.7748521692770858E-3</v>
      </c>
      <c r="BS68" s="9">
        <f t="shared" ca="1" si="81"/>
        <v>1.697946593308286E-2</v>
      </c>
      <c r="BT68" s="9">
        <f t="shared" ca="1" si="81"/>
        <v>9.8866855692812949E-3</v>
      </c>
      <c r="BU68" s="9">
        <f t="shared" ca="1" si="81"/>
        <v>6.7803608291823192E-3</v>
      </c>
      <c r="BV68" s="9">
        <f t="shared" ca="1" si="81"/>
        <v>8.900761707617777E-3</v>
      </c>
      <c r="BW68" s="9">
        <f t="shared" ca="1" si="81"/>
        <v>6.850572282688705E-3</v>
      </c>
      <c r="BX68" s="9">
        <f t="shared" ca="1" si="81"/>
        <v>9.027526463186164E-3</v>
      </c>
      <c r="BY68" s="9">
        <f t="shared" ca="1" si="81"/>
        <v>8.9996273366207413E-3</v>
      </c>
      <c r="BZ68" s="9">
        <f t="shared" ca="1" si="81"/>
        <v>4.0249307973915238E-3</v>
      </c>
      <c r="CA68" s="9">
        <f t="shared" ca="1" si="81"/>
        <v>5.9598551522916932E-3</v>
      </c>
      <c r="CB68" s="9">
        <f t="shared" ca="1" si="81"/>
        <v>3.353724195236385E-3</v>
      </c>
      <c r="CC68" s="9">
        <f t="shared" ca="1" si="81"/>
        <v>4.1242222600450518E-3</v>
      </c>
      <c r="CD68" s="9">
        <f t="shared" ca="1" si="81"/>
        <v>6.1255468064862484E-3</v>
      </c>
      <c r="CE68" s="9">
        <f t="shared" ca="1" si="81"/>
        <v>6.5896432083618617E-3</v>
      </c>
      <c r="CF68" s="9">
        <f t="shared" ca="1" si="81"/>
        <v>9.1583623937514513E-3</v>
      </c>
      <c r="CG68" s="9">
        <f t="shared" ca="1" si="81"/>
        <v>1.0134604526210733E-2</v>
      </c>
      <c r="CH68" s="9">
        <f t="shared" ca="1" si="81"/>
        <v>1.6836576205128795E-2</v>
      </c>
      <c r="CI68" s="9">
        <f t="shared" ca="1" si="81"/>
        <v>1.8449425649018414E-2</v>
      </c>
      <c r="CJ68" s="9">
        <f t="shared" ca="1" si="81"/>
        <v>5.826932688524078E-4</v>
      </c>
      <c r="CK68" s="9">
        <f t="shared" ca="1" si="81"/>
        <v>1.9239513776541983E-2</v>
      </c>
      <c r="CL68" s="9">
        <f t="shared" ca="1" si="81"/>
        <v>2.938718186959921E-2</v>
      </c>
      <c r="CM68" s="9">
        <f t="shared" ca="1" si="81"/>
        <v>2.8376430211982662E-2</v>
      </c>
      <c r="CN68" s="9">
        <f t="shared" ca="1" si="81"/>
        <v>1.3369562395577406E-2</v>
      </c>
      <c r="CO68" s="9">
        <f t="shared" ca="1" si="81"/>
        <v>1.763365323705246E-2</v>
      </c>
      <c r="CP68" s="9">
        <f t="shared" ca="1" si="81"/>
        <v>2.1849974495626201E-2</v>
      </c>
      <c r="CQ68" s="9">
        <f t="shared" ca="1" si="81"/>
        <v>1.9893005592869217E-2</v>
      </c>
      <c r="CR68" s="9">
        <f t="shared" ca="1" si="81"/>
        <v>3.7547425316355465E-3</v>
      </c>
      <c r="CS68" s="9">
        <f t="shared" ca="1" si="81"/>
        <v>9.0872412947176073E-3</v>
      </c>
      <c r="CT68" s="9">
        <f t="shared" ca="1" si="81"/>
        <v>3.2568704273638005E-2</v>
      </c>
      <c r="CU68" s="9">
        <f t="shared" ca="1" si="81"/>
        <v>2.0417600771396094E-2</v>
      </c>
      <c r="CV68" s="9">
        <f t="shared" ca="1" si="81"/>
        <v>6.2470206792404337E-3</v>
      </c>
      <c r="CW68" s="9">
        <f t="shared" ca="1" si="81"/>
        <v>1.0239102474193684E-2</v>
      </c>
      <c r="CX68" s="9">
        <f t="shared" ca="1" si="81"/>
        <v>4.5655942627207402E-3</v>
      </c>
      <c r="CY68" s="9">
        <f t="shared" ca="1" si="81"/>
        <v>5.3162890116622563E-3</v>
      </c>
      <c r="CZ68" s="9">
        <f t="shared" ca="1" si="81"/>
        <v>1.7429664826176694E-2</v>
      </c>
      <c r="DA68" s="9">
        <f t="shared" ca="1" si="81"/>
        <v>2.0800332301240676E-4</v>
      </c>
      <c r="DB68" s="9">
        <f t="shared" ca="1" si="81"/>
        <v>5.4498934899793738E-3</v>
      </c>
      <c r="DC68" s="9">
        <f t="shared" ca="1" si="81"/>
        <v>2.0553487750913924E-3</v>
      </c>
      <c r="DD68" s="9">
        <f t="shared" ca="1" si="81"/>
        <v>1.1764448701311214E-2</v>
      </c>
      <c r="DE68" s="9">
        <f t="shared" ca="1" si="81"/>
        <v>5.0271027408794966E-2</v>
      </c>
      <c r="DF68" s="9">
        <f t="shared" ca="1" si="81"/>
        <v>4.527368415867794E-2</v>
      </c>
      <c r="DG68" s="9">
        <f t="shared" ca="1" si="81"/>
        <v>4.0438293521671498E-2</v>
      </c>
      <c r="DH68" s="9">
        <f t="shared" ca="1" si="81"/>
        <v>4.0091436953700543E-2</v>
      </c>
      <c r="DI68" s="9">
        <f t="shared" ca="1" si="81"/>
        <v>4.2255682162243735E-2</v>
      </c>
      <c r="DJ68" s="9">
        <f t="shared" ca="1" si="81"/>
        <v>4.4410330285574617E-2</v>
      </c>
      <c r="DK68" s="9">
        <f t="shared" ca="1" si="81"/>
        <v>3.7756215806799887E-2</v>
      </c>
      <c r="DL68" s="9">
        <f t="shared" ca="1" si="81"/>
        <v>4.1408497603187322E-2</v>
      </c>
      <c r="DM68" s="9">
        <f t="shared" ca="1" si="81"/>
        <v>4.3721958863865318E-2</v>
      </c>
      <c r="DN68" s="9">
        <f t="shared" ca="1" si="81"/>
        <v>3.3970369740341955E-2</v>
      </c>
      <c r="DO68" s="9">
        <f t="shared" ca="1" si="81"/>
        <v>3.2260678537675003E-2</v>
      </c>
      <c r="DP68" s="9">
        <f t="shared" ca="1" si="81"/>
        <v>1.482217964569521E-2</v>
      </c>
      <c r="DQ68" s="9">
        <f t="shared" ca="1" si="81"/>
        <v>1.9493423306572333E-2</v>
      </c>
      <c r="DR68" s="9">
        <f t="shared" ca="1" si="81"/>
        <v>3.9068145908250917E-3</v>
      </c>
      <c r="DS68" s="9">
        <f t="shared" ca="1" si="81"/>
        <v>1.4760291907132128E-2</v>
      </c>
      <c r="DT68" s="9">
        <f t="shared" ca="1" si="81"/>
        <v>1.88947873438573E-2</v>
      </c>
      <c r="DU68" s="9">
        <f t="shared" ca="1" si="81"/>
        <v>2.3112057785903639E-2</v>
      </c>
      <c r="DV68" s="9">
        <f t="shared" ca="1" si="81"/>
        <v>1.4543530974803653E-2</v>
      </c>
      <c r="DW68" s="9">
        <f t="shared" ca="1" si="81"/>
        <v>1.3672330305956493E-2</v>
      </c>
      <c r="DX68" s="9">
        <f t="shared" ca="1" si="81"/>
        <v>2.1410765444316859E-2</v>
      </c>
      <c r="DY68" s="9">
        <f t="shared" ca="1" si="81"/>
        <v>2.0447412547368482E-2</v>
      </c>
      <c r="DZ68" s="9">
        <f t="shared" ref="DZ68:GK68" ca="1" si="82">IF(DZ41="","",ABS(DZ41))</f>
        <v>2.2516481704108915E-2</v>
      </c>
      <c r="EA68" s="9">
        <f t="shared" ca="1" si="82"/>
        <v>1.4004336569622855E-2</v>
      </c>
      <c r="EB68" s="9">
        <f t="shared" ca="1" si="82"/>
        <v>2.056523204595273E-2</v>
      </c>
      <c r="EC68" s="9">
        <f t="shared" ca="1" si="82"/>
        <v>1.1608337139479286E-3</v>
      </c>
      <c r="ED68" s="9">
        <f t="shared" ca="1" si="82"/>
        <v>2.1483094403309533E-3</v>
      </c>
      <c r="EE68" s="9">
        <f t="shared" ca="1" si="82"/>
        <v>1.3724611309227752E-2</v>
      </c>
      <c r="EF68" s="9">
        <f t="shared" ca="1" si="82"/>
        <v>7.4153620854811031E-4</v>
      </c>
      <c r="EG68" s="9">
        <f t="shared" ca="1" si="82"/>
        <v>1.5204330943734412E-2</v>
      </c>
      <c r="EH68" s="9">
        <f t="shared" ca="1" si="82"/>
        <v>1.6472598062001742E-2</v>
      </c>
      <c r="EI68" s="9">
        <f t="shared" ca="1" si="82"/>
        <v>1.1426530976922145E-2</v>
      </c>
      <c r="EJ68" s="9">
        <f t="shared" ca="1" si="82"/>
        <v>6.7259284875604841E-3</v>
      </c>
      <c r="EK68" s="9">
        <f t="shared" ca="1" si="82"/>
        <v>5.2508115799295707E-3</v>
      </c>
      <c r="EL68" s="9">
        <f t="shared" ca="1" si="82"/>
        <v>1.7380346517020917E-2</v>
      </c>
      <c r="EM68" s="9">
        <f t="shared" ca="1" si="82"/>
        <v>1.1269195279600352E-2</v>
      </c>
      <c r="EN68" s="9">
        <f t="shared" ca="1" si="82"/>
        <v>1.4210901525976705E-2</v>
      </c>
      <c r="EO68" s="9">
        <f t="shared" ca="1" si="82"/>
        <v>5.9836051469231988E-3</v>
      </c>
      <c r="EP68" s="9">
        <f t="shared" ca="1" si="82"/>
        <v>1.4186300148988362E-4</v>
      </c>
      <c r="EQ68" s="9">
        <f t="shared" ca="1" si="82"/>
        <v>1.0306414166713296E-2</v>
      </c>
      <c r="ER68" s="9">
        <f t="shared" ca="1" si="82"/>
        <v>1.464559230815865E-2</v>
      </c>
      <c r="ES68" s="9">
        <f t="shared" ca="1" si="82"/>
        <v>1.0597795016668576E-2</v>
      </c>
      <c r="ET68" s="9">
        <f t="shared" ca="1" si="82"/>
        <v>1.2927090142398567E-2</v>
      </c>
      <c r="EU68" s="9">
        <f t="shared" ca="1" si="82"/>
        <v>1.437924976526328E-2</v>
      </c>
      <c r="EV68" s="9">
        <f t="shared" ca="1" si="82"/>
        <v>5.9282375439965174E-3</v>
      </c>
      <c r="EW68" s="9">
        <f t="shared" ca="1" si="82"/>
        <v>5.812745148611187E-3</v>
      </c>
      <c r="EX68" s="9">
        <f t="shared" ca="1" si="82"/>
        <v>1.402899019575532E-2</v>
      </c>
      <c r="EY68" s="9">
        <f t="shared" ca="1" si="82"/>
        <v>1.236548289574535E-2</v>
      </c>
      <c r="EZ68" s="9">
        <f t="shared" ca="1" si="82"/>
        <v>3.0214339189507111E-3</v>
      </c>
      <c r="FA68" s="9">
        <f t="shared" ca="1" si="82"/>
        <v>1.2104716550869088E-2</v>
      </c>
      <c r="FB68" s="9">
        <f t="shared" ca="1" si="82"/>
        <v>8.2866978954743153E-3</v>
      </c>
      <c r="FC68" s="9">
        <f t="shared" ca="1" si="82"/>
        <v>6.4567673483876264E-3</v>
      </c>
      <c r="FD68" s="9">
        <f t="shared" ca="1" si="82"/>
        <v>7.1818852132929933E-3</v>
      </c>
      <c r="FE68" s="9">
        <f t="shared" ca="1" si="82"/>
        <v>9.6491478333238234E-4</v>
      </c>
      <c r="FF68" s="9">
        <f t="shared" ca="1" si="82"/>
        <v>1.2133995642133133E-2</v>
      </c>
      <c r="FG68" s="9">
        <f t="shared" ca="1" si="82"/>
        <v>5.0915656925549779E-3</v>
      </c>
      <c r="FH68" s="9">
        <f t="shared" ca="1" si="82"/>
        <v>3.2104924690075087E-3</v>
      </c>
      <c r="FI68" s="9">
        <f t="shared" ca="1" si="82"/>
        <v>3.0850366584560529E-3</v>
      </c>
      <c r="FJ68" s="9">
        <f t="shared" ca="1" si="82"/>
        <v>1.0581404753406076E-2</v>
      </c>
      <c r="FK68" s="9">
        <f t="shared" ca="1" si="82"/>
        <v>2.8448818585719016E-3</v>
      </c>
      <c r="FL68" s="9">
        <f t="shared" ca="1" si="82"/>
        <v>1.6468129192293013E-4</v>
      </c>
      <c r="FM68" s="9">
        <f t="shared" ca="1" si="82"/>
        <v>1.7290781577790071E-3</v>
      </c>
      <c r="FN68" s="9">
        <f t="shared" ca="1" si="82"/>
        <v>7.1127522619789385E-3</v>
      </c>
      <c r="FO68" s="9">
        <f t="shared" ca="1" si="82"/>
        <v>2.6981183778914675E-3</v>
      </c>
      <c r="FP68" s="9">
        <f t="shared" ca="1" si="82"/>
        <v>7.2611998439342518E-4</v>
      </c>
      <c r="FQ68" s="9">
        <f t="shared" ca="1" si="82"/>
        <v>4.2361027089156122E-3</v>
      </c>
      <c r="FR68" s="9">
        <f t="shared" ca="1" si="82"/>
        <v>4.6925661350347703E-3</v>
      </c>
      <c r="FS68" s="9">
        <f t="shared" ca="1" si="82"/>
        <v>3.5027523813564443E-3</v>
      </c>
      <c r="FT68" s="9">
        <f t="shared" ca="1" si="82"/>
        <v>3.2471230889836722E-3</v>
      </c>
      <c r="FU68" s="9">
        <f t="shared" ca="1" si="82"/>
        <v>3.7100906663054545E-3</v>
      </c>
      <c r="FV68" s="9">
        <f t="shared" ca="1" si="82"/>
        <v>1.1171766616375089E-2</v>
      </c>
      <c r="FW68" s="9">
        <f t="shared" ca="1" si="82"/>
        <v>4.9003300186121201E-3</v>
      </c>
      <c r="FX68" s="9">
        <f t="shared" ca="1" si="82"/>
        <v>1.2187729118406043E-2</v>
      </c>
      <c r="FY68" s="9">
        <f t="shared" ca="1" si="82"/>
        <v>3.0071365625060631E-3</v>
      </c>
      <c r="FZ68" s="9">
        <f t="shared" ca="1" si="82"/>
        <v>9.0978815071405261E-3</v>
      </c>
      <c r="GA68" s="9">
        <f t="shared" ca="1" si="82"/>
        <v>2.556207972270963E-3</v>
      </c>
      <c r="GB68" s="9">
        <f t="shared" ca="1" si="82"/>
        <v>1.0843402647373601E-3</v>
      </c>
      <c r="GC68" s="9">
        <f t="shared" ca="1" si="82"/>
        <v>2.9078242132732246E-2</v>
      </c>
      <c r="GD68" s="9">
        <f t="shared" ca="1" si="82"/>
        <v>7.1099537351652087E-2</v>
      </c>
      <c r="GE68" s="9">
        <f t="shared" ca="1" si="82"/>
        <v>7.3121889223985992E-2</v>
      </c>
      <c r="GF68" s="9">
        <f t="shared" ca="1" si="82"/>
        <v>7.2956709920813712E-2</v>
      </c>
      <c r="GG68" s="9">
        <f t="shared" ca="1" si="82"/>
        <v>5.917795797119596E-2</v>
      </c>
      <c r="GH68" s="9">
        <f t="shared" ca="1" si="82"/>
        <v>4.0222871131937232E-2</v>
      </c>
      <c r="GI68" s="9">
        <f t="shared" ca="1" si="82"/>
        <v>3.6268372773340607E-2</v>
      </c>
      <c r="GJ68" s="9">
        <f t="shared" ca="1" si="82"/>
        <v>4.2174208941848645E-2</v>
      </c>
      <c r="GK68" s="9">
        <f t="shared" ca="1" si="82"/>
        <v>3.311137796096264E-2</v>
      </c>
      <c r="GL68" s="9">
        <f t="shared" ref="GL68:IW68" ca="1" si="83">IF(GL41="","",ABS(GL41))</f>
        <v>3.3497117705270529E-2</v>
      </c>
      <c r="GM68" s="9">
        <f t="shared" ca="1" si="83"/>
        <v>2.6371330030518836E-2</v>
      </c>
      <c r="GN68" s="9" t="str">
        <f t="shared" ca="1" si="83"/>
        <v/>
      </c>
      <c r="GO68" s="9" t="str">
        <f t="shared" ca="1" si="83"/>
        <v/>
      </c>
      <c r="GP68" s="9" t="str">
        <f t="shared" ca="1" si="83"/>
        <v/>
      </c>
      <c r="GQ68" s="9" t="str">
        <f t="shared" ca="1" si="83"/>
        <v/>
      </c>
      <c r="GR68" s="9" t="str">
        <f t="shared" ca="1" si="83"/>
        <v/>
      </c>
      <c r="GS68" s="9" t="str">
        <f t="shared" ca="1" si="83"/>
        <v/>
      </c>
      <c r="GT68" s="9" t="str">
        <f t="shared" ca="1" si="83"/>
        <v/>
      </c>
      <c r="GU68" s="9" t="str">
        <f t="shared" ca="1" si="83"/>
        <v/>
      </c>
      <c r="GV68" s="9" t="str">
        <f t="shared" ca="1" si="83"/>
        <v/>
      </c>
      <c r="GW68" s="9" t="str">
        <f t="shared" ca="1" si="83"/>
        <v/>
      </c>
      <c r="GX68" s="9" t="str">
        <f t="shared" ca="1" si="83"/>
        <v/>
      </c>
      <c r="GY68" s="9" t="str">
        <f t="shared" ca="1" si="83"/>
        <v/>
      </c>
      <c r="GZ68" s="9" t="str">
        <f t="shared" ca="1" si="83"/>
        <v/>
      </c>
      <c r="HA68" s="9" t="str">
        <f t="shared" ca="1" si="83"/>
        <v/>
      </c>
      <c r="HB68" s="9" t="str">
        <f t="shared" ca="1" si="83"/>
        <v/>
      </c>
      <c r="HC68" s="9" t="str">
        <f t="shared" ca="1" si="83"/>
        <v/>
      </c>
      <c r="HD68" s="9" t="str">
        <f t="shared" ca="1" si="83"/>
        <v/>
      </c>
      <c r="HE68" s="9" t="str">
        <f t="shared" ca="1" si="83"/>
        <v/>
      </c>
      <c r="HF68" s="9" t="str">
        <f t="shared" ca="1" si="83"/>
        <v/>
      </c>
      <c r="HG68" s="9" t="str">
        <f t="shared" ca="1" si="83"/>
        <v/>
      </c>
      <c r="HH68" s="9" t="str">
        <f t="shared" ca="1" si="83"/>
        <v/>
      </c>
      <c r="HI68" s="9" t="str">
        <f t="shared" ca="1" si="83"/>
        <v/>
      </c>
      <c r="HJ68" s="9" t="str">
        <f t="shared" ca="1" si="83"/>
        <v/>
      </c>
      <c r="HK68" s="9" t="str">
        <f t="shared" ca="1" si="83"/>
        <v/>
      </c>
      <c r="HL68" s="9" t="str">
        <f t="shared" ca="1" si="83"/>
        <v/>
      </c>
      <c r="HM68" s="9" t="str">
        <f t="shared" ca="1" si="83"/>
        <v/>
      </c>
      <c r="HN68" s="9" t="str">
        <f t="shared" ca="1" si="83"/>
        <v/>
      </c>
      <c r="HO68" s="9" t="str">
        <f t="shared" ca="1" si="83"/>
        <v/>
      </c>
      <c r="HP68" s="9" t="str">
        <f t="shared" ca="1" si="83"/>
        <v/>
      </c>
      <c r="HQ68" s="9" t="str">
        <f t="shared" ca="1" si="83"/>
        <v/>
      </c>
      <c r="HR68" s="9" t="str">
        <f t="shared" ca="1" si="83"/>
        <v/>
      </c>
      <c r="HS68" s="9" t="str">
        <f t="shared" ca="1" si="83"/>
        <v/>
      </c>
      <c r="HT68" s="9" t="str">
        <f t="shared" ca="1" si="83"/>
        <v/>
      </c>
      <c r="HU68" s="9" t="str">
        <f t="shared" ca="1" si="83"/>
        <v/>
      </c>
      <c r="HV68" s="9" t="str">
        <f t="shared" ca="1" si="83"/>
        <v/>
      </c>
      <c r="HW68" s="9" t="str">
        <f t="shared" ca="1" si="83"/>
        <v/>
      </c>
      <c r="HX68" s="9" t="str">
        <f t="shared" ca="1" si="83"/>
        <v/>
      </c>
      <c r="HY68" s="9" t="str">
        <f t="shared" ca="1" si="83"/>
        <v/>
      </c>
      <c r="HZ68" s="9" t="str">
        <f t="shared" ca="1" si="83"/>
        <v/>
      </c>
      <c r="IA68" s="9" t="str">
        <f t="shared" ca="1" si="83"/>
        <v/>
      </c>
      <c r="IB68" s="9" t="str">
        <f t="shared" ca="1" si="83"/>
        <v/>
      </c>
      <c r="IC68" s="9" t="str">
        <f t="shared" ca="1" si="83"/>
        <v/>
      </c>
      <c r="ID68" s="9" t="str">
        <f t="shared" ca="1" si="83"/>
        <v/>
      </c>
      <c r="IE68" s="9" t="str">
        <f t="shared" ca="1" si="83"/>
        <v/>
      </c>
      <c r="IF68" s="9" t="str">
        <f t="shared" ca="1" si="83"/>
        <v/>
      </c>
      <c r="IG68" s="9" t="str">
        <f t="shared" ca="1" si="83"/>
        <v/>
      </c>
      <c r="IH68" s="9" t="str">
        <f t="shared" ca="1" si="83"/>
        <v/>
      </c>
      <c r="II68" s="9" t="str">
        <f t="shared" ca="1" si="83"/>
        <v/>
      </c>
      <c r="IJ68" s="9" t="str">
        <f t="shared" ca="1" si="83"/>
        <v/>
      </c>
      <c r="IK68" s="9" t="str">
        <f t="shared" ca="1" si="83"/>
        <v/>
      </c>
      <c r="IL68" s="9" t="str">
        <f t="shared" ca="1" si="83"/>
        <v/>
      </c>
      <c r="IM68" s="9" t="str">
        <f t="shared" ca="1" si="83"/>
        <v/>
      </c>
      <c r="IN68" s="9" t="str">
        <f t="shared" ca="1" si="83"/>
        <v/>
      </c>
      <c r="IO68" s="9" t="str">
        <f t="shared" ca="1" si="83"/>
        <v/>
      </c>
      <c r="IP68" s="9" t="str">
        <f t="shared" ca="1" si="83"/>
        <v/>
      </c>
      <c r="IQ68" s="9" t="str">
        <f t="shared" ca="1" si="83"/>
        <v/>
      </c>
      <c r="IR68" s="9" t="str">
        <f t="shared" ca="1" si="83"/>
        <v/>
      </c>
      <c r="IS68" s="9" t="str">
        <f t="shared" ca="1" si="83"/>
        <v/>
      </c>
      <c r="IT68" s="9" t="str">
        <f t="shared" ca="1" si="83"/>
        <v/>
      </c>
      <c r="IU68" s="9" t="str">
        <f t="shared" ca="1" si="83"/>
        <v/>
      </c>
      <c r="IV68" s="9" t="str">
        <f t="shared" ca="1" si="83"/>
        <v/>
      </c>
      <c r="IW68" s="9" t="str">
        <f t="shared" ca="1" si="83"/>
        <v/>
      </c>
      <c r="IX68" s="9" t="str">
        <f t="shared" ref="IX68:JH68" ca="1" si="84">IF(IX41="","",ABS(IX41))</f>
        <v/>
      </c>
      <c r="IY68" s="9" t="str">
        <f t="shared" ca="1" si="84"/>
        <v/>
      </c>
      <c r="IZ68" s="9" t="str">
        <f t="shared" ca="1" si="84"/>
        <v/>
      </c>
      <c r="JA68" s="9" t="str">
        <f t="shared" ca="1" si="84"/>
        <v/>
      </c>
      <c r="JB68" s="9" t="str">
        <f t="shared" ca="1" si="84"/>
        <v/>
      </c>
      <c r="JC68" s="9" t="str">
        <f t="shared" ca="1" si="84"/>
        <v/>
      </c>
      <c r="JD68" s="9" t="str">
        <f t="shared" ca="1" si="84"/>
        <v/>
      </c>
      <c r="JE68" s="9" t="str">
        <f t="shared" ca="1" si="84"/>
        <v/>
      </c>
      <c r="JF68" s="9" t="str">
        <f t="shared" ca="1" si="84"/>
        <v/>
      </c>
      <c r="JG68" s="9" t="str">
        <f t="shared" ca="1" si="84"/>
        <v/>
      </c>
      <c r="JH68" s="9" t="str">
        <f t="shared" ca="1" si="84"/>
        <v/>
      </c>
      <c r="JI68" s="13">
        <f t="shared" ca="1" si="24"/>
        <v>2.5237984442821854E-2</v>
      </c>
      <c r="JJ68" s="13">
        <f t="shared" ca="1" si="25"/>
        <v>1.2187729118406043E-2</v>
      </c>
      <c r="JK68" s="14">
        <f t="shared" ca="1" si="26"/>
        <v>5.8788961802523567E-4</v>
      </c>
      <c r="JL68" s="17">
        <f t="shared" ca="1" si="34"/>
        <v>2.4246435161178553E-2</v>
      </c>
      <c r="JM68" s="15" t="str">
        <f t="shared" ca="1" si="27"/>
        <v>[ -2,33% ; 7,37% ]</v>
      </c>
      <c r="JN68" s="17">
        <f t="shared" ca="1" si="28"/>
        <v>3.103543700630855E-2</v>
      </c>
      <c r="LY68" s="1"/>
    </row>
    <row r="69" spans="1:337" hidden="1" x14ac:dyDescent="0.25">
      <c r="A69" s="4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13"/>
      <c r="JJ69" s="13"/>
      <c r="JK69" s="14"/>
      <c r="JL69" s="17"/>
      <c r="JM69" s="15"/>
      <c r="JN69" s="17"/>
      <c r="LY69" s="1"/>
    </row>
    <row r="70" spans="1:337" hidden="1" x14ac:dyDescent="0.25">
      <c r="A70" s="4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13"/>
      <c r="JJ70" s="13"/>
      <c r="JK70" s="14"/>
      <c r="JL70" s="17"/>
      <c r="JM70" s="15"/>
      <c r="JN70" s="17"/>
      <c r="LY70" s="1"/>
    </row>
    <row r="71" spans="1:337" hidden="1" x14ac:dyDescent="0.25">
      <c r="A71" s="4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13"/>
      <c r="JJ71" s="13"/>
      <c r="JK71" s="14"/>
      <c r="JL71" s="17"/>
      <c r="JM71" s="15"/>
      <c r="JN71" s="17"/>
      <c r="LY71" s="1"/>
    </row>
    <row r="72" spans="1:337" hidden="1" x14ac:dyDescent="0.25">
      <c r="A72" s="4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13"/>
      <c r="JJ72" s="13"/>
      <c r="JK72" s="14"/>
      <c r="JL72" s="17"/>
      <c r="JM72" s="15"/>
      <c r="JN72" s="17"/>
      <c r="LY72" s="1"/>
    </row>
    <row r="73" spans="1:337" hidden="1" x14ac:dyDescent="0.25">
      <c r="A73" s="4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13"/>
      <c r="JJ73" s="13"/>
      <c r="JK73" s="14"/>
      <c r="JL73" s="17"/>
      <c r="JM73" s="15"/>
      <c r="JN73" s="17"/>
      <c r="LY73" s="1"/>
    </row>
    <row r="74" spans="1:337" hidden="1" x14ac:dyDescent="0.25">
      <c r="A74" s="4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13"/>
      <c r="JJ74" s="13"/>
      <c r="JK74" s="14"/>
      <c r="JL74" s="17"/>
      <c r="JM74" s="15"/>
      <c r="JN74" s="17"/>
      <c r="LY74" s="1"/>
    </row>
    <row r="75" spans="1:337" hidden="1" x14ac:dyDescent="0.25">
      <c r="A75" s="4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13"/>
      <c r="JJ75" s="13"/>
      <c r="JK75" s="14"/>
      <c r="JL75" s="17"/>
      <c r="JM75" s="15"/>
      <c r="JN75" s="17"/>
      <c r="LY75" s="1"/>
    </row>
    <row r="76" spans="1:337" hidden="1" x14ac:dyDescent="0.25">
      <c r="A76" s="4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13"/>
      <c r="JJ76" s="13"/>
      <c r="JK76" s="14"/>
      <c r="JL76" s="17"/>
      <c r="JM76" s="15"/>
      <c r="JN76" s="17"/>
      <c r="LY76" s="1"/>
    </row>
    <row r="77" spans="1:337" hidden="1" x14ac:dyDescent="0.25">
      <c r="A77" s="4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13"/>
      <c r="JJ77" s="13"/>
      <c r="JK77" s="14"/>
      <c r="JL77" s="17"/>
      <c r="JM77" s="15"/>
      <c r="JN77" s="17"/>
      <c r="LY77" s="1"/>
    </row>
    <row r="78" spans="1:337" hidden="1" x14ac:dyDescent="0.25">
      <c r="A78" s="4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13"/>
      <c r="JJ78" s="13"/>
      <c r="JK78" s="14"/>
      <c r="JL78" s="17"/>
      <c r="JM78" s="15"/>
      <c r="JN78" s="17"/>
      <c r="LY78" s="1"/>
    </row>
    <row r="79" spans="1:337" hidden="1" x14ac:dyDescent="0.25">
      <c r="A79" s="4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13"/>
      <c r="JJ79" s="13"/>
      <c r="JK79" s="14"/>
      <c r="JL79" s="17"/>
      <c r="JM79" s="15"/>
      <c r="JN79" s="17"/>
      <c r="LY79" s="1"/>
    </row>
    <row r="80" spans="1:337" hidden="1" x14ac:dyDescent="0.25">
      <c r="A80" s="4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13"/>
      <c r="JJ80" s="13"/>
      <c r="JK80" s="14"/>
      <c r="JL80" s="17"/>
      <c r="JM80" s="15"/>
      <c r="JN80" s="17"/>
      <c r="LY80" s="1"/>
    </row>
    <row r="82" spans="1:336" x14ac:dyDescent="0.25">
      <c r="A82" s="3" t="s">
        <v>1</v>
      </c>
      <c r="B82" s="7">
        <v>37986</v>
      </c>
      <c r="C82" s="7">
        <v>38017</v>
      </c>
      <c r="D82" s="7">
        <v>38046</v>
      </c>
      <c r="E82" s="7">
        <v>38077</v>
      </c>
      <c r="F82" s="7">
        <v>38107</v>
      </c>
      <c r="G82" s="7">
        <v>38138</v>
      </c>
      <c r="H82" s="7">
        <v>38168</v>
      </c>
      <c r="I82" s="7">
        <v>38199</v>
      </c>
      <c r="J82" s="7">
        <v>38230</v>
      </c>
      <c r="K82" s="7">
        <v>38260</v>
      </c>
      <c r="L82" s="7">
        <v>38291</v>
      </c>
      <c r="M82" s="7">
        <v>38321</v>
      </c>
      <c r="N82" s="7">
        <v>38352</v>
      </c>
      <c r="O82" s="7">
        <v>38383</v>
      </c>
      <c r="P82" s="7">
        <v>38411</v>
      </c>
      <c r="Q82" s="7">
        <v>38442</v>
      </c>
      <c r="R82" s="7">
        <v>38472</v>
      </c>
      <c r="S82" s="7">
        <v>38503</v>
      </c>
      <c r="T82" s="7">
        <v>38533</v>
      </c>
      <c r="U82" s="7">
        <v>38564</v>
      </c>
      <c r="V82" s="7">
        <v>38595</v>
      </c>
      <c r="W82" s="7">
        <v>38625</v>
      </c>
      <c r="X82" s="7">
        <v>38656</v>
      </c>
      <c r="Y82" s="7">
        <v>38686</v>
      </c>
      <c r="Z82" s="7">
        <v>38717</v>
      </c>
      <c r="AA82" s="7">
        <v>38748</v>
      </c>
      <c r="AB82" s="7">
        <v>38776</v>
      </c>
      <c r="AC82" s="7">
        <v>38807</v>
      </c>
      <c r="AD82" s="7">
        <v>38837</v>
      </c>
      <c r="AE82" s="7">
        <v>38868</v>
      </c>
      <c r="AF82" s="7">
        <v>38898</v>
      </c>
      <c r="AG82" s="7">
        <v>38929</v>
      </c>
      <c r="AH82" s="7">
        <v>38960</v>
      </c>
      <c r="AI82" s="7">
        <v>38990</v>
      </c>
      <c r="AJ82" s="7">
        <v>39021</v>
      </c>
      <c r="AK82" s="7">
        <v>39051</v>
      </c>
      <c r="AL82" s="7">
        <v>39082</v>
      </c>
      <c r="AM82" s="7">
        <v>39113</v>
      </c>
      <c r="AN82" s="7">
        <v>39141</v>
      </c>
      <c r="AO82" s="7">
        <v>39172</v>
      </c>
      <c r="AP82" s="7">
        <v>39202</v>
      </c>
      <c r="AQ82" s="7">
        <v>39233</v>
      </c>
      <c r="AR82" s="7">
        <v>39263</v>
      </c>
      <c r="AS82" s="7">
        <v>39294</v>
      </c>
      <c r="AT82" s="7">
        <v>39325</v>
      </c>
      <c r="AU82" s="7">
        <v>39355</v>
      </c>
      <c r="AV82" s="7">
        <v>39386</v>
      </c>
      <c r="AW82" s="7">
        <v>39416</v>
      </c>
      <c r="AX82" s="7">
        <v>39447</v>
      </c>
      <c r="AY82" s="7">
        <v>39478</v>
      </c>
      <c r="AZ82" s="7">
        <v>39507</v>
      </c>
      <c r="BA82" s="7">
        <v>39538</v>
      </c>
      <c r="BB82" s="7">
        <v>39568</v>
      </c>
      <c r="BC82" s="7">
        <v>39599</v>
      </c>
      <c r="BD82" s="7">
        <v>39629</v>
      </c>
      <c r="BE82" s="7">
        <v>39660</v>
      </c>
      <c r="BF82" s="7">
        <v>39691</v>
      </c>
      <c r="BG82" s="7">
        <v>39721</v>
      </c>
      <c r="BH82" s="7">
        <v>39752</v>
      </c>
      <c r="BI82" s="7">
        <v>39782</v>
      </c>
      <c r="BJ82" s="7">
        <v>39813</v>
      </c>
      <c r="BK82" s="7">
        <v>39844</v>
      </c>
      <c r="BL82" s="7">
        <v>39872</v>
      </c>
      <c r="BM82" s="7">
        <v>39903</v>
      </c>
      <c r="BN82" s="7">
        <v>39933</v>
      </c>
      <c r="BO82" s="7">
        <v>39964</v>
      </c>
      <c r="BP82" s="7">
        <v>39994</v>
      </c>
      <c r="BQ82" s="7">
        <v>40025</v>
      </c>
      <c r="BR82" s="7">
        <v>40056</v>
      </c>
      <c r="BS82" s="7">
        <v>40086</v>
      </c>
      <c r="BT82" s="7">
        <v>40117</v>
      </c>
      <c r="BU82" s="7">
        <v>40147</v>
      </c>
      <c r="BV82" s="7">
        <v>40178</v>
      </c>
      <c r="BW82" s="7">
        <v>40209</v>
      </c>
      <c r="BX82" s="7">
        <v>40237</v>
      </c>
      <c r="BY82" s="7">
        <v>40268</v>
      </c>
      <c r="BZ82" s="7">
        <v>40298</v>
      </c>
      <c r="CA82" s="7">
        <v>40329</v>
      </c>
      <c r="CB82" s="7">
        <v>40359</v>
      </c>
      <c r="CC82" s="7">
        <v>40390</v>
      </c>
      <c r="CD82" s="7">
        <v>40421</v>
      </c>
      <c r="CE82" s="7">
        <v>40451</v>
      </c>
      <c r="CF82" s="7">
        <v>40482</v>
      </c>
      <c r="CG82" s="7">
        <v>40512</v>
      </c>
      <c r="CH82" s="7">
        <v>40543</v>
      </c>
      <c r="CI82" s="7">
        <v>40574</v>
      </c>
      <c r="CJ82" s="7">
        <v>40602</v>
      </c>
      <c r="CK82" s="7">
        <v>40633</v>
      </c>
      <c r="CL82" s="7">
        <v>40663</v>
      </c>
      <c r="CM82" s="7">
        <v>40694</v>
      </c>
      <c r="CN82" s="7">
        <v>40724</v>
      </c>
      <c r="CO82" s="7">
        <v>40755</v>
      </c>
      <c r="CP82" s="7">
        <v>40786</v>
      </c>
      <c r="CQ82" s="7">
        <v>40816</v>
      </c>
      <c r="CR82" s="7">
        <v>40847</v>
      </c>
      <c r="CS82" s="7">
        <v>40877</v>
      </c>
      <c r="CT82" s="7">
        <v>40908</v>
      </c>
      <c r="CU82" s="7">
        <v>40939</v>
      </c>
      <c r="CV82" s="7">
        <v>40968</v>
      </c>
      <c r="CW82" s="7">
        <v>40999</v>
      </c>
      <c r="CX82" s="7">
        <v>41029</v>
      </c>
      <c r="CY82" s="7">
        <v>41060</v>
      </c>
      <c r="CZ82" s="7">
        <v>41090</v>
      </c>
      <c r="DA82" s="7">
        <v>41121</v>
      </c>
      <c r="DB82" s="7">
        <v>41152</v>
      </c>
      <c r="DC82" s="7">
        <v>41182</v>
      </c>
      <c r="DD82" s="7">
        <v>41213</v>
      </c>
      <c r="DE82" s="7">
        <v>41243</v>
      </c>
      <c r="DF82" s="7">
        <v>41274</v>
      </c>
      <c r="DG82" s="7">
        <v>41305</v>
      </c>
      <c r="DH82" s="7">
        <v>41333</v>
      </c>
      <c r="DI82" s="7">
        <v>41364</v>
      </c>
      <c r="DJ82" s="7">
        <v>41394</v>
      </c>
      <c r="DK82" s="7">
        <v>41425</v>
      </c>
      <c r="DL82" s="7">
        <v>41455</v>
      </c>
      <c r="DM82" s="7">
        <v>41486</v>
      </c>
      <c r="DN82" s="7">
        <v>41517</v>
      </c>
      <c r="DO82" s="7">
        <v>41547</v>
      </c>
      <c r="DP82" s="7">
        <v>41578</v>
      </c>
      <c r="DQ82" s="7">
        <v>41608</v>
      </c>
      <c r="DR82" s="7">
        <v>41639</v>
      </c>
      <c r="DS82" s="7">
        <v>41670</v>
      </c>
      <c r="DT82" s="7">
        <v>41698</v>
      </c>
      <c r="DU82" s="7">
        <v>41729</v>
      </c>
      <c r="DV82" s="7">
        <v>41759</v>
      </c>
      <c r="DW82" s="7">
        <v>41790</v>
      </c>
      <c r="DX82" s="7">
        <v>41820</v>
      </c>
      <c r="DY82" s="7">
        <v>41851</v>
      </c>
      <c r="DZ82" s="7">
        <v>41882</v>
      </c>
      <c r="EA82" s="7">
        <v>41912</v>
      </c>
      <c r="EB82" s="7">
        <v>41943</v>
      </c>
      <c r="EC82" s="7">
        <v>41973</v>
      </c>
      <c r="ED82" s="7">
        <v>42004</v>
      </c>
      <c r="EE82" s="7">
        <v>42035</v>
      </c>
      <c r="EF82" s="7">
        <v>42063</v>
      </c>
      <c r="EG82" s="7">
        <v>42094</v>
      </c>
      <c r="EH82" s="7">
        <v>42124</v>
      </c>
      <c r="EI82" s="7">
        <v>42155</v>
      </c>
      <c r="EJ82" s="7">
        <v>42185</v>
      </c>
      <c r="EK82" s="7">
        <v>42216</v>
      </c>
      <c r="EL82" s="7">
        <v>42247</v>
      </c>
      <c r="EM82" s="7">
        <v>42277</v>
      </c>
      <c r="EN82" s="7">
        <v>42308</v>
      </c>
      <c r="EO82" s="7">
        <v>42338</v>
      </c>
      <c r="EP82" s="7">
        <v>42369</v>
      </c>
      <c r="EQ82" s="7">
        <v>42400</v>
      </c>
      <c r="ER82" s="7">
        <v>42429</v>
      </c>
      <c r="ES82" s="7">
        <v>42460</v>
      </c>
      <c r="ET82" s="7">
        <v>42490</v>
      </c>
      <c r="EU82" s="7">
        <v>42521</v>
      </c>
      <c r="EV82" s="7">
        <v>42551</v>
      </c>
      <c r="EW82" s="7">
        <v>42582</v>
      </c>
      <c r="EX82" s="7">
        <v>42613</v>
      </c>
      <c r="EY82" s="7">
        <v>42643</v>
      </c>
      <c r="EZ82" s="7">
        <v>42674</v>
      </c>
      <c r="FA82" s="7">
        <v>42704</v>
      </c>
      <c r="FB82" s="7">
        <v>42735</v>
      </c>
      <c r="FC82" s="7">
        <v>42766</v>
      </c>
      <c r="FD82" s="7">
        <v>42794</v>
      </c>
      <c r="FE82" s="7">
        <v>42825</v>
      </c>
      <c r="FF82" s="7">
        <v>42855</v>
      </c>
      <c r="FG82" s="7">
        <v>42886</v>
      </c>
      <c r="FH82" s="7">
        <v>42916</v>
      </c>
      <c r="FI82" s="7">
        <v>42947</v>
      </c>
      <c r="FJ82" s="7">
        <v>42978</v>
      </c>
      <c r="FK82" s="7">
        <v>43008</v>
      </c>
      <c r="FL82" s="7">
        <v>43039</v>
      </c>
      <c r="FM82" s="7">
        <v>43069</v>
      </c>
      <c r="FN82" s="7">
        <v>43100</v>
      </c>
      <c r="FO82" s="7">
        <v>43131</v>
      </c>
      <c r="FP82" s="7">
        <v>43159</v>
      </c>
      <c r="FQ82" s="7">
        <v>43190</v>
      </c>
      <c r="FR82" s="7">
        <v>43220</v>
      </c>
      <c r="FS82" s="7">
        <v>43251</v>
      </c>
      <c r="FT82" s="7">
        <v>43281</v>
      </c>
      <c r="FU82" s="7">
        <v>43312</v>
      </c>
      <c r="FV82" s="7">
        <v>43343</v>
      </c>
      <c r="FW82" s="7">
        <v>43373</v>
      </c>
      <c r="FX82" s="7">
        <v>43404</v>
      </c>
      <c r="FY82" s="7">
        <v>43434</v>
      </c>
      <c r="FZ82" s="7">
        <v>43465</v>
      </c>
      <c r="GA82" s="7">
        <v>43496</v>
      </c>
      <c r="GB82" s="7">
        <v>43524</v>
      </c>
      <c r="GC82" s="7">
        <v>43555</v>
      </c>
      <c r="GD82" s="7">
        <v>43585</v>
      </c>
      <c r="GE82" s="7">
        <v>43616</v>
      </c>
      <c r="GF82" s="7">
        <v>43646</v>
      </c>
      <c r="GG82" s="7">
        <v>43677</v>
      </c>
      <c r="GH82" s="7">
        <v>43708</v>
      </c>
      <c r="GI82" s="7">
        <v>43738</v>
      </c>
      <c r="GJ82" s="7">
        <v>43769</v>
      </c>
      <c r="GK82" s="7">
        <v>43799</v>
      </c>
      <c r="GL82" s="7">
        <v>43830</v>
      </c>
      <c r="GM82" s="7">
        <v>43861</v>
      </c>
      <c r="GN82" s="7">
        <v>43890</v>
      </c>
      <c r="GO82" s="7">
        <v>43921</v>
      </c>
      <c r="GP82" s="7">
        <v>43951</v>
      </c>
      <c r="GQ82" s="7">
        <v>43982</v>
      </c>
      <c r="GR82" s="7">
        <v>44012</v>
      </c>
      <c r="GS82" s="7">
        <v>44043</v>
      </c>
      <c r="GT82" s="7">
        <v>44074</v>
      </c>
      <c r="GU82" s="7">
        <v>44104</v>
      </c>
      <c r="GV82" s="7">
        <v>44135</v>
      </c>
      <c r="GW82" s="7">
        <v>44165</v>
      </c>
      <c r="GX82" s="7">
        <v>44196</v>
      </c>
      <c r="GY82" s="7">
        <v>44227</v>
      </c>
      <c r="GZ82" s="7">
        <v>44255</v>
      </c>
      <c r="HA82" s="7">
        <v>44286</v>
      </c>
      <c r="HB82" s="7">
        <v>44316</v>
      </c>
      <c r="HC82" s="7">
        <v>44347</v>
      </c>
      <c r="HD82" s="7">
        <v>44377</v>
      </c>
      <c r="HE82" s="7">
        <v>44408</v>
      </c>
      <c r="HF82" s="7">
        <v>44439</v>
      </c>
      <c r="HG82" s="7">
        <v>44469</v>
      </c>
      <c r="HH82" s="7">
        <v>44500</v>
      </c>
      <c r="HI82" s="7">
        <v>44530</v>
      </c>
      <c r="HJ82" s="7">
        <v>44561</v>
      </c>
      <c r="HK82" s="7">
        <v>44592</v>
      </c>
      <c r="HL82" s="7">
        <v>44620</v>
      </c>
      <c r="HM82" s="7">
        <v>44651</v>
      </c>
      <c r="HN82" s="7">
        <v>44681</v>
      </c>
      <c r="HO82" s="7">
        <v>44712</v>
      </c>
      <c r="HP82" s="7">
        <v>44742</v>
      </c>
      <c r="HQ82" s="7">
        <v>44773</v>
      </c>
      <c r="HR82" s="7">
        <v>44804</v>
      </c>
      <c r="HS82" s="7">
        <v>44834</v>
      </c>
      <c r="HT82" s="7">
        <v>44865</v>
      </c>
      <c r="HU82" s="7">
        <v>44895</v>
      </c>
      <c r="HV82" s="7">
        <v>44926</v>
      </c>
      <c r="HW82" s="7">
        <v>44957</v>
      </c>
      <c r="HX82" s="7">
        <v>44985</v>
      </c>
      <c r="HY82" s="7">
        <v>45016</v>
      </c>
      <c r="HZ82" s="7">
        <v>45046</v>
      </c>
      <c r="IA82" s="7">
        <v>45077</v>
      </c>
      <c r="IB82" s="7">
        <v>45107</v>
      </c>
      <c r="IC82" s="7">
        <v>45138</v>
      </c>
      <c r="ID82" s="7">
        <v>45169</v>
      </c>
      <c r="IE82" s="7">
        <v>45199</v>
      </c>
      <c r="IF82" s="7">
        <v>45230</v>
      </c>
      <c r="IG82" s="7">
        <v>45260</v>
      </c>
      <c r="IH82" s="7">
        <v>45291</v>
      </c>
      <c r="II82" s="7">
        <v>45322</v>
      </c>
      <c r="IJ82" s="7">
        <v>45351</v>
      </c>
      <c r="IK82" s="7">
        <v>45382</v>
      </c>
      <c r="IL82" s="7">
        <v>45412</v>
      </c>
      <c r="IM82" s="7">
        <v>45443</v>
      </c>
      <c r="IN82" s="7">
        <v>45473</v>
      </c>
      <c r="IO82" s="7">
        <v>45504</v>
      </c>
      <c r="IP82" s="7">
        <v>45535</v>
      </c>
      <c r="IQ82" s="7">
        <v>45565</v>
      </c>
      <c r="IR82" s="7">
        <v>45596</v>
      </c>
      <c r="IS82" s="7">
        <v>45626</v>
      </c>
      <c r="IT82" s="7">
        <v>45657</v>
      </c>
      <c r="IU82" s="7">
        <v>45688</v>
      </c>
      <c r="IV82" s="7">
        <v>45716</v>
      </c>
      <c r="IW82" s="7">
        <v>45747</v>
      </c>
      <c r="IX82" s="7">
        <v>45777</v>
      </c>
      <c r="IY82" s="7">
        <v>45808</v>
      </c>
      <c r="IZ82" s="7">
        <v>45838</v>
      </c>
      <c r="JA82" s="7">
        <v>45869</v>
      </c>
      <c r="JB82" s="7">
        <v>45900</v>
      </c>
      <c r="JC82" s="7">
        <v>45930</v>
      </c>
      <c r="JD82" s="7">
        <v>45961</v>
      </c>
      <c r="JE82" s="7">
        <v>45991</v>
      </c>
      <c r="JF82" s="7">
        <v>46022</v>
      </c>
      <c r="JG82" s="7">
        <v>46053</v>
      </c>
      <c r="JH82" s="7">
        <v>46081</v>
      </c>
      <c r="LT82"/>
      <c r="LU82"/>
      <c r="LV82"/>
      <c r="LW82"/>
      <c r="LX82"/>
    </row>
    <row r="83" spans="1:336" x14ac:dyDescent="0.25"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1">
        <f t="shared" ref="AA83:CL83" ca="1" si="85">IF(AA3="","",AVERAGE(Y57:Z57)+CONFIDENCE(0.05,STDEV(B57:Z57),COUNT(B57:Z57)))</f>
        <v>9.5354420090858422E-4</v>
      </c>
      <c r="AB83" s="21">
        <f t="shared" ca="1" si="85"/>
        <v>1.7296622483262821E-3</v>
      </c>
      <c r="AC83" s="21">
        <f t="shared" ca="1" si="85"/>
        <v>2.3286435426870403E-3</v>
      </c>
      <c r="AD83" s="21">
        <f t="shared" ca="1" si="85"/>
        <v>2.2063452934526721E-3</v>
      </c>
      <c r="AE83" s="21">
        <f t="shared" ca="1" si="85"/>
        <v>2.0735981821280859E-3</v>
      </c>
      <c r="AF83" s="21">
        <f t="shared" ca="1" si="85"/>
        <v>2.3429928095179565E-3</v>
      </c>
      <c r="AG83" s="21">
        <f t="shared" ca="1" si="85"/>
        <v>2.4997483689430952E-3</v>
      </c>
      <c r="AH83" s="21">
        <f t="shared" ca="1" si="85"/>
        <v>2.9850051122486563E-3</v>
      </c>
      <c r="AI83" s="21">
        <f t="shared" ca="1" si="85"/>
        <v>3.8760054195175675E-3</v>
      </c>
      <c r="AJ83" s="21">
        <f t="shared" ca="1" si="85"/>
        <v>2.7905729241987408E-3</v>
      </c>
      <c r="AK83" s="21">
        <f t="shared" ca="1" si="85"/>
        <v>2.102680113004296E-3</v>
      </c>
      <c r="AL83" s="21">
        <f t="shared" ca="1" si="85"/>
        <v>1.9121949058865523E-3</v>
      </c>
      <c r="AM83" s="21">
        <f t="shared" ca="1" si="85"/>
        <v>1.5871183299146149E-3</v>
      </c>
      <c r="AN83" s="21">
        <f t="shared" ca="1" si="85"/>
        <v>1.7136966765452116E-3</v>
      </c>
      <c r="AO83" s="21">
        <f t="shared" ca="1" si="85"/>
        <v>1.7607059563890929E-3</v>
      </c>
      <c r="AP83" s="21">
        <f t="shared" ca="1" si="85"/>
        <v>2.6800647908741303E-3</v>
      </c>
      <c r="AQ83" s="21">
        <f t="shared" ca="1" si="85"/>
        <v>2.0793993267528045E-3</v>
      </c>
      <c r="AR83" s="21">
        <f t="shared" ca="1" si="85"/>
        <v>1.9663977375542988E-3</v>
      </c>
      <c r="AS83" s="21">
        <f t="shared" ca="1" si="85"/>
        <v>2.0523774264113444E-3</v>
      </c>
      <c r="AT83" s="21">
        <f t="shared" ca="1" si="85"/>
        <v>1.5347854029037645E-3</v>
      </c>
      <c r="AU83" s="21">
        <f t="shared" ca="1" si="85"/>
        <v>1.893067007931592E-3</v>
      </c>
      <c r="AV83" s="21">
        <f t="shared" ca="1" si="85"/>
        <v>1.2125356324951086E-3</v>
      </c>
      <c r="AW83" s="21">
        <f t="shared" ca="1" si="85"/>
        <v>9.1302206697560463E-4</v>
      </c>
      <c r="AX83" s="21">
        <f t="shared" ca="1" si="85"/>
        <v>7.0669638865619006E-4</v>
      </c>
      <c r="AY83" s="21">
        <f t="shared" ca="1" si="85"/>
        <v>1.375490956470566E-3</v>
      </c>
      <c r="AZ83" s="21">
        <f t="shared" ca="1" si="85"/>
        <v>1.9154739692820823E-3</v>
      </c>
      <c r="BA83" s="21">
        <f t="shared" ca="1" si="85"/>
        <v>1.873324636764592E-3</v>
      </c>
      <c r="BB83" s="21">
        <f t="shared" ca="1" si="85"/>
        <v>1.7647582341015283E-3</v>
      </c>
      <c r="BC83" s="21">
        <f t="shared" ca="1" si="85"/>
        <v>2.2607028165819369E-3</v>
      </c>
      <c r="BD83" s="21">
        <f t="shared" ca="1" si="85"/>
        <v>3.7479761182322587E-3</v>
      </c>
      <c r="BE83" s="21">
        <f t="shared" ca="1" si="85"/>
        <v>2.4945000685552797E-3</v>
      </c>
      <c r="BF83" s="21">
        <f t="shared" ca="1" si="85"/>
        <v>1.4407243755650771E-3</v>
      </c>
      <c r="BG83" s="21">
        <f t="shared" ca="1" si="85"/>
        <v>3.0465639840613818E-3</v>
      </c>
      <c r="BH83" s="21">
        <f t="shared" ca="1" si="85"/>
        <v>4.4455597448093322E-3</v>
      </c>
      <c r="BI83" s="21">
        <f t="shared" ca="1" si="85"/>
        <v>4.7605653066733009E-3</v>
      </c>
      <c r="BJ83" s="21">
        <f t="shared" ca="1" si="85"/>
        <v>3.236538695676128E-3</v>
      </c>
      <c r="BK83" s="21">
        <f t="shared" ca="1" si="85"/>
        <v>1.6974378902901706E-3</v>
      </c>
      <c r="BL83" s="21">
        <f t="shared" ca="1" si="85"/>
        <v>2.1971469329468475E-3</v>
      </c>
      <c r="BM83" s="21">
        <f t="shared" ca="1" si="85"/>
        <v>2.0279090120450408E-3</v>
      </c>
      <c r="BN83" s="21">
        <f t="shared" ca="1" si="85"/>
        <v>2.1866172001526575E-3</v>
      </c>
      <c r="BO83" s="21">
        <f t="shared" ca="1" si="85"/>
        <v>3.5412804790480659E-3</v>
      </c>
      <c r="BP83" s="21">
        <f t="shared" ca="1" si="85"/>
        <v>2.3438451063832301E-3</v>
      </c>
      <c r="BQ83" s="21">
        <f t="shared" ca="1" si="85"/>
        <v>7.1326544410725253E-4</v>
      </c>
      <c r="BR83" s="21">
        <f t="shared" ca="1" si="85"/>
        <v>3.2703013953636947E-3</v>
      </c>
      <c r="BS83" s="21">
        <f t="shared" ca="1" si="85"/>
        <v>4.1210155693805796E-3</v>
      </c>
      <c r="BT83" s="21">
        <f t="shared" ca="1" si="85"/>
        <v>1.7445052768756337E-3</v>
      </c>
      <c r="BU83" s="21">
        <f t="shared" ca="1" si="85"/>
        <v>1.9132686885045829E-3</v>
      </c>
      <c r="BV83" s="21">
        <f t="shared" ca="1" si="85"/>
        <v>2.9402385668656685E-3</v>
      </c>
      <c r="BW83" s="21">
        <f t="shared" ca="1" si="85"/>
        <v>3.0449865268451577E-3</v>
      </c>
      <c r="BX83" s="21">
        <f t="shared" ca="1" si="85"/>
        <v>1.8952829178502839E-3</v>
      </c>
      <c r="BY83" s="21">
        <f t="shared" ca="1" si="85"/>
        <v>7.1714815812227615E-4</v>
      </c>
      <c r="BZ83" s="21">
        <f t="shared" ca="1" si="85"/>
        <v>1.2675100543434637E-3</v>
      </c>
      <c r="CA83" s="21">
        <f t="shared" ca="1" si="85"/>
        <v>1.4631934021427247E-3</v>
      </c>
      <c r="CB83" s="21">
        <f t="shared" ca="1" si="85"/>
        <v>1.1435555132139536E-3</v>
      </c>
      <c r="CC83" s="21">
        <f t="shared" ca="1" si="85"/>
        <v>1.2209406223753876E-3</v>
      </c>
      <c r="CD83" s="21">
        <f t="shared" ca="1" si="85"/>
        <v>2.2420008944707363E-3</v>
      </c>
      <c r="CE83" s="21">
        <f t="shared" ca="1" si="85"/>
        <v>2.1237553658847641E-3</v>
      </c>
      <c r="CF83" s="21">
        <f t="shared" ca="1" si="85"/>
        <v>9.8408090101974408E-4</v>
      </c>
      <c r="CG83" s="21">
        <f t="shared" ca="1" si="85"/>
        <v>8.8140365483216896E-4</v>
      </c>
      <c r="CH83" s="21">
        <f t="shared" ca="1" si="85"/>
        <v>1.5644138107681798E-3</v>
      </c>
      <c r="CI83" s="21">
        <f t="shared" ca="1" si="85"/>
        <v>1.5585837821456361E-3</v>
      </c>
      <c r="CJ83" s="21">
        <f t="shared" ca="1" si="85"/>
        <v>3.0128572592945176E-3</v>
      </c>
      <c r="CK83" s="21">
        <f t="shared" ca="1" si="85"/>
        <v>4.1362319801783454E-3</v>
      </c>
      <c r="CL83" s="21">
        <f t="shared" ca="1" si="85"/>
        <v>2.3264931783797092E-3</v>
      </c>
      <c r="CM83" s="21">
        <f t="shared" ref="CM83:EX83" ca="1" si="86">IF(CM3="","",AVERAGE(CK57:CL57)+CONFIDENCE(0.05,STDEV(BN57:CL57),COUNT(BN57:CL57)))</f>
        <v>1.5235393067553852E-3</v>
      </c>
      <c r="CN83" s="21">
        <f t="shared" ca="1" si="86"/>
        <v>2.2298544671505898E-3</v>
      </c>
      <c r="CO83" s="21">
        <f t="shared" ca="1" si="86"/>
        <v>2.1069453992633744E-3</v>
      </c>
      <c r="CP83" s="21">
        <f t="shared" ca="1" si="86"/>
        <v>1.1240191383366867E-3</v>
      </c>
      <c r="CQ83" s="21">
        <f t="shared" ca="1" si="86"/>
        <v>1.182311218898514E-3</v>
      </c>
      <c r="CR83" s="21">
        <f t="shared" ca="1" si="86"/>
        <v>2.3981718702533808E-3</v>
      </c>
      <c r="CS83" s="21">
        <f t="shared" ca="1" si="86"/>
        <v>2.0261602899905532E-3</v>
      </c>
      <c r="CT83" s="21">
        <f t="shared" ca="1" si="86"/>
        <v>2.5085057423505611E-3</v>
      </c>
      <c r="CU83" s="21">
        <f t="shared" ca="1" si="86"/>
        <v>4.008406135784074E-3</v>
      </c>
      <c r="CV83" s="21">
        <f t="shared" ca="1" si="86"/>
        <v>3.165807751142214E-3</v>
      </c>
      <c r="CW83" s="21">
        <f t="shared" ca="1" si="86"/>
        <v>1.7372288848920476E-3</v>
      </c>
      <c r="CX83" s="21">
        <f t="shared" ca="1" si="86"/>
        <v>1.3213782664218327E-3</v>
      </c>
      <c r="CY83" s="21">
        <f t="shared" ca="1" si="86"/>
        <v>1.4950528496271587E-3</v>
      </c>
      <c r="CZ83" s="21">
        <f t="shared" ca="1" si="86"/>
        <v>1.9246237814320802E-3</v>
      </c>
      <c r="DA83" s="21">
        <f t="shared" ca="1" si="86"/>
        <v>3.7340859351992096E-3</v>
      </c>
      <c r="DB83" s="21">
        <f t="shared" ca="1" si="86"/>
        <v>3.9239323278835699E-3</v>
      </c>
      <c r="DC83" s="21">
        <f t="shared" ca="1" si="86"/>
        <v>2.5609791097204872E-3</v>
      </c>
      <c r="DD83" s="21">
        <f t="shared" ca="1" si="86"/>
        <v>1.4273696580915827E-3</v>
      </c>
      <c r="DE83" s="21">
        <f t="shared" ca="1" si="86"/>
        <v>3.7188177157294914E-3</v>
      </c>
      <c r="DF83" s="21">
        <f t="shared" ca="1" si="86"/>
        <v>4.2159849905642711E-3</v>
      </c>
      <c r="DG83" s="21">
        <f t="shared" ca="1" si="86"/>
        <v>2.1933039655601637E-3</v>
      </c>
      <c r="DH83" s="21">
        <f t="shared" ca="1" si="86"/>
        <v>1.8565293908074354E-3</v>
      </c>
      <c r="DI83" s="21">
        <f t="shared" ca="1" si="86"/>
        <v>1.213686971472251E-3</v>
      </c>
      <c r="DJ83" s="21">
        <f t="shared" ca="1" si="86"/>
        <v>1.1713935208866075E-3</v>
      </c>
      <c r="DK83" s="21">
        <f t="shared" ca="1" si="86"/>
        <v>1.8897075526808599E-3</v>
      </c>
      <c r="DL83" s="21">
        <f t="shared" ca="1" si="86"/>
        <v>2.3110679122103329E-3</v>
      </c>
      <c r="DM83" s="21">
        <f t="shared" ca="1" si="86"/>
        <v>1.4717347734231456E-3</v>
      </c>
      <c r="DN83" s="21">
        <f t="shared" ca="1" si="86"/>
        <v>1.506498493637147E-3</v>
      </c>
      <c r="DO83" s="21">
        <f t="shared" ca="1" si="86"/>
        <v>2.1649989791246212E-3</v>
      </c>
      <c r="DP83" s="21">
        <f t="shared" ca="1" si="86"/>
        <v>3.7141329276526845E-3</v>
      </c>
      <c r="DQ83" s="21">
        <f t="shared" ca="1" si="86"/>
        <v>3.0407288158889245E-3</v>
      </c>
      <c r="DR83" s="21">
        <f t="shared" ca="1" si="86"/>
        <v>3.0243109515546E-3</v>
      </c>
      <c r="DS83" s="21">
        <f t="shared" ca="1" si="86"/>
        <v>3.9266326639861059E-3</v>
      </c>
      <c r="DT83" s="21">
        <f t="shared" ca="1" si="86"/>
        <v>1.835706086048309E-3</v>
      </c>
      <c r="DU83" s="21">
        <f t="shared" ca="1" si="86"/>
        <v>8.6932744811220515E-4</v>
      </c>
      <c r="DV83" s="21">
        <f t="shared" ca="1" si="86"/>
        <v>1.9322388446978579E-3</v>
      </c>
      <c r="DW83" s="21">
        <f t="shared" ca="1" si="86"/>
        <v>2.389627161401061E-3</v>
      </c>
      <c r="DX83" s="21">
        <f t="shared" ca="1" si="86"/>
        <v>2.134704956778026E-3</v>
      </c>
      <c r="DY83" s="21">
        <f t="shared" ca="1" si="86"/>
        <v>1.6709912966191005E-3</v>
      </c>
      <c r="DZ83" s="21">
        <f t="shared" ca="1" si="86"/>
        <v>1.1103087336354032E-3</v>
      </c>
      <c r="EA83" s="21">
        <f t="shared" ca="1" si="86"/>
        <v>2.0723016661835878E-3</v>
      </c>
      <c r="EB83" s="21">
        <f t="shared" ca="1" si="86"/>
        <v>2.3165569364046873E-3</v>
      </c>
      <c r="EC83" s="21">
        <f t="shared" ca="1" si="86"/>
        <v>3.8623543737068182E-3</v>
      </c>
      <c r="ED83" s="21">
        <f t="shared" ca="1" si="86"/>
        <v>3.4943000422807606E-3</v>
      </c>
      <c r="EE83" s="21">
        <f t="shared" ca="1" si="86"/>
        <v>2.4383634828941698E-3</v>
      </c>
      <c r="EF83" s="21">
        <f t="shared" ca="1" si="86"/>
        <v>3.7310735625685825E-3</v>
      </c>
      <c r="EG83" s="21">
        <f t="shared" ca="1" si="86"/>
        <v>3.4611842686391235E-3</v>
      </c>
      <c r="EH83" s="21">
        <f t="shared" ca="1" si="86"/>
        <v>2.0577410545534252E-3</v>
      </c>
      <c r="EI83" s="21">
        <f t="shared" ca="1" si="86"/>
        <v>1.101697629187048E-3</v>
      </c>
      <c r="EJ83" s="21">
        <f t="shared" ca="1" si="86"/>
        <v>2.65723439943463E-3</v>
      </c>
      <c r="EK83" s="21">
        <f t="shared" ca="1" si="86"/>
        <v>2.7951040003050638E-3</v>
      </c>
      <c r="EL83" s="21">
        <f t="shared" ca="1" si="86"/>
        <v>1.9753271186655416E-3</v>
      </c>
      <c r="EM83" s="21">
        <f t="shared" ca="1" si="86"/>
        <v>2.6250024690645992E-3</v>
      </c>
      <c r="EN83" s="21">
        <f t="shared" ca="1" si="86"/>
        <v>1.6421578738075016E-3</v>
      </c>
      <c r="EO83" s="21">
        <f t="shared" ca="1" si="86"/>
        <v>1.2805729971308165E-3</v>
      </c>
      <c r="EP83" s="21">
        <f t="shared" ca="1" si="86"/>
        <v>1.8763067218255497E-3</v>
      </c>
      <c r="EQ83" s="21">
        <f t="shared" ca="1" si="86"/>
        <v>1.8014987394387933E-3</v>
      </c>
      <c r="ER83" s="21">
        <f t="shared" ca="1" si="86"/>
        <v>1.5874246247340631E-3</v>
      </c>
      <c r="ES83" s="21">
        <f t="shared" ca="1" si="86"/>
        <v>1.4834935574594215E-3</v>
      </c>
      <c r="ET83" s="21">
        <f t="shared" ca="1" si="86"/>
        <v>1.3636486027697912E-3</v>
      </c>
      <c r="EU83" s="21">
        <f t="shared" ca="1" si="86"/>
        <v>8.0805083852865216E-4</v>
      </c>
      <c r="EV83" s="21">
        <f t="shared" ca="1" si="86"/>
        <v>1.5997039153114808E-3</v>
      </c>
      <c r="EW83" s="21">
        <f t="shared" ca="1" si="86"/>
        <v>2.0903286475196037E-3</v>
      </c>
      <c r="EX83" s="21">
        <f t="shared" ca="1" si="86"/>
        <v>2.5230075715925136E-3</v>
      </c>
      <c r="EY83" s="21">
        <f t="shared" ref="EY83:HJ83" ca="1" si="87">IF(EY3="","",AVERAGE(EW57:EX57)+CONFIDENCE(0.05,STDEV(DZ57:EX57),COUNT(DZ57:EX57)))</f>
        <v>2.5545916717122806E-3</v>
      </c>
      <c r="EZ83" s="21">
        <f t="shared" ca="1" si="87"/>
        <v>2.9321209680193772E-3</v>
      </c>
      <c r="FA83" s="21">
        <f t="shared" ca="1" si="87"/>
        <v>3.8408853852880086E-3</v>
      </c>
      <c r="FB83" s="21">
        <f t="shared" ca="1" si="87"/>
        <v>2.2196205142963172E-3</v>
      </c>
      <c r="FC83" s="21">
        <f t="shared" ca="1" si="87"/>
        <v>1.5157389320389928E-3</v>
      </c>
      <c r="FD83" s="21">
        <f t="shared" ca="1" si="87"/>
        <v>1.2975184886564307E-3</v>
      </c>
      <c r="FE83" s="21">
        <f t="shared" ca="1" si="87"/>
        <v>1.2866855240399161E-3</v>
      </c>
      <c r="FF83" s="21">
        <f t="shared" ca="1" si="87"/>
        <v>2.4630103572094554E-3</v>
      </c>
      <c r="FG83" s="21">
        <f t="shared" ca="1" si="87"/>
        <v>1.8893462943352386E-3</v>
      </c>
      <c r="FH83" s="21">
        <f t="shared" ca="1" si="87"/>
        <v>8.7237815133889957E-4</v>
      </c>
      <c r="FI83" s="21">
        <f t="shared" ca="1" si="87"/>
        <v>1.5300783235972376E-3</v>
      </c>
      <c r="FJ83" s="21">
        <f t="shared" ca="1" si="87"/>
        <v>2.6047788189864935E-3</v>
      </c>
      <c r="FK83" s="21">
        <f t="shared" ca="1" si="87"/>
        <v>2.9720413134337862E-3</v>
      </c>
      <c r="FL83" s="21">
        <f t="shared" ca="1" si="87"/>
        <v>2.5052819264846015E-3</v>
      </c>
      <c r="FM83" s="21">
        <f t="shared" ca="1" si="87"/>
        <v>1.3019567558455712E-3</v>
      </c>
      <c r="FN83" s="21">
        <f t="shared" ca="1" si="87"/>
        <v>1.2800180495433171E-3</v>
      </c>
      <c r="FO83" s="21">
        <f t="shared" ca="1" si="87"/>
        <v>1.7207840636740909E-3</v>
      </c>
      <c r="FP83" s="21">
        <f t="shared" ca="1" si="87"/>
        <v>1.1782738926849165E-3</v>
      </c>
      <c r="FQ83" s="21">
        <f t="shared" ca="1" si="87"/>
        <v>7.9450403589692846E-4</v>
      </c>
      <c r="FR83" s="21">
        <f t="shared" ca="1" si="87"/>
        <v>7.3436778909772757E-4</v>
      </c>
      <c r="FS83" s="21">
        <f t="shared" ca="1" si="87"/>
        <v>1.6523827021797692E-3</v>
      </c>
      <c r="FT83" s="21">
        <f t="shared" ca="1" si="87"/>
        <v>1.471428683896324E-3</v>
      </c>
      <c r="FU83" s="21">
        <f t="shared" ca="1" si="87"/>
        <v>1.325319057907372E-3</v>
      </c>
      <c r="FV83" s="21">
        <f t="shared" ca="1" si="87"/>
        <v>2.5791032162795374E-3</v>
      </c>
      <c r="FW83" s="21">
        <f t="shared" ca="1" si="87"/>
        <v>2.5094983989239861E-3</v>
      </c>
      <c r="FX83" s="21">
        <f t="shared" ca="1" si="87"/>
        <v>3.0586176839536407E-3</v>
      </c>
      <c r="FY83" s="21">
        <f t="shared" ca="1" si="87"/>
        <v>3.566633432992853E-3</v>
      </c>
      <c r="FZ83" s="21">
        <f t="shared" ca="1" si="87"/>
        <v>3.012175691650824E-3</v>
      </c>
      <c r="GA83" s="21">
        <f t="shared" ca="1" si="87"/>
        <v>2.5204874078120941E-3</v>
      </c>
      <c r="GB83" s="21">
        <f t="shared" ca="1" si="87"/>
        <v>1.4424315652032164E-3</v>
      </c>
      <c r="GC83" s="21">
        <f t="shared" ca="1" si="87"/>
        <v>1.3869542988764747E-3</v>
      </c>
      <c r="GD83" s="21">
        <f t="shared" ca="1" si="87"/>
        <v>1.6959554880401789E-3</v>
      </c>
      <c r="GE83" s="21">
        <f t="shared" ca="1" si="87"/>
        <v>9.6466027624996257E-4</v>
      </c>
      <c r="GF83" s="21">
        <f t="shared" ca="1" si="87"/>
        <v>5.7685207828198927E-4</v>
      </c>
      <c r="GG83" s="21">
        <f t="shared" ca="1" si="87"/>
        <v>1.2593759669181975E-3</v>
      </c>
      <c r="GH83" s="21">
        <f t="shared" ca="1" si="87"/>
        <v>1.8812039185066357E-3</v>
      </c>
      <c r="GI83" s="21">
        <f t="shared" ca="1" si="87"/>
        <v>1.124925556895195E-3</v>
      </c>
      <c r="GJ83" s="21">
        <f t="shared" ca="1" si="87"/>
        <v>1.35321724926798E-3</v>
      </c>
      <c r="GK83" s="21">
        <f t="shared" ca="1" si="87"/>
        <v>1.4323059256851126E-3</v>
      </c>
      <c r="GL83" s="21">
        <f t="shared" ca="1" si="87"/>
        <v>9.2801442906953924E-4</v>
      </c>
      <c r="GM83" s="21">
        <f t="shared" ca="1" si="87"/>
        <v>1.4621241943746333E-3</v>
      </c>
      <c r="GN83" s="21">
        <f t="shared" ca="1" si="87"/>
        <v>2.2665189837937838E-3</v>
      </c>
      <c r="GO83" s="21">
        <f t="shared" ca="1" si="87"/>
        <v>1.2542868810030396E-2</v>
      </c>
      <c r="GP83" s="21">
        <f t="shared" ca="1" si="87"/>
        <v>3.0124563956124183E-2</v>
      </c>
      <c r="GQ83" s="21">
        <f t="shared" ca="1" si="87"/>
        <v>2.0585666905490213E-2</v>
      </c>
      <c r="GR83" s="21">
        <f t="shared" ca="1" si="87"/>
        <v>5.3332419327413111E-3</v>
      </c>
      <c r="GS83" s="21">
        <f t="shared" ca="1" si="87"/>
        <v>9.489899804760546E-3</v>
      </c>
      <c r="GT83" s="21">
        <f t="shared" ca="1" si="87"/>
        <v>1.1964699186531641E-2</v>
      </c>
      <c r="GU83" s="21">
        <f t="shared" ca="1" si="87"/>
        <v>7.7257433529962418E-3</v>
      </c>
      <c r="GV83" s="21">
        <f t="shared" ca="1" si="87"/>
        <v>3.5301303720696176E-3</v>
      </c>
      <c r="GW83" s="21">
        <f t="shared" ca="1" si="87"/>
        <v>5.1951929891978985E-3</v>
      </c>
      <c r="GX83" s="21">
        <f t="shared" ca="1" si="87"/>
        <v>5.7472796148932692E-3</v>
      </c>
      <c r="GY83" s="21">
        <f t="shared" ca="1" si="87"/>
        <v>4.3927906438453344E-3</v>
      </c>
      <c r="GZ83" s="21">
        <f t="shared" ca="1" si="87"/>
        <v>4.0778590065231289E-3</v>
      </c>
      <c r="HA83" s="21" t="str">
        <f t="shared" si="87"/>
        <v/>
      </c>
      <c r="HB83" s="21" t="str">
        <f t="shared" si="87"/>
        <v/>
      </c>
      <c r="HC83" s="21" t="str">
        <f t="shared" si="87"/>
        <v/>
      </c>
      <c r="HD83" s="21" t="str">
        <f t="shared" si="87"/>
        <v/>
      </c>
      <c r="HE83" s="21" t="str">
        <f t="shared" si="87"/>
        <v/>
      </c>
      <c r="HF83" s="21" t="str">
        <f t="shared" si="87"/>
        <v/>
      </c>
      <c r="HG83" s="21" t="str">
        <f t="shared" si="87"/>
        <v/>
      </c>
      <c r="HH83" s="21" t="str">
        <f t="shared" si="87"/>
        <v/>
      </c>
      <c r="HI83" s="21" t="str">
        <f t="shared" si="87"/>
        <v/>
      </c>
      <c r="HJ83" s="21" t="str">
        <f t="shared" si="87"/>
        <v/>
      </c>
      <c r="HK83" s="21" t="str">
        <f t="shared" ref="HK83:JH83" si="88">IF(HK3="","",AVERAGE(HI57:HJ57)+CONFIDENCE(0.05,STDEV(GL57:HJ57),COUNT(GL57:HJ57)))</f>
        <v/>
      </c>
      <c r="HL83" s="21" t="str">
        <f t="shared" si="88"/>
        <v/>
      </c>
      <c r="HM83" s="21" t="str">
        <f t="shared" si="88"/>
        <v/>
      </c>
      <c r="HN83" s="21" t="str">
        <f t="shared" si="88"/>
        <v/>
      </c>
      <c r="HO83" s="21" t="str">
        <f t="shared" si="88"/>
        <v/>
      </c>
      <c r="HP83" s="21" t="str">
        <f t="shared" si="88"/>
        <v/>
      </c>
      <c r="HQ83" s="21" t="str">
        <f t="shared" si="88"/>
        <v/>
      </c>
      <c r="HR83" s="21" t="str">
        <f t="shared" si="88"/>
        <v/>
      </c>
      <c r="HS83" s="21" t="str">
        <f t="shared" si="88"/>
        <v/>
      </c>
      <c r="HT83" s="21" t="str">
        <f t="shared" si="88"/>
        <v/>
      </c>
      <c r="HU83" s="21" t="str">
        <f t="shared" si="88"/>
        <v/>
      </c>
      <c r="HV83" s="21" t="str">
        <f t="shared" si="88"/>
        <v/>
      </c>
      <c r="HW83" s="21" t="str">
        <f t="shared" si="88"/>
        <v/>
      </c>
      <c r="HX83" s="21" t="str">
        <f t="shared" si="88"/>
        <v/>
      </c>
      <c r="HY83" s="21" t="str">
        <f t="shared" si="88"/>
        <v/>
      </c>
      <c r="HZ83" s="21" t="str">
        <f t="shared" si="88"/>
        <v/>
      </c>
      <c r="IA83" s="21" t="str">
        <f t="shared" si="88"/>
        <v/>
      </c>
      <c r="IB83" s="21" t="str">
        <f t="shared" si="88"/>
        <v/>
      </c>
      <c r="IC83" s="21" t="str">
        <f t="shared" si="88"/>
        <v/>
      </c>
      <c r="ID83" s="21" t="str">
        <f t="shared" si="88"/>
        <v/>
      </c>
      <c r="IE83" s="21" t="str">
        <f t="shared" si="88"/>
        <v/>
      </c>
      <c r="IF83" s="21" t="str">
        <f t="shared" si="88"/>
        <v/>
      </c>
      <c r="IG83" s="21" t="str">
        <f t="shared" si="88"/>
        <v/>
      </c>
      <c r="IH83" s="21" t="str">
        <f t="shared" si="88"/>
        <v/>
      </c>
      <c r="II83" s="21" t="str">
        <f t="shared" si="88"/>
        <v/>
      </c>
      <c r="IJ83" s="21" t="str">
        <f t="shared" si="88"/>
        <v/>
      </c>
      <c r="IK83" s="21" t="str">
        <f t="shared" si="88"/>
        <v/>
      </c>
      <c r="IL83" s="21" t="str">
        <f t="shared" si="88"/>
        <v/>
      </c>
      <c r="IM83" s="21" t="str">
        <f t="shared" si="88"/>
        <v/>
      </c>
      <c r="IN83" s="21" t="str">
        <f t="shared" si="88"/>
        <v/>
      </c>
      <c r="IO83" s="21" t="str">
        <f t="shared" si="88"/>
        <v/>
      </c>
      <c r="IP83" s="21" t="str">
        <f t="shared" si="88"/>
        <v/>
      </c>
      <c r="IQ83" s="21" t="str">
        <f t="shared" si="88"/>
        <v/>
      </c>
      <c r="IR83" s="21" t="str">
        <f t="shared" si="88"/>
        <v/>
      </c>
      <c r="IS83" s="21" t="str">
        <f t="shared" si="88"/>
        <v/>
      </c>
      <c r="IT83" s="21" t="str">
        <f t="shared" si="88"/>
        <v/>
      </c>
      <c r="IU83" s="21" t="str">
        <f t="shared" si="88"/>
        <v/>
      </c>
      <c r="IV83" s="21" t="str">
        <f t="shared" si="88"/>
        <v/>
      </c>
      <c r="IW83" s="21" t="str">
        <f t="shared" si="88"/>
        <v/>
      </c>
      <c r="IX83" s="21" t="str">
        <f t="shared" si="88"/>
        <v/>
      </c>
      <c r="IY83" s="21" t="str">
        <f t="shared" si="88"/>
        <v/>
      </c>
      <c r="IZ83" s="21" t="str">
        <f t="shared" si="88"/>
        <v/>
      </c>
      <c r="JA83" s="21" t="str">
        <f t="shared" si="88"/>
        <v/>
      </c>
      <c r="JB83" s="21" t="str">
        <f t="shared" si="88"/>
        <v/>
      </c>
      <c r="JC83" s="21" t="str">
        <f t="shared" si="88"/>
        <v/>
      </c>
      <c r="JD83" s="21" t="str">
        <f t="shared" si="88"/>
        <v/>
      </c>
      <c r="JE83" s="21" t="str">
        <f t="shared" si="88"/>
        <v/>
      </c>
      <c r="JF83" s="21" t="str">
        <f t="shared" si="88"/>
        <v/>
      </c>
      <c r="JG83" s="21" t="str">
        <f t="shared" si="88"/>
        <v/>
      </c>
      <c r="JH83" s="21" t="str">
        <f t="shared" si="88"/>
        <v/>
      </c>
    </row>
    <row r="84" spans="1:336" x14ac:dyDescent="0.25"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>
        <f t="shared" ref="AA84:CL84" ca="1" si="89">IF(AA4="","",AVERAGE(X58:Z58)+CONFIDENCE(0.05,STDEV(B58:Z58),COUNT(B58:Z58)))</f>
        <v>3.178910297683787E-3</v>
      </c>
      <c r="AB84" s="21">
        <f t="shared" ca="1" si="89"/>
        <v>2.8780889143935244E-3</v>
      </c>
      <c r="AC84" s="21">
        <f t="shared" ca="1" si="89"/>
        <v>3.1467662892574926E-3</v>
      </c>
      <c r="AD84" s="21">
        <f t="shared" ca="1" si="89"/>
        <v>3.6094053843550725E-3</v>
      </c>
      <c r="AE84" s="21">
        <f t="shared" ca="1" si="89"/>
        <v>4.653626490913167E-3</v>
      </c>
      <c r="AF84" s="21">
        <f t="shared" ca="1" si="89"/>
        <v>5.6742627755745744E-3</v>
      </c>
      <c r="AG84" s="21">
        <f t="shared" ca="1" si="89"/>
        <v>5.9159297982782598E-3</v>
      </c>
      <c r="AH84" s="21">
        <f t="shared" ca="1" si="89"/>
        <v>4.794051259155838E-3</v>
      </c>
      <c r="AI84" s="21">
        <f t="shared" ca="1" si="89"/>
        <v>5.2430356888873439E-3</v>
      </c>
      <c r="AJ84" s="21">
        <f t="shared" ca="1" si="89"/>
        <v>4.3838401815664615E-3</v>
      </c>
      <c r="AK84" s="21">
        <f t="shared" ca="1" si="89"/>
        <v>4.6007602660644211E-3</v>
      </c>
      <c r="AL84" s="21">
        <f t="shared" ca="1" si="89"/>
        <v>2.9880700885898878E-3</v>
      </c>
      <c r="AM84" s="21">
        <f t="shared" ca="1" si="89"/>
        <v>2.7041428788349905E-3</v>
      </c>
      <c r="AN84" s="21">
        <f t="shared" ca="1" si="89"/>
        <v>2.1357868783413118E-3</v>
      </c>
      <c r="AO84" s="21">
        <f t="shared" ca="1" si="89"/>
        <v>2.0944203358922303E-3</v>
      </c>
      <c r="AP84" s="21">
        <f t="shared" ca="1" si="89"/>
        <v>2.9821125208747104E-3</v>
      </c>
      <c r="AQ84" s="21">
        <f t="shared" ca="1" si="89"/>
        <v>3.5255589293337278E-3</v>
      </c>
      <c r="AR84" s="21">
        <f t="shared" ca="1" si="89"/>
        <v>4.4939075758992173E-3</v>
      </c>
      <c r="AS84" s="21">
        <f t="shared" ca="1" si="89"/>
        <v>3.7486047524265512E-3</v>
      </c>
      <c r="AT84" s="21">
        <f t="shared" ca="1" si="89"/>
        <v>3.1828032729957845E-3</v>
      </c>
      <c r="AU84" s="21">
        <f t="shared" ca="1" si="89"/>
        <v>2.610400120646934E-3</v>
      </c>
      <c r="AV84" s="21">
        <f t="shared" ca="1" si="89"/>
        <v>1.7890999843169625E-3</v>
      </c>
      <c r="AW84" s="21">
        <f t="shared" ca="1" si="89"/>
        <v>1.8617085739094255E-3</v>
      </c>
      <c r="AX84" s="21">
        <f t="shared" ca="1" si="89"/>
        <v>1.7181224521504144E-3</v>
      </c>
      <c r="AY84" s="21">
        <f t="shared" ca="1" si="89"/>
        <v>3.2088121385044606E-3</v>
      </c>
      <c r="AZ84" s="21">
        <f t="shared" ca="1" si="89"/>
        <v>3.9084867635725594E-3</v>
      </c>
      <c r="BA84" s="21">
        <f t="shared" ca="1" si="89"/>
        <v>4.680794899526516E-3</v>
      </c>
      <c r="BB84" s="21">
        <f t="shared" ca="1" si="89"/>
        <v>4.837704535260513E-3</v>
      </c>
      <c r="BC84" s="21">
        <f t="shared" ca="1" si="89"/>
        <v>6.7218988984116546E-3</v>
      </c>
      <c r="BD84" s="21">
        <f t="shared" ca="1" si="89"/>
        <v>7.4399364749610656E-3</v>
      </c>
      <c r="BE84" s="21">
        <f t="shared" ca="1" si="89"/>
        <v>6.1613675860219003E-3</v>
      </c>
      <c r="BF84" s="21">
        <f t="shared" ca="1" si="89"/>
        <v>3.7854104864696926E-3</v>
      </c>
      <c r="BG84" s="21">
        <f t="shared" ca="1" si="89"/>
        <v>5.5117670252522819E-3</v>
      </c>
      <c r="BH84" s="21">
        <f t="shared" ca="1" si="89"/>
        <v>9.3673424802854337E-3</v>
      </c>
      <c r="BI84" s="21">
        <f t="shared" ca="1" si="89"/>
        <v>1.1024158244040653E-2</v>
      </c>
      <c r="BJ84" s="21">
        <f t="shared" ca="1" si="89"/>
        <v>8.084152682250087E-3</v>
      </c>
      <c r="BK84" s="21">
        <f t="shared" ca="1" si="89"/>
        <v>5.0993101855805094E-3</v>
      </c>
      <c r="BL84" s="21">
        <f t="shared" ca="1" si="89"/>
        <v>3.9317362640378887E-3</v>
      </c>
      <c r="BM84" s="21">
        <f t="shared" ca="1" si="89"/>
        <v>4.3192093252391673E-3</v>
      </c>
      <c r="BN84" s="21">
        <f t="shared" ca="1" si="89"/>
        <v>6.2002170749154411E-3</v>
      </c>
      <c r="BO84" s="21">
        <f t="shared" ca="1" si="89"/>
        <v>7.3340936093047411E-3</v>
      </c>
      <c r="BP84" s="21">
        <f t="shared" ca="1" si="89"/>
        <v>6.2828640056564536E-3</v>
      </c>
      <c r="BQ84" s="21">
        <f t="shared" ca="1" si="89"/>
        <v>5.2628745635844689E-3</v>
      </c>
      <c r="BR84" s="21">
        <f t="shared" ca="1" si="89"/>
        <v>5.6385968792757321E-3</v>
      </c>
      <c r="BS84" s="21">
        <f t="shared" ca="1" si="89"/>
        <v>7.0938703182753336E-3</v>
      </c>
      <c r="BT84" s="21">
        <f t="shared" ca="1" si="89"/>
        <v>6.5853530144870951E-3</v>
      </c>
      <c r="BU84" s="21">
        <f t="shared" ca="1" si="89"/>
        <v>6.3744562623173845E-3</v>
      </c>
      <c r="BV84" s="21">
        <f t="shared" ca="1" si="89"/>
        <v>5.4014576871278279E-3</v>
      </c>
      <c r="BW84" s="21">
        <f t="shared" ca="1" si="89"/>
        <v>5.2982109739223814E-3</v>
      </c>
      <c r="BX84" s="21">
        <f t="shared" ca="1" si="89"/>
        <v>3.3721032004518144E-3</v>
      </c>
      <c r="BY84" s="21">
        <f t="shared" ca="1" si="89"/>
        <v>3.2373080936260006E-3</v>
      </c>
      <c r="BZ84" s="21">
        <f t="shared" ca="1" si="89"/>
        <v>2.9310270677409935E-3</v>
      </c>
      <c r="CA84" s="21">
        <f t="shared" ca="1" si="89"/>
        <v>2.7381172833686913E-3</v>
      </c>
      <c r="CB84" s="21">
        <f t="shared" ca="1" si="89"/>
        <v>2.7777114396132264E-3</v>
      </c>
      <c r="CC84" s="21">
        <f t="shared" ca="1" si="89"/>
        <v>2.5567216895660987E-3</v>
      </c>
      <c r="CD84" s="21">
        <f t="shared" ca="1" si="89"/>
        <v>3.8520268963909868E-3</v>
      </c>
      <c r="CE84" s="21">
        <f t="shared" ca="1" si="89"/>
        <v>3.6461154462963221E-3</v>
      </c>
      <c r="CF84" s="21">
        <f t="shared" ca="1" si="89"/>
        <v>3.2278149591394838E-3</v>
      </c>
      <c r="CG84" s="21">
        <f t="shared" ca="1" si="89"/>
        <v>2.0506527627978631E-3</v>
      </c>
      <c r="CH84" s="21">
        <f t="shared" ca="1" si="89"/>
        <v>2.7084645228598026E-3</v>
      </c>
      <c r="CI84" s="21">
        <f t="shared" ca="1" si="89"/>
        <v>3.7189264935372952E-3</v>
      </c>
      <c r="CJ84" s="21">
        <f t="shared" ca="1" si="89"/>
        <v>5.0499896042447935E-3</v>
      </c>
      <c r="CK84" s="21">
        <f t="shared" ca="1" si="89"/>
        <v>6.1933883114419098E-3</v>
      </c>
      <c r="CL84" s="21">
        <f t="shared" ca="1" si="89"/>
        <v>5.3413583436711792E-3</v>
      </c>
      <c r="CM84" s="21">
        <f t="shared" ref="CM84:EX84" ca="1" si="90">IF(CM4="","",AVERAGE(CJ58:CL58)+CONFIDENCE(0.05,STDEV(BN58:CL58),COUNT(BN58:CL58)))</f>
        <v>4.8497646456731342E-3</v>
      </c>
      <c r="CN84" s="21">
        <f t="shared" ca="1" si="90"/>
        <v>3.9156702869728444E-3</v>
      </c>
      <c r="CO84" s="21">
        <f t="shared" ca="1" si="90"/>
        <v>3.824791791145542E-3</v>
      </c>
      <c r="CP84" s="21">
        <f t="shared" ca="1" si="90"/>
        <v>2.523619972854098E-3</v>
      </c>
      <c r="CQ84" s="21">
        <f t="shared" ca="1" si="90"/>
        <v>2.8717645447937936E-3</v>
      </c>
      <c r="CR84" s="21">
        <f t="shared" ca="1" si="90"/>
        <v>4.1599101925210262E-3</v>
      </c>
      <c r="CS84" s="21">
        <f t="shared" ca="1" si="90"/>
        <v>5.3697675015447538E-3</v>
      </c>
      <c r="CT84" s="21">
        <f t="shared" ca="1" si="90"/>
        <v>4.919085287476462E-3</v>
      </c>
      <c r="CU84" s="21">
        <f t="shared" ca="1" si="90"/>
        <v>5.8285366059232756E-3</v>
      </c>
      <c r="CV84" s="21">
        <f t="shared" ca="1" si="90"/>
        <v>5.7341169383577917E-3</v>
      </c>
      <c r="CW84" s="21">
        <f t="shared" ca="1" si="90"/>
        <v>4.6636187187722236E-3</v>
      </c>
      <c r="CX84" s="21">
        <f t="shared" ca="1" si="90"/>
        <v>2.5436960412640081E-3</v>
      </c>
      <c r="CY84" s="21">
        <f t="shared" ca="1" si="90"/>
        <v>2.7213667167145222E-3</v>
      </c>
      <c r="CZ84" s="21">
        <f t="shared" ca="1" si="90"/>
        <v>3.307329590490119E-3</v>
      </c>
      <c r="DA84" s="21">
        <f t="shared" ca="1" si="90"/>
        <v>4.3908881107747487E-3</v>
      </c>
      <c r="DB84" s="21">
        <f t="shared" ca="1" si="90"/>
        <v>4.1531875229567587E-3</v>
      </c>
      <c r="DC84" s="21">
        <f t="shared" ca="1" si="90"/>
        <v>4.1944575954634159E-3</v>
      </c>
      <c r="DD84" s="21">
        <f t="shared" ca="1" si="90"/>
        <v>4.3059681168627975E-3</v>
      </c>
      <c r="DE84" s="21">
        <f t="shared" ca="1" si="90"/>
        <v>6.2231246462183887E-3</v>
      </c>
      <c r="DF84" s="21">
        <f t="shared" ca="1" si="90"/>
        <v>7.268810885776078E-3</v>
      </c>
      <c r="DG84" s="21">
        <f t="shared" ca="1" si="90"/>
        <v>6.677634059115649E-3</v>
      </c>
      <c r="DH84" s="21">
        <f t="shared" ca="1" si="90"/>
        <v>4.3958019439678175E-3</v>
      </c>
      <c r="DI84" s="21">
        <f t="shared" ca="1" si="90"/>
        <v>3.3010244326952039E-3</v>
      </c>
      <c r="DJ84" s="21">
        <f t="shared" ca="1" si="90"/>
        <v>3.2803759784383567E-3</v>
      </c>
      <c r="DK84" s="21">
        <f t="shared" ca="1" si="90"/>
        <v>3.2722289733806424E-3</v>
      </c>
      <c r="DL84" s="21">
        <f t="shared" ca="1" si="90"/>
        <v>3.6296081521685576E-3</v>
      </c>
      <c r="DM84" s="21">
        <f t="shared" ca="1" si="90"/>
        <v>3.1902370283459097E-3</v>
      </c>
      <c r="DN84" s="21">
        <f t="shared" ca="1" si="90"/>
        <v>4.000668754443909E-3</v>
      </c>
      <c r="DO84" s="21">
        <f t="shared" ca="1" si="90"/>
        <v>5.3826395280642727E-3</v>
      </c>
      <c r="DP84" s="21">
        <f t="shared" ca="1" si="90"/>
        <v>7.565381606738442E-3</v>
      </c>
      <c r="DQ84" s="21">
        <f t="shared" ca="1" si="90"/>
        <v>7.2783666693333124E-3</v>
      </c>
      <c r="DR84" s="21">
        <f t="shared" ca="1" si="90"/>
        <v>5.9152032570170821E-3</v>
      </c>
      <c r="DS84" s="21">
        <f t="shared" ca="1" si="90"/>
        <v>4.2695961606288675E-3</v>
      </c>
      <c r="DT84" s="21">
        <f t="shared" ca="1" si="90"/>
        <v>3.2959823468560745E-3</v>
      </c>
      <c r="DU84" s="21">
        <f t="shared" ca="1" si="90"/>
        <v>3.1321192506463843E-3</v>
      </c>
      <c r="DV84" s="21">
        <f t="shared" ca="1" si="90"/>
        <v>3.6671435148136048E-3</v>
      </c>
      <c r="DW84" s="21">
        <f t="shared" ca="1" si="90"/>
        <v>3.6681325916569944E-3</v>
      </c>
      <c r="DX84" s="21">
        <f t="shared" ca="1" si="90"/>
        <v>3.9199267783683513E-3</v>
      </c>
      <c r="DY84" s="21">
        <f t="shared" ca="1" si="90"/>
        <v>2.6034679768331915E-3</v>
      </c>
      <c r="DZ84" s="21">
        <f t="shared" ca="1" si="90"/>
        <v>2.6769699457293971E-3</v>
      </c>
      <c r="EA84" s="21">
        <f t="shared" ca="1" si="90"/>
        <v>2.2730639655433715E-3</v>
      </c>
      <c r="EB84" s="21">
        <f t="shared" ca="1" si="90"/>
        <v>2.5163220709223484E-3</v>
      </c>
      <c r="EC84" s="21">
        <f t="shared" ca="1" si="90"/>
        <v>5.031133860707325E-3</v>
      </c>
      <c r="ED84" s="21">
        <f t="shared" ca="1" si="90"/>
        <v>5.2164021884974956E-3</v>
      </c>
      <c r="EE84" s="21">
        <f t="shared" ca="1" si="90"/>
        <v>5.3650461936931865E-3</v>
      </c>
      <c r="EF84" s="21">
        <f t="shared" ca="1" si="90"/>
        <v>5.1113018035940094E-3</v>
      </c>
      <c r="EG84" s="21">
        <f t="shared" ca="1" si="90"/>
        <v>5.5679446517600964E-3</v>
      </c>
      <c r="EH84" s="21">
        <f t="shared" ca="1" si="90"/>
        <v>4.8310890117185257E-3</v>
      </c>
      <c r="EI84" s="21">
        <f t="shared" ca="1" si="90"/>
        <v>4.0755262335472105E-3</v>
      </c>
      <c r="EJ84" s="21">
        <f t="shared" ca="1" si="90"/>
        <v>4.6633868399181865E-3</v>
      </c>
      <c r="EK84" s="21">
        <f t="shared" ca="1" si="90"/>
        <v>5.721281437169573E-3</v>
      </c>
      <c r="EL84" s="21">
        <f t="shared" ca="1" si="90"/>
        <v>4.6050149212767677E-3</v>
      </c>
      <c r="EM84" s="21">
        <f t="shared" ca="1" si="90"/>
        <v>3.7263894540773015E-3</v>
      </c>
      <c r="EN84" s="21">
        <f t="shared" ca="1" si="90"/>
        <v>3.2235905942274989E-3</v>
      </c>
      <c r="EO84" s="21">
        <f t="shared" ca="1" si="90"/>
        <v>3.9679563550632097E-3</v>
      </c>
      <c r="EP84" s="21">
        <f t="shared" ca="1" si="90"/>
        <v>2.9692823531644388E-3</v>
      </c>
      <c r="EQ84" s="21">
        <f t="shared" ca="1" si="90"/>
        <v>3.4103770801257199E-3</v>
      </c>
      <c r="ER84" s="21">
        <f t="shared" ca="1" si="90"/>
        <v>2.1359403535640563E-3</v>
      </c>
      <c r="ES84" s="21">
        <f t="shared" ca="1" si="90"/>
        <v>2.798530171893313E-3</v>
      </c>
      <c r="ET84" s="21">
        <f t="shared" ca="1" si="90"/>
        <v>2.0161394026307271E-3</v>
      </c>
      <c r="EU84" s="21">
        <f t="shared" ca="1" si="90"/>
        <v>2.9449734658980619E-3</v>
      </c>
      <c r="EV84" s="21">
        <f t="shared" ca="1" si="90"/>
        <v>3.1442998266019533E-3</v>
      </c>
      <c r="EW84" s="21">
        <f t="shared" ca="1" si="90"/>
        <v>4.3471043127472344E-3</v>
      </c>
      <c r="EX84" s="21">
        <f t="shared" ca="1" si="90"/>
        <v>4.5990494512633427E-3</v>
      </c>
      <c r="EY84" s="21">
        <f t="shared" ref="EY84:HJ84" ca="1" si="91">IF(EY4="","",AVERAGE(EV58:EX58)+CONFIDENCE(0.05,STDEV(DZ58:EX58),COUNT(DZ58:EX58)))</f>
        <v>5.3797115287041028E-3</v>
      </c>
      <c r="EZ84" s="21">
        <f t="shared" ca="1" si="91"/>
        <v>4.7614385862097012E-3</v>
      </c>
      <c r="FA84" s="21">
        <f t="shared" ca="1" si="91"/>
        <v>4.8626535164024874E-3</v>
      </c>
      <c r="FB84" s="21">
        <f t="shared" ca="1" si="91"/>
        <v>3.4524598121116121E-3</v>
      </c>
      <c r="FC84" s="21">
        <f t="shared" ca="1" si="91"/>
        <v>3.3907909632288958E-3</v>
      </c>
      <c r="FD84" s="21">
        <f t="shared" ca="1" si="91"/>
        <v>2.6030830152768661E-3</v>
      </c>
      <c r="FE84" s="21">
        <f t="shared" ca="1" si="91"/>
        <v>3.8247396468766635E-3</v>
      </c>
      <c r="FF84" s="21">
        <f t="shared" ca="1" si="91"/>
        <v>4.086887854311232E-3</v>
      </c>
      <c r="FG84" s="21">
        <f t="shared" ca="1" si="91"/>
        <v>4.2063667047604137E-3</v>
      </c>
      <c r="FH84" s="21">
        <f t="shared" ca="1" si="91"/>
        <v>3.6724366793700206E-3</v>
      </c>
      <c r="FI84" s="21">
        <f t="shared" ca="1" si="91"/>
        <v>4.8112104771782845E-3</v>
      </c>
      <c r="FJ84" s="21">
        <f t="shared" ca="1" si="91"/>
        <v>4.5425306412704373E-3</v>
      </c>
      <c r="FK84" s="21">
        <f t="shared" ca="1" si="91"/>
        <v>4.8831390080315579E-3</v>
      </c>
      <c r="FL84" s="21">
        <f t="shared" ca="1" si="91"/>
        <v>3.3566384869441173E-3</v>
      </c>
      <c r="FM84" s="21">
        <f t="shared" ca="1" si="91"/>
        <v>3.4033311341294423E-3</v>
      </c>
      <c r="FN84" s="21">
        <f t="shared" ca="1" si="91"/>
        <v>2.5009319299858588E-3</v>
      </c>
      <c r="FO84" s="21">
        <f t="shared" ca="1" si="91"/>
        <v>2.5118016570143432E-3</v>
      </c>
      <c r="FP84" s="21">
        <f t="shared" ca="1" si="91"/>
        <v>2.1752566829924881E-3</v>
      </c>
      <c r="FQ84" s="21">
        <f t="shared" ca="1" si="91"/>
        <v>1.4898589245860728E-3</v>
      </c>
      <c r="FR84" s="21">
        <f t="shared" ca="1" si="91"/>
        <v>1.5500850763435759E-3</v>
      </c>
      <c r="FS84" s="21">
        <f t="shared" ca="1" si="91"/>
        <v>2.4240798208101477E-3</v>
      </c>
      <c r="FT84" s="21">
        <f t="shared" ca="1" si="91"/>
        <v>3.1191014075563923E-3</v>
      </c>
      <c r="FU84" s="21">
        <f t="shared" ca="1" si="91"/>
        <v>4.5431066066752143E-3</v>
      </c>
      <c r="FV84" s="21">
        <f t="shared" ca="1" si="91"/>
        <v>3.9874473227066711E-3</v>
      </c>
      <c r="FW84" s="21">
        <f t="shared" ca="1" si="91"/>
        <v>5.3122395593260836E-3</v>
      </c>
      <c r="FX84" s="21">
        <f t="shared" ca="1" si="91"/>
        <v>3.9244218278829228E-3</v>
      </c>
      <c r="FY84" s="21">
        <f t="shared" ca="1" si="91"/>
        <v>4.3646285298288897E-3</v>
      </c>
      <c r="FZ84" s="21">
        <f t="shared" ca="1" si="91"/>
        <v>2.8800353328262071E-3</v>
      </c>
      <c r="GA84" s="21">
        <f t="shared" ca="1" si="91"/>
        <v>3.1055201438097389E-3</v>
      </c>
      <c r="GB84" s="21">
        <f t="shared" ca="1" si="91"/>
        <v>2.7316037265659914E-3</v>
      </c>
      <c r="GC84" s="21">
        <f t="shared" ca="1" si="91"/>
        <v>3.1959165947076321E-3</v>
      </c>
      <c r="GD84" s="21">
        <f t="shared" ca="1" si="91"/>
        <v>2.3713476702265307E-3</v>
      </c>
      <c r="GE84" s="21">
        <f t="shared" ca="1" si="91"/>
        <v>2.2168899863120764E-3</v>
      </c>
      <c r="GF84" s="21">
        <f t="shared" ca="1" si="91"/>
        <v>1.8559309992658484E-3</v>
      </c>
      <c r="GG84" s="21">
        <f t="shared" ca="1" si="91"/>
        <v>3.1138580840261929E-3</v>
      </c>
      <c r="GH84" s="21">
        <f t="shared" ca="1" si="91"/>
        <v>3.0060391012406199E-3</v>
      </c>
      <c r="GI84" s="21">
        <f t="shared" ca="1" si="91"/>
        <v>3.2411918105177385E-3</v>
      </c>
      <c r="GJ84" s="21">
        <f t="shared" ca="1" si="91"/>
        <v>2.2578697667169794E-3</v>
      </c>
      <c r="GK84" s="21">
        <f t="shared" ca="1" si="91"/>
        <v>2.4461740291098111E-3</v>
      </c>
      <c r="GL84" s="21">
        <f t="shared" ca="1" si="91"/>
        <v>2.5371620886056609E-3</v>
      </c>
      <c r="GM84" s="21">
        <f t="shared" ca="1" si="91"/>
        <v>2.3420977223439993E-3</v>
      </c>
      <c r="GN84" s="21">
        <f t="shared" ca="1" si="91"/>
        <v>7.9969897401659523E-3</v>
      </c>
      <c r="GO84" s="21">
        <f t="shared" ca="1" si="91"/>
        <v>2.9922741468394284E-2</v>
      </c>
      <c r="GP84" s="21">
        <f t="shared" ca="1" si="91"/>
        <v>4.2218213597898506E-2</v>
      </c>
      <c r="GQ84" s="21">
        <f t="shared" ca="1" si="91"/>
        <v>3.7550931965082135E-2</v>
      </c>
      <c r="GR84" s="21">
        <f t="shared" ca="1" si="91"/>
        <v>2.3187454132548916E-2</v>
      </c>
      <c r="GS84" s="21">
        <f t="shared" ca="1" si="91"/>
        <v>1.8619908951179626E-2</v>
      </c>
      <c r="GT84" s="21">
        <f t="shared" ca="1" si="91"/>
        <v>2.295574447084698E-2</v>
      </c>
      <c r="GU84" s="21">
        <f t="shared" ca="1" si="91"/>
        <v>1.8369831253188085E-2</v>
      </c>
      <c r="GV84" s="21">
        <f t="shared" ca="1" si="91"/>
        <v>1.2096503259064962E-2</v>
      </c>
      <c r="GW84" s="21">
        <f t="shared" ca="1" si="91"/>
        <v>8.0231949037409822E-3</v>
      </c>
      <c r="GX84" s="21">
        <f t="shared" ca="1" si="91"/>
        <v>8.93229263162818E-3</v>
      </c>
      <c r="GY84" s="21">
        <f t="shared" ca="1" si="91"/>
        <v>9.4231970922376215E-3</v>
      </c>
      <c r="GZ84" s="21">
        <f t="shared" ca="1" si="91"/>
        <v>1.0385138733428903E-2</v>
      </c>
      <c r="HA84" s="21" t="str">
        <f t="shared" si="91"/>
        <v/>
      </c>
      <c r="HB84" s="21" t="str">
        <f t="shared" si="91"/>
        <v/>
      </c>
      <c r="HC84" s="21" t="str">
        <f t="shared" si="91"/>
        <v/>
      </c>
      <c r="HD84" s="21" t="str">
        <f t="shared" si="91"/>
        <v/>
      </c>
      <c r="HE84" s="21" t="str">
        <f t="shared" si="91"/>
        <v/>
      </c>
      <c r="HF84" s="21" t="str">
        <f t="shared" si="91"/>
        <v/>
      </c>
      <c r="HG84" s="21" t="str">
        <f t="shared" si="91"/>
        <v/>
      </c>
      <c r="HH84" s="21" t="str">
        <f t="shared" si="91"/>
        <v/>
      </c>
      <c r="HI84" s="21" t="str">
        <f t="shared" si="91"/>
        <v/>
      </c>
      <c r="HJ84" s="21" t="str">
        <f t="shared" si="91"/>
        <v/>
      </c>
      <c r="HK84" s="21" t="str">
        <f t="shared" ref="HK84:JH84" si="92">IF(HK4="","",AVERAGE(HH58:HJ58)+CONFIDENCE(0.05,STDEV(GL58:HJ58),COUNT(GL58:HJ58)))</f>
        <v/>
      </c>
      <c r="HL84" s="21" t="str">
        <f t="shared" si="92"/>
        <v/>
      </c>
      <c r="HM84" s="21" t="str">
        <f t="shared" si="92"/>
        <v/>
      </c>
      <c r="HN84" s="21" t="str">
        <f t="shared" si="92"/>
        <v/>
      </c>
      <c r="HO84" s="21" t="str">
        <f t="shared" si="92"/>
        <v/>
      </c>
      <c r="HP84" s="21" t="str">
        <f t="shared" si="92"/>
        <v/>
      </c>
      <c r="HQ84" s="21" t="str">
        <f t="shared" si="92"/>
        <v/>
      </c>
      <c r="HR84" s="21" t="str">
        <f t="shared" si="92"/>
        <v/>
      </c>
      <c r="HS84" s="21" t="str">
        <f t="shared" si="92"/>
        <v/>
      </c>
      <c r="HT84" s="21" t="str">
        <f t="shared" si="92"/>
        <v/>
      </c>
      <c r="HU84" s="21" t="str">
        <f t="shared" si="92"/>
        <v/>
      </c>
      <c r="HV84" s="21" t="str">
        <f t="shared" si="92"/>
        <v/>
      </c>
      <c r="HW84" s="21" t="str">
        <f t="shared" si="92"/>
        <v/>
      </c>
      <c r="HX84" s="21" t="str">
        <f t="shared" si="92"/>
        <v/>
      </c>
      <c r="HY84" s="21" t="str">
        <f t="shared" si="92"/>
        <v/>
      </c>
      <c r="HZ84" s="21" t="str">
        <f t="shared" si="92"/>
        <v/>
      </c>
      <c r="IA84" s="21" t="str">
        <f t="shared" si="92"/>
        <v/>
      </c>
      <c r="IB84" s="21" t="str">
        <f t="shared" si="92"/>
        <v/>
      </c>
      <c r="IC84" s="21" t="str">
        <f t="shared" si="92"/>
        <v/>
      </c>
      <c r="ID84" s="21" t="str">
        <f t="shared" si="92"/>
        <v/>
      </c>
      <c r="IE84" s="21" t="str">
        <f t="shared" si="92"/>
        <v/>
      </c>
      <c r="IF84" s="21" t="str">
        <f t="shared" si="92"/>
        <v/>
      </c>
      <c r="IG84" s="21" t="str">
        <f t="shared" si="92"/>
        <v/>
      </c>
      <c r="IH84" s="21" t="str">
        <f t="shared" si="92"/>
        <v/>
      </c>
      <c r="II84" s="21" t="str">
        <f t="shared" si="92"/>
        <v/>
      </c>
      <c r="IJ84" s="21" t="str">
        <f t="shared" si="92"/>
        <v/>
      </c>
      <c r="IK84" s="21" t="str">
        <f t="shared" si="92"/>
        <v/>
      </c>
      <c r="IL84" s="21" t="str">
        <f t="shared" si="92"/>
        <v/>
      </c>
      <c r="IM84" s="21" t="str">
        <f t="shared" si="92"/>
        <v/>
      </c>
      <c r="IN84" s="21" t="str">
        <f t="shared" si="92"/>
        <v/>
      </c>
      <c r="IO84" s="21" t="str">
        <f t="shared" si="92"/>
        <v/>
      </c>
      <c r="IP84" s="21" t="str">
        <f t="shared" si="92"/>
        <v/>
      </c>
      <c r="IQ84" s="21" t="str">
        <f t="shared" si="92"/>
        <v/>
      </c>
      <c r="IR84" s="21" t="str">
        <f t="shared" si="92"/>
        <v/>
      </c>
      <c r="IS84" s="21" t="str">
        <f t="shared" si="92"/>
        <v/>
      </c>
      <c r="IT84" s="21" t="str">
        <f t="shared" si="92"/>
        <v/>
      </c>
      <c r="IU84" s="21" t="str">
        <f t="shared" si="92"/>
        <v/>
      </c>
      <c r="IV84" s="21" t="str">
        <f t="shared" si="92"/>
        <v/>
      </c>
      <c r="IW84" s="21" t="str">
        <f t="shared" si="92"/>
        <v/>
      </c>
      <c r="IX84" s="21" t="str">
        <f t="shared" si="92"/>
        <v/>
      </c>
      <c r="IY84" s="21" t="str">
        <f t="shared" si="92"/>
        <v/>
      </c>
      <c r="IZ84" s="21" t="str">
        <f t="shared" si="92"/>
        <v/>
      </c>
      <c r="JA84" s="21" t="str">
        <f t="shared" si="92"/>
        <v/>
      </c>
      <c r="JB84" s="21" t="str">
        <f t="shared" si="92"/>
        <v/>
      </c>
      <c r="JC84" s="21" t="str">
        <f t="shared" si="92"/>
        <v/>
      </c>
      <c r="JD84" s="21" t="str">
        <f t="shared" si="92"/>
        <v/>
      </c>
      <c r="JE84" s="21" t="str">
        <f t="shared" si="92"/>
        <v/>
      </c>
      <c r="JF84" s="21" t="str">
        <f t="shared" si="92"/>
        <v/>
      </c>
      <c r="JG84" s="21" t="str">
        <f t="shared" si="92"/>
        <v/>
      </c>
      <c r="JH84" s="21" t="str">
        <f t="shared" si="92"/>
        <v/>
      </c>
    </row>
    <row r="85" spans="1:336" x14ac:dyDescent="0.25"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>
        <f t="shared" ref="AA85:CL85" ca="1" si="93">IF(AA5="","",AVERAGE(W59:Z59)+CONFIDENCE(0.05,STDEV(B59:Z59),COUNT(B59:Z59)))</f>
        <v>5.129856894573054E-3</v>
      </c>
      <c r="AB85" s="21">
        <f t="shared" ca="1" si="93"/>
        <v>4.6606453763025028E-3</v>
      </c>
      <c r="AC85" s="21">
        <f t="shared" ca="1" si="93"/>
        <v>4.0395105945131085E-3</v>
      </c>
      <c r="AD85" s="21">
        <f t="shared" ca="1" si="93"/>
        <v>5.4302244699895039E-3</v>
      </c>
      <c r="AE85" s="21">
        <f t="shared" ca="1" si="93"/>
        <v>6.7919513742119774E-3</v>
      </c>
      <c r="AF85" s="21">
        <f t="shared" ca="1" si="93"/>
        <v>8.3444344871690494E-3</v>
      </c>
      <c r="AG85" s="21">
        <f t="shared" ca="1" si="93"/>
        <v>8.8497651026545193E-3</v>
      </c>
      <c r="AH85" s="21">
        <f t="shared" ca="1" si="93"/>
        <v>6.9317748340150826E-3</v>
      </c>
      <c r="AI85" s="21">
        <f t="shared" ca="1" si="93"/>
        <v>6.8582577628081218E-3</v>
      </c>
      <c r="AJ85" s="21">
        <f t="shared" ca="1" si="93"/>
        <v>5.4583897049927353E-3</v>
      </c>
      <c r="AK85" s="21">
        <f t="shared" ca="1" si="93"/>
        <v>5.5673844542868953E-3</v>
      </c>
      <c r="AL85" s="21">
        <f t="shared" ca="1" si="93"/>
        <v>5.6623883958074337E-3</v>
      </c>
      <c r="AM85" s="21">
        <f t="shared" ca="1" si="93"/>
        <v>4.1114324397421003E-3</v>
      </c>
      <c r="AN85" s="21">
        <f t="shared" ca="1" si="93"/>
        <v>3.8042818723911971E-3</v>
      </c>
      <c r="AO85" s="21">
        <f t="shared" ca="1" si="93"/>
        <v>3.3807022834359463E-3</v>
      </c>
      <c r="AP85" s="21">
        <f t="shared" ca="1" si="93"/>
        <v>5.0434155042515631E-3</v>
      </c>
      <c r="AQ85" s="21">
        <f t="shared" ca="1" si="93"/>
        <v>5.3577052028856856E-3</v>
      </c>
      <c r="AR85" s="21">
        <f t="shared" ca="1" si="93"/>
        <v>6.4164211078854691E-3</v>
      </c>
      <c r="AS85" s="21">
        <f t="shared" ca="1" si="93"/>
        <v>5.9958008562763327E-3</v>
      </c>
      <c r="AT85" s="21">
        <f t="shared" ca="1" si="93"/>
        <v>4.2711365535007617E-3</v>
      </c>
      <c r="AU85" s="21">
        <f t="shared" ca="1" si="93"/>
        <v>3.8372985736420387E-3</v>
      </c>
      <c r="AV85" s="21">
        <f t="shared" ca="1" si="93"/>
        <v>2.1772622211840937E-3</v>
      </c>
      <c r="AW85" s="21">
        <f t="shared" ca="1" si="93"/>
        <v>2.7566693095373339E-3</v>
      </c>
      <c r="AX85" s="21">
        <f t="shared" ca="1" si="93"/>
        <v>3.6367490000673809E-3</v>
      </c>
      <c r="AY85" s="21">
        <f t="shared" ca="1" si="93"/>
        <v>4.9099096856931356E-3</v>
      </c>
      <c r="AZ85" s="21">
        <f t="shared" ca="1" si="93"/>
        <v>6.3164073940659045E-3</v>
      </c>
      <c r="BA85" s="21">
        <f t="shared" ca="1" si="93"/>
        <v>7.8301326397982544E-3</v>
      </c>
      <c r="BB85" s="21">
        <f t="shared" ca="1" si="93"/>
        <v>9.6573390334929107E-3</v>
      </c>
      <c r="BC85" s="21">
        <f t="shared" ca="1" si="93"/>
        <v>1.1152705616972736E-2</v>
      </c>
      <c r="BD85" s="21">
        <f t="shared" ca="1" si="93"/>
        <v>1.1490292748735406E-2</v>
      </c>
      <c r="BE85" s="21">
        <f t="shared" ca="1" si="93"/>
        <v>9.2276224702723397E-3</v>
      </c>
      <c r="BF85" s="21">
        <f t="shared" ca="1" si="93"/>
        <v>8.5837759020220006E-3</v>
      </c>
      <c r="BG85" s="21">
        <f t="shared" ca="1" si="93"/>
        <v>1.1261288554705408E-2</v>
      </c>
      <c r="BH85" s="21">
        <f t="shared" ca="1" si="93"/>
        <v>1.4029032131715547E-2</v>
      </c>
      <c r="BI85" s="21">
        <f t="shared" ca="1" si="93"/>
        <v>1.6325757480252851E-2</v>
      </c>
      <c r="BJ85" s="21">
        <f t="shared" ca="1" si="93"/>
        <v>1.4512128748107218E-2</v>
      </c>
      <c r="BK85" s="21">
        <f t="shared" ca="1" si="93"/>
        <v>1.0052999972066535E-2</v>
      </c>
      <c r="BL85" s="21">
        <f t="shared" ca="1" si="93"/>
        <v>5.9460411827909638E-3</v>
      </c>
      <c r="BM85" s="21">
        <f t="shared" ca="1" si="93"/>
        <v>5.9081327020583862E-3</v>
      </c>
      <c r="BN85" s="21">
        <f t="shared" ca="1" si="93"/>
        <v>8.8972078468448172E-3</v>
      </c>
      <c r="BO85" s="21">
        <f t="shared" ca="1" si="93"/>
        <v>1.056382971349093E-2</v>
      </c>
      <c r="BP85" s="21">
        <f t="shared" ca="1" si="93"/>
        <v>1.1577870838132439E-2</v>
      </c>
      <c r="BQ85" s="21">
        <f t="shared" ca="1" si="93"/>
        <v>1.1041408665189179E-2</v>
      </c>
      <c r="BR85" s="21">
        <f t="shared" ca="1" si="93"/>
        <v>9.8452583786525424E-3</v>
      </c>
      <c r="BS85" s="21">
        <f t="shared" ca="1" si="93"/>
        <v>8.4218205036638311E-3</v>
      </c>
      <c r="BT85" s="21">
        <f t="shared" ca="1" si="93"/>
        <v>9.3012374880488587E-3</v>
      </c>
      <c r="BU85" s="21">
        <f t="shared" ca="1" si="93"/>
        <v>9.1661584540769156E-3</v>
      </c>
      <c r="BV85" s="21">
        <f t="shared" ca="1" si="93"/>
        <v>7.5511775367359752E-3</v>
      </c>
      <c r="BW85" s="21">
        <f t="shared" ca="1" si="93"/>
        <v>7.6792023402174892E-3</v>
      </c>
      <c r="BX85" s="21">
        <f t="shared" ca="1" si="93"/>
        <v>5.6180225792009496E-3</v>
      </c>
      <c r="BY85" s="21">
        <f t="shared" ca="1" si="93"/>
        <v>4.5815345895995046E-3</v>
      </c>
      <c r="BZ85" s="21">
        <f t="shared" ca="1" si="93"/>
        <v>4.9442474493255166E-3</v>
      </c>
      <c r="CA85" s="21">
        <f t="shared" ca="1" si="93"/>
        <v>3.9643518835469887E-3</v>
      </c>
      <c r="CB85" s="21">
        <f t="shared" ca="1" si="93"/>
        <v>3.9185688844515327E-3</v>
      </c>
      <c r="CC85" s="21">
        <f t="shared" ca="1" si="93"/>
        <v>4.0265395028569262E-3</v>
      </c>
      <c r="CD85" s="21">
        <f t="shared" ca="1" si="93"/>
        <v>4.179378318706798E-3</v>
      </c>
      <c r="CE85" s="21">
        <f t="shared" ca="1" si="93"/>
        <v>4.2329839643840753E-3</v>
      </c>
      <c r="CF85" s="21">
        <f t="shared" ca="1" si="93"/>
        <v>3.8883748992492948E-3</v>
      </c>
      <c r="CG85" s="21">
        <f t="shared" ca="1" si="93"/>
        <v>3.2924037215214495E-3</v>
      </c>
      <c r="CH85" s="21">
        <f t="shared" ca="1" si="93"/>
        <v>2.4644139458280395E-3</v>
      </c>
      <c r="CI85" s="21">
        <f t="shared" ca="1" si="93"/>
        <v>3.2695216786459494E-3</v>
      </c>
      <c r="CJ85" s="21">
        <f t="shared" ca="1" si="93"/>
        <v>4.3933749058197649E-3</v>
      </c>
      <c r="CK85" s="21">
        <f t="shared" ca="1" si="93"/>
        <v>6.0271975848359026E-3</v>
      </c>
      <c r="CL85" s="21">
        <f t="shared" ca="1" si="93"/>
        <v>5.9368698765852965E-3</v>
      </c>
      <c r="CM85" s="21">
        <f t="shared" ref="CM85:EX85" ca="1" si="94">IF(CM5="","",AVERAGE(CI59:CL59)+CONFIDENCE(0.05,STDEV(BN59:CL59),COUNT(BN59:CL59)))</f>
        <v>6.0477068536640343E-3</v>
      </c>
      <c r="CN85" s="21">
        <f t="shared" ca="1" si="94"/>
        <v>5.6532619251741115E-3</v>
      </c>
      <c r="CO85" s="21">
        <f t="shared" ca="1" si="94"/>
        <v>3.9661436800528787E-3</v>
      </c>
      <c r="CP85" s="21">
        <f t="shared" ca="1" si="94"/>
        <v>4.6095397160799854E-3</v>
      </c>
      <c r="CQ85" s="21">
        <f t="shared" ca="1" si="94"/>
        <v>5.0532142725688515E-3</v>
      </c>
      <c r="CR85" s="21">
        <f t="shared" ca="1" si="94"/>
        <v>5.126595934607037E-3</v>
      </c>
      <c r="CS85" s="21">
        <f t="shared" ca="1" si="94"/>
        <v>5.3938353319811236E-3</v>
      </c>
      <c r="CT85" s="21">
        <f t="shared" ca="1" si="94"/>
        <v>4.947567542223732E-3</v>
      </c>
      <c r="CU85" s="21">
        <f t="shared" ca="1" si="94"/>
        <v>5.6940414409618941E-3</v>
      </c>
      <c r="CV85" s="21">
        <f t="shared" ca="1" si="94"/>
        <v>5.9565890475808837E-3</v>
      </c>
      <c r="CW85" s="21">
        <f t="shared" ca="1" si="94"/>
        <v>5.3240484300893553E-3</v>
      </c>
      <c r="CX85" s="21">
        <f t="shared" ca="1" si="94"/>
        <v>5.1529794881967125E-3</v>
      </c>
      <c r="CY85" s="21">
        <f t="shared" ca="1" si="94"/>
        <v>3.5742977552801853E-3</v>
      </c>
      <c r="CZ85" s="21">
        <f t="shared" ca="1" si="94"/>
        <v>2.9577749245764205E-3</v>
      </c>
      <c r="DA85" s="21">
        <f t="shared" ca="1" si="94"/>
        <v>4.3523760940230236E-3</v>
      </c>
      <c r="DB85" s="21">
        <f t="shared" ca="1" si="94"/>
        <v>4.6961808614452288E-3</v>
      </c>
      <c r="DC85" s="21">
        <f t="shared" ca="1" si="94"/>
        <v>6.011502284778274E-3</v>
      </c>
      <c r="DD85" s="21">
        <f t="shared" ca="1" si="94"/>
        <v>7.5068832008865537E-3</v>
      </c>
      <c r="DE85" s="21">
        <f t="shared" ca="1" si="94"/>
        <v>8.31907103283238E-3</v>
      </c>
      <c r="DF85" s="21">
        <f t="shared" ca="1" si="94"/>
        <v>1.0267794168862816E-2</v>
      </c>
      <c r="DG85" s="21">
        <f t="shared" ca="1" si="94"/>
        <v>9.5658953247041885E-3</v>
      </c>
      <c r="DH85" s="21">
        <f t="shared" ca="1" si="94"/>
        <v>8.4013217297711842E-3</v>
      </c>
      <c r="DI85" s="21">
        <f t="shared" ca="1" si="94"/>
        <v>7.4482276221571287E-3</v>
      </c>
      <c r="DJ85" s="21">
        <f t="shared" ca="1" si="94"/>
        <v>5.8935612667762385E-3</v>
      </c>
      <c r="DK85" s="21">
        <f t="shared" ca="1" si="94"/>
        <v>4.7589603543482352E-3</v>
      </c>
      <c r="DL85" s="21">
        <f t="shared" ca="1" si="94"/>
        <v>4.2081004594847361E-3</v>
      </c>
      <c r="DM85" s="21">
        <f t="shared" ca="1" si="94"/>
        <v>4.0528822468711007E-3</v>
      </c>
      <c r="DN85" s="21">
        <f t="shared" ca="1" si="94"/>
        <v>6.0154079507637823E-3</v>
      </c>
      <c r="DO85" s="21">
        <f t="shared" ca="1" si="94"/>
        <v>8.806027262134539E-3</v>
      </c>
      <c r="DP85" s="21">
        <f t="shared" ca="1" si="94"/>
        <v>1.2143844021009417E-2</v>
      </c>
      <c r="DQ85" s="21">
        <f t="shared" ca="1" si="94"/>
        <v>1.1956271895397334E-2</v>
      </c>
      <c r="DR85" s="21">
        <f t="shared" ca="1" si="94"/>
        <v>1.0181418277930898E-2</v>
      </c>
      <c r="DS85" s="21">
        <f t="shared" ca="1" si="94"/>
        <v>8.201901192676395E-3</v>
      </c>
      <c r="DT85" s="21">
        <f t="shared" ca="1" si="94"/>
        <v>5.2811464351274866E-3</v>
      </c>
      <c r="DU85" s="21">
        <f t="shared" ca="1" si="94"/>
        <v>5.6364242720045032E-3</v>
      </c>
      <c r="DV85" s="21">
        <f t="shared" ca="1" si="94"/>
        <v>5.7433720210777629E-3</v>
      </c>
      <c r="DW85" s="21">
        <f t="shared" ca="1" si="94"/>
        <v>5.2232016783405879E-3</v>
      </c>
      <c r="DX85" s="21">
        <f t="shared" ca="1" si="94"/>
        <v>6.0400465755025851E-3</v>
      </c>
      <c r="DY85" s="21">
        <f t="shared" ca="1" si="94"/>
        <v>4.8159114359537418E-3</v>
      </c>
      <c r="DZ85" s="21">
        <f t="shared" ca="1" si="94"/>
        <v>3.70275805607249E-3</v>
      </c>
      <c r="EA85" s="21">
        <f t="shared" ca="1" si="94"/>
        <v>4.8875821892334923E-3</v>
      </c>
      <c r="EB85" s="21">
        <f t="shared" ca="1" si="94"/>
        <v>4.6116182225413678E-3</v>
      </c>
      <c r="EC85" s="21">
        <f t="shared" ca="1" si="94"/>
        <v>6.3941052243562582E-3</v>
      </c>
      <c r="ED85" s="21">
        <f t="shared" ca="1" si="94"/>
        <v>6.4809495164485642E-3</v>
      </c>
      <c r="EE85" s="21">
        <f t="shared" ca="1" si="94"/>
        <v>4.7290560603924937E-3</v>
      </c>
      <c r="EF85" s="21">
        <f t="shared" ca="1" si="94"/>
        <v>6.3030703310256045E-3</v>
      </c>
      <c r="EG85" s="21">
        <f t="shared" ca="1" si="94"/>
        <v>5.7416058791832881E-3</v>
      </c>
      <c r="EH85" s="21">
        <f t="shared" ca="1" si="94"/>
        <v>6.7011389277754326E-3</v>
      </c>
      <c r="EI85" s="21">
        <f t="shared" ca="1" si="94"/>
        <v>8.7233236231726609E-3</v>
      </c>
      <c r="EJ85" s="21">
        <f t="shared" ca="1" si="94"/>
        <v>8.8423382520619025E-3</v>
      </c>
      <c r="EK85" s="21">
        <f t="shared" ca="1" si="94"/>
        <v>8.1098878607723905E-3</v>
      </c>
      <c r="EL85" s="21">
        <f t="shared" ca="1" si="94"/>
        <v>7.4340836182728316E-3</v>
      </c>
      <c r="EM85" s="21">
        <f t="shared" ca="1" si="94"/>
        <v>6.9051337979908591E-3</v>
      </c>
      <c r="EN85" s="21">
        <f t="shared" ca="1" si="94"/>
        <v>5.2064865521270921E-3</v>
      </c>
      <c r="EO85" s="21">
        <f t="shared" ca="1" si="94"/>
        <v>4.9721730255855075E-3</v>
      </c>
      <c r="EP85" s="21">
        <f t="shared" ca="1" si="94"/>
        <v>4.9047785424687152E-3</v>
      </c>
      <c r="EQ85" s="21">
        <f t="shared" ca="1" si="94"/>
        <v>4.2041223770197134E-3</v>
      </c>
      <c r="ER85" s="21">
        <f t="shared" ca="1" si="94"/>
        <v>3.3801179551252577E-3</v>
      </c>
      <c r="ES85" s="21">
        <f t="shared" ca="1" si="94"/>
        <v>3.6324823052618482E-3</v>
      </c>
      <c r="ET85" s="21">
        <f t="shared" ca="1" si="94"/>
        <v>4.1862587481660005E-3</v>
      </c>
      <c r="EU85" s="21">
        <f t="shared" ca="1" si="94"/>
        <v>4.2863210478746409E-3</v>
      </c>
      <c r="EV85" s="21">
        <f t="shared" ca="1" si="94"/>
        <v>4.0603470183232515E-3</v>
      </c>
      <c r="EW85" s="21">
        <f t="shared" ca="1" si="94"/>
        <v>4.5786090805025378E-3</v>
      </c>
      <c r="EX85" s="21">
        <f t="shared" ca="1" si="94"/>
        <v>3.8515627094686472E-3</v>
      </c>
      <c r="EY85" s="21">
        <f t="shared" ref="EY85:HJ85" ca="1" si="95">IF(EY5="","",AVERAGE(EU59:EX59)+CONFIDENCE(0.05,STDEV(DZ59:EX59),COUNT(DZ59:EX59)))</f>
        <v>3.9628473422451509E-3</v>
      </c>
      <c r="EZ85" s="21">
        <f t="shared" ca="1" si="95"/>
        <v>4.8532374805364681E-3</v>
      </c>
      <c r="FA85" s="21">
        <f t="shared" ca="1" si="95"/>
        <v>4.6026176395077729E-3</v>
      </c>
      <c r="FB85" s="21">
        <f t="shared" ca="1" si="95"/>
        <v>5.1199562258069852E-3</v>
      </c>
      <c r="FC85" s="21">
        <f t="shared" ca="1" si="95"/>
        <v>4.92266420939662E-3</v>
      </c>
      <c r="FD85" s="21">
        <f t="shared" ca="1" si="95"/>
        <v>5.3341172816109136E-3</v>
      </c>
      <c r="FE85" s="21">
        <f t="shared" ca="1" si="95"/>
        <v>5.8223124251161364E-3</v>
      </c>
      <c r="FF85" s="21">
        <f t="shared" ca="1" si="95"/>
        <v>5.8392962477644165E-3</v>
      </c>
      <c r="FG85" s="21">
        <f t="shared" ca="1" si="95"/>
        <v>6.179245146843552E-3</v>
      </c>
      <c r="FH85" s="21">
        <f t="shared" ca="1" si="95"/>
        <v>6.8994058749572941E-3</v>
      </c>
      <c r="FI85" s="21">
        <f t="shared" ca="1" si="95"/>
        <v>6.5768435044602329E-3</v>
      </c>
      <c r="FJ85" s="21">
        <f t="shared" ca="1" si="95"/>
        <v>6.2222326871728007E-3</v>
      </c>
      <c r="FK85" s="21">
        <f t="shared" ca="1" si="95"/>
        <v>6.7101468742202068E-3</v>
      </c>
      <c r="FL85" s="21">
        <f t="shared" ca="1" si="95"/>
        <v>5.0176179780835224E-3</v>
      </c>
      <c r="FM85" s="21">
        <f t="shared" ca="1" si="95"/>
        <v>3.8360779535778246E-3</v>
      </c>
      <c r="FN85" s="21">
        <f t="shared" ca="1" si="95"/>
        <v>4.0698800193085648E-3</v>
      </c>
      <c r="FO85" s="21">
        <f t="shared" ca="1" si="95"/>
        <v>2.7764462408104706E-3</v>
      </c>
      <c r="FP85" s="21">
        <f t="shared" ca="1" si="95"/>
        <v>2.6531555209297892E-3</v>
      </c>
      <c r="FQ85" s="21">
        <f t="shared" ca="1" si="95"/>
        <v>2.6296379310464476E-3</v>
      </c>
      <c r="FR85" s="21">
        <f t="shared" ca="1" si="95"/>
        <v>2.8723079929692833E-3</v>
      </c>
      <c r="FS85" s="21">
        <f t="shared" ca="1" si="95"/>
        <v>2.8286680480867441E-3</v>
      </c>
      <c r="FT85" s="21">
        <f t="shared" ca="1" si="95"/>
        <v>4.3223287398481613E-3</v>
      </c>
      <c r="FU85" s="21">
        <f t="shared" ca="1" si="95"/>
        <v>5.5601336401384172E-3</v>
      </c>
      <c r="FV85" s="21">
        <f t="shared" ca="1" si="95"/>
        <v>5.4878081782970319E-3</v>
      </c>
      <c r="FW85" s="21">
        <f t="shared" ca="1" si="95"/>
        <v>6.264280382984511E-3</v>
      </c>
      <c r="FX85" s="21">
        <f t="shared" ca="1" si="95"/>
        <v>5.7387301206746786E-3</v>
      </c>
      <c r="FY85" s="21">
        <f t="shared" ca="1" si="95"/>
        <v>5.3536009228609448E-3</v>
      </c>
      <c r="FZ85" s="21">
        <f t="shared" ca="1" si="95"/>
        <v>5.1656648438385706E-3</v>
      </c>
      <c r="GA85" s="21">
        <f t="shared" ca="1" si="95"/>
        <v>4.5792612166232136E-3</v>
      </c>
      <c r="GB85" s="21">
        <f t="shared" ca="1" si="95"/>
        <v>4.2240128901591878E-3</v>
      </c>
      <c r="GC85" s="21">
        <f t="shared" ca="1" si="95"/>
        <v>3.8075377592915755E-3</v>
      </c>
      <c r="GD85" s="21">
        <f t="shared" ca="1" si="95"/>
        <v>3.4197916882885305E-3</v>
      </c>
      <c r="GE85" s="21">
        <f t="shared" ca="1" si="95"/>
        <v>3.5846150050045898E-3</v>
      </c>
      <c r="GF85" s="21">
        <f t="shared" ca="1" si="95"/>
        <v>3.9084040408869803E-3</v>
      </c>
      <c r="GG85" s="21">
        <f t="shared" ca="1" si="95"/>
        <v>4.1830201234751615E-3</v>
      </c>
      <c r="GH85" s="21">
        <f t="shared" ca="1" si="95"/>
        <v>4.2485753626018471E-3</v>
      </c>
      <c r="GI85" s="21">
        <f t="shared" ca="1" si="95"/>
        <v>3.8597739560301807E-3</v>
      </c>
      <c r="GJ85" s="21">
        <f t="shared" ca="1" si="95"/>
        <v>2.9675775658347526E-3</v>
      </c>
      <c r="GK85" s="21">
        <f t="shared" ca="1" si="95"/>
        <v>2.6674965667304747E-3</v>
      </c>
      <c r="GL85" s="21">
        <f t="shared" ca="1" si="95"/>
        <v>2.9763573453722388E-3</v>
      </c>
      <c r="GM85" s="21">
        <f t="shared" ca="1" si="95"/>
        <v>7.8349934623014733E-3</v>
      </c>
      <c r="GN85" s="21">
        <f t="shared" ca="1" si="95"/>
        <v>2.3505370836366321E-2</v>
      </c>
      <c r="GO85" s="21">
        <f t="shared" ca="1" si="95"/>
        <v>4.0702805407831062E-2</v>
      </c>
      <c r="GP85" s="21">
        <f t="shared" ca="1" si="95"/>
        <v>4.9012053967804746E-2</v>
      </c>
      <c r="GQ85" s="21">
        <f t="shared" ca="1" si="95"/>
        <v>4.7814747327535247E-2</v>
      </c>
      <c r="GR85" s="21">
        <f t="shared" ca="1" si="95"/>
        <v>4.1937395851712002E-2</v>
      </c>
      <c r="GS85" s="21">
        <f t="shared" ca="1" si="95"/>
        <v>3.3449195399941581E-2</v>
      </c>
      <c r="GT85" s="21">
        <f t="shared" ca="1" si="95"/>
        <v>3.0617567836364344E-2</v>
      </c>
      <c r="GU85" s="21">
        <f t="shared" ca="1" si="95"/>
        <v>2.7198099303781982E-2</v>
      </c>
      <c r="GV85" s="21">
        <f t="shared" ca="1" si="95"/>
        <v>2.0104558522332693E-2</v>
      </c>
      <c r="GW85" s="21">
        <f t="shared" ca="1" si="95"/>
        <v>1.3435625523599459E-2</v>
      </c>
      <c r="GX85" s="21">
        <f t="shared" ca="1" si="95"/>
        <v>8.4611290407738526E-3</v>
      </c>
      <c r="GY85" s="21">
        <f t="shared" ca="1" si="95"/>
        <v>9.2321765391313541E-3</v>
      </c>
      <c r="GZ85" s="21">
        <f t="shared" ca="1" si="95"/>
        <v>1.0575646605961365E-2</v>
      </c>
      <c r="HA85" s="21" t="str">
        <f t="shared" si="95"/>
        <v/>
      </c>
      <c r="HB85" s="21" t="str">
        <f t="shared" si="95"/>
        <v/>
      </c>
      <c r="HC85" s="21" t="str">
        <f t="shared" si="95"/>
        <v/>
      </c>
      <c r="HD85" s="21" t="str">
        <f t="shared" si="95"/>
        <v/>
      </c>
      <c r="HE85" s="21" t="str">
        <f t="shared" si="95"/>
        <v/>
      </c>
      <c r="HF85" s="21" t="str">
        <f t="shared" si="95"/>
        <v/>
      </c>
      <c r="HG85" s="21" t="str">
        <f t="shared" si="95"/>
        <v/>
      </c>
      <c r="HH85" s="21" t="str">
        <f t="shared" si="95"/>
        <v/>
      </c>
      <c r="HI85" s="21" t="str">
        <f t="shared" si="95"/>
        <v/>
      </c>
      <c r="HJ85" s="21" t="str">
        <f t="shared" si="95"/>
        <v/>
      </c>
      <c r="HK85" s="21" t="str">
        <f t="shared" ref="HK85:JH85" si="96">IF(HK5="","",AVERAGE(HG59:HJ59)+CONFIDENCE(0.05,STDEV(GL59:HJ59),COUNT(GL59:HJ59)))</f>
        <v/>
      </c>
      <c r="HL85" s="21" t="str">
        <f t="shared" si="96"/>
        <v/>
      </c>
      <c r="HM85" s="21" t="str">
        <f t="shared" si="96"/>
        <v/>
      </c>
      <c r="HN85" s="21" t="str">
        <f t="shared" si="96"/>
        <v/>
      </c>
      <c r="HO85" s="21" t="str">
        <f t="shared" si="96"/>
        <v/>
      </c>
      <c r="HP85" s="21" t="str">
        <f t="shared" si="96"/>
        <v/>
      </c>
      <c r="HQ85" s="21" t="str">
        <f t="shared" si="96"/>
        <v/>
      </c>
      <c r="HR85" s="21" t="str">
        <f t="shared" si="96"/>
        <v/>
      </c>
      <c r="HS85" s="21" t="str">
        <f t="shared" si="96"/>
        <v/>
      </c>
      <c r="HT85" s="21" t="str">
        <f t="shared" si="96"/>
        <v/>
      </c>
      <c r="HU85" s="21" t="str">
        <f t="shared" si="96"/>
        <v/>
      </c>
      <c r="HV85" s="21" t="str">
        <f t="shared" si="96"/>
        <v/>
      </c>
      <c r="HW85" s="21" t="str">
        <f t="shared" si="96"/>
        <v/>
      </c>
      <c r="HX85" s="21" t="str">
        <f t="shared" si="96"/>
        <v/>
      </c>
      <c r="HY85" s="21" t="str">
        <f t="shared" si="96"/>
        <v/>
      </c>
      <c r="HZ85" s="21" t="str">
        <f t="shared" si="96"/>
        <v/>
      </c>
      <c r="IA85" s="21" t="str">
        <f t="shared" si="96"/>
        <v/>
      </c>
      <c r="IB85" s="21" t="str">
        <f t="shared" si="96"/>
        <v/>
      </c>
      <c r="IC85" s="21" t="str">
        <f t="shared" si="96"/>
        <v/>
      </c>
      <c r="ID85" s="21" t="str">
        <f t="shared" si="96"/>
        <v/>
      </c>
      <c r="IE85" s="21" t="str">
        <f t="shared" si="96"/>
        <v/>
      </c>
      <c r="IF85" s="21" t="str">
        <f t="shared" si="96"/>
        <v/>
      </c>
      <c r="IG85" s="21" t="str">
        <f t="shared" si="96"/>
        <v/>
      </c>
      <c r="IH85" s="21" t="str">
        <f t="shared" si="96"/>
        <v/>
      </c>
      <c r="II85" s="21" t="str">
        <f t="shared" si="96"/>
        <v/>
      </c>
      <c r="IJ85" s="21" t="str">
        <f t="shared" si="96"/>
        <v/>
      </c>
      <c r="IK85" s="21" t="str">
        <f t="shared" si="96"/>
        <v/>
      </c>
      <c r="IL85" s="21" t="str">
        <f t="shared" si="96"/>
        <v/>
      </c>
      <c r="IM85" s="21" t="str">
        <f t="shared" si="96"/>
        <v/>
      </c>
      <c r="IN85" s="21" t="str">
        <f t="shared" si="96"/>
        <v/>
      </c>
      <c r="IO85" s="21" t="str">
        <f t="shared" si="96"/>
        <v/>
      </c>
      <c r="IP85" s="21" t="str">
        <f t="shared" si="96"/>
        <v/>
      </c>
      <c r="IQ85" s="21" t="str">
        <f t="shared" si="96"/>
        <v/>
      </c>
      <c r="IR85" s="21" t="str">
        <f t="shared" si="96"/>
        <v/>
      </c>
      <c r="IS85" s="21" t="str">
        <f t="shared" si="96"/>
        <v/>
      </c>
      <c r="IT85" s="21" t="str">
        <f t="shared" si="96"/>
        <v/>
      </c>
      <c r="IU85" s="21" t="str">
        <f t="shared" si="96"/>
        <v/>
      </c>
      <c r="IV85" s="21" t="str">
        <f t="shared" si="96"/>
        <v/>
      </c>
      <c r="IW85" s="21" t="str">
        <f t="shared" si="96"/>
        <v/>
      </c>
      <c r="IX85" s="21" t="str">
        <f t="shared" si="96"/>
        <v/>
      </c>
      <c r="IY85" s="21" t="str">
        <f t="shared" si="96"/>
        <v/>
      </c>
      <c r="IZ85" s="21" t="str">
        <f t="shared" si="96"/>
        <v/>
      </c>
      <c r="JA85" s="21" t="str">
        <f t="shared" si="96"/>
        <v/>
      </c>
      <c r="JB85" s="21" t="str">
        <f t="shared" si="96"/>
        <v/>
      </c>
      <c r="JC85" s="21" t="str">
        <f t="shared" si="96"/>
        <v/>
      </c>
      <c r="JD85" s="21" t="str">
        <f t="shared" si="96"/>
        <v/>
      </c>
      <c r="JE85" s="21" t="str">
        <f t="shared" si="96"/>
        <v/>
      </c>
      <c r="JF85" s="21" t="str">
        <f t="shared" si="96"/>
        <v/>
      </c>
      <c r="JG85" s="21" t="str">
        <f t="shared" si="96"/>
        <v/>
      </c>
      <c r="JH85" s="21" t="str">
        <f t="shared" si="96"/>
        <v/>
      </c>
    </row>
    <row r="86" spans="1:336" x14ac:dyDescent="0.25"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21"/>
      <c r="Y86" s="21"/>
      <c r="Z86" s="21"/>
      <c r="AA86" s="21">
        <f t="shared" ref="AA86:CL86" ca="1" si="97">IF(AA6="","",AVERAGE(V60:Z60)+CONFIDENCE(0.05,STDEV(B60:Z60),COUNT(B60:Z60)))</f>
        <v>6.3929073688690045E-3</v>
      </c>
      <c r="AB86" s="21">
        <f t="shared" ca="1" si="97"/>
        <v>6.6161110587060687E-3</v>
      </c>
      <c r="AC86" s="21">
        <f t="shared" ca="1" si="97"/>
        <v>6.3096415577642822E-3</v>
      </c>
      <c r="AD86" s="21">
        <f t="shared" ca="1" si="97"/>
        <v>7.5463681656092367E-3</v>
      </c>
      <c r="AE86" s="21">
        <f t="shared" ca="1" si="97"/>
        <v>9.4565939735559417E-3</v>
      </c>
      <c r="AF86" s="21">
        <f t="shared" ca="1" si="97"/>
        <v>1.0254429123012436E-2</v>
      </c>
      <c r="AG86" s="21">
        <f t="shared" ca="1" si="97"/>
        <v>9.7168957895016148E-3</v>
      </c>
      <c r="AH86" s="21">
        <f t="shared" ca="1" si="97"/>
        <v>9.2558976446056335E-3</v>
      </c>
      <c r="AI86" s="21">
        <f t="shared" ca="1" si="97"/>
        <v>8.8543065240265038E-3</v>
      </c>
      <c r="AJ86" s="21">
        <f t="shared" ca="1" si="97"/>
        <v>7.2543697882126524E-3</v>
      </c>
      <c r="AK86" s="21">
        <f t="shared" ca="1" si="97"/>
        <v>6.2675871956422609E-3</v>
      </c>
      <c r="AL86" s="21">
        <f t="shared" ca="1" si="97"/>
        <v>6.2366520492758521E-3</v>
      </c>
      <c r="AM86" s="21">
        <f t="shared" ca="1" si="97"/>
        <v>6.0781353858593472E-3</v>
      </c>
      <c r="AN86" s="21">
        <f t="shared" ca="1" si="97"/>
        <v>4.7155617818923079E-3</v>
      </c>
      <c r="AO86" s="21">
        <f t="shared" ca="1" si="97"/>
        <v>4.8642481165474495E-3</v>
      </c>
      <c r="AP86" s="21">
        <f t="shared" ca="1" si="97"/>
        <v>6.2745193404907815E-3</v>
      </c>
      <c r="AQ86" s="21">
        <f t="shared" ca="1" si="97"/>
        <v>7.1000274984239116E-3</v>
      </c>
      <c r="AR86" s="21">
        <f t="shared" ca="1" si="97"/>
        <v>8.0672770496141698E-3</v>
      </c>
      <c r="AS86" s="21">
        <f t="shared" ca="1" si="97"/>
        <v>7.2983113872691647E-3</v>
      </c>
      <c r="AT86" s="21">
        <f t="shared" ca="1" si="97"/>
        <v>6.4898644669193518E-3</v>
      </c>
      <c r="AU86" s="21">
        <f t="shared" ca="1" si="97"/>
        <v>4.8700148834771567E-3</v>
      </c>
      <c r="AV86" s="21">
        <f t="shared" ca="1" si="97"/>
        <v>3.9977643333609274E-3</v>
      </c>
      <c r="AW86" s="21">
        <f t="shared" ca="1" si="97"/>
        <v>3.8813718053615871E-3</v>
      </c>
      <c r="AX86" s="21">
        <f t="shared" ca="1" si="97"/>
        <v>5.2472382255944125E-3</v>
      </c>
      <c r="AY86" s="21">
        <f t="shared" ca="1" si="97"/>
        <v>7.0339454202797951E-3</v>
      </c>
      <c r="AZ86" s="21">
        <f t="shared" ca="1" si="97"/>
        <v>8.921095525940323E-3</v>
      </c>
      <c r="BA86" s="21">
        <f t="shared" ca="1" si="97"/>
        <v>1.2004352186838419E-2</v>
      </c>
      <c r="BB86" s="21">
        <f t="shared" ca="1" si="97"/>
        <v>1.418002023227464E-2</v>
      </c>
      <c r="BC86" s="21">
        <f t="shared" ca="1" si="97"/>
        <v>1.5747721971167711E-2</v>
      </c>
      <c r="BD86" s="21">
        <f t="shared" ca="1" si="97"/>
        <v>1.6037838034984434E-2</v>
      </c>
      <c r="BE86" s="21">
        <f t="shared" ca="1" si="97"/>
        <v>1.5194363615192115E-2</v>
      </c>
      <c r="BF86" s="21">
        <f t="shared" ca="1" si="97"/>
        <v>1.5738494175538909E-2</v>
      </c>
      <c r="BG86" s="21">
        <f t="shared" ca="1" si="97"/>
        <v>1.8893804228565632E-2</v>
      </c>
      <c r="BH86" s="21">
        <f t="shared" ca="1" si="97"/>
        <v>2.079473897869925E-2</v>
      </c>
      <c r="BI86" s="21">
        <f t="shared" ca="1" si="97"/>
        <v>2.119067182814624E-2</v>
      </c>
      <c r="BJ86" s="21">
        <f t="shared" ca="1" si="97"/>
        <v>2.023411996645455E-2</v>
      </c>
      <c r="BK86" s="21">
        <f t="shared" ca="1" si="97"/>
        <v>1.6913723756755945E-2</v>
      </c>
      <c r="BL86" s="21">
        <f t="shared" ca="1" si="97"/>
        <v>1.174413325204797E-2</v>
      </c>
      <c r="BM86" s="21">
        <f t="shared" ca="1" si="97"/>
        <v>9.9750275091483407E-3</v>
      </c>
      <c r="BN86" s="21">
        <f t="shared" ca="1" si="97"/>
        <v>1.1364975515475608E-2</v>
      </c>
      <c r="BO86" s="21">
        <f t="shared" ca="1" si="97"/>
        <v>1.4315084454135816E-2</v>
      </c>
      <c r="BP86" s="21">
        <f t="shared" ca="1" si="97"/>
        <v>1.5227449277944921E-2</v>
      </c>
      <c r="BQ86" s="21">
        <f t="shared" ca="1" si="97"/>
        <v>1.6115927305570557E-2</v>
      </c>
      <c r="BR86" s="21">
        <f t="shared" ca="1" si="97"/>
        <v>1.5292991633648513E-2</v>
      </c>
      <c r="BS86" s="21">
        <f t="shared" ca="1" si="97"/>
        <v>1.1711322791314135E-2</v>
      </c>
      <c r="BT86" s="21">
        <f t="shared" ca="1" si="97"/>
        <v>9.9652119251951686E-3</v>
      </c>
      <c r="BU86" s="21">
        <f t="shared" ca="1" si="97"/>
        <v>9.9540478930439987E-3</v>
      </c>
      <c r="BV86" s="21">
        <f t="shared" ca="1" si="97"/>
        <v>8.7800977278892946E-3</v>
      </c>
      <c r="BW86" s="21">
        <f t="shared" ca="1" si="97"/>
        <v>7.7380986592369173E-3</v>
      </c>
      <c r="BX86" s="21">
        <f t="shared" ca="1" si="97"/>
        <v>7.4861060832631526E-3</v>
      </c>
      <c r="BY86" s="21">
        <f t="shared" ca="1" si="97"/>
        <v>6.4049022318351332E-3</v>
      </c>
      <c r="BZ86" s="21">
        <f t="shared" ca="1" si="97"/>
        <v>5.6580358156478293E-3</v>
      </c>
      <c r="CA86" s="21">
        <f t="shared" ca="1" si="97"/>
        <v>5.4771893175427277E-3</v>
      </c>
      <c r="CB86" s="21">
        <f t="shared" ca="1" si="97"/>
        <v>4.4550997934862651E-3</v>
      </c>
      <c r="CC86" s="21">
        <f t="shared" ca="1" si="97"/>
        <v>4.8602484160776005E-3</v>
      </c>
      <c r="CD86" s="21">
        <f t="shared" ca="1" si="97"/>
        <v>5.2608950552636164E-3</v>
      </c>
      <c r="CE86" s="21">
        <f t="shared" ca="1" si="97"/>
        <v>4.6455041373890523E-3</v>
      </c>
      <c r="CF86" s="21">
        <f t="shared" ca="1" si="97"/>
        <v>4.0902684427447517E-3</v>
      </c>
      <c r="CG86" s="21">
        <f t="shared" ca="1" si="97"/>
        <v>4.1578594134223431E-3</v>
      </c>
      <c r="CH86" s="21">
        <f t="shared" ca="1" si="97"/>
        <v>3.6958615190641354E-3</v>
      </c>
      <c r="CI86" s="21">
        <f t="shared" ca="1" si="97"/>
        <v>3.6085364730851794E-3</v>
      </c>
      <c r="CJ86" s="21">
        <f t="shared" ca="1" si="97"/>
        <v>4.454826790848093E-3</v>
      </c>
      <c r="CK86" s="21">
        <f t="shared" ca="1" si="97"/>
        <v>5.9166417008226571E-3</v>
      </c>
      <c r="CL86" s="21">
        <f t="shared" ca="1" si="97"/>
        <v>5.7231817257474941E-3</v>
      </c>
      <c r="CM86" s="21">
        <f t="shared" ref="CM86:EX86" ca="1" si="98">IF(CM6="","",AVERAGE(CH60:CL60)+CONFIDENCE(0.05,STDEV(BN60:CL60),COUNT(BN60:CL60)))</f>
        <v>6.415435538349076E-3</v>
      </c>
      <c r="CN86" s="21">
        <f t="shared" ca="1" si="98"/>
        <v>6.2134701580675812E-3</v>
      </c>
      <c r="CO86" s="21">
        <f t="shared" ca="1" si="98"/>
        <v>5.6358543421379578E-3</v>
      </c>
      <c r="CP86" s="21">
        <f t="shared" ca="1" si="98"/>
        <v>5.2548671483353482E-3</v>
      </c>
      <c r="CQ86" s="21">
        <f t="shared" ca="1" si="98"/>
        <v>6.0696305902680917E-3</v>
      </c>
      <c r="CR86" s="21">
        <f t="shared" ca="1" si="98"/>
        <v>6.3039893790562502E-3</v>
      </c>
      <c r="CS86" s="21">
        <f t="shared" ca="1" si="98"/>
        <v>5.3075485760939161E-3</v>
      </c>
      <c r="CT86" s="21">
        <f t="shared" ca="1" si="98"/>
        <v>5.17101330201831E-3</v>
      </c>
      <c r="CU86" s="21">
        <f t="shared" ca="1" si="98"/>
        <v>6.9434321042116838E-3</v>
      </c>
      <c r="CV86" s="21">
        <f t="shared" ca="1" si="98"/>
        <v>6.4548207572238748E-3</v>
      </c>
      <c r="CW86" s="21">
        <f t="shared" ca="1" si="98"/>
        <v>5.5857303893103597E-3</v>
      </c>
      <c r="CX86" s="21">
        <f t="shared" ca="1" si="98"/>
        <v>5.7502498579278345E-3</v>
      </c>
      <c r="CY86" s="21">
        <f t="shared" ca="1" si="98"/>
        <v>6.2776984278052408E-3</v>
      </c>
      <c r="CZ86" s="21">
        <f t="shared" ca="1" si="98"/>
        <v>3.9502216835375003E-3</v>
      </c>
      <c r="DA86" s="21">
        <f t="shared" ca="1" si="98"/>
        <v>4.7635755019401968E-3</v>
      </c>
      <c r="DB86" s="21">
        <f t="shared" ca="1" si="98"/>
        <v>5.0252786846524608E-3</v>
      </c>
      <c r="DC86" s="21">
        <f t="shared" ca="1" si="98"/>
        <v>7.6032001625831892E-3</v>
      </c>
      <c r="DD86" s="21">
        <f t="shared" ca="1" si="98"/>
        <v>9.0202018141583937E-3</v>
      </c>
      <c r="DE86" s="21">
        <f t="shared" ca="1" si="98"/>
        <v>1.0294173504714829E-2</v>
      </c>
      <c r="DF86" s="21">
        <f t="shared" ca="1" si="98"/>
        <v>1.1643349996555887E-2</v>
      </c>
      <c r="DG86" s="21">
        <f t="shared" ca="1" si="98"/>
        <v>1.2594647248724477E-2</v>
      </c>
      <c r="DH86" s="21">
        <f t="shared" ca="1" si="98"/>
        <v>1.1339708236937966E-2</v>
      </c>
      <c r="DI86" s="21">
        <f t="shared" ca="1" si="98"/>
        <v>1.0461517980935571E-2</v>
      </c>
      <c r="DJ86" s="21">
        <f t="shared" ca="1" si="98"/>
        <v>9.4967662245770273E-3</v>
      </c>
      <c r="DK86" s="21">
        <f t="shared" ca="1" si="98"/>
        <v>7.4224457787948252E-3</v>
      </c>
      <c r="DL86" s="21">
        <f t="shared" ca="1" si="98"/>
        <v>5.7394754131100982E-3</v>
      </c>
      <c r="DM86" s="21">
        <f t="shared" ca="1" si="98"/>
        <v>6.8200749326328743E-3</v>
      </c>
      <c r="DN86" s="21">
        <f t="shared" ca="1" si="98"/>
        <v>8.7911546858276401E-3</v>
      </c>
      <c r="DO86" s="21">
        <f t="shared" ca="1" si="98"/>
        <v>1.2167137996720621E-2</v>
      </c>
      <c r="DP86" s="21">
        <f t="shared" ca="1" si="98"/>
        <v>1.4299844554214323E-2</v>
      </c>
      <c r="DQ86" s="21">
        <f t="shared" ca="1" si="98"/>
        <v>1.5264340499080143E-2</v>
      </c>
      <c r="DR86" s="21">
        <f t="shared" ca="1" si="98"/>
        <v>1.3831155872793401E-2</v>
      </c>
      <c r="DS86" s="21">
        <f t="shared" ca="1" si="98"/>
        <v>1.1313740769422058E-2</v>
      </c>
      <c r="DT86" s="21">
        <f t="shared" ca="1" si="98"/>
        <v>8.5731207665927945E-3</v>
      </c>
      <c r="DU86" s="21">
        <f t="shared" ca="1" si="98"/>
        <v>6.7550456396646176E-3</v>
      </c>
      <c r="DV86" s="21">
        <f t="shared" ca="1" si="98"/>
        <v>6.6805787109504465E-3</v>
      </c>
      <c r="DW86" s="21">
        <f t="shared" ca="1" si="98"/>
        <v>6.3426339905533905E-3</v>
      </c>
      <c r="DX86" s="21">
        <f t="shared" ca="1" si="98"/>
        <v>6.7591854380298893E-3</v>
      </c>
      <c r="DY86" s="21">
        <f t="shared" ca="1" si="98"/>
        <v>5.7063342766219428E-3</v>
      </c>
      <c r="DZ86" s="21">
        <f t="shared" ca="1" si="98"/>
        <v>5.7200902410332322E-3</v>
      </c>
      <c r="EA86" s="21">
        <f t="shared" ca="1" si="98"/>
        <v>6.8127021923270904E-3</v>
      </c>
      <c r="EB86" s="21">
        <f t="shared" ca="1" si="98"/>
        <v>6.9597734528490792E-3</v>
      </c>
      <c r="EC86" s="21">
        <f t="shared" ca="1" si="98"/>
        <v>7.8708345074138628E-3</v>
      </c>
      <c r="ED86" s="21">
        <f t="shared" ca="1" si="98"/>
        <v>8.4314827901355392E-3</v>
      </c>
      <c r="EE86" s="21">
        <f t="shared" ca="1" si="98"/>
        <v>7.7388572689925297E-3</v>
      </c>
      <c r="EF86" s="21">
        <f t="shared" ca="1" si="98"/>
        <v>8.3440675421954935E-3</v>
      </c>
      <c r="EG86" s="21">
        <f t="shared" ca="1" si="98"/>
        <v>8.0093208295279675E-3</v>
      </c>
      <c r="EH86" s="21">
        <f t="shared" ca="1" si="98"/>
        <v>7.5629672230274406E-3</v>
      </c>
      <c r="EI86" s="21">
        <f t="shared" ca="1" si="98"/>
        <v>9.6054748649989016E-3</v>
      </c>
      <c r="EJ86" s="21">
        <f t="shared" ca="1" si="98"/>
        <v>1.184930640472651E-2</v>
      </c>
      <c r="EK86" s="21">
        <f t="shared" ca="1" si="98"/>
        <v>9.6651894925348942E-3</v>
      </c>
      <c r="EL86" s="21">
        <f t="shared" ca="1" si="98"/>
        <v>9.2643982495687477E-3</v>
      </c>
      <c r="EM86" s="21">
        <f t="shared" ca="1" si="98"/>
        <v>9.5333051996118884E-3</v>
      </c>
      <c r="EN86" s="21">
        <f t="shared" ca="1" si="98"/>
        <v>7.3513498997135728E-3</v>
      </c>
      <c r="EO86" s="21">
        <f t="shared" ca="1" si="98"/>
        <v>4.9267056360909689E-3</v>
      </c>
      <c r="EP86" s="21">
        <f t="shared" ca="1" si="98"/>
        <v>4.5542939643874155E-3</v>
      </c>
      <c r="EQ86" s="21">
        <f t="shared" ca="1" si="98"/>
        <v>5.168838392268468E-3</v>
      </c>
      <c r="ER86" s="21">
        <f t="shared" ca="1" si="98"/>
        <v>3.7318942850255088E-3</v>
      </c>
      <c r="ES86" s="21">
        <f t="shared" ca="1" si="98"/>
        <v>4.314873854354296E-3</v>
      </c>
      <c r="ET86" s="21">
        <f t="shared" ca="1" si="98"/>
        <v>4.8809358746393786E-3</v>
      </c>
      <c r="EU86" s="21">
        <f t="shared" ca="1" si="98"/>
        <v>5.1021819123339817E-3</v>
      </c>
      <c r="EV86" s="21">
        <f t="shared" ca="1" si="98"/>
        <v>4.6724077718795186E-3</v>
      </c>
      <c r="EW86" s="21">
        <f t="shared" ca="1" si="98"/>
        <v>4.7114750681538572E-3</v>
      </c>
      <c r="EX86" s="21">
        <f t="shared" ca="1" si="98"/>
        <v>3.7979154620382434E-3</v>
      </c>
      <c r="EY86" s="21">
        <f t="shared" ref="EY86:HJ86" ca="1" si="99">IF(EY6="","",AVERAGE(ET60:EX60)+CONFIDENCE(0.05,STDEV(DZ60:EX60),COUNT(DZ60:EX60)))</f>
        <v>4.1107709440936441E-3</v>
      </c>
      <c r="EZ86" s="21">
        <f t="shared" ca="1" si="99"/>
        <v>4.7730506280958922E-3</v>
      </c>
      <c r="FA86" s="21">
        <f t="shared" ca="1" si="99"/>
        <v>5.5996509619419561E-3</v>
      </c>
      <c r="FB86" s="21">
        <f t="shared" ca="1" si="99"/>
        <v>6.0491987285517307E-3</v>
      </c>
      <c r="FC86" s="21">
        <f t="shared" ca="1" si="99"/>
        <v>7.2286457425554066E-3</v>
      </c>
      <c r="FD86" s="21">
        <f t="shared" ca="1" si="99"/>
        <v>7.4905786958881409E-3</v>
      </c>
      <c r="FE86" s="21">
        <f t="shared" ca="1" si="99"/>
        <v>7.8075506972995245E-3</v>
      </c>
      <c r="FF86" s="21">
        <f t="shared" ca="1" si="99"/>
        <v>6.8584543597834408E-3</v>
      </c>
      <c r="FG86" s="21">
        <f t="shared" ca="1" si="99"/>
        <v>7.7378191677668993E-3</v>
      </c>
      <c r="FH86" s="21">
        <f t="shared" ca="1" si="99"/>
        <v>7.8424979292761581E-3</v>
      </c>
      <c r="FI86" s="21">
        <f t="shared" ca="1" si="99"/>
        <v>7.2319398868494651E-3</v>
      </c>
      <c r="FJ86" s="21">
        <f t="shared" ca="1" si="99"/>
        <v>6.2619774043185051E-3</v>
      </c>
      <c r="FK86" s="21">
        <f t="shared" ca="1" si="99"/>
        <v>7.7140291516666331E-3</v>
      </c>
      <c r="FL86" s="21">
        <f t="shared" ca="1" si="99"/>
        <v>6.1732954254770074E-3</v>
      </c>
      <c r="FM86" s="21">
        <f t="shared" ca="1" si="99"/>
        <v>4.7119604823788203E-3</v>
      </c>
      <c r="FN86" s="21">
        <f t="shared" ca="1" si="99"/>
        <v>4.0181508624702921E-3</v>
      </c>
      <c r="FO86" s="21">
        <f t="shared" ca="1" si="99"/>
        <v>4.039513623450286E-3</v>
      </c>
      <c r="FP86" s="21">
        <f t="shared" ca="1" si="99"/>
        <v>3.2044208884450054E-3</v>
      </c>
      <c r="FQ86" s="21">
        <f t="shared" ca="1" si="99"/>
        <v>3.2289868702837297E-3</v>
      </c>
      <c r="FR86" s="21">
        <f t="shared" ca="1" si="99"/>
        <v>3.1883262860492702E-3</v>
      </c>
      <c r="FS86" s="21">
        <f t="shared" ca="1" si="99"/>
        <v>3.3273855743949925E-3</v>
      </c>
      <c r="FT86" s="21">
        <f t="shared" ca="1" si="99"/>
        <v>4.2870212047126585E-3</v>
      </c>
      <c r="FU86" s="21">
        <f t="shared" ca="1" si="99"/>
        <v>4.3066005320369942E-3</v>
      </c>
      <c r="FV86" s="21">
        <f t="shared" ca="1" si="99"/>
        <v>4.2438235118652471E-3</v>
      </c>
      <c r="FW86" s="21">
        <f t="shared" ca="1" si="99"/>
        <v>5.8466708077638836E-3</v>
      </c>
      <c r="FX86" s="21">
        <f t="shared" ca="1" si="99"/>
        <v>6.1459230501596735E-3</v>
      </c>
      <c r="FY86" s="21">
        <f t="shared" ca="1" si="99"/>
        <v>5.8849227444134917E-3</v>
      </c>
      <c r="FZ86" s="21">
        <f t="shared" ca="1" si="99"/>
        <v>5.796133104143464E-3</v>
      </c>
      <c r="GA86" s="21">
        <f t="shared" ca="1" si="99"/>
        <v>5.9855621144624801E-3</v>
      </c>
      <c r="GB86" s="21">
        <f t="shared" ca="1" si="99"/>
        <v>5.0686075681850573E-3</v>
      </c>
      <c r="GC86" s="21">
        <f t="shared" ca="1" si="99"/>
        <v>4.899060061491687E-3</v>
      </c>
      <c r="GD86" s="21">
        <f t="shared" ca="1" si="99"/>
        <v>4.1993092876961308E-3</v>
      </c>
      <c r="GE86" s="21">
        <f t="shared" ca="1" si="99"/>
        <v>4.9683079050881433E-3</v>
      </c>
      <c r="GF86" s="21">
        <f t="shared" ca="1" si="99"/>
        <v>5.5131234218967875E-3</v>
      </c>
      <c r="GG86" s="21">
        <f t="shared" ca="1" si="99"/>
        <v>5.2595695327277399E-3</v>
      </c>
      <c r="GH86" s="21">
        <f t="shared" ca="1" si="99"/>
        <v>4.7195536897135966E-3</v>
      </c>
      <c r="GI86" s="21">
        <f t="shared" ca="1" si="99"/>
        <v>4.7234904033536702E-3</v>
      </c>
      <c r="GJ86" s="21">
        <f t="shared" ca="1" si="99"/>
        <v>3.4178545110884859E-3</v>
      </c>
      <c r="GK86" s="21">
        <f t="shared" ca="1" si="99"/>
        <v>2.7919815594964017E-3</v>
      </c>
      <c r="GL86" s="21">
        <f t="shared" ca="1" si="99"/>
        <v>6.9867222885969605E-3</v>
      </c>
      <c r="GM86" s="21">
        <f t="shared" ca="1" si="99"/>
        <v>2.1280122435431079E-2</v>
      </c>
      <c r="GN86" s="21">
        <f t="shared" ca="1" si="99"/>
        <v>3.3637245583303374E-2</v>
      </c>
      <c r="GO86" s="21">
        <f t="shared" ca="1" si="99"/>
        <v>4.772332532264343E-2</v>
      </c>
      <c r="GP86" s="21">
        <f t="shared" ca="1" si="99"/>
        <v>5.2513876875036974E-2</v>
      </c>
      <c r="GQ86" s="21">
        <f t="shared" ca="1" si="99"/>
        <v>5.3275583402996526E-2</v>
      </c>
      <c r="GR86" s="21">
        <f t="shared" ca="1" si="99"/>
        <v>4.9613058328382552E-2</v>
      </c>
      <c r="GS86" s="21">
        <f t="shared" ca="1" si="99"/>
        <v>4.5310410575739556E-2</v>
      </c>
      <c r="GT86" s="21">
        <f t="shared" ca="1" si="99"/>
        <v>3.8065103560719356E-2</v>
      </c>
      <c r="GU86" s="21">
        <f t="shared" ca="1" si="99"/>
        <v>3.3439829357586617E-2</v>
      </c>
      <c r="GV86" s="21">
        <f t="shared" ca="1" si="99"/>
        <v>2.8988266087547312E-2</v>
      </c>
      <c r="GW86" s="21">
        <f t="shared" ca="1" si="99"/>
        <v>2.5009191773911893E-2</v>
      </c>
      <c r="GX86" s="21">
        <f t="shared" ca="1" si="99"/>
        <v>1.9383873939058348E-2</v>
      </c>
      <c r="GY86" s="21">
        <f t="shared" ca="1" si="99"/>
        <v>1.1219011219031239E-2</v>
      </c>
      <c r="GZ86" s="21">
        <f t="shared" ca="1" si="99"/>
        <v>1.0955168199705127E-2</v>
      </c>
      <c r="HA86" s="21" t="str">
        <f t="shared" si="99"/>
        <v/>
      </c>
      <c r="HB86" s="21" t="str">
        <f t="shared" si="99"/>
        <v/>
      </c>
      <c r="HC86" s="21" t="str">
        <f t="shared" si="99"/>
        <v/>
      </c>
      <c r="HD86" s="21" t="str">
        <f t="shared" si="99"/>
        <v/>
      </c>
      <c r="HE86" s="21" t="str">
        <f t="shared" si="99"/>
        <v/>
      </c>
      <c r="HF86" s="21" t="str">
        <f t="shared" si="99"/>
        <v/>
      </c>
      <c r="HG86" s="21" t="str">
        <f t="shared" si="99"/>
        <v/>
      </c>
      <c r="HH86" s="21" t="str">
        <f t="shared" si="99"/>
        <v/>
      </c>
      <c r="HI86" s="21" t="str">
        <f t="shared" si="99"/>
        <v/>
      </c>
      <c r="HJ86" s="21" t="str">
        <f t="shared" si="99"/>
        <v/>
      </c>
      <c r="HK86" s="21" t="str">
        <f t="shared" ref="HK86:JH86" si="100">IF(HK6="","",AVERAGE(HF60:HJ60)+CONFIDENCE(0.05,STDEV(GL60:HJ60),COUNT(GL60:HJ60)))</f>
        <v/>
      </c>
      <c r="HL86" s="21" t="str">
        <f t="shared" si="100"/>
        <v/>
      </c>
      <c r="HM86" s="21" t="str">
        <f t="shared" si="100"/>
        <v/>
      </c>
      <c r="HN86" s="21" t="str">
        <f t="shared" si="100"/>
        <v/>
      </c>
      <c r="HO86" s="21" t="str">
        <f t="shared" si="100"/>
        <v/>
      </c>
      <c r="HP86" s="21" t="str">
        <f t="shared" si="100"/>
        <v/>
      </c>
      <c r="HQ86" s="21" t="str">
        <f t="shared" si="100"/>
        <v/>
      </c>
      <c r="HR86" s="21" t="str">
        <f t="shared" si="100"/>
        <v/>
      </c>
      <c r="HS86" s="21" t="str">
        <f t="shared" si="100"/>
        <v/>
      </c>
      <c r="HT86" s="21" t="str">
        <f t="shared" si="100"/>
        <v/>
      </c>
      <c r="HU86" s="21" t="str">
        <f t="shared" si="100"/>
        <v/>
      </c>
      <c r="HV86" s="21" t="str">
        <f t="shared" si="100"/>
        <v/>
      </c>
      <c r="HW86" s="21" t="str">
        <f t="shared" si="100"/>
        <v/>
      </c>
      <c r="HX86" s="21" t="str">
        <f t="shared" si="100"/>
        <v/>
      </c>
      <c r="HY86" s="21" t="str">
        <f t="shared" si="100"/>
        <v/>
      </c>
      <c r="HZ86" s="21" t="str">
        <f t="shared" si="100"/>
        <v/>
      </c>
      <c r="IA86" s="21" t="str">
        <f t="shared" si="100"/>
        <v/>
      </c>
      <c r="IB86" s="21" t="str">
        <f t="shared" si="100"/>
        <v/>
      </c>
      <c r="IC86" s="21" t="str">
        <f t="shared" si="100"/>
        <v/>
      </c>
      <c r="ID86" s="21" t="str">
        <f t="shared" si="100"/>
        <v/>
      </c>
      <c r="IE86" s="21" t="str">
        <f t="shared" si="100"/>
        <v/>
      </c>
      <c r="IF86" s="21" t="str">
        <f t="shared" si="100"/>
        <v/>
      </c>
      <c r="IG86" s="21" t="str">
        <f t="shared" si="100"/>
        <v/>
      </c>
      <c r="IH86" s="21" t="str">
        <f t="shared" si="100"/>
        <v/>
      </c>
      <c r="II86" s="21" t="str">
        <f t="shared" si="100"/>
        <v/>
      </c>
      <c r="IJ86" s="21" t="str">
        <f t="shared" si="100"/>
        <v/>
      </c>
      <c r="IK86" s="21" t="str">
        <f t="shared" si="100"/>
        <v/>
      </c>
      <c r="IL86" s="21" t="str">
        <f t="shared" si="100"/>
        <v/>
      </c>
      <c r="IM86" s="21" t="str">
        <f t="shared" si="100"/>
        <v/>
      </c>
      <c r="IN86" s="21" t="str">
        <f t="shared" si="100"/>
        <v/>
      </c>
      <c r="IO86" s="21" t="str">
        <f t="shared" si="100"/>
        <v/>
      </c>
      <c r="IP86" s="21" t="str">
        <f t="shared" si="100"/>
        <v/>
      </c>
      <c r="IQ86" s="21" t="str">
        <f t="shared" si="100"/>
        <v/>
      </c>
      <c r="IR86" s="21" t="str">
        <f t="shared" si="100"/>
        <v/>
      </c>
      <c r="IS86" s="21" t="str">
        <f t="shared" si="100"/>
        <v/>
      </c>
      <c r="IT86" s="21" t="str">
        <f t="shared" si="100"/>
        <v/>
      </c>
      <c r="IU86" s="21" t="str">
        <f t="shared" si="100"/>
        <v/>
      </c>
      <c r="IV86" s="21" t="str">
        <f t="shared" si="100"/>
        <v/>
      </c>
      <c r="IW86" s="21" t="str">
        <f t="shared" si="100"/>
        <v/>
      </c>
      <c r="IX86" s="21" t="str">
        <f t="shared" si="100"/>
        <v/>
      </c>
      <c r="IY86" s="21" t="str">
        <f t="shared" si="100"/>
        <v/>
      </c>
      <c r="IZ86" s="21" t="str">
        <f t="shared" si="100"/>
        <v/>
      </c>
      <c r="JA86" s="21" t="str">
        <f t="shared" si="100"/>
        <v/>
      </c>
      <c r="JB86" s="21" t="str">
        <f t="shared" si="100"/>
        <v/>
      </c>
      <c r="JC86" s="21" t="str">
        <f t="shared" si="100"/>
        <v/>
      </c>
      <c r="JD86" s="21" t="str">
        <f t="shared" si="100"/>
        <v/>
      </c>
      <c r="JE86" s="21" t="str">
        <f t="shared" si="100"/>
        <v/>
      </c>
      <c r="JF86" s="21" t="str">
        <f t="shared" si="100"/>
        <v/>
      </c>
      <c r="JG86" s="21" t="str">
        <f t="shared" si="100"/>
        <v/>
      </c>
      <c r="JH86" s="21" t="str">
        <f t="shared" si="100"/>
        <v/>
      </c>
    </row>
    <row r="87" spans="1:336" x14ac:dyDescent="0.25"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21"/>
      <c r="Z87" s="21"/>
      <c r="AA87" s="21">
        <f t="shared" ref="AA87:CL87" ca="1" si="101">IF(AA7="","",AVERAGE(U61:Z61)+CONFIDENCE(0.05,STDEV(B61:Z61),COUNT(B61:Z61)))</f>
        <v>7.7972591506416614E-3</v>
      </c>
      <c r="AB87" s="21">
        <f t="shared" ca="1" si="101"/>
        <v>8.580247768526502E-3</v>
      </c>
      <c r="AC87" s="21">
        <f t="shared" ca="1" si="101"/>
        <v>8.8879765696646545E-3</v>
      </c>
      <c r="AD87" s="21">
        <f t="shared" ca="1" si="101"/>
        <v>1.019107088613392E-2</v>
      </c>
      <c r="AE87" s="21">
        <f t="shared" ca="1" si="101"/>
        <v>1.1059440444253364E-2</v>
      </c>
      <c r="AF87" s="21">
        <f t="shared" ca="1" si="101"/>
        <v>1.1650006243290469E-2</v>
      </c>
      <c r="AG87" s="21">
        <f t="shared" ca="1" si="101"/>
        <v>1.0792054111144925E-2</v>
      </c>
      <c r="AH87" s="21">
        <f t="shared" ca="1" si="101"/>
        <v>9.789266038515286E-3</v>
      </c>
      <c r="AI87" s="21">
        <f t="shared" ca="1" si="101"/>
        <v>1.0645977498314089E-2</v>
      </c>
      <c r="AJ87" s="21">
        <f t="shared" ca="1" si="101"/>
        <v>8.6833197767606334E-3</v>
      </c>
      <c r="AK87" s="21">
        <f t="shared" ca="1" si="101"/>
        <v>7.3909355798712651E-3</v>
      </c>
      <c r="AL87" s="21">
        <f t="shared" ca="1" si="101"/>
        <v>6.3322185915316628E-3</v>
      </c>
      <c r="AM87" s="21">
        <f t="shared" ca="1" si="101"/>
        <v>6.6099104438586504E-3</v>
      </c>
      <c r="AN87" s="21">
        <f t="shared" ca="1" si="101"/>
        <v>7.4235073742714101E-3</v>
      </c>
      <c r="AO87" s="21">
        <f t="shared" ca="1" si="101"/>
        <v>6.7452835758441462E-3</v>
      </c>
      <c r="AP87" s="21">
        <f t="shared" ca="1" si="101"/>
        <v>8.2294429824360388E-3</v>
      </c>
      <c r="AQ87" s="21">
        <f t="shared" ca="1" si="101"/>
        <v>8.3954237438157615E-3</v>
      </c>
      <c r="AR87" s="21">
        <f t="shared" ca="1" si="101"/>
        <v>9.0148944306622184E-3</v>
      </c>
      <c r="AS87" s="21">
        <f t="shared" ca="1" si="101"/>
        <v>8.6932861748078329E-3</v>
      </c>
      <c r="AT87" s="21">
        <f t="shared" ca="1" si="101"/>
        <v>7.8817562582537953E-3</v>
      </c>
      <c r="AU87" s="21">
        <f t="shared" ca="1" si="101"/>
        <v>6.6843217242846236E-3</v>
      </c>
      <c r="AV87" s="21">
        <f t="shared" ca="1" si="101"/>
        <v>5.2511597237649013E-3</v>
      </c>
      <c r="AW87" s="21">
        <f t="shared" ca="1" si="101"/>
        <v>5.7531845056705859E-3</v>
      </c>
      <c r="AX87" s="21">
        <f t="shared" ca="1" si="101"/>
        <v>6.5019116581176602E-3</v>
      </c>
      <c r="AY87" s="21">
        <f t="shared" ca="1" si="101"/>
        <v>8.9685499930710188E-3</v>
      </c>
      <c r="AZ87" s="21">
        <f t="shared" ca="1" si="101"/>
        <v>1.2024627953381301E-2</v>
      </c>
      <c r="BA87" s="21">
        <f t="shared" ca="1" si="101"/>
        <v>1.6015823256748104E-2</v>
      </c>
      <c r="BB87" s="21">
        <f t="shared" ca="1" si="101"/>
        <v>1.8478527627662021E-2</v>
      </c>
      <c r="BC87" s="21">
        <f t="shared" ca="1" si="101"/>
        <v>2.0284668600622256E-2</v>
      </c>
      <c r="BD87" s="21">
        <f t="shared" ca="1" si="101"/>
        <v>2.2064552185290982E-2</v>
      </c>
      <c r="BE87" s="21">
        <f t="shared" ca="1" si="101"/>
        <v>2.2276422404819991E-2</v>
      </c>
      <c r="BF87" s="21">
        <f t="shared" ca="1" si="101"/>
        <v>2.3686560896930796E-2</v>
      </c>
      <c r="BG87" s="21">
        <f t="shared" ca="1" si="101"/>
        <v>2.6703603996345249E-2</v>
      </c>
      <c r="BH87" s="21">
        <f t="shared" ca="1" si="101"/>
        <v>2.8908544524815345E-2</v>
      </c>
      <c r="BI87" s="21">
        <f t="shared" ca="1" si="101"/>
        <v>2.8182991751667247E-2</v>
      </c>
      <c r="BJ87" s="21">
        <f t="shared" ca="1" si="101"/>
        <v>2.5522476800119324E-2</v>
      </c>
      <c r="BK87" s="21">
        <f t="shared" ca="1" si="101"/>
        <v>2.3159049032560129E-2</v>
      </c>
      <c r="BL87" s="21">
        <f t="shared" ca="1" si="101"/>
        <v>2.0042463911897367E-2</v>
      </c>
      <c r="BM87" s="21">
        <f t="shared" ca="1" si="101"/>
        <v>1.7115971272716406E-2</v>
      </c>
      <c r="BN87" s="21">
        <f t="shared" ca="1" si="101"/>
        <v>1.7022819219399601E-2</v>
      </c>
      <c r="BO87" s="21">
        <f t="shared" ca="1" si="101"/>
        <v>1.7970095275537463E-2</v>
      </c>
      <c r="BP87" s="21">
        <f t="shared" ca="1" si="101"/>
        <v>1.8527620978601916E-2</v>
      </c>
      <c r="BQ87" s="21">
        <f t="shared" ca="1" si="101"/>
        <v>1.9735548799810623E-2</v>
      </c>
      <c r="BR87" s="21">
        <f t="shared" ca="1" si="101"/>
        <v>2.0786584412252843E-2</v>
      </c>
      <c r="BS87" s="21">
        <f t="shared" ca="1" si="101"/>
        <v>1.8011849484581156E-2</v>
      </c>
      <c r="BT87" s="21">
        <f t="shared" ca="1" si="101"/>
        <v>1.4504391224528368E-2</v>
      </c>
      <c r="BU87" s="21">
        <f t="shared" ca="1" si="101"/>
        <v>1.208090759381213E-2</v>
      </c>
      <c r="BV87" s="21">
        <f t="shared" ca="1" si="101"/>
        <v>1.1355673693455123E-2</v>
      </c>
      <c r="BW87" s="21">
        <f t="shared" ca="1" si="101"/>
        <v>1.0757889450953125E-2</v>
      </c>
      <c r="BX87" s="21">
        <f t="shared" ca="1" si="101"/>
        <v>8.4203214383158365E-3</v>
      </c>
      <c r="BY87" s="21">
        <f t="shared" ca="1" si="101"/>
        <v>8.4802688779410558E-3</v>
      </c>
      <c r="BZ87" s="21">
        <f t="shared" ca="1" si="101"/>
        <v>7.7960455482377362E-3</v>
      </c>
      <c r="CA87" s="21">
        <f t="shared" ca="1" si="101"/>
        <v>6.8606340359202538E-3</v>
      </c>
      <c r="CB87" s="21">
        <f t="shared" ca="1" si="101"/>
        <v>6.4999480748472935E-3</v>
      </c>
      <c r="CC87" s="21">
        <f t="shared" ca="1" si="101"/>
        <v>5.8873239953217702E-3</v>
      </c>
      <c r="CD87" s="21">
        <f t="shared" ca="1" si="101"/>
        <v>6.9897504541869765E-3</v>
      </c>
      <c r="CE87" s="21">
        <f t="shared" ca="1" si="101"/>
        <v>6.557360125203469E-3</v>
      </c>
      <c r="CF87" s="21">
        <f t="shared" ca="1" si="101"/>
        <v>5.7537016122354134E-3</v>
      </c>
      <c r="CG87" s="21">
        <f t="shared" ca="1" si="101"/>
        <v>5.5671796493739281E-3</v>
      </c>
      <c r="CH87" s="21">
        <f t="shared" ca="1" si="101"/>
        <v>5.669024143143392E-3</v>
      </c>
      <c r="CI87" s="21">
        <f t="shared" ca="1" si="101"/>
        <v>5.9695548586338205E-3</v>
      </c>
      <c r="CJ87" s="21">
        <f t="shared" ca="1" si="101"/>
        <v>6.0246342753152073E-3</v>
      </c>
      <c r="CK87" s="21">
        <f t="shared" ca="1" si="101"/>
        <v>7.181139205333897E-3</v>
      </c>
      <c r="CL87" s="21">
        <f t="shared" ca="1" si="101"/>
        <v>6.9824506745383361E-3</v>
      </c>
      <c r="CM87" s="21">
        <f t="shared" ref="CM87:EX87" ca="1" si="102">IF(CM7="","",AVERAGE(CG61:CL61)+CONFIDENCE(0.05,STDEV(BN61:CL61),COUNT(BN61:CL61)))</f>
        <v>7.1688429525036713E-3</v>
      </c>
      <c r="CN87" s="21">
        <f t="shared" ca="1" si="102"/>
        <v>8.0203076056254673E-3</v>
      </c>
      <c r="CO87" s="21">
        <f t="shared" ca="1" si="102"/>
        <v>8.058149061122866E-3</v>
      </c>
      <c r="CP87" s="21">
        <f t="shared" ca="1" si="102"/>
        <v>7.567882128828753E-3</v>
      </c>
      <c r="CQ87" s="21">
        <f t="shared" ca="1" si="102"/>
        <v>7.5668678044499725E-3</v>
      </c>
      <c r="CR87" s="21">
        <f t="shared" ca="1" si="102"/>
        <v>8.6950226314982792E-3</v>
      </c>
      <c r="CS87" s="21">
        <f t="shared" ca="1" si="102"/>
        <v>7.4414305726012969E-3</v>
      </c>
      <c r="CT87" s="21">
        <f t="shared" ca="1" si="102"/>
        <v>6.0442113285996248E-3</v>
      </c>
      <c r="CU87" s="21">
        <f t="shared" ca="1" si="102"/>
        <v>8.2531536552894833E-3</v>
      </c>
      <c r="CV87" s="21">
        <f t="shared" ca="1" si="102"/>
        <v>7.9707530222941116E-3</v>
      </c>
      <c r="CW87" s="21">
        <f t="shared" ca="1" si="102"/>
        <v>6.6559460326284679E-3</v>
      </c>
      <c r="CX87" s="21">
        <f t="shared" ca="1" si="102"/>
        <v>5.0509807049507732E-3</v>
      </c>
      <c r="CY87" s="21">
        <f t="shared" ca="1" si="102"/>
        <v>5.526032927901923E-3</v>
      </c>
      <c r="CZ87" s="21">
        <f t="shared" ca="1" si="102"/>
        <v>5.5767350952252949E-3</v>
      </c>
      <c r="DA87" s="21">
        <f t="shared" ca="1" si="102"/>
        <v>5.891553810663354E-3</v>
      </c>
      <c r="DB87" s="21">
        <f t="shared" ca="1" si="102"/>
        <v>6.3711476205684609E-3</v>
      </c>
      <c r="DC87" s="21">
        <f t="shared" ca="1" si="102"/>
        <v>8.4862007198387122E-3</v>
      </c>
      <c r="DD87" s="21">
        <f t="shared" ca="1" si="102"/>
        <v>1.0072539870704913E-2</v>
      </c>
      <c r="DE87" s="21">
        <f t="shared" ca="1" si="102"/>
        <v>1.0695125583797187E-2</v>
      </c>
      <c r="DF87" s="21">
        <f t="shared" ca="1" si="102"/>
        <v>1.3813771605083926E-2</v>
      </c>
      <c r="DG87" s="21">
        <f t="shared" ca="1" si="102"/>
        <v>1.3334986163117166E-2</v>
      </c>
      <c r="DH87" s="21">
        <f t="shared" ca="1" si="102"/>
        <v>1.3463845562205675E-2</v>
      </c>
      <c r="DI87" s="21">
        <f t="shared" ca="1" si="102"/>
        <v>1.2316132125636408E-2</v>
      </c>
      <c r="DJ87" s="21">
        <f t="shared" ca="1" si="102"/>
        <v>1.1820163638893568E-2</v>
      </c>
      <c r="DK87" s="21">
        <f t="shared" ca="1" si="102"/>
        <v>1.1732122339785607E-2</v>
      </c>
      <c r="DL87" s="21">
        <f t="shared" ca="1" si="102"/>
        <v>9.6926198165607526E-3</v>
      </c>
      <c r="DM87" s="21">
        <f t="shared" ca="1" si="102"/>
        <v>1.0095825449992293E-2</v>
      </c>
      <c r="DN87" s="21">
        <f t="shared" ca="1" si="102"/>
        <v>1.3188329166644915E-2</v>
      </c>
      <c r="DO87" s="21">
        <f t="shared" ca="1" si="102"/>
        <v>1.5476698364989279E-2</v>
      </c>
      <c r="DP87" s="21">
        <f t="shared" ca="1" si="102"/>
        <v>1.7116040061583918E-2</v>
      </c>
      <c r="DQ87" s="21">
        <f t="shared" ca="1" si="102"/>
        <v>1.7018129130658647E-2</v>
      </c>
      <c r="DR87" s="21">
        <f t="shared" ca="1" si="102"/>
        <v>1.7260782745279604E-2</v>
      </c>
      <c r="DS87" s="21">
        <f t="shared" ca="1" si="102"/>
        <v>1.4848114557318715E-2</v>
      </c>
      <c r="DT87" s="21">
        <f t="shared" ca="1" si="102"/>
        <v>1.1817918654953945E-2</v>
      </c>
      <c r="DU87" s="21">
        <f t="shared" ca="1" si="102"/>
        <v>9.3368832339989667E-3</v>
      </c>
      <c r="DV87" s="21">
        <f t="shared" ca="1" si="102"/>
        <v>7.3338684258982077E-3</v>
      </c>
      <c r="DW87" s="21">
        <f t="shared" ca="1" si="102"/>
        <v>6.7008806067560996E-3</v>
      </c>
      <c r="DX87" s="21">
        <f t="shared" ca="1" si="102"/>
        <v>6.2873824870099404E-3</v>
      </c>
      <c r="DY87" s="21">
        <f t="shared" ca="1" si="102"/>
        <v>6.5759599004039295E-3</v>
      </c>
      <c r="DZ87" s="21">
        <f t="shared" ca="1" si="102"/>
        <v>6.9995907335246854E-3</v>
      </c>
      <c r="EA87" s="21">
        <f t="shared" ca="1" si="102"/>
        <v>7.9290587133271327E-3</v>
      </c>
      <c r="EB87" s="21">
        <f t="shared" ca="1" si="102"/>
        <v>8.3878372023992592E-3</v>
      </c>
      <c r="EC87" s="21">
        <f t="shared" ca="1" si="102"/>
        <v>1.0415629899316358E-2</v>
      </c>
      <c r="ED87" s="21">
        <f t="shared" ca="1" si="102"/>
        <v>1.0396737085309636E-2</v>
      </c>
      <c r="EE87" s="21">
        <f t="shared" ca="1" si="102"/>
        <v>1.0486264735958057E-2</v>
      </c>
      <c r="EF87" s="21">
        <f t="shared" ca="1" si="102"/>
        <v>1.0930561662888142E-2</v>
      </c>
      <c r="EG87" s="21">
        <f t="shared" ca="1" si="102"/>
        <v>9.3225499897936284E-3</v>
      </c>
      <c r="EH87" s="21">
        <f t="shared" ca="1" si="102"/>
        <v>1.0105917015037366E-2</v>
      </c>
      <c r="EI87" s="21">
        <f t="shared" ca="1" si="102"/>
        <v>1.012663339350554E-2</v>
      </c>
      <c r="EJ87" s="21">
        <f t="shared" ca="1" si="102"/>
        <v>1.1731109918445328E-2</v>
      </c>
      <c r="EK87" s="21">
        <f t="shared" ca="1" si="102"/>
        <v>1.1190454200240518E-2</v>
      </c>
      <c r="EL87" s="21">
        <f t="shared" ca="1" si="102"/>
        <v>9.5458302696120496E-3</v>
      </c>
      <c r="EM87" s="21">
        <f t="shared" ca="1" si="102"/>
        <v>1.0817905892412877E-2</v>
      </c>
      <c r="EN87" s="21">
        <f t="shared" ca="1" si="102"/>
        <v>9.0894201202623825E-3</v>
      </c>
      <c r="EO87" s="21">
        <f t="shared" ca="1" si="102"/>
        <v>6.8702792027868099E-3</v>
      </c>
      <c r="EP87" s="21">
        <f t="shared" ca="1" si="102"/>
        <v>4.5815392713193931E-3</v>
      </c>
      <c r="EQ87" s="21">
        <f t="shared" ca="1" si="102"/>
        <v>5.1346784224817112E-3</v>
      </c>
      <c r="ER87" s="21">
        <f t="shared" ca="1" si="102"/>
        <v>5.6109760785952242E-3</v>
      </c>
      <c r="ES87" s="21">
        <f t="shared" ca="1" si="102"/>
        <v>5.1477499082485424E-3</v>
      </c>
      <c r="ET87" s="21">
        <f t="shared" ca="1" si="102"/>
        <v>5.1988070726986819E-3</v>
      </c>
      <c r="EU87" s="21">
        <f t="shared" ca="1" si="102"/>
        <v>5.2188210808799314E-3</v>
      </c>
      <c r="EV87" s="21">
        <f t="shared" ca="1" si="102"/>
        <v>5.8538869236224615E-3</v>
      </c>
      <c r="EW87" s="21">
        <f t="shared" ca="1" si="102"/>
        <v>5.8973544845143337E-3</v>
      </c>
      <c r="EX87" s="21">
        <f t="shared" ca="1" si="102"/>
        <v>5.3587001315232585E-3</v>
      </c>
      <c r="EY87" s="21">
        <f t="shared" ref="EY87:HJ87" ca="1" si="103">IF(EY7="","",AVERAGE(ES61:EX61)+CONFIDENCE(0.05,STDEV(DZ61:EX61),COUNT(DZ61:EX61)))</f>
        <v>5.4791700698006377E-3</v>
      </c>
      <c r="EZ87" s="21">
        <f t="shared" ca="1" si="103"/>
        <v>5.8543706420427751E-3</v>
      </c>
      <c r="FA87" s="21">
        <f t="shared" ca="1" si="103"/>
        <v>6.2115012023838019E-3</v>
      </c>
      <c r="FB87" s="21">
        <f t="shared" ca="1" si="103"/>
        <v>6.7940388387462743E-3</v>
      </c>
      <c r="FC87" s="21">
        <f t="shared" ca="1" si="103"/>
        <v>7.6629789562276665E-3</v>
      </c>
      <c r="FD87" s="21">
        <f t="shared" ca="1" si="103"/>
        <v>8.7313821420527751E-3</v>
      </c>
      <c r="FE87" s="21">
        <f t="shared" ca="1" si="103"/>
        <v>8.2647774614057687E-3</v>
      </c>
      <c r="FF87" s="21">
        <f t="shared" ca="1" si="103"/>
        <v>7.8610057595466711E-3</v>
      </c>
      <c r="FG87" s="21">
        <f t="shared" ca="1" si="103"/>
        <v>8.7625889032176482E-3</v>
      </c>
      <c r="FH87" s="21">
        <f t="shared" ca="1" si="103"/>
        <v>8.4410744904919906E-3</v>
      </c>
      <c r="FI87" s="21">
        <f t="shared" ca="1" si="103"/>
        <v>7.5602234120899659E-3</v>
      </c>
      <c r="FJ87" s="21">
        <f t="shared" ca="1" si="103"/>
        <v>6.5512924363581729E-3</v>
      </c>
      <c r="FK87" s="21">
        <f t="shared" ca="1" si="103"/>
        <v>7.041033840882574E-3</v>
      </c>
      <c r="FL87" s="21">
        <f t="shared" ca="1" si="103"/>
        <v>6.8709539271282778E-3</v>
      </c>
      <c r="FM87" s="21">
        <f t="shared" ca="1" si="103"/>
        <v>5.5576327375375986E-3</v>
      </c>
      <c r="FN87" s="21">
        <f t="shared" ca="1" si="103"/>
        <v>4.5390111404077929E-3</v>
      </c>
      <c r="FO87" s="21">
        <f t="shared" ca="1" si="103"/>
        <v>4.3711790579054098E-3</v>
      </c>
      <c r="FP87" s="21">
        <f t="shared" ca="1" si="103"/>
        <v>4.7780307217336433E-3</v>
      </c>
      <c r="FQ87" s="21">
        <f t="shared" ca="1" si="103"/>
        <v>3.4733069324477638E-3</v>
      </c>
      <c r="FR87" s="21">
        <f t="shared" ca="1" si="103"/>
        <v>3.2383553544138447E-3</v>
      </c>
      <c r="FS87" s="21">
        <f t="shared" ca="1" si="103"/>
        <v>3.2930530582981478E-3</v>
      </c>
      <c r="FT87" s="21">
        <f t="shared" ca="1" si="103"/>
        <v>3.6767177990878713E-3</v>
      </c>
      <c r="FU87" s="21">
        <f t="shared" ca="1" si="103"/>
        <v>3.8194506665892572E-3</v>
      </c>
      <c r="FV87" s="21">
        <f t="shared" ca="1" si="103"/>
        <v>3.7267721573421069E-3</v>
      </c>
      <c r="FW87" s="21">
        <f t="shared" ca="1" si="103"/>
        <v>5.0027549425308423E-3</v>
      </c>
      <c r="FX87" s="21">
        <f t="shared" ca="1" si="103"/>
        <v>5.5087860547872614E-3</v>
      </c>
      <c r="FY87" s="21">
        <f t="shared" ca="1" si="103"/>
        <v>6.1427001294539684E-3</v>
      </c>
      <c r="FZ87" s="21">
        <f t="shared" ca="1" si="103"/>
        <v>6.216611779846345E-3</v>
      </c>
      <c r="GA87" s="21">
        <f t="shared" ca="1" si="103"/>
        <v>5.5380888636210567E-3</v>
      </c>
      <c r="GB87" s="21">
        <f t="shared" ca="1" si="103"/>
        <v>5.5746613461384676E-3</v>
      </c>
      <c r="GC87" s="21">
        <f t="shared" ca="1" si="103"/>
        <v>4.5166407222757511E-3</v>
      </c>
      <c r="GD87" s="21">
        <f t="shared" ca="1" si="103"/>
        <v>4.666703912388089E-3</v>
      </c>
      <c r="GE87" s="21">
        <f t="shared" ca="1" si="103"/>
        <v>5.1257723035537063E-3</v>
      </c>
      <c r="GF87" s="21">
        <f t="shared" ca="1" si="103"/>
        <v>5.0202544720815692E-3</v>
      </c>
      <c r="GG87" s="21">
        <f t="shared" ca="1" si="103"/>
        <v>5.4476154245777751E-3</v>
      </c>
      <c r="GH87" s="21">
        <f t="shared" ca="1" si="103"/>
        <v>4.9369179337954705E-3</v>
      </c>
      <c r="GI87" s="21">
        <f t="shared" ca="1" si="103"/>
        <v>4.8641365755839345E-3</v>
      </c>
      <c r="GJ87" s="21">
        <f t="shared" ca="1" si="103"/>
        <v>4.1443630624738038E-3</v>
      </c>
      <c r="GK87" s="21">
        <f t="shared" ca="1" si="103"/>
        <v>7.4090652169086085E-3</v>
      </c>
      <c r="GL87" s="21">
        <f t="shared" ca="1" si="103"/>
        <v>1.9505791424561006E-2</v>
      </c>
      <c r="GM87" s="21">
        <f t="shared" ca="1" si="103"/>
        <v>3.076004674241457E-2</v>
      </c>
      <c r="GN87" s="21">
        <f t="shared" ca="1" si="103"/>
        <v>4.0890174112308553E-2</v>
      </c>
      <c r="GO87" s="21">
        <f t="shared" ca="1" si="103"/>
        <v>5.1006508927893018E-2</v>
      </c>
      <c r="GP87" s="21">
        <f t="shared" ca="1" si="103"/>
        <v>5.4050640121196016E-2</v>
      </c>
      <c r="GQ87" s="21">
        <f t="shared" ca="1" si="103"/>
        <v>5.6477743106022424E-2</v>
      </c>
      <c r="GR87" s="21">
        <f t="shared" ca="1" si="103"/>
        <v>5.4659365702115749E-2</v>
      </c>
      <c r="GS87" s="21">
        <f t="shared" ca="1" si="103"/>
        <v>5.1419102464179731E-2</v>
      </c>
      <c r="GT87" s="21">
        <f t="shared" ca="1" si="103"/>
        <v>4.6603679540972387E-2</v>
      </c>
      <c r="GU87" s="21">
        <f t="shared" ca="1" si="103"/>
        <v>3.7881307952611055E-2</v>
      </c>
      <c r="GV87" s="21">
        <f t="shared" ca="1" si="103"/>
        <v>4.0103976127600124E-2</v>
      </c>
      <c r="GW87" s="21">
        <f t="shared" ca="1" si="103"/>
        <v>3.91524858063593E-2</v>
      </c>
      <c r="GX87" s="21">
        <f t="shared" ca="1" si="103"/>
        <v>3.3852662380185035E-2</v>
      </c>
      <c r="GY87" s="21">
        <f t="shared" ca="1" si="103"/>
        <v>2.5691160321029666E-2</v>
      </c>
      <c r="GZ87" s="21">
        <f t="shared" ca="1" si="103"/>
        <v>1.4635806862816932E-2</v>
      </c>
      <c r="HA87" s="21" t="str">
        <f t="shared" si="103"/>
        <v/>
      </c>
      <c r="HB87" s="21" t="str">
        <f t="shared" si="103"/>
        <v/>
      </c>
      <c r="HC87" s="21" t="str">
        <f t="shared" si="103"/>
        <v/>
      </c>
      <c r="HD87" s="21" t="str">
        <f t="shared" si="103"/>
        <v/>
      </c>
      <c r="HE87" s="21" t="str">
        <f t="shared" si="103"/>
        <v/>
      </c>
      <c r="HF87" s="21" t="str">
        <f t="shared" si="103"/>
        <v/>
      </c>
      <c r="HG87" s="21" t="str">
        <f t="shared" si="103"/>
        <v/>
      </c>
      <c r="HH87" s="21" t="str">
        <f t="shared" si="103"/>
        <v/>
      </c>
      <c r="HI87" s="21" t="str">
        <f t="shared" si="103"/>
        <v/>
      </c>
      <c r="HJ87" s="21" t="str">
        <f t="shared" si="103"/>
        <v/>
      </c>
      <c r="HK87" s="21" t="str">
        <f t="shared" ref="HK87:JH87" si="104">IF(HK7="","",AVERAGE(HE61:HJ61)+CONFIDENCE(0.05,STDEV(GL61:HJ61),COUNT(GL61:HJ61)))</f>
        <v/>
      </c>
      <c r="HL87" s="21" t="str">
        <f t="shared" si="104"/>
        <v/>
      </c>
      <c r="HM87" s="21" t="str">
        <f t="shared" si="104"/>
        <v/>
      </c>
      <c r="HN87" s="21" t="str">
        <f t="shared" si="104"/>
        <v/>
      </c>
      <c r="HO87" s="21" t="str">
        <f t="shared" si="104"/>
        <v/>
      </c>
      <c r="HP87" s="21" t="str">
        <f t="shared" si="104"/>
        <v/>
      </c>
      <c r="HQ87" s="21" t="str">
        <f t="shared" si="104"/>
        <v/>
      </c>
      <c r="HR87" s="21" t="str">
        <f t="shared" si="104"/>
        <v/>
      </c>
      <c r="HS87" s="21" t="str">
        <f t="shared" si="104"/>
        <v/>
      </c>
      <c r="HT87" s="21" t="str">
        <f t="shared" si="104"/>
        <v/>
      </c>
      <c r="HU87" s="21" t="str">
        <f t="shared" si="104"/>
        <v/>
      </c>
      <c r="HV87" s="21" t="str">
        <f t="shared" si="104"/>
        <v/>
      </c>
      <c r="HW87" s="21" t="str">
        <f t="shared" si="104"/>
        <v/>
      </c>
      <c r="HX87" s="21" t="str">
        <f t="shared" si="104"/>
        <v/>
      </c>
      <c r="HY87" s="21" t="str">
        <f t="shared" si="104"/>
        <v/>
      </c>
      <c r="HZ87" s="21" t="str">
        <f t="shared" si="104"/>
        <v/>
      </c>
      <c r="IA87" s="21" t="str">
        <f t="shared" si="104"/>
        <v/>
      </c>
      <c r="IB87" s="21" t="str">
        <f t="shared" si="104"/>
        <v/>
      </c>
      <c r="IC87" s="21" t="str">
        <f t="shared" si="104"/>
        <v/>
      </c>
      <c r="ID87" s="21" t="str">
        <f t="shared" si="104"/>
        <v/>
      </c>
      <c r="IE87" s="21" t="str">
        <f t="shared" si="104"/>
        <v/>
      </c>
      <c r="IF87" s="21" t="str">
        <f t="shared" si="104"/>
        <v/>
      </c>
      <c r="IG87" s="21" t="str">
        <f t="shared" si="104"/>
        <v/>
      </c>
      <c r="IH87" s="21" t="str">
        <f t="shared" si="104"/>
        <v/>
      </c>
      <c r="II87" s="21" t="str">
        <f t="shared" si="104"/>
        <v/>
      </c>
      <c r="IJ87" s="21" t="str">
        <f t="shared" si="104"/>
        <v/>
      </c>
      <c r="IK87" s="21" t="str">
        <f t="shared" si="104"/>
        <v/>
      </c>
      <c r="IL87" s="21" t="str">
        <f t="shared" si="104"/>
        <v/>
      </c>
      <c r="IM87" s="21" t="str">
        <f t="shared" si="104"/>
        <v/>
      </c>
      <c r="IN87" s="21" t="str">
        <f t="shared" si="104"/>
        <v/>
      </c>
      <c r="IO87" s="21" t="str">
        <f t="shared" si="104"/>
        <v/>
      </c>
      <c r="IP87" s="21" t="str">
        <f t="shared" si="104"/>
        <v/>
      </c>
      <c r="IQ87" s="21" t="str">
        <f t="shared" si="104"/>
        <v/>
      </c>
      <c r="IR87" s="21" t="str">
        <f t="shared" si="104"/>
        <v/>
      </c>
      <c r="IS87" s="21" t="str">
        <f t="shared" si="104"/>
        <v/>
      </c>
      <c r="IT87" s="21" t="str">
        <f t="shared" si="104"/>
        <v/>
      </c>
      <c r="IU87" s="21" t="str">
        <f t="shared" si="104"/>
        <v/>
      </c>
      <c r="IV87" s="21" t="str">
        <f t="shared" si="104"/>
        <v/>
      </c>
      <c r="IW87" s="21" t="str">
        <f t="shared" si="104"/>
        <v/>
      </c>
      <c r="IX87" s="21" t="str">
        <f t="shared" si="104"/>
        <v/>
      </c>
      <c r="IY87" s="21" t="str">
        <f t="shared" si="104"/>
        <v/>
      </c>
      <c r="IZ87" s="21" t="str">
        <f t="shared" si="104"/>
        <v/>
      </c>
      <c r="JA87" s="21" t="str">
        <f t="shared" si="104"/>
        <v/>
      </c>
      <c r="JB87" s="21" t="str">
        <f t="shared" si="104"/>
        <v/>
      </c>
      <c r="JC87" s="21" t="str">
        <f t="shared" si="104"/>
        <v/>
      </c>
      <c r="JD87" s="21" t="str">
        <f t="shared" si="104"/>
        <v/>
      </c>
      <c r="JE87" s="21" t="str">
        <f t="shared" si="104"/>
        <v/>
      </c>
      <c r="JF87" s="21" t="str">
        <f t="shared" si="104"/>
        <v/>
      </c>
      <c r="JG87" s="21" t="str">
        <f t="shared" si="104"/>
        <v/>
      </c>
      <c r="JH87" s="21" t="str">
        <f t="shared" si="104"/>
        <v/>
      </c>
    </row>
    <row r="88" spans="1:336" x14ac:dyDescent="0.25"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>
        <f t="shared" ref="AA88:CL88" ca="1" si="105">IF(AA8="","",AVERAGE(T62:Z62)+CONFIDENCE(0.05,STDEV(B62:Z62),COUNT(B62:Z62)))</f>
        <v>1.0486734691749789E-2</v>
      </c>
      <c r="AB88" s="21">
        <f t="shared" ca="1" si="105"/>
        <v>1.0461059586342853E-2</v>
      </c>
      <c r="AC88" s="21">
        <f t="shared" ca="1" si="105"/>
        <v>1.1423304217394006E-2</v>
      </c>
      <c r="AD88" s="21">
        <f t="shared" ca="1" si="105"/>
        <v>1.2609155011867504E-2</v>
      </c>
      <c r="AE88" s="21">
        <f t="shared" ca="1" si="105"/>
        <v>1.2803048462892028E-2</v>
      </c>
      <c r="AF88" s="21">
        <f t="shared" ca="1" si="105"/>
        <v>1.2507847235396921E-2</v>
      </c>
      <c r="AG88" s="21">
        <f t="shared" ca="1" si="105"/>
        <v>1.1822351625660896E-2</v>
      </c>
      <c r="AH88" s="21">
        <f t="shared" ca="1" si="105"/>
        <v>1.1084389599437711E-2</v>
      </c>
      <c r="AI88" s="21">
        <f t="shared" ca="1" si="105"/>
        <v>1.1129717394092818E-2</v>
      </c>
      <c r="AJ88" s="21">
        <f t="shared" ca="1" si="105"/>
        <v>1.0338426345584951E-2</v>
      </c>
      <c r="AK88" s="21">
        <f t="shared" ca="1" si="105"/>
        <v>8.4737441271815466E-3</v>
      </c>
      <c r="AL88" s="21">
        <f t="shared" ca="1" si="105"/>
        <v>7.130663372962376E-3</v>
      </c>
      <c r="AM88" s="21">
        <f t="shared" ca="1" si="105"/>
        <v>6.9971635051256972E-3</v>
      </c>
      <c r="AN88" s="21">
        <f t="shared" ca="1" si="105"/>
        <v>8.3093141073145617E-3</v>
      </c>
      <c r="AO88" s="21">
        <f t="shared" ca="1" si="105"/>
        <v>9.3882618672617869E-3</v>
      </c>
      <c r="AP88" s="21">
        <f t="shared" ca="1" si="105"/>
        <v>9.4769636635889699E-3</v>
      </c>
      <c r="AQ88" s="21">
        <f t="shared" ca="1" si="105"/>
        <v>9.3666677363457122E-3</v>
      </c>
      <c r="AR88" s="21">
        <f t="shared" ca="1" si="105"/>
        <v>9.6968761134478242E-3</v>
      </c>
      <c r="AS88" s="21">
        <f t="shared" ca="1" si="105"/>
        <v>9.5083762577144702E-3</v>
      </c>
      <c r="AT88" s="21">
        <f t="shared" ca="1" si="105"/>
        <v>9.4158295914684477E-3</v>
      </c>
      <c r="AU88" s="21">
        <f t="shared" ca="1" si="105"/>
        <v>8.3519149111679347E-3</v>
      </c>
      <c r="AV88" s="21">
        <f t="shared" ca="1" si="105"/>
        <v>7.8772433735305389E-3</v>
      </c>
      <c r="AW88" s="21">
        <f t="shared" ca="1" si="105"/>
        <v>7.8155702548726707E-3</v>
      </c>
      <c r="AX88" s="21">
        <f t="shared" ca="1" si="105"/>
        <v>9.3517213033032735E-3</v>
      </c>
      <c r="AY88" s="21">
        <f t="shared" ca="1" si="105"/>
        <v>1.1984797534507544E-2</v>
      </c>
      <c r="AZ88" s="21">
        <f t="shared" ca="1" si="105"/>
        <v>1.558136368850907E-2</v>
      </c>
      <c r="BA88" s="21">
        <f t="shared" ca="1" si="105"/>
        <v>1.8959880399299384E-2</v>
      </c>
      <c r="BB88" s="21">
        <f t="shared" ca="1" si="105"/>
        <v>2.2422791235132529E-2</v>
      </c>
      <c r="BC88" s="21">
        <f t="shared" ca="1" si="105"/>
        <v>2.5694088072525066E-2</v>
      </c>
      <c r="BD88" s="21">
        <f t="shared" ca="1" si="105"/>
        <v>2.8772245135750153E-2</v>
      </c>
      <c r="BE88" s="21">
        <f t="shared" ca="1" si="105"/>
        <v>3.0040305511899755E-2</v>
      </c>
      <c r="BF88" s="21">
        <f t="shared" ca="1" si="105"/>
        <v>3.1682833305875679E-2</v>
      </c>
      <c r="BG88" s="21">
        <f t="shared" ca="1" si="105"/>
        <v>3.5204583000151744E-2</v>
      </c>
      <c r="BH88" s="21">
        <f t="shared" ca="1" si="105"/>
        <v>3.6837429345978764E-2</v>
      </c>
      <c r="BI88" s="21">
        <f t="shared" ca="1" si="105"/>
        <v>3.5512246911048276E-2</v>
      </c>
      <c r="BJ88" s="21">
        <f t="shared" ca="1" si="105"/>
        <v>3.2759923316203053E-2</v>
      </c>
      <c r="BK88" s="21">
        <f t="shared" ca="1" si="105"/>
        <v>2.9074054780351331E-2</v>
      </c>
      <c r="BL88" s="21">
        <f t="shared" ca="1" si="105"/>
        <v>2.7168337598992006E-2</v>
      </c>
      <c r="BM88" s="21">
        <f t="shared" ca="1" si="105"/>
        <v>2.6656590852466393E-2</v>
      </c>
      <c r="BN88" s="21">
        <f t="shared" ca="1" si="105"/>
        <v>2.5417842735630393E-2</v>
      </c>
      <c r="BO88" s="21">
        <f t="shared" ca="1" si="105"/>
        <v>2.370005345586175E-2</v>
      </c>
      <c r="BP88" s="21">
        <f t="shared" ca="1" si="105"/>
        <v>2.2921119208026756E-2</v>
      </c>
      <c r="BQ88" s="21">
        <f t="shared" ca="1" si="105"/>
        <v>2.3457184453262159E-2</v>
      </c>
      <c r="BR88" s="21">
        <f t="shared" ca="1" si="105"/>
        <v>2.4771116031022354E-2</v>
      </c>
      <c r="BS88" s="21">
        <f t="shared" ca="1" si="105"/>
        <v>2.3592412988770201E-2</v>
      </c>
      <c r="BT88" s="21">
        <f t="shared" ca="1" si="105"/>
        <v>2.0558063126751271E-2</v>
      </c>
      <c r="BU88" s="21">
        <f t="shared" ca="1" si="105"/>
        <v>1.6650121588827962E-2</v>
      </c>
      <c r="BV88" s="21">
        <f t="shared" ca="1" si="105"/>
        <v>1.41070860605259E-2</v>
      </c>
      <c r="BW88" s="21">
        <f t="shared" ca="1" si="105"/>
        <v>1.3747622523807568E-2</v>
      </c>
      <c r="BX88" s="21">
        <f t="shared" ca="1" si="105"/>
        <v>1.2020949866296947E-2</v>
      </c>
      <c r="BY88" s="21">
        <f t="shared" ca="1" si="105"/>
        <v>1.029732219651772E-2</v>
      </c>
      <c r="BZ88" s="21">
        <f t="shared" ca="1" si="105"/>
        <v>1.0949063058870508E-2</v>
      </c>
      <c r="CA88" s="21">
        <f t="shared" ca="1" si="105"/>
        <v>9.8379043719431791E-3</v>
      </c>
      <c r="CB88" s="21">
        <f t="shared" ca="1" si="105"/>
        <v>8.7788809703185956E-3</v>
      </c>
      <c r="CC88" s="21">
        <f t="shared" ca="1" si="105"/>
        <v>8.6296142025089513E-3</v>
      </c>
      <c r="CD88" s="21">
        <f t="shared" ca="1" si="105"/>
        <v>8.6698929033432182E-3</v>
      </c>
      <c r="CE88" s="21">
        <f t="shared" ca="1" si="105"/>
        <v>8.9453640052095107E-3</v>
      </c>
      <c r="CF88" s="21">
        <f t="shared" ca="1" si="105"/>
        <v>8.0821677369875833E-3</v>
      </c>
      <c r="CG88" s="21">
        <f t="shared" ca="1" si="105"/>
        <v>6.7448139449697592E-3</v>
      </c>
      <c r="CH88" s="21">
        <f t="shared" ca="1" si="105"/>
        <v>6.9571247214646591E-3</v>
      </c>
      <c r="CI88" s="21">
        <f t="shared" ca="1" si="105"/>
        <v>7.8557882433319352E-3</v>
      </c>
      <c r="CJ88" s="21">
        <f t="shared" ca="1" si="105"/>
        <v>8.5155134349646742E-3</v>
      </c>
      <c r="CK88" s="21">
        <f t="shared" ca="1" si="105"/>
        <v>8.6675221225063978E-3</v>
      </c>
      <c r="CL88" s="21">
        <f t="shared" ca="1" si="105"/>
        <v>8.3067064884531586E-3</v>
      </c>
      <c r="CM88" s="21">
        <f t="shared" ref="CM88:EX88" ca="1" si="106">IF(CM8="","",AVERAGE(CF62:CL62)+CONFIDENCE(0.05,STDEV(BN62:CL62),COUNT(BN62:CL62)))</f>
        <v>8.7169698593363657E-3</v>
      </c>
      <c r="CN88" s="21">
        <f t="shared" ca="1" si="106"/>
        <v>9.9837291748347302E-3</v>
      </c>
      <c r="CO88" s="21">
        <f t="shared" ca="1" si="106"/>
        <v>1.0057733371434834E-2</v>
      </c>
      <c r="CP88" s="21">
        <f t="shared" ca="1" si="106"/>
        <v>9.9202875668925258E-3</v>
      </c>
      <c r="CQ88" s="21">
        <f t="shared" ca="1" si="106"/>
        <v>1.0210335920025512E-2</v>
      </c>
      <c r="CR88" s="21">
        <f t="shared" ca="1" si="106"/>
        <v>1.0471651966783676E-2</v>
      </c>
      <c r="CS88" s="21">
        <f t="shared" ca="1" si="106"/>
        <v>1.0098479616385818E-2</v>
      </c>
      <c r="CT88" s="21">
        <f t="shared" ca="1" si="106"/>
        <v>8.4543903555968237E-3</v>
      </c>
      <c r="CU88" s="21">
        <f t="shared" ca="1" si="106"/>
        <v>8.8586273575740702E-3</v>
      </c>
      <c r="CV88" s="21">
        <f t="shared" ca="1" si="106"/>
        <v>9.0701787819640022E-3</v>
      </c>
      <c r="CW88" s="21">
        <f t="shared" ca="1" si="106"/>
        <v>8.4171769105398867E-3</v>
      </c>
      <c r="CX88" s="21">
        <f t="shared" ca="1" si="106"/>
        <v>6.7780637601368684E-3</v>
      </c>
      <c r="CY88" s="21">
        <f t="shared" ca="1" si="106"/>
        <v>5.7365358940741499E-3</v>
      </c>
      <c r="CZ88" s="21">
        <f t="shared" ca="1" si="106"/>
        <v>6.1810589431677007E-3</v>
      </c>
      <c r="DA88" s="21">
        <f t="shared" ca="1" si="106"/>
        <v>9.1049263297065947E-3</v>
      </c>
      <c r="DB88" s="21">
        <f t="shared" ca="1" si="106"/>
        <v>7.8763131341226568E-3</v>
      </c>
      <c r="DC88" s="21">
        <f t="shared" ca="1" si="106"/>
        <v>9.1854125616150206E-3</v>
      </c>
      <c r="DD88" s="21">
        <f t="shared" ca="1" si="106"/>
        <v>9.9884996979459195E-3</v>
      </c>
      <c r="DE88" s="21">
        <f t="shared" ca="1" si="106"/>
        <v>1.0657557977886702E-2</v>
      </c>
      <c r="DF88" s="21">
        <f t="shared" ca="1" si="106"/>
        <v>1.3710239878683939E-2</v>
      </c>
      <c r="DG88" s="21">
        <f t="shared" ca="1" si="106"/>
        <v>1.5184780674326692E-2</v>
      </c>
      <c r="DH88" s="21">
        <f t="shared" ca="1" si="106"/>
        <v>1.3448163897984408E-2</v>
      </c>
      <c r="DI88" s="21">
        <f t="shared" ca="1" si="106"/>
        <v>1.4013845649830698E-2</v>
      </c>
      <c r="DJ88" s="21">
        <f t="shared" ca="1" si="106"/>
        <v>1.3570321020558926E-2</v>
      </c>
      <c r="DK88" s="21">
        <f t="shared" ca="1" si="106"/>
        <v>1.4388557908709527E-2</v>
      </c>
      <c r="DL88" s="21">
        <f t="shared" ca="1" si="106"/>
        <v>1.5267975986729892E-2</v>
      </c>
      <c r="DM88" s="21">
        <f t="shared" ca="1" si="106"/>
        <v>1.5640613629899661E-2</v>
      </c>
      <c r="DN88" s="21">
        <f t="shared" ca="1" si="106"/>
        <v>1.7786425862258804E-2</v>
      </c>
      <c r="DO88" s="21">
        <f t="shared" ca="1" si="106"/>
        <v>1.9876127584945093E-2</v>
      </c>
      <c r="DP88" s="21">
        <f t="shared" ca="1" si="106"/>
        <v>2.106836011782013E-2</v>
      </c>
      <c r="DQ88" s="21">
        <f t="shared" ca="1" si="106"/>
        <v>2.1009194296588957E-2</v>
      </c>
      <c r="DR88" s="21">
        <f t="shared" ca="1" si="106"/>
        <v>2.0678874139780059E-2</v>
      </c>
      <c r="DS88" s="21">
        <f t="shared" ca="1" si="106"/>
        <v>1.9361790424995137E-2</v>
      </c>
      <c r="DT88" s="21">
        <f t="shared" ca="1" si="106"/>
        <v>1.6657313387059641E-2</v>
      </c>
      <c r="DU88" s="21">
        <f t="shared" ca="1" si="106"/>
        <v>1.334378140155898E-2</v>
      </c>
      <c r="DV88" s="21">
        <f t="shared" ca="1" si="106"/>
        <v>1.1083143586823212E-2</v>
      </c>
      <c r="DW88" s="21">
        <f t="shared" ca="1" si="106"/>
        <v>8.9569505528871683E-3</v>
      </c>
      <c r="DX88" s="21">
        <f t="shared" ca="1" si="106"/>
        <v>7.8345248268027849E-3</v>
      </c>
      <c r="DY88" s="21">
        <f t="shared" ca="1" si="106"/>
        <v>7.4053972067810933E-3</v>
      </c>
      <c r="DZ88" s="21">
        <f t="shared" ca="1" si="106"/>
        <v>8.0468551772816931E-3</v>
      </c>
      <c r="EA88" s="21">
        <f t="shared" ca="1" si="106"/>
        <v>9.235383180094682E-3</v>
      </c>
      <c r="EB88" s="21">
        <f t="shared" ca="1" si="106"/>
        <v>1.0206900451838499E-2</v>
      </c>
      <c r="EC88" s="21">
        <f t="shared" ca="1" si="106"/>
        <v>1.2063390343149868E-2</v>
      </c>
      <c r="ED88" s="21">
        <f t="shared" ca="1" si="106"/>
        <v>1.2489007651390271E-2</v>
      </c>
      <c r="EE88" s="21">
        <f t="shared" ca="1" si="106"/>
        <v>1.2495522518493745E-2</v>
      </c>
      <c r="EF88" s="21">
        <f t="shared" ca="1" si="106"/>
        <v>1.2608887560623309E-2</v>
      </c>
      <c r="EG88" s="21">
        <f t="shared" ca="1" si="106"/>
        <v>1.1995093955833546E-2</v>
      </c>
      <c r="EH88" s="21">
        <f t="shared" ca="1" si="106"/>
        <v>1.2008700416735468E-2</v>
      </c>
      <c r="EI88" s="21">
        <f t="shared" ca="1" si="106"/>
        <v>1.2647322193378708E-2</v>
      </c>
      <c r="EJ88" s="21">
        <f t="shared" ca="1" si="106"/>
        <v>1.1934238398432011E-2</v>
      </c>
      <c r="EK88" s="21">
        <f t="shared" ca="1" si="106"/>
        <v>1.1405757687391969E-2</v>
      </c>
      <c r="EL88" s="21">
        <f t="shared" ca="1" si="106"/>
        <v>1.130843857134497E-2</v>
      </c>
      <c r="EM88" s="21">
        <f t="shared" ca="1" si="106"/>
        <v>1.079362991632991E-2</v>
      </c>
      <c r="EN88" s="21">
        <f t="shared" ca="1" si="106"/>
        <v>1.073619827493788E-2</v>
      </c>
      <c r="EO88" s="21">
        <f t="shared" ca="1" si="106"/>
        <v>9.1187932185832835E-3</v>
      </c>
      <c r="EP88" s="21">
        <f t="shared" ca="1" si="106"/>
        <v>7.0312103079338481E-3</v>
      </c>
      <c r="EQ88" s="21">
        <f t="shared" ca="1" si="106"/>
        <v>5.2941821102733492E-3</v>
      </c>
      <c r="ER88" s="21">
        <f t="shared" ca="1" si="106"/>
        <v>5.6017825827920139E-3</v>
      </c>
      <c r="ES88" s="21">
        <f t="shared" ca="1" si="106"/>
        <v>6.1934911755626258E-3</v>
      </c>
      <c r="ET88" s="21">
        <f t="shared" ca="1" si="106"/>
        <v>5.2677968288121517E-3</v>
      </c>
      <c r="EU88" s="21">
        <f t="shared" ca="1" si="106"/>
        <v>5.6559133553026816E-3</v>
      </c>
      <c r="EV88" s="21">
        <f t="shared" ca="1" si="106"/>
        <v>5.7600581151460691E-3</v>
      </c>
      <c r="EW88" s="21">
        <f t="shared" ca="1" si="106"/>
        <v>6.1118673462098923E-3</v>
      </c>
      <c r="EX88" s="21">
        <f t="shared" ca="1" si="106"/>
        <v>6.1284668895822021E-3</v>
      </c>
      <c r="EY88" s="21">
        <f t="shared" ref="EY88:HJ88" ca="1" si="107">IF(EY8="","",AVERAGE(ER62:EX62)+CONFIDENCE(0.05,STDEV(DZ62:EX62),COUNT(DZ62:EX62)))</f>
        <v>6.6099978790308579E-3</v>
      </c>
      <c r="EZ88" s="21">
        <f t="shared" ca="1" si="107"/>
        <v>6.9008602338994553E-3</v>
      </c>
      <c r="FA88" s="21">
        <f t="shared" ca="1" si="107"/>
        <v>6.5301900952667111E-3</v>
      </c>
      <c r="FB88" s="21">
        <f t="shared" ca="1" si="107"/>
        <v>6.898580237879896E-3</v>
      </c>
      <c r="FC88" s="21">
        <f t="shared" ca="1" si="107"/>
        <v>7.7869721592172701E-3</v>
      </c>
      <c r="FD88" s="21">
        <f t="shared" ca="1" si="107"/>
        <v>7.980491201809747E-3</v>
      </c>
      <c r="FE88" s="21">
        <f t="shared" ca="1" si="107"/>
        <v>8.0170117118769646E-3</v>
      </c>
      <c r="FF88" s="21">
        <f t="shared" ca="1" si="107"/>
        <v>7.2954893961991651E-3</v>
      </c>
      <c r="FG88" s="21">
        <f t="shared" ca="1" si="107"/>
        <v>7.4269701373495638E-3</v>
      </c>
      <c r="FH88" s="21">
        <f t="shared" ca="1" si="107"/>
        <v>8.2400608368487886E-3</v>
      </c>
      <c r="FI88" s="21">
        <f t="shared" ca="1" si="107"/>
        <v>7.1434385231101301E-3</v>
      </c>
      <c r="FJ88" s="21">
        <f t="shared" ca="1" si="107"/>
        <v>6.1378731261245026E-3</v>
      </c>
      <c r="FK88" s="21">
        <f t="shared" ca="1" si="107"/>
        <v>6.6395660192977782E-3</v>
      </c>
      <c r="FL88" s="21">
        <f t="shared" ca="1" si="107"/>
        <v>6.7681941934086267E-3</v>
      </c>
      <c r="FM88" s="21">
        <f t="shared" ca="1" si="107"/>
        <v>6.5820814861540546E-3</v>
      </c>
      <c r="FN88" s="21">
        <f t="shared" ca="1" si="107"/>
        <v>5.2758853825585475E-3</v>
      </c>
      <c r="FO88" s="21">
        <f t="shared" ca="1" si="107"/>
        <v>4.8193386654228109E-3</v>
      </c>
      <c r="FP88" s="21">
        <f t="shared" ca="1" si="107"/>
        <v>4.3867165935263268E-3</v>
      </c>
      <c r="FQ88" s="21">
        <f t="shared" ca="1" si="107"/>
        <v>4.5608953941470029E-3</v>
      </c>
      <c r="FR88" s="21">
        <f t="shared" ca="1" si="107"/>
        <v>3.4024079544935065E-3</v>
      </c>
      <c r="FS88" s="21">
        <f t="shared" ca="1" si="107"/>
        <v>3.4764367384500384E-3</v>
      </c>
      <c r="FT88" s="21">
        <f t="shared" ca="1" si="107"/>
        <v>4.0856131474152077E-3</v>
      </c>
      <c r="FU88" s="21">
        <f t="shared" ca="1" si="107"/>
        <v>4.528076546115067E-3</v>
      </c>
      <c r="FV88" s="21">
        <f t="shared" ca="1" si="107"/>
        <v>4.2622169581180381E-3</v>
      </c>
      <c r="FW88" s="21">
        <f t="shared" ca="1" si="107"/>
        <v>5.2304144536380976E-3</v>
      </c>
      <c r="FX88" s="21">
        <f t="shared" ca="1" si="107"/>
        <v>5.5823077681106904E-3</v>
      </c>
      <c r="FY88" s="21">
        <f t="shared" ca="1" si="107"/>
        <v>6.190766737952518E-3</v>
      </c>
      <c r="FZ88" s="21">
        <f t="shared" ca="1" si="107"/>
        <v>6.3406227144861497E-3</v>
      </c>
      <c r="GA88" s="21">
        <f t="shared" ca="1" si="107"/>
        <v>5.8198542343901351E-3</v>
      </c>
      <c r="GB88" s="21">
        <f t="shared" ca="1" si="107"/>
        <v>5.5143482467561308E-3</v>
      </c>
      <c r="GC88" s="21">
        <f t="shared" ca="1" si="107"/>
        <v>5.2619806725348172E-3</v>
      </c>
      <c r="GD88" s="21">
        <f t="shared" ca="1" si="107"/>
        <v>4.9281511527959976E-3</v>
      </c>
      <c r="GE88" s="21">
        <f t="shared" ca="1" si="107"/>
        <v>5.0211885569696095E-3</v>
      </c>
      <c r="GF88" s="21">
        <f t="shared" ca="1" si="107"/>
        <v>4.9971928431978259E-3</v>
      </c>
      <c r="GG88" s="21">
        <f t="shared" ca="1" si="107"/>
        <v>5.0348289832739196E-3</v>
      </c>
      <c r="GH88" s="21">
        <f t="shared" ca="1" si="107"/>
        <v>5.0323674363955476E-3</v>
      </c>
      <c r="GI88" s="21">
        <f t="shared" ca="1" si="107"/>
        <v>5.0694902539917801E-3</v>
      </c>
      <c r="GJ88" s="21">
        <f t="shared" ca="1" si="107"/>
        <v>7.8670742044592706E-3</v>
      </c>
      <c r="GK88" s="21">
        <f t="shared" ca="1" si="107"/>
        <v>1.9289072611597697E-2</v>
      </c>
      <c r="GL88" s="21">
        <f t="shared" ca="1" si="107"/>
        <v>2.9321681063358751E-2</v>
      </c>
      <c r="GM88" s="21">
        <f t="shared" ca="1" si="107"/>
        <v>3.8496357183366685E-2</v>
      </c>
      <c r="GN88" s="21">
        <f t="shared" ca="1" si="107"/>
        <v>4.5119488021491697E-2</v>
      </c>
      <c r="GO88" s="21">
        <f t="shared" ca="1" si="107"/>
        <v>5.175066926337632E-2</v>
      </c>
      <c r="GP88" s="21">
        <f t="shared" ca="1" si="107"/>
        <v>5.3141331443034519E-2</v>
      </c>
      <c r="GQ88" s="21">
        <f t="shared" ca="1" si="107"/>
        <v>5.7790231224461169E-2</v>
      </c>
      <c r="GR88" s="21">
        <f t="shared" ca="1" si="107"/>
        <v>5.717927922092024E-2</v>
      </c>
      <c r="GS88" s="21">
        <f t="shared" ca="1" si="107"/>
        <v>5.4446387802802754E-2</v>
      </c>
      <c r="GT88" s="21">
        <f t="shared" ca="1" si="107"/>
        <v>4.9339602182727461E-2</v>
      </c>
      <c r="GU88" s="21">
        <f t="shared" ca="1" si="107"/>
        <v>4.8223383900893105E-2</v>
      </c>
      <c r="GV88" s="21">
        <f t="shared" ca="1" si="107"/>
        <v>4.6979537395475432E-2</v>
      </c>
      <c r="GW88" s="21">
        <f t="shared" ca="1" si="107"/>
        <v>5.3680248102944986E-2</v>
      </c>
      <c r="GX88" s="21">
        <f t="shared" ca="1" si="107"/>
        <v>5.2477817658566205E-2</v>
      </c>
      <c r="GY88" s="21">
        <f t="shared" ca="1" si="107"/>
        <v>4.6262932774179193E-2</v>
      </c>
      <c r="GZ88" s="21">
        <f t="shared" ca="1" si="107"/>
        <v>3.7671332814945654E-2</v>
      </c>
      <c r="HA88" s="21" t="str">
        <f t="shared" si="107"/>
        <v/>
      </c>
      <c r="HB88" s="21" t="str">
        <f t="shared" si="107"/>
        <v/>
      </c>
      <c r="HC88" s="21" t="str">
        <f t="shared" si="107"/>
        <v/>
      </c>
      <c r="HD88" s="21" t="str">
        <f t="shared" si="107"/>
        <v/>
      </c>
      <c r="HE88" s="21" t="str">
        <f t="shared" si="107"/>
        <v/>
      </c>
      <c r="HF88" s="21" t="str">
        <f t="shared" si="107"/>
        <v/>
      </c>
      <c r="HG88" s="21" t="str">
        <f t="shared" si="107"/>
        <v/>
      </c>
      <c r="HH88" s="21" t="str">
        <f t="shared" si="107"/>
        <v/>
      </c>
      <c r="HI88" s="21" t="str">
        <f t="shared" si="107"/>
        <v/>
      </c>
      <c r="HJ88" s="21" t="str">
        <f t="shared" si="107"/>
        <v/>
      </c>
      <c r="HK88" s="21" t="str">
        <f t="shared" ref="HK88:JH88" si="108">IF(HK8="","",AVERAGE(HD62:HJ62)+CONFIDENCE(0.05,STDEV(GL62:HJ62),COUNT(GL62:HJ62)))</f>
        <v/>
      </c>
      <c r="HL88" s="21" t="str">
        <f t="shared" si="108"/>
        <v/>
      </c>
      <c r="HM88" s="21" t="str">
        <f t="shared" si="108"/>
        <v/>
      </c>
      <c r="HN88" s="21" t="str">
        <f t="shared" si="108"/>
        <v/>
      </c>
      <c r="HO88" s="21" t="str">
        <f t="shared" si="108"/>
        <v/>
      </c>
      <c r="HP88" s="21" t="str">
        <f t="shared" si="108"/>
        <v/>
      </c>
      <c r="HQ88" s="21" t="str">
        <f t="shared" si="108"/>
        <v/>
      </c>
      <c r="HR88" s="21" t="str">
        <f t="shared" si="108"/>
        <v/>
      </c>
      <c r="HS88" s="21" t="str">
        <f t="shared" si="108"/>
        <v/>
      </c>
      <c r="HT88" s="21" t="str">
        <f t="shared" si="108"/>
        <v/>
      </c>
      <c r="HU88" s="21" t="str">
        <f t="shared" si="108"/>
        <v/>
      </c>
      <c r="HV88" s="21" t="str">
        <f t="shared" si="108"/>
        <v/>
      </c>
      <c r="HW88" s="21" t="str">
        <f t="shared" si="108"/>
        <v/>
      </c>
      <c r="HX88" s="21" t="str">
        <f t="shared" si="108"/>
        <v/>
      </c>
      <c r="HY88" s="21" t="str">
        <f t="shared" si="108"/>
        <v/>
      </c>
      <c r="HZ88" s="21" t="str">
        <f t="shared" si="108"/>
        <v/>
      </c>
      <c r="IA88" s="21" t="str">
        <f t="shared" si="108"/>
        <v/>
      </c>
      <c r="IB88" s="21" t="str">
        <f t="shared" si="108"/>
        <v/>
      </c>
      <c r="IC88" s="21" t="str">
        <f t="shared" si="108"/>
        <v/>
      </c>
      <c r="ID88" s="21" t="str">
        <f t="shared" si="108"/>
        <v/>
      </c>
      <c r="IE88" s="21" t="str">
        <f t="shared" si="108"/>
        <v/>
      </c>
      <c r="IF88" s="21" t="str">
        <f t="shared" si="108"/>
        <v/>
      </c>
      <c r="IG88" s="21" t="str">
        <f t="shared" si="108"/>
        <v/>
      </c>
      <c r="IH88" s="21" t="str">
        <f t="shared" si="108"/>
        <v/>
      </c>
      <c r="II88" s="21" t="str">
        <f t="shared" si="108"/>
        <v/>
      </c>
      <c r="IJ88" s="21" t="str">
        <f t="shared" si="108"/>
        <v/>
      </c>
      <c r="IK88" s="21" t="str">
        <f t="shared" si="108"/>
        <v/>
      </c>
      <c r="IL88" s="21" t="str">
        <f t="shared" si="108"/>
        <v/>
      </c>
      <c r="IM88" s="21" t="str">
        <f t="shared" si="108"/>
        <v/>
      </c>
      <c r="IN88" s="21" t="str">
        <f t="shared" si="108"/>
        <v/>
      </c>
      <c r="IO88" s="21" t="str">
        <f t="shared" si="108"/>
        <v/>
      </c>
      <c r="IP88" s="21" t="str">
        <f t="shared" si="108"/>
        <v/>
      </c>
      <c r="IQ88" s="21" t="str">
        <f t="shared" si="108"/>
        <v/>
      </c>
      <c r="IR88" s="21" t="str">
        <f t="shared" si="108"/>
        <v/>
      </c>
      <c r="IS88" s="21" t="str">
        <f t="shared" si="108"/>
        <v/>
      </c>
      <c r="IT88" s="21" t="str">
        <f t="shared" si="108"/>
        <v/>
      </c>
      <c r="IU88" s="21" t="str">
        <f t="shared" si="108"/>
        <v/>
      </c>
      <c r="IV88" s="21" t="str">
        <f t="shared" si="108"/>
        <v/>
      </c>
      <c r="IW88" s="21" t="str">
        <f t="shared" si="108"/>
        <v/>
      </c>
      <c r="IX88" s="21" t="str">
        <f t="shared" si="108"/>
        <v/>
      </c>
      <c r="IY88" s="21" t="str">
        <f t="shared" si="108"/>
        <v/>
      </c>
      <c r="IZ88" s="21" t="str">
        <f t="shared" si="108"/>
        <v/>
      </c>
      <c r="JA88" s="21" t="str">
        <f t="shared" si="108"/>
        <v/>
      </c>
      <c r="JB88" s="21" t="str">
        <f t="shared" si="108"/>
        <v/>
      </c>
      <c r="JC88" s="21" t="str">
        <f t="shared" si="108"/>
        <v/>
      </c>
      <c r="JD88" s="21" t="str">
        <f t="shared" si="108"/>
        <v/>
      </c>
      <c r="JE88" s="21" t="str">
        <f t="shared" si="108"/>
        <v/>
      </c>
      <c r="JF88" s="21" t="str">
        <f t="shared" si="108"/>
        <v/>
      </c>
      <c r="JG88" s="21" t="str">
        <f t="shared" si="108"/>
        <v/>
      </c>
      <c r="JH88" s="21" t="str">
        <f t="shared" si="108"/>
        <v/>
      </c>
    </row>
    <row r="89" spans="1:336" x14ac:dyDescent="0.25"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>
        <f t="shared" ref="AA89:CL89" ca="1" si="109">IF(AA9="","",AVERAGE(S63:Z63)+CONFIDENCE(0.05,STDEV(B63:Z63),COUNT(B63:Z63)))</f>
        <v>1.358946771119544E-2</v>
      </c>
      <c r="AB89" s="21">
        <f t="shared" ca="1" si="109"/>
        <v>1.2960175893894216E-2</v>
      </c>
      <c r="AC89" s="21">
        <f t="shared" ca="1" si="109"/>
        <v>1.2570963806471127E-2</v>
      </c>
      <c r="AD89" s="21">
        <f t="shared" ca="1" si="109"/>
        <v>1.4219013226927832E-2</v>
      </c>
      <c r="AE89" s="21">
        <f t="shared" ca="1" si="109"/>
        <v>1.4331215944363724E-2</v>
      </c>
      <c r="AF89" s="21">
        <f t="shared" ca="1" si="109"/>
        <v>1.35968347931094E-2</v>
      </c>
      <c r="AG89" s="21">
        <f t="shared" ca="1" si="109"/>
        <v>1.256690864826035E-2</v>
      </c>
      <c r="AH89" s="21">
        <f t="shared" ca="1" si="109"/>
        <v>1.1920962474585947E-2</v>
      </c>
      <c r="AI89" s="21">
        <f t="shared" ca="1" si="109"/>
        <v>1.2089951776389099E-2</v>
      </c>
      <c r="AJ89" s="21">
        <f t="shared" ca="1" si="109"/>
        <v>1.0631025837157113E-2</v>
      </c>
      <c r="AK89" s="21">
        <f t="shared" ca="1" si="109"/>
        <v>9.618912190716828E-3</v>
      </c>
      <c r="AL89" s="21">
        <f t="shared" ca="1" si="109"/>
        <v>8.4037342081181923E-3</v>
      </c>
      <c r="AM89" s="21">
        <f t="shared" ca="1" si="109"/>
        <v>8.0670779452794369E-3</v>
      </c>
      <c r="AN89" s="21">
        <f t="shared" ca="1" si="109"/>
        <v>9.0894184720054921E-3</v>
      </c>
      <c r="AO89" s="21">
        <f t="shared" ca="1" si="109"/>
        <v>1.0179229069946087E-2</v>
      </c>
      <c r="AP89" s="21">
        <f t="shared" ca="1" si="109"/>
        <v>1.1362078099802586E-2</v>
      </c>
      <c r="AQ89" s="21">
        <f t="shared" ca="1" si="109"/>
        <v>1.0256565839676653E-2</v>
      </c>
      <c r="AR89" s="21">
        <f t="shared" ca="1" si="109"/>
        <v>1.0488911037439704E-2</v>
      </c>
      <c r="AS89" s="21">
        <f t="shared" ca="1" si="109"/>
        <v>1.0840768281679866E-2</v>
      </c>
      <c r="AT89" s="21">
        <f t="shared" ca="1" si="109"/>
        <v>1.1002907676671673E-2</v>
      </c>
      <c r="AU89" s="21">
        <f t="shared" ca="1" si="109"/>
        <v>1.0603080038869809E-2</v>
      </c>
      <c r="AV89" s="21">
        <f t="shared" ca="1" si="109"/>
        <v>1.0155778486975452E-2</v>
      </c>
      <c r="AW89" s="21">
        <f t="shared" ca="1" si="109"/>
        <v>1.116673488344385E-2</v>
      </c>
      <c r="AX89" s="21">
        <f t="shared" ca="1" si="109"/>
        <v>1.2761757876903155E-2</v>
      </c>
      <c r="AY89" s="21">
        <f t="shared" ca="1" si="109"/>
        <v>1.5960187715669587E-2</v>
      </c>
      <c r="AZ89" s="21">
        <f t="shared" ca="1" si="109"/>
        <v>1.883175865856573E-2</v>
      </c>
      <c r="BA89" s="21">
        <f t="shared" ca="1" si="109"/>
        <v>2.261961430037351E-2</v>
      </c>
      <c r="BB89" s="21">
        <f t="shared" ca="1" si="109"/>
        <v>2.6493170471643339E-2</v>
      </c>
      <c r="BC89" s="21">
        <f t="shared" ca="1" si="109"/>
        <v>3.1458432146327812E-2</v>
      </c>
      <c r="BD89" s="21">
        <f t="shared" ca="1" si="109"/>
        <v>3.5705831721431172E-2</v>
      </c>
      <c r="BE89" s="21">
        <f t="shared" ca="1" si="109"/>
        <v>3.7473715316306638E-2</v>
      </c>
      <c r="BF89" s="21">
        <f t="shared" ca="1" si="109"/>
        <v>3.9915065998125332E-2</v>
      </c>
      <c r="BG89" s="21">
        <f t="shared" ca="1" si="109"/>
        <v>4.3261820054650145E-2</v>
      </c>
      <c r="BH89" s="21">
        <f t="shared" ca="1" si="109"/>
        <v>4.4726900629219489E-2</v>
      </c>
      <c r="BI89" s="21">
        <f t="shared" ca="1" si="109"/>
        <v>4.2291932022151098E-2</v>
      </c>
      <c r="BJ89" s="21">
        <f t="shared" ca="1" si="109"/>
        <v>3.9702486832704977E-2</v>
      </c>
      <c r="BK89" s="21">
        <f t="shared" ca="1" si="109"/>
        <v>3.5894560320128249E-2</v>
      </c>
      <c r="BL89" s="21">
        <f t="shared" ca="1" si="109"/>
        <v>3.3200824669306302E-2</v>
      </c>
      <c r="BM89" s="21">
        <f t="shared" ca="1" si="109"/>
        <v>3.372486803438763E-2</v>
      </c>
      <c r="BN89" s="21">
        <f t="shared" ca="1" si="109"/>
        <v>3.3863687757712153E-2</v>
      </c>
      <c r="BO89" s="21">
        <f t="shared" ca="1" si="109"/>
        <v>3.0686139349458609E-2</v>
      </c>
      <c r="BP89" s="21">
        <f t="shared" ca="1" si="109"/>
        <v>2.772509698467843E-2</v>
      </c>
      <c r="BQ89" s="21">
        <f t="shared" ca="1" si="109"/>
        <v>2.7983627851808249E-2</v>
      </c>
      <c r="BR89" s="21">
        <f t="shared" ca="1" si="109"/>
        <v>2.8027552415831457E-2</v>
      </c>
      <c r="BS89" s="21">
        <f t="shared" ca="1" si="109"/>
        <v>2.7209564307566547E-2</v>
      </c>
      <c r="BT89" s="21">
        <f t="shared" ca="1" si="109"/>
        <v>2.595200085199164E-2</v>
      </c>
      <c r="BU89" s="21">
        <f t="shared" ca="1" si="109"/>
        <v>2.2742658524393184E-2</v>
      </c>
      <c r="BV89" s="21">
        <f t="shared" ca="1" si="109"/>
        <v>1.826973100802512E-2</v>
      </c>
      <c r="BW89" s="21">
        <f t="shared" ca="1" si="109"/>
        <v>1.6219347096041791E-2</v>
      </c>
      <c r="BX89" s="21">
        <f t="shared" ca="1" si="109"/>
        <v>1.4823355399724032E-2</v>
      </c>
      <c r="BY89" s="21">
        <f t="shared" ca="1" si="109"/>
        <v>1.3679330385685234E-2</v>
      </c>
      <c r="BZ89" s="21">
        <f t="shared" ca="1" si="109"/>
        <v>1.2505238872759381E-2</v>
      </c>
      <c r="CA89" s="21">
        <f t="shared" ca="1" si="109"/>
        <v>1.2308671775114797E-2</v>
      </c>
      <c r="CB89" s="21">
        <f t="shared" ca="1" si="109"/>
        <v>1.1274193851563537E-2</v>
      </c>
      <c r="CC89" s="21">
        <f t="shared" ca="1" si="109"/>
        <v>1.0640020970859386E-2</v>
      </c>
      <c r="CD89" s="21">
        <f t="shared" ca="1" si="109"/>
        <v>1.0797629750548899E-2</v>
      </c>
      <c r="CE89" s="21">
        <f t="shared" ca="1" si="109"/>
        <v>9.914107281277805E-3</v>
      </c>
      <c r="CF89" s="21">
        <f t="shared" ca="1" si="109"/>
        <v>9.0361281167501938E-3</v>
      </c>
      <c r="CG89" s="21">
        <f t="shared" ca="1" si="109"/>
        <v>7.9075910212144281E-3</v>
      </c>
      <c r="CH89" s="21">
        <f t="shared" ca="1" si="109"/>
        <v>7.146219928590815E-3</v>
      </c>
      <c r="CI89" s="21">
        <f t="shared" ca="1" si="109"/>
        <v>8.21617624057858E-3</v>
      </c>
      <c r="CJ89" s="21">
        <f t="shared" ca="1" si="109"/>
        <v>8.7105216993776727E-3</v>
      </c>
      <c r="CK89" s="21">
        <f t="shared" ca="1" si="109"/>
        <v>9.0612887647922996E-3</v>
      </c>
      <c r="CL89" s="21">
        <f t="shared" ca="1" si="109"/>
        <v>8.6384189852590498E-3</v>
      </c>
      <c r="CM89" s="21">
        <f t="shared" ref="CM89:EX89" ca="1" si="110">IF(CM9="","",AVERAGE(CE63:CL63)+CONFIDENCE(0.05,STDEV(BN63:CL63),COUNT(BN63:CL63)))</f>
        <v>9.1981866691471358E-3</v>
      </c>
      <c r="CN89" s="21">
        <f t="shared" ca="1" si="110"/>
        <v>9.825753579851243E-3</v>
      </c>
      <c r="CO89" s="21">
        <f t="shared" ca="1" si="110"/>
        <v>1.0165815639182129E-2</v>
      </c>
      <c r="CP89" s="21">
        <f t="shared" ca="1" si="110"/>
        <v>1.1190435976404133E-2</v>
      </c>
      <c r="CQ89" s="21">
        <f t="shared" ca="1" si="110"/>
        <v>1.176799297387613E-2</v>
      </c>
      <c r="CR89" s="21">
        <f t="shared" ca="1" si="110"/>
        <v>1.2559655587529837E-2</v>
      </c>
      <c r="CS89" s="21">
        <f t="shared" ca="1" si="110"/>
        <v>1.1672785377679268E-2</v>
      </c>
      <c r="CT89" s="21">
        <f t="shared" ca="1" si="110"/>
        <v>1.1089621711879393E-2</v>
      </c>
      <c r="CU89" s="21">
        <f t="shared" ca="1" si="110"/>
        <v>1.1337017471593512E-2</v>
      </c>
      <c r="CV89" s="21">
        <f t="shared" ca="1" si="110"/>
        <v>1.0714470920668854E-2</v>
      </c>
      <c r="CW89" s="21">
        <f t="shared" ca="1" si="110"/>
        <v>1.0402462768697631E-2</v>
      </c>
      <c r="CX89" s="21">
        <f t="shared" ca="1" si="110"/>
        <v>9.2348669320426631E-3</v>
      </c>
      <c r="CY89" s="21">
        <f t="shared" ca="1" si="110"/>
        <v>7.6672527040765152E-3</v>
      </c>
      <c r="CZ89" s="21">
        <f t="shared" ca="1" si="110"/>
        <v>6.7079138427428055E-3</v>
      </c>
      <c r="DA89" s="21">
        <f t="shared" ca="1" si="110"/>
        <v>9.3647878164565667E-3</v>
      </c>
      <c r="DB89" s="21">
        <f t="shared" ca="1" si="110"/>
        <v>9.9790486414253234E-3</v>
      </c>
      <c r="DC89" s="21">
        <f t="shared" ca="1" si="110"/>
        <v>9.1863881094541595E-3</v>
      </c>
      <c r="DD89" s="21">
        <f t="shared" ca="1" si="110"/>
        <v>9.1949098909613614E-3</v>
      </c>
      <c r="DE89" s="21">
        <f t="shared" ca="1" si="110"/>
        <v>9.2432397404775928E-3</v>
      </c>
      <c r="DF89" s="21">
        <f t="shared" ca="1" si="110"/>
        <v>1.2617165761171882E-2</v>
      </c>
      <c r="DG89" s="21">
        <f t="shared" ca="1" si="110"/>
        <v>1.445843472675464E-2</v>
      </c>
      <c r="DH89" s="21">
        <f t="shared" ca="1" si="110"/>
        <v>1.4928479087311729E-2</v>
      </c>
      <c r="DI89" s="21">
        <f t="shared" ca="1" si="110"/>
        <v>1.3971527297195443E-2</v>
      </c>
      <c r="DJ89" s="21">
        <f t="shared" ca="1" si="110"/>
        <v>1.5207590302342392E-2</v>
      </c>
      <c r="DK89" s="21">
        <f t="shared" ca="1" si="110"/>
        <v>1.634507319850478E-2</v>
      </c>
      <c r="DL89" s="21">
        <f t="shared" ca="1" si="110"/>
        <v>1.7937106708800783E-2</v>
      </c>
      <c r="DM89" s="21">
        <f t="shared" ca="1" si="110"/>
        <v>2.1254259064977288E-2</v>
      </c>
      <c r="DN89" s="21">
        <f t="shared" ca="1" si="110"/>
        <v>2.211654073904884E-2</v>
      </c>
      <c r="DO89" s="21">
        <f t="shared" ca="1" si="110"/>
        <v>2.3209910608605052E-2</v>
      </c>
      <c r="DP89" s="21">
        <f t="shared" ca="1" si="110"/>
        <v>2.4722156654467278E-2</v>
      </c>
      <c r="DQ89" s="21">
        <f t="shared" ca="1" si="110"/>
        <v>2.4539629657332862E-2</v>
      </c>
      <c r="DR89" s="21">
        <f t="shared" ca="1" si="110"/>
        <v>2.3907770445331749E-2</v>
      </c>
      <c r="DS89" s="21">
        <f t="shared" ca="1" si="110"/>
        <v>2.180602061420572E-2</v>
      </c>
      <c r="DT89" s="21">
        <f t="shared" ca="1" si="110"/>
        <v>1.9978786223170501E-2</v>
      </c>
      <c r="DU89" s="21">
        <f t="shared" ca="1" si="110"/>
        <v>1.7523195682677767E-2</v>
      </c>
      <c r="DV89" s="21">
        <f t="shared" ca="1" si="110"/>
        <v>1.4518816667637649E-2</v>
      </c>
      <c r="DW89" s="21">
        <f t="shared" ca="1" si="110"/>
        <v>1.1540057957255719E-2</v>
      </c>
      <c r="DX89" s="21">
        <f t="shared" ca="1" si="110"/>
        <v>8.9797295784792078E-3</v>
      </c>
      <c r="DY89" s="21">
        <f t="shared" ca="1" si="110"/>
        <v>8.4705102763523027E-3</v>
      </c>
      <c r="DZ89" s="21">
        <f t="shared" ca="1" si="110"/>
        <v>8.4273266498605531E-3</v>
      </c>
      <c r="EA89" s="21">
        <f t="shared" ca="1" si="110"/>
        <v>1.0374795369068684E-2</v>
      </c>
      <c r="EB89" s="21">
        <f t="shared" ca="1" si="110"/>
        <v>1.1790576587740909E-2</v>
      </c>
      <c r="EC89" s="21">
        <f t="shared" ca="1" si="110"/>
        <v>1.3898620982077687E-2</v>
      </c>
      <c r="ED89" s="21">
        <f t="shared" ca="1" si="110"/>
        <v>1.3573194388585216E-2</v>
      </c>
      <c r="EE89" s="21">
        <f t="shared" ca="1" si="110"/>
        <v>1.3706184771294757E-2</v>
      </c>
      <c r="EF89" s="21">
        <f t="shared" ca="1" si="110"/>
        <v>1.4309338377313772E-2</v>
      </c>
      <c r="EG89" s="21">
        <f t="shared" ca="1" si="110"/>
        <v>1.3777206196988735E-2</v>
      </c>
      <c r="EH89" s="21">
        <f t="shared" ca="1" si="110"/>
        <v>1.4166478738228312E-2</v>
      </c>
      <c r="EI89" s="21">
        <f t="shared" ca="1" si="110"/>
        <v>1.3789670915605241E-2</v>
      </c>
      <c r="EJ89" s="21">
        <f t="shared" ca="1" si="110"/>
        <v>1.3164958447553049E-2</v>
      </c>
      <c r="EK89" s="21">
        <f t="shared" ca="1" si="110"/>
        <v>1.054339052682586E-2</v>
      </c>
      <c r="EL89" s="21">
        <f t="shared" ca="1" si="110"/>
        <v>1.001749912955454E-2</v>
      </c>
      <c r="EM89" s="21">
        <f t="shared" ca="1" si="110"/>
        <v>1.0788130427500563E-2</v>
      </c>
      <c r="EN89" s="21">
        <f t="shared" ca="1" si="110"/>
        <v>1.0527199171135253E-2</v>
      </c>
      <c r="EO89" s="21">
        <f t="shared" ca="1" si="110"/>
        <v>1.0599038248337446E-2</v>
      </c>
      <c r="EP89" s="21">
        <f t="shared" ca="1" si="110"/>
        <v>9.1740294648039351E-3</v>
      </c>
      <c r="EQ89" s="21">
        <f t="shared" ca="1" si="110"/>
        <v>7.3071336700804984E-3</v>
      </c>
      <c r="ER89" s="21">
        <f t="shared" ca="1" si="110"/>
        <v>6.3605690142524663E-3</v>
      </c>
      <c r="ES89" s="21">
        <f t="shared" ca="1" si="110"/>
        <v>6.8885799667743591E-3</v>
      </c>
      <c r="ET89" s="21">
        <f t="shared" ca="1" si="110"/>
        <v>7.7564002379757972E-3</v>
      </c>
      <c r="EU89" s="21">
        <f t="shared" ca="1" si="110"/>
        <v>7.1662245711422087E-3</v>
      </c>
      <c r="EV89" s="21">
        <f t="shared" ca="1" si="110"/>
        <v>7.1355902201716958E-3</v>
      </c>
      <c r="EW89" s="21">
        <f t="shared" ca="1" si="110"/>
        <v>6.9956444620672131E-3</v>
      </c>
      <c r="EX89" s="21">
        <f t="shared" ca="1" si="110"/>
        <v>6.8021777103115591E-3</v>
      </c>
      <c r="EY89" s="21">
        <f t="shared" ref="EY89:HJ89" ca="1" si="111">IF(EY9="","",AVERAGE(EQ63:EX63)+CONFIDENCE(0.05,STDEV(DZ63:EX63),COUNT(DZ63:EX63)))</f>
        <v>8.0663701040454231E-3</v>
      </c>
      <c r="EZ89" s="21">
        <f t="shared" ca="1" si="111"/>
        <v>9.1001164240801392E-3</v>
      </c>
      <c r="FA89" s="21">
        <f t="shared" ca="1" si="111"/>
        <v>8.3283848720289259E-3</v>
      </c>
      <c r="FB89" s="21">
        <f t="shared" ca="1" si="111"/>
        <v>8.3632977911827135E-3</v>
      </c>
      <c r="FC89" s="21">
        <f t="shared" ca="1" si="111"/>
        <v>8.6332438612958771E-3</v>
      </c>
      <c r="FD89" s="21">
        <f t="shared" ca="1" si="111"/>
        <v>8.1712005491343456E-3</v>
      </c>
      <c r="FE89" s="21">
        <f t="shared" ca="1" si="111"/>
        <v>7.9770902498241553E-3</v>
      </c>
      <c r="FF89" s="21">
        <f t="shared" ca="1" si="111"/>
        <v>8.0499644159958989E-3</v>
      </c>
      <c r="FG89" s="21">
        <f t="shared" ca="1" si="111"/>
        <v>7.7871191939169289E-3</v>
      </c>
      <c r="FH89" s="21">
        <f t="shared" ca="1" si="111"/>
        <v>7.0749881173352205E-3</v>
      </c>
      <c r="FI89" s="21">
        <f t="shared" ca="1" si="111"/>
        <v>7.5691484783873414E-3</v>
      </c>
      <c r="FJ89" s="21">
        <f t="shared" ca="1" si="111"/>
        <v>6.4962200213038663E-3</v>
      </c>
      <c r="FK89" s="21">
        <f t="shared" ca="1" si="111"/>
        <v>6.7392838505260025E-3</v>
      </c>
      <c r="FL89" s="21">
        <f t="shared" ca="1" si="111"/>
        <v>6.9484926523682667E-3</v>
      </c>
      <c r="FM89" s="21">
        <f t="shared" ca="1" si="111"/>
        <v>6.6982369164755263E-3</v>
      </c>
      <c r="FN89" s="21">
        <f t="shared" ca="1" si="111"/>
        <v>6.5925562494921789E-3</v>
      </c>
      <c r="FO89" s="21">
        <f t="shared" ca="1" si="111"/>
        <v>5.9043195635140868E-3</v>
      </c>
      <c r="FP89" s="21">
        <f t="shared" ca="1" si="111"/>
        <v>5.0320876256085764E-3</v>
      </c>
      <c r="FQ89" s="21">
        <f t="shared" ca="1" si="111"/>
        <v>4.7985189787824317E-3</v>
      </c>
      <c r="FR89" s="21">
        <f t="shared" ca="1" si="111"/>
        <v>4.7403464387070233E-3</v>
      </c>
      <c r="FS89" s="21">
        <f t="shared" ca="1" si="111"/>
        <v>3.8123300190896969E-3</v>
      </c>
      <c r="FT89" s="21">
        <f t="shared" ca="1" si="111"/>
        <v>3.766287838504313E-3</v>
      </c>
      <c r="FU89" s="21">
        <f t="shared" ca="1" si="111"/>
        <v>4.3591900604406531E-3</v>
      </c>
      <c r="FV89" s="21">
        <f t="shared" ca="1" si="111"/>
        <v>4.6345196486745933E-3</v>
      </c>
      <c r="FW89" s="21">
        <f t="shared" ca="1" si="111"/>
        <v>5.6972778399822146E-3</v>
      </c>
      <c r="FX89" s="21">
        <f t="shared" ca="1" si="111"/>
        <v>6.5130714686468709E-3</v>
      </c>
      <c r="FY89" s="21">
        <f t="shared" ca="1" si="111"/>
        <v>6.6823594680006475E-3</v>
      </c>
      <c r="FZ89" s="21">
        <f t="shared" ca="1" si="111"/>
        <v>7.0007710861582709E-3</v>
      </c>
      <c r="GA89" s="21">
        <f t="shared" ca="1" si="111"/>
        <v>7.213336508960745E-3</v>
      </c>
      <c r="GB89" s="21">
        <f t="shared" ca="1" si="111"/>
        <v>6.8233568236463499E-3</v>
      </c>
      <c r="GC89" s="21">
        <f t="shared" ca="1" si="111"/>
        <v>6.3186314032863417E-3</v>
      </c>
      <c r="GD89" s="21">
        <f t="shared" ca="1" si="111"/>
        <v>6.6664837178398951E-3</v>
      </c>
      <c r="GE89" s="21">
        <f t="shared" ca="1" si="111"/>
        <v>6.1616324065104861E-3</v>
      </c>
      <c r="GF89" s="21">
        <f t="shared" ca="1" si="111"/>
        <v>5.8080945486588724E-3</v>
      </c>
      <c r="GG89" s="21">
        <f t="shared" ca="1" si="111"/>
        <v>6.0942500710241135E-3</v>
      </c>
      <c r="GH89" s="21">
        <f t="shared" ca="1" si="111"/>
        <v>5.6618397319177071E-3</v>
      </c>
      <c r="GI89" s="21">
        <f t="shared" ca="1" si="111"/>
        <v>7.3498674676370241E-3</v>
      </c>
      <c r="GJ89" s="21">
        <f t="shared" ca="1" si="111"/>
        <v>1.6845094708164008E-2</v>
      </c>
      <c r="GK89" s="21">
        <f t="shared" ca="1" si="111"/>
        <v>2.731157478126962E-2</v>
      </c>
      <c r="GL89" s="21">
        <f t="shared" ca="1" si="111"/>
        <v>3.5866558596172257E-2</v>
      </c>
      <c r="GM89" s="21">
        <f t="shared" ca="1" si="111"/>
        <v>4.2435580296842246E-2</v>
      </c>
      <c r="GN89" s="21">
        <f t="shared" ca="1" si="111"/>
        <v>4.6805473799318403E-2</v>
      </c>
      <c r="GO89" s="21">
        <f t="shared" ca="1" si="111"/>
        <v>5.1239540424067406E-2</v>
      </c>
      <c r="GP89" s="21">
        <f t="shared" ca="1" si="111"/>
        <v>5.1420577753221314E-2</v>
      </c>
      <c r="GQ89" s="21">
        <f t="shared" ca="1" si="111"/>
        <v>5.7103174768220827E-2</v>
      </c>
      <c r="GR89" s="21">
        <f t="shared" ca="1" si="111"/>
        <v>5.8168208533539295E-2</v>
      </c>
      <c r="GS89" s="21">
        <f t="shared" ca="1" si="111"/>
        <v>5.5864830151604393E-2</v>
      </c>
      <c r="GT89" s="21">
        <f t="shared" ca="1" si="111"/>
        <v>5.3637145508817777E-2</v>
      </c>
      <c r="GU89" s="21">
        <f t="shared" ca="1" si="111"/>
        <v>5.1996444951230195E-2</v>
      </c>
      <c r="GV89" s="21">
        <f t="shared" ca="1" si="111"/>
        <v>5.2852197962062739E-2</v>
      </c>
      <c r="GW89" s="21">
        <f t="shared" ca="1" si="111"/>
        <v>5.3302086419597564E-2</v>
      </c>
      <c r="GX89" s="21">
        <f t="shared" ca="1" si="111"/>
        <v>6.678553027622651E-2</v>
      </c>
      <c r="GY89" s="21">
        <f t="shared" ca="1" si="111"/>
        <v>6.5936128583853615E-2</v>
      </c>
      <c r="GZ89" s="21">
        <f t="shared" ca="1" si="111"/>
        <v>6.0346458250619621E-2</v>
      </c>
      <c r="HA89" s="21" t="str">
        <f t="shared" si="111"/>
        <v/>
      </c>
      <c r="HB89" s="21" t="str">
        <f t="shared" si="111"/>
        <v/>
      </c>
      <c r="HC89" s="21" t="str">
        <f t="shared" si="111"/>
        <v/>
      </c>
      <c r="HD89" s="21" t="str">
        <f t="shared" si="111"/>
        <v/>
      </c>
      <c r="HE89" s="21" t="str">
        <f t="shared" si="111"/>
        <v/>
      </c>
      <c r="HF89" s="21" t="str">
        <f t="shared" si="111"/>
        <v/>
      </c>
      <c r="HG89" s="21" t="str">
        <f t="shared" si="111"/>
        <v/>
      </c>
      <c r="HH89" s="21" t="str">
        <f t="shared" si="111"/>
        <v/>
      </c>
      <c r="HI89" s="21" t="str">
        <f t="shared" si="111"/>
        <v/>
      </c>
      <c r="HJ89" s="21" t="str">
        <f t="shared" si="111"/>
        <v/>
      </c>
      <c r="HK89" s="21" t="str">
        <f t="shared" ref="HK89:JH89" si="112">IF(HK9="","",AVERAGE(HC63:HJ63)+CONFIDENCE(0.05,STDEV(GL63:HJ63),COUNT(GL63:HJ63)))</f>
        <v/>
      </c>
      <c r="HL89" s="21" t="str">
        <f t="shared" si="112"/>
        <v/>
      </c>
      <c r="HM89" s="21" t="str">
        <f t="shared" si="112"/>
        <v/>
      </c>
      <c r="HN89" s="21" t="str">
        <f t="shared" si="112"/>
        <v/>
      </c>
      <c r="HO89" s="21" t="str">
        <f t="shared" si="112"/>
        <v/>
      </c>
      <c r="HP89" s="21" t="str">
        <f t="shared" si="112"/>
        <v/>
      </c>
      <c r="HQ89" s="21" t="str">
        <f t="shared" si="112"/>
        <v/>
      </c>
      <c r="HR89" s="21" t="str">
        <f t="shared" si="112"/>
        <v/>
      </c>
      <c r="HS89" s="21" t="str">
        <f t="shared" si="112"/>
        <v/>
      </c>
      <c r="HT89" s="21" t="str">
        <f t="shared" si="112"/>
        <v/>
      </c>
      <c r="HU89" s="21" t="str">
        <f t="shared" si="112"/>
        <v/>
      </c>
      <c r="HV89" s="21" t="str">
        <f t="shared" si="112"/>
        <v/>
      </c>
      <c r="HW89" s="21" t="str">
        <f t="shared" si="112"/>
        <v/>
      </c>
      <c r="HX89" s="21" t="str">
        <f t="shared" si="112"/>
        <v/>
      </c>
      <c r="HY89" s="21" t="str">
        <f t="shared" si="112"/>
        <v/>
      </c>
      <c r="HZ89" s="21" t="str">
        <f t="shared" si="112"/>
        <v/>
      </c>
      <c r="IA89" s="21" t="str">
        <f t="shared" si="112"/>
        <v/>
      </c>
      <c r="IB89" s="21" t="str">
        <f t="shared" si="112"/>
        <v/>
      </c>
      <c r="IC89" s="21" t="str">
        <f t="shared" si="112"/>
        <v/>
      </c>
      <c r="ID89" s="21" t="str">
        <f t="shared" si="112"/>
        <v/>
      </c>
      <c r="IE89" s="21" t="str">
        <f t="shared" si="112"/>
        <v/>
      </c>
      <c r="IF89" s="21" t="str">
        <f t="shared" si="112"/>
        <v/>
      </c>
      <c r="IG89" s="21" t="str">
        <f t="shared" si="112"/>
        <v/>
      </c>
      <c r="IH89" s="21" t="str">
        <f t="shared" si="112"/>
        <v/>
      </c>
      <c r="II89" s="21" t="str">
        <f t="shared" si="112"/>
        <v/>
      </c>
      <c r="IJ89" s="21" t="str">
        <f t="shared" si="112"/>
        <v/>
      </c>
      <c r="IK89" s="21" t="str">
        <f t="shared" si="112"/>
        <v/>
      </c>
      <c r="IL89" s="21" t="str">
        <f t="shared" si="112"/>
        <v/>
      </c>
      <c r="IM89" s="21" t="str">
        <f t="shared" si="112"/>
        <v/>
      </c>
      <c r="IN89" s="21" t="str">
        <f t="shared" si="112"/>
        <v/>
      </c>
      <c r="IO89" s="21" t="str">
        <f t="shared" si="112"/>
        <v/>
      </c>
      <c r="IP89" s="21" t="str">
        <f t="shared" si="112"/>
        <v/>
      </c>
      <c r="IQ89" s="21" t="str">
        <f t="shared" si="112"/>
        <v/>
      </c>
      <c r="IR89" s="21" t="str">
        <f t="shared" si="112"/>
        <v/>
      </c>
      <c r="IS89" s="21" t="str">
        <f t="shared" si="112"/>
        <v/>
      </c>
      <c r="IT89" s="21" t="str">
        <f t="shared" si="112"/>
        <v/>
      </c>
      <c r="IU89" s="21" t="str">
        <f t="shared" si="112"/>
        <v/>
      </c>
      <c r="IV89" s="21" t="str">
        <f t="shared" si="112"/>
        <v/>
      </c>
      <c r="IW89" s="21" t="str">
        <f t="shared" si="112"/>
        <v/>
      </c>
      <c r="IX89" s="21" t="str">
        <f t="shared" si="112"/>
        <v/>
      </c>
      <c r="IY89" s="21" t="str">
        <f t="shared" si="112"/>
        <v/>
      </c>
      <c r="IZ89" s="21" t="str">
        <f t="shared" si="112"/>
        <v/>
      </c>
      <c r="JA89" s="21" t="str">
        <f t="shared" si="112"/>
        <v/>
      </c>
      <c r="JB89" s="21" t="str">
        <f t="shared" si="112"/>
        <v/>
      </c>
      <c r="JC89" s="21" t="str">
        <f t="shared" si="112"/>
        <v/>
      </c>
      <c r="JD89" s="21" t="str">
        <f t="shared" si="112"/>
        <v/>
      </c>
      <c r="JE89" s="21" t="str">
        <f t="shared" si="112"/>
        <v/>
      </c>
      <c r="JF89" s="21" t="str">
        <f t="shared" si="112"/>
        <v/>
      </c>
      <c r="JG89" s="21" t="str">
        <f t="shared" si="112"/>
        <v/>
      </c>
      <c r="JH89" s="21" t="str">
        <f t="shared" si="112"/>
        <v/>
      </c>
    </row>
    <row r="90" spans="1:336" x14ac:dyDescent="0.25"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  <c r="AA90" s="21">
        <f t="shared" ref="AA90:CL90" ca="1" si="113">IF(AA10="","",AVERAGE(R64:Z64)+CONFIDENCE(0.05,STDEV(B64:Z64),COUNT(B64:Z64)))</f>
        <v>1.6735798844778257E-2</v>
      </c>
      <c r="AB90" s="21">
        <f t="shared" ca="1" si="113"/>
        <v>1.5692373183542292E-2</v>
      </c>
      <c r="AC90" s="21">
        <f t="shared" ca="1" si="113"/>
        <v>1.4267389271387369E-2</v>
      </c>
      <c r="AD90" s="21">
        <f t="shared" ca="1" si="113"/>
        <v>1.464670458250544E-2</v>
      </c>
      <c r="AE90" s="21">
        <f t="shared" ca="1" si="113"/>
        <v>1.540657850382777E-2</v>
      </c>
      <c r="AF90" s="21">
        <f t="shared" ca="1" si="113"/>
        <v>1.4756265464926217E-2</v>
      </c>
      <c r="AG90" s="21">
        <f t="shared" ca="1" si="113"/>
        <v>1.341868146481903E-2</v>
      </c>
      <c r="AH90" s="21">
        <f t="shared" ca="1" si="113"/>
        <v>1.2332872557835023E-2</v>
      </c>
      <c r="AI90" s="21">
        <f t="shared" ca="1" si="113"/>
        <v>1.2286592892428377E-2</v>
      </c>
      <c r="AJ90" s="21">
        <f t="shared" ca="1" si="113"/>
        <v>1.0974545247687199E-2</v>
      </c>
      <c r="AK90" s="21">
        <f t="shared" ca="1" si="113"/>
        <v>9.6775431965051197E-3</v>
      </c>
      <c r="AL90" s="21">
        <f t="shared" ca="1" si="113"/>
        <v>9.6286491087585052E-3</v>
      </c>
      <c r="AM90" s="21">
        <f t="shared" ca="1" si="113"/>
        <v>9.2136278762869131E-3</v>
      </c>
      <c r="AN90" s="21">
        <f t="shared" ca="1" si="113"/>
        <v>9.664927156668595E-3</v>
      </c>
      <c r="AO90" s="21">
        <f t="shared" ca="1" si="113"/>
        <v>1.0250753349075747E-2</v>
      </c>
      <c r="AP90" s="21">
        <f t="shared" ca="1" si="113"/>
        <v>1.1555921240757876E-2</v>
      </c>
      <c r="AQ90" s="21">
        <f t="shared" ca="1" si="113"/>
        <v>1.1659610511141607E-2</v>
      </c>
      <c r="AR90" s="21">
        <f t="shared" ca="1" si="113"/>
        <v>1.1265879966080285E-2</v>
      </c>
      <c r="AS90" s="21">
        <f t="shared" ca="1" si="113"/>
        <v>1.1584815738129859E-2</v>
      </c>
      <c r="AT90" s="21">
        <f t="shared" ca="1" si="113"/>
        <v>1.2408191553426632E-2</v>
      </c>
      <c r="AU90" s="21">
        <f t="shared" ca="1" si="113"/>
        <v>1.2267568102356134E-2</v>
      </c>
      <c r="AV90" s="21">
        <f t="shared" ca="1" si="113"/>
        <v>1.2898315456010162E-2</v>
      </c>
      <c r="AW90" s="21">
        <f t="shared" ca="1" si="113"/>
        <v>1.4632466087343841E-2</v>
      </c>
      <c r="AX90" s="21">
        <f t="shared" ca="1" si="113"/>
        <v>1.7139784602428026E-2</v>
      </c>
      <c r="AY90" s="21">
        <f t="shared" ca="1" si="113"/>
        <v>1.9641132962880885E-2</v>
      </c>
      <c r="AZ90" s="21">
        <f t="shared" ca="1" si="113"/>
        <v>2.3160565679169725E-2</v>
      </c>
      <c r="BA90" s="21">
        <f t="shared" ca="1" si="113"/>
        <v>2.7135545738676152E-2</v>
      </c>
      <c r="BB90" s="21">
        <f t="shared" ca="1" si="113"/>
        <v>3.217741005274477E-2</v>
      </c>
      <c r="BC90" s="21">
        <f t="shared" ca="1" si="113"/>
        <v>3.7141594050218621E-2</v>
      </c>
      <c r="BD90" s="21">
        <f t="shared" ca="1" si="113"/>
        <v>4.2320030198961689E-2</v>
      </c>
      <c r="BE90" s="21">
        <f t="shared" ca="1" si="113"/>
        <v>4.5125543418411324E-2</v>
      </c>
      <c r="BF90" s="21">
        <f t="shared" ca="1" si="113"/>
        <v>4.7714325033217223E-2</v>
      </c>
      <c r="BG90" s="21">
        <f t="shared" ca="1" si="113"/>
        <v>5.0912455699375025E-2</v>
      </c>
      <c r="BH90" s="21">
        <f t="shared" ca="1" si="113"/>
        <v>5.1576196868513356E-2</v>
      </c>
      <c r="BI90" s="21">
        <f t="shared" ca="1" si="113"/>
        <v>4.883424086346165E-2</v>
      </c>
      <c r="BJ90" s="21">
        <f t="shared" ca="1" si="113"/>
        <v>4.6300529115782987E-2</v>
      </c>
      <c r="BK90" s="21">
        <f t="shared" ca="1" si="113"/>
        <v>4.3093393484560934E-2</v>
      </c>
      <c r="BL90" s="21">
        <f t="shared" ca="1" si="113"/>
        <v>4.0337694022967926E-2</v>
      </c>
      <c r="BM90" s="21">
        <f t="shared" ca="1" si="113"/>
        <v>3.93114858131162E-2</v>
      </c>
      <c r="BN90" s="21">
        <f t="shared" ca="1" si="113"/>
        <v>4.0403094345796371E-2</v>
      </c>
      <c r="BO90" s="21">
        <f t="shared" ca="1" si="113"/>
        <v>3.8812026268456493E-2</v>
      </c>
      <c r="BP90" s="21">
        <f t="shared" ca="1" si="113"/>
        <v>3.4519718857681334E-2</v>
      </c>
      <c r="BQ90" s="21">
        <f t="shared" ca="1" si="113"/>
        <v>3.2114864098639936E-2</v>
      </c>
      <c r="BR90" s="21">
        <f t="shared" ca="1" si="113"/>
        <v>3.2628422730351422E-2</v>
      </c>
      <c r="BS90" s="21">
        <f t="shared" ca="1" si="113"/>
        <v>3.0794682858856753E-2</v>
      </c>
      <c r="BT90" s="21">
        <f t="shared" ca="1" si="113"/>
        <v>3.0145086864352345E-2</v>
      </c>
      <c r="BU90" s="21">
        <f t="shared" ca="1" si="113"/>
        <v>2.8487131603197539E-2</v>
      </c>
      <c r="BV90" s="21">
        <f t="shared" ca="1" si="113"/>
        <v>2.4831631074298526E-2</v>
      </c>
      <c r="BW90" s="21">
        <f t="shared" ca="1" si="113"/>
        <v>2.0570414478577798E-2</v>
      </c>
      <c r="BX90" s="21">
        <f t="shared" ca="1" si="113"/>
        <v>1.7489176723564464E-2</v>
      </c>
      <c r="BY90" s="21">
        <f t="shared" ca="1" si="113"/>
        <v>1.642457308082319E-2</v>
      </c>
      <c r="BZ90" s="21">
        <f t="shared" ca="1" si="113"/>
        <v>1.531782018774314E-2</v>
      </c>
      <c r="CA90" s="21">
        <f t="shared" ca="1" si="113"/>
        <v>1.3512462020928104E-2</v>
      </c>
      <c r="CB90" s="21">
        <f t="shared" ca="1" si="113"/>
        <v>1.3620971505875755E-2</v>
      </c>
      <c r="CC90" s="21">
        <f t="shared" ca="1" si="113"/>
        <v>1.2063564735291226E-2</v>
      </c>
      <c r="CD90" s="21">
        <f t="shared" ca="1" si="113"/>
        <v>1.1570339763039323E-2</v>
      </c>
      <c r="CE90" s="21">
        <f t="shared" ca="1" si="113"/>
        <v>1.1075686154903296E-2</v>
      </c>
      <c r="CF90" s="21">
        <f t="shared" ca="1" si="113"/>
        <v>9.5771306189401592E-3</v>
      </c>
      <c r="CG90" s="21">
        <f t="shared" ca="1" si="113"/>
        <v>9.2013529660037556E-3</v>
      </c>
      <c r="CH90" s="21">
        <f t="shared" ca="1" si="113"/>
        <v>8.7779811567935268E-3</v>
      </c>
      <c r="CI90" s="21">
        <f t="shared" ca="1" si="113"/>
        <v>8.7648759375879605E-3</v>
      </c>
      <c r="CJ90" s="21">
        <f t="shared" ca="1" si="113"/>
        <v>9.4875485073907737E-3</v>
      </c>
      <c r="CK90" s="21">
        <f t="shared" ca="1" si="113"/>
        <v>9.6148114224966566E-3</v>
      </c>
      <c r="CL90" s="21">
        <f t="shared" ca="1" si="113"/>
        <v>9.829561091436935E-3</v>
      </c>
      <c r="CM90" s="21">
        <f t="shared" ref="CM90:EX90" ca="1" si="114">IF(CM10="","",AVERAGE(CD64:CL64)+CONFIDENCE(0.05,STDEV(BN64:CL64),COUNT(BN64:CL64)))</f>
        <v>9.7177332853056377E-3</v>
      </c>
      <c r="CN90" s="21">
        <f t="shared" ca="1" si="114"/>
        <v>1.0258818893373458E-2</v>
      </c>
      <c r="CO90" s="21">
        <f t="shared" ca="1" si="114"/>
        <v>1.080357068076708E-2</v>
      </c>
      <c r="CP90" s="21">
        <f t="shared" ca="1" si="114"/>
        <v>1.1584955226150068E-2</v>
      </c>
      <c r="CQ90" s="21">
        <f t="shared" ca="1" si="114"/>
        <v>1.3200937673893702E-2</v>
      </c>
      <c r="CR90" s="21">
        <f t="shared" ca="1" si="114"/>
        <v>1.4005191920754063E-2</v>
      </c>
      <c r="CS90" s="21">
        <f t="shared" ca="1" si="114"/>
        <v>1.3069142331830569E-2</v>
      </c>
      <c r="CT90" s="21">
        <f t="shared" ca="1" si="114"/>
        <v>1.2567243567372021E-2</v>
      </c>
      <c r="CU90" s="21">
        <f t="shared" ca="1" si="114"/>
        <v>1.3602274995496842E-2</v>
      </c>
      <c r="CV90" s="21">
        <f t="shared" ca="1" si="114"/>
        <v>1.2579179904017433E-2</v>
      </c>
      <c r="CW90" s="21">
        <f t="shared" ca="1" si="114"/>
        <v>1.113625768459865E-2</v>
      </c>
      <c r="CX90" s="21">
        <f t="shared" ca="1" si="114"/>
        <v>1.0978907633184785E-2</v>
      </c>
      <c r="CY90" s="21">
        <f t="shared" ca="1" si="114"/>
        <v>1.0052318740744505E-2</v>
      </c>
      <c r="CZ90" s="21">
        <f t="shared" ca="1" si="114"/>
        <v>9.1061106651061808E-3</v>
      </c>
      <c r="DA90" s="21">
        <f t="shared" ca="1" si="114"/>
        <v>1.0169268166268078E-2</v>
      </c>
      <c r="DB90" s="21">
        <f t="shared" ca="1" si="114"/>
        <v>1.0691193634890893E-2</v>
      </c>
      <c r="DC90" s="21">
        <f t="shared" ca="1" si="114"/>
        <v>1.1687241450406234E-2</v>
      </c>
      <c r="DD90" s="21">
        <f t="shared" ca="1" si="114"/>
        <v>9.9412680426739786E-3</v>
      </c>
      <c r="DE90" s="21">
        <f t="shared" ca="1" si="114"/>
        <v>9.2989348571297249E-3</v>
      </c>
      <c r="DF90" s="21">
        <f t="shared" ca="1" si="114"/>
        <v>1.252251859544188E-2</v>
      </c>
      <c r="DG90" s="21">
        <f t="shared" ca="1" si="114"/>
        <v>1.4093143344972026E-2</v>
      </c>
      <c r="DH90" s="21">
        <f t="shared" ca="1" si="114"/>
        <v>1.5249057009107987E-2</v>
      </c>
      <c r="DI90" s="21">
        <f t="shared" ca="1" si="114"/>
        <v>1.648510353902978E-2</v>
      </c>
      <c r="DJ90" s="21">
        <f t="shared" ca="1" si="114"/>
        <v>1.6586199189142409E-2</v>
      </c>
      <c r="DK90" s="21">
        <f t="shared" ca="1" si="114"/>
        <v>1.9382146086762926E-2</v>
      </c>
      <c r="DL90" s="21">
        <f t="shared" ca="1" si="114"/>
        <v>2.0531805263888495E-2</v>
      </c>
      <c r="DM90" s="21">
        <f t="shared" ca="1" si="114"/>
        <v>2.3619558923349757E-2</v>
      </c>
      <c r="DN90" s="21">
        <f t="shared" ca="1" si="114"/>
        <v>2.7377746775582572E-2</v>
      </c>
      <c r="DO90" s="21">
        <f t="shared" ca="1" si="114"/>
        <v>2.7601302966645563E-2</v>
      </c>
      <c r="DP90" s="21">
        <f t="shared" ca="1" si="114"/>
        <v>2.8548586273140514E-2</v>
      </c>
      <c r="DQ90" s="21">
        <f t="shared" ca="1" si="114"/>
        <v>2.8390658647007107E-2</v>
      </c>
      <c r="DR90" s="21">
        <f t="shared" ca="1" si="114"/>
        <v>2.7386394324048408E-2</v>
      </c>
      <c r="DS90" s="21">
        <f t="shared" ca="1" si="114"/>
        <v>2.534776354651895E-2</v>
      </c>
      <c r="DT90" s="21">
        <f t="shared" ca="1" si="114"/>
        <v>2.3040092083121085E-2</v>
      </c>
      <c r="DU90" s="21">
        <f t="shared" ca="1" si="114"/>
        <v>2.156294730643081E-2</v>
      </c>
      <c r="DV90" s="21">
        <f t="shared" ca="1" si="114"/>
        <v>1.9574445315174702E-2</v>
      </c>
      <c r="DW90" s="21">
        <f t="shared" ca="1" si="114"/>
        <v>1.6410654257878021E-2</v>
      </c>
      <c r="DX90" s="21">
        <f t="shared" ca="1" si="114"/>
        <v>1.3490145089260898E-2</v>
      </c>
      <c r="DY90" s="21">
        <f t="shared" ca="1" si="114"/>
        <v>1.1541857953938483E-2</v>
      </c>
      <c r="DZ90" s="21">
        <f t="shared" ca="1" si="114"/>
        <v>1.1991235715195465E-2</v>
      </c>
      <c r="EA90" s="21">
        <f t="shared" ca="1" si="114"/>
        <v>1.3194333426303179E-2</v>
      </c>
      <c r="EB90" s="21">
        <f t="shared" ca="1" si="114"/>
        <v>1.4625133378624268E-2</v>
      </c>
      <c r="EC90" s="21">
        <f t="shared" ca="1" si="114"/>
        <v>1.6062988224858611E-2</v>
      </c>
      <c r="ED90" s="21">
        <f t="shared" ca="1" si="114"/>
        <v>1.5514279086636053E-2</v>
      </c>
      <c r="EE90" s="21">
        <f t="shared" ca="1" si="114"/>
        <v>1.502494380099176E-2</v>
      </c>
      <c r="EF90" s="21">
        <f t="shared" ca="1" si="114"/>
        <v>1.550106545707664E-2</v>
      </c>
      <c r="EG90" s="21">
        <f t="shared" ca="1" si="114"/>
        <v>1.5864452619597295E-2</v>
      </c>
      <c r="EH90" s="21">
        <f t="shared" ca="1" si="114"/>
        <v>1.6277424073084645E-2</v>
      </c>
      <c r="EI90" s="21">
        <f t="shared" ca="1" si="114"/>
        <v>1.6000597123595153E-2</v>
      </c>
      <c r="EJ90" s="21">
        <f t="shared" ca="1" si="114"/>
        <v>1.5121478856684023E-2</v>
      </c>
      <c r="EK90" s="21">
        <f t="shared" ca="1" si="114"/>
        <v>1.3435935587724494E-2</v>
      </c>
      <c r="EL90" s="21">
        <f t="shared" ca="1" si="114"/>
        <v>1.1125153274604177E-2</v>
      </c>
      <c r="EM90" s="21">
        <f t="shared" ca="1" si="114"/>
        <v>1.1905977997705399E-2</v>
      </c>
      <c r="EN90" s="21">
        <f t="shared" ca="1" si="114"/>
        <v>1.1725885083530353E-2</v>
      </c>
      <c r="EO90" s="21">
        <f t="shared" ca="1" si="114"/>
        <v>1.1391978772929554E-2</v>
      </c>
      <c r="EP90" s="21">
        <f t="shared" ca="1" si="114"/>
        <v>1.1453281618892586E-2</v>
      </c>
      <c r="EQ90" s="21">
        <f t="shared" ca="1" si="114"/>
        <v>1.0369181015504375E-2</v>
      </c>
      <c r="ER90" s="21">
        <f t="shared" ca="1" si="114"/>
        <v>9.2148512283854161E-3</v>
      </c>
      <c r="ES90" s="21">
        <f t="shared" ca="1" si="114"/>
        <v>8.5607431639079627E-3</v>
      </c>
      <c r="ET90" s="21">
        <f t="shared" ca="1" si="114"/>
        <v>9.1167916068750233E-3</v>
      </c>
      <c r="EU90" s="21">
        <f t="shared" ca="1" si="114"/>
        <v>9.6608200843006659E-3</v>
      </c>
      <c r="EV90" s="21">
        <f t="shared" ca="1" si="114"/>
        <v>8.8868204142163142E-3</v>
      </c>
      <c r="EW90" s="21">
        <f t="shared" ca="1" si="114"/>
        <v>8.3245081722127141E-3</v>
      </c>
      <c r="EX90" s="21">
        <f t="shared" ca="1" si="114"/>
        <v>7.5843249391186248E-3</v>
      </c>
      <c r="EY90" s="21">
        <f t="shared" ref="EY90:HJ90" ca="1" si="115">IF(EY10="","",AVERAGE(EP64:EX64)+CONFIDENCE(0.05,STDEV(DZ64:EX64),COUNT(DZ64:EX64)))</f>
        <v>8.8651876150516451E-3</v>
      </c>
      <c r="EZ90" s="21">
        <f t="shared" ca="1" si="115"/>
        <v>9.8137250288947118E-3</v>
      </c>
      <c r="FA90" s="21">
        <f t="shared" ca="1" si="115"/>
        <v>9.3554185443689326E-3</v>
      </c>
      <c r="FB90" s="21">
        <f t="shared" ca="1" si="115"/>
        <v>9.066145739550141E-3</v>
      </c>
      <c r="FC90" s="21">
        <f t="shared" ca="1" si="115"/>
        <v>8.9577052291144165E-3</v>
      </c>
      <c r="FD90" s="21">
        <f t="shared" ca="1" si="115"/>
        <v>8.7193199677176626E-3</v>
      </c>
      <c r="FE90" s="21">
        <f t="shared" ca="1" si="115"/>
        <v>8.5903044922388989E-3</v>
      </c>
      <c r="FF90" s="21">
        <f t="shared" ca="1" si="115"/>
        <v>8.3636836125421405E-3</v>
      </c>
      <c r="FG90" s="21">
        <f t="shared" ca="1" si="115"/>
        <v>9.5984604634364694E-3</v>
      </c>
      <c r="FH90" s="21">
        <f t="shared" ca="1" si="115"/>
        <v>8.9338919727068207E-3</v>
      </c>
      <c r="FI90" s="21">
        <f t="shared" ca="1" si="115"/>
        <v>7.6413892191857027E-3</v>
      </c>
      <c r="FJ90" s="21">
        <f t="shared" ca="1" si="115"/>
        <v>7.8894791462797292E-3</v>
      </c>
      <c r="FK90" s="21">
        <f t="shared" ca="1" si="115"/>
        <v>8.2300139410830375E-3</v>
      </c>
      <c r="FL90" s="21">
        <f t="shared" ca="1" si="115"/>
        <v>8.2750514723678725E-3</v>
      </c>
      <c r="FM90" s="21">
        <f t="shared" ca="1" si="115"/>
        <v>8.0643742219068826E-3</v>
      </c>
      <c r="FN90" s="21">
        <f t="shared" ca="1" si="115"/>
        <v>7.7339985626859358E-3</v>
      </c>
      <c r="FO90" s="21">
        <f t="shared" ca="1" si="115"/>
        <v>7.7916113388802723E-3</v>
      </c>
      <c r="FP90" s="21">
        <f t="shared" ca="1" si="115"/>
        <v>6.6256125578076546E-3</v>
      </c>
      <c r="FQ90" s="21">
        <f t="shared" ca="1" si="115"/>
        <v>5.5920126688683968E-3</v>
      </c>
      <c r="FR90" s="21">
        <f t="shared" ca="1" si="115"/>
        <v>5.1183904217167826E-3</v>
      </c>
      <c r="FS90" s="21">
        <f t="shared" ca="1" si="115"/>
        <v>5.2783338629085333E-3</v>
      </c>
      <c r="FT90" s="21">
        <f t="shared" ca="1" si="115"/>
        <v>4.5027457425171101E-3</v>
      </c>
      <c r="FU90" s="21">
        <f t="shared" ca="1" si="115"/>
        <v>4.3715973108594246E-3</v>
      </c>
      <c r="FV90" s="21">
        <f t="shared" ca="1" si="115"/>
        <v>4.6874850173767449E-3</v>
      </c>
      <c r="FW90" s="21">
        <f t="shared" ca="1" si="115"/>
        <v>6.2772907966526723E-3</v>
      </c>
      <c r="FX90" s="21">
        <f t="shared" ca="1" si="115"/>
        <v>7.0441440656780364E-3</v>
      </c>
      <c r="FY90" s="21">
        <f t="shared" ca="1" si="115"/>
        <v>7.4887398407820034E-3</v>
      </c>
      <c r="FZ90" s="21">
        <f t="shared" ca="1" si="115"/>
        <v>7.7993468579512443E-3</v>
      </c>
      <c r="GA90" s="21">
        <f t="shared" ca="1" si="115"/>
        <v>8.7459746819741942E-3</v>
      </c>
      <c r="GB90" s="21">
        <f t="shared" ca="1" si="115"/>
        <v>8.3764862417990641E-3</v>
      </c>
      <c r="GC90" s="21">
        <f t="shared" ca="1" si="115"/>
        <v>7.7453944921276573E-3</v>
      </c>
      <c r="GD90" s="21">
        <f t="shared" ca="1" si="115"/>
        <v>7.8199603520497461E-3</v>
      </c>
      <c r="GE90" s="21">
        <f t="shared" ca="1" si="115"/>
        <v>8.4005845558191988E-3</v>
      </c>
      <c r="GF90" s="21">
        <f t="shared" ca="1" si="115"/>
        <v>7.7326387715319599E-3</v>
      </c>
      <c r="GG90" s="21">
        <f t="shared" ca="1" si="115"/>
        <v>7.3556075866227548E-3</v>
      </c>
      <c r="GH90" s="21">
        <f t="shared" ca="1" si="115"/>
        <v>9.5641489311252999E-3</v>
      </c>
      <c r="GI90" s="21">
        <f t="shared" ca="1" si="115"/>
        <v>1.7311247438011081E-2</v>
      </c>
      <c r="GJ90" s="21">
        <f t="shared" ca="1" si="115"/>
        <v>2.4404784893077396E-2</v>
      </c>
      <c r="GK90" s="21">
        <f t="shared" ca="1" si="115"/>
        <v>3.3344943694177578E-2</v>
      </c>
      <c r="GL90" s="21">
        <f t="shared" ca="1" si="115"/>
        <v>4.022052211428058E-2</v>
      </c>
      <c r="GM90" s="21">
        <f t="shared" ca="1" si="115"/>
        <v>4.4538118284175518E-2</v>
      </c>
      <c r="GN90" s="21">
        <f t="shared" ca="1" si="115"/>
        <v>4.740339035414004E-2</v>
      </c>
      <c r="GO90" s="21">
        <f t="shared" ca="1" si="115"/>
        <v>5.0884478046188071E-2</v>
      </c>
      <c r="GP90" s="21">
        <f t="shared" ca="1" si="115"/>
        <v>5.0490669927614508E-2</v>
      </c>
      <c r="GQ90" s="21">
        <f t="shared" ca="1" si="115"/>
        <v>5.5979063689235151E-2</v>
      </c>
      <c r="GR90" s="21">
        <f t="shared" ca="1" si="115"/>
        <v>5.7809750850621552E-2</v>
      </c>
      <c r="GS90" s="21">
        <f t="shared" ca="1" si="115"/>
        <v>5.6747891681990605E-2</v>
      </c>
      <c r="GT90" s="21">
        <f t="shared" ca="1" si="115"/>
        <v>5.4139406988458844E-2</v>
      </c>
      <c r="GU90" s="21">
        <f t="shared" ca="1" si="115"/>
        <v>5.2402569443498553E-2</v>
      </c>
      <c r="GV90" s="21">
        <f t="shared" ca="1" si="115"/>
        <v>5.2636351575128595E-2</v>
      </c>
      <c r="GW90" s="21">
        <f t="shared" ca="1" si="115"/>
        <v>5.484732315513479E-2</v>
      </c>
      <c r="GX90" s="21">
        <f t="shared" ca="1" si="115"/>
        <v>5.643287042761197E-2</v>
      </c>
      <c r="GY90" s="21">
        <f t="shared" ca="1" si="115"/>
        <v>7.7506723358058666E-2</v>
      </c>
      <c r="GZ90" s="21">
        <f t="shared" ca="1" si="115"/>
        <v>7.7827456141111875E-2</v>
      </c>
      <c r="HA90" s="21" t="str">
        <f t="shared" si="115"/>
        <v/>
      </c>
      <c r="HB90" s="21" t="str">
        <f t="shared" si="115"/>
        <v/>
      </c>
      <c r="HC90" s="21" t="str">
        <f t="shared" si="115"/>
        <v/>
      </c>
      <c r="HD90" s="21" t="str">
        <f t="shared" si="115"/>
        <v/>
      </c>
      <c r="HE90" s="21" t="str">
        <f t="shared" si="115"/>
        <v/>
      </c>
      <c r="HF90" s="21" t="str">
        <f t="shared" si="115"/>
        <v/>
      </c>
      <c r="HG90" s="21" t="str">
        <f t="shared" si="115"/>
        <v/>
      </c>
      <c r="HH90" s="21" t="str">
        <f t="shared" si="115"/>
        <v/>
      </c>
      <c r="HI90" s="21" t="str">
        <f t="shared" si="115"/>
        <v/>
      </c>
      <c r="HJ90" s="21" t="str">
        <f t="shared" si="115"/>
        <v/>
      </c>
      <c r="HK90" s="21" t="str">
        <f t="shared" ref="HK90:JH90" si="116">IF(HK10="","",AVERAGE(HB64:HJ64)+CONFIDENCE(0.05,STDEV(GL64:HJ64),COUNT(GL64:HJ64)))</f>
        <v/>
      </c>
      <c r="HL90" s="21" t="str">
        <f t="shared" si="116"/>
        <v/>
      </c>
      <c r="HM90" s="21" t="str">
        <f t="shared" si="116"/>
        <v/>
      </c>
      <c r="HN90" s="21" t="str">
        <f t="shared" si="116"/>
        <v/>
      </c>
      <c r="HO90" s="21" t="str">
        <f t="shared" si="116"/>
        <v/>
      </c>
      <c r="HP90" s="21" t="str">
        <f t="shared" si="116"/>
        <v/>
      </c>
      <c r="HQ90" s="21" t="str">
        <f t="shared" si="116"/>
        <v/>
      </c>
      <c r="HR90" s="21" t="str">
        <f t="shared" si="116"/>
        <v/>
      </c>
      <c r="HS90" s="21" t="str">
        <f t="shared" si="116"/>
        <v/>
      </c>
      <c r="HT90" s="21" t="str">
        <f t="shared" si="116"/>
        <v/>
      </c>
      <c r="HU90" s="21" t="str">
        <f t="shared" si="116"/>
        <v/>
      </c>
      <c r="HV90" s="21" t="str">
        <f t="shared" si="116"/>
        <v/>
      </c>
      <c r="HW90" s="21" t="str">
        <f t="shared" si="116"/>
        <v/>
      </c>
      <c r="HX90" s="21" t="str">
        <f t="shared" si="116"/>
        <v/>
      </c>
      <c r="HY90" s="21" t="str">
        <f t="shared" si="116"/>
        <v/>
      </c>
      <c r="HZ90" s="21" t="str">
        <f t="shared" si="116"/>
        <v/>
      </c>
      <c r="IA90" s="21" t="str">
        <f t="shared" si="116"/>
        <v/>
      </c>
      <c r="IB90" s="21" t="str">
        <f t="shared" si="116"/>
        <v/>
      </c>
      <c r="IC90" s="21" t="str">
        <f t="shared" si="116"/>
        <v/>
      </c>
      <c r="ID90" s="21" t="str">
        <f t="shared" si="116"/>
        <v/>
      </c>
      <c r="IE90" s="21" t="str">
        <f t="shared" si="116"/>
        <v/>
      </c>
      <c r="IF90" s="21" t="str">
        <f t="shared" si="116"/>
        <v/>
      </c>
      <c r="IG90" s="21" t="str">
        <f t="shared" si="116"/>
        <v/>
      </c>
      <c r="IH90" s="21" t="str">
        <f t="shared" si="116"/>
        <v/>
      </c>
      <c r="II90" s="21" t="str">
        <f t="shared" si="116"/>
        <v/>
      </c>
      <c r="IJ90" s="21" t="str">
        <f t="shared" si="116"/>
        <v/>
      </c>
      <c r="IK90" s="21" t="str">
        <f t="shared" si="116"/>
        <v/>
      </c>
      <c r="IL90" s="21" t="str">
        <f t="shared" si="116"/>
        <v/>
      </c>
      <c r="IM90" s="21" t="str">
        <f t="shared" si="116"/>
        <v/>
      </c>
      <c r="IN90" s="21" t="str">
        <f t="shared" si="116"/>
        <v/>
      </c>
      <c r="IO90" s="21" t="str">
        <f t="shared" si="116"/>
        <v/>
      </c>
      <c r="IP90" s="21" t="str">
        <f t="shared" si="116"/>
        <v/>
      </c>
      <c r="IQ90" s="21" t="str">
        <f t="shared" si="116"/>
        <v/>
      </c>
      <c r="IR90" s="21" t="str">
        <f t="shared" si="116"/>
        <v/>
      </c>
      <c r="IS90" s="21" t="str">
        <f t="shared" si="116"/>
        <v/>
      </c>
      <c r="IT90" s="21" t="str">
        <f t="shared" si="116"/>
        <v/>
      </c>
      <c r="IU90" s="21" t="str">
        <f t="shared" si="116"/>
        <v/>
      </c>
      <c r="IV90" s="21" t="str">
        <f t="shared" si="116"/>
        <v/>
      </c>
      <c r="IW90" s="21" t="str">
        <f t="shared" si="116"/>
        <v/>
      </c>
      <c r="IX90" s="21" t="str">
        <f t="shared" si="116"/>
        <v/>
      </c>
      <c r="IY90" s="21" t="str">
        <f t="shared" si="116"/>
        <v/>
      </c>
      <c r="IZ90" s="21" t="str">
        <f t="shared" si="116"/>
        <v/>
      </c>
      <c r="JA90" s="21" t="str">
        <f t="shared" si="116"/>
        <v/>
      </c>
      <c r="JB90" s="21" t="str">
        <f t="shared" si="116"/>
        <v/>
      </c>
      <c r="JC90" s="21" t="str">
        <f t="shared" si="116"/>
        <v/>
      </c>
      <c r="JD90" s="21" t="str">
        <f t="shared" si="116"/>
        <v/>
      </c>
      <c r="JE90" s="21" t="str">
        <f t="shared" si="116"/>
        <v/>
      </c>
      <c r="JF90" s="21" t="str">
        <f t="shared" si="116"/>
        <v/>
      </c>
      <c r="JG90" s="21" t="str">
        <f t="shared" si="116"/>
        <v/>
      </c>
      <c r="JH90" s="21" t="str">
        <f t="shared" si="116"/>
        <v/>
      </c>
    </row>
    <row r="91" spans="1:336" x14ac:dyDescent="0.25">
      <c r="G91" s="21"/>
      <c r="H91" s="21"/>
      <c r="I91" s="21"/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  <c r="Z91" s="21"/>
      <c r="AA91" s="21">
        <f t="shared" ref="AA91:CL91" ca="1" si="117">IF(AA11="","",AVERAGE(Q65:Z65)+CONFIDENCE(0.05,STDEV(B65:Z65),COUNT(B65:Z65)))</f>
        <v>1.9251345237830085E-2</v>
      </c>
      <c r="AB91" s="21">
        <f t="shared" ca="1" si="117"/>
        <v>1.8030540053579163E-2</v>
      </c>
      <c r="AC91" s="21">
        <f t="shared" ca="1" si="117"/>
        <v>1.6316700827842551E-2</v>
      </c>
      <c r="AD91" s="21">
        <f t="shared" ca="1" si="117"/>
        <v>1.5483187904350186E-2</v>
      </c>
      <c r="AE91" s="21">
        <f t="shared" ca="1" si="117"/>
        <v>1.526921810170094E-2</v>
      </c>
      <c r="AF91" s="21">
        <f t="shared" ca="1" si="117"/>
        <v>1.5626104125405712E-2</v>
      </c>
      <c r="AG91" s="21">
        <f t="shared" ca="1" si="117"/>
        <v>1.4575603463484875E-2</v>
      </c>
      <c r="AH91" s="21">
        <f t="shared" ca="1" si="117"/>
        <v>1.317975204145419E-2</v>
      </c>
      <c r="AI91" s="21">
        <f t="shared" ca="1" si="117"/>
        <v>1.2500010665517699E-2</v>
      </c>
      <c r="AJ91" s="21">
        <f t="shared" ca="1" si="117"/>
        <v>1.1215908146701781E-2</v>
      </c>
      <c r="AK91" s="21">
        <f t="shared" ca="1" si="117"/>
        <v>1.0370689564394592E-2</v>
      </c>
      <c r="AL91" s="21">
        <f t="shared" ca="1" si="117"/>
        <v>1.0064056456327762E-2</v>
      </c>
      <c r="AM91" s="21">
        <f t="shared" ca="1" si="117"/>
        <v>1.0254057362302419E-2</v>
      </c>
      <c r="AN91" s="21">
        <f t="shared" ca="1" si="117"/>
        <v>1.0238755223930869E-2</v>
      </c>
      <c r="AO91" s="21">
        <f t="shared" ca="1" si="117"/>
        <v>1.0460092740167036E-2</v>
      </c>
      <c r="AP91" s="21">
        <f t="shared" ca="1" si="117"/>
        <v>1.1361376319001632E-2</v>
      </c>
      <c r="AQ91" s="21">
        <f t="shared" ca="1" si="117"/>
        <v>1.1947265489083963E-2</v>
      </c>
      <c r="AR91" s="21">
        <f t="shared" ca="1" si="117"/>
        <v>1.2764958771818618E-2</v>
      </c>
      <c r="AS91" s="21">
        <f t="shared" ca="1" si="117"/>
        <v>1.2654432712594364E-2</v>
      </c>
      <c r="AT91" s="21">
        <f t="shared" ca="1" si="117"/>
        <v>1.3958215813936557E-2</v>
      </c>
      <c r="AU91" s="21">
        <f t="shared" ca="1" si="117"/>
        <v>1.4612135422271258E-2</v>
      </c>
      <c r="AV91" s="21">
        <f t="shared" ca="1" si="117"/>
        <v>1.5996145911286071E-2</v>
      </c>
      <c r="AW91" s="21">
        <f t="shared" ca="1" si="117"/>
        <v>1.8680613045685857E-2</v>
      </c>
      <c r="AX91" s="21">
        <f t="shared" ca="1" si="117"/>
        <v>2.1093920211405055E-2</v>
      </c>
      <c r="AY91" s="21">
        <f t="shared" ca="1" si="117"/>
        <v>2.4406891862689802E-2</v>
      </c>
      <c r="AZ91" s="21">
        <f t="shared" ca="1" si="117"/>
        <v>2.7929178735197895E-2</v>
      </c>
      <c r="BA91" s="21">
        <f t="shared" ca="1" si="117"/>
        <v>3.3086599605168208E-2</v>
      </c>
      <c r="BB91" s="21">
        <f t="shared" ca="1" si="117"/>
        <v>3.8181653851093171E-2</v>
      </c>
      <c r="BC91" s="21">
        <f t="shared" ca="1" si="117"/>
        <v>4.34750959265554E-2</v>
      </c>
      <c r="BD91" s="21">
        <f t="shared" ca="1" si="117"/>
        <v>4.8686354470669463E-2</v>
      </c>
      <c r="BE91" s="21">
        <f t="shared" ca="1" si="117"/>
        <v>5.212505128271324E-2</v>
      </c>
      <c r="BF91" s="21">
        <f t="shared" ca="1" si="117"/>
        <v>5.5037563899671071E-2</v>
      </c>
      <c r="BG91" s="21">
        <f t="shared" ca="1" si="117"/>
        <v>5.7381633417003558E-2</v>
      </c>
      <c r="BH91" s="21">
        <f t="shared" ca="1" si="117"/>
        <v>5.7859694503789881E-2</v>
      </c>
      <c r="BI91" s="21">
        <f t="shared" ca="1" si="117"/>
        <v>5.4782431972095966E-2</v>
      </c>
      <c r="BJ91" s="21">
        <f t="shared" ca="1" si="117"/>
        <v>5.3105696553275281E-2</v>
      </c>
      <c r="BK91" s="21">
        <f t="shared" ca="1" si="117"/>
        <v>5.0031455858806723E-2</v>
      </c>
      <c r="BL91" s="21">
        <f t="shared" ca="1" si="117"/>
        <v>4.7111922589140799E-2</v>
      </c>
      <c r="BM91" s="21">
        <f t="shared" ca="1" si="117"/>
        <v>4.6017350503837873E-2</v>
      </c>
      <c r="BN91" s="21">
        <f t="shared" ca="1" si="117"/>
        <v>4.6051176930893979E-2</v>
      </c>
      <c r="BO91" s="21">
        <f t="shared" ca="1" si="117"/>
        <v>4.470712330947544E-2</v>
      </c>
      <c r="BP91" s="21">
        <f t="shared" ca="1" si="117"/>
        <v>4.130401838886523E-2</v>
      </c>
      <c r="BQ91" s="21">
        <f t="shared" ca="1" si="117"/>
        <v>3.766585453647759E-2</v>
      </c>
      <c r="BR91" s="21">
        <f t="shared" ca="1" si="117"/>
        <v>3.5650906234259198E-2</v>
      </c>
      <c r="BS91" s="21">
        <f t="shared" ca="1" si="117"/>
        <v>3.5064026464101034E-2</v>
      </c>
      <c r="BT91" s="21">
        <f t="shared" ca="1" si="117"/>
        <v>3.3362348405931511E-2</v>
      </c>
      <c r="BU91" s="21">
        <f t="shared" ca="1" si="117"/>
        <v>3.2058990100167238E-2</v>
      </c>
      <c r="BV91" s="21">
        <f t="shared" ca="1" si="117"/>
        <v>3.009979733893382E-2</v>
      </c>
      <c r="BW91" s="21">
        <f t="shared" ca="1" si="117"/>
        <v>2.6534727139046029E-2</v>
      </c>
      <c r="BX91" s="21">
        <f t="shared" ca="1" si="117"/>
        <v>2.1347925687015542E-2</v>
      </c>
      <c r="BY91" s="21">
        <f t="shared" ca="1" si="117"/>
        <v>1.8723866660321404E-2</v>
      </c>
      <c r="BZ91" s="21">
        <f t="shared" ca="1" si="117"/>
        <v>1.7750915333427382E-2</v>
      </c>
      <c r="CA91" s="21">
        <f t="shared" ca="1" si="117"/>
        <v>1.603495958554222E-2</v>
      </c>
      <c r="CB91" s="21">
        <f t="shared" ca="1" si="117"/>
        <v>1.3943608685039133E-2</v>
      </c>
      <c r="CC91" s="21">
        <f t="shared" ca="1" si="117"/>
        <v>1.3732517794786084E-2</v>
      </c>
      <c r="CD91" s="21">
        <f t="shared" ca="1" si="117"/>
        <v>1.2923479594531283E-2</v>
      </c>
      <c r="CE91" s="21">
        <f t="shared" ca="1" si="117"/>
        <v>1.2070110005412554E-2</v>
      </c>
      <c r="CF91" s="21">
        <f t="shared" ca="1" si="117"/>
        <v>1.138697305221793E-2</v>
      </c>
      <c r="CG91" s="21">
        <f t="shared" ca="1" si="117"/>
        <v>1.0741471228874916E-2</v>
      </c>
      <c r="CH91" s="21">
        <f t="shared" ca="1" si="117"/>
        <v>1.0494117213633559E-2</v>
      </c>
      <c r="CI91" s="21">
        <f t="shared" ca="1" si="117"/>
        <v>1.0626953860370065E-2</v>
      </c>
      <c r="CJ91" s="21">
        <f t="shared" ca="1" si="117"/>
        <v>1.0871585964229619E-2</v>
      </c>
      <c r="CK91" s="21">
        <f t="shared" ca="1" si="117"/>
        <v>1.0804353685071488E-2</v>
      </c>
      <c r="CL91" s="21">
        <f t="shared" ca="1" si="117"/>
        <v>1.0705809667626236E-2</v>
      </c>
      <c r="CM91" s="21">
        <f t="shared" ref="CM91:EX91" ca="1" si="118">IF(CM11="","",AVERAGE(CC65:CL65)+CONFIDENCE(0.05,STDEV(BN65:CL65),COUNT(BN65:CL65)))</f>
        <v>1.0539795790193219E-2</v>
      </c>
      <c r="CN91" s="21">
        <f t="shared" ca="1" si="118"/>
        <v>1.1257489745079939E-2</v>
      </c>
      <c r="CO91" s="21">
        <f t="shared" ca="1" si="118"/>
        <v>1.1883832148335754E-2</v>
      </c>
      <c r="CP91" s="21">
        <f t="shared" ca="1" si="118"/>
        <v>1.2770810557716422E-2</v>
      </c>
      <c r="CQ91" s="21">
        <f t="shared" ca="1" si="118"/>
        <v>1.4281460548915699E-2</v>
      </c>
      <c r="CR91" s="21">
        <f t="shared" ca="1" si="118"/>
        <v>1.5567409602099243E-2</v>
      </c>
      <c r="CS91" s="21">
        <f t="shared" ca="1" si="118"/>
        <v>1.4891345727884947E-2</v>
      </c>
      <c r="CT91" s="21">
        <f t="shared" ca="1" si="118"/>
        <v>1.3667220609822797E-2</v>
      </c>
      <c r="CU91" s="21">
        <f t="shared" ca="1" si="118"/>
        <v>1.5448243322774956E-2</v>
      </c>
      <c r="CV91" s="21">
        <f t="shared" ca="1" si="118"/>
        <v>1.5265402078017253E-2</v>
      </c>
      <c r="CW91" s="21">
        <f t="shared" ca="1" si="118"/>
        <v>1.3739693491434089E-2</v>
      </c>
      <c r="CX91" s="21">
        <f t="shared" ca="1" si="118"/>
        <v>1.2631916561361773E-2</v>
      </c>
      <c r="CY91" s="21">
        <f t="shared" ca="1" si="118"/>
        <v>1.2323490720654737E-2</v>
      </c>
      <c r="CZ91" s="21">
        <f t="shared" ca="1" si="118"/>
        <v>1.1854051418242723E-2</v>
      </c>
      <c r="DA91" s="21">
        <f t="shared" ca="1" si="118"/>
        <v>1.214689482774769E-2</v>
      </c>
      <c r="DB91" s="21">
        <f t="shared" ca="1" si="118"/>
        <v>1.1156512639622775E-2</v>
      </c>
      <c r="DC91" s="21">
        <f t="shared" ca="1" si="118"/>
        <v>1.1552881602102596E-2</v>
      </c>
      <c r="DD91" s="21">
        <f t="shared" ca="1" si="118"/>
        <v>1.1745547355377653E-2</v>
      </c>
      <c r="DE91" s="21">
        <f t="shared" ca="1" si="118"/>
        <v>9.945113272714275E-3</v>
      </c>
      <c r="DF91" s="21">
        <f t="shared" ca="1" si="118"/>
        <v>1.2791641602601725E-2</v>
      </c>
      <c r="DG91" s="21">
        <f t="shared" ca="1" si="118"/>
        <v>1.4949472627105906E-2</v>
      </c>
      <c r="DH91" s="21">
        <f t="shared" ca="1" si="118"/>
        <v>1.6219460664616919E-2</v>
      </c>
      <c r="DI91" s="21">
        <f t="shared" ca="1" si="118"/>
        <v>1.8000802974442412E-2</v>
      </c>
      <c r="DJ91" s="21">
        <f t="shared" ca="1" si="118"/>
        <v>2.0163003022404112E-2</v>
      </c>
      <c r="DK91" s="21">
        <f t="shared" ca="1" si="118"/>
        <v>2.1487739870216738E-2</v>
      </c>
      <c r="DL91" s="21">
        <f t="shared" ca="1" si="118"/>
        <v>2.3529842619292186E-2</v>
      </c>
      <c r="DM91" s="21">
        <f t="shared" ca="1" si="118"/>
        <v>2.6125175890923558E-2</v>
      </c>
      <c r="DN91" s="21">
        <f t="shared" ca="1" si="118"/>
        <v>3.0008757203562407E-2</v>
      </c>
      <c r="DO91" s="21">
        <f t="shared" ca="1" si="118"/>
        <v>3.3379491817798916E-2</v>
      </c>
      <c r="DP91" s="21">
        <f t="shared" ca="1" si="118"/>
        <v>3.3227130877345294E-2</v>
      </c>
      <c r="DQ91" s="21">
        <f t="shared" ca="1" si="118"/>
        <v>3.2029179519738264E-2</v>
      </c>
      <c r="DR91" s="21">
        <f t="shared" ca="1" si="118"/>
        <v>3.0899335388024762E-2</v>
      </c>
      <c r="DS91" s="21">
        <f t="shared" ca="1" si="118"/>
        <v>2.8780853589803066E-2</v>
      </c>
      <c r="DT91" s="21">
        <f t="shared" ca="1" si="118"/>
        <v>2.662989801167549E-2</v>
      </c>
      <c r="DU91" s="21">
        <f t="shared" ca="1" si="118"/>
        <v>2.447763336037093E-2</v>
      </c>
      <c r="DV91" s="21">
        <f t="shared" ca="1" si="118"/>
        <v>2.3435571754249568E-2</v>
      </c>
      <c r="DW91" s="21">
        <f t="shared" ca="1" si="118"/>
        <v>2.0777667339837942E-2</v>
      </c>
      <c r="DX91" s="21">
        <f t="shared" ca="1" si="118"/>
        <v>1.7361090939824173E-2</v>
      </c>
      <c r="DY91" s="21">
        <f t="shared" ca="1" si="118"/>
        <v>1.5573843579162822E-2</v>
      </c>
      <c r="DZ91" s="21">
        <f t="shared" ca="1" si="118"/>
        <v>1.4742182964106367E-2</v>
      </c>
      <c r="EA91" s="21">
        <f t="shared" ca="1" si="118"/>
        <v>1.5949116145651743E-2</v>
      </c>
      <c r="EB91" s="21">
        <f t="shared" ca="1" si="118"/>
        <v>1.6328430153968964E-2</v>
      </c>
      <c r="EC91" s="21">
        <f t="shared" ca="1" si="118"/>
        <v>1.7784222151615788E-2</v>
      </c>
      <c r="ED91" s="21">
        <f t="shared" ca="1" si="118"/>
        <v>1.7032012338863027E-2</v>
      </c>
      <c r="EE91" s="21">
        <f t="shared" ca="1" si="118"/>
        <v>1.6611805335025751E-2</v>
      </c>
      <c r="EF91" s="21">
        <f t="shared" ca="1" si="118"/>
        <v>1.6172839102430333E-2</v>
      </c>
      <c r="EG91" s="21">
        <f t="shared" ca="1" si="118"/>
        <v>1.6237075475193614E-2</v>
      </c>
      <c r="EH91" s="21">
        <f t="shared" ca="1" si="118"/>
        <v>1.7278811096060914E-2</v>
      </c>
      <c r="EI91" s="21">
        <f t="shared" ca="1" si="118"/>
        <v>1.7245920956101002E-2</v>
      </c>
      <c r="EJ91" s="21">
        <f t="shared" ca="1" si="118"/>
        <v>1.6724899744487032E-2</v>
      </c>
      <c r="EK91" s="21">
        <f t="shared" ca="1" si="118"/>
        <v>1.4390502989764502E-2</v>
      </c>
      <c r="EL91" s="21">
        <f t="shared" ca="1" si="118"/>
        <v>1.2798391735140892E-2</v>
      </c>
      <c r="EM91" s="21">
        <f t="shared" ca="1" si="118"/>
        <v>1.1831473782966754E-2</v>
      </c>
      <c r="EN91" s="21">
        <f t="shared" ca="1" si="118"/>
        <v>1.2419311465114026E-2</v>
      </c>
      <c r="EO91" s="21">
        <f t="shared" ca="1" si="118"/>
        <v>1.2393148392724748E-2</v>
      </c>
      <c r="EP91" s="21">
        <f t="shared" ca="1" si="118"/>
        <v>1.1681717884606115E-2</v>
      </c>
      <c r="EQ91" s="21">
        <f t="shared" ca="1" si="118"/>
        <v>1.1937551085803405E-2</v>
      </c>
      <c r="ER91" s="21">
        <f t="shared" ca="1" si="118"/>
        <v>1.1379936961313781E-2</v>
      </c>
      <c r="ES91" s="21">
        <f t="shared" ca="1" si="118"/>
        <v>1.077780727591999E-2</v>
      </c>
      <c r="ET91" s="21">
        <f t="shared" ca="1" si="118"/>
        <v>9.7246495468790752E-3</v>
      </c>
      <c r="EU91" s="21">
        <f t="shared" ca="1" si="118"/>
        <v>1.0209451770676347E-2</v>
      </c>
      <c r="EV91" s="21">
        <f t="shared" ca="1" si="118"/>
        <v>1.0682910484728751E-2</v>
      </c>
      <c r="EW91" s="21">
        <f t="shared" ca="1" si="118"/>
        <v>9.2190467638025003E-3</v>
      </c>
      <c r="EX91" s="21">
        <f t="shared" ca="1" si="118"/>
        <v>8.5291254098420789E-3</v>
      </c>
      <c r="EY91" s="21">
        <f t="shared" ref="EY91:HJ91" ca="1" si="119">IF(EY11="","",AVERAGE(EO65:EX65)+CONFIDENCE(0.05,STDEV(DZ65:EX65),COUNT(DZ65:EX65)))</f>
        <v>9.2897625798031361E-3</v>
      </c>
      <c r="EZ91" s="21">
        <f t="shared" ca="1" si="119"/>
        <v>1.0354214268869781E-2</v>
      </c>
      <c r="FA91" s="21">
        <f t="shared" ca="1" si="119"/>
        <v>1.0076293778518791E-2</v>
      </c>
      <c r="FB91" s="21">
        <f t="shared" ca="1" si="119"/>
        <v>9.8236988613536469E-3</v>
      </c>
      <c r="FC91" s="21">
        <f t="shared" ca="1" si="119"/>
        <v>9.3819754093279559E-3</v>
      </c>
      <c r="FD91" s="21">
        <f t="shared" ca="1" si="119"/>
        <v>9.3059159125552064E-3</v>
      </c>
      <c r="FE91" s="21">
        <f t="shared" ca="1" si="119"/>
        <v>9.2034771312632033E-3</v>
      </c>
      <c r="FF91" s="21">
        <f t="shared" ca="1" si="119"/>
        <v>8.8299981497373843E-3</v>
      </c>
      <c r="FG91" s="21">
        <f t="shared" ca="1" si="119"/>
        <v>9.9372741889645032E-3</v>
      </c>
      <c r="FH91" s="21">
        <f t="shared" ca="1" si="119"/>
        <v>1.0421283508311915E-2</v>
      </c>
      <c r="FI91" s="21">
        <f t="shared" ca="1" si="119"/>
        <v>8.9366975094467942E-3</v>
      </c>
      <c r="FJ91" s="21">
        <f t="shared" ca="1" si="119"/>
        <v>7.5795686228775846E-3</v>
      </c>
      <c r="FK91" s="21">
        <f t="shared" ca="1" si="119"/>
        <v>9.1902336777060483E-3</v>
      </c>
      <c r="FL91" s="21">
        <f t="shared" ca="1" si="119"/>
        <v>9.0721546030062567E-3</v>
      </c>
      <c r="FM91" s="21">
        <f t="shared" ca="1" si="119"/>
        <v>8.5178933062818752E-3</v>
      </c>
      <c r="FN91" s="21">
        <f t="shared" ca="1" si="119"/>
        <v>8.4779398706551108E-3</v>
      </c>
      <c r="FO91" s="21">
        <f t="shared" ca="1" si="119"/>
        <v>8.1164241319061133E-3</v>
      </c>
      <c r="FP91" s="21">
        <f t="shared" ca="1" si="119"/>
        <v>8.1729117610829499E-3</v>
      </c>
      <c r="FQ91" s="21">
        <f t="shared" ca="1" si="119"/>
        <v>7.1154866837904078E-3</v>
      </c>
      <c r="FR91" s="21">
        <f t="shared" ca="1" si="119"/>
        <v>6.4013865573656764E-3</v>
      </c>
      <c r="FS91" s="21">
        <f t="shared" ca="1" si="119"/>
        <v>6.1258183009823847E-3</v>
      </c>
      <c r="FT91" s="21">
        <f t="shared" ca="1" si="119"/>
        <v>6.7125000609707507E-3</v>
      </c>
      <c r="FU91" s="21">
        <f t="shared" ca="1" si="119"/>
        <v>5.4116793705694475E-3</v>
      </c>
      <c r="FV91" s="21">
        <f t="shared" ca="1" si="119"/>
        <v>5.1637638483811119E-3</v>
      </c>
      <c r="FW91" s="21">
        <f t="shared" ca="1" si="119"/>
        <v>6.8792792122546664E-3</v>
      </c>
      <c r="FX91" s="21">
        <f t="shared" ca="1" si="119"/>
        <v>7.1145174250172513E-3</v>
      </c>
      <c r="FY91" s="21">
        <f t="shared" ca="1" si="119"/>
        <v>7.63922308781473E-3</v>
      </c>
      <c r="FZ91" s="21">
        <f t="shared" ca="1" si="119"/>
        <v>7.4609262009623627E-3</v>
      </c>
      <c r="GA91" s="21">
        <f t="shared" ca="1" si="119"/>
        <v>8.5156258393814487E-3</v>
      </c>
      <c r="GB91" s="21">
        <f t="shared" ca="1" si="119"/>
        <v>8.3697154784850986E-3</v>
      </c>
      <c r="GC91" s="21">
        <f t="shared" ca="1" si="119"/>
        <v>8.3107913434718565E-3</v>
      </c>
      <c r="GD91" s="21">
        <f t="shared" ca="1" si="119"/>
        <v>8.3245132686154966E-3</v>
      </c>
      <c r="GE91" s="21">
        <f t="shared" ca="1" si="119"/>
        <v>9.1932857176813994E-3</v>
      </c>
      <c r="GF91" s="21">
        <f t="shared" ca="1" si="119"/>
        <v>9.409264290434656E-3</v>
      </c>
      <c r="GG91" s="21">
        <f t="shared" ca="1" si="119"/>
        <v>1.0975431487200519E-2</v>
      </c>
      <c r="GH91" s="21">
        <f t="shared" ca="1" si="119"/>
        <v>1.8780950719058727E-2</v>
      </c>
      <c r="GI91" s="21">
        <f t="shared" ca="1" si="119"/>
        <v>2.4891338119390961E-2</v>
      </c>
      <c r="GJ91" s="21">
        <f t="shared" ca="1" si="119"/>
        <v>3.1691186126535958E-2</v>
      </c>
      <c r="GK91" s="21">
        <f t="shared" ca="1" si="119"/>
        <v>3.7408219350309552E-2</v>
      </c>
      <c r="GL91" s="21">
        <f t="shared" ca="1" si="119"/>
        <v>4.2349516628943117E-2</v>
      </c>
      <c r="GM91" s="21">
        <f t="shared" ca="1" si="119"/>
        <v>4.6281374029114239E-2</v>
      </c>
      <c r="GN91" s="21">
        <f t="shared" ca="1" si="119"/>
        <v>4.834847060656898E-2</v>
      </c>
      <c r="GO91" s="21">
        <f t="shared" ca="1" si="119"/>
        <v>5.0671146154272713E-2</v>
      </c>
      <c r="GP91" s="21">
        <f t="shared" ca="1" si="119"/>
        <v>5.0586131622882474E-2</v>
      </c>
      <c r="GQ91" s="21">
        <f t="shared" ca="1" si="119"/>
        <v>5.5144615108668117E-2</v>
      </c>
      <c r="GR91" s="21">
        <f t="shared" ca="1" si="119"/>
        <v>5.3569204393980906E-2</v>
      </c>
      <c r="GS91" s="21">
        <f t="shared" ca="1" si="119"/>
        <v>5.2228051584135363E-2</v>
      </c>
      <c r="GT91" s="21">
        <f t="shared" ca="1" si="119"/>
        <v>5.020936943808027E-2</v>
      </c>
      <c r="GU91" s="21">
        <f t="shared" ca="1" si="119"/>
        <v>4.7321740752257903E-2</v>
      </c>
      <c r="GV91" s="21">
        <f t="shared" ca="1" si="119"/>
        <v>4.5813098548874324E-2</v>
      </c>
      <c r="GW91" s="21">
        <f t="shared" ca="1" si="119"/>
        <v>4.5435386826662358E-2</v>
      </c>
      <c r="GX91" s="21">
        <f t="shared" ca="1" si="119"/>
        <v>4.7701468594997486E-2</v>
      </c>
      <c r="GY91" s="21">
        <f t="shared" ca="1" si="119"/>
        <v>4.8395954798792433E-2</v>
      </c>
      <c r="GZ91" s="21">
        <f t="shared" ca="1" si="119"/>
        <v>7.7868279168452639E-2</v>
      </c>
      <c r="HA91" s="21" t="str">
        <f t="shared" si="119"/>
        <v/>
      </c>
      <c r="HB91" s="21" t="str">
        <f t="shared" si="119"/>
        <v/>
      </c>
      <c r="HC91" s="21" t="str">
        <f t="shared" si="119"/>
        <v/>
      </c>
      <c r="HD91" s="21" t="str">
        <f t="shared" si="119"/>
        <v/>
      </c>
      <c r="HE91" s="21" t="str">
        <f t="shared" si="119"/>
        <v/>
      </c>
      <c r="HF91" s="21" t="str">
        <f t="shared" si="119"/>
        <v/>
      </c>
      <c r="HG91" s="21" t="str">
        <f t="shared" si="119"/>
        <v/>
      </c>
      <c r="HH91" s="21" t="str">
        <f t="shared" si="119"/>
        <v/>
      </c>
      <c r="HI91" s="21" t="str">
        <f t="shared" si="119"/>
        <v/>
      </c>
      <c r="HJ91" s="21" t="str">
        <f t="shared" si="119"/>
        <v/>
      </c>
      <c r="HK91" s="21" t="str">
        <f t="shared" ref="HK91:JH91" si="120">IF(HK11="","",AVERAGE(HA65:HJ65)+CONFIDENCE(0.05,STDEV(GL65:HJ65),COUNT(GL65:HJ65)))</f>
        <v/>
      </c>
      <c r="HL91" s="21" t="str">
        <f t="shared" si="120"/>
        <v/>
      </c>
      <c r="HM91" s="21" t="str">
        <f t="shared" si="120"/>
        <v/>
      </c>
      <c r="HN91" s="21" t="str">
        <f t="shared" si="120"/>
        <v/>
      </c>
      <c r="HO91" s="21" t="str">
        <f t="shared" si="120"/>
        <v/>
      </c>
      <c r="HP91" s="21" t="str">
        <f t="shared" si="120"/>
        <v/>
      </c>
      <c r="HQ91" s="21" t="str">
        <f t="shared" si="120"/>
        <v/>
      </c>
      <c r="HR91" s="21" t="str">
        <f t="shared" si="120"/>
        <v/>
      </c>
      <c r="HS91" s="21" t="str">
        <f t="shared" si="120"/>
        <v/>
      </c>
      <c r="HT91" s="21" t="str">
        <f t="shared" si="120"/>
        <v/>
      </c>
      <c r="HU91" s="21" t="str">
        <f t="shared" si="120"/>
        <v/>
      </c>
      <c r="HV91" s="21" t="str">
        <f t="shared" si="120"/>
        <v/>
      </c>
      <c r="HW91" s="21" t="str">
        <f t="shared" si="120"/>
        <v/>
      </c>
      <c r="HX91" s="21" t="str">
        <f t="shared" si="120"/>
        <v/>
      </c>
      <c r="HY91" s="21" t="str">
        <f t="shared" si="120"/>
        <v/>
      </c>
      <c r="HZ91" s="21" t="str">
        <f t="shared" si="120"/>
        <v/>
      </c>
      <c r="IA91" s="21" t="str">
        <f t="shared" si="120"/>
        <v/>
      </c>
      <c r="IB91" s="21" t="str">
        <f t="shared" si="120"/>
        <v/>
      </c>
      <c r="IC91" s="21" t="str">
        <f t="shared" si="120"/>
        <v/>
      </c>
      <c r="ID91" s="21" t="str">
        <f t="shared" si="120"/>
        <v/>
      </c>
      <c r="IE91" s="21" t="str">
        <f t="shared" si="120"/>
        <v/>
      </c>
      <c r="IF91" s="21" t="str">
        <f t="shared" si="120"/>
        <v/>
      </c>
      <c r="IG91" s="21" t="str">
        <f t="shared" si="120"/>
        <v/>
      </c>
      <c r="IH91" s="21" t="str">
        <f t="shared" si="120"/>
        <v/>
      </c>
      <c r="II91" s="21" t="str">
        <f t="shared" si="120"/>
        <v/>
      </c>
      <c r="IJ91" s="21" t="str">
        <f t="shared" si="120"/>
        <v/>
      </c>
      <c r="IK91" s="21" t="str">
        <f t="shared" si="120"/>
        <v/>
      </c>
      <c r="IL91" s="21" t="str">
        <f t="shared" si="120"/>
        <v/>
      </c>
      <c r="IM91" s="21" t="str">
        <f t="shared" si="120"/>
        <v/>
      </c>
      <c r="IN91" s="21" t="str">
        <f t="shared" si="120"/>
        <v/>
      </c>
      <c r="IO91" s="21" t="str">
        <f t="shared" si="120"/>
        <v/>
      </c>
      <c r="IP91" s="21" t="str">
        <f t="shared" si="120"/>
        <v/>
      </c>
      <c r="IQ91" s="21" t="str">
        <f t="shared" si="120"/>
        <v/>
      </c>
      <c r="IR91" s="21" t="str">
        <f t="shared" si="120"/>
        <v/>
      </c>
      <c r="IS91" s="21" t="str">
        <f t="shared" si="120"/>
        <v/>
      </c>
      <c r="IT91" s="21" t="str">
        <f t="shared" si="120"/>
        <v/>
      </c>
      <c r="IU91" s="21" t="str">
        <f t="shared" si="120"/>
        <v/>
      </c>
      <c r="IV91" s="21" t="str">
        <f t="shared" si="120"/>
        <v/>
      </c>
      <c r="IW91" s="21" t="str">
        <f t="shared" si="120"/>
        <v/>
      </c>
      <c r="IX91" s="21" t="str">
        <f t="shared" si="120"/>
        <v/>
      </c>
      <c r="IY91" s="21" t="str">
        <f t="shared" si="120"/>
        <v/>
      </c>
      <c r="IZ91" s="21" t="str">
        <f t="shared" si="120"/>
        <v/>
      </c>
      <c r="JA91" s="21" t="str">
        <f t="shared" si="120"/>
        <v/>
      </c>
      <c r="JB91" s="21" t="str">
        <f t="shared" si="120"/>
        <v/>
      </c>
      <c r="JC91" s="21" t="str">
        <f t="shared" si="120"/>
        <v/>
      </c>
      <c r="JD91" s="21" t="str">
        <f t="shared" si="120"/>
        <v/>
      </c>
      <c r="JE91" s="21" t="str">
        <f t="shared" si="120"/>
        <v/>
      </c>
      <c r="JF91" s="21" t="str">
        <f t="shared" si="120"/>
        <v/>
      </c>
      <c r="JG91" s="21" t="str">
        <f t="shared" si="120"/>
        <v/>
      </c>
      <c r="JH91" s="21" t="str">
        <f t="shared" si="120"/>
        <v/>
      </c>
    </row>
    <row r="92" spans="1:336" x14ac:dyDescent="0.25"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1">
        <f t="shared" ref="AA92:CL92" ca="1" si="121">IF(AA12="","",AVERAGE(P66:Z66)+CONFIDENCE(0.05,STDEV(B66:Z66),COUNT(B66:Z66)))</f>
        <v>2.1342366094060882E-2</v>
      </c>
      <c r="AB92" s="21">
        <f t="shared" ca="1" si="121"/>
        <v>2.0156863117287344E-2</v>
      </c>
      <c r="AC92" s="21">
        <f t="shared" ca="1" si="121"/>
        <v>1.8384516520635271E-2</v>
      </c>
      <c r="AD92" s="21">
        <f t="shared" ca="1" si="121"/>
        <v>1.7162597744082235E-2</v>
      </c>
      <c r="AE92" s="21">
        <f t="shared" ca="1" si="121"/>
        <v>1.5896354909330446E-2</v>
      </c>
      <c r="AF92" s="21">
        <f t="shared" ca="1" si="121"/>
        <v>1.5397572476515502E-2</v>
      </c>
      <c r="AG92" s="21">
        <f t="shared" ca="1" si="121"/>
        <v>1.5356058655712431E-2</v>
      </c>
      <c r="AH92" s="21">
        <f t="shared" ca="1" si="121"/>
        <v>1.4167877603920111E-2</v>
      </c>
      <c r="AI92" s="21">
        <f t="shared" ca="1" si="121"/>
        <v>1.3099211083027902E-2</v>
      </c>
      <c r="AJ92" s="21">
        <f t="shared" ca="1" si="121"/>
        <v>1.146590058979831E-2</v>
      </c>
      <c r="AK92" s="21">
        <f t="shared" ca="1" si="121"/>
        <v>1.0910205120868804E-2</v>
      </c>
      <c r="AL92" s="21">
        <f t="shared" ca="1" si="121"/>
        <v>1.0740676192860546E-2</v>
      </c>
      <c r="AM92" s="21">
        <f t="shared" ca="1" si="121"/>
        <v>1.0343353329853436E-2</v>
      </c>
      <c r="AN92" s="21">
        <f t="shared" ca="1" si="121"/>
        <v>1.0862618060217589E-2</v>
      </c>
      <c r="AO92" s="21">
        <f t="shared" ca="1" si="121"/>
        <v>1.0817053924132554E-2</v>
      </c>
      <c r="AP92" s="21">
        <f t="shared" ca="1" si="121"/>
        <v>1.1660020725777299E-2</v>
      </c>
      <c r="AQ92" s="21">
        <f t="shared" ca="1" si="121"/>
        <v>1.2214251106405288E-2</v>
      </c>
      <c r="AR92" s="21">
        <f t="shared" ca="1" si="121"/>
        <v>1.3520836790391511E-2</v>
      </c>
      <c r="AS92" s="21">
        <f t="shared" ca="1" si="121"/>
        <v>1.4591274550816137E-2</v>
      </c>
      <c r="AT92" s="21">
        <f t="shared" ca="1" si="121"/>
        <v>1.563080210555759E-2</v>
      </c>
      <c r="AU92" s="21">
        <f t="shared" ca="1" si="121"/>
        <v>1.7314158293248262E-2</v>
      </c>
      <c r="AV92" s="21">
        <f t="shared" ca="1" si="121"/>
        <v>1.9535137634398833E-2</v>
      </c>
      <c r="AW92" s="21">
        <f t="shared" ca="1" si="121"/>
        <v>2.2275349063986108E-2</v>
      </c>
      <c r="AX92" s="21">
        <f t="shared" ca="1" si="121"/>
        <v>2.5506850826772079E-2</v>
      </c>
      <c r="AY92" s="21">
        <f t="shared" ca="1" si="121"/>
        <v>2.9339490996726073E-2</v>
      </c>
      <c r="AZ92" s="21">
        <f t="shared" ca="1" si="121"/>
        <v>3.4308058655845755E-2</v>
      </c>
      <c r="BA92" s="21">
        <f t="shared" ca="1" si="121"/>
        <v>3.9298054056763676E-2</v>
      </c>
      <c r="BB92" s="21">
        <f t="shared" ca="1" si="121"/>
        <v>4.4972615428143257E-2</v>
      </c>
      <c r="BC92" s="21">
        <f t="shared" ca="1" si="121"/>
        <v>5.0245427119105443E-2</v>
      </c>
      <c r="BD92" s="21">
        <f t="shared" ca="1" si="121"/>
        <v>5.555849416331711E-2</v>
      </c>
      <c r="BE92" s="21">
        <f t="shared" ca="1" si="121"/>
        <v>5.8448921485495756E-2</v>
      </c>
      <c r="BF92" s="21">
        <f t="shared" ca="1" si="121"/>
        <v>6.1152915689217872E-2</v>
      </c>
      <c r="BG92" s="21">
        <f t="shared" ca="1" si="121"/>
        <v>6.3430208489917941E-2</v>
      </c>
      <c r="BH92" s="21">
        <f t="shared" ca="1" si="121"/>
        <v>6.3517993599775308E-2</v>
      </c>
      <c r="BI92" s="21">
        <f t="shared" ca="1" si="121"/>
        <v>6.0202575101548021E-2</v>
      </c>
      <c r="BJ92" s="21">
        <f t="shared" ca="1" si="121"/>
        <v>5.8852294077857692E-2</v>
      </c>
      <c r="BK92" s="21">
        <f t="shared" ca="1" si="121"/>
        <v>5.602568602786008E-2</v>
      </c>
      <c r="BL92" s="21">
        <f t="shared" ca="1" si="121"/>
        <v>5.318089912843408E-2</v>
      </c>
      <c r="BM92" s="21">
        <f t="shared" ca="1" si="121"/>
        <v>5.2154959206773002E-2</v>
      </c>
      <c r="BN92" s="21">
        <f t="shared" ca="1" si="121"/>
        <v>5.2140631696902889E-2</v>
      </c>
      <c r="BO92" s="21">
        <f t="shared" ca="1" si="121"/>
        <v>4.9380164979377292E-2</v>
      </c>
      <c r="BP92" s="21">
        <f t="shared" ca="1" si="121"/>
        <v>4.6505420949080056E-2</v>
      </c>
      <c r="BQ92" s="21">
        <f t="shared" ca="1" si="121"/>
        <v>4.3680250262935191E-2</v>
      </c>
      <c r="BR92" s="21">
        <f t="shared" ca="1" si="121"/>
        <v>4.0631455030723393E-2</v>
      </c>
      <c r="BS92" s="21">
        <f t="shared" ca="1" si="121"/>
        <v>3.7616775127324496E-2</v>
      </c>
      <c r="BT92" s="21">
        <f t="shared" ca="1" si="121"/>
        <v>3.8611942524061443E-2</v>
      </c>
      <c r="BU92" s="21">
        <f t="shared" ca="1" si="121"/>
        <v>3.6535067255057077E-2</v>
      </c>
      <c r="BV92" s="21">
        <f t="shared" ca="1" si="121"/>
        <v>3.5055690778930532E-2</v>
      </c>
      <c r="BW92" s="21">
        <f t="shared" ca="1" si="121"/>
        <v>3.3088420711147815E-2</v>
      </c>
      <c r="BX92" s="21">
        <f t="shared" ca="1" si="121"/>
        <v>2.8680772442557085E-2</v>
      </c>
      <c r="BY92" s="21">
        <f t="shared" ca="1" si="121"/>
        <v>2.3642170820170706E-2</v>
      </c>
      <c r="BZ92" s="21">
        <f t="shared" ca="1" si="121"/>
        <v>2.1035015824864417E-2</v>
      </c>
      <c r="CA92" s="21">
        <f t="shared" ca="1" si="121"/>
        <v>1.9097695059947274E-2</v>
      </c>
      <c r="CB92" s="21">
        <f t="shared" ca="1" si="121"/>
        <v>1.7010401721530816E-2</v>
      </c>
      <c r="CC92" s="21">
        <f t="shared" ca="1" si="121"/>
        <v>1.4808218328164847E-2</v>
      </c>
      <c r="CD92" s="21">
        <f t="shared" ca="1" si="121"/>
        <v>1.5217270922217287E-2</v>
      </c>
      <c r="CE92" s="21">
        <f t="shared" ca="1" si="121"/>
        <v>1.4230038211372888E-2</v>
      </c>
      <c r="CF92" s="21">
        <f t="shared" ca="1" si="121"/>
        <v>1.3453149869642632E-2</v>
      </c>
      <c r="CG92" s="21">
        <f t="shared" ca="1" si="121"/>
        <v>1.3003606955451908E-2</v>
      </c>
      <c r="CH92" s="21">
        <f t="shared" ca="1" si="121"/>
        <v>1.2263518295723079E-2</v>
      </c>
      <c r="CI92" s="21">
        <f t="shared" ca="1" si="121"/>
        <v>1.3088394886793749E-2</v>
      </c>
      <c r="CJ92" s="21">
        <f t="shared" ca="1" si="121"/>
        <v>1.367787431166272E-2</v>
      </c>
      <c r="CK92" s="21">
        <f t="shared" ca="1" si="121"/>
        <v>1.2900621335416643E-2</v>
      </c>
      <c r="CL92" s="21">
        <f t="shared" ca="1" si="121"/>
        <v>1.3200556907920278E-2</v>
      </c>
      <c r="CM92" s="21">
        <f t="shared" ref="CM92:EX92" ca="1" si="122">IF(CM12="","",AVERAGE(CB66:CL66)+CONFIDENCE(0.05,STDEV(BN66:CL66),COUNT(BN66:CL66)))</f>
        <v>1.3138895195199759E-2</v>
      </c>
      <c r="CN92" s="21">
        <f t="shared" ca="1" si="122"/>
        <v>1.4183138519943166E-2</v>
      </c>
      <c r="CO92" s="21">
        <f t="shared" ca="1" si="122"/>
        <v>1.4479093394552677E-2</v>
      </c>
      <c r="CP92" s="21">
        <f t="shared" ca="1" si="122"/>
        <v>1.5385433861679898E-2</v>
      </c>
      <c r="CQ92" s="21">
        <f t="shared" ca="1" si="122"/>
        <v>1.6224176221135787E-2</v>
      </c>
      <c r="CR92" s="21">
        <f t="shared" ca="1" si="122"/>
        <v>1.7236648568787923E-2</v>
      </c>
      <c r="CS92" s="21">
        <f t="shared" ca="1" si="122"/>
        <v>1.7319361132120289E-2</v>
      </c>
      <c r="CT92" s="21">
        <f t="shared" ca="1" si="122"/>
        <v>1.6235663290738906E-2</v>
      </c>
      <c r="CU92" s="21">
        <f t="shared" ca="1" si="122"/>
        <v>1.6685246236827447E-2</v>
      </c>
      <c r="CV92" s="21">
        <f t="shared" ca="1" si="122"/>
        <v>1.7366787323436009E-2</v>
      </c>
      <c r="CW92" s="21">
        <f t="shared" ca="1" si="122"/>
        <v>1.6709233831137333E-2</v>
      </c>
      <c r="CX92" s="21">
        <f t="shared" ca="1" si="122"/>
        <v>1.5606457871919045E-2</v>
      </c>
      <c r="CY92" s="21">
        <f t="shared" ca="1" si="122"/>
        <v>1.4165012418080887E-2</v>
      </c>
      <c r="CZ92" s="21">
        <f t="shared" ca="1" si="122"/>
        <v>1.3784124437237758E-2</v>
      </c>
      <c r="DA92" s="21">
        <f t="shared" ca="1" si="122"/>
        <v>1.4126600476332506E-2</v>
      </c>
      <c r="DB92" s="21">
        <f t="shared" ca="1" si="122"/>
        <v>1.2631210329240887E-2</v>
      </c>
      <c r="DC92" s="21">
        <f t="shared" ca="1" si="122"/>
        <v>1.1802446838224118E-2</v>
      </c>
      <c r="DD92" s="21">
        <f t="shared" ca="1" si="122"/>
        <v>1.1863694385210396E-2</v>
      </c>
      <c r="DE92" s="21">
        <f t="shared" ca="1" si="122"/>
        <v>1.2025903796815576E-2</v>
      </c>
      <c r="DF92" s="21">
        <f t="shared" ca="1" si="122"/>
        <v>1.3784397218292034E-2</v>
      </c>
      <c r="DG92" s="21">
        <f t="shared" ca="1" si="122"/>
        <v>1.5782004900746282E-2</v>
      </c>
      <c r="DH92" s="21">
        <f t="shared" ca="1" si="122"/>
        <v>1.7863758164567756E-2</v>
      </c>
      <c r="DI92" s="21">
        <f t="shared" ca="1" si="122"/>
        <v>1.996980401280582E-2</v>
      </c>
      <c r="DJ92" s="21">
        <f t="shared" ca="1" si="122"/>
        <v>2.2742201357328875E-2</v>
      </c>
      <c r="DK92" s="21">
        <f t="shared" ca="1" si="122"/>
        <v>2.5321568149647575E-2</v>
      </c>
      <c r="DL92" s="21">
        <f t="shared" ca="1" si="122"/>
        <v>2.5944260138277851E-2</v>
      </c>
      <c r="DM92" s="21">
        <f t="shared" ca="1" si="122"/>
        <v>2.9349326211477473E-2</v>
      </c>
      <c r="DN92" s="21">
        <f t="shared" ca="1" si="122"/>
        <v>3.2977563710595181E-2</v>
      </c>
      <c r="DO92" s="21">
        <f t="shared" ca="1" si="122"/>
        <v>3.6093015612232486E-2</v>
      </c>
      <c r="DP92" s="21">
        <f t="shared" ca="1" si="122"/>
        <v>3.8521500539032805E-2</v>
      </c>
      <c r="DQ92" s="21">
        <f t="shared" ca="1" si="122"/>
        <v>3.6448549943293385E-2</v>
      </c>
      <c r="DR92" s="21">
        <f t="shared" ca="1" si="122"/>
        <v>3.4566518878022416E-2</v>
      </c>
      <c r="DS92" s="21">
        <f t="shared" ca="1" si="122"/>
        <v>3.230562366093058E-2</v>
      </c>
      <c r="DT92" s="21">
        <f t="shared" ca="1" si="122"/>
        <v>3.0517450978453983E-2</v>
      </c>
      <c r="DU92" s="21">
        <f t="shared" ca="1" si="122"/>
        <v>2.8646596854371365E-2</v>
      </c>
      <c r="DV92" s="21">
        <f t="shared" ca="1" si="122"/>
        <v>2.6621246780084429E-2</v>
      </c>
      <c r="DW92" s="21">
        <f t="shared" ca="1" si="122"/>
        <v>2.4823428160067683E-2</v>
      </c>
      <c r="DX92" s="21">
        <f t="shared" ca="1" si="122"/>
        <v>2.2270351539912591E-2</v>
      </c>
      <c r="DY92" s="21">
        <f t="shared" ca="1" si="122"/>
        <v>2.0221536082355461E-2</v>
      </c>
      <c r="DZ92" s="21">
        <f t="shared" ca="1" si="122"/>
        <v>1.9143866414873919E-2</v>
      </c>
      <c r="EA92" s="21">
        <f t="shared" ca="1" si="122"/>
        <v>1.8558399024272136E-2</v>
      </c>
      <c r="EB92" s="21">
        <f t="shared" ca="1" si="122"/>
        <v>1.871955589774173E-2</v>
      </c>
      <c r="EC92" s="21">
        <f t="shared" ca="1" si="122"/>
        <v>1.8839702916989356E-2</v>
      </c>
      <c r="ED92" s="21">
        <f t="shared" ca="1" si="122"/>
        <v>1.856029618746094E-2</v>
      </c>
      <c r="EE92" s="21">
        <f t="shared" ca="1" si="122"/>
        <v>1.8008634492057099E-2</v>
      </c>
      <c r="EF92" s="21">
        <f t="shared" ca="1" si="122"/>
        <v>1.7634416722718378E-2</v>
      </c>
      <c r="EG92" s="21">
        <f t="shared" ca="1" si="122"/>
        <v>1.6591107358064169E-2</v>
      </c>
      <c r="EH92" s="21">
        <f t="shared" ca="1" si="122"/>
        <v>1.7255240859768706E-2</v>
      </c>
      <c r="EI92" s="21">
        <f t="shared" ca="1" si="122"/>
        <v>1.79630723820654E-2</v>
      </c>
      <c r="EJ92" s="21">
        <f t="shared" ca="1" si="122"/>
        <v>1.7203644400713713E-2</v>
      </c>
      <c r="EK92" s="21">
        <f t="shared" ca="1" si="122"/>
        <v>1.5614060487035281E-2</v>
      </c>
      <c r="EL92" s="21">
        <f t="shared" ca="1" si="122"/>
        <v>1.3304179821125922E-2</v>
      </c>
      <c r="EM92" s="21">
        <f t="shared" ca="1" si="122"/>
        <v>1.2895782341622137E-2</v>
      </c>
      <c r="EN92" s="21">
        <f t="shared" ca="1" si="122"/>
        <v>1.1830763331842168E-2</v>
      </c>
      <c r="EO92" s="21">
        <f t="shared" ca="1" si="122"/>
        <v>1.2047108846025849E-2</v>
      </c>
      <c r="EP92" s="21">
        <f t="shared" ca="1" si="122"/>
        <v>1.1869111394448285E-2</v>
      </c>
      <c r="EQ92" s="21">
        <f t="shared" ca="1" si="122"/>
        <v>1.1034228544021946E-2</v>
      </c>
      <c r="ER92" s="21">
        <f t="shared" ca="1" si="122"/>
        <v>1.1610275851271515E-2</v>
      </c>
      <c r="ES92" s="21">
        <f t="shared" ca="1" si="122"/>
        <v>1.1328793476193696E-2</v>
      </c>
      <c r="ET92" s="21">
        <f t="shared" ca="1" si="122"/>
        <v>1.0441943071959619E-2</v>
      </c>
      <c r="EU92" s="21">
        <f t="shared" ca="1" si="122"/>
        <v>9.8091352779204697E-3</v>
      </c>
      <c r="EV92" s="21">
        <f t="shared" ca="1" si="122"/>
        <v>1.0235664386501078E-2</v>
      </c>
      <c r="EW92" s="21">
        <f t="shared" ca="1" si="122"/>
        <v>1.0476329465674332E-2</v>
      </c>
      <c r="EX92" s="21">
        <f t="shared" ca="1" si="122"/>
        <v>9.390755533240279E-3</v>
      </c>
      <c r="EY92" s="21">
        <f t="shared" ref="EY92:HJ92" ca="1" si="123">IF(EY12="","",AVERAGE(EN66:EX66)+CONFIDENCE(0.05,STDEV(DZ66:EX66),COUNT(DZ66:EX66)))</f>
        <v>1.000088432020467E-2</v>
      </c>
      <c r="EZ92" s="21">
        <f t="shared" ca="1" si="123"/>
        <v>1.0428210283040739E-2</v>
      </c>
      <c r="FA92" s="21">
        <f t="shared" ca="1" si="123"/>
        <v>1.0672712056931053E-2</v>
      </c>
      <c r="FB92" s="21">
        <f t="shared" ca="1" si="123"/>
        <v>1.1231409469467234E-2</v>
      </c>
      <c r="FC92" s="21">
        <f t="shared" ca="1" si="123"/>
        <v>1.1234666789563632E-2</v>
      </c>
      <c r="FD92" s="21">
        <f t="shared" ca="1" si="123"/>
        <v>1.0680410869479004E-2</v>
      </c>
      <c r="FE92" s="21">
        <f t="shared" ca="1" si="123"/>
        <v>1.0430143456845262E-2</v>
      </c>
      <c r="FF92" s="21">
        <f t="shared" ca="1" si="123"/>
        <v>9.8560571472176544E-3</v>
      </c>
      <c r="FG92" s="21">
        <f t="shared" ca="1" si="123"/>
        <v>1.009908904973441E-2</v>
      </c>
      <c r="FH92" s="21">
        <f t="shared" ca="1" si="123"/>
        <v>1.0510979005601538E-2</v>
      </c>
      <c r="FI92" s="21">
        <f t="shared" ca="1" si="123"/>
        <v>1.0227229598241159E-2</v>
      </c>
      <c r="FJ92" s="21">
        <f t="shared" ca="1" si="123"/>
        <v>8.8643037400207639E-3</v>
      </c>
      <c r="FK92" s="21">
        <f t="shared" ca="1" si="123"/>
        <v>9.4186776626189427E-3</v>
      </c>
      <c r="FL92" s="21">
        <f t="shared" ca="1" si="123"/>
        <v>9.2003773110373929E-3</v>
      </c>
      <c r="FM92" s="21">
        <f t="shared" ca="1" si="123"/>
        <v>8.8265025021154377E-3</v>
      </c>
      <c r="FN92" s="21">
        <f t="shared" ca="1" si="123"/>
        <v>8.4939311744890549E-3</v>
      </c>
      <c r="FO92" s="21">
        <f t="shared" ca="1" si="123"/>
        <v>8.4709159077042528E-3</v>
      </c>
      <c r="FP92" s="21">
        <f t="shared" ca="1" si="123"/>
        <v>8.0790429893909058E-3</v>
      </c>
      <c r="FQ92" s="21">
        <f t="shared" ca="1" si="123"/>
        <v>8.0894285849858211E-3</v>
      </c>
      <c r="FR92" s="21">
        <f t="shared" ca="1" si="123"/>
        <v>7.2229761652930578E-3</v>
      </c>
      <c r="FS92" s="21">
        <f t="shared" ca="1" si="123"/>
        <v>6.5258373425422147E-3</v>
      </c>
      <c r="FT92" s="21">
        <f t="shared" ca="1" si="123"/>
        <v>6.6066284807651801E-3</v>
      </c>
      <c r="FU92" s="21">
        <f t="shared" ca="1" si="123"/>
        <v>6.5921135268318179E-3</v>
      </c>
      <c r="FV92" s="21">
        <f t="shared" ca="1" si="123"/>
        <v>5.36855735923182E-3</v>
      </c>
      <c r="FW92" s="21">
        <f t="shared" ca="1" si="123"/>
        <v>6.6487370101260077E-3</v>
      </c>
      <c r="FX92" s="21">
        <f t="shared" ca="1" si="123"/>
        <v>6.6515510457201867E-3</v>
      </c>
      <c r="FY92" s="21">
        <f t="shared" ca="1" si="123"/>
        <v>7.3462877778658429E-3</v>
      </c>
      <c r="FZ92" s="21">
        <f t="shared" ca="1" si="123"/>
        <v>6.9292674535140365E-3</v>
      </c>
      <c r="GA92" s="21">
        <f t="shared" ca="1" si="123"/>
        <v>7.6590040274820241E-3</v>
      </c>
      <c r="GB92" s="21">
        <f t="shared" ca="1" si="123"/>
        <v>7.634751019141902E-3</v>
      </c>
      <c r="GC92" s="21">
        <f t="shared" ca="1" si="123"/>
        <v>7.5531098332066718E-3</v>
      </c>
      <c r="GD92" s="21">
        <f t="shared" ca="1" si="123"/>
        <v>8.3829660717978788E-3</v>
      </c>
      <c r="GE92" s="21">
        <f t="shared" ca="1" si="123"/>
        <v>8.9209326074933121E-3</v>
      </c>
      <c r="GF92" s="21">
        <f t="shared" ca="1" si="123"/>
        <v>1.1787302347900378E-2</v>
      </c>
      <c r="GG92" s="21">
        <f t="shared" ca="1" si="123"/>
        <v>2.0150332642888943E-2</v>
      </c>
      <c r="GH92" s="21">
        <f t="shared" ca="1" si="123"/>
        <v>2.6446188942493273E-2</v>
      </c>
      <c r="GI92" s="21">
        <f t="shared" ca="1" si="123"/>
        <v>3.1794650699304899E-2</v>
      </c>
      <c r="GJ92" s="21">
        <f t="shared" ca="1" si="123"/>
        <v>3.5959122380184741E-2</v>
      </c>
      <c r="GK92" s="21">
        <f t="shared" ca="1" si="123"/>
        <v>4.0733073119895956E-2</v>
      </c>
      <c r="GL92" s="21">
        <f t="shared" ca="1" si="123"/>
        <v>4.3889844818145042E-2</v>
      </c>
      <c r="GM92" s="21">
        <f t="shared" ca="1" si="123"/>
        <v>4.733266964778296E-2</v>
      </c>
      <c r="GN92" s="21">
        <f t="shared" ca="1" si="123"/>
        <v>4.9357848717466499E-2</v>
      </c>
      <c r="GO92" s="21">
        <f t="shared" ca="1" si="123"/>
        <v>5.162443390712422E-2</v>
      </c>
      <c r="GP92" s="21">
        <f t="shared" ca="1" si="123"/>
        <v>5.0947489062744607E-2</v>
      </c>
      <c r="GQ92" s="21">
        <f t="shared" ca="1" si="123"/>
        <v>5.2587064384642654E-2</v>
      </c>
      <c r="GR92" s="21">
        <f t="shared" ca="1" si="123"/>
        <v>5.024835915462026E-2</v>
      </c>
      <c r="GS92" s="21">
        <f t="shared" ca="1" si="123"/>
        <v>4.7206485242351631E-2</v>
      </c>
      <c r="GT92" s="21">
        <f t="shared" ca="1" si="123"/>
        <v>4.4707926873980161E-2</v>
      </c>
      <c r="GU92" s="21">
        <f t="shared" ca="1" si="123"/>
        <v>4.2153171038535671E-2</v>
      </c>
      <c r="GV92" s="21">
        <f t="shared" ca="1" si="123"/>
        <v>3.9239435309454146E-2</v>
      </c>
      <c r="GW92" s="21">
        <f t="shared" ca="1" si="123"/>
        <v>3.6280772350067207E-2</v>
      </c>
      <c r="GX92" s="21">
        <f t="shared" ca="1" si="123"/>
        <v>3.2702009693312023E-2</v>
      </c>
      <c r="GY92" s="21">
        <f t="shared" ca="1" si="123"/>
        <v>3.1693258870519311E-2</v>
      </c>
      <c r="GZ92" s="21">
        <f t="shared" ca="1" si="123"/>
        <v>1.6351181470358543E-2</v>
      </c>
      <c r="HA92" s="21" t="str">
        <f t="shared" si="123"/>
        <v/>
      </c>
      <c r="HB92" s="21" t="str">
        <f t="shared" si="123"/>
        <v/>
      </c>
      <c r="HC92" s="21" t="str">
        <f t="shared" si="123"/>
        <v/>
      </c>
      <c r="HD92" s="21" t="str">
        <f t="shared" si="123"/>
        <v/>
      </c>
      <c r="HE92" s="21" t="str">
        <f t="shared" si="123"/>
        <v/>
      </c>
      <c r="HF92" s="21" t="str">
        <f t="shared" si="123"/>
        <v/>
      </c>
      <c r="HG92" s="21" t="str">
        <f t="shared" si="123"/>
        <v/>
      </c>
      <c r="HH92" s="21" t="str">
        <f t="shared" si="123"/>
        <v/>
      </c>
      <c r="HI92" s="21" t="str">
        <f t="shared" si="123"/>
        <v/>
      </c>
      <c r="HJ92" s="21" t="str">
        <f t="shared" si="123"/>
        <v/>
      </c>
      <c r="HK92" s="21" t="str">
        <f t="shared" ref="HK92:JH92" si="124">IF(HK12="","",AVERAGE(GZ66:HJ66)+CONFIDENCE(0.05,STDEV(GL66:HJ66),COUNT(GL66:HJ66)))</f>
        <v/>
      </c>
      <c r="HL92" s="21" t="str">
        <f t="shared" si="124"/>
        <v/>
      </c>
      <c r="HM92" s="21" t="str">
        <f t="shared" si="124"/>
        <v/>
      </c>
      <c r="HN92" s="21" t="str">
        <f t="shared" si="124"/>
        <v/>
      </c>
      <c r="HO92" s="21" t="str">
        <f t="shared" si="124"/>
        <v/>
      </c>
      <c r="HP92" s="21" t="str">
        <f t="shared" si="124"/>
        <v/>
      </c>
      <c r="HQ92" s="21" t="str">
        <f t="shared" si="124"/>
        <v/>
      </c>
      <c r="HR92" s="21" t="str">
        <f t="shared" si="124"/>
        <v/>
      </c>
      <c r="HS92" s="21" t="str">
        <f t="shared" si="124"/>
        <v/>
      </c>
      <c r="HT92" s="21" t="str">
        <f t="shared" si="124"/>
        <v/>
      </c>
      <c r="HU92" s="21" t="str">
        <f t="shared" si="124"/>
        <v/>
      </c>
      <c r="HV92" s="21" t="str">
        <f t="shared" si="124"/>
        <v/>
      </c>
      <c r="HW92" s="21" t="str">
        <f t="shared" si="124"/>
        <v/>
      </c>
      <c r="HX92" s="21" t="str">
        <f t="shared" si="124"/>
        <v/>
      </c>
      <c r="HY92" s="21" t="str">
        <f t="shared" si="124"/>
        <v/>
      </c>
      <c r="HZ92" s="21" t="str">
        <f t="shared" si="124"/>
        <v/>
      </c>
      <c r="IA92" s="21" t="str">
        <f t="shared" si="124"/>
        <v/>
      </c>
      <c r="IB92" s="21" t="str">
        <f t="shared" si="124"/>
        <v/>
      </c>
      <c r="IC92" s="21" t="str">
        <f t="shared" si="124"/>
        <v/>
      </c>
      <c r="ID92" s="21" t="str">
        <f t="shared" si="124"/>
        <v/>
      </c>
      <c r="IE92" s="21" t="str">
        <f t="shared" si="124"/>
        <v/>
      </c>
      <c r="IF92" s="21" t="str">
        <f t="shared" si="124"/>
        <v/>
      </c>
      <c r="IG92" s="21" t="str">
        <f t="shared" si="124"/>
        <v/>
      </c>
      <c r="IH92" s="21" t="str">
        <f t="shared" si="124"/>
        <v/>
      </c>
      <c r="II92" s="21" t="str">
        <f t="shared" si="124"/>
        <v/>
      </c>
      <c r="IJ92" s="21" t="str">
        <f t="shared" si="124"/>
        <v/>
      </c>
      <c r="IK92" s="21" t="str">
        <f t="shared" si="124"/>
        <v/>
      </c>
      <c r="IL92" s="21" t="str">
        <f t="shared" si="124"/>
        <v/>
      </c>
      <c r="IM92" s="21" t="str">
        <f t="shared" si="124"/>
        <v/>
      </c>
      <c r="IN92" s="21" t="str">
        <f t="shared" si="124"/>
        <v/>
      </c>
      <c r="IO92" s="21" t="str">
        <f t="shared" si="124"/>
        <v/>
      </c>
      <c r="IP92" s="21" t="str">
        <f t="shared" si="124"/>
        <v/>
      </c>
      <c r="IQ92" s="21" t="str">
        <f t="shared" si="124"/>
        <v/>
      </c>
      <c r="IR92" s="21" t="str">
        <f t="shared" si="124"/>
        <v/>
      </c>
      <c r="IS92" s="21" t="str">
        <f t="shared" si="124"/>
        <v/>
      </c>
      <c r="IT92" s="21" t="str">
        <f t="shared" si="124"/>
        <v/>
      </c>
      <c r="IU92" s="21" t="str">
        <f t="shared" si="124"/>
        <v/>
      </c>
      <c r="IV92" s="21" t="str">
        <f t="shared" si="124"/>
        <v/>
      </c>
      <c r="IW92" s="21" t="str">
        <f t="shared" si="124"/>
        <v/>
      </c>
      <c r="IX92" s="21" t="str">
        <f t="shared" si="124"/>
        <v/>
      </c>
      <c r="IY92" s="21" t="str">
        <f t="shared" si="124"/>
        <v/>
      </c>
      <c r="IZ92" s="21" t="str">
        <f t="shared" si="124"/>
        <v/>
      </c>
      <c r="JA92" s="21" t="str">
        <f t="shared" si="124"/>
        <v/>
      </c>
      <c r="JB92" s="21" t="str">
        <f t="shared" si="124"/>
        <v/>
      </c>
      <c r="JC92" s="21" t="str">
        <f t="shared" si="124"/>
        <v/>
      </c>
      <c r="JD92" s="21" t="str">
        <f t="shared" si="124"/>
        <v/>
      </c>
      <c r="JE92" s="21" t="str">
        <f t="shared" si="124"/>
        <v/>
      </c>
      <c r="JF92" s="21" t="str">
        <f t="shared" si="124"/>
        <v/>
      </c>
      <c r="JG92" s="21" t="str">
        <f t="shared" si="124"/>
        <v/>
      </c>
      <c r="JH92" s="21" t="str">
        <f t="shared" si="124"/>
        <v/>
      </c>
    </row>
    <row r="93" spans="1:336" x14ac:dyDescent="0.25"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1">
        <f t="shared" ref="AA93:CL93" ca="1" si="125">IF(AA13="","",AVERAGE(O67:Z67)+CONFIDENCE(0.05,STDEV(B67:Z67),COUNT(B67:Z67)))</f>
        <v>2.2805946672122407E-2</v>
      </c>
      <c r="AB93" s="21">
        <f t="shared" ca="1" si="125"/>
        <v>2.1709662887878751E-2</v>
      </c>
      <c r="AC93" s="21">
        <f t="shared" ca="1" si="125"/>
        <v>2.0022224224888509E-2</v>
      </c>
      <c r="AD93" s="21">
        <f t="shared" ca="1" si="125"/>
        <v>1.8702510451650153E-2</v>
      </c>
      <c r="AE93" s="21">
        <f t="shared" ca="1" si="125"/>
        <v>1.715165235912405E-2</v>
      </c>
      <c r="AF93" s="21">
        <f t="shared" ca="1" si="125"/>
        <v>1.5783252346443028E-2</v>
      </c>
      <c r="AG93" s="21">
        <f t="shared" ca="1" si="125"/>
        <v>1.5245359811099021E-2</v>
      </c>
      <c r="AH93" s="21">
        <f t="shared" ca="1" si="125"/>
        <v>1.5130917466658681E-2</v>
      </c>
      <c r="AI93" s="21">
        <f t="shared" ca="1" si="125"/>
        <v>1.4160754266191539E-2</v>
      </c>
      <c r="AJ93" s="21">
        <f t="shared" ca="1" si="125"/>
        <v>1.2703454259117739E-2</v>
      </c>
      <c r="AK93" s="21">
        <f t="shared" ca="1" si="125"/>
        <v>1.1523267788518931E-2</v>
      </c>
      <c r="AL93" s="21">
        <f t="shared" ca="1" si="125"/>
        <v>1.1340482753863309E-2</v>
      </c>
      <c r="AM93" s="21">
        <f t="shared" ca="1" si="125"/>
        <v>1.1120714395698859E-2</v>
      </c>
      <c r="AN93" s="21">
        <f t="shared" ca="1" si="125"/>
        <v>1.1205132917075877E-2</v>
      </c>
      <c r="AO93" s="21">
        <f t="shared" ca="1" si="125"/>
        <v>1.1789526830274042E-2</v>
      </c>
      <c r="AP93" s="21">
        <f t="shared" ca="1" si="125"/>
        <v>1.2547594618004159E-2</v>
      </c>
      <c r="AQ93" s="21">
        <f t="shared" ca="1" si="125"/>
        <v>1.3125199309701721E-2</v>
      </c>
      <c r="AR93" s="21">
        <f t="shared" ca="1" si="125"/>
        <v>1.4193913580291501E-2</v>
      </c>
      <c r="AS93" s="21">
        <f t="shared" ca="1" si="125"/>
        <v>1.5878424941008482E-2</v>
      </c>
      <c r="AT93" s="21">
        <f t="shared" ca="1" si="125"/>
        <v>1.8195940131751014E-2</v>
      </c>
      <c r="AU93" s="21">
        <f t="shared" ca="1" si="125"/>
        <v>2.005366161699049E-2</v>
      </c>
      <c r="AV93" s="21">
        <f t="shared" ca="1" si="125"/>
        <v>2.2690888827479605E-2</v>
      </c>
      <c r="AW93" s="21">
        <f t="shared" ca="1" si="125"/>
        <v>2.6174029861908105E-2</v>
      </c>
      <c r="AX93" s="21">
        <f t="shared" ca="1" si="125"/>
        <v>3.00033661433671E-2</v>
      </c>
      <c r="AY93" s="21">
        <f t="shared" ca="1" si="125"/>
        <v>3.524871835358348E-2</v>
      </c>
      <c r="AZ93" s="21">
        <f t="shared" ca="1" si="125"/>
        <v>4.0543347504545246E-2</v>
      </c>
      <c r="BA93" s="21">
        <f t="shared" ca="1" si="125"/>
        <v>4.6362785886454261E-2</v>
      </c>
      <c r="BB93" s="21">
        <f t="shared" ca="1" si="125"/>
        <v>5.1775738929893643E-2</v>
      </c>
      <c r="BC93" s="21">
        <f t="shared" ca="1" si="125"/>
        <v>5.7226230222192476E-2</v>
      </c>
      <c r="BD93" s="21">
        <f t="shared" ca="1" si="125"/>
        <v>6.1979028605439065E-2</v>
      </c>
      <c r="BE93" s="21">
        <f t="shared" ca="1" si="125"/>
        <v>6.4329494448263538E-2</v>
      </c>
      <c r="BF93" s="21">
        <f t="shared" ca="1" si="125"/>
        <v>6.623390410401897E-2</v>
      </c>
      <c r="BG93" s="21">
        <f t="shared" ca="1" si="125"/>
        <v>6.8409484172836293E-2</v>
      </c>
      <c r="BH93" s="21">
        <f t="shared" ca="1" si="125"/>
        <v>6.8236466575067961E-2</v>
      </c>
      <c r="BI93" s="21">
        <f t="shared" ca="1" si="125"/>
        <v>6.4895350404188604E-2</v>
      </c>
      <c r="BJ93" s="21">
        <f t="shared" ca="1" si="125"/>
        <v>6.3958711474294813E-2</v>
      </c>
      <c r="BK93" s="21">
        <f t="shared" ca="1" si="125"/>
        <v>6.139556950856561E-2</v>
      </c>
      <c r="BL93" s="21">
        <f t="shared" ca="1" si="125"/>
        <v>5.9024356599020986E-2</v>
      </c>
      <c r="BM93" s="21">
        <f t="shared" ca="1" si="125"/>
        <v>5.7950882377000502E-2</v>
      </c>
      <c r="BN93" s="21">
        <f t="shared" ca="1" si="125"/>
        <v>5.7632388495382665E-2</v>
      </c>
      <c r="BO93" s="21">
        <f t="shared" ca="1" si="125"/>
        <v>5.4605915846898251E-2</v>
      </c>
      <c r="BP93" s="21">
        <f t="shared" ca="1" si="125"/>
        <v>5.0393178627622798E-2</v>
      </c>
      <c r="BQ93" s="21">
        <f t="shared" ca="1" si="125"/>
        <v>4.8166418397770069E-2</v>
      </c>
      <c r="BR93" s="21">
        <f t="shared" ca="1" si="125"/>
        <v>4.5814785952751853E-2</v>
      </c>
      <c r="BS93" s="21">
        <f t="shared" ca="1" si="125"/>
        <v>4.194751236764651E-2</v>
      </c>
      <c r="BT93" s="21">
        <f t="shared" ca="1" si="125"/>
        <v>4.0515171563855486E-2</v>
      </c>
      <c r="BU93" s="21">
        <f t="shared" ca="1" si="125"/>
        <v>4.1647570594068907E-2</v>
      </c>
      <c r="BV93" s="21">
        <f t="shared" ca="1" si="125"/>
        <v>3.9235187953692623E-2</v>
      </c>
      <c r="BW93" s="21">
        <f t="shared" ca="1" si="125"/>
        <v>3.7729164305853845E-2</v>
      </c>
      <c r="BX93" s="21">
        <f t="shared" ca="1" si="125"/>
        <v>3.4926859908350621E-2</v>
      </c>
      <c r="BY93" s="21">
        <f t="shared" ca="1" si="125"/>
        <v>3.0638052409162179E-2</v>
      </c>
      <c r="BZ93" s="21">
        <f t="shared" ca="1" si="125"/>
        <v>2.5128145083821572E-2</v>
      </c>
      <c r="CA93" s="21">
        <f t="shared" ca="1" si="125"/>
        <v>2.1562197351684666E-2</v>
      </c>
      <c r="CB93" s="21">
        <f t="shared" ca="1" si="125"/>
        <v>1.9597069983611819E-2</v>
      </c>
      <c r="CC93" s="21">
        <f t="shared" ca="1" si="125"/>
        <v>1.7466418228424423E-2</v>
      </c>
      <c r="CD93" s="21">
        <f t="shared" ca="1" si="125"/>
        <v>1.5776347665563215E-2</v>
      </c>
      <c r="CE93" s="21">
        <f t="shared" ca="1" si="125"/>
        <v>1.5962846348916374E-2</v>
      </c>
      <c r="CF93" s="21">
        <f t="shared" ca="1" si="125"/>
        <v>1.4702145281684224E-2</v>
      </c>
      <c r="CG93" s="21">
        <f t="shared" ca="1" si="125"/>
        <v>1.4208666104877915E-2</v>
      </c>
      <c r="CH93" s="21">
        <f t="shared" ca="1" si="125"/>
        <v>1.4011210313810743E-2</v>
      </c>
      <c r="CI93" s="21">
        <f t="shared" ca="1" si="125"/>
        <v>1.4321171217914418E-2</v>
      </c>
      <c r="CJ93" s="21">
        <f t="shared" ca="1" si="125"/>
        <v>1.5084213212677467E-2</v>
      </c>
      <c r="CK93" s="21">
        <f t="shared" ca="1" si="125"/>
        <v>1.4281115005594373E-2</v>
      </c>
      <c r="CL93" s="21">
        <f t="shared" ca="1" si="125"/>
        <v>1.3921080706193693E-2</v>
      </c>
      <c r="CM93" s="21">
        <f t="shared" ref="CM93:EX93" ca="1" si="126">IF(CM13="","",AVERAGE(CA67:CL67)+CONFIDENCE(0.05,STDEV(BN67:CL67),COUNT(BN67:CL67)))</f>
        <v>1.3792876409842609E-2</v>
      </c>
      <c r="CN93" s="21">
        <f t="shared" ca="1" si="126"/>
        <v>1.5031077696982253E-2</v>
      </c>
      <c r="CO93" s="21">
        <f t="shared" ca="1" si="126"/>
        <v>1.5625390708451821E-2</v>
      </c>
      <c r="CP93" s="21">
        <f t="shared" ca="1" si="126"/>
        <v>1.6199173520281406E-2</v>
      </c>
      <c r="CQ93" s="21">
        <f t="shared" ca="1" si="126"/>
        <v>1.7175423745401104E-2</v>
      </c>
      <c r="CR93" s="21">
        <f t="shared" ca="1" si="126"/>
        <v>1.8222796890948714E-2</v>
      </c>
      <c r="CS93" s="21">
        <f t="shared" ca="1" si="126"/>
        <v>1.8065335397792943E-2</v>
      </c>
      <c r="CT93" s="21">
        <f t="shared" ca="1" si="126"/>
        <v>1.7838606600118316E-2</v>
      </c>
      <c r="CU93" s="21">
        <f t="shared" ca="1" si="126"/>
        <v>1.9120841990289034E-2</v>
      </c>
      <c r="CV93" s="21">
        <f t="shared" ca="1" si="126"/>
        <v>1.8978436672505313E-2</v>
      </c>
      <c r="CW93" s="21">
        <f t="shared" ca="1" si="126"/>
        <v>1.9362863980732118E-2</v>
      </c>
      <c r="CX93" s="21">
        <f t="shared" ca="1" si="126"/>
        <v>1.8826926642655749E-2</v>
      </c>
      <c r="CY93" s="21">
        <f t="shared" ca="1" si="126"/>
        <v>1.7185302300550646E-2</v>
      </c>
      <c r="CZ93" s="21">
        <f t="shared" ca="1" si="126"/>
        <v>1.5614209142587914E-2</v>
      </c>
      <c r="DA93" s="21">
        <f t="shared" ca="1" si="126"/>
        <v>1.5842050636482738E-2</v>
      </c>
      <c r="DB93" s="21">
        <f t="shared" ca="1" si="126"/>
        <v>1.4721757810229217E-2</v>
      </c>
      <c r="DC93" s="21">
        <f t="shared" ca="1" si="126"/>
        <v>1.3441958876328493E-2</v>
      </c>
      <c r="DD93" s="21">
        <f t="shared" ca="1" si="126"/>
        <v>1.2109151900508812E-2</v>
      </c>
      <c r="DE93" s="21">
        <f t="shared" ca="1" si="126"/>
        <v>1.2406080856727206E-2</v>
      </c>
      <c r="DF93" s="21">
        <f t="shared" ca="1" si="126"/>
        <v>1.6564644040624285E-2</v>
      </c>
      <c r="DG93" s="21">
        <f t="shared" ca="1" si="126"/>
        <v>1.7428693679531173E-2</v>
      </c>
      <c r="DH93" s="21">
        <f t="shared" ca="1" si="126"/>
        <v>1.96095066463415E-2</v>
      </c>
      <c r="DI93" s="21">
        <f t="shared" ca="1" si="126"/>
        <v>2.234491150015621E-2</v>
      </c>
      <c r="DJ93" s="21">
        <f t="shared" ca="1" si="126"/>
        <v>2.4843171486900285E-2</v>
      </c>
      <c r="DK93" s="21">
        <f t="shared" ca="1" si="126"/>
        <v>2.7885290844765879E-2</v>
      </c>
      <c r="DL93" s="21">
        <f t="shared" ca="1" si="126"/>
        <v>2.9878327122558342E-2</v>
      </c>
      <c r="DM93" s="21">
        <f t="shared" ca="1" si="126"/>
        <v>3.1999124201025776E-2</v>
      </c>
      <c r="DN93" s="21">
        <f t="shared" ca="1" si="126"/>
        <v>3.588402072667269E-2</v>
      </c>
      <c r="DO93" s="21">
        <f t="shared" ca="1" si="126"/>
        <v>3.8346248173075095E-2</v>
      </c>
      <c r="DP93" s="21">
        <f t="shared" ca="1" si="126"/>
        <v>4.0617872506675604E-2</v>
      </c>
      <c r="DQ93" s="21">
        <f t="shared" ca="1" si="126"/>
        <v>4.138706452105112E-2</v>
      </c>
      <c r="DR93" s="21">
        <f t="shared" ca="1" si="126"/>
        <v>3.8819993676143159E-2</v>
      </c>
      <c r="DS93" s="21">
        <f t="shared" ca="1" si="126"/>
        <v>3.5874554245845604E-2</v>
      </c>
      <c r="DT93" s="21">
        <f t="shared" ca="1" si="126"/>
        <v>3.4177487640898049E-2</v>
      </c>
      <c r="DU93" s="21">
        <f t="shared" ca="1" si="126"/>
        <v>3.2354622938427884E-2</v>
      </c>
      <c r="DV93" s="21">
        <f t="shared" ca="1" si="126"/>
        <v>3.0518390324033418E-2</v>
      </c>
      <c r="DW93" s="21">
        <f t="shared" ca="1" si="126"/>
        <v>2.815640338131346E-2</v>
      </c>
      <c r="DX93" s="21">
        <f t="shared" ca="1" si="126"/>
        <v>2.6373827953186792E-2</v>
      </c>
      <c r="DY93" s="21">
        <f t="shared" ca="1" si="126"/>
        <v>2.4813585268461384E-2</v>
      </c>
      <c r="DZ93" s="21">
        <f t="shared" ca="1" si="126"/>
        <v>2.2882077557816176E-2</v>
      </c>
      <c r="EA93" s="21">
        <f t="shared" ca="1" si="126"/>
        <v>2.1765166591172003E-2</v>
      </c>
      <c r="EB93" s="21">
        <f t="shared" ca="1" si="126"/>
        <v>2.0372600484856375E-2</v>
      </c>
      <c r="EC93" s="21">
        <f t="shared" ca="1" si="126"/>
        <v>2.0486915669327845E-2</v>
      </c>
      <c r="ED93" s="21">
        <f t="shared" ca="1" si="126"/>
        <v>1.9476344123272281E-2</v>
      </c>
      <c r="EE93" s="21">
        <f t="shared" ca="1" si="126"/>
        <v>1.9792702351793815E-2</v>
      </c>
      <c r="EF93" s="21">
        <f t="shared" ca="1" si="126"/>
        <v>1.9562740973845319E-2</v>
      </c>
      <c r="EG93" s="21">
        <f t="shared" ca="1" si="126"/>
        <v>1.8449709321336966E-2</v>
      </c>
      <c r="EH93" s="21">
        <f t="shared" ca="1" si="126"/>
        <v>1.810705070700382E-2</v>
      </c>
      <c r="EI93" s="21">
        <f t="shared" ca="1" si="126"/>
        <v>1.8378622674494433E-2</v>
      </c>
      <c r="EJ93" s="21">
        <f t="shared" ca="1" si="126"/>
        <v>1.8188919352377087E-2</v>
      </c>
      <c r="EK93" s="21">
        <f t="shared" ca="1" si="126"/>
        <v>1.6601960495462611E-2</v>
      </c>
      <c r="EL93" s="21">
        <f t="shared" ca="1" si="126"/>
        <v>1.4883910566341099E-2</v>
      </c>
      <c r="EM93" s="21">
        <f t="shared" ca="1" si="126"/>
        <v>1.3928283579122614E-2</v>
      </c>
      <c r="EN93" s="21">
        <f t="shared" ca="1" si="126"/>
        <v>1.3200400346106178E-2</v>
      </c>
      <c r="EO93" s="21">
        <f t="shared" ca="1" si="126"/>
        <v>1.1965652623781829E-2</v>
      </c>
      <c r="EP93" s="21">
        <f t="shared" ca="1" si="126"/>
        <v>1.248529990433892E-2</v>
      </c>
      <c r="EQ93" s="21">
        <f t="shared" ca="1" si="126"/>
        <v>1.2325779638558874E-2</v>
      </c>
      <c r="ER93" s="21">
        <f t="shared" ca="1" si="126"/>
        <v>1.1710649109734862E-2</v>
      </c>
      <c r="ES93" s="21">
        <f t="shared" ca="1" si="126"/>
        <v>1.2783741628672744E-2</v>
      </c>
      <c r="ET93" s="21">
        <f t="shared" ca="1" si="126"/>
        <v>1.2175212228092404E-2</v>
      </c>
      <c r="EU93" s="21">
        <f t="shared" ca="1" si="126"/>
        <v>1.1533350569590033E-2</v>
      </c>
      <c r="EV93" s="21">
        <f t="shared" ca="1" si="126"/>
        <v>1.153233597825875E-2</v>
      </c>
      <c r="EW93" s="21">
        <f t="shared" ca="1" si="126"/>
        <v>1.1691137075487587E-2</v>
      </c>
      <c r="EX93" s="21">
        <f t="shared" ca="1" si="126"/>
        <v>1.1792074595025299E-2</v>
      </c>
      <c r="EY93" s="21">
        <f t="shared" ref="EY93:HJ93" ca="1" si="127">IF(EY13="","",AVERAGE(EM67:EX67)+CONFIDENCE(0.05,STDEV(DZ67:EX67),COUNT(DZ67:EX67)))</f>
        <v>1.1346076076282741E-2</v>
      </c>
      <c r="EZ93" s="21">
        <f t="shared" ca="1" si="127"/>
        <v>1.1226602530714586E-2</v>
      </c>
      <c r="FA93" s="21">
        <f t="shared" ca="1" si="127"/>
        <v>1.0997291096020097E-2</v>
      </c>
      <c r="FB93" s="21">
        <f t="shared" ca="1" si="127"/>
        <v>1.1223165368544312E-2</v>
      </c>
      <c r="FC93" s="21">
        <f t="shared" ca="1" si="127"/>
        <v>1.1822051302052213E-2</v>
      </c>
      <c r="FD93" s="21">
        <f t="shared" ca="1" si="127"/>
        <v>1.1557879907278003E-2</v>
      </c>
      <c r="FE93" s="21">
        <f t="shared" ca="1" si="127"/>
        <v>1.0911701628441217E-2</v>
      </c>
      <c r="FF93" s="21">
        <f t="shared" ca="1" si="127"/>
        <v>1.0260897964627941E-2</v>
      </c>
      <c r="FG93" s="21">
        <f t="shared" ca="1" si="127"/>
        <v>1.0371312751438058E-2</v>
      </c>
      <c r="FH93" s="21">
        <f t="shared" ca="1" si="127"/>
        <v>9.8452901832208374E-3</v>
      </c>
      <c r="FI93" s="21">
        <f t="shared" ca="1" si="127"/>
        <v>9.6643366365574551E-3</v>
      </c>
      <c r="FJ93" s="21">
        <f t="shared" ca="1" si="127"/>
        <v>9.4399579076353997E-3</v>
      </c>
      <c r="FK93" s="21">
        <f t="shared" ca="1" si="127"/>
        <v>9.5245138622005905E-3</v>
      </c>
      <c r="FL93" s="21">
        <f t="shared" ca="1" si="127"/>
        <v>8.5787404309788217E-3</v>
      </c>
      <c r="FM93" s="21">
        <f t="shared" ca="1" si="127"/>
        <v>8.533033972628442E-3</v>
      </c>
      <c r="FN93" s="21">
        <f t="shared" ca="1" si="127"/>
        <v>7.7725932355008969E-3</v>
      </c>
      <c r="FO93" s="21">
        <f t="shared" ca="1" si="127"/>
        <v>7.3752732574159348E-3</v>
      </c>
      <c r="FP93" s="21">
        <f t="shared" ca="1" si="127"/>
        <v>7.123211029342223E-3</v>
      </c>
      <c r="FQ93" s="21">
        <f t="shared" ca="1" si="127"/>
        <v>6.7295317906621559E-3</v>
      </c>
      <c r="FR93" s="21">
        <f t="shared" ca="1" si="127"/>
        <v>6.8120479026412845E-3</v>
      </c>
      <c r="FS93" s="21">
        <f t="shared" ca="1" si="127"/>
        <v>6.133704816647839E-3</v>
      </c>
      <c r="FT93" s="21">
        <f t="shared" ca="1" si="127"/>
        <v>5.8069710563091338E-3</v>
      </c>
      <c r="FU93" s="21">
        <f t="shared" ca="1" si="127"/>
        <v>5.6897535431758225E-3</v>
      </c>
      <c r="FV93" s="21">
        <f t="shared" ca="1" si="127"/>
        <v>5.7425801944951324E-3</v>
      </c>
      <c r="FW93" s="21">
        <f t="shared" ca="1" si="127"/>
        <v>5.7662048263378398E-3</v>
      </c>
      <c r="FX93" s="21">
        <f t="shared" ca="1" si="127"/>
        <v>5.8117006568578749E-3</v>
      </c>
      <c r="FY93" s="21">
        <f t="shared" ca="1" si="127"/>
        <v>6.6390473105227815E-3</v>
      </c>
      <c r="FZ93" s="21">
        <f t="shared" ca="1" si="127"/>
        <v>6.8500183864837376E-3</v>
      </c>
      <c r="GA93" s="21">
        <f t="shared" ca="1" si="127"/>
        <v>7.2753738329128827E-3</v>
      </c>
      <c r="GB93" s="21">
        <f t="shared" ca="1" si="127"/>
        <v>7.0324898520029572E-3</v>
      </c>
      <c r="GC93" s="21">
        <f t="shared" ca="1" si="127"/>
        <v>7.2293796228879159E-3</v>
      </c>
      <c r="GD93" s="21">
        <f t="shared" ca="1" si="127"/>
        <v>7.8028055251687725E-3</v>
      </c>
      <c r="GE93" s="21">
        <f t="shared" ca="1" si="127"/>
        <v>1.0958674302718524E-2</v>
      </c>
      <c r="GF93" s="21">
        <f t="shared" ca="1" si="127"/>
        <v>1.9055120228084307E-2</v>
      </c>
      <c r="GG93" s="21">
        <f t="shared" ca="1" si="127"/>
        <v>2.6862833455207215E-2</v>
      </c>
      <c r="GH93" s="21">
        <f t="shared" ca="1" si="127"/>
        <v>3.3157224846642915E-2</v>
      </c>
      <c r="GI93" s="21">
        <f t="shared" ca="1" si="127"/>
        <v>3.6497601723598089E-2</v>
      </c>
      <c r="GJ93" s="21">
        <f t="shared" ca="1" si="127"/>
        <v>3.9813981203899694E-2</v>
      </c>
      <c r="GK93" s="21">
        <f t="shared" ca="1" si="127"/>
        <v>4.2579711375938724E-2</v>
      </c>
      <c r="GL93" s="21">
        <f t="shared" ca="1" si="127"/>
        <v>4.5531145880134523E-2</v>
      </c>
      <c r="GM93" s="21">
        <f t="shared" ca="1" si="127"/>
        <v>4.740386080979371E-2</v>
      </c>
      <c r="GN93" s="21">
        <f t="shared" ca="1" si="127"/>
        <v>4.9233680990296569E-2</v>
      </c>
      <c r="GO93" s="21">
        <f t="shared" ca="1" si="127"/>
        <v>5.1960308572366679E-2</v>
      </c>
      <c r="GP93" s="21">
        <f t="shared" ca="1" si="127"/>
        <v>5.5215655811353938E-2</v>
      </c>
      <c r="GQ93" s="21">
        <f t="shared" ca="1" si="127"/>
        <v>5.6908757978970936E-2</v>
      </c>
      <c r="GR93" s="21">
        <f t="shared" ca="1" si="127"/>
        <v>5.4925007080145215E-2</v>
      </c>
      <c r="GS93" s="21">
        <f t="shared" ca="1" si="127"/>
        <v>5.1740689958568689E-2</v>
      </c>
      <c r="GT93" s="21">
        <f t="shared" ca="1" si="127"/>
        <v>4.8368735837848301E-2</v>
      </c>
      <c r="GU93" s="21">
        <f t="shared" ca="1" si="127"/>
        <v>4.6608893230355775E-2</v>
      </c>
      <c r="GV93" s="21">
        <f t="shared" ca="1" si="127"/>
        <v>4.5962482000037365E-2</v>
      </c>
      <c r="GW93" s="21">
        <f t="shared" ca="1" si="127"/>
        <v>4.3864978740401774E-2</v>
      </c>
      <c r="GX93" s="21">
        <f t="shared" ca="1" si="127"/>
        <v>4.2543677781275671E-2</v>
      </c>
      <c r="GY93" s="21">
        <f t="shared" ca="1" si="127"/>
        <v>4.1546871600025424E-2</v>
      </c>
      <c r="GZ93" s="21">
        <f t="shared" ca="1" si="127"/>
        <v>4.8077761566704173E-2</v>
      </c>
      <c r="HA93" s="21" t="str">
        <f t="shared" si="127"/>
        <v/>
      </c>
      <c r="HB93" s="21" t="str">
        <f t="shared" si="127"/>
        <v/>
      </c>
      <c r="HC93" s="21" t="str">
        <f t="shared" si="127"/>
        <v/>
      </c>
      <c r="HD93" s="21" t="str">
        <f t="shared" si="127"/>
        <v/>
      </c>
      <c r="HE93" s="21" t="str">
        <f t="shared" si="127"/>
        <v/>
      </c>
      <c r="HF93" s="21" t="str">
        <f t="shared" si="127"/>
        <v/>
      </c>
      <c r="HG93" s="21" t="str">
        <f t="shared" si="127"/>
        <v/>
      </c>
      <c r="HH93" s="21" t="str">
        <f t="shared" si="127"/>
        <v/>
      </c>
      <c r="HI93" s="21" t="str">
        <f t="shared" si="127"/>
        <v/>
      </c>
      <c r="HJ93" s="21" t="str">
        <f t="shared" si="127"/>
        <v/>
      </c>
      <c r="HK93" s="21" t="str">
        <f t="shared" ref="HK93:JH93" si="128">IF(HK13="","",AVERAGE(GY67:HJ67)+CONFIDENCE(0.05,STDEV(GL67:HJ67),COUNT(GL67:HJ67)))</f>
        <v/>
      </c>
      <c r="HL93" s="21" t="str">
        <f t="shared" si="128"/>
        <v/>
      </c>
      <c r="HM93" s="21" t="str">
        <f t="shared" si="128"/>
        <v/>
      </c>
      <c r="HN93" s="21" t="str">
        <f t="shared" si="128"/>
        <v/>
      </c>
      <c r="HO93" s="21" t="str">
        <f t="shared" si="128"/>
        <v/>
      </c>
      <c r="HP93" s="21" t="str">
        <f t="shared" si="128"/>
        <v/>
      </c>
      <c r="HQ93" s="21" t="str">
        <f t="shared" si="128"/>
        <v/>
      </c>
      <c r="HR93" s="21" t="str">
        <f t="shared" si="128"/>
        <v/>
      </c>
      <c r="HS93" s="21" t="str">
        <f t="shared" si="128"/>
        <v/>
      </c>
      <c r="HT93" s="21" t="str">
        <f t="shared" si="128"/>
        <v/>
      </c>
      <c r="HU93" s="21" t="str">
        <f t="shared" si="128"/>
        <v/>
      </c>
      <c r="HV93" s="21" t="str">
        <f t="shared" si="128"/>
        <v/>
      </c>
      <c r="HW93" s="21" t="str">
        <f t="shared" si="128"/>
        <v/>
      </c>
      <c r="HX93" s="21" t="str">
        <f t="shared" si="128"/>
        <v/>
      </c>
      <c r="HY93" s="21" t="str">
        <f t="shared" si="128"/>
        <v/>
      </c>
      <c r="HZ93" s="21" t="str">
        <f t="shared" si="128"/>
        <v/>
      </c>
      <c r="IA93" s="21" t="str">
        <f t="shared" si="128"/>
        <v/>
      </c>
      <c r="IB93" s="21" t="str">
        <f t="shared" si="128"/>
        <v/>
      </c>
      <c r="IC93" s="21" t="str">
        <f t="shared" si="128"/>
        <v/>
      </c>
      <c r="ID93" s="21" t="str">
        <f t="shared" si="128"/>
        <v/>
      </c>
      <c r="IE93" s="21" t="str">
        <f t="shared" si="128"/>
        <v/>
      </c>
      <c r="IF93" s="21" t="str">
        <f t="shared" si="128"/>
        <v/>
      </c>
      <c r="IG93" s="21" t="str">
        <f t="shared" si="128"/>
        <v/>
      </c>
      <c r="IH93" s="21" t="str">
        <f t="shared" si="128"/>
        <v/>
      </c>
      <c r="II93" s="21" t="str">
        <f t="shared" si="128"/>
        <v/>
      </c>
      <c r="IJ93" s="21" t="str">
        <f t="shared" si="128"/>
        <v/>
      </c>
      <c r="IK93" s="21" t="str">
        <f t="shared" si="128"/>
        <v/>
      </c>
      <c r="IL93" s="21" t="str">
        <f t="shared" si="128"/>
        <v/>
      </c>
      <c r="IM93" s="21" t="str">
        <f t="shared" si="128"/>
        <v/>
      </c>
      <c r="IN93" s="21" t="str">
        <f t="shared" si="128"/>
        <v/>
      </c>
      <c r="IO93" s="21" t="str">
        <f t="shared" si="128"/>
        <v/>
      </c>
      <c r="IP93" s="21" t="str">
        <f t="shared" si="128"/>
        <v/>
      </c>
      <c r="IQ93" s="21" t="str">
        <f t="shared" si="128"/>
        <v/>
      </c>
      <c r="IR93" s="21" t="str">
        <f t="shared" si="128"/>
        <v/>
      </c>
      <c r="IS93" s="21" t="str">
        <f t="shared" si="128"/>
        <v/>
      </c>
      <c r="IT93" s="21" t="str">
        <f t="shared" si="128"/>
        <v/>
      </c>
      <c r="IU93" s="21" t="str">
        <f t="shared" si="128"/>
        <v/>
      </c>
      <c r="IV93" s="21" t="str">
        <f t="shared" si="128"/>
        <v/>
      </c>
      <c r="IW93" s="21" t="str">
        <f t="shared" si="128"/>
        <v/>
      </c>
      <c r="IX93" s="21" t="str">
        <f t="shared" si="128"/>
        <v/>
      </c>
      <c r="IY93" s="21" t="str">
        <f t="shared" si="128"/>
        <v/>
      </c>
      <c r="IZ93" s="21" t="str">
        <f t="shared" si="128"/>
        <v/>
      </c>
      <c r="JA93" s="21" t="str">
        <f t="shared" si="128"/>
        <v/>
      </c>
      <c r="JB93" s="21" t="str">
        <f t="shared" si="128"/>
        <v/>
      </c>
      <c r="JC93" s="21" t="str">
        <f t="shared" si="128"/>
        <v/>
      </c>
      <c r="JD93" s="21" t="str">
        <f t="shared" si="128"/>
        <v/>
      </c>
      <c r="JE93" s="21" t="str">
        <f t="shared" si="128"/>
        <v/>
      </c>
      <c r="JF93" s="21" t="str">
        <f t="shared" si="128"/>
        <v/>
      </c>
      <c r="JG93" s="21" t="str">
        <f t="shared" si="128"/>
        <v/>
      </c>
      <c r="JH93" s="21" t="str">
        <f t="shared" si="128"/>
        <v/>
      </c>
    </row>
    <row r="94" spans="1:336" x14ac:dyDescent="0.25"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>
        <f t="shared" ref="AA94:CL94" ca="1" si="129">IF(AA14="","",AVERAGE(N68:Z68)+CONFIDENCE(0.05,STDEV(B68:Z68),COUNT(B68:Z68)))</f>
        <v>2.3908334901321517E-2</v>
      </c>
      <c r="AB94" s="21">
        <f t="shared" ca="1" si="129"/>
        <v>2.2735976576742863E-2</v>
      </c>
      <c r="AC94" s="21">
        <f t="shared" ca="1" si="129"/>
        <v>2.1231131133916298E-2</v>
      </c>
      <c r="AD94" s="21">
        <f t="shared" ca="1" si="129"/>
        <v>1.991779426732971E-2</v>
      </c>
      <c r="AE94" s="21">
        <f t="shared" ca="1" si="129"/>
        <v>1.8399271881117681E-2</v>
      </c>
      <c r="AF94" s="21">
        <f t="shared" ca="1" si="129"/>
        <v>1.6923214341752948E-2</v>
      </c>
      <c r="AG94" s="21">
        <f t="shared" ca="1" si="129"/>
        <v>1.5690696810550568E-2</v>
      </c>
      <c r="AH94" s="21">
        <f t="shared" ca="1" si="129"/>
        <v>1.55938006913495E-2</v>
      </c>
      <c r="AI94" s="21">
        <f t="shared" ca="1" si="129"/>
        <v>1.5458181507877318E-2</v>
      </c>
      <c r="AJ94" s="21">
        <f t="shared" ca="1" si="129"/>
        <v>1.4180571711622856E-2</v>
      </c>
      <c r="AK94" s="21">
        <f t="shared" ca="1" si="129"/>
        <v>1.2945474153663783E-2</v>
      </c>
      <c r="AL94" s="21">
        <f t="shared" ca="1" si="129"/>
        <v>1.2171497707094008E-2</v>
      </c>
      <c r="AM94" s="21">
        <f t="shared" ca="1" si="129"/>
        <v>1.2035751991077174E-2</v>
      </c>
      <c r="AN94" s="21">
        <f t="shared" ca="1" si="129"/>
        <v>1.243508793189059E-2</v>
      </c>
      <c r="AO94" s="21">
        <f t="shared" ca="1" si="129"/>
        <v>1.2730657306859291E-2</v>
      </c>
      <c r="AP94" s="21">
        <f t="shared" ca="1" si="129"/>
        <v>1.4158147002137881E-2</v>
      </c>
      <c r="AQ94" s="21">
        <f t="shared" ca="1" si="129"/>
        <v>1.4696166500417178E-2</v>
      </c>
      <c r="AR94" s="21">
        <f t="shared" ca="1" si="129"/>
        <v>1.5929210505223581E-2</v>
      </c>
      <c r="AS94" s="21">
        <f t="shared" ca="1" si="129"/>
        <v>1.7787007037760417E-2</v>
      </c>
      <c r="AT94" s="21">
        <f t="shared" ca="1" si="129"/>
        <v>2.0232189212683025E-2</v>
      </c>
      <c r="AU94" s="21">
        <f t="shared" ca="1" si="129"/>
        <v>2.2517279554161902E-2</v>
      </c>
      <c r="AV94" s="21">
        <f t="shared" ca="1" si="129"/>
        <v>2.5741664838237182E-2</v>
      </c>
      <c r="AW94" s="21">
        <f t="shared" ca="1" si="129"/>
        <v>3.0196998174127753E-2</v>
      </c>
      <c r="AX94" s="21">
        <f t="shared" ca="1" si="129"/>
        <v>3.5415174499469328E-2</v>
      </c>
      <c r="AY94" s="21">
        <f t="shared" ca="1" si="129"/>
        <v>4.1045130969150322E-2</v>
      </c>
      <c r="AZ94" s="21">
        <f t="shared" ca="1" si="129"/>
        <v>4.7126857892534957E-2</v>
      </c>
      <c r="BA94" s="21">
        <f t="shared" ca="1" si="129"/>
        <v>5.3213680875696154E-2</v>
      </c>
      <c r="BB94" s="21">
        <f t="shared" ca="1" si="129"/>
        <v>5.9142288619885852E-2</v>
      </c>
      <c r="BC94" s="21">
        <f t="shared" ca="1" si="129"/>
        <v>6.3708922961596623E-2</v>
      </c>
      <c r="BD94" s="21">
        <f t="shared" ca="1" si="129"/>
        <v>6.8029416015308902E-2</v>
      </c>
      <c r="BE94" s="21">
        <f t="shared" ca="1" si="129"/>
        <v>6.9649178812597232E-2</v>
      </c>
      <c r="BF94" s="21">
        <f t="shared" ca="1" si="129"/>
        <v>7.1142127364153734E-2</v>
      </c>
      <c r="BG94" s="21">
        <f t="shared" ca="1" si="129"/>
        <v>7.2298829720483779E-2</v>
      </c>
      <c r="BH94" s="21">
        <f t="shared" ca="1" si="129"/>
        <v>7.2117664416376778E-2</v>
      </c>
      <c r="BI94" s="21">
        <f t="shared" ca="1" si="129"/>
        <v>6.9243874471625333E-2</v>
      </c>
      <c r="BJ94" s="21">
        <f t="shared" ca="1" si="129"/>
        <v>6.8545160787379433E-2</v>
      </c>
      <c r="BK94" s="21">
        <f t="shared" ca="1" si="129"/>
        <v>6.6642409734660582E-2</v>
      </c>
      <c r="BL94" s="21">
        <f t="shared" ca="1" si="129"/>
        <v>6.4395735110105379E-2</v>
      </c>
      <c r="BM94" s="21">
        <f t="shared" ca="1" si="129"/>
        <v>6.3418477926286937E-2</v>
      </c>
      <c r="BN94" s="21">
        <f t="shared" ca="1" si="129"/>
        <v>6.3060752130056213E-2</v>
      </c>
      <c r="BO94" s="21">
        <f t="shared" ca="1" si="129"/>
        <v>5.9728069688257501E-2</v>
      </c>
      <c r="BP94" s="21">
        <f t="shared" ca="1" si="129"/>
        <v>5.5537995466558764E-2</v>
      </c>
      <c r="BQ94" s="21">
        <f t="shared" ca="1" si="129"/>
        <v>5.1906305325242569E-2</v>
      </c>
      <c r="BR94" s="21">
        <f t="shared" ca="1" si="129"/>
        <v>5.0140230549645282E-2</v>
      </c>
      <c r="BS94" s="21">
        <f t="shared" ca="1" si="129"/>
        <v>4.7005243927336314E-2</v>
      </c>
      <c r="BT94" s="21">
        <f t="shared" ca="1" si="129"/>
        <v>4.4550791526118717E-2</v>
      </c>
      <c r="BU94" s="21">
        <f t="shared" ca="1" si="129"/>
        <v>4.3109128956110895E-2</v>
      </c>
      <c r="BV94" s="21">
        <f t="shared" ca="1" si="129"/>
        <v>4.4127027801459745E-2</v>
      </c>
      <c r="BW94" s="21">
        <f t="shared" ca="1" si="129"/>
        <v>4.1411819727835142E-2</v>
      </c>
      <c r="BX94" s="21">
        <f t="shared" ca="1" si="129"/>
        <v>3.8935242889324755E-2</v>
      </c>
      <c r="BY94" s="21">
        <f t="shared" ca="1" si="129"/>
        <v>3.5914765896754998E-2</v>
      </c>
      <c r="BZ94" s="21">
        <f t="shared" ca="1" si="129"/>
        <v>3.1120025382950868E-2</v>
      </c>
      <c r="CA94" s="21">
        <f t="shared" ca="1" si="129"/>
        <v>2.484651858698475E-2</v>
      </c>
      <c r="CB94" s="21">
        <f t="shared" ca="1" si="129"/>
        <v>2.1387635173356269E-2</v>
      </c>
      <c r="CC94" s="21">
        <f t="shared" ca="1" si="129"/>
        <v>1.9201146250826376E-2</v>
      </c>
      <c r="CD94" s="21">
        <f t="shared" ca="1" si="129"/>
        <v>1.7532624361992773E-2</v>
      </c>
      <c r="CE94" s="21">
        <f t="shared" ca="1" si="129"/>
        <v>1.5871942466825658E-2</v>
      </c>
      <c r="CF94" s="21">
        <f t="shared" ca="1" si="129"/>
        <v>1.6006550902192281E-2</v>
      </c>
      <c r="CG94" s="21">
        <f t="shared" ca="1" si="129"/>
        <v>1.5386054671192875E-2</v>
      </c>
      <c r="CH94" s="21">
        <f t="shared" ca="1" si="129"/>
        <v>1.5285704902762751E-2</v>
      </c>
      <c r="CI94" s="21">
        <f t="shared" ca="1" si="129"/>
        <v>1.5756614358326596E-2</v>
      </c>
      <c r="CJ94" s="21">
        <f t="shared" ca="1" si="129"/>
        <v>1.6300907231145918E-2</v>
      </c>
      <c r="CK94" s="21">
        <f t="shared" ca="1" si="129"/>
        <v>1.5591427275378407E-2</v>
      </c>
      <c r="CL94" s="21">
        <f t="shared" ca="1" si="129"/>
        <v>1.5239772416158065E-2</v>
      </c>
      <c r="CM94" s="21">
        <f t="shared" ref="CM94:EX94" ca="1" si="130">IF(CM14="","",AVERAGE(BZ68:CL68)+CONFIDENCE(0.05,STDEV(BN68:CL68),COUNT(BN68:CL68)))</f>
        <v>1.4406777396050669E-2</v>
      </c>
      <c r="CN94" s="21">
        <f t="shared" ca="1" si="130"/>
        <v>1.566133725187701E-2</v>
      </c>
      <c r="CO94" s="21">
        <f t="shared" ca="1" si="130"/>
        <v>1.6060800018606998E-2</v>
      </c>
      <c r="CP94" s="21">
        <f t="shared" ca="1" si="130"/>
        <v>1.7005312911944299E-2</v>
      </c>
      <c r="CQ94" s="21">
        <f t="shared" ca="1" si="130"/>
        <v>1.8274289315158003E-2</v>
      </c>
      <c r="CR94" s="21">
        <f t="shared" ca="1" si="130"/>
        <v>1.9298897084735832E-2</v>
      </c>
      <c r="CS94" s="21">
        <f t="shared" ca="1" si="130"/>
        <v>1.9121607107926472E-2</v>
      </c>
      <c r="CT94" s="21">
        <f t="shared" ca="1" si="130"/>
        <v>1.9119582724375105E-2</v>
      </c>
      <c r="CU94" s="21">
        <f t="shared" ca="1" si="130"/>
        <v>2.1230411444231365E-2</v>
      </c>
      <c r="CV94" s="21">
        <f t="shared" ca="1" si="130"/>
        <v>2.1545252234343719E-2</v>
      </c>
      <c r="CW94" s="21">
        <f t="shared" ca="1" si="130"/>
        <v>2.061374605242702E-2</v>
      </c>
      <c r="CX94" s="21">
        <f t="shared" ca="1" si="130"/>
        <v>2.1349018235800449E-2</v>
      </c>
      <c r="CY94" s="21">
        <f t="shared" ca="1" si="130"/>
        <v>2.0270094656658841E-2</v>
      </c>
      <c r="CZ94" s="21">
        <f t="shared" ca="1" si="130"/>
        <v>1.8399246803273792E-2</v>
      </c>
      <c r="DA94" s="21">
        <f t="shared" ca="1" si="130"/>
        <v>1.7526565208186941E-2</v>
      </c>
      <c r="DB94" s="21">
        <f t="shared" ca="1" si="130"/>
        <v>1.657999335837464E-2</v>
      </c>
      <c r="DC94" s="21">
        <f t="shared" ca="1" si="130"/>
        <v>1.5622472895744987E-2</v>
      </c>
      <c r="DD94" s="21">
        <f t="shared" ca="1" si="130"/>
        <v>1.4166433034787762E-2</v>
      </c>
      <c r="DE94" s="21">
        <f t="shared" ca="1" si="130"/>
        <v>1.3503519099258812E-2</v>
      </c>
      <c r="DF94" s="21">
        <f t="shared" ca="1" si="130"/>
        <v>1.8085158235819077E-2</v>
      </c>
      <c r="DG94" s="21">
        <f t="shared" ca="1" si="130"/>
        <v>2.1424746598505826E-2</v>
      </c>
      <c r="DH94" s="21">
        <f t="shared" ca="1" si="130"/>
        <v>2.2365268883113451E-2</v>
      </c>
      <c r="DI94" s="21">
        <f t="shared" ca="1" si="130"/>
        <v>2.4162309456267211E-2</v>
      </c>
      <c r="DJ94" s="21">
        <f t="shared" ca="1" si="130"/>
        <v>2.7040918445811524E-2</v>
      </c>
      <c r="DK94" s="21">
        <f t="shared" ca="1" si="130"/>
        <v>2.9975935798862253E-2</v>
      </c>
      <c r="DL94" s="21">
        <f t="shared" ca="1" si="130"/>
        <v>3.2636831958301804E-2</v>
      </c>
      <c r="DM94" s="21">
        <f t="shared" ca="1" si="130"/>
        <v>3.5588943661853424E-2</v>
      </c>
      <c r="DN94" s="21">
        <f t="shared" ca="1" si="130"/>
        <v>3.7795272360215189E-2</v>
      </c>
      <c r="DO94" s="21">
        <f t="shared" ca="1" si="130"/>
        <v>4.0431853088422037E-2</v>
      </c>
      <c r="DP94" s="21">
        <f t="shared" ca="1" si="130"/>
        <v>4.2526400959632331E-2</v>
      </c>
      <c r="DQ94" s="21">
        <f t="shared" ca="1" si="130"/>
        <v>4.3540226604520969E-2</v>
      </c>
      <c r="DR94" s="21">
        <f t="shared" ca="1" si="130"/>
        <v>4.3944785024008455E-2</v>
      </c>
      <c r="DS94" s="21">
        <f t="shared" ca="1" si="130"/>
        <v>4.0468173804383806E-2</v>
      </c>
      <c r="DT94" s="21">
        <f t="shared" ca="1" si="130"/>
        <v>3.8124991904694858E-2</v>
      </c>
      <c r="DU94" s="21">
        <f t="shared" ca="1" si="130"/>
        <v>3.6473456115941258E-2</v>
      </c>
      <c r="DV94" s="21">
        <f t="shared" ca="1" si="130"/>
        <v>3.5017193200698689E-2</v>
      </c>
      <c r="DW94" s="21">
        <f t="shared" ca="1" si="130"/>
        <v>3.2835022578853096E-2</v>
      </c>
      <c r="DX94" s="21">
        <f t="shared" ca="1" si="130"/>
        <v>3.032980896236338E-2</v>
      </c>
      <c r="DY94" s="21">
        <f t="shared" ca="1" si="130"/>
        <v>2.8879104459384804E-2</v>
      </c>
      <c r="DZ94" s="21">
        <f t="shared" ca="1" si="130"/>
        <v>2.7246265941063993E-2</v>
      </c>
      <c r="EA94" s="21">
        <f t="shared" ca="1" si="130"/>
        <v>2.5264019239624413E-2</v>
      </c>
      <c r="EB94" s="21">
        <f t="shared" ca="1" si="130"/>
        <v>2.3565645433554216E-2</v>
      </c>
      <c r="EC94" s="21">
        <f t="shared" ca="1" si="130"/>
        <v>2.2320650442735474E-2</v>
      </c>
      <c r="ED94" s="21">
        <f t="shared" ca="1" si="130"/>
        <v>2.1532496884744446E-2</v>
      </c>
      <c r="EE94" s="21">
        <f t="shared" ca="1" si="130"/>
        <v>2.0188976808650089E-2</v>
      </c>
      <c r="EF94" s="21">
        <f t="shared" ca="1" si="130"/>
        <v>2.0755044660503631E-2</v>
      </c>
      <c r="EG94" s="21">
        <f t="shared" ca="1" si="130"/>
        <v>1.9792310562030072E-2</v>
      </c>
      <c r="EH94" s="21">
        <f t="shared" ca="1" si="130"/>
        <v>1.9331433036233924E-2</v>
      </c>
      <c r="EI94" s="21">
        <f t="shared" ca="1" si="130"/>
        <v>1.8540676158941134E-2</v>
      </c>
      <c r="EJ94" s="21">
        <f t="shared" ca="1" si="130"/>
        <v>1.793020464903073E-2</v>
      </c>
      <c r="EK94" s="21">
        <f t="shared" ca="1" si="130"/>
        <v>1.7220204590183946E-2</v>
      </c>
      <c r="EL94" s="21">
        <f t="shared" ca="1" si="130"/>
        <v>1.5626721849304005E-2</v>
      </c>
      <c r="EM94" s="21">
        <f t="shared" ca="1" si="130"/>
        <v>1.4716416563158466E-2</v>
      </c>
      <c r="EN94" s="21">
        <f t="shared" ca="1" si="130"/>
        <v>1.3491565907611691E-2</v>
      </c>
      <c r="EO94" s="21">
        <f t="shared" ca="1" si="130"/>
        <v>1.3125694674137368E-2</v>
      </c>
      <c r="EP94" s="21">
        <f t="shared" ca="1" si="130"/>
        <v>1.2066151532325445E-2</v>
      </c>
      <c r="EQ94" s="21">
        <f t="shared" ca="1" si="130"/>
        <v>1.2119968099100112E-2</v>
      </c>
      <c r="ER94" s="21">
        <f t="shared" ca="1" si="130"/>
        <v>1.2668294247994774E-2</v>
      </c>
      <c r="ES94" s="21">
        <f t="shared" ca="1" si="130"/>
        <v>1.2738589712346763E-2</v>
      </c>
      <c r="ET94" s="21">
        <f t="shared" ca="1" si="130"/>
        <v>1.3452599865419605E-2</v>
      </c>
      <c r="EU94" s="21">
        <f t="shared" ca="1" si="130"/>
        <v>1.3131273787145592E-2</v>
      </c>
      <c r="EV94" s="21">
        <f t="shared" ca="1" si="130"/>
        <v>1.296919548041448E-2</v>
      </c>
      <c r="EW94" s="21">
        <f t="shared" ca="1" si="130"/>
        <v>1.2583419824050887E-2</v>
      </c>
      <c r="EX94" s="21">
        <f t="shared" ca="1" si="130"/>
        <v>1.242175506616283E-2</v>
      </c>
      <c r="EY94" s="21">
        <f t="shared" ref="EY94:HJ94" ca="1" si="131">IF(EY14="","",AVERAGE(EL68:EX68)+CONFIDENCE(0.05,STDEV(DZ68:EX68),COUNT(DZ68:EX68)))</f>
        <v>1.2989869460238362E-2</v>
      </c>
      <c r="EZ94" s="21">
        <f t="shared" ca="1" si="131"/>
        <v>1.2408509891702967E-2</v>
      </c>
      <c r="FA94" s="21">
        <f t="shared" ca="1" si="131"/>
        <v>1.1823295718600265E-2</v>
      </c>
      <c r="FB94" s="21">
        <f t="shared" ca="1" si="131"/>
        <v>1.1495743926927107E-2</v>
      </c>
      <c r="FC94" s="21">
        <f t="shared" ca="1" si="131"/>
        <v>1.1562335197844324E-2</v>
      </c>
      <c r="FD94" s="21">
        <f t="shared" ca="1" si="131"/>
        <v>1.1968744717015378E-2</v>
      </c>
      <c r="FE94" s="21">
        <f t="shared" ca="1" si="131"/>
        <v>1.1714953836887542E-2</v>
      </c>
      <c r="FF94" s="21">
        <f t="shared" ca="1" si="131"/>
        <v>1.0655870340622087E-2</v>
      </c>
      <c r="FG94" s="21">
        <f t="shared" ca="1" si="131"/>
        <v>1.0731711376208619E-2</v>
      </c>
      <c r="FH94" s="21">
        <f t="shared" ca="1" si="131"/>
        <v>1.0072285455369106E-2</v>
      </c>
      <c r="FI94" s="21">
        <f t="shared" ca="1" si="131"/>
        <v>9.261520891941516E-3</v>
      </c>
      <c r="FJ94" s="21">
        <f t="shared" ca="1" si="131"/>
        <v>9.0910219467653496E-3</v>
      </c>
      <c r="FK94" s="21">
        <f t="shared" ca="1" si="131"/>
        <v>9.4421427156742913E-3</v>
      </c>
      <c r="FL94" s="21">
        <f t="shared" ca="1" si="131"/>
        <v>8.5043639198683317E-3</v>
      </c>
      <c r="FM94" s="21">
        <f t="shared" ca="1" si="131"/>
        <v>7.6575308000676788E-3</v>
      </c>
      <c r="FN94" s="21">
        <f t="shared" ca="1" si="131"/>
        <v>7.5426815804940182E-3</v>
      </c>
      <c r="FO94" s="21">
        <f t="shared" ca="1" si="131"/>
        <v>7.1554475533261597E-3</v>
      </c>
      <c r="FP94" s="21">
        <f t="shared" ca="1" si="131"/>
        <v>6.6716637892848228E-3</v>
      </c>
      <c r="FQ94" s="21">
        <f t="shared" ca="1" si="131"/>
        <v>6.2909335106082903E-3</v>
      </c>
      <c r="FR94" s="21">
        <f t="shared" ca="1" si="131"/>
        <v>5.9718255251997622E-3</v>
      </c>
      <c r="FS94" s="21">
        <f t="shared" ca="1" si="131"/>
        <v>6.2359000175520101E-3</v>
      </c>
      <c r="FT94" s="21">
        <f t="shared" ca="1" si="131"/>
        <v>5.5040276059180075E-3</v>
      </c>
      <c r="FU94" s="21">
        <f t="shared" ca="1" si="131"/>
        <v>5.2325462619510219E-3</v>
      </c>
      <c r="FV94" s="21">
        <f t="shared" ca="1" si="131"/>
        <v>5.2781361307325421E-3</v>
      </c>
      <c r="FW94" s="21">
        <f t="shared" ca="1" si="131"/>
        <v>5.9611302575640259E-3</v>
      </c>
      <c r="FX94" s="21">
        <f t="shared" ca="1" si="131"/>
        <v>5.3779082037275642E-3</v>
      </c>
      <c r="FY94" s="21">
        <f t="shared" ca="1" si="131"/>
        <v>6.0912779319260979E-3</v>
      </c>
      <c r="FZ94" s="21">
        <f t="shared" ca="1" si="131"/>
        <v>6.3100769993440472E-3</v>
      </c>
      <c r="GA94" s="21">
        <f t="shared" ca="1" si="131"/>
        <v>6.8063224074431834E-3</v>
      </c>
      <c r="GB94" s="21">
        <f t="shared" ca="1" si="131"/>
        <v>6.449112310333553E-3</v>
      </c>
      <c r="GC94" s="21">
        <f t="shared" ca="1" si="131"/>
        <v>6.353667495640921E-3</v>
      </c>
      <c r="GD94" s="21">
        <f t="shared" ca="1" si="131"/>
        <v>9.4848797196825374E-3</v>
      </c>
      <c r="GE94" s="21">
        <f t="shared" ca="1" si="131"/>
        <v>1.7877435299996133E-2</v>
      </c>
      <c r="GF94" s="21">
        <f t="shared" ca="1" si="131"/>
        <v>2.5088688229223742E-2</v>
      </c>
      <c r="GG94" s="21">
        <f t="shared" ca="1" si="131"/>
        <v>3.1834603561626998E-2</v>
      </c>
      <c r="GH94" s="21">
        <f t="shared" ca="1" si="131"/>
        <v>3.676978748753193E-2</v>
      </c>
      <c r="GI94" s="21">
        <f t="shared" ca="1" si="131"/>
        <v>3.9701467504000193E-2</v>
      </c>
      <c r="GJ94" s="21">
        <f t="shared" ca="1" si="131"/>
        <v>4.172477070005827E-2</v>
      </c>
      <c r="GK94" s="21">
        <f t="shared" ca="1" si="131"/>
        <v>4.4676225443065272E-2</v>
      </c>
      <c r="GL94" s="21">
        <f t="shared" ca="1" si="131"/>
        <v>4.6199793495676059E-2</v>
      </c>
      <c r="GM94" s="21">
        <f t="shared" ca="1" si="131"/>
        <v>4.8454917459429529E-2</v>
      </c>
      <c r="GN94" s="21">
        <f t="shared" ca="1" si="131"/>
        <v>4.9704374945773233E-2</v>
      </c>
      <c r="GO94" s="21">
        <f t="shared" ca="1" si="131"/>
        <v>5.3085133417621562E-2</v>
      </c>
      <c r="GP94" s="21">
        <f t="shared" ca="1" si="131"/>
        <v>5.7138991960653647E-2</v>
      </c>
      <c r="GQ94" s="21">
        <f t="shared" ca="1" si="131"/>
        <v>5.9221013358801075E-2</v>
      </c>
      <c r="GR94" s="21">
        <f t="shared" ca="1" si="131"/>
        <v>5.7047391631324031E-2</v>
      </c>
      <c r="GS94" s="21">
        <f t="shared" ca="1" si="131"/>
        <v>5.397993594238204E-2</v>
      </c>
      <c r="GT94" s="21">
        <f t="shared" ca="1" si="131"/>
        <v>4.9964885572522294E-2</v>
      </c>
      <c r="GU94" s="21">
        <f t="shared" ca="1" si="131"/>
        <v>4.6812593348877787E-2</v>
      </c>
      <c r="GV94" s="21">
        <f t="shared" ca="1" si="131"/>
        <v>4.6275924755764503E-2</v>
      </c>
      <c r="GW94" s="21">
        <f t="shared" ca="1" si="131"/>
        <v>4.6042294116848022E-2</v>
      </c>
      <c r="GX94" s="21">
        <f t="shared" ca="1" si="131"/>
        <v>4.3731745974733865E-2</v>
      </c>
      <c r="GY94" s="21">
        <f t="shared" ca="1" si="131"/>
        <v>4.2714092386939434E-2</v>
      </c>
      <c r="GZ94" s="21">
        <f t="shared" ca="1" si="131"/>
        <v>3.9357168783885559E-2</v>
      </c>
      <c r="HA94" s="21" t="str">
        <f t="shared" si="131"/>
        <v/>
      </c>
      <c r="HB94" s="21" t="str">
        <f t="shared" si="131"/>
        <v/>
      </c>
      <c r="HC94" s="21" t="str">
        <f t="shared" si="131"/>
        <v/>
      </c>
      <c r="HD94" s="21" t="str">
        <f t="shared" si="131"/>
        <v/>
      </c>
      <c r="HE94" s="21" t="str">
        <f t="shared" si="131"/>
        <v/>
      </c>
      <c r="HF94" s="21" t="str">
        <f t="shared" si="131"/>
        <v/>
      </c>
      <c r="HG94" s="21" t="str">
        <f t="shared" si="131"/>
        <v/>
      </c>
      <c r="HH94" s="21" t="str">
        <f t="shared" si="131"/>
        <v/>
      </c>
      <c r="HI94" s="21" t="str">
        <f t="shared" si="131"/>
        <v/>
      </c>
      <c r="HJ94" s="21" t="str">
        <f t="shared" si="131"/>
        <v/>
      </c>
      <c r="HK94" s="21" t="str">
        <f t="shared" ref="HK94:JH94" si="132">IF(HK14="","",AVERAGE(GX68:HJ68)+CONFIDENCE(0.05,STDEV(GL68:HJ68),COUNT(GL68:HJ68)))</f>
        <v/>
      </c>
      <c r="HL94" s="21" t="str">
        <f t="shared" si="132"/>
        <v/>
      </c>
      <c r="HM94" s="21" t="str">
        <f t="shared" si="132"/>
        <v/>
      </c>
      <c r="HN94" s="21" t="str">
        <f t="shared" si="132"/>
        <v/>
      </c>
      <c r="HO94" s="21" t="str">
        <f t="shared" si="132"/>
        <v/>
      </c>
      <c r="HP94" s="21" t="str">
        <f t="shared" si="132"/>
        <v/>
      </c>
      <c r="HQ94" s="21" t="str">
        <f t="shared" si="132"/>
        <v/>
      </c>
      <c r="HR94" s="21" t="str">
        <f t="shared" si="132"/>
        <v/>
      </c>
      <c r="HS94" s="21" t="str">
        <f t="shared" si="132"/>
        <v/>
      </c>
      <c r="HT94" s="21" t="str">
        <f t="shared" si="132"/>
        <v/>
      </c>
      <c r="HU94" s="21" t="str">
        <f t="shared" si="132"/>
        <v/>
      </c>
      <c r="HV94" s="21" t="str">
        <f t="shared" si="132"/>
        <v/>
      </c>
      <c r="HW94" s="21" t="str">
        <f t="shared" si="132"/>
        <v/>
      </c>
      <c r="HX94" s="21" t="str">
        <f t="shared" si="132"/>
        <v/>
      </c>
      <c r="HY94" s="21" t="str">
        <f t="shared" si="132"/>
        <v/>
      </c>
      <c r="HZ94" s="21" t="str">
        <f t="shared" si="132"/>
        <v/>
      </c>
      <c r="IA94" s="21" t="str">
        <f t="shared" si="132"/>
        <v/>
      </c>
      <c r="IB94" s="21" t="str">
        <f t="shared" si="132"/>
        <v/>
      </c>
      <c r="IC94" s="21" t="str">
        <f t="shared" si="132"/>
        <v/>
      </c>
      <c r="ID94" s="21" t="str">
        <f t="shared" si="132"/>
        <v/>
      </c>
      <c r="IE94" s="21" t="str">
        <f t="shared" si="132"/>
        <v/>
      </c>
      <c r="IF94" s="21" t="str">
        <f t="shared" si="132"/>
        <v/>
      </c>
      <c r="IG94" s="21" t="str">
        <f t="shared" si="132"/>
        <v/>
      </c>
      <c r="IH94" s="21" t="str">
        <f t="shared" si="132"/>
        <v/>
      </c>
      <c r="II94" s="21" t="str">
        <f t="shared" si="132"/>
        <v/>
      </c>
      <c r="IJ94" s="21" t="str">
        <f t="shared" si="132"/>
        <v/>
      </c>
      <c r="IK94" s="21" t="str">
        <f t="shared" si="132"/>
        <v/>
      </c>
      <c r="IL94" s="21" t="str">
        <f t="shared" si="132"/>
        <v/>
      </c>
      <c r="IM94" s="21" t="str">
        <f t="shared" si="132"/>
        <v/>
      </c>
      <c r="IN94" s="21" t="str">
        <f t="shared" si="132"/>
        <v/>
      </c>
      <c r="IO94" s="21" t="str">
        <f t="shared" si="132"/>
        <v/>
      </c>
      <c r="IP94" s="21" t="str">
        <f t="shared" si="132"/>
        <v/>
      </c>
      <c r="IQ94" s="21" t="str">
        <f t="shared" si="132"/>
        <v/>
      </c>
      <c r="IR94" s="21" t="str">
        <f t="shared" si="132"/>
        <v/>
      </c>
      <c r="IS94" s="21" t="str">
        <f t="shared" si="132"/>
        <v/>
      </c>
      <c r="IT94" s="21" t="str">
        <f t="shared" si="132"/>
        <v/>
      </c>
      <c r="IU94" s="21" t="str">
        <f t="shared" si="132"/>
        <v/>
      </c>
      <c r="IV94" s="21" t="str">
        <f t="shared" si="132"/>
        <v/>
      </c>
      <c r="IW94" s="21" t="str">
        <f t="shared" si="132"/>
        <v/>
      </c>
      <c r="IX94" s="21" t="str">
        <f t="shared" si="132"/>
        <v/>
      </c>
      <c r="IY94" s="21" t="str">
        <f t="shared" si="132"/>
        <v/>
      </c>
      <c r="IZ94" s="21" t="str">
        <f t="shared" si="132"/>
        <v/>
      </c>
      <c r="JA94" s="21" t="str">
        <f t="shared" si="132"/>
        <v/>
      </c>
      <c r="JB94" s="21" t="str">
        <f t="shared" si="132"/>
        <v/>
      </c>
      <c r="JC94" s="21" t="str">
        <f t="shared" si="132"/>
        <v/>
      </c>
      <c r="JD94" s="21" t="str">
        <f t="shared" si="132"/>
        <v/>
      </c>
      <c r="JE94" s="21" t="str">
        <f t="shared" si="132"/>
        <v/>
      </c>
      <c r="JF94" s="21" t="str">
        <f t="shared" si="132"/>
        <v/>
      </c>
      <c r="JG94" s="21" t="str">
        <f t="shared" si="132"/>
        <v/>
      </c>
      <c r="JH94" s="21" t="str">
        <f t="shared" si="132"/>
        <v/>
      </c>
    </row>
  </sheetData>
  <conditionalFormatting sqref="B30:JH53">
    <cfRule type="expression" dxfId="3" priority="6">
      <formula>B30&gt;$JN30</formula>
    </cfRule>
    <cfRule type="expression" dxfId="2" priority="7">
      <formula>B30&lt;-$JN30</formula>
    </cfRule>
  </conditionalFormatting>
  <conditionalFormatting sqref="B30:JH53 B57:JH80">
    <cfRule type="cellIs" dxfId="1" priority="5" operator="equal">
      <formula>""</formula>
    </cfRule>
  </conditionalFormatting>
  <conditionalFormatting sqref="B57:JH80">
    <cfRule type="expression" dxfId="0" priority="8">
      <formula>B57&gt;$CB57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F445"/>
  <sheetViews>
    <sheetView topLeftCell="A41" workbookViewId="0">
      <selection activeCell="E64" sqref="E64"/>
    </sheetView>
  </sheetViews>
  <sheetFormatPr baseColWidth="10" defaultRowHeight="15" x14ac:dyDescent="0.25"/>
  <cols>
    <col min="1" max="1" width="10.7109375" style="2" bestFit="1" customWidth="1"/>
    <col min="2" max="2" width="12" style="1" bestFit="1" customWidth="1"/>
  </cols>
  <sheetData>
    <row r="1" spans="1:2" x14ac:dyDescent="0.25">
      <c r="A1" s="2" t="s">
        <v>0</v>
      </c>
      <c r="B1" s="1" t="s">
        <v>7</v>
      </c>
    </row>
    <row r="2" spans="1:2" x14ac:dyDescent="0.25">
      <c r="A2" s="2">
        <v>35095</v>
      </c>
    </row>
    <row r="3" spans="1:2" x14ac:dyDescent="0.25">
      <c r="A3" s="2">
        <v>35124</v>
      </c>
    </row>
    <row r="4" spans="1:2" x14ac:dyDescent="0.25">
      <c r="A4" s="2">
        <v>35155</v>
      </c>
    </row>
    <row r="5" spans="1:2" x14ac:dyDescent="0.25">
      <c r="A5" s="2">
        <v>35185</v>
      </c>
    </row>
    <row r="6" spans="1:2" x14ac:dyDescent="0.25">
      <c r="A6" s="2">
        <v>35216</v>
      </c>
    </row>
    <row r="7" spans="1:2" x14ac:dyDescent="0.25">
      <c r="A7" s="2">
        <v>35246</v>
      </c>
    </row>
    <row r="8" spans="1:2" x14ac:dyDescent="0.25">
      <c r="A8" s="2">
        <v>35277</v>
      </c>
    </row>
    <row r="9" spans="1:2" x14ac:dyDescent="0.25">
      <c r="A9" s="2">
        <v>35308</v>
      </c>
    </row>
    <row r="10" spans="1:2" x14ac:dyDescent="0.25">
      <c r="A10" s="2">
        <v>35338</v>
      </c>
    </row>
    <row r="11" spans="1:2" x14ac:dyDescent="0.25">
      <c r="A11" s="2">
        <v>35369</v>
      </c>
    </row>
    <row r="12" spans="1:2" x14ac:dyDescent="0.25">
      <c r="A12" s="2">
        <v>35399</v>
      </c>
    </row>
    <row r="13" spans="1:2" x14ac:dyDescent="0.25">
      <c r="A13" s="2">
        <v>35430</v>
      </c>
    </row>
    <row r="14" spans="1:2" x14ac:dyDescent="0.25">
      <c r="A14" s="2">
        <v>35461</v>
      </c>
    </row>
    <row r="15" spans="1:2" x14ac:dyDescent="0.25">
      <c r="A15" s="2">
        <v>35489</v>
      </c>
    </row>
    <row r="16" spans="1:2" x14ac:dyDescent="0.25">
      <c r="A16" s="2">
        <v>35520</v>
      </c>
    </row>
    <row r="17" spans="1:1" x14ac:dyDescent="0.25">
      <c r="A17" s="2">
        <v>35550</v>
      </c>
    </row>
    <row r="18" spans="1:1" x14ac:dyDescent="0.25">
      <c r="A18" s="2">
        <v>35581</v>
      </c>
    </row>
    <row r="19" spans="1:1" x14ac:dyDescent="0.25">
      <c r="A19" s="2">
        <v>35611</v>
      </c>
    </row>
    <row r="20" spans="1:1" x14ac:dyDescent="0.25">
      <c r="A20" s="2">
        <v>35642</v>
      </c>
    </row>
    <row r="21" spans="1:1" x14ac:dyDescent="0.25">
      <c r="A21" s="2">
        <v>35673</v>
      </c>
    </row>
    <row r="22" spans="1:1" x14ac:dyDescent="0.25">
      <c r="A22" s="2">
        <v>35703</v>
      </c>
    </row>
    <row r="23" spans="1:1" x14ac:dyDescent="0.25">
      <c r="A23" s="2">
        <v>35734</v>
      </c>
    </row>
    <row r="24" spans="1:1" x14ac:dyDescent="0.25">
      <c r="A24" s="2">
        <v>35764</v>
      </c>
    </row>
    <row r="25" spans="1:1" x14ac:dyDescent="0.25">
      <c r="A25" s="2">
        <v>35795</v>
      </c>
    </row>
    <row r="26" spans="1:1" x14ac:dyDescent="0.25">
      <c r="A26" s="2">
        <v>35826</v>
      </c>
    </row>
    <row r="27" spans="1:1" x14ac:dyDescent="0.25">
      <c r="A27" s="2">
        <v>35854</v>
      </c>
    </row>
    <row r="28" spans="1:1" x14ac:dyDescent="0.25">
      <c r="A28" s="2">
        <v>35885</v>
      </c>
    </row>
    <row r="29" spans="1:1" x14ac:dyDescent="0.25">
      <c r="A29" s="2">
        <v>35915</v>
      </c>
    </row>
    <row r="30" spans="1:1" x14ac:dyDescent="0.25">
      <c r="A30" s="2">
        <v>35946</v>
      </c>
    </row>
    <row r="31" spans="1:1" x14ac:dyDescent="0.25">
      <c r="A31" s="2">
        <v>35976</v>
      </c>
    </row>
    <row r="32" spans="1:1" x14ac:dyDescent="0.25">
      <c r="A32" s="2">
        <v>36007</v>
      </c>
    </row>
    <row r="33" spans="1:1" x14ac:dyDescent="0.25">
      <c r="A33" s="2">
        <v>36038</v>
      </c>
    </row>
    <row r="34" spans="1:1" x14ac:dyDescent="0.25">
      <c r="A34" s="2">
        <v>36068</v>
      </c>
    </row>
    <row r="35" spans="1:1" x14ac:dyDescent="0.25">
      <c r="A35" s="2">
        <v>36099</v>
      </c>
    </row>
    <row r="36" spans="1:1" x14ac:dyDescent="0.25">
      <c r="A36" s="2">
        <v>36129</v>
      </c>
    </row>
    <row r="37" spans="1:1" x14ac:dyDescent="0.25">
      <c r="A37" s="2">
        <v>36160</v>
      </c>
    </row>
    <row r="38" spans="1:1" x14ac:dyDescent="0.25">
      <c r="A38" s="2">
        <v>36191</v>
      </c>
    </row>
    <row r="39" spans="1:1" x14ac:dyDescent="0.25">
      <c r="A39" s="2">
        <v>36219</v>
      </c>
    </row>
    <row r="40" spans="1:1" x14ac:dyDescent="0.25">
      <c r="A40" s="2">
        <v>36250</v>
      </c>
    </row>
    <row r="41" spans="1:1" x14ac:dyDescent="0.25">
      <c r="A41" s="2">
        <v>36280</v>
      </c>
    </row>
    <row r="42" spans="1:1" x14ac:dyDescent="0.25">
      <c r="A42" s="2">
        <v>36311</v>
      </c>
    </row>
    <row r="43" spans="1:1" x14ac:dyDescent="0.25">
      <c r="A43" s="2">
        <v>36341</v>
      </c>
    </row>
    <row r="44" spans="1:1" x14ac:dyDescent="0.25">
      <c r="A44" s="2">
        <v>36372</v>
      </c>
    </row>
    <row r="45" spans="1:1" x14ac:dyDescent="0.25">
      <c r="A45" s="2">
        <v>36403</v>
      </c>
    </row>
    <row r="46" spans="1:1" x14ac:dyDescent="0.25">
      <c r="A46" s="2">
        <v>36433</v>
      </c>
    </row>
    <row r="47" spans="1:1" x14ac:dyDescent="0.25">
      <c r="A47" s="2">
        <v>36464</v>
      </c>
    </row>
    <row r="48" spans="1:1" x14ac:dyDescent="0.25">
      <c r="A48" s="2">
        <v>36494</v>
      </c>
    </row>
    <row r="49" spans="1:6" x14ac:dyDescent="0.25">
      <c r="A49" s="2">
        <v>36525</v>
      </c>
    </row>
    <row r="50" spans="1:6" x14ac:dyDescent="0.25">
      <c r="A50" s="2">
        <v>36556</v>
      </c>
    </row>
    <row r="51" spans="1:6" x14ac:dyDescent="0.25">
      <c r="A51" s="2">
        <v>36585</v>
      </c>
    </row>
    <row r="52" spans="1:6" x14ac:dyDescent="0.25">
      <c r="A52" s="2">
        <v>36616</v>
      </c>
    </row>
    <row r="53" spans="1:6" x14ac:dyDescent="0.25">
      <c r="A53" s="2">
        <v>36646</v>
      </c>
    </row>
    <row r="54" spans="1:6" x14ac:dyDescent="0.25">
      <c r="A54" s="2">
        <v>36677</v>
      </c>
    </row>
    <row r="55" spans="1:6" x14ac:dyDescent="0.25">
      <c r="A55" s="2">
        <v>36707</v>
      </c>
    </row>
    <row r="56" spans="1:6" x14ac:dyDescent="0.25">
      <c r="A56" s="2">
        <v>36738</v>
      </c>
    </row>
    <row r="57" spans="1:6" x14ac:dyDescent="0.25">
      <c r="A57" s="2">
        <v>36769</v>
      </c>
    </row>
    <row r="58" spans="1:6" x14ac:dyDescent="0.25">
      <c r="A58" s="2">
        <v>36799</v>
      </c>
    </row>
    <row r="59" spans="1:6" x14ac:dyDescent="0.25">
      <c r="A59" s="2">
        <v>36830</v>
      </c>
    </row>
    <row r="60" spans="1:6" x14ac:dyDescent="0.25">
      <c r="A60" s="2">
        <v>36860</v>
      </c>
    </row>
    <row r="61" spans="1:6" x14ac:dyDescent="0.25">
      <c r="A61" s="2">
        <v>36891</v>
      </c>
    </row>
    <row r="62" spans="1:6" x14ac:dyDescent="0.25">
      <c r="A62" s="2">
        <v>36922</v>
      </c>
      <c r="B62" s="1">
        <f>IF([1]Rseries!C7="","",[1]Rseries!C7)</f>
        <v>15194299.220000001</v>
      </c>
      <c r="E62" t="s">
        <v>8</v>
      </c>
      <c r="F62" t="s">
        <v>9</v>
      </c>
    </row>
    <row r="63" spans="1:6" x14ac:dyDescent="0.25">
      <c r="A63" s="2">
        <v>36950</v>
      </c>
      <c r="B63" s="1">
        <f>IF([1]Rseries!C8="","",[1]Rseries!C8)</f>
        <v>15326583.35</v>
      </c>
      <c r="C63" s="1">
        <f t="shared" ref="C63:C94" si="0">B63-B62</f>
        <v>132284.12999999896</v>
      </c>
      <c r="E63">
        <f>COUNT(Mediana!3:3)-Amplitud</f>
        <v>172</v>
      </c>
      <c r="F63">
        <v>36</v>
      </c>
    </row>
    <row r="64" spans="1:6" x14ac:dyDescent="0.25">
      <c r="A64" s="2">
        <v>36981</v>
      </c>
      <c r="B64" s="1">
        <f>IF([1]Rseries!C9="","",[1]Rseries!C9)</f>
        <v>15455386.4</v>
      </c>
      <c r="C64" s="1">
        <f t="shared" si="0"/>
        <v>128803.05000000075</v>
      </c>
    </row>
    <row r="65" spans="1:3" x14ac:dyDescent="0.25">
      <c r="A65" s="2">
        <v>37011</v>
      </c>
      <c r="B65" s="1">
        <f>IF([1]Rseries!C10="","",[1]Rseries!C10)</f>
        <v>15551821.039999999</v>
      </c>
      <c r="C65" s="1">
        <f t="shared" si="0"/>
        <v>96434.639999998733</v>
      </c>
    </row>
    <row r="66" spans="1:3" x14ac:dyDescent="0.25">
      <c r="A66" s="2">
        <v>37042</v>
      </c>
      <c r="B66" s="1">
        <f>IF([1]Rseries!C11="","",[1]Rseries!C11)</f>
        <v>15688072.27</v>
      </c>
      <c r="C66" s="1">
        <f t="shared" si="0"/>
        <v>136251.23000000045</v>
      </c>
    </row>
    <row r="67" spans="1:3" x14ac:dyDescent="0.25">
      <c r="A67" s="2">
        <v>37072</v>
      </c>
      <c r="B67" s="1">
        <f>IF([1]Rseries!C12="","",[1]Rseries!C12)</f>
        <v>15802406.550000001</v>
      </c>
      <c r="C67" s="1">
        <f t="shared" si="0"/>
        <v>114334.28000000119</v>
      </c>
    </row>
    <row r="68" spans="1:3" x14ac:dyDescent="0.25">
      <c r="A68" s="2">
        <v>37103</v>
      </c>
      <c r="B68" s="1">
        <f>IF([1]Rseries!C13="","",[1]Rseries!C13)</f>
        <v>15941613.6</v>
      </c>
      <c r="C68" s="1">
        <f t="shared" si="0"/>
        <v>139207.04999999888</v>
      </c>
    </row>
    <row r="69" spans="1:3" x14ac:dyDescent="0.25">
      <c r="A69" s="2">
        <v>37134</v>
      </c>
      <c r="B69" s="1">
        <f>IF([1]Rseries!C14="","",[1]Rseries!C14)</f>
        <v>15829410.01</v>
      </c>
      <c r="C69" s="1">
        <f t="shared" si="0"/>
        <v>-112203.58999999985</v>
      </c>
    </row>
    <row r="70" spans="1:3" x14ac:dyDescent="0.25">
      <c r="A70" s="2">
        <v>37164</v>
      </c>
      <c r="B70" s="1">
        <f>IF([1]Rseries!C15="","",[1]Rseries!C15)</f>
        <v>15807572.640000001</v>
      </c>
      <c r="C70" s="1">
        <f t="shared" si="0"/>
        <v>-21837.36999999918</v>
      </c>
    </row>
    <row r="71" spans="1:3" x14ac:dyDescent="0.25">
      <c r="A71" s="2">
        <v>37195</v>
      </c>
      <c r="B71" s="1">
        <f>IF([1]Rseries!C16="","",[1]Rseries!C16)</f>
        <v>15845332.529999999</v>
      </c>
      <c r="C71" s="1">
        <f t="shared" si="0"/>
        <v>37759.889999998733</v>
      </c>
    </row>
    <row r="72" spans="1:3" x14ac:dyDescent="0.25">
      <c r="A72" s="2">
        <v>37225</v>
      </c>
      <c r="B72" s="1">
        <f>IF([1]Rseries!C17="","",[1]Rseries!C17)</f>
        <v>15885774.66</v>
      </c>
      <c r="C72" s="1">
        <f t="shared" si="0"/>
        <v>40442.13000000082</v>
      </c>
    </row>
    <row r="73" spans="1:3" x14ac:dyDescent="0.25">
      <c r="A73" s="2">
        <v>37256</v>
      </c>
      <c r="B73" s="1">
        <f>IF([1]Rseries!C18="","",[1]Rseries!C18)</f>
        <v>15901915.26</v>
      </c>
      <c r="C73" s="1">
        <f t="shared" si="0"/>
        <v>16140.599999999627</v>
      </c>
    </row>
    <row r="74" spans="1:3" x14ac:dyDescent="0.25">
      <c r="A74" s="2">
        <v>37287</v>
      </c>
      <c r="B74" s="1">
        <f>IF([1]Rseries!C19="","",[1]Rseries!C19)</f>
        <v>15716520.01</v>
      </c>
      <c r="C74" s="1">
        <f t="shared" si="0"/>
        <v>-185395.25</v>
      </c>
    </row>
    <row r="75" spans="1:3" x14ac:dyDescent="0.25">
      <c r="A75" s="2">
        <v>37315</v>
      </c>
      <c r="B75" s="1">
        <f>IF([1]Rseries!C20="","",[1]Rseries!C20)</f>
        <v>15834338.25</v>
      </c>
      <c r="C75" s="1">
        <f t="shared" si="0"/>
        <v>117818.24000000022</v>
      </c>
    </row>
    <row r="76" spans="1:3" x14ac:dyDescent="0.25">
      <c r="A76" s="2">
        <v>37346</v>
      </c>
      <c r="B76" s="1">
        <f>IF([1]Rseries!C21="","",[1]Rseries!C21)</f>
        <v>15927218.199999999</v>
      </c>
      <c r="C76" s="1">
        <f t="shared" si="0"/>
        <v>92879.949999999255</v>
      </c>
    </row>
    <row r="77" spans="1:3" x14ac:dyDescent="0.25">
      <c r="A77" s="2">
        <v>37376</v>
      </c>
      <c r="B77" s="1">
        <f>IF([1]Rseries!C22="","",[1]Rseries!C22)</f>
        <v>16025754.18</v>
      </c>
      <c r="C77" s="1">
        <f t="shared" si="0"/>
        <v>98535.980000000447</v>
      </c>
    </row>
    <row r="78" spans="1:3" x14ac:dyDescent="0.25">
      <c r="A78" s="2">
        <v>37407</v>
      </c>
      <c r="B78" s="1">
        <f>IF([1]Rseries!C23="","",[1]Rseries!C23)</f>
        <v>16183522.4</v>
      </c>
      <c r="C78" s="1">
        <f t="shared" si="0"/>
        <v>157768.22000000067</v>
      </c>
    </row>
    <row r="79" spans="1:3" x14ac:dyDescent="0.25">
      <c r="A79" s="2">
        <v>37437</v>
      </c>
      <c r="B79" s="1">
        <f>IF([1]Rseries!C24="","",[1]Rseries!C24)</f>
        <v>16260265.76</v>
      </c>
      <c r="C79" s="1">
        <f t="shared" si="0"/>
        <v>76743.359999999404</v>
      </c>
    </row>
    <row r="80" spans="1:3" x14ac:dyDescent="0.25">
      <c r="A80" s="2">
        <v>37468</v>
      </c>
      <c r="B80" s="1">
        <f>IF([1]Rseries!C25="","",[1]Rseries!C25)</f>
        <v>16419239.07</v>
      </c>
      <c r="C80" s="1">
        <f t="shared" si="0"/>
        <v>158973.31000000052</v>
      </c>
    </row>
    <row r="81" spans="1:3" x14ac:dyDescent="0.25">
      <c r="A81" s="2">
        <v>37499</v>
      </c>
      <c r="B81" s="1">
        <f>IF([1]Rseries!C26="","",[1]Rseries!C26)</f>
        <v>16321804.82</v>
      </c>
      <c r="C81" s="1">
        <f t="shared" si="0"/>
        <v>-97434.25</v>
      </c>
    </row>
    <row r="82" spans="1:3" x14ac:dyDescent="0.25">
      <c r="A82" s="2">
        <v>37529</v>
      </c>
      <c r="B82" s="1">
        <f>IF([1]Rseries!C27="","",[1]Rseries!C27)</f>
        <v>16293662.039999999</v>
      </c>
      <c r="C82" s="1">
        <f t="shared" si="0"/>
        <v>-28142.780000001192</v>
      </c>
    </row>
    <row r="83" spans="1:3" x14ac:dyDescent="0.25">
      <c r="A83" s="2">
        <v>37560</v>
      </c>
      <c r="B83" s="1">
        <f>IF([1]Rseries!C28="","",[1]Rseries!C28)</f>
        <v>16340244.6</v>
      </c>
      <c r="C83" s="1">
        <f t="shared" si="0"/>
        <v>46582.560000000522</v>
      </c>
    </row>
    <row r="84" spans="1:3" x14ac:dyDescent="0.25">
      <c r="A84" s="2">
        <v>37590</v>
      </c>
      <c r="B84" s="1">
        <f>IF([1]Rseries!C29="","",[1]Rseries!C29)</f>
        <v>16376762.68</v>
      </c>
      <c r="C84" s="1">
        <f t="shared" si="0"/>
        <v>36518.080000000075</v>
      </c>
    </row>
    <row r="85" spans="1:3" x14ac:dyDescent="0.25">
      <c r="A85" s="2">
        <v>37621</v>
      </c>
      <c r="B85" s="1">
        <f>IF([1]Rseries!C30="","",[1]Rseries!C30)</f>
        <v>16380197.689999999</v>
      </c>
      <c r="C85" s="1">
        <f t="shared" si="0"/>
        <v>3435.0099999997765</v>
      </c>
    </row>
    <row r="86" spans="1:3" x14ac:dyDescent="0.25">
      <c r="A86" s="2">
        <v>37652</v>
      </c>
      <c r="B86" s="1">
        <f>IF([1]Rseries!C31="","",[1]Rseries!C31)</f>
        <v>16217209.48</v>
      </c>
      <c r="C86" s="1">
        <f t="shared" si="0"/>
        <v>-162988.20999999903</v>
      </c>
    </row>
    <row r="87" spans="1:3" x14ac:dyDescent="0.25">
      <c r="A87" s="2">
        <v>37680</v>
      </c>
      <c r="B87" s="1">
        <f>IF([1]Rseries!C32="","",[1]Rseries!C32)</f>
        <v>16365395.65</v>
      </c>
      <c r="C87" s="1">
        <f t="shared" si="0"/>
        <v>148186.16999999993</v>
      </c>
    </row>
    <row r="88" spans="1:3" x14ac:dyDescent="0.25">
      <c r="A88" s="2">
        <v>37711</v>
      </c>
      <c r="B88" s="1">
        <f>IF([1]Rseries!C33="","",[1]Rseries!C33)</f>
        <v>16482972.57</v>
      </c>
      <c r="C88" s="1">
        <f t="shared" si="0"/>
        <v>117576.91999999993</v>
      </c>
    </row>
    <row r="89" spans="1:3" x14ac:dyDescent="0.25">
      <c r="A89" s="2">
        <v>37741</v>
      </c>
      <c r="B89" s="1">
        <f>IF([1]Rseries!C34="","",[1]Rseries!C34)</f>
        <v>16594317.07</v>
      </c>
      <c r="C89" s="1">
        <f t="shared" si="0"/>
        <v>111344.5</v>
      </c>
    </row>
    <row r="90" spans="1:3" x14ac:dyDescent="0.25">
      <c r="A90" s="2">
        <v>37772</v>
      </c>
      <c r="B90" s="1">
        <f>IF([1]Rseries!C35="","",[1]Rseries!C35)</f>
        <v>16735791.039999999</v>
      </c>
      <c r="C90" s="1">
        <f t="shared" si="0"/>
        <v>141473.96999999881</v>
      </c>
    </row>
    <row r="91" spans="1:3" x14ac:dyDescent="0.25">
      <c r="A91" s="2">
        <v>37802</v>
      </c>
      <c r="B91" s="1">
        <f>IF([1]Rseries!C36="","",[1]Rseries!C36)</f>
        <v>16818072.16</v>
      </c>
      <c r="C91" s="1">
        <f t="shared" si="0"/>
        <v>82281.120000001043</v>
      </c>
    </row>
    <row r="92" spans="1:3" x14ac:dyDescent="0.25">
      <c r="A92" s="2">
        <v>37833</v>
      </c>
      <c r="B92" s="1">
        <f>IF([1]Rseries!C37="","",[1]Rseries!C37)</f>
        <v>16941956.129999999</v>
      </c>
      <c r="C92" s="1">
        <f t="shared" si="0"/>
        <v>123883.96999999881</v>
      </c>
    </row>
    <row r="93" spans="1:3" x14ac:dyDescent="0.25">
      <c r="A93" s="2">
        <v>37864</v>
      </c>
      <c r="B93" s="1">
        <f>IF([1]Rseries!C38="","",[1]Rseries!C38)</f>
        <v>16810036.199999999</v>
      </c>
      <c r="C93" s="1">
        <f t="shared" si="0"/>
        <v>-131919.9299999997</v>
      </c>
    </row>
    <row r="94" spans="1:3" x14ac:dyDescent="0.25">
      <c r="A94" s="2">
        <v>37894</v>
      </c>
      <c r="B94" s="1">
        <f>IF([1]Rseries!C39="","",[1]Rseries!C39)</f>
        <v>16785475.829999998</v>
      </c>
      <c r="C94" s="1">
        <f t="shared" si="0"/>
        <v>-24560.370000001043</v>
      </c>
    </row>
    <row r="95" spans="1:3" x14ac:dyDescent="0.25">
      <c r="A95" s="2">
        <v>37925</v>
      </c>
      <c r="B95" s="1">
        <f>IF([1]Rseries!C40="","",[1]Rseries!C40)</f>
        <v>16830082.649999999</v>
      </c>
      <c r="C95" s="1">
        <f t="shared" ref="C95:C126" si="1">B95-B94</f>
        <v>44606.820000000298</v>
      </c>
    </row>
    <row r="96" spans="1:3" x14ac:dyDescent="0.25">
      <c r="A96" s="2">
        <v>37955</v>
      </c>
      <c r="B96" s="1">
        <f>IF([1]Rseries!C41="","",[1]Rseries!C41)</f>
        <v>16850235.600000001</v>
      </c>
      <c r="C96" s="1">
        <f t="shared" si="1"/>
        <v>20152.95000000298</v>
      </c>
    </row>
    <row r="97" spans="1:3" x14ac:dyDescent="0.25">
      <c r="A97" s="2">
        <v>37986</v>
      </c>
      <c r="B97" s="1">
        <f>IF([1]Rseries!C42="","",[1]Rseries!C42)</f>
        <v>16826224.210000001</v>
      </c>
      <c r="C97" s="1">
        <f t="shared" si="1"/>
        <v>-24011.390000000596</v>
      </c>
    </row>
    <row r="98" spans="1:3" x14ac:dyDescent="0.25">
      <c r="A98" s="2">
        <v>38017</v>
      </c>
      <c r="B98" s="1">
        <f>IF([1]Rseries!C43="","",[1]Rseries!C43)</f>
        <v>16640851.449999999</v>
      </c>
      <c r="C98" s="1">
        <f t="shared" si="1"/>
        <v>-185372.76000000164</v>
      </c>
    </row>
    <row r="99" spans="1:3" x14ac:dyDescent="0.25">
      <c r="A99" s="2">
        <v>38046</v>
      </c>
      <c r="B99" s="1">
        <f>IF([1]Rseries!C44="","",[1]Rseries!C44)</f>
        <v>16808648.850000001</v>
      </c>
      <c r="C99" s="1">
        <f t="shared" si="1"/>
        <v>167797.40000000224</v>
      </c>
    </row>
    <row r="100" spans="1:3" x14ac:dyDescent="0.25">
      <c r="A100" s="2">
        <v>38077</v>
      </c>
      <c r="B100" s="1">
        <f>IF([1]Rseries!C45="","",[1]Rseries!C45)</f>
        <v>16930836.649999999</v>
      </c>
      <c r="C100" s="1">
        <f t="shared" si="1"/>
        <v>122187.79999999702</v>
      </c>
    </row>
    <row r="101" spans="1:3" x14ac:dyDescent="0.25">
      <c r="A101" s="2">
        <v>38107</v>
      </c>
      <c r="B101" s="1">
        <f>IF([1]Rseries!C46="","",[1]Rseries!C46)</f>
        <v>17023372.149999999</v>
      </c>
      <c r="C101" s="1">
        <f t="shared" si="1"/>
        <v>92535.5</v>
      </c>
    </row>
    <row r="102" spans="1:3" x14ac:dyDescent="0.25">
      <c r="A102" s="2">
        <v>38138</v>
      </c>
      <c r="B102" s="1">
        <f>IF([1]Rseries!C47="","",[1]Rseries!C47)</f>
        <v>17174293.949999999</v>
      </c>
      <c r="C102" s="1">
        <f t="shared" si="1"/>
        <v>150921.80000000075</v>
      </c>
    </row>
    <row r="103" spans="1:3" x14ac:dyDescent="0.25">
      <c r="A103" s="2">
        <v>38168</v>
      </c>
      <c r="B103" s="1">
        <f>IF([1]Rseries!C48="","",[1]Rseries!C48)</f>
        <v>17276512.780000001</v>
      </c>
      <c r="C103" s="1">
        <f t="shared" si="1"/>
        <v>102218.83000000194</v>
      </c>
    </row>
    <row r="104" spans="1:3" x14ac:dyDescent="0.25">
      <c r="A104" s="2">
        <v>38199</v>
      </c>
      <c r="B104" s="1">
        <f>IF([1]Rseries!C49="","",[1]Rseries!C49)</f>
        <v>17414516.309999999</v>
      </c>
      <c r="C104" s="1">
        <f t="shared" si="1"/>
        <v>138003.52999999747</v>
      </c>
    </row>
    <row r="105" spans="1:3" x14ac:dyDescent="0.25">
      <c r="A105" s="2">
        <v>38230</v>
      </c>
      <c r="B105" s="1">
        <f>IF([1]Rseries!C50="","",[1]Rseries!C50)</f>
        <v>17260174.649999999</v>
      </c>
      <c r="C105" s="1">
        <f t="shared" si="1"/>
        <v>-154341.66000000015</v>
      </c>
    </row>
    <row r="106" spans="1:3" x14ac:dyDescent="0.25">
      <c r="A106" s="2">
        <v>38260</v>
      </c>
      <c r="B106" s="1">
        <f>IF([1]Rseries!C51="","",[1]Rseries!C51)</f>
        <v>17247118.719999999</v>
      </c>
      <c r="C106" s="1">
        <f t="shared" si="1"/>
        <v>-13055.929999999702</v>
      </c>
    </row>
    <row r="107" spans="1:3" x14ac:dyDescent="0.25">
      <c r="A107" s="2">
        <v>38291</v>
      </c>
      <c r="B107" s="1">
        <f>IF([1]Rseries!C52="","",[1]Rseries!C52)</f>
        <v>17314217.050000001</v>
      </c>
      <c r="C107" s="1">
        <f t="shared" si="1"/>
        <v>67098.330000001937</v>
      </c>
    </row>
    <row r="108" spans="1:3" x14ac:dyDescent="0.25">
      <c r="A108" s="2">
        <v>38321</v>
      </c>
      <c r="B108" s="1">
        <f>IF([1]Rseries!C53="","",[1]Rseries!C53)</f>
        <v>17349474.239999998</v>
      </c>
      <c r="C108" s="1">
        <f t="shared" si="1"/>
        <v>35257.189999997616</v>
      </c>
    </row>
    <row r="109" spans="1:3" x14ac:dyDescent="0.25">
      <c r="A109" s="2">
        <v>38352</v>
      </c>
      <c r="B109" s="1">
        <f>IF([1]Rseries!C54="","",[1]Rseries!C54)</f>
        <v>17340361.050000001</v>
      </c>
      <c r="C109" s="1">
        <f t="shared" si="1"/>
        <v>-9113.1899999976158</v>
      </c>
    </row>
    <row r="110" spans="1:3" x14ac:dyDescent="0.25">
      <c r="A110" s="2">
        <v>38383</v>
      </c>
      <c r="B110" s="1">
        <f>IF([1]Rseries!C55="","",[1]Rseries!C55)</f>
        <v>17180940.449999999</v>
      </c>
      <c r="C110" s="1">
        <f t="shared" si="1"/>
        <v>-159420.60000000149</v>
      </c>
    </row>
    <row r="111" spans="1:3" x14ac:dyDescent="0.25">
      <c r="A111" s="2">
        <v>38411</v>
      </c>
      <c r="B111" s="1">
        <f>IF([1]Rseries!C56="","",[1]Rseries!C56)</f>
        <v>17320383.800000001</v>
      </c>
      <c r="C111" s="1">
        <f t="shared" si="1"/>
        <v>139443.35000000149</v>
      </c>
    </row>
    <row r="112" spans="1:3" x14ac:dyDescent="0.25">
      <c r="A112" s="2">
        <v>38442</v>
      </c>
      <c r="B112" s="1">
        <f>IF([1]Rseries!C57="","",[1]Rseries!C57)</f>
        <v>17430544.379999999</v>
      </c>
      <c r="C112" s="1">
        <f t="shared" si="1"/>
        <v>110160.57999999821</v>
      </c>
    </row>
    <row r="113" spans="1:3" x14ac:dyDescent="0.25">
      <c r="A113" s="2">
        <v>38472</v>
      </c>
      <c r="B113" s="1">
        <f>IF([1]Rseries!C58="","",[1]Rseries!C58)</f>
        <v>17575463.010000002</v>
      </c>
      <c r="C113" s="1">
        <f t="shared" si="1"/>
        <v>144918.63000000268</v>
      </c>
    </row>
    <row r="114" spans="1:3" x14ac:dyDescent="0.25">
      <c r="A114" s="2">
        <v>38503</v>
      </c>
      <c r="B114" s="1">
        <f>IF([1]Rseries!C59="","",[1]Rseries!C59)</f>
        <v>17789655.539999999</v>
      </c>
      <c r="C114" s="1">
        <f t="shared" si="1"/>
        <v>214192.52999999747</v>
      </c>
    </row>
    <row r="115" spans="1:3" x14ac:dyDescent="0.25">
      <c r="A115" s="2">
        <v>38533</v>
      </c>
      <c r="B115" s="1">
        <f>IF([1]Rseries!C60="","",[1]Rseries!C60)</f>
        <v>18019758.109999999</v>
      </c>
      <c r="C115" s="1">
        <f t="shared" si="1"/>
        <v>230102.5700000003</v>
      </c>
    </row>
    <row r="116" spans="1:3" x14ac:dyDescent="0.25">
      <c r="A116" s="2">
        <v>38564</v>
      </c>
      <c r="B116" s="1">
        <f>IF([1]Rseries!C61="","",[1]Rseries!C61)</f>
        <v>18260394.07</v>
      </c>
      <c r="C116" s="1">
        <f t="shared" si="1"/>
        <v>240635.96000000089</v>
      </c>
    </row>
    <row r="117" spans="1:3" x14ac:dyDescent="0.25">
      <c r="A117" s="2">
        <v>38595</v>
      </c>
      <c r="B117" s="1">
        <f>IF([1]Rseries!C62="","",[1]Rseries!C62)</f>
        <v>18168312.59</v>
      </c>
      <c r="C117" s="1">
        <f t="shared" si="1"/>
        <v>-92081.480000000447</v>
      </c>
    </row>
    <row r="118" spans="1:3" x14ac:dyDescent="0.25">
      <c r="A118" s="2">
        <v>38625</v>
      </c>
      <c r="B118" s="1">
        <f>IF([1]Rseries!C63="","",[1]Rseries!C63)</f>
        <v>18196939.539999999</v>
      </c>
      <c r="C118" s="1">
        <f t="shared" si="1"/>
        <v>28626.949999999255</v>
      </c>
    </row>
    <row r="119" spans="1:3" x14ac:dyDescent="0.25">
      <c r="A119" s="2">
        <v>38656</v>
      </c>
      <c r="B119" s="1">
        <f>IF([1]Rseries!C64="","",[1]Rseries!C64)</f>
        <v>18294813.399999999</v>
      </c>
      <c r="C119" s="1">
        <f t="shared" si="1"/>
        <v>97873.859999999404</v>
      </c>
    </row>
    <row r="120" spans="1:3" x14ac:dyDescent="0.25">
      <c r="A120" s="2">
        <v>38686</v>
      </c>
      <c r="B120" s="1">
        <f>IF([1]Rseries!C65="","",[1]Rseries!C65)</f>
        <v>18330429.809999999</v>
      </c>
      <c r="C120" s="1">
        <f t="shared" si="1"/>
        <v>35616.410000000149</v>
      </c>
    </row>
    <row r="121" spans="1:3" x14ac:dyDescent="0.25">
      <c r="A121" s="2">
        <v>38717</v>
      </c>
      <c r="B121" s="1">
        <f>IF([1]Rseries!C66="","",[1]Rseries!C66)</f>
        <v>18316322.949999999</v>
      </c>
      <c r="C121" s="1">
        <f t="shared" si="1"/>
        <v>-14106.859999999404</v>
      </c>
    </row>
    <row r="122" spans="1:3" x14ac:dyDescent="0.25">
      <c r="A122" s="2">
        <v>38748</v>
      </c>
      <c r="B122" s="1">
        <f>IF([1]Rseries!C67="","",[1]Rseries!C67)</f>
        <v>18154960.289999999</v>
      </c>
      <c r="C122" s="1">
        <f t="shared" si="1"/>
        <v>-161362.66000000015</v>
      </c>
    </row>
    <row r="123" spans="1:3" x14ac:dyDescent="0.25">
      <c r="A123" s="2">
        <v>38776</v>
      </c>
      <c r="B123" s="1">
        <f>IF([1]Rseries!C68="","",[1]Rseries!C68)</f>
        <v>18286896.75</v>
      </c>
      <c r="C123" s="1">
        <f t="shared" si="1"/>
        <v>131936.46000000089</v>
      </c>
    </row>
    <row r="124" spans="1:3" x14ac:dyDescent="0.25">
      <c r="A124" s="2">
        <v>38807</v>
      </c>
      <c r="B124" s="1">
        <f>IF([1]Rseries!C69="","",[1]Rseries!C69)</f>
        <v>18415427.050000001</v>
      </c>
      <c r="C124" s="1">
        <f t="shared" si="1"/>
        <v>128530.30000000075</v>
      </c>
    </row>
    <row r="125" spans="1:3" x14ac:dyDescent="0.25">
      <c r="A125" s="2">
        <v>38837</v>
      </c>
      <c r="B125" s="1">
        <f>IF([1]Rseries!C70="","",[1]Rseries!C70)</f>
        <v>18540308.850000001</v>
      </c>
      <c r="C125" s="1">
        <f t="shared" si="1"/>
        <v>124881.80000000075</v>
      </c>
    </row>
    <row r="126" spans="1:3" x14ac:dyDescent="0.25">
      <c r="A126" s="2">
        <v>38868</v>
      </c>
      <c r="B126" s="1">
        <f>IF([1]Rseries!C71="","",[1]Rseries!C71)</f>
        <v>18696526.289999999</v>
      </c>
      <c r="C126" s="1">
        <f t="shared" si="1"/>
        <v>156217.43999999762</v>
      </c>
    </row>
    <row r="127" spans="1:3" x14ac:dyDescent="0.25">
      <c r="A127" s="2">
        <v>38898</v>
      </c>
      <c r="B127" s="1">
        <f>IF([1]Rseries!C72="","",[1]Rseries!C72)</f>
        <v>18807670.370000001</v>
      </c>
      <c r="C127" s="1">
        <f t="shared" ref="C127:C158" si="2">B127-B126</f>
        <v>111144.08000000194</v>
      </c>
    </row>
    <row r="128" spans="1:3" x14ac:dyDescent="0.25">
      <c r="A128" s="2">
        <v>38929</v>
      </c>
      <c r="B128" s="1">
        <f>IF([1]Rseries!C73="","",[1]Rseries!C73)</f>
        <v>18944956.34</v>
      </c>
      <c r="C128" s="1">
        <f t="shared" si="2"/>
        <v>137285.96999999881</v>
      </c>
    </row>
    <row r="129" spans="1:3" x14ac:dyDescent="0.25">
      <c r="A129" s="2">
        <v>38960</v>
      </c>
      <c r="B129" s="1">
        <f>IF([1]Rseries!C74="","",[1]Rseries!C74)</f>
        <v>18760546.600000001</v>
      </c>
      <c r="C129" s="1">
        <f t="shared" si="2"/>
        <v>-184409.73999999836</v>
      </c>
    </row>
    <row r="130" spans="1:3" x14ac:dyDescent="0.25">
      <c r="A130" s="2">
        <v>38990</v>
      </c>
      <c r="B130" s="1">
        <f>IF([1]Rseries!C75="","",[1]Rseries!C75)</f>
        <v>18777097.109999999</v>
      </c>
      <c r="C130" s="1">
        <f t="shared" si="2"/>
        <v>16550.509999997914</v>
      </c>
    </row>
    <row r="131" spans="1:3" x14ac:dyDescent="0.25">
      <c r="A131" s="2">
        <v>39021</v>
      </c>
      <c r="B131" s="1">
        <f>IF([1]Rseries!C76="","",[1]Rseries!C76)</f>
        <v>18866359.010000002</v>
      </c>
      <c r="C131" s="1">
        <f t="shared" si="2"/>
        <v>89261.900000002235</v>
      </c>
    </row>
    <row r="132" spans="1:3" x14ac:dyDescent="0.25">
      <c r="A132" s="2">
        <v>39051</v>
      </c>
      <c r="B132" s="1">
        <f>IF([1]Rseries!C77="","",[1]Rseries!C77)</f>
        <v>18922822.34</v>
      </c>
      <c r="C132" s="1">
        <f t="shared" si="2"/>
        <v>56463.329999998212</v>
      </c>
    </row>
    <row r="133" spans="1:3" x14ac:dyDescent="0.25">
      <c r="A133" s="2">
        <v>39082</v>
      </c>
      <c r="B133" s="1">
        <f>IF([1]Rseries!C78="","",[1]Rseries!C78)</f>
        <v>18925995.789999999</v>
      </c>
      <c r="C133" s="1">
        <f t="shared" si="2"/>
        <v>3173.4499999992549</v>
      </c>
    </row>
    <row r="134" spans="1:3" x14ac:dyDescent="0.25">
      <c r="A134" s="2">
        <v>39113</v>
      </c>
      <c r="B134" s="1">
        <f>IF([1]Rseries!C79="","",[1]Rseries!C79)</f>
        <v>18778596.859999999</v>
      </c>
      <c r="C134" s="1">
        <f t="shared" si="2"/>
        <v>-147398.9299999997</v>
      </c>
    </row>
    <row r="135" spans="1:3" x14ac:dyDescent="0.25">
      <c r="A135" s="2">
        <v>39141</v>
      </c>
      <c r="B135" s="1">
        <f>IF([1]Rseries!C80="","",[1]Rseries!C80)</f>
        <v>18918020.949999999</v>
      </c>
      <c r="C135" s="1">
        <f t="shared" si="2"/>
        <v>139424.08999999985</v>
      </c>
    </row>
    <row r="136" spans="1:3" x14ac:dyDescent="0.25">
      <c r="A136" s="2">
        <v>39172</v>
      </c>
      <c r="B136" s="1">
        <f>IF([1]Rseries!C81="","",[1]Rseries!C81)</f>
        <v>19058951.27</v>
      </c>
      <c r="C136" s="1">
        <f t="shared" si="2"/>
        <v>140930.3200000003</v>
      </c>
    </row>
    <row r="137" spans="1:3" x14ac:dyDescent="0.25">
      <c r="A137" s="2">
        <v>39202</v>
      </c>
      <c r="B137" s="1">
        <f>IF([1]Rseries!C82="","",[1]Rseries!C82)</f>
        <v>19151216.010000002</v>
      </c>
      <c r="C137" s="1">
        <f t="shared" si="2"/>
        <v>92264.740000002086</v>
      </c>
    </row>
    <row r="138" spans="1:3" x14ac:dyDescent="0.25">
      <c r="A138" s="2">
        <v>39233</v>
      </c>
      <c r="B138" s="1">
        <f>IF([1]Rseries!C83="","",[1]Rseries!C83)</f>
        <v>19303188.690000001</v>
      </c>
      <c r="C138" s="1">
        <f t="shared" si="2"/>
        <v>151972.6799999997</v>
      </c>
    </row>
    <row r="139" spans="1:3" x14ac:dyDescent="0.25">
      <c r="A139" s="2">
        <v>39263</v>
      </c>
      <c r="B139" s="1">
        <f>IF([1]Rseries!C84="","",[1]Rseries!C84)</f>
        <v>19377776.300000001</v>
      </c>
      <c r="C139" s="1">
        <f t="shared" si="2"/>
        <v>74587.609999999404</v>
      </c>
    </row>
    <row r="140" spans="1:3" x14ac:dyDescent="0.25">
      <c r="A140" s="2">
        <v>39294</v>
      </c>
      <c r="B140" s="1">
        <f>IF([1]Rseries!C85="","",[1]Rseries!C85)</f>
        <v>19493050.199999999</v>
      </c>
      <c r="C140" s="1">
        <f t="shared" si="2"/>
        <v>115273.89999999851</v>
      </c>
    </row>
    <row r="141" spans="1:3" x14ac:dyDescent="0.25">
      <c r="A141" s="2">
        <v>39325</v>
      </c>
      <c r="B141" s="1">
        <f>IF([1]Rseries!C86="","",[1]Rseries!C86)</f>
        <v>19286185.190000001</v>
      </c>
      <c r="C141" s="1">
        <f t="shared" si="2"/>
        <v>-206865.00999999791</v>
      </c>
    </row>
    <row r="142" spans="1:3" x14ac:dyDescent="0.25">
      <c r="A142" s="2">
        <v>39355</v>
      </c>
      <c r="B142" s="1">
        <f>IF([1]Rseries!C87="","",[1]Rseries!C87)</f>
        <v>19290985.350000001</v>
      </c>
      <c r="C142" s="1">
        <f t="shared" si="2"/>
        <v>4800.160000000149</v>
      </c>
    </row>
    <row r="143" spans="1:3" x14ac:dyDescent="0.25">
      <c r="A143" s="2">
        <v>39386</v>
      </c>
      <c r="B143" s="1">
        <f>IF([1]Rseries!C88="","",[1]Rseries!C88)</f>
        <v>19371683.5</v>
      </c>
      <c r="C143" s="1">
        <f t="shared" si="2"/>
        <v>80698.14999999851</v>
      </c>
    </row>
    <row r="144" spans="1:3" x14ac:dyDescent="0.25">
      <c r="A144" s="2">
        <v>39416</v>
      </c>
      <c r="B144" s="1">
        <f>IF([1]Rseries!C89="","",[1]Rseries!C89)</f>
        <v>19393158.91</v>
      </c>
      <c r="C144" s="1">
        <f t="shared" si="2"/>
        <v>21475.410000000149</v>
      </c>
    </row>
    <row r="145" spans="1:3" x14ac:dyDescent="0.25">
      <c r="A145" s="2">
        <v>39447</v>
      </c>
      <c r="B145" s="1">
        <f>IF([1]Rseries!C90="","",[1]Rseries!C90)</f>
        <v>19372777.079999998</v>
      </c>
      <c r="C145" s="1">
        <f t="shared" si="2"/>
        <v>-20381.830000001937</v>
      </c>
    </row>
    <row r="146" spans="1:3" x14ac:dyDescent="0.25">
      <c r="A146" s="2">
        <v>39478</v>
      </c>
      <c r="B146" s="1">
        <f>IF([1]Rseries!C91="","",[1]Rseries!C91)</f>
        <v>19160798.010000002</v>
      </c>
      <c r="C146" s="1">
        <f t="shared" si="2"/>
        <v>-211979.06999999657</v>
      </c>
    </row>
    <row r="147" spans="1:3" x14ac:dyDescent="0.25">
      <c r="A147" s="2">
        <v>39507</v>
      </c>
      <c r="B147" s="1">
        <f>IF([1]Rseries!C92="","",[1]Rseries!C92)</f>
        <v>19252124.84</v>
      </c>
      <c r="C147" s="1">
        <f t="shared" si="2"/>
        <v>91326.829999998212</v>
      </c>
    </row>
    <row r="148" spans="1:3" x14ac:dyDescent="0.25">
      <c r="A148" s="2">
        <v>39538</v>
      </c>
      <c r="B148" s="1">
        <f>IF([1]Rseries!C93="","",[1]Rseries!C93)</f>
        <v>19314403.530999999</v>
      </c>
      <c r="C148" s="1">
        <f t="shared" si="2"/>
        <v>62278.690999999642</v>
      </c>
    </row>
    <row r="149" spans="1:3" x14ac:dyDescent="0.25">
      <c r="A149" s="2">
        <v>39568</v>
      </c>
      <c r="B149" s="1">
        <f>IF([1]Rseries!C94="","",[1]Rseries!C94)</f>
        <v>19356269.149999999</v>
      </c>
      <c r="C149" s="1">
        <f t="shared" si="2"/>
        <v>41865.618999999017</v>
      </c>
    </row>
    <row r="150" spans="1:3" x14ac:dyDescent="0.25">
      <c r="A150" s="2">
        <v>39599</v>
      </c>
      <c r="B150" s="1">
        <f>IF([1]Rseries!C95="","",[1]Rseries!C95)</f>
        <v>19409641.57</v>
      </c>
      <c r="C150" s="1">
        <f t="shared" si="2"/>
        <v>53372.420000001788</v>
      </c>
    </row>
    <row r="151" spans="1:3" x14ac:dyDescent="0.25">
      <c r="A151" s="2">
        <v>39629</v>
      </c>
      <c r="B151" s="1">
        <f>IF([1]Rseries!C96="","",[1]Rseries!C96)</f>
        <v>19358953.440000001</v>
      </c>
      <c r="C151" s="1">
        <f t="shared" si="2"/>
        <v>-50688.129999998957</v>
      </c>
    </row>
    <row r="152" spans="1:3" x14ac:dyDescent="0.25">
      <c r="A152" s="2">
        <v>39660</v>
      </c>
      <c r="B152" s="1">
        <f>IF([1]Rseries!C97="","",[1]Rseries!C97)</f>
        <v>19382222.559999999</v>
      </c>
      <c r="C152" s="1">
        <f t="shared" si="2"/>
        <v>23269.119999997318</v>
      </c>
    </row>
    <row r="153" spans="1:3" x14ac:dyDescent="0.25">
      <c r="A153" s="2">
        <v>39691</v>
      </c>
      <c r="B153" s="1">
        <f>IF([1]Rseries!C98="","",[1]Rseries!C98)</f>
        <v>19137556.149999999</v>
      </c>
      <c r="C153" s="1">
        <f t="shared" si="2"/>
        <v>-244666.41000000015</v>
      </c>
    </row>
    <row r="154" spans="1:3" x14ac:dyDescent="0.25">
      <c r="A154" s="2">
        <v>39721</v>
      </c>
      <c r="B154" s="1">
        <f>IF([1]Rseries!C99="","",[1]Rseries!C99)</f>
        <v>19020359.469999999</v>
      </c>
      <c r="C154" s="1">
        <f t="shared" si="2"/>
        <v>-117196.6799999997</v>
      </c>
    </row>
    <row r="155" spans="1:3" x14ac:dyDescent="0.25">
      <c r="A155" s="2">
        <v>39752</v>
      </c>
      <c r="B155" s="1">
        <f>IF([1]Rseries!C100="","",[1]Rseries!C100)</f>
        <v>18918473.210000001</v>
      </c>
      <c r="C155" s="1">
        <f t="shared" si="2"/>
        <v>-101886.25999999791</v>
      </c>
    </row>
    <row r="156" spans="1:3" x14ac:dyDescent="0.25">
      <c r="A156" s="2">
        <v>39782</v>
      </c>
      <c r="B156" s="1">
        <f>IF([1]Rseries!C101="","",[1]Rseries!C101)</f>
        <v>18721386.649999999</v>
      </c>
      <c r="C156" s="1">
        <f t="shared" si="2"/>
        <v>-197086.56000000238</v>
      </c>
    </row>
    <row r="157" spans="1:3" x14ac:dyDescent="0.25">
      <c r="A157" s="2">
        <v>39813</v>
      </c>
      <c r="B157" s="1">
        <f>IF([1]Rseries!C102="","",[1]Rseries!C102)</f>
        <v>18531311.739999998</v>
      </c>
      <c r="C157" s="1">
        <f t="shared" si="2"/>
        <v>-190074.91000000015</v>
      </c>
    </row>
    <row r="158" spans="1:3" x14ac:dyDescent="0.25">
      <c r="A158" s="2">
        <v>39844</v>
      </c>
      <c r="B158" s="1">
        <f>IF([1]Rseries!C103="","",[1]Rseries!C103)</f>
        <v>18181742.699999999</v>
      </c>
      <c r="C158" s="1">
        <f t="shared" si="2"/>
        <v>-349569.03999999911</v>
      </c>
    </row>
    <row r="159" spans="1:3" x14ac:dyDescent="0.25">
      <c r="A159" s="2">
        <v>39872</v>
      </c>
      <c r="B159" s="1">
        <f>IF([1]Rseries!C104="","",[1]Rseries!C104)</f>
        <v>18112610.600000001</v>
      </c>
      <c r="C159" s="1">
        <f t="shared" ref="C159:C190" si="3">B159-B158</f>
        <v>-69132.099999997765</v>
      </c>
    </row>
    <row r="160" spans="1:3" x14ac:dyDescent="0.25">
      <c r="A160" s="2">
        <v>39903</v>
      </c>
      <c r="B160" s="1">
        <f>IF([1]Rseries!C105="","",[1]Rseries!C105)</f>
        <v>18058121.780000001</v>
      </c>
      <c r="C160" s="1">
        <f t="shared" si="3"/>
        <v>-54488.820000000298</v>
      </c>
    </row>
    <row r="161" spans="1:3" x14ac:dyDescent="0.25">
      <c r="A161" s="2">
        <v>39933</v>
      </c>
      <c r="B161" s="1">
        <f>IF([1]Rseries!C106="","",[1]Rseries!C106)</f>
        <v>18034183.25</v>
      </c>
      <c r="C161" s="1">
        <f t="shared" si="3"/>
        <v>-23938.530000001192</v>
      </c>
    </row>
    <row r="162" spans="1:3" x14ac:dyDescent="0.25">
      <c r="A162" s="2">
        <v>39964</v>
      </c>
      <c r="B162" s="1">
        <f>IF([1]Rseries!C107="","",[1]Rseries!C107)</f>
        <v>18103487.350000001</v>
      </c>
      <c r="C162" s="1">
        <f t="shared" si="3"/>
        <v>69304.10000000149</v>
      </c>
    </row>
    <row r="163" spans="1:3" x14ac:dyDescent="0.25">
      <c r="A163" s="2">
        <v>39994</v>
      </c>
      <c r="B163" s="1">
        <f>IF([1]Rseries!C108="","",[1]Rseries!C108)</f>
        <v>18097986.02</v>
      </c>
      <c r="C163" s="1">
        <f t="shared" si="3"/>
        <v>-5501.3300000019372</v>
      </c>
    </row>
    <row r="164" spans="1:3" x14ac:dyDescent="0.25">
      <c r="A164" s="2">
        <v>40025</v>
      </c>
      <c r="B164" s="1">
        <f>IF([1]Rseries!C109="","",[1]Rseries!C109)</f>
        <v>18143554.010000002</v>
      </c>
      <c r="C164" s="1">
        <f t="shared" si="3"/>
        <v>45567.990000002086</v>
      </c>
    </row>
    <row r="165" spans="1:3" x14ac:dyDescent="0.25">
      <c r="A165" s="2">
        <v>40056</v>
      </c>
      <c r="B165" s="1">
        <f>IF([1]Rseries!C110="","",[1]Rseries!C110)</f>
        <v>18001310.039999999</v>
      </c>
      <c r="C165" s="1">
        <f t="shared" si="3"/>
        <v>-142243.97000000253</v>
      </c>
    </row>
    <row r="166" spans="1:3" x14ac:dyDescent="0.25">
      <c r="A166" s="2">
        <v>40086</v>
      </c>
      <c r="B166" s="1">
        <f>IF([1]Rseries!C111="","",[1]Rseries!C111)</f>
        <v>17935094.550000001</v>
      </c>
      <c r="C166" s="1">
        <f t="shared" si="3"/>
        <v>-66215.489999998361</v>
      </c>
    </row>
    <row r="167" spans="1:3" x14ac:dyDescent="0.25">
      <c r="A167" s="2">
        <v>40117</v>
      </c>
      <c r="B167" s="1">
        <f>IF([1]Rseries!C112="","",[1]Rseries!C112)</f>
        <v>17908945.329999998</v>
      </c>
      <c r="C167" s="1">
        <f t="shared" si="3"/>
        <v>-26149.220000002533</v>
      </c>
    </row>
    <row r="168" spans="1:3" x14ac:dyDescent="0.25">
      <c r="A168" s="2">
        <v>40147</v>
      </c>
      <c r="B168" s="1">
        <f>IF([1]Rseries!C113="","",[1]Rseries!C113)</f>
        <v>17847669.059999999</v>
      </c>
      <c r="C168" s="1">
        <f t="shared" si="3"/>
        <v>-61276.269999999553</v>
      </c>
    </row>
    <row r="169" spans="1:3" x14ac:dyDescent="0.25">
      <c r="A169" s="2">
        <v>40178</v>
      </c>
      <c r="B169" s="1">
        <f>IF([1]Rseries!C114="","",[1]Rseries!C114)</f>
        <v>17803838.940000001</v>
      </c>
      <c r="C169" s="1">
        <f t="shared" si="3"/>
        <v>-43830.119999997318</v>
      </c>
    </row>
    <row r="170" spans="1:3" x14ac:dyDescent="0.25">
      <c r="A170" s="2">
        <v>40209</v>
      </c>
      <c r="B170" s="1">
        <f>IF([1]Rseries!C115="","",[1]Rseries!C115)</f>
        <v>17546011</v>
      </c>
      <c r="C170" s="1">
        <f t="shared" si="3"/>
        <v>-257827.94000000134</v>
      </c>
    </row>
    <row r="171" spans="1:3" x14ac:dyDescent="0.25">
      <c r="A171" s="2">
        <v>40237</v>
      </c>
      <c r="B171" s="1">
        <f>IF([1]Rseries!C116="","",[1]Rseries!C116)</f>
        <v>17572351.149999999</v>
      </c>
      <c r="C171" s="1">
        <f t="shared" si="3"/>
        <v>26340.14999999851</v>
      </c>
    </row>
    <row r="172" spans="1:3" x14ac:dyDescent="0.25">
      <c r="A172" s="2">
        <v>40268</v>
      </c>
      <c r="B172" s="1">
        <f>IF([1]Rseries!C117="","",[1]Rseries!C117)</f>
        <v>17594808.350000001</v>
      </c>
      <c r="C172" s="1">
        <f t="shared" si="3"/>
        <v>22457.20000000298</v>
      </c>
    </row>
    <row r="173" spans="1:3" x14ac:dyDescent="0.25">
      <c r="A173" s="2">
        <v>40298</v>
      </c>
      <c r="B173" s="1">
        <f>IF([1]Rseries!C118="","",[1]Rseries!C118)</f>
        <v>17648660.100000001</v>
      </c>
      <c r="C173" s="1">
        <f t="shared" si="3"/>
        <v>53851.75</v>
      </c>
    </row>
    <row r="174" spans="1:3" x14ac:dyDescent="0.25">
      <c r="A174" s="2">
        <v>40329</v>
      </c>
      <c r="B174" s="1">
        <f>IF([1]Rseries!C119="","",[1]Rseries!C119)</f>
        <v>17761897.34</v>
      </c>
      <c r="C174" s="1">
        <f t="shared" si="3"/>
        <v>113237.23999999836</v>
      </c>
    </row>
    <row r="175" spans="1:3" x14ac:dyDescent="0.25">
      <c r="A175" s="2">
        <v>40359</v>
      </c>
      <c r="B175" s="1">
        <f>IF([1]Rseries!C120="","",[1]Rseries!C120)</f>
        <v>17785781.68</v>
      </c>
      <c r="C175" s="1">
        <f t="shared" si="3"/>
        <v>23884.339999999851</v>
      </c>
    </row>
    <row r="176" spans="1:3" x14ac:dyDescent="0.25">
      <c r="A176" s="2">
        <v>40390</v>
      </c>
      <c r="B176" s="1">
        <f>IF([1]Rseries!C121="","",[1]Rseries!C121)</f>
        <v>17848322.600000001</v>
      </c>
      <c r="C176" s="1">
        <f t="shared" si="3"/>
        <v>62540.920000001788</v>
      </c>
    </row>
    <row r="177" spans="1:3" x14ac:dyDescent="0.25">
      <c r="A177" s="2">
        <v>40421</v>
      </c>
      <c r="B177" s="1">
        <f>IF([1]Rseries!C122="","",[1]Rseries!C122)</f>
        <v>17716464.23</v>
      </c>
      <c r="C177" s="1">
        <f t="shared" si="3"/>
        <v>-131858.37000000104</v>
      </c>
    </row>
    <row r="178" spans="1:3" x14ac:dyDescent="0.25">
      <c r="A178" s="2">
        <v>40451</v>
      </c>
      <c r="B178" s="1">
        <f>IF([1]Rseries!C123="","",[1]Rseries!C123)</f>
        <v>17671479.600000001</v>
      </c>
      <c r="C178" s="1">
        <f t="shared" si="3"/>
        <v>-44984.629999998957</v>
      </c>
    </row>
    <row r="179" spans="1:3" x14ac:dyDescent="0.25">
      <c r="A179" s="2">
        <v>40482</v>
      </c>
      <c r="B179" s="1">
        <f>IF([1]Rseries!C124="","",[1]Rseries!C124)</f>
        <v>17666149.050000001</v>
      </c>
      <c r="C179" s="1">
        <f t="shared" si="3"/>
        <v>-5330.5500000007451</v>
      </c>
    </row>
    <row r="180" spans="1:3" x14ac:dyDescent="0.25">
      <c r="A180" s="2">
        <v>40512</v>
      </c>
      <c r="B180" s="1">
        <f>IF([1]Rseries!C125="","",[1]Rseries!C125)</f>
        <v>17612709.350000001</v>
      </c>
      <c r="C180" s="1">
        <f t="shared" si="3"/>
        <v>-53439.699999999255</v>
      </c>
    </row>
    <row r="181" spans="1:3" x14ac:dyDescent="0.25">
      <c r="A181" s="2">
        <v>40543</v>
      </c>
      <c r="B181" s="1">
        <f>IF([1]Rseries!C126="","",[1]Rseries!C126)</f>
        <v>17584981.609999999</v>
      </c>
      <c r="C181" s="1">
        <f t="shared" si="3"/>
        <v>-27727.740000002086</v>
      </c>
    </row>
    <row r="182" spans="1:3" x14ac:dyDescent="0.25">
      <c r="A182" s="2">
        <v>40574</v>
      </c>
      <c r="B182" s="1">
        <f>IF([1]Rseries!C127="","",[1]Rseries!C127)</f>
        <v>17361838.5</v>
      </c>
      <c r="C182" s="1">
        <f t="shared" si="3"/>
        <v>-223143.1099999994</v>
      </c>
    </row>
    <row r="183" spans="1:3" x14ac:dyDescent="0.25">
      <c r="A183" s="2">
        <v>40602</v>
      </c>
      <c r="B183" s="1">
        <f>IF([1]Rseries!C128="","",[1]Rseries!C128)</f>
        <v>17347094.300000001</v>
      </c>
      <c r="C183" s="1">
        <f t="shared" si="3"/>
        <v>-14744.199999999255</v>
      </c>
    </row>
    <row r="184" spans="1:3" x14ac:dyDescent="0.25">
      <c r="A184" s="2">
        <v>40633</v>
      </c>
      <c r="B184" s="1">
        <f>IF([1]Rseries!C129="","",[1]Rseries!C129)</f>
        <v>17392754.170000002</v>
      </c>
      <c r="C184" s="1">
        <f t="shared" si="3"/>
        <v>45659.870000001043</v>
      </c>
    </row>
    <row r="185" spans="1:3" x14ac:dyDescent="0.25">
      <c r="A185" s="2">
        <v>40663</v>
      </c>
      <c r="B185" s="1">
        <f>IF([1]Rseries!C130="","",[1]Rseries!C130)</f>
        <v>17474200.739999998</v>
      </c>
      <c r="C185" s="1">
        <f t="shared" si="3"/>
        <v>81446.569999996573</v>
      </c>
    </row>
    <row r="186" spans="1:3" x14ac:dyDescent="0.25">
      <c r="A186" s="2">
        <v>40694</v>
      </c>
      <c r="B186" s="1">
        <f>IF([1]Rseries!C131="","",[1]Rseries!C131)</f>
        <v>17592190.640000001</v>
      </c>
      <c r="C186" s="1">
        <f t="shared" si="3"/>
        <v>117989.90000000224</v>
      </c>
    </row>
    <row r="187" spans="1:3" x14ac:dyDescent="0.25">
      <c r="A187" s="2">
        <v>40724</v>
      </c>
      <c r="B187" s="1">
        <f>IF([1]Rseries!C132="","",[1]Rseries!C132)</f>
        <v>17586578.649999999</v>
      </c>
      <c r="C187" s="1">
        <f t="shared" si="3"/>
        <v>-5611.9900000020862</v>
      </c>
    </row>
    <row r="188" spans="1:3" x14ac:dyDescent="0.25">
      <c r="A188" s="2">
        <v>40755</v>
      </c>
      <c r="B188" s="1">
        <f>IF([1]Rseries!C133="","",[1]Rseries!C133)</f>
        <v>17637351.629999999</v>
      </c>
      <c r="C188" s="1">
        <f t="shared" si="3"/>
        <v>50772.980000000447</v>
      </c>
    </row>
    <row r="189" spans="1:3" x14ac:dyDescent="0.25">
      <c r="A189" s="2">
        <v>40786</v>
      </c>
      <c r="B189" s="1">
        <f>IF([1]Rseries!C134="","",[1]Rseries!C134)</f>
        <v>17500517.370000001</v>
      </c>
      <c r="C189" s="1">
        <f t="shared" si="3"/>
        <v>-136834.25999999791</v>
      </c>
    </row>
    <row r="190" spans="1:3" x14ac:dyDescent="0.25">
      <c r="A190" s="2">
        <v>40816</v>
      </c>
      <c r="B190" s="1">
        <f>IF([1]Rseries!C135="","",[1]Rseries!C135)</f>
        <v>17435561.629999999</v>
      </c>
      <c r="C190" s="1">
        <f t="shared" si="3"/>
        <v>-64955.740000002086</v>
      </c>
    </row>
    <row r="191" spans="1:3" x14ac:dyDescent="0.25">
      <c r="A191" s="2">
        <v>40847</v>
      </c>
      <c r="B191" s="1">
        <f>IF([1]Rseries!C136="","",[1]Rseries!C136)</f>
        <v>17360312.550000001</v>
      </c>
      <c r="C191" s="1">
        <f t="shared" ref="C191:C204" si="4">B191-B190</f>
        <v>-75249.079999998212</v>
      </c>
    </row>
    <row r="192" spans="1:3" x14ac:dyDescent="0.25">
      <c r="A192" s="2">
        <v>40877</v>
      </c>
      <c r="B192" s="1">
        <f>IF([1]Rseries!C137="","",[1]Rseries!C137)</f>
        <v>17248530.059999999</v>
      </c>
      <c r="C192" s="1">
        <f t="shared" si="4"/>
        <v>-111782.49000000209</v>
      </c>
    </row>
    <row r="193" spans="1:3" x14ac:dyDescent="0.25">
      <c r="A193" s="2">
        <v>40908</v>
      </c>
      <c r="B193" s="1">
        <f>IF([1]Rseries!C138="","",[1]Rseries!C138)</f>
        <v>17229921.5</v>
      </c>
      <c r="C193" s="1">
        <f t="shared" si="4"/>
        <v>-18608.559999998659</v>
      </c>
    </row>
    <row r="194" spans="1:3" x14ac:dyDescent="0.25">
      <c r="A194" s="2">
        <v>40939</v>
      </c>
      <c r="B194" s="1">
        <f>IF([1]Rseries!C139="","",[1]Rseries!C139)</f>
        <v>16958267.140000001</v>
      </c>
      <c r="C194" s="1">
        <f t="shared" si="4"/>
        <v>-271654.3599999994</v>
      </c>
    </row>
    <row r="195" spans="1:3" x14ac:dyDescent="0.25">
      <c r="A195" s="2">
        <v>40968</v>
      </c>
      <c r="B195" s="1">
        <f>IF([1]Rseries!C140="","",[1]Rseries!C140)</f>
        <v>16897111.537620001</v>
      </c>
      <c r="C195" s="1">
        <f t="shared" si="4"/>
        <v>-61155.602380000055</v>
      </c>
    </row>
    <row r="196" spans="1:3" x14ac:dyDescent="0.25">
      <c r="A196" s="2">
        <v>40999</v>
      </c>
      <c r="B196" s="1">
        <f>IF([1]Rseries!C141="","",[1]Rseries!C141)</f>
        <v>16902530.414549999</v>
      </c>
      <c r="C196" s="1">
        <f t="shared" si="4"/>
        <v>5418.8769299983978</v>
      </c>
    </row>
    <row r="197" spans="1:3" x14ac:dyDescent="0.25">
      <c r="A197" s="2">
        <v>41029</v>
      </c>
      <c r="B197" s="1">
        <f>IF([1]Rseries!C142="","",[1]Rseries!C142)</f>
        <v>16919079.149999999</v>
      </c>
      <c r="C197" s="1">
        <f t="shared" si="4"/>
        <v>16548.735449999571</v>
      </c>
    </row>
    <row r="198" spans="1:3" x14ac:dyDescent="0.25">
      <c r="A198" s="2">
        <v>41060</v>
      </c>
      <c r="B198" s="1">
        <f>IF([1]Rseries!C143="","",[1]Rseries!C143)</f>
        <v>16996510.359999999</v>
      </c>
      <c r="C198" s="1">
        <f t="shared" si="4"/>
        <v>77431.210000000894</v>
      </c>
    </row>
    <row r="199" spans="1:3" x14ac:dyDescent="0.25">
      <c r="A199" s="2">
        <v>41090</v>
      </c>
      <c r="B199" s="1">
        <f>IF([1]Rseries!C144="","",[1]Rseries!C144)</f>
        <v>17027842.57</v>
      </c>
      <c r="C199" s="1">
        <f t="shared" si="4"/>
        <v>31332.210000000894</v>
      </c>
    </row>
    <row r="200" spans="1:3" x14ac:dyDescent="0.25">
      <c r="A200" s="2">
        <v>41121</v>
      </c>
      <c r="B200" s="1">
        <f>IF([1]Rseries!C145="","",[1]Rseries!C145)</f>
        <v>17032738.449999999</v>
      </c>
      <c r="C200" s="1">
        <f t="shared" si="4"/>
        <v>4895.8799999989569</v>
      </c>
    </row>
    <row r="201" spans="1:3" x14ac:dyDescent="0.25">
      <c r="A201" s="2">
        <v>41152</v>
      </c>
      <c r="B201" s="1">
        <f>IF([1]Rseries!C146="","",[1]Rseries!C146)</f>
        <v>16895976.899999999</v>
      </c>
      <c r="C201" s="1">
        <f t="shared" si="4"/>
        <v>-136761.55000000075</v>
      </c>
    </row>
    <row r="202" spans="1:3" x14ac:dyDescent="0.25">
      <c r="A202" s="2">
        <v>41182</v>
      </c>
      <c r="B202" s="1">
        <f>IF([1]Rseries!C147="","",[1]Rseries!C147)</f>
        <v>16809803</v>
      </c>
      <c r="C202" s="1">
        <f t="shared" si="4"/>
        <v>-86173.89999999851</v>
      </c>
    </row>
    <row r="203" spans="1:3" x14ac:dyDescent="0.25">
      <c r="A203" s="2">
        <v>41213</v>
      </c>
      <c r="B203" s="1">
        <f>IF([1]Rseries!C148="","",[1]Rseries!C148)</f>
        <v>16736727</v>
      </c>
      <c r="C203" s="1">
        <f t="shared" si="4"/>
        <v>-73076</v>
      </c>
    </row>
    <row r="204" spans="1:3" x14ac:dyDescent="0.25">
      <c r="A204" s="2">
        <v>41243</v>
      </c>
      <c r="B204" s="1">
        <f>IF([1]Rseries!C149="","",[1]Rseries!C149)</f>
        <v>16531048</v>
      </c>
      <c r="C204" s="1">
        <f t="shared" si="4"/>
        <v>-205679</v>
      </c>
    </row>
    <row r="205" spans="1:3" x14ac:dyDescent="0.25">
      <c r="A205" s="2">
        <v>41274</v>
      </c>
      <c r="B205" s="1">
        <f>IF([1]Rseries!C150="","",[1]Rseries!C150)</f>
        <v>16442681</v>
      </c>
      <c r="C205" s="1">
        <f t="shared" ref="C205:C209" si="5">B205-B204</f>
        <v>-88367</v>
      </c>
    </row>
    <row r="206" spans="1:3" x14ac:dyDescent="0.25">
      <c r="A206" s="2">
        <v>41305</v>
      </c>
      <c r="B206" s="1">
        <f>IF([1]Rseries!C151="","",[1]Rseries!C151)</f>
        <v>16179438</v>
      </c>
      <c r="C206" s="1">
        <f t="shared" si="5"/>
        <v>-263243</v>
      </c>
    </row>
    <row r="207" spans="1:3" x14ac:dyDescent="0.25">
      <c r="A207" s="2">
        <v>41333</v>
      </c>
      <c r="B207" s="1">
        <f>IF([1]Rseries!C152="","",[1]Rseries!C152)</f>
        <v>16150747</v>
      </c>
      <c r="C207" s="1">
        <f t="shared" si="5"/>
        <v>-28691</v>
      </c>
    </row>
    <row r="208" spans="1:3" x14ac:dyDescent="0.25">
      <c r="A208" s="2">
        <v>41364</v>
      </c>
      <c r="B208" s="1">
        <f>IF([1]Rseries!C153="","",[1]Rseries!C153)</f>
        <v>16181275</v>
      </c>
      <c r="C208" s="1">
        <f t="shared" si="5"/>
        <v>30528</v>
      </c>
    </row>
    <row r="209" spans="1:3" x14ac:dyDescent="0.25">
      <c r="A209" s="2">
        <v>41394</v>
      </c>
      <c r="B209" s="1">
        <f>IF([1]Rseries!C154="","",[1]Rseries!C154)</f>
        <v>16232352</v>
      </c>
      <c r="C209" s="1">
        <f t="shared" si="5"/>
        <v>51077</v>
      </c>
    </row>
    <row r="210" spans="1:3" x14ac:dyDescent="0.25">
      <c r="A210" s="2">
        <v>41425</v>
      </c>
      <c r="B210" s="1">
        <f>IF([1]Rseries!C155="","",[1]Rseries!C155)</f>
        <v>16367013</v>
      </c>
    </row>
    <row r="211" spans="1:3" x14ac:dyDescent="0.25">
      <c r="A211" s="2">
        <v>41455</v>
      </c>
      <c r="B211" s="1">
        <f>IF([1]Rseries!C156="","",[1]Rseries!C156)</f>
        <v>16393866</v>
      </c>
    </row>
    <row r="212" spans="1:3" x14ac:dyDescent="0.25">
      <c r="A212" s="2">
        <v>41486</v>
      </c>
      <c r="B212" s="1">
        <f>IF([1]Rseries!C157="","",[1]Rseries!C157)</f>
        <v>16426756</v>
      </c>
    </row>
    <row r="213" spans="1:3" x14ac:dyDescent="0.25">
      <c r="A213" s="2">
        <v>41517</v>
      </c>
      <c r="B213" s="1">
        <f>IF([1]Rseries!C158="","",[1]Rseries!C158)</f>
        <v>16327687</v>
      </c>
    </row>
    <row r="214" spans="1:3" x14ac:dyDescent="0.25">
      <c r="A214" s="2">
        <v>41547</v>
      </c>
      <c r="B214" s="1">
        <f>IF([1]Rseries!C159="","",[1]Rseries!C159)</f>
        <v>16305445</v>
      </c>
    </row>
    <row r="215" spans="1:3" x14ac:dyDescent="0.25">
      <c r="A215" s="2">
        <v>41578</v>
      </c>
      <c r="B215" s="1">
        <f>IF([1]Rseries!C160="","",[1]Rseries!C160)</f>
        <v>16360373</v>
      </c>
    </row>
    <row r="216" spans="1:3" x14ac:dyDescent="0.25">
      <c r="A216" s="2">
        <v>41608</v>
      </c>
      <c r="B216" s="1">
        <f>IF([1]Rseries!C161="","",[1]Rseries!C161)</f>
        <v>16293543</v>
      </c>
    </row>
    <row r="217" spans="1:3" x14ac:dyDescent="0.25">
      <c r="A217" s="2">
        <v>41639</v>
      </c>
      <c r="B217" s="1">
        <f>IF([1]Rseries!C162="","",[1]Rseries!C162)</f>
        <v>16357640</v>
      </c>
    </row>
    <row r="218" spans="1:3" x14ac:dyDescent="0.25">
      <c r="A218" s="2">
        <v>41670</v>
      </c>
      <c r="B218" s="1">
        <f>IF([1]Rseries!C163="","",[1]Rseries!C163)</f>
        <v>16173610</v>
      </c>
    </row>
    <row r="219" spans="1:3" x14ac:dyDescent="0.25">
      <c r="A219" s="2">
        <v>41698</v>
      </c>
      <c r="B219" s="1">
        <f>IF([1]Rseries!C164="","",[1]Rseries!C164)</f>
        <v>16212304</v>
      </c>
    </row>
    <row r="220" spans="1:3" x14ac:dyDescent="0.25">
      <c r="A220" s="2">
        <v>41729</v>
      </c>
      <c r="B220" s="1">
        <f>IF([1]Rseries!C165="","",[1]Rseries!C165)</f>
        <v>16296288</v>
      </c>
    </row>
    <row r="221" spans="1:3" x14ac:dyDescent="0.25">
      <c r="A221" s="2">
        <v>41759</v>
      </c>
      <c r="B221" s="1">
        <f>IF([1]Rseries!C166="","",[1]Rseries!C166)</f>
        <v>16430053</v>
      </c>
    </row>
    <row r="222" spans="1:3" x14ac:dyDescent="0.25">
      <c r="A222" s="2">
        <v>41790</v>
      </c>
      <c r="B222" s="1">
        <f>IF([1]Rseries!C167="","",[1]Rseries!C167)</f>
        <v>16628373</v>
      </c>
    </row>
    <row r="223" spans="1:3" x14ac:dyDescent="0.25">
      <c r="A223" s="2">
        <v>41820</v>
      </c>
      <c r="B223" s="1">
        <f>IF([1]Rseries!C168="","",[1]Rseries!C168)</f>
        <v>16684995</v>
      </c>
    </row>
    <row r="224" spans="1:3" x14ac:dyDescent="0.25">
      <c r="A224" s="2">
        <v>41851</v>
      </c>
      <c r="B224" s="1">
        <f>IF([1]Rseries!C169="","",[1]Rseries!C169)</f>
        <v>16747103</v>
      </c>
    </row>
    <row r="225" spans="1:2" x14ac:dyDescent="0.25">
      <c r="A225" s="2">
        <v>41882</v>
      </c>
      <c r="B225" s="1">
        <f>IF([1]Rseries!C170="","",[1]Rseries!C170)</f>
        <v>16649521</v>
      </c>
    </row>
    <row r="226" spans="1:2" x14ac:dyDescent="0.25">
      <c r="A226" s="2">
        <v>41912</v>
      </c>
      <c r="B226" s="1">
        <f>IF([1]Rseries!C171="","",[1]Rseries!C171)</f>
        <v>16661703</v>
      </c>
    </row>
    <row r="227" spans="1:2" x14ac:dyDescent="0.25">
      <c r="A227" s="2">
        <v>41943</v>
      </c>
      <c r="B227" s="1">
        <f>IF([1]Rseries!C172="","",[1]Rseries!C172)</f>
        <v>16690520</v>
      </c>
    </row>
    <row r="228" spans="1:2" x14ac:dyDescent="0.25">
      <c r="A228" s="2">
        <v>41973</v>
      </c>
      <c r="B228" s="1">
        <f>IF([1]Rseries!C173="","",[1]Rseries!C173)</f>
        <v>16695752</v>
      </c>
    </row>
    <row r="229" spans="1:2" x14ac:dyDescent="0.25">
      <c r="A229" s="2">
        <v>42004</v>
      </c>
      <c r="B229" s="1">
        <f>IF([1]Rseries!C174="","",[1]Rseries!C174)</f>
        <v>16775214</v>
      </c>
    </row>
    <row r="230" spans="1:2" x14ac:dyDescent="0.25">
      <c r="A230" s="2">
        <v>42035</v>
      </c>
      <c r="B230" s="1">
        <f>IF([1]Rseries!C175="","",[1]Rseries!C175)</f>
        <v>16575312</v>
      </c>
    </row>
    <row r="231" spans="1:2" x14ac:dyDescent="0.25">
      <c r="A231" s="2">
        <v>42063</v>
      </c>
      <c r="B231" s="1">
        <f>IF([1]Rseries!C176="","",[1]Rseries!C176)</f>
        <v>16672222</v>
      </c>
    </row>
    <row r="232" spans="1:2" x14ac:dyDescent="0.25">
      <c r="A232" s="2">
        <v>42094</v>
      </c>
      <c r="B232" s="1">
        <f>IF([1]Rseries!C177="","",[1]Rseries!C177)</f>
        <v>16832801</v>
      </c>
    </row>
    <row r="233" spans="1:2" x14ac:dyDescent="0.25">
      <c r="A233" s="2">
        <v>42124</v>
      </c>
      <c r="B233" s="1">
        <f>IF([1]Rseries!C178="","",[1]Rseries!C178)</f>
        <v>17008296</v>
      </c>
    </row>
    <row r="234" spans="1:2" x14ac:dyDescent="0.25">
      <c r="A234" s="2">
        <v>42155</v>
      </c>
      <c r="B234" s="1">
        <f>IF([1]Rseries!C179="","",[1]Rseries!C179)</f>
        <v>17221310</v>
      </c>
    </row>
    <row r="235" spans="1:2" x14ac:dyDescent="0.25">
      <c r="A235" s="2">
        <v>42185</v>
      </c>
      <c r="B235" s="1">
        <f>IF([1]Rseries!C180="","",[1]Rseries!C180)</f>
        <v>17256395</v>
      </c>
    </row>
    <row r="236" spans="1:2" x14ac:dyDescent="0.25">
      <c r="A236" s="2">
        <v>42216</v>
      </c>
      <c r="B236" s="1">
        <f>IF([1]Rseries!C181="","",[1]Rseries!C181)</f>
        <v>17315188</v>
      </c>
    </row>
    <row r="237" spans="1:2" x14ac:dyDescent="0.25">
      <c r="A237" s="2">
        <v>42247</v>
      </c>
      <c r="B237" s="1">
        <f>IF([1]Rseries!C182="","",[1]Rseries!C182)</f>
        <v>17180899</v>
      </c>
    </row>
    <row r="238" spans="1:2" x14ac:dyDescent="0.25">
      <c r="A238" s="2">
        <v>42277</v>
      </c>
      <c r="B238" s="1">
        <f>IF([1]Rseries!C183="","",[1]Rseries!C183)</f>
        <v>17189815</v>
      </c>
    </row>
    <row r="239" spans="1:2" x14ac:dyDescent="0.25">
      <c r="A239" s="2">
        <v>42308</v>
      </c>
      <c r="B239" s="1">
        <f>IF([1]Rseries!C184="","",[1]Rseries!C184)</f>
        <v>17221467</v>
      </c>
    </row>
    <row r="240" spans="1:2" x14ac:dyDescent="0.25">
      <c r="A240" s="2">
        <v>42338</v>
      </c>
      <c r="B240" s="1">
        <f>IF([1]Rseries!C185="","",[1]Rseries!C185)</f>
        <v>17223086</v>
      </c>
    </row>
    <row r="241" spans="1:2" x14ac:dyDescent="0.25">
      <c r="A241" s="2">
        <v>42369</v>
      </c>
      <c r="B241" s="1">
        <f>IF([1]Rseries!C186="","",[1]Rseries!C186)</f>
        <v>17308400</v>
      </c>
    </row>
    <row r="242" spans="1:2" x14ac:dyDescent="0.25">
      <c r="A242" s="2">
        <v>42400</v>
      </c>
      <c r="B242" s="1">
        <f>IF([1]Rseries!C187="","",[1]Rseries!C187)</f>
        <v>17104357</v>
      </c>
    </row>
    <row r="243" spans="1:2" x14ac:dyDescent="0.25">
      <c r="A243" s="2">
        <v>42429</v>
      </c>
      <c r="B243" s="1">
        <f>IF([1]Rseries!C188="","",[1]Rseries!C188)</f>
        <v>17167712</v>
      </c>
    </row>
    <row r="244" spans="1:2" x14ac:dyDescent="0.25">
      <c r="A244" s="2">
        <v>42460</v>
      </c>
      <c r="B244" s="1">
        <f>IF([1]Rseries!C189="","",[1]Rseries!C189)</f>
        <v>17305798</v>
      </c>
    </row>
    <row r="245" spans="1:2" x14ac:dyDescent="0.25">
      <c r="A245" s="2">
        <v>42490</v>
      </c>
      <c r="B245" s="1">
        <f>IF([1]Rseries!C190="","",[1]Rseries!C190)</f>
        <v>17463836</v>
      </c>
    </row>
    <row r="246" spans="1:2" x14ac:dyDescent="0.25">
      <c r="A246" s="2">
        <v>42521</v>
      </c>
      <c r="B246" s="1">
        <f>IF([1]Rseries!C191="","",[1]Rseries!C191)</f>
        <v>17661840</v>
      </c>
    </row>
    <row r="247" spans="1:2" x14ac:dyDescent="0.25">
      <c r="A247" s="2">
        <v>42551</v>
      </c>
      <c r="B247" s="1">
        <f>IF([1]Rseries!C192="","",[1]Rseries!C192)</f>
        <v>17760271</v>
      </c>
    </row>
    <row r="248" spans="1:2" x14ac:dyDescent="0.25">
      <c r="A248" s="2">
        <v>42582</v>
      </c>
      <c r="B248" s="1">
        <f>IF([1]Rseries!C193="","",[1]Rseries!C193)</f>
        <v>17844992</v>
      </c>
    </row>
    <row r="249" spans="1:2" x14ac:dyDescent="0.25">
      <c r="A249" s="2">
        <v>42613</v>
      </c>
      <c r="B249" s="1">
        <f>IF([1]Rseries!C194="","",[1]Rseries!C194)</f>
        <v>17699995</v>
      </c>
    </row>
    <row r="250" spans="1:2" x14ac:dyDescent="0.25">
      <c r="A250" s="2">
        <v>42643</v>
      </c>
      <c r="B250" s="1">
        <f>IF([1]Rseries!C195="","",[1]Rseries!C195)</f>
        <v>17712021</v>
      </c>
    </row>
    <row r="251" spans="1:2" x14ac:dyDescent="0.25">
      <c r="A251" s="2">
        <v>42674</v>
      </c>
      <c r="B251" s="1">
        <f>IF([1]Rseries!C196="","",[1]Rseries!C196)</f>
        <v>17813356</v>
      </c>
    </row>
    <row r="252" spans="1:2" x14ac:dyDescent="0.25">
      <c r="A252" s="2">
        <v>42704</v>
      </c>
      <c r="B252" s="1">
        <f>IF([1]Rseries!C197="","",[1]Rseries!C197)</f>
        <v>17780524</v>
      </c>
    </row>
    <row r="253" spans="1:2" x14ac:dyDescent="0.25">
      <c r="A253" s="2">
        <v>42735</v>
      </c>
      <c r="B253" s="1">
        <f>IF([1]Rseries!C198="","",[1]Rseries!C198)</f>
        <v>17849055</v>
      </c>
    </row>
    <row r="254" spans="1:2" x14ac:dyDescent="0.25">
      <c r="A254" s="2">
        <v>42766</v>
      </c>
      <c r="B254" s="1">
        <f>IF([1]Rseries!C199="","",[1]Rseries!C199)</f>
        <v>17674175</v>
      </c>
    </row>
    <row r="255" spans="1:2" x14ac:dyDescent="0.25">
      <c r="A255" s="2">
        <v>42794</v>
      </c>
      <c r="B255" s="1">
        <f>IF([1]Rseries!C200="","",[1]Rseries!C200)</f>
        <v>17748254.850000001</v>
      </c>
    </row>
    <row r="256" spans="1:2" x14ac:dyDescent="0.25">
      <c r="A256" s="2">
        <v>42825</v>
      </c>
      <c r="B256" s="1">
        <f>IF([1]Rseries!C201="","",[1]Rseries!C201)</f>
        <v>17910006.649999999</v>
      </c>
    </row>
    <row r="257" spans="1:2" x14ac:dyDescent="0.25">
      <c r="A257" s="2">
        <v>42855</v>
      </c>
      <c r="B257" s="1">
        <f>IF([1]Rseries!C202="","",[1]Rseries!C202)</f>
        <v>18122222</v>
      </c>
    </row>
    <row r="258" spans="1:2" x14ac:dyDescent="0.25">
      <c r="A258" s="2">
        <v>42886</v>
      </c>
      <c r="B258" s="1">
        <f>IF([1]Rseries!C203="","",[1]Rseries!C203)</f>
        <v>18345414</v>
      </c>
    </row>
    <row r="259" spans="1:2" x14ac:dyDescent="0.25">
      <c r="A259" s="2">
        <v>42916</v>
      </c>
      <c r="B259" s="1">
        <f>IF([1]Rseries!C204="","",[1]Rseries!C204)</f>
        <v>18433107</v>
      </c>
    </row>
    <row r="260" spans="1:2" x14ac:dyDescent="0.25">
      <c r="A260" s="2">
        <v>42947</v>
      </c>
      <c r="B260" s="1">
        <f>IF([1]Rseries!C205="","",[1]Rseries!C205)</f>
        <v>18489329</v>
      </c>
    </row>
    <row r="261" spans="1:2" x14ac:dyDescent="0.25">
      <c r="A261" s="2">
        <v>42978</v>
      </c>
      <c r="B261" s="1">
        <f>IF([1]Rseries!C206="","",[1]Rseries!C206)</f>
        <v>18309844</v>
      </c>
    </row>
    <row r="262" spans="1:2" x14ac:dyDescent="0.25">
      <c r="A262" s="2">
        <v>43008</v>
      </c>
      <c r="B262" s="1">
        <f>IF([1]Rseries!C207="","",[1]Rseries!C207)</f>
        <v>18336161</v>
      </c>
    </row>
    <row r="263" spans="1:2" x14ac:dyDescent="0.25">
      <c r="A263" s="2">
        <v>43039</v>
      </c>
      <c r="B263" s="1">
        <f>IF([1]Rseries!C208="","",[1]Rseries!C208)</f>
        <v>18430529</v>
      </c>
    </row>
    <row r="264" spans="1:2" x14ac:dyDescent="0.25">
      <c r="A264" s="2">
        <v>43069</v>
      </c>
      <c r="B264" s="1">
        <f>IF([1]Rseries!C209="","",[1]Rseries!C209)</f>
        <v>18417756</v>
      </c>
    </row>
    <row r="265" spans="1:2" x14ac:dyDescent="0.25">
      <c r="A265" s="2">
        <v>43100</v>
      </c>
      <c r="B265" s="1">
        <f>IF([1]Rseries!C210="","",[1]Rseries!C210)</f>
        <v>18460201</v>
      </c>
    </row>
    <row r="266" spans="1:2" x14ac:dyDescent="0.25">
      <c r="A266" s="2">
        <v>43131</v>
      </c>
      <c r="B266" s="1">
        <f>IF([1]Rseries!C211="","",[1]Rseries!C211)</f>
        <v>18282031</v>
      </c>
    </row>
    <row r="267" spans="1:2" x14ac:dyDescent="0.25">
      <c r="A267" s="2">
        <v>43159</v>
      </c>
      <c r="B267" s="1">
        <f>IF([1]Rseries!C212="","",[1]Rseries!C212)</f>
        <v>18363514</v>
      </c>
    </row>
    <row r="268" spans="1:2" x14ac:dyDescent="0.25">
      <c r="A268" s="2">
        <v>43190</v>
      </c>
      <c r="B268" s="1">
        <f>IF([1]Rseries!C213="","",[1]Rseries!C213)</f>
        <v>18502088</v>
      </c>
    </row>
    <row r="269" spans="1:2" x14ac:dyDescent="0.25">
      <c r="A269" s="2">
        <v>43220</v>
      </c>
      <c r="B269" s="1">
        <f>IF([1]Rseries!C214="","",[1]Rseries!C214)</f>
        <v>18678461</v>
      </c>
    </row>
    <row r="270" spans="1:2" x14ac:dyDescent="0.25">
      <c r="A270" s="2">
        <v>43251</v>
      </c>
      <c r="B270" s="1">
        <f>IF([1]Rseries!C215="","",[1]Rseries!C215)</f>
        <v>18915668</v>
      </c>
    </row>
    <row r="271" spans="1:2" x14ac:dyDescent="0.25">
      <c r="A271" s="2">
        <v>43281</v>
      </c>
      <c r="B271" s="1">
        <f>IF([1]Rseries!C216="","",[1]Rseries!C216)</f>
        <v>19006990</v>
      </c>
    </row>
    <row r="272" spans="1:2" x14ac:dyDescent="0.25">
      <c r="A272" s="2">
        <v>43312</v>
      </c>
      <c r="B272" s="1">
        <f>IF([1]Rseries!C217="","",[1]Rseries!C217)</f>
        <v>19042810</v>
      </c>
    </row>
    <row r="273" spans="1:2" x14ac:dyDescent="0.25">
      <c r="A273" s="2">
        <v>43343</v>
      </c>
      <c r="B273" s="1">
        <f>IF([1]Rseries!C218="","",[1]Rseries!C218)</f>
        <v>18839814</v>
      </c>
    </row>
    <row r="274" spans="1:2" x14ac:dyDescent="0.25">
      <c r="A274" s="2">
        <v>43373</v>
      </c>
      <c r="B274" s="1">
        <f>IF([1]Rseries!C219="","",[1]Rseries!C219)</f>
        <v>18862713</v>
      </c>
    </row>
    <row r="275" spans="1:2" x14ac:dyDescent="0.25">
      <c r="A275" s="2">
        <v>43404</v>
      </c>
      <c r="B275" s="1">
        <f>IF([1]Rseries!C220="","",[1]Rseries!C220)</f>
        <v>18993073</v>
      </c>
    </row>
    <row r="276" spans="1:2" x14ac:dyDescent="0.25">
      <c r="A276" s="2">
        <v>43434</v>
      </c>
      <c r="B276" s="1">
        <f>IF([1]Rseries!C221="","",[1]Rseries!C221)</f>
        <v>18945624</v>
      </c>
    </row>
    <row r="277" spans="1:2" x14ac:dyDescent="0.25">
      <c r="A277" s="2">
        <v>43465</v>
      </c>
      <c r="B277" s="1">
        <f>IF([1]Rseries!C222="","",[1]Rseries!C222)</f>
        <v>19024165</v>
      </c>
    </row>
    <row r="278" spans="1:2" x14ac:dyDescent="0.25">
      <c r="A278" s="2">
        <v>43496</v>
      </c>
      <c r="B278" s="1">
        <f>IF([1]Rseries!C223="","",[1]Rseries!C223)</f>
        <v>18819300</v>
      </c>
    </row>
    <row r="279" spans="1:2" x14ac:dyDescent="0.25">
      <c r="A279" s="2">
        <v>43524</v>
      </c>
      <c r="B279" s="1">
        <f>IF([1]Rseries!C224="","",[1]Rseries!C224)</f>
        <v>18888472</v>
      </c>
    </row>
    <row r="280" spans="1:2" x14ac:dyDescent="0.25">
      <c r="A280" s="2">
        <v>43555</v>
      </c>
      <c r="B280" s="1">
        <f>IF([1]Rseries!C225="","",[1]Rseries!C225)</f>
        <v>19043576</v>
      </c>
    </row>
    <row r="281" spans="1:2" x14ac:dyDescent="0.25">
      <c r="A281" s="2">
        <v>43585</v>
      </c>
      <c r="B281" s="1">
        <f>IF([1]Rseries!C226="","",[1]Rseries!C226)</f>
        <v>19230362</v>
      </c>
    </row>
    <row r="282" spans="1:2" x14ac:dyDescent="0.25">
      <c r="A282" s="2">
        <v>43616</v>
      </c>
      <c r="B282" s="1">
        <f>IF([1]Rseries!C227="","",[1]Rseries!C227)</f>
        <v>19442113</v>
      </c>
    </row>
    <row r="283" spans="1:2" x14ac:dyDescent="0.25">
      <c r="A283" s="2">
        <v>43646</v>
      </c>
      <c r="B283" s="1">
        <f>IF([1]Rseries!C228="","",[1]Rseries!C228)</f>
        <v>19517697</v>
      </c>
    </row>
    <row r="284" spans="1:2" x14ac:dyDescent="0.25">
      <c r="A284" s="2">
        <v>43677</v>
      </c>
      <c r="B284" s="1">
        <f>IF([1]Rseries!C229="","",[1]Rseries!C229)</f>
        <v>19533211</v>
      </c>
    </row>
    <row r="285" spans="1:2" x14ac:dyDescent="0.25">
      <c r="A285" s="2">
        <v>43708</v>
      </c>
      <c r="B285" s="1">
        <f>IF([1]Rseries!C230="","",[1]Rseries!C230)</f>
        <v>19320227</v>
      </c>
    </row>
    <row r="286" spans="1:2" x14ac:dyDescent="0.25">
      <c r="A286" s="2">
        <v>43738</v>
      </c>
      <c r="B286" s="1">
        <f>IF([1]Rseries!C231="","",[1]Rseries!C231)</f>
        <v>19323451</v>
      </c>
    </row>
    <row r="287" spans="1:2" x14ac:dyDescent="0.25">
      <c r="A287" s="2">
        <v>43769</v>
      </c>
      <c r="B287" s="1">
        <f>IF([1]Rseries!C232="","",[1]Rseries!C232)</f>
        <v>19429993</v>
      </c>
    </row>
    <row r="288" spans="1:2" x14ac:dyDescent="0.25">
      <c r="A288" s="2">
        <v>43799</v>
      </c>
      <c r="B288" s="1">
        <f>IF([1]Rseries!C233="","",[1]Rseries!C233)</f>
        <v>19376878</v>
      </c>
    </row>
    <row r="289" spans="1:2" x14ac:dyDescent="0.25">
      <c r="A289" s="2">
        <v>43830</v>
      </c>
      <c r="B289" s="1">
        <f>IF([1]Rseries!C234="","",[1]Rseries!C234)</f>
        <v>19408538</v>
      </c>
    </row>
    <row r="290" spans="1:2" x14ac:dyDescent="0.25">
      <c r="A290" s="2">
        <v>43861</v>
      </c>
      <c r="B290" s="1">
        <f>IF([1]Rseries!C235="","",[1]Rseries!C235)</f>
        <v>19164494</v>
      </c>
    </row>
    <row r="291" spans="1:2" x14ac:dyDescent="0.25">
      <c r="A291" s="2">
        <v>43890</v>
      </c>
      <c r="B291" s="1">
        <f>IF([1]Rseries!C236="","",[1]Rseries!C236)</f>
        <v>19250228.949999999</v>
      </c>
    </row>
    <row r="292" spans="1:2" x14ac:dyDescent="0.25">
      <c r="A292" s="2">
        <v>43921</v>
      </c>
      <c r="B292" s="1">
        <f>IF([1]Rseries!C237="","",[1]Rseries!C237)</f>
        <v>19006759.59</v>
      </c>
    </row>
    <row r="293" spans="1:2" x14ac:dyDescent="0.25">
      <c r="A293" s="2">
        <v>43951</v>
      </c>
      <c r="B293" s="1">
        <f>IF([1]Rseries!C238="","",[1]Rseries!C238)</f>
        <v>18458666.800000001</v>
      </c>
    </row>
    <row r="294" spans="1:2" x14ac:dyDescent="0.25">
      <c r="A294" s="2">
        <v>43982</v>
      </c>
      <c r="B294" s="1">
        <f>IF([1]Rseries!C239="","",[1]Rseries!C239)</f>
        <v>18556128.850000001</v>
      </c>
    </row>
    <row r="295" spans="1:2" x14ac:dyDescent="0.25">
      <c r="A295" s="2">
        <v>44012</v>
      </c>
      <c r="B295" s="1">
        <f>IF([1]Rseries!C240="","",[1]Rseries!C240)</f>
        <v>18624336.681820001</v>
      </c>
    </row>
    <row r="296" spans="1:2" x14ac:dyDescent="0.25">
      <c r="A296" s="2">
        <v>44043</v>
      </c>
      <c r="B296" s="1">
        <f>IF([1]Rseries!C241="","",[1]Rseries!C241)</f>
        <v>18785554.300000001</v>
      </c>
    </row>
    <row r="297" spans="1:2" x14ac:dyDescent="0.25">
      <c r="A297" s="2">
        <v>44074</v>
      </c>
      <c r="B297" s="1">
        <f>IF([1]Rseries!C242="","",[1]Rseries!C242)</f>
        <v>18792376.140000001</v>
      </c>
    </row>
    <row r="298" spans="1:2" x14ac:dyDescent="0.25">
      <c r="A298" s="2">
        <v>44104</v>
      </c>
      <c r="B298" s="1">
        <f>IF([1]Rseries!C243="","",[1]Rseries!C243)</f>
        <v>18876389.219999999</v>
      </c>
    </row>
    <row r="299" spans="1:2" x14ac:dyDescent="0.25">
      <c r="A299" s="2">
        <v>44135</v>
      </c>
      <c r="B299" s="1">
        <f>IF([1]Rseries!C244="","",[1]Rseries!C244)</f>
        <v>18990363.949999999</v>
      </c>
    </row>
    <row r="300" spans="1:2" x14ac:dyDescent="0.25">
      <c r="A300" s="2">
        <v>44165</v>
      </c>
      <c r="B300" s="1">
        <f>IF([1]Rseries!C245="","",[1]Rseries!C245)</f>
        <v>19022001.57</v>
      </c>
    </row>
    <row r="301" spans="1:2" x14ac:dyDescent="0.25">
      <c r="A301" s="2">
        <v>44196</v>
      </c>
      <c r="B301" s="1">
        <f>IF([1]Rseries!C246="","",[1]Rseries!C246)</f>
        <v>19048433.309999999</v>
      </c>
    </row>
    <row r="302" spans="1:2" x14ac:dyDescent="0.25">
      <c r="A302" s="2">
        <v>44227</v>
      </c>
      <c r="B302" s="1">
        <f>IF([1]Rseries!C247="","",[1]Rseries!C247)</f>
        <v>18829480.149999999</v>
      </c>
    </row>
    <row r="303" spans="1:2" x14ac:dyDescent="0.25">
      <c r="A303" s="2">
        <v>44255</v>
      </c>
      <c r="B303" s="1">
        <f>IF([1]Rseries!C248="","",[1]Rseries!C248)</f>
        <v>18850111.649999999</v>
      </c>
    </row>
    <row r="304" spans="1:2" x14ac:dyDescent="0.25">
      <c r="A304" s="2">
        <v>44286</v>
      </c>
      <c r="B304" s="1" t="str">
        <f>IF([1]Rseries!C249="","",[1]Rseries!C249)</f>
        <v/>
      </c>
    </row>
    <row r="305" spans="1:2" x14ac:dyDescent="0.25">
      <c r="A305" s="2">
        <v>44316</v>
      </c>
      <c r="B305" s="1" t="str">
        <f>IF([1]Rseries!C250="","",[1]Rseries!C250)</f>
        <v/>
      </c>
    </row>
    <row r="306" spans="1:2" x14ac:dyDescent="0.25">
      <c r="A306" s="2">
        <v>44347</v>
      </c>
      <c r="B306" s="1" t="str">
        <f>IF([1]Rseries!C251="","",[1]Rseries!C251)</f>
        <v/>
      </c>
    </row>
    <row r="307" spans="1:2" x14ac:dyDescent="0.25">
      <c r="A307" s="2">
        <v>44377</v>
      </c>
      <c r="B307" s="1" t="str">
        <f>IF([1]Rseries!C252="","",[1]Rseries!C252)</f>
        <v/>
      </c>
    </row>
    <row r="308" spans="1:2" x14ac:dyDescent="0.25">
      <c r="A308" s="2">
        <v>44408</v>
      </c>
      <c r="B308" s="1" t="str">
        <f>IF([1]Rseries!C253="","",[1]Rseries!C253)</f>
        <v/>
      </c>
    </row>
    <row r="309" spans="1:2" x14ac:dyDescent="0.25">
      <c r="A309" s="2">
        <v>44439</v>
      </c>
      <c r="B309" s="1" t="str">
        <f>IF([1]Rseries!C254="","",[1]Rseries!C254)</f>
        <v/>
      </c>
    </row>
    <row r="310" spans="1:2" x14ac:dyDescent="0.25">
      <c r="A310" s="2">
        <v>44469</v>
      </c>
      <c r="B310" s="1" t="str">
        <f>IF([1]Rseries!C255="","",[1]Rseries!C255)</f>
        <v/>
      </c>
    </row>
    <row r="311" spans="1:2" x14ac:dyDescent="0.25">
      <c r="A311" s="2">
        <v>44500</v>
      </c>
      <c r="B311" s="1" t="str">
        <f>IF([1]Rseries!C256="","",[1]Rseries!C256)</f>
        <v/>
      </c>
    </row>
    <row r="312" spans="1:2" x14ac:dyDescent="0.25">
      <c r="A312" s="2">
        <v>44530</v>
      </c>
      <c r="B312" s="1" t="str">
        <f>IF([1]Rseries!C257="","",[1]Rseries!C257)</f>
        <v/>
      </c>
    </row>
    <row r="313" spans="1:2" x14ac:dyDescent="0.25">
      <c r="A313" s="2">
        <v>44561</v>
      </c>
      <c r="B313" s="1" t="str">
        <f>IF([1]Rseries!C258="","",[1]Rseries!C258)</f>
        <v/>
      </c>
    </row>
    <row r="314" spans="1:2" x14ac:dyDescent="0.25">
      <c r="A314" s="2">
        <v>44592</v>
      </c>
      <c r="B314" s="1" t="str">
        <f>IF([1]Rseries!C259="","",[1]Rseries!C259)</f>
        <v/>
      </c>
    </row>
    <row r="315" spans="1:2" x14ac:dyDescent="0.25">
      <c r="A315" s="2">
        <v>44620</v>
      </c>
      <c r="B315" s="1" t="str">
        <f>IF([1]Rseries!C260="","",[1]Rseries!C260)</f>
        <v/>
      </c>
    </row>
    <row r="316" spans="1:2" x14ac:dyDescent="0.25">
      <c r="A316" s="2">
        <v>44651</v>
      </c>
      <c r="B316" s="1" t="str">
        <f>IF([1]Rseries!C261="","",[1]Rseries!C261)</f>
        <v/>
      </c>
    </row>
    <row r="317" spans="1:2" x14ac:dyDescent="0.25">
      <c r="A317" s="2">
        <v>44681</v>
      </c>
      <c r="B317" s="1" t="str">
        <f>IF([1]Rseries!C262="","",[1]Rseries!C262)</f>
        <v/>
      </c>
    </row>
    <row r="318" spans="1:2" x14ac:dyDescent="0.25">
      <c r="A318" s="2">
        <v>44712</v>
      </c>
      <c r="B318" s="1" t="str">
        <f>IF([1]Rseries!C263="","",[1]Rseries!C263)</f>
        <v/>
      </c>
    </row>
    <row r="319" spans="1:2" x14ac:dyDescent="0.25">
      <c r="A319" s="2">
        <v>44742</v>
      </c>
      <c r="B319" s="1" t="str">
        <f>IF([1]Rseries!C264="","",[1]Rseries!C264)</f>
        <v/>
      </c>
    </row>
    <row r="320" spans="1:2" x14ac:dyDescent="0.25">
      <c r="A320" s="2">
        <v>44773</v>
      </c>
      <c r="B320" s="1" t="str">
        <f>IF([1]Rseries!C265="","",[1]Rseries!C265)</f>
        <v/>
      </c>
    </row>
    <row r="321" spans="1:2" x14ac:dyDescent="0.25">
      <c r="A321" s="2">
        <v>44804</v>
      </c>
      <c r="B321" s="1" t="str">
        <f>IF([1]Rseries!C266="","",[1]Rseries!C266)</f>
        <v/>
      </c>
    </row>
    <row r="322" spans="1:2" x14ac:dyDescent="0.25">
      <c r="A322" s="2">
        <v>44834</v>
      </c>
      <c r="B322" s="1" t="str">
        <f>IF([1]Rseries!C267="","",[1]Rseries!C267)</f>
        <v/>
      </c>
    </row>
    <row r="323" spans="1:2" x14ac:dyDescent="0.25">
      <c r="A323" s="2">
        <v>44865</v>
      </c>
      <c r="B323" s="1" t="str">
        <f>IF([1]Rseries!C268="","",[1]Rseries!C268)</f>
        <v/>
      </c>
    </row>
    <row r="324" spans="1:2" x14ac:dyDescent="0.25">
      <c r="A324" s="2">
        <v>44895</v>
      </c>
      <c r="B324" s="1" t="str">
        <f>IF([1]Rseries!C269="","",[1]Rseries!C269)</f>
        <v/>
      </c>
    </row>
    <row r="325" spans="1:2" x14ac:dyDescent="0.25">
      <c r="A325" s="2">
        <v>44926</v>
      </c>
      <c r="B325" s="1" t="str">
        <f>IF([1]Rseries!C270="","",[1]Rseries!C270)</f>
        <v/>
      </c>
    </row>
    <row r="326" spans="1:2" x14ac:dyDescent="0.25">
      <c r="A326" s="2">
        <v>44957</v>
      </c>
      <c r="B326" s="1" t="str">
        <f>IF([1]Rseries!C271="","",[1]Rseries!C271)</f>
        <v/>
      </c>
    </row>
    <row r="327" spans="1:2" x14ac:dyDescent="0.25">
      <c r="A327" s="2">
        <v>44985</v>
      </c>
      <c r="B327" s="1" t="str">
        <f>IF([1]Rseries!C272="","",[1]Rseries!C272)</f>
        <v/>
      </c>
    </row>
    <row r="328" spans="1:2" x14ac:dyDescent="0.25">
      <c r="A328" s="2">
        <v>45016</v>
      </c>
      <c r="B328" s="1" t="str">
        <f>IF([1]Rseries!C273="","",[1]Rseries!C273)</f>
        <v/>
      </c>
    </row>
    <row r="329" spans="1:2" x14ac:dyDescent="0.25">
      <c r="A329" s="2">
        <v>45046</v>
      </c>
      <c r="B329" s="1" t="str">
        <f>IF([1]Rseries!C274="","",[1]Rseries!C274)</f>
        <v/>
      </c>
    </row>
    <row r="330" spans="1:2" x14ac:dyDescent="0.25">
      <c r="A330" s="2">
        <v>45077</v>
      </c>
      <c r="B330" s="1" t="str">
        <f>IF([1]Rseries!C275="","",[1]Rseries!C275)</f>
        <v/>
      </c>
    </row>
    <row r="331" spans="1:2" x14ac:dyDescent="0.25">
      <c r="A331" s="2">
        <v>45107</v>
      </c>
      <c r="B331" s="1" t="str">
        <f>IF([1]Rseries!C276="","",[1]Rseries!C276)</f>
        <v/>
      </c>
    </row>
    <row r="332" spans="1:2" x14ac:dyDescent="0.25">
      <c r="A332" s="2">
        <v>45138</v>
      </c>
      <c r="B332" s="1" t="str">
        <f>IF([1]Rseries!C277="","",[1]Rseries!C277)</f>
        <v/>
      </c>
    </row>
    <row r="333" spans="1:2" x14ac:dyDescent="0.25">
      <c r="A333" s="2">
        <v>45169</v>
      </c>
      <c r="B333" s="1" t="str">
        <f>IF([1]Rseries!C278="","",[1]Rseries!C278)</f>
        <v/>
      </c>
    </row>
    <row r="334" spans="1:2" x14ac:dyDescent="0.25">
      <c r="A334" s="2">
        <v>45199</v>
      </c>
      <c r="B334" s="1" t="str">
        <f>IF([1]Rseries!C279="","",[1]Rseries!C279)</f>
        <v/>
      </c>
    </row>
    <row r="335" spans="1:2" x14ac:dyDescent="0.25">
      <c r="A335" s="2">
        <v>45230</v>
      </c>
      <c r="B335" s="1" t="str">
        <f>IF([1]Rseries!C280="","",[1]Rseries!C280)</f>
        <v/>
      </c>
    </row>
    <row r="336" spans="1:2" x14ac:dyDescent="0.25">
      <c r="A336" s="2">
        <v>45260</v>
      </c>
      <c r="B336" s="1" t="str">
        <f>IF([1]Rseries!C281="","",[1]Rseries!C281)</f>
        <v/>
      </c>
    </row>
    <row r="337" spans="1:2" x14ac:dyDescent="0.25">
      <c r="A337" s="2">
        <v>45291</v>
      </c>
      <c r="B337" s="1" t="str">
        <f>IF([1]Rseries!C282="","",[1]Rseries!C282)</f>
        <v/>
      </c>
    </row>
    <row r="338" spans="1:2" x14ac:dyDescent="0.25">
      <c r="A338" s="2">
        <v>45322</v>
      </c>
      <c r="B338" s="1" t="str">
        <f>IF([1]Rseries!C283="","",[1]Rseries!C283)</f>
        <v/>
      </c>
    </row>
    <row r="339" spans="1:2" x14ac:dyDescent="0.25">
      <c r="A339" s="2">
        <v>45351</v>
      </c>
      <c r="B339" s="1" t="str">
        <f>IF([1]Rseries!C284="","",[1]Rseries!C284)</f>
        <v/>
      </c>
    </row>
    <row r="340" spans="1:2" x14ac:dyDescent="0.25">
      <c r="A340" s="2">
        <v>45382</v>
      </c>
      <c r="B340" s="1" t="str">
        <f>IF([1]Rseries!C285="","",[1]Rseries!C285)</f>
        <v/>
      </c>
    </row>
    <row r="341" spans="1:2" x14ac:dyDescent="0.25">
      <c r="A341" s="2">
        <v>45412</v>
      </c>
      <c r="B341" s="1" t="str">
        <f>IF([1]Rseries!C286="","",[1]Rseries!C286)</f>
        <v/>
      </c>
    </row>
    <row r="342" spans="1:2" x14ac:dyDescent="0.25">
      <c r="A342" s="2">
        <v>45443</v>
      </c>
      <c r="B342" s="1" t="str">
        <f>IF([1]Rseries!C287="","",[1]Rseries!C287)</f>
        <v/>
      </c>
    </row>
    <row r="343" spans="1:2" x14ac:dyDescent="0.25">
      <c r="A343" s="2">
        <v>45473</v>
      </c>
      <c r="B343" s="1" t="str">
        <f>IF([1]Rseries!C288="","",[1]Rseries!C288)</f>
        <v/>
      </c>
    </row>
    <row r="344" spans="1:2" x14ac:dyDescent="0.25">
      <c r="A344" s="2">
        <v>45504</v>
      </c>
      <c r="B344" s="1" t="str">
        <f>IF([1]Rseries!C289="","",[1]Rseries!C289)</f>
        <v/>
      </c>
    </row>
    <row r="345" spans="1:2" x14ac:dyDescent="0.25">
      <c r="A345" s="2">
        <v>45535</v>
      </c>
      <c r="B345" s="1" t="str">
        <f>IF([1]Rseries!C290="","",[1]Rseries!C290)</f>
        <v/>
      </c>
    </row>
    <row r="346" spans="1:2" x14ac:dyDescent="0.25">
      <c r="A346" s="2">
        <v>45565</v>
      </c>
      <c r="B346" s="1" t="str">
        <f>IF([1]Rseries!C291="","",[1]Rseries!C291)</f>
        <v/>
      </c>
    </row>
    <row r="347" spans="1:2" x14ac:dyDescent="0.25">
      <c r="A347" s="2">
        <v>45596</v>
      </c>
      <c r="B347" s="1" t="str">
        <f>IF([1]Rseries!C292="","",[1]Rseries!C292)</f>
        <v/>
      </c>
    </row>
    <row r="348" spans="1:2" x14ac:dyDescent="0.25">
      <c r="A348" s="2">
        <v>45626</v>
      </c>
      <c r="B348" s="1" t="str">
        <f>IF([1]Rseries!C293="","",[1]Rseries!C293)</f>
        <v/>
      </c>
    </row>
    <row r="349" spans="1:2" x14ac:dyDescent="0.25">
      <c r="A349" s="2">
        <v>45657</v>
      </c>
      <c r="B349" s="1" t="str">
        <f>IF([1]Rseries!C294="","",[1]Rseries!C294)</f>
        <v/>
      </c>
    </row>
    <row r="350" spans="1:2" x14ac:dyDescent="0.25">
      <c r="A350" s="2">
        <v>45688</v>
      </c>
      <c r="B350" s="1" t="str">
        <f>IF([1]Rseries!C295="","",[1]Rseries!C295)</f>
        <v/>
      </c>
    </row>
    <row r="351" spans="1:2" x14ac:dyDescent="0.25">
      <c r="A351" s="2">
        <v>45716</v>
      </c>
      <c r="B351" s="1" t="str">
        <f>IF([1]Rseries!C296="","",[1]Rseries!C296)</f>
        <v/>
      </c>
    </row>
    <row r="352" spans="1:2" x14ac:dyDescent="0.25">
      <c r="A352" s="2">
        <v>45747</v>
      </c>
      <c r="B352" s="1" t="str">
        <f>IF([1]Rseries!C297="","",[1]Rseries!C297)</f>
        <v/>
      </c>
    </row>
    <row r="353" spans="1:2" x14ac:dyDescent="0.25">
      <c r="A353" s="2">
        <v>45777</v>
      </c>
      <c r="B353" s="1" t="str">
        <f>IF([1]Rseries!C298="","",[1]Rseries!C298)</f>
        <v/>
      </c>
    </row>
    <row r="354" spans="1:2" x14ac:dyDescent="0.25">
      <c r="A354" s="2">
        <v>45808</v>
      </c>
      <c r="B354" s="1" t="str">
        <f>IF([1]Rseries!C299="","",[1]Rseries!C299)</f>
        <v/>
      </c>
    </row>
    <row r="355" spans="1:2" x14ac:dyDescent="0.25">
      <c r="A355" s="2">
        <v>45838</v>
      </c>
      <c r="B355" s="1" t="str">
        <f>IF([1]Rseries!C300="","",[1]Rseries!C300)</f>
        <v/>
      </c>
    </row>
    <row r="356" spans="1:2" x14ac:dyDescent="0.25">
      <c r="A356" s="2">
        <v>45869</v>
      </c>
      <c r="B356" s="1" t="str">
        <f>IF([1]Rseries!C301="","",[1]Rseries!C301)</f>
        <v/>
      </c>
    </row>
    <row r="357" spans="1:2" x14ac:dyDescent="0.25">
      <c r="A357" s="2">
        <v>45900</v>
      </c>
      <c r="B357" s="1" t="str">
        <f>IF([1]Rseries!C302="","",[1]Rseries!C302)</f>
        <v/>
      </c>
    </row>
    <row r="358" spans="1:2" x14ac:dyDescent="0.25">
      <c r="A358" s="2">
        <v>45930</v>
      </c>
      <c r="B358" s="1" t="str">
        <f>IF([1]Rseries!C303="","",[1]Rseries!C303)</f>
        <v/>
      </c>
    </row>
    <row r="359" spans="1:2" x14ac:dyDescent="0.25">
      <c r="A359" s="2">
        <v>45961</v>
      </c>
      <c r="B359" s="1" t="str">
        <f>IF([1]Rseries!C304="","",[1]Rseries!C304)</f>
        <v/>
      </c>
    </row>
    <row r="360" spans="1:2" x14ac:dyDescent="0.25">
      <c r="A360" s="2">
        <v>45991</v>
      </c>
      <c r="B360" s="1" t="str">
        <f>IF([1]Rseries!C305="","",[1]Rseries!C305)</f>
        <v/>
      </c>
    </row>
    <row r="361" spans="1:2" x14ac:dyDescent="0.25">
      <c r="A361" s="2">
        <v>46022</v>
      </c>
      <c r="B361" s="1" t="str">
        <f>IF([1]Rseries!C306="","",[1]Rseries!C306)</f>
        <v/>
      </c>
    </row>
    <row r="362" spans="1:2" x14ac:dyDescent="0.25">
      <c r="A362" s="2">
        <v>46053</v>
      </c>
      <c r="B362" s="1" t="str">
        <f>IF([1]Rseries!C307="","",[1]Rseries!C307)</f>
        <v/>
      </c>
    </row>
    <row r="363" spans="1:2" x14ac:dyDescent="0.25">
      <c r="A363" s="2">
        <v>46081</v>
      </c>
      <c r="B363" s="1" t="str">
        <f>IF([1]Rseries!C308="","",[1]Rseries!C308)</f>
        <v/>
      </c>
    </row>
    <row r="364" spans="1:2" x14ac:dyDescent="0.25">
      <c r="A364" s="2">
        <v>46112</v>
      </c>
      <c r="B364" s="1" t="str">
        <f>IF([1]Rseries!C309="","",[1]Rseries!C309)</f>
        <v/>
      </c>
    </row>
    <row r="365" spans="1:2" x14ac:dyDescent="0.25">
      <c r="A365" s="2">
        <v>46142</v>
      </c>
      <c r="B365" s="1" t="str">
        <f>IF([1]Rseries!C310="","",[1]Rseries!C310)</f>
        <v/>
      </c>
    </row>
    <row r="366" spans="1:2" x14ac:dyDescent="0.25">
      <c r="A366" s="2">
        <v>46173</v>
      </c>
      <c r="B366" s="1" t="str">
        <f>IF([1]Rseries!C311="","",[1]Rseries!C311)</f>
        <v/>
      </c>
    </row>
    <row r="367" spans="1:2" x14ac:dyDescent="0.25">
      <c r="A367" s="2">
        <v>46203</v>
      </c>
      <c r="B367" s="1" t="str">
        <f>IF([1]Rseries!C312="","",[1]Rseries!C312)</f>
        <v/>
      </c>
    </row>
    <row r="368" spans="1:2" x14ac:dyDescent="0.25">
      <c r="A368" s="2">
        <v>46234</v>
      </c>
      <c r="B368" s="1" t="str">
        <f>IF([1]Rseries!C313="","",[1]Rseries!C313)</f>
        <v/>
      </c>
    </row>
    <row r="369" spans="1:2" x14ac:dyDescent="0.25">
      <c r="A369" s="2">
        <v>46265</v>
      </c>
      <c r="B369" s="1" t="str">
        <f>IF([1]Rseries!C314="","",[1]Rseries!C314)</f>
        <v/>
      </c>
    </row>
    <row r="370" spans="1:2" x14ac:dyDescent="0.25">
      <c r="A370" s="2">
        <v>46295</v>
      </c>
      <c r="B370" s="1" t="str">
        <f>IF([1]Rseries!C315="","",[1]Rseries!C315)</f>
        <v/>
      </c>
    </row>
    <row r="371" spans="1:2" x14ac:dyDescent="0.25">
      <c r="A371" s="2">
        <v>46326</v>
      </c>
      <c r="B371" s="1" t="str">
        <f>IF([1]Rseries!C316="","",[1]Rseries!C316)</f>
        <v/>
      </c>
    </row>
    <row r="372" spans="1:2" x14ac:dyDescent="0.25">
      <c r="A372" s="2">
        <v>46356</v>
      </c>
      <c r="B372" s="1" t="str">
        <f>IF([1]Rseries!C317="","",[1]Rseries!C317)</f>
        <v/>
      </c>
    </row>
    <row r="373" spans="1:2" x14ac:dyDescent="0.25">
      <c r="A373" s="2">
        <v>46387</v>
      </c>
      <c r="B373" s="1" t="str">
        <f>IF([1]Rseries!C318="","",[1]Rseries!C318)</f>
        <v/>
      </c>
    </row>
    <row r="374" spans="1:2" x14ac:dyDescent="0.25">
      <c r="A374" s="2">
        <v>46418</v>
      </c>
      <c r="B374" s="1" t="str">
        <f>IF([1]Rseries!C319="","",[1]Rseries!C319)</f>
        <v/>
      </c>
    </row>
    <row r="375" spans="1:2" x14ac:dyDescent="0.25">
      <c r="A375" s="2">
        <v>46446</v>
      </c>
      <c r="B375" s="1" t="str">
        <f>IF([1]Rseries!C320="","",[1]Rseries!C320)</f>
        <v/>
      </c>
    </row>
    <row r="376" spans="1:2" x14ac:dyDescent="0.25">
      <c r="A376" s="2">
        <v>46477</v>
      </c>
      <c r="B376" s="1" t="str">
        <f>IF([1]Rseries!C321="","",[1]Rseries!C321)</f>
        <v/>
      </c>
    </row>
    <row r="377" spans="1:2" x14ac:dyDescent="0.25">
      <c r="A377" s="2">
        <v>46507</v>
      </c>
      <c r="B377" s="1" t="str">
        <f>IF([1]Rseries!C322="","",[1]Rseries!C322)</f>
        <v/>
      </c>
    </row>
    <row r="378" spans="1:2" x14ac:dyDescent="0.25">
      <c r="A378" s="2">
        <v>46538</v>
      </c>
      <c r="B378" s="1" t="str">
        <f>IF([1]Rseries!C323="","",[1]Rseries!C323)</f>
        <v/>
      </c>
    </row>
    <row r="379" spans="1:2" x14ac:dyDescent="0.25">
      <c r="A379" s="2">
        <v>46568</v>
      </c>
      <c r="B379" s="1" t="str">
        <f>IF([1]Rseries!C324="","",[1]Rseries!C324)</f>
        <v/>
      </c>
    </row>
    <row r="380" spans="1:2" x14ac:dyDescent="0.25">
      <c r="A380" s="2">
        <v>46599</v>
      </c>
      <c r="B380" s="1" t="str">
        <f>IF([1]Rseries!C325="","",[1]Rseries!C325)</f>
        <v/>
      </c>
    </row>
    <row r="381" spans="1:2" x14ac:dyDescent="0.25">
      <c r="A381" s="2">
        <v>46630</v>
      </c>
      <c r="B381" s="1" t="str">
        <f>IF([1]Rseries!C326="","",[1]Rseries!C326)</f>
        <v/>
      </c>
    </row>
    <row r="382" spans="1:2" x14ac:dyDescent="0.25">
      <c r="A382" s="2">
        <v>46660</v>
      </c>
      <c r="B382" s="1" t="str">
        <f>IF([1]Rseries!C327="","",[1]Rseries!C327)</f>
        <v/>
      </c>
    </row>
    <row r="383" spans="1:2" x14ac:dyDescent="0.25">
      <c r="A383" s="2">
        <v>46691</v>
      </c>
      <c r="B383" s="1" t="str">
        <f>IF([1]Rseries!C328="","",[1]Rseries!C328)</f>
        <v/>
      </c>
    </row>
    <row r="384" spans="1:2" x14ac:dyDescent="0.25">
      <c r="A384" s="2">
        <v>46721</v>
      </c>
      <c r="B384" s="1" t="str">
        <f>IF([1]Rseries!C329="","",[1]Rseries!C329)</f>
        <v/>
      </c>
    </row>
    <row r="385" spans="1:2" x14ac:dyDescent="0.25">
      <c r="A385" s="2">
        <v>46752</v>
      </c>
      <c r="B385" s="1" t="str">
        <f>IF([1]Rseries!C330="","",[1]Rseries!C330)</f>
        <v/>
      </c>
    </row>
    <row r="386" spans="1:2" x14ac:dyDescent="0.25">
      <c r="A386" s="2">
        <v>46783</v>
      </c>
      <c r="B386" s="1" t="str">
        <f>IF([1]Rseries!C331="","",[1]Rseries!C331)</f>
        <v/>
      </c>
    </row>
    <row r="387" spans="1:2" x14ac:dyDescent="0.25">
      <c r="A387" s="2">
        <v>46812</v>
      </c>
      <c r="B387" s="1" t="str">
        <f>IF([1]Rseries!C332="","",[1]Rseries!C332)</f>
        <v/>
      </c>
    </row>
    <row r="388" spans="1:2" x14ac:dyDescent="0.25">
      <c r="A388" s="2">
        <v>46843</v>
      </c>
      <c r="B388" s="1" t="str">
        <f>IF([1]Rseries!C333="","",[1]Rseries!C333)</f>
        <v/>
      </c>
    </row>
    <row r="389" spans="1:2" x14ac:dyDescent="0.25">
      <c r="A389" s="2">
        <v>46873</v>
      </c>
      <c r="B389" s="1" t="str">
        <f>IF([1]Rseries!C334="","",[1]Rseries!C334)</f>
        <v/>
      </c>
    </row>
    <row r="390" spans="1:2" x14ac:dyDescent="0.25">
      <c r="A390" s="2">
        <v>46904</v>
      </c>
      <c r="B390" s="1" t="str">
        <f>IF([1]Rseries!C335="","",[1]Rseries!C335)</f>
        <v/>
      </c>
    </row>
    <row r="391" spans="1:2" x14ac:dyDescent="0.25">
      <c r="A391" s="2">
        <v>46934</v>
      </c>
      <c r="B391" s="1" t="str">
        <f>IF([1]Rseries!C336="","",[1]Rseries!C336)</f>
        <v/>
      </c>
    </row>
    <row r="392" spans="1:2" x14ac:dyDescent="0.25">
      <c r="A392" s="2">
        <v>46965</v>
      </c>
      <c r="B392" s="1" t="str">
        <f>IF([1]Rseries!C337="","",[1]Rseries!C337)</f>
        <v/>
      </c>
    </row>
    <row r="393" spans="1:2" x14ac:dyDescent="0.25">
      <c r="A393" s="2">
        <v>46996</v>
      </c>
      <c r="B393" s="1" t="str">
        <f>IF([1]Rseries!C338="","",[1]Rseries!C338)</f>
        <v/>
      </c>
    </row>
    <row r="394" spans="1:2" x14ac:dyDescent="0.25">
      <c r="A394" s="2">
        <v>47026</v>
      </c>
      <c r="B394" s="1" t="str">
        <f>IF([1]Rseries!C339="","",[1]Rseries!C339)</f>
        <v/>
      </c>
    </row>
    <row r="395" spans="1:2" x14ac:dyDescent="0.25">
      <c r="A395" s="2">
        <v>47057</v>
      </c>
      <c r="B395" s="1" t="str">
        <f>IF([1]Rseries!C340="","",[1]Rseries!C340)</f>
        <v/>
      </c>
    </row>
    <row r="396" spans="1:2" x14ac:dyDescent="0.25">
      <c r="A396" s="2">
        <v>47087</v>
      </c>
      <c r="B396" s="1" t="str">
        <f>IF([1]Rseries!C341="","",[1]Rseries!C341)</f>
        <v/>
      </c>
    </row>
    <row r="397" spans="1:2" x14ac:dyDescent="0.25">
      <c r="A397" s="2">
        <v>47118</v>
      </c>
      <c r="B397" s="1" t="str">
        <f>IF([1]Rseries!C342="","",[1]Rseries!C342)</f>
        <v/>
      </c>
    </row>
    <row r="398" spans="1:2" x14ac:dyDescent="0.25">
      <c r="A398" s="2">
        <v>47149</v>
      </c>
      <c r="B398" s="1" t="str">
        <f>IF([1]Rseries!C343="","",[1]Rseries!C343)</f>
        <v/>
      </c>
    </row>
    <row r="399" spans="1:2" x14ac:dyDescent="0.25">
      <c r="A399" s="2">
        <v>47177</v>
      </c>
      <c r="B399" s="1" t="str">
        <f>IF([1]Rseries!C344="","",[1]Rseries!C344)</f>
        <v/>
      </c>
    </row>
    <row r="400" spans="1:2" x14ac:dyDescent="0.25">
      <c r="A400" s="2">
        <v>47208</v>
      </c>
      <c r="B400" s="1" t="str">
        <f>IF([1]Rseries!C345="","",[1]Rseries!C345)</f>
        <v/>
      </c>
    </row>
    <row r="401" spans="1:2" x14ac:dyDescent="0.25">
      <c r="A401" s="2">
        <v>47238</v>
      </c>
      <c r="B401" s="1" t="str">
        <f>IF([1]Rseries!C346="","",[1]Rseries!C346)</f>
        <v/>
      </c>
    </row>
    <row r="402" spans="1:2" x14ac:dyDescent="0.25">
      <c r="A402" s="2">
        <v>47269</v>
      </c>
      <c r="B402" s="1" t="str">
        <f>IF([1]Rseries!C347="","",[1]Rseries!C347)</f>
        <v/>
      </c>
    </row>
    <row r="403" spans="1:2" x14ac:dyDescent="0.25">
      <c r="A403" s="2">
        <v>47299</v>
      </c>
      <c r="B403" s="1" t="str">
        <f>IF([1]Rseries!C348="","",[1]Rseries!C348)</f>
        <v/>
      </c>
    </row>
    <row r="404" spans="1:2" x14ac:dyDescent="0.25">
      <c r="A404" s="2">
        <v>47330</v>
      </c>
      <c r="B404" s="1" t="str">
        <f>IF([1]Rseries!C349="","",[1]Rseries!C349)</f>
        <v/>
      </c>
    </row>
    <row r="405" spans="1:2" x14ac:dyDescent="0.25">
      <c r="A405" s="2">
        <v>47361</v>
      </c>
      <c r="B405" s="1" t="str">
        <f>IF([1]Rseries!C350="","",[1]Rseries!C350)</f>
        <v/>
      </c>
    </row>
    <row r="406" spans="1:2" x14ac:dyDescent="0.25">
      <c r="A406" s="2">
        <v>47391</v>
      </c>
      <c r="B406" s="1" t="str">
        <f>IF([1]Rseries!C351="","",[1]Rseries!C351)</f>
        <v/>
      </c>
    </row>
    <row r="407" spans="1:2" x14ac:dyDescent="0.25">
      <c r="A407" s="2">
        <v>47422</v>
      </c>
      <c r="B407" s="1" t="str">
        <f>IF([1]Rseries!C352="","",[1]Rseries!C352)</f>
        <v/>
      </c>
    </row>
    <row r="408" spans="1:2" x14ac:dyDescent="0.25">
      <c r="A408" s="2">
        <v>47452</v>
      </c>
      <c r="B408" s="1" t="str">
        <f>IF([1]Rseries!C353="","",[1]Rseries!C353)</f>
        <v/>
      </c>
    </row>
    <row r="409" spans="1:2" x14ac:dyDescent="0.25">
      <c r="A409" s="2">
        <v>47483</v>
      </c>
      <c r="B409" s="1" t="str">
        <f>IF([1]Rseries!C354="","",[1]Rseries!C354)</f>
        <v/>
      </c>
    </row>
    <row r="410" spans="1:2" x14ac:dyDescent="0.25">
      <c r="A410" s="2">
        <v>47514</v>
      </c>
      <c r="B410" s="1" t="str">
        <f>IF([1]Rseries!C355="","",[1]Rseries!C355)</f>
        <v/>
      </c>
    </row>
    <row r="411" spans="1:2" x14ac:dyDescent="0.25">
      <c r="A411" s="2">
        <v>47542</v>
      </c>
      <c r="B411" s="1" t="str">
        <f>IF([1]Rseries!C356="","",[1]Rseries!C356)</f>
        <v/>
      </c>
    </row>
    <row r="412" spans="1:2" x14ac:dyDescent="0.25">
      <c r="A412" s="2">
        <v>47573</v>
      </c>
      <c r="B412" s="1" t="str">
        <f>IF([1]Rseries!C357="","",[1]Rseries!C357)</f>
        <v/>
      </c>
    </row>
    <row r="413" spans="1:2" x14ac:dyDescent="0.25">
      <c r="A413" s="2">
        <v>47603</v>
      </c>
      <c r="B413" s="1" t="str">
        <f>IF([1]Rseries!C358="","",[1]Rseries!C358)</f>
        <v/>
      </c>
    </row>
    <row r="414" spans="1:2" x14ac:dyDescent="0.25">
      <c r="A414" s="2">
        <v>47634</v>
      </c>
      <c r="B414" s="1" t="str">
        <f>IF([1]Rseries!C359="","",[1]Rseries!C359)</f>
        <v/>
      </c>
    </row>
    <row r="415" spans="1:2" x14ac:dyDescent="0.25">
      <c r="A415" s="2">
        <v>47664</v>
      </c>
      <c r="B415" s="1" t="str">
        <f>IF([1]Rseries!C360="","",[1]Rseries!C360)</f>
        <v/>
      </c>
    </row>
    <row r="416" spans="1:2" x14ac:dyDescent="0.25">
      <c r="A416" s="2">
        <v>47695</v>
      </c>
      <c r="B416" s="1" t="str">
        <f>IF([1]Rseries!C361="","",[1]Rseries!C361)</f>
        <v/>
      </c>
    </row>
    <row r="417" spans="1:2" x14ac:dyDescent="0.25">
      <c r="A417" s="2">
        <v>47726</v>
      </c>
      <c r="B417" s="1" t="str">
        <f>IF([1]Rseries!C362="","",[1]Rseries!C362)</f>
        <v/>
      </c>
    </row>
    <row r="418" spans="1:2" x14ac:dyDescent="0.25">
      <c r="A418" s="2">
        <v>47756</v>
      </c>
      <c r="B418" s="1" t="str">
        <f>IF([1]Rseries!C363="","",[1]Rseries!C363)</f>
        <v/>
      </c>
    </row>
    <row r="419" spans="1:2" x14ac:dyDescent="0.25">
      <c r="A419" s="2">
        <v>47787</v>
      </c>
      <c r="B419" s="1" t="str">
        <f>IF([1]Rseries!C364="","",[1]Rseries!C364)</f>
        <v/>
      </c>
    </row>
    <row r="420" spans="1:2" x14ac:dyDescent="0.25">
      <c r="A420" s="2">
        <v>47817</v>
      </c>
      <c r="B420" s="1" t="str">
        <f>IF([1]Rseries!C365="","",[1]Rseries!C365)</f>
        <v/>
      </c>
    </row>
    <row r="421" spans="1:2" x14ac:dyDescent="0.25">
      <c r="A421" s="2">
        <v>47848</v>
      </c>
      <c r="B421" s="1" t="str">
        <f>IF([1]Rseries!C366="","",[1]Rseries!C366)</f>
        <v/>
      </c>
    </row>
    <row r="422" spans="1:2" x14ac:dyDescent="0.25">
      <c r="A422" s="2">
        <v>47879</v>
      </c>
      <c r="B422" s="1" t="str">
        <f>IF([1]Rseries!C367="","",[1]Rseries!C367)</f>
        <v/>
      </c>
    </row>
    <row r="423" spans="1:2" x14ac:dyDescent="0.25">
      <c r="A423" s="2">
        <v>47907</v>
      </c>
      <c r="B423" s="1" t="str">
        <f>IF([1]Rseries!C368="","",[1]Rseries!C368)</f>
        <v/>
      </c>
    </row>
    <row r="424" spans="1:2" x14ac:dyDescent="0.25">
      <c r="A424" s="2">
        <v>47938</v>
      </c>
      <c r="B424" s="1" t="str">
        <f>IF([1]Rseries!C369="","",[1]Rseries!C369)</f>
        <v/>
      </c>
    </row>
    <row r="425" spans="1:2" x14ac:dyDescent="0.25">
      <c r="A425" s="2">
        <v>47968</v>
      </c>
      <c r="B425" s="1" t="str">
        <f>IF([1]Rseries!C370="","",[1]Rseries!C370)</f>
        <v/>
      </c>
    </row>
    <row r="426" spans="1:2" x14ac:dyDescent="0.25">
      <c r="A426" s="2">
        <v>47999</v>
      </c>
      <c r="B426" s="1" t="str">
        <f>IF([1]Rseries!C371="","",[1]Rseries!C371)</f>
        <v/>
      </c>
    </row>
    <row r="427" spans="1:2" x14ac:dyDescent="0.25">
      <c r="A427" s="2">
        <v>48029</v>
      </c>
      <c r="B427" s="1" t="str">
        <f>IF([1]Rseries!C372="","",[1]Rseries!C372)</f>
        <v/>
      </c>
    </row>
    <row r="428" spans="1:2" x14ac:dyDescent="0.25">
      <c r="A428" s="2">
        <v>48060</v>
      </c>
      <c r="B428" s="1" t="str">
        <f>IF([1]Rseries!C373="","",[1]Rseries!C373)</f>
        <v/>
      </c>
    </row>
    <row r="429" spans="1:2" x14ac:dyDescent="0.25">
      <c r="A429" s="2">
        <v>48091</v>
      </c>
      <c r="B429" s="1" t="str">
        <f>IF([1]Rseries!C374="","",[1]Rseries!C374)</f>
        <v/>
      </c>
    </row>
    <row r="430" spans="1:2" x14ac:dyDescent="0.25">
      <c r="A430" s="2">
        <v>48121</v>
      </c>
      <c r="B430" s="1" t="str">
        <f>IF([1]Rseries!C375="","",[1]Rseries!C375)</f>
        <v/>
      </c>
    </row>
    <row r="431" spans="1:2" x14ac:dyDescent="0.25">
      <c r="A431" s="2">
        <v>48152</v>
      </c>
      <c r="B431" s="1" t="str">
        <f>IF([1]Rseries!C376="","",[1]Rseries!C376)</f>
        <v/>
      </c>
    </row>
    <row r="432" spans="1:2" x14ac:dyDescent="0.25">
      <c r="A432" s="2">
        <v>48182</v>
      </c>
      <c r="B432" s="1" t="str">
        <f>IF([1]Rseries!C377="","",[1]Rseries!C377)</f>
        <v/>
      </c>
    </row>
    <row r="433" spans="1:2" x14ac:dyDescent="0.25">
      <c r="A433" s="2">
        <v>48213</v>
      </c>
      <c r="B433" s="1" t="str">
        <f>IF([1]Rseries!C378="","",[1]Rseries!C378)</f>
        <v/>
      </c>
    </row>
    <row r="434" spans="1:2" x14ac:dyDescent="0.25">
      <c r="A434" s="2">
        <v>48244</v>
      </c>
      <c r="B434" s="1" t="str">
        <f>IF([1]Rseries!C379="","",[1]Rseries!C379)</f>
        <v/>
      </c>
    </row>
    <row r="435" spans="1:2" x14ac:dyDescent="0.25">
      <c r="A435" s="2">
        <v>48273</v>
      </c>
      <c r="B435" s="1" t="str">
        <f>IF([1]Rseries!C380="","",[1]Rseries!C380)</f>
        <v/>
      </c>
    </row>
    <row r="436" spans="1:2" x14ac:dyDescent="0.25">
      <c r="A436" s="2">
        <v>48304</v>
      </c>
      <c r="B436" s="1" t="str">
        <f>IF([1]Rseries!C381="","",[1]Rseries!C381)</f>
        <v/>
      </c>
    </row>
    <row r="437" spans="1:2" x14ac:dyDescent="0.25">
      <c r="A437" s="2">
        <v>48334</v>
      </c>
      <c r="B437" s="1" t="str">
        <f>IF([1]Rseries!C382="","",[1]Rseries!C382)</f>
        <v/>
      </c>
    </row>
    <row r="438" spans="1:2" x14ac:dyDescent="0.25">
      <c r="A438" s="2">
        <v>48365</v>
      </c>
      <c r="B438" s="1" t="str">
        <f>IF([1]Rseries!C383="","",[1]Rseries!C383)</f>
        <v/>
      </c>
    </row>
    <row r="439" spans="1:2" x14ac:dyDescent="0.25">
      <c r="A439" s="2">
        <v>48395</v>
      </c>
      <c r="B439" s="1" t="str">
        <f>IF([1]Rseries!C384="","",[1]Rseries!C384)</f>
        <v/>
      </c>
    </row>
    <row r="440" spans="1:2" x14ac:dyDescent="0.25">
      <c r="A440" s="2">
        <v>48426</v>
      </c>
      <c r="B440" s="1" t="str">
        <f>IF([1]Rseries!C385="","",[1]Rseries!C385)</f>
        <v/>
      </c>
    </row>
    <row r="441" spans="1:2" x14ac:dyDescent="0.25">
      <c r="A441" s="2">
        <v>48457</v>
      </c>
      <c r="B441" s="1" t="str">
        <f>IF([1]Rseries!C386="","",[1]Rseries!C386)</f>
        <v/>
      </c>
    </row>
    <row r="442" spans="1:2" x14ac:dyDescent="0.25">
      <c r="A442" s="2">
        <v>48487</v>
      </c>
      <c r="B442" s="1" t="str">
        <f>IF([1]Rseries!C387="","",[1]Rseries!C387)</f>
        <v/>
      </c>
    </row>
    <row r="443" spans="1:2" x14ac:dyDescent="0.25">
      <c r="A443" s="2">
        <v>48518</v>
      </c>
      <c r="B443" s="1" t="str">
        <f>IF([1]Rseries!C388="","",[1]Rseries!C388)</f>
        <v/>
      </c>
    </row>
    <row r="444" spans="1:2" x14ac:dyDescent="0.25">
      <c r="A444" s="2">
        <v>48548</v>
      </c>
      <c r="B444" s="1" t="str">
        <f>IF([1]Rseries!C389="","",[1]Rseries!C389)</f>
        <v/>
      </c>
    </row>
    <row r="445" spans="1:2" x14ac:dyDescent="0.25">
      <c r="A445" s="2">
        <v>48579</v>
      </c>
      <c r="B445" s="1" t="str">
        <f>IF([1]Rseries!C390="","",[1]Rseries!C390)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Mediana</vt:lpstr>
      <vt:lpstr>SSTotalESP</vt:lpstr>
      <vt:lpstr>Amplitud</vt:lpstr>
      <vt:lpstr>Inicio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ihidalgo</dc:creator>
  <cp:lastModifiedBy>ihidalgo Isidro Hidalgo Arellano tfno:9252 88098</cp:lastModifiedBy>
  <cp:lastPrinted>2012-12-04T08:23:57Z</cp:lastPrinted>
  <dcterms:created xsi:type="dcterms:W3CDTF">2012-03-02T12:51:06Z</dcterms:created>
  <dcterms:modified xsi:type="dcterms:W3CDTF">2021-03-05T11:47:17Z</dcterms:modified>
</cp:coreProperties>
</file>