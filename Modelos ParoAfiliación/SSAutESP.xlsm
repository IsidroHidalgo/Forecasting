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jclm.es\PROS\SC\OBSERVATORIOEMPLEO\Análisis\Previsiones\Mensuales - paro registrado y afiliación\Modelos ParoAfiliación\"/>
    </mc:Choice>
  </mc:AlternateContent>
  <bookViews>
    <workbookView xWindow="120" yWindow="105" windowWidth="18915" windowHeight="11760" tabRatio="419"/>
  </bookViews>
  <sheets>
    <sheet name="Mediana" sheetId="139" r:id="rId1"/>
    <sheet name="SSAutESP" sheetId="1" r:id="rId2"/>
  </sheets>
  <externalReferences>
    <externalReference r:id="rId3"/>
  </externalReferences>
  <definedNames>
    <definedName name="Amplitud">SSAutESP!$F$62</definedName>
    <definedName name="Inicio">SSAutESP!$E$62</definedName>
  </definedNames>
  <calcPr calcId="162913"/>
</workbook>
</file>

<file path=xl/calcChain.xml><?xml version="1.0" encoding="utf-8"?>
<calcChain xmlns="http://schemas.openxmlformats.org/spreadsheetml/2006/main">
  <c r="B445" i="1" l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HA14" i="139" l="1"/>
  <c r="HB14" i="139" s="1"/>
  <c r="HC14" i="139" s="1"/>
  <c r="HD14" i="139" s="1"/>
  <c r="HE14" i="139" s="1"/>
  <c r="HF14" i="139" s="1"/>
  <c r="HG14" i="139" s="1"/>
  <c r="HH14" i="139" s="1"/>
  <c r="HI14" i="139" s="1"/>
  <c r="HJ14" i="139" s="1"/>
  <c r="HK14" i="139" s="1"/>
  <c r="HL14" i="139" s="1"/>
  <c r="HM14" i="139" s="1"/>
  <c r="HN14" i="139" s="1"/>
  <c r="HO14" i="139" s="1"/>
  <c r="HP14" i="139" s="1"/>
  <c r="HQ14" i="139" s="1"/>
  <c r="HR14" i="139" s="1"/>
  <c r="HS14" i="139" s="1"/>
  <c r="HT14" i="139" s="1"/>
  <c r="HU14" i="139" s="1"/>
  <c r="HV14" i="139" s="1"/>
  <c r="HW14" i="139" s="1"/>
  <c r="HX14" i="139" s="1"/>
  <c r="HY14" i="139" s="1"/>
  <c r="HZ14" i="139" s="1"/>
  <c r="IA14" i="139" s="1"/>
  <c r="IB14" i="139" s="1"/>
  <c r="IC14" i="139" s="1"/>
  <c r="ID14" i="139" s="1"/>
  <c r="IE14" i="139" s="1"/>
  <c r="IF14" i="139" s="1"/>
  <c r="IG14" i="139" s="1"/>
  <c r="IH14" i="139" s="1"/>
  <c r="II14" i="139" s="1"/>
  <c r="IJ14" i="139" s="1"/>
  <c r="IK14" i="139" s="1"/>
  <c r="IL14" i="139" s="1"/>
  <c r="IM14" i="139" s="1"/>
  <c r="IN14" i="139" s="1"/>
  <c r="IO14" i="139" s="1"/>
  <c r="IP14" i="139" s="1"/>
  <c r="IQ14" i="139" s="1"/>
  <c r="IR14" i="139" s="1"/>
  <c r="IS14" i="139" s="1"/>
  <c r="IT14" i="139" s="1"/>
  <c r="IU14" i="139" s="1"/>
  <c r="IV14" i="139" s="1"/>
  <c r="IW14" i="139" s="1"/>
  <c r="IX14" i="139" s="1"/>
  <c r="IY14" i="139" s="1"/>
  <c r="IZ14" i="139" s="1"/>
  <c r="JA14" i="139" s="1"/>
  <c r="JB14" i="139" s="1"/>
  <c r="JC14" i="139" s="1"/>
  <c r="JD14" i="139" s="1"/>
  <c r="JE14" i="139" s="1"/>
  <c r="JF14" i="139" s="1"/>
  <c r="JG14" i="139" s="1"/>
  <c r="JH14" i="139" s="1"/>
  <c r="HA13" i="139"/>
  <c r="HB13" i="139" s="1"/>
  <c r="HC13" i="139" s="1"/>
  <c r="HD13" i="139" s="1"/>
  <c r="HE13" i="139" s="1"/>
  <c r="HF13" i="139" s="1"/>
  <c r="HG13" i="139" s="1"/>
  <c r="HH13" i="139" s="1"/>
  <c r="HI13" i="139" s="1"/>
  <c r="HJ13" i="139" s="1"/>
  <c r="HK13" i="139" s="1"/>
  <c r="HL13" i="139" s="1"/>
  <c r="HM13" i="139" s="1"/>
  <c r="HN13" i="139" s="1"/>
  <c r="HO13" i="139" s="1"/>
  <c r="HP13" i="139" s="1"/>
  <c r="HQ13" i="139" s="1"/>
  <c r="HR13" i="139" s="1"/>
  <c r="HS13" i="139" s="1"/>
  <c r="HT13" i="139" s="1"/>
  <c r="HU13" i="139" s="1"/>
  <c r="HV13" i="139" s="1"/>
  <c r="HW13" i="139" s="1"/>
  <c r="HX13" i="139" s="1"/>
  <c r="HY13" i="139" s="1"/>
  <c r="HZ13" i="139" s="1"/>
  <c r="IA13" i="139" s="1"/>
  <c r="IB13" i="139" s="1"/>
  <c r="IC13" i="139" s="1"/>
  <c r="ID13" i="139" s="1"/>
  <c r="IE13" i="139" s="1"/>
  <c r="IF13" i="139" s="1"/>
  <c r="IG13" i="139" s="1"/>
  <c r="IH13" i="139" s="1"/>
  <c r="II13" i="139" s="1"/>
  <c r="IJ13" i="139" s="1"/>
  <c r="IK13" i="139" s="1"/>
  <c r="IL13" i="139" s="1"/>
  <c r="IM13" i="139" s="1"/>
  <c r="IN13" i="139" s="1"/>
  <c r="IO13" i="139" s="1"/>
  <c r="IP13" i="139" s="1"/>
  <c r="IQ13" i="139" s="1"/>
  <c r="IR13" i="139" s="1"/>
  <c r="IS13" i="139" s="1"/>
  <c r="IT13" i="139" s="1"/>
  <c r="IU13" i="139" s="1"/>
  <c r="IV13" i="139" s="1"/>
  <c r="IW13" i="139" s="1"/>
  <c r="IX13" i="139" s="1"/>
  <c r="IY13" i="139" s="1"/>
  <c r="IZ13" i="139" s="1"/>
  <c r="JA13" i="139" s="1"/>
  <c r="JB13" i="139" s="1"/>
  <c r="JC13" i="139" s="1"/>
  <c r="JD13" i="139" s="1"/>
  <c r="JE13" i="139" s="1"/>
  <c r="JF13" i="139" s="1"/>
  <c r="JG13" i="139" s="1"/>
  <c r="JH13" i="139" s="1"/>
  <c r="HA12" i="139"/>
  <c r="HB12" i="139" s="1"/>
  <c r="HC12" i="139" s="1"/>
  <c r="HD12" i="139" s="1"/>
  <c r="HE12" i="139" s="1"/>
  <c r="HF12" i="139" s="1"/>
  <c r="HG12" i="139" s="1"/>
  <c r="HH12" i="139" s="1"/>
  <c r="HI12" i="139" s="1"/>
  <c r="HJ12" i="139" s="1"/>
  <c r="HK12" i="139" s="1"/>
  <c r="HL12" i="139" s="1"/>
  <c r="HM12" i="139" s="1"/>
  <c r="HN12" i="139" s="1"/>
  <c r="HO12" i="139" s="1"/>
  <c r="HP12" i="139" s="1"/>
  <c r="HQ12" i="139" s="1"/>
  <c r="HR12" i="139" s="1"/>
  <c r="HS12" i="139" s="1"/>
  <c r="HT12" i="139" s="1"/>
  <c r="HU12" i="139" s="1"/>
  <c r="HV12" i="139" s="1"/>
  <c r="HW12" i="139" s="1"/>
  <c r="HX12" i="139" s="1"/>
  <c r="HY12" i="139" s="1"/>
  <c r="HZ12" i="139" s="1"/>
  <c r="IA12" i="139" s="1"/>
  <c r="IB12" i="139" s="1"/>
  <c r="IC12" i="139" s="1"/>
  <c r="ID12" i="139" s="1"/>
  <c r="IE12" i="139" s="1"/>
  <c r="IF12" i="139" s="1"/>
  <c r="IG12" i="139" s="1"/>
  <c r="IH12" i="139" s="1"/>
  <c r="II12" i="139" s="1"/>
  <c r="IJ12" i="139" s="1"/>
  <c r="IK12" i="139" s="1"/>
  <c r="IL12" i="139" s="1"/>
  <c r="IM12" i="139" s="1"/>
  <c r="IN12" i="139" s="1"/>
  <c r="IO12" i="139" s="1"/>
  <c r="IP12" i="139" s="1"/>
  <c r="IQ12" i="139" s="1"/>
  <c r="IR12" i="139" s="1"/>
  <c r="IS12" i="139" s="1"/>
  <c r="IT12" i="139" s="1"/>
  <c r="IU12" i="139" s="1"/>
  <c r="IV12" i="139" s="1"/>
  <c r="IW12" i="139" s="1"/>
  <c r="IX12" i="139" s="1"/>
  <c r="IY12" i="139" s="1"/>
  <c r="IZ12" i="139" s="1"/>
  <c r="JA12" i="139" s="1"/>
  <c r="JB12" i="139" s="1"/>
  <c r="JC12" i="139" s="1"/>
  <c r="JD12" i="139" s="1"/>
  <c r="JE12" i="139" s="1"/>
  <c r="JF12" i="139" s="1"/>
  <c r="JG12" i="139" s="1"/>
  <c r="JH12" i="139" s="1"/>
  <c r="HA11" i="139"/>
  <c r="HB11" i="139" s="1"/>
  <c r="HC11" i="139" s="1"/>
  <c r="HD11" i="139" s="1"/>
  <c r="HE11" i="139" s="1"/>
  <c r="HF11" i="139" s="1"/>
  <c r="HG11" i="139" s="1"/>
  <c r="HH11" i="139" s="1"/>
  <c r="HI11" i="139" s="1"/>
  <c r="HJ11" i="139" s="1"/>
  <c r="HK11" i="139" s="1"/>
  <c r="HL11" i="139" s="1"/>
  <c r="HM11" i="139" s="1"/>
  <c r="HN11" i="139" s="1"/>
  <c r="HO11" i="139" s="1"/>
  <c r="HP11" i="139" s="1"/>
  <c r="HQ11" i="139" s="1"/>
  <c r="HR11" i="139" s="1"/>
  <c r="HS11" i="139" s="1"/>
  <c r="HT11" i="139" s="1"/>
  <c r="HU11" i="139" s="1"/>
  <c r="HV11" i="139" s="1"/>
  <c r="HW11" i="139" s="1"/>
  <c r="HX11" i="139" s="1"/>
  <c r="HY11" i="139" s="1"/>
  <c r="HZ11" i="139" s="1"/>
  <c r="IA11" i="139" s="1"/>
  <c r="IB11" i="139" s="1"/>
  <c r="IC11" i="139" s="1"/>
  <c r="ID11" i="139" s="1"/>
  <c r="IE11" i="139" s="1"/>
  <c r="IF11" i="139" s="1"/>
  <c r="IG11" i="139" s="1"/>
  <c r="IH11" i="139" s="1"/>
  <c r="II11" i="139" s="1"/>
  <c r="IJ11" i="139" s="1"/>
  <c r="IK11" i="139" s="1"/>
  <c r="IL11" i="139" s="1"/>
  <c r="IM11" i="139" s="1"/>
  <c r="IN11" i="139" s="1"/>
  <c r="IO11" i="139" s="1"/>
  <c r="IP11" i="139" s="1"/>
  <c r="IQ11" i="139" s="1"/>
  <c r="IR11" i="139" s="1"/>
  <c r="IS11" i="139" s="1"/>
  <c r="IT11" i="139" s="1"/>
  <c r="IU11" i="139" s="1"/>
  <c r="IV11" i="139" s="1"/>
  <c r="IW11" i="139" s="1"/>
  <c r="IX11" i="139" s="1"/>
  <c r="IY11" i="139" s="1"/>
  <c r="IZ11" i="139" s="1"/>
  <c r="JA11" i="139" s="1"/>
  <c r="JB11" i="139" s="1"/>
  <c r="JC11" i="139" s="1"/>
  <c r="JD11" i="139" s="1"/>
  <c r="JE11" i="139" s="1"/>
  <c r="JF11" i="139" s="1"/>
  <c r="JG11" i="139" s="1"/>
  <c r="JH11" i="139" s="1"/>
  <c r="HA10" i="139"/>
  <c r="HB10" i="139" s="1"/>
  <c r="HC10" i="139" s="1"/>
  <c r="HD10" i="139" s="1"/>
  <c r="HE10" i="139" s="1"/>
  <c r="HF10" i="139" s="1"/>
  <c r="HG10" i="139" s="1"/>
  <c r="HH10" i="139" s="1"/>
  <c r="HI10" i="139" s="1"/>
  <c r="HJ10" i="139" s="1"/>
  <c r="HK10" i="139" s="1"/>
  <c r="HL10" i="139" s="1"/>
  <c r="HM10" i="139" s="1"/>
  <c r="HN10" i="139" s="1"/>
  <c r="HO10" i="139" s="1"/>
  <c r="HP10" i="139" s="1"/>
  <c r="HQ10" i="139" s="1"/>
  <c r="HR10" i="139" s="1"/>
  <c r="HS10" i="139" s="1"/>
  <c r="HT10" i="139" s="1"/>
  <c r="HU10" i="139" s="1"/>
  <c r="HV10" i="139" s="1"/>
  <c r="HW10" i="139" s="1"/>
  <c r="HX10" i="139" s="1"/>
  <c r="HY10" i="139" s="1"/>
  <c r="HZ10" i="139" s="1"/>
  <c r="IA10" i="139" s="1"/>
  <c r="IB10" i="139" s="1"/>
  <c r="IC10" i="139" s="1"/>
  <c r="ID10" i="139" s="1"/>
  <c r="IE10" i="139" s="1"/>
  <c r="IF10" i="139" s="1"/>
  <c r="IG10" i="139" s="1"/>
  <c r="IH10" i="139" s="1"/>
  <c r="II10" i="139" s="1"/>
  <c r="IJ10" i="139" s="1"/>
  <c r="IK10" i="139" s="1"/>
  <c r="IL10" i="139" s="1"/>
  <c r="IM10" i="139" s="1"/>
  <c r="IN10" i="139" s="1"/>
  <c r="IO10" i="139" s="1"/>
  <c r="IP10" i="139" s="1"/>
  <c r="IQ10" i="139" s="1"/>
  <c r="IR10" i="139" s="1"/>
  <c r="IS10" i="139" s="1"/>
  <c r="IT10" i="139" s="1"/>
  <c r="IU10" i="139" s="1"/>
  <c r="IV10" i="139" s="1"/>
  <c r="IW10" i="139" s="1"/>
  <c r="IX10" i="139" s="1"/>
  <c r="IY10" i="139" s="1"/>
  <c r="IZ10" i="139" s="1"/>
  <c r="JA10" i="139" s="1"/>
  <c r="JB10" i="139" s="1"/>
  <c r="JC10" i="139" s="1"/>
  <c r="JD10" i="139" s="1"/>
  <c r="JE10" i="139" s="1"/>
  <c r="JF10" i="139" s="1"/>
  <c r="JG10" i="139" s="1"/>
  <c r="JH10" i="139" s="1"/>
  <c r="HA9" i="139"/>
  <c r="HB9" i="139" s="1"/>
  <c r="HC9" i="139" s="1"/>
  <c r="HD9" i="139" s="1"/>
  <c r="HE9" i="139" s="1"/>
  <c r="HF9" i="139" s="1"/>
  <c r="HG9" i="139" s="1"/>
  <c r="HH9" i="139" s="1"/>
  <c r="HI9" i="139" s="1"/>
  <c r="HJ9" i="139" s="1"/>
  <c r="HK9" i="139" s="1"/>
  <c r="HL9" i="139" s="1"/>
  <c r="HM9" i="139" s="1"/>
  <c r="HN9" i="139" s="1"/>
  <c r="HO9" i="139" s="1"/>
  <c r="HP9" i="139" s="1"/>
  <c r="HQ9" i="139" s="1"/>
  <c r="HR9" i="139" s="1"/>
  <c r="HS9" i="139" s="1"/>
  <c r="HT9" i="139" s="1"/>
  <c r="HU9" i="139" s="1"/>
  <c r="HV9" i="139" s="1"/>
  <c r="HW9" i="139" s="1"/>
  <c r="HX9" i="139" s="1"/>
  <c r="HY9" i="139" s="1"/>
  <c r="HZ9" i="139" s="1"/>
  <c r="IA9" i="139" s="1"/>
  <c r="IB9" i="139" s="1"/>
  <c r="IC9" i="139" s="1"/>
  <c r="ID9" i="139" s="1"/>
  <c r="IE9" i="139" s="1"/>
  <c r="IF9" i="139" s="1"/>
  <c r="IG9" i="139" s="1"/>
  <c r="IH9" i="139" s="1"/>
  <c r="II9" i="139" s="1"/>
  <c r="IJ9" i="139" s="1"/>
  <c r="IK9" i="139" s="1"/>
  <c r="IL9" i="139" s="1"/>
  <c r="IM9" i="139" s="1"/>
  <c r="IN9" i="139" s="1"/>
  <c r="IO9" i="139" s="1"/>
  <c r="IP9" i="139" s="1"/>
  <c r="IQ9" i="139" s="1"/>
  <c r="IR9" i="139" s="1"/>
  <c r="IS9" i="139" s="1"/>
  <c r="IT9" i="139" s="1"/>
  <c r="IU9" i="139" s="1"/>
  <c r="IV9" i="139" s="1"/>
  <c r="IW9" i="139" s="1"/>
  <c r="IX9" i="139" s="1"/>
  <c r="IY9" i="139" s="1"/>
  <c r="IZ9" i="139" s="1"/>
  <c r="JA9" i="139" s="1"/>
  <c r="JB9" i="139" s="1"/>
  <c r="JC9" i="139" s="1"/>
  <c r="JD9" i="139" s="1"/>
  <c r="JE9" i="139" s="1"/>
  <c r="JF9" i="139" s="1"/>
  <c r="JG9" i="139" s="1"/>
  <c r="JH9" i="139" s="1"/>
  <c r="HA8" i="139"/>
  <c r="HB8" i="139" s="1"/>
  <c r="HC8" i="139" s="1"/>
  <c r="HD8" i="139" s="1"/>
  <c r="HE8" i="139" s="1"/>
  <c r="HF8" i="139" s="1"/>
  <c r="HG8" i="139" s="1"/>
  <c r="HH8" i="139" s="1"/>
  <c r="HI8" i="139" s="1"/>
  <c r="HJ8" i="139" s="1"/>
  <c r="HK8" i="139" s="1"/>
  <c r="HL8" i="139" s="1"/>
  <c r="HM8" i="139" s="1"/>
  <c r="HN8" i="139" s="1"/>
  <c r="HO8" i="139" s="1"/>
  <c r="HP8" i="139" s="1"/>
  <c r="HQ8" i="139" s="1"/>
  <c r="HR8" i="139" s="1"/>
  <c r="HS8" i="139" s="1"/>
  <c r="HT8" i="139" s="1"/>
  <c r="HU8" i="139" s="1"/>
  <c r="HV8" i="139" s="1"/>
  <c r="HW8" i="139" s="1"/>
  <c r="HX8" i="139" s="1"/>
  <c r="HY8" i="139" s="1"/>
  <c r="HZ8" i="139" s="1"/>
  <c r="IA8" i="139" s="1"/>
  <c r="IB8" i="139" s="1"/>
  <c r="IC8" i="139" s="1"/>
  <c r="ID8" i="139" s="1"/>
  <c r="IE8" i="139" s="1"/>
  <c r="IF8" i="139" s="1"/>
  <c r="IG8" i="139" s="1"/>
  <c r="IH8" i="139" s="1"/>
  <c r="II8" i="139" s="1"/>
  <c r="IJ8" i="139" s="1"/>
  <c r="IK8" i="139" s="1"/>
  <c r="IL8" i="139" s="1"/>
  <c r="IM8" i="139" s="1"/>
  <c r="IN8" i="139" s="1"/>
  <c r="IO8" i="139" s="1"/>
  <c r="IP8" i="139" s="1"/>
  <c r="IQ8" i="139" s="1"/>
  <c r="IR8" i="139" s="1"/>
  <c r="IS8" i="139" s="1"/>
  <c r="IT8" i="139" s="1"/>
  <c r="IU8" i="139" s="1"/>
  <c r="IV8" i="139" s="1"/>
  <c r="IW8" i="139" s="1"/>
  <c r="IX8" i="139" s="1"/>
  <c r="IY8" i="139" s="1"/>
  <c r="IZ8" i="139" s="1"/>
  <c r="JA8" i="139" s="1"/>
  <c r="JB8" i="139" s="1"/>
  <c r="JC8" i="139" s="1"/>
  <c r="JD8" i="139" s="1"/>
  <c r="JE8" i="139" s="1"/>
  <c r="JF8" i="139" s="1"/>
  <c r="JG8" i="139" s="1"/>
  <c r="JH8" i="139" s="1"/>
  <c r="HA7" i="139"/>
  <c r="HB7" i="139" s="1"/>
  <c r="HC7" i="139" s="1"/>
  <c r="HD7" i="139" s="1"/>
  <c r="HE7" i="139" s="1"/>
  <c r="HF7" i="139" s="1"/>
  <c r="HG7" i="139" s="1"/>
  <c r="HH7" i="139" s="1"/>
  <c r="HI7" i="139" s="1"/>
  <c r="HJ7" i="139" s="1"/>
  <c r="HK7" i="139" s="1"/>
  <c r="HL7" i="139" s="1"/>
  <c r="HM7" i="139" s="1"/>
  <c r="HN7" i="139" s="1"/>
  <c r="HO7" i="139" s="1"/>
  <c r="HP7" i="139" s="1"/>
  <c r="HQ7" i="139" s="1"/>
  <c r="HR7" i="139" s="1"/>
  <c r="HS7" i="139" s="1"/>
  <c r="HT7" i="139" s="1"/>
  <c r="HU7" i="139" s="1"/>
  <c r="HV7" i="139" s="1"/>
  <c r="HW7" i="139" s="1"/>
  <c r="HX7" i="139" s="1"/>
  <c r="HY7" i="139" s="1"/>
  <c r="HZ7" i="139" s="1"/>
  <c r="IA7" i="139" s="1"/>
  <c r="IB7" i="139" s="1"/>
  <c r="IC7" i="139" s="1"/>
  <c r="ID7" i="139" s="1"/>
  <c r="IE7" i="139" s="1"/>
  <c r="IF7" i="139" s="1"/>
  <c r="IG7" i="139" s="1"/>
  <c r="IH7" i="139" s="1"/>
  <c r="II7" i="139" s="1"/>
  <c r="IJ7" i="139" s="1"/>
  <c r="IK7" i="139" s="1"/>
  <c r="IL7" i="139" s="1"/>
  <c r="IM7" i="139" s="1"/>
  <c r="IN7" i="139" s="1"/>
  <c r="IO7" i="139" s="1"/>
  <c r="IP7" i="139" s="1"/>
  <c r="IQ7" i="139" s="1"/>
  <c r="IR7" i="139" s="1"/>
  <c r="IS7" i="139" s="1"/>
  <c r="IT7" i="139" s="1"/>
  <c r="IU7" i="139" s="1"/>
  <c r="IV7" i="139" s="1"/>
  <c r="IW7" i="139" s="1"/>
  <c r="IX7" i="139" s="1"/>
  <c r="IY7" i="139" s="1"/>
  <c r="IZ7" i="139" s="1"/>
  <c r="JA7" i="139" s="1"/>
  <c r="JB7" i="139" s="1"/>
  <c r="JC7" i="139" s="1"/>
  <c r="JD7" i="139" s="1"/>
  <c r="JE7" i="139" s="1"/>
  <c r="JF7" i="139" s="1"/>
  <c r="JG7" i="139" s="1"/>
  <c r="JH7" i="139" s="1"/>
  <c r="HA6" i="139"/>
  <c r="HB6" i="139" s="1"/>
  <c r="HC6" i="139" s="1"/>
  <c r="HD6" i="139" s="1"/>
  <c r="HE6" i="139" s="1"/>
  <c r="HF6" i="139" s="1"/>
  <c r="HG6" i="139" s="1"/>
  <c r="HH6" i="139" s="1"/>
  <c r="HI6" i="139" s="1"/>
  <c r="HJ6" i="139" s="1"/>
  <c r="HK6" i="139" s="1"/>
  <c r="HL6" i="139" s="1"/>
  <c r="HM6" i="139" s="1"/>
  <c r="HN6" i="139" s="1"/>
  <c r="HO6" i="139" s="1"/>
  <c r="HP6" i="139" s="1"/>
  <c r="HQ6" i="139" s="1"/>
  <c r="HR6" i="139" s="1"/>
  <c r="HS6" i="139" s="1"/>
  <c r="HT6" i="139" s="1"/>
  <c r="HU6" i="139" s="1"/>
  <c r="HV6" i="139" s="1"/>
  <c r="HW6" i="139" s="1"/>
  <c r="HX6" i="139" s="1"/>
  <c r="HY6" i="139" s="1"/>
  <c r="HZ6" i="139" s="1"/>
  <c r="IA6" i="139" s="1"/>
  <c r="IB6" i="139" s="1"/>
  <c r="IC6" i="139" s="1"/>
  <c r="ID6" i="139" s="1"/>
  <c r="IE6" i="139" s="1"/>
  <c r="IF6" i="139" s="1"/>
  <c r="IG6" i="139" s="1"/>
  <c r="IH6" i="139" s="1"/>
  <c r="II6" i="139" s="1"/>
  <c r="IJ6" i="139" s="1"/>
  <c r="IK6" i="139" s="1"/>
  <c r="IL6" i="139" s="1"/>
  <c r="IM6" i="139" s="1"/>
  <c r="IN6" i="139" s="1"/>
  <c r="IO6" i="139" s="1"/>
  <c r="IP6" i="139" s="1"/>
  <c r="IQ6" i="139" s="1"/>
  <c r="IR6" i="139" s="1"/>
  <c r="IS6" i="139" s="1"/>
  <c r="IT6" i="139" s="1"/>
  <c r="IU6" i="139" s="1"/>
  <c r="IV6" i="139" s="1"/>
  <c r="IW6" i="139" s="1"/>
  <c r="IX6" i="139" s="1"/>
  <c r="IY6" i="139" s="1"/>
  <c r="IZ6" i="139" s="1"/>
  <c r="JA6" i="139" s="1"/>
  <c r="JB6" i="139" s="1"/>
  <c r="JC6" i="139" s="1"/>
  <c r="JD6" i="139" s="1"/>
  <c r="JE6" i="139" s="1"/>
  <c r="JF6" i="139" s="1"/>
  <c r="JG6" i="139" s="1"/>
  <c r="JH6" i="139" s="1"/>
  <c r="HA5" i="139"/>
  <c r="HB5" i="139" s="1"/>
  <c r="HC5" i="139" s="1"/>
  <c r="HD5" i="139" s="1"/>
  <c r="HE5" i="139" s="1"/>
  <c r="HF5" i="139" s="1"/>
  <c r="HG5" i="139" s="1"/>
  <c r="HH5" i="139" s="1"/>
  <c r="HI5" i="139" s="1"/>
  <c r="HJ5" i="139" s="1"/>
  <c r="HK5" i="139" s="1"/>
  <c r="HL5" i="139" s="1"/>
  <c r="HM5" i="139" s="1"/>
  <c r="HN5" i="139" s="1"/>
  <c r="HO5" i="139" s="1"/>
  <c r="HP5" i="139" s="1"/>
  <c r="HQ5" i="139" s="1"/>
  <c r="HR5" i="139" s="1"/>
  <c r="HS5" i="139" s="1"/>
  <c r="HT5" i="139" s="1"/>
  <c r="HU5" i="139" s="1"/>
  <c r="HV5" i="139" s="1"/>
  <c r="HW5" i="139" s="1"/>
  <c r="HX5" i="139" s="1"/>
  <c r="HY5" i="139" s="1"/>
  <c r="HZ5" i="139" s="1"/>
  <c r="IA5" i="139" s="1"/>
  <c r="IB5" i="139" s="1"/>
  <c r="IC5" i="139" s="1"/>
  <c r="ID5" i="139" s="1"/>
  <c r="IE5" i="139" s="1"/>
  <c r="IF5" i="139" s="1"/>
  <c r="IG5" i="139" s="1"/>
  <c r="IH5" i="139" s="1"/>
  <c r="II5" i="139" s="1"/>
  <c r="IJ5" i="139" s="1"/>
  <c r="IK5" i="139" s="1"/>
  <c r="IL5" i="139" s="1"/>
  <c r="IM5" i="139" s="1"/>
  <c r="IN5" i="139" s="1"/>
  <c r="IO5" i="139" s="1"/>
  <c r="IP5" i="139" s="1"/>
  <c r="IQ5" i="139" s="1"/>
  <c r="IR5" i="139" s="1"/>
  <c r="IS5" i="139" s="1"/>
  <c r="IT5" i="139" s="1"/>
  <c r="IU5" i="139" s="1"/>
  <c r="IV5" i="139" s="1"/>
  <c r="IW5" i="139" s="1"/>
  <c r="IX5" i="139" s="1"/>
  <c r="IY5" i="139" s="1"/>
  <c r="IZ5" i="139" s="1"/>
  <c r="JA5" i="139" s="1"/>
  <c r="JB5" i="139" s="1"/>
  <c r="JC5" i="139" s="1"/>
  <c r="JD5" i="139" s="1"/>
  <c r="JE5" i="139" s="1"/>
  <c r="JF5" i="139" s="1"/>
  <c r="JG5" i="139" s="1"/>
  <c r="JH5" i="139" s="1"/>
  <c r="HA4" i="139"/>
  <c r="HB4" i="139" s="1"/>
  <c r="HC4" i="139" s="1"/>
  <c r="HD4" i="139" s="1"/>
  <c r="HE4" i="139" s="1"/>
  <c r="HF4" i="139" s="1"/>
  <c r="HG4" i="139" s="1"/>
  <c r="HH4" i="139" s="1"/>
  <c r="HI4" i="139" s="1"/>
  <c r="HJ4" i="139" s="1"/>
  <c r="HK4" i="139" s="1"/>
  <c r="HL4" i="139" s="1"/>
  <c r="HM4" i="139" s="1"/>
  <c r="HN4" i="139" s="1"/>
  <c r="HO4" i="139" s="1"/>
  <c r="HP4" i="139" s="1"/>
  <c r="HQ4" i="139" s="1"/>
  <c r="HR4" i="139" s="1"/>
  <c r="HS4" i="139" s="1"/>
  <c r="HT4" i="139" s="1"/>
  <c r="HU4" i="139" s="1"/>
  <c r="HV4" i="139" s="1"/>
  <c r="HW4" i="139" s="1"/>
  <c r="HX4" i="139" s="1"/>
  <c r="HY4" i="139" s="1"/>
  <c r="HZ4" i="139" s="1"/>
  <c r="IA4" i="139" s="1"/>
  <c r="IB4" i="139" s="1"/>
  <c r="IC4" i="139" s="1"/>
  <c r="ID4" i="139" s="1"/>
  <c r="IE4" i="139" s="1"/>
  <c r="IF4" i="139" s="1"/>
  <c r="IG4" i="139" s="1"/>
  <c r="IH4" i="139" s="1"/>
  <c r="II4" i="139" s="1"/>
  <c r="IJ4" i="139" s="1"/>
  <c r="IK4" i="139" s="1"/>
  <c r="IL4" i="139" s="1"/>
  <c r="IM4" i="139" s="1"/>
  <c r="IN4" i="139" s="1"/>
  <c r="IO4" i="139" s="1"/>
  <c r="IP4" i="139" s="1"/>
  <c r="IQ4" i="139" s="1"/>
  <c r="IR4" i="139" s="1"/>
  <c r="IS4" i="139" s="1"/>
  <c r="IT4" i="139" s="1"/>
  <c r="IU4" i="139" s="1"/>
  <c r="IV4" i="139" s="1"/>
  <c r="IW4" i="139" s="1"/>
  <c r="IX4" i="139" s="1"/>
  <c r="IY4" i="139" s="1"/>
  <c r="IZ4" i="139" s="1"/>
  <c r="JA4" i="139" s="1"/>
  <c r="JB4" i="139" s="1"/>
  <c r="JC4" i="139" s="1"/>
  <c r="JD4" i="139" s="1"/>
  <c r="JE4" i="139" s="1"/>
  <c r="JF4" i="139" s="1"/>
  <c r="JG4" i="139" s="1"/>
  <c r="JH4" i="139" s="1"/>
  <c r="HA3" i="139"/>
  <c r="HB3" i="139" s="1"/>
  <c r="HC3" i="139" s="1"/>
  <c r="HD3" i="139" s="1"/>
  <c r="HE3" i="139" s="1"/>
  <c r="HF3" i="139" s="1"/>
  <c r="HG3" i="139" s="1"/>
  <c r="HH3" i="139" s="1"/>
  <c r="HI3" i="139" s="1"/>
  <c r="HJ3" i="139" s="1"/>
  <c r="HK3" i="139" s="1"/>
  <c r="HL3" i="139" s="1"/>
  <c r="HM3" i="139" s="1"/>
  <c r="HN3" i="139" s="1"/>
  <c r="HO3" i="139" s="1"/>
  <c r="HP3" i="139" s="1"/>
  <c r="HQ3" i="139" s="1"/>
  <c r="HR3" i="139" s="1"/>
  <c r="HS3" i="139" s="1"/>
  <c r="HT3" i="139" s="1"/>
  <c r="HU3" i="139" s="1"/>
  <c r="HV3" i="139" s="1"/>
  <c r="HW3" i="139" s="1"/>
  <c r="HX3" i="139" s="1"/>
  <c r="HY3" i="139" s="1"/>
  <c r="HZ3" i="139" s="1"/>
  <c r="IA3" i="139" s="1"/>
  <c r="IB3" i="139" s="1"/>
  <c r="IC3" i="139" s="1"/>
  <c r="ID3" i="139" s="1"/>
  <c r="IE3" i="139" s="1"/>
  <c r="IF3" i="139" s="1"/>
  <c r="IG3" i="139" s="1"/>
  <c r="IH3" i="139" s="1"/>
  <c r="II3" i="139" s="1"/>
  <c r="IJ3" i="139" s="1"/>
  <c r="IK3" i="139" s="1"/>
  <c r="IL3" i="139" s="1"/>
  <c r="IM3" i="139" s="1"/>
  <c r="IN3" i="139" s="1"/>
  <c r="IO3" i="139" s="1"/>
  <c r="IP3" i="139" s="1"/>
  <c r="IQ3" i="139" s="1"/>
  <c r="IR3" i="139" s="1"/>
  <c r="IS3" i="139" s="1"/>
  <c r="IT3" i="139" s="1"/>
  <c r="IU3" i="139" s="1"/>
  <c r="IV3" i="139" s="1"/>
  <c r="IW3" i="139" s="1"/>
  <c r="IX3" i="139" s="1"/>
  <c r="IY3" i="139" s="1"/>
  <c r="IZ3" i="139" s="1"/>
  <c r="JA3" i="139" s="1"/>
  <c r="JB3" i="139" s="1"/>
  <c r="JC3" i="139" s="1"/>
  <c r="JD3" i="139" s="1"/>
  <c r="JE3" i="139" s="1"/>
  <c r="JF3" i="139" s="1"/>
  <c r="JG3" i="139" s="1"/>
  <c r="JH3" i="139" s="1"/>
  <c r="E62" i="1" l="1"/>
  <c r="JH28" i="139" l="1"/>
  <c r="JH31" i="139" s="1"/>
  <c r="JH58" i="139" s="1"/>
  <c r="JH83" i="139"/>
  <c r="JH85" i="139"/>
  <c r="JH87" i="139"/>
  <c r="JH89" i="139"/>
  <c r="JH91" i="139"/>
  <c r="JH93" i="139"/>
  <c r="HS87" i="139"/>
  <c r="HW90" i="139"/>
  <c r="IU92" i="139"/>
  <c r="HS94" i="139"/>
  <c r="GZ28" i="139"/>
  <c r="HD28" i="139"/>
  <c r="HH28" i="139"/>
  <c r="HI28" i="139"/>
  <c r="HL28" i="139"/>
  <c r="HP28" i="139"/>
  <c r="HT28" i="139"/>
  <c r="HX28" i="139"/>
  <c r="IB28" i="139"/>
  <c r="IC28" i="139"/>
  <c r="IF28" i="139"/>
  <c r="IJ28" i="139"/>
  <c r="IN28" i="139"/>
  <c r="IR28" i="139"/>
  <c r="IV28" i="139"/>
  <c r="IW28" i="139"/>
  <c r="IZ28" i="139"/>
  <c r="JD28" i="139"/>
  <c r="GZ30" i="139"/>
  <c r="HD30" i="139"/>
  <c r="HH30" i="139"/>
  <c r="HI30" i="139"/>
  <c r="HI57" i="139" s="1"/>
  <c r="HL30" i="139"/>
  <c r="HP30" i="139"/>
  <c r="HP57" i="139" s="1"/>
  <c r="HT30" i="139"/>
  <c r="HT57" i="139" s="1"/>
  <c r="HX30" i="139"/>
  <c r="HX57" i="139" s="1"/>
  <c r="IB30" i="139"/>
  <c r="IB57" i="139" s="1"/>
  <c r="IC30" i="139"/>
  <c r="IC57" i="139" s="1"/>
  <c r="IF30" i="139"/>
  <c r="IF57" i="139" s="1"/>
  <c r="IJ30" i="139"/>
  <c r="IJ57" i="139" s="1"/>
  <c r="IN30" i="139"/>
  <c r="IN57" i="139" s="1"/>
  <c r="IR30" i="139"/>
  <c r="IR57" i="139" s="1"/>
  <c r="IV30" i="139"/>
  <c r="IV57" i="139" s="1"/>
  <c r="IW30" i="139"/>
  <c r="IW57" i="139" s="1"/>
  <c r="IZ30" i="139"/>
  <c r="IZ57" i="139" s="1"/>
  <c r="JD30" i="139"/>
  <c r="JD57" i="139" s="1"/>
  <c r="GZ31" i="139"/>
  <c r="GZ58" i="139" s="1"/>
  <c r="HD31" i="139"/>
  <c r="HD58" i="139" s="1"/>
  <c r="HH31" i="139"/>
  <c r="HH58" i="139" s="1"/>
  <c r="HI31" i="139"/>
  <c r="HI58" i="139" s="1"/>
  <c r="HL31" i="139"/>
  <c r="HL58" i="139" s="1"/>
  <c r="HP31" i="139"/>
  <c r="HP58" i="139" s="1"/>
  <c r="HT31" i="139"/>
  <c r="HT58" i="139" s="1"/>
  <c r="HX31" i="139"/>
  <c r="HX58" i="139" s="1"/>
  <c r="IB31" i="139"/>
  <c r="IB58" i="139" s="1"/>
  <c r="IC31" i="139"/>
  <c r="IC58" i="139" s="1"/>
  <c r="IF31" i="139"/>
  <c r="IF58" i="139" s="1"/>
  <c r="IJ31" i="139"/>
  <c r="IJ58" i="139" s="1"/>
  <c r="IN31" i="139"/>
  <c r="IN58" i="139" s="1"/>
  <c r="IR31" i="139"/>
  <c r="IR58" i="139" s="1"/>
  <c r="IV31" i="139"/>
  <c r="IV58" i="139" s="1"/>
  <c r="IW31" i="139"/>
  <c r="IW58" i="139" s="1"/>
  <c r="IZ31" i="139"/>
  <c r="IZ58" i="139" s="1"/>
  <c r="JD31" i="139"/>
  <c r="JD58" i="139" s="1"/>
  <c r="GZ32" i="139"/>
  <c r="GZ59" i="139" s="1"/>
  <c r="HD32" i="139"/>
  <c r="HD59" i="139" s="1"/>
  <c r="HH32" i="139"/>
  <c r="HH59" i="139" s="1"/>
  <c r="HI32" i="139"/>
  <c r="HI59" i="139" s="1"/>
  <c r="HL32" i="139"/>
  <c r="HL59" i="139" s="1"/>
  <c r="HP32" i="139"/>
  <c r="HP59" i="139" s="1"/>
  <c r="HT32" i="139"/>
  <c r="HT59" i="139" s="1"/>
  <c r="HX32" i="139"/>
  <c r="HX59" i="139" s="1"/>
  <c r="IB32" i="139"/>
  <c r="IB59" i="139" s="1"/>
  <c r="IC32" i="139"/>
  <c r="IC59" i="139" s="1"/>
  <c r="IF32" i="139"/>
  <c r="IF59" i="139" s="1"/>
  <c r="IJ32" i="139"/>
  <c r="IJ59" i="139" s="1"/>
  <c r="IN32" i="139"/>
  <c r="IN59" i="139" s="1"/>
  <c r="IR32" i="139"/>
  <c r="IR59" i="139" s="1"/>
  <c r="IV32" i="139"/>
  <c r="IV59" i="139" s="1"/>
  <c r="IW32" i="139"/>
  <c r="IW59" i="139" s="1"/>
  <c r="IZ32" i="139"/>
  <c r="IZ59" i="139" s="1"/>
  <c r="JD32" i="139"/>
  <c r="JD59" i="139" s="1"/>
  <c r="GZ33" i="139"/>
  <c r="GZ60" i="139" s="1"/>
  <c r="HD33" i="139"/>
  <c r="HD60" i="139" s="1"/>
  <c r="HH33" i="139"/>
  <c r="HH60" i="139" s="1"/>
  <c r="HI33" i="139"/>
  <c r="HI60" i="139" s="1"/>
  <c r="HL33" i="139"/>
  <c r="HL60" i="139" s="1"/>
  <c r="HP33" i="139"/>
  <c r="HP60" i="139" s="1"/>
  <c r="HT33" i="139"/>
  <c r="HT60" i="139" s="1"/>
  <c r="HX33" i="139"/>
  <c r="HX60" i="139" s="1"/>
  <c r="IB33" i="139"/>
  <c r="IB60" i="139" s="1"/>
  <c r="IC33" i="139"/>
  <c r="IC60" i="139" s="1"/>
  <c r="IF33" i="139"/>
  <c r="IF60" i="139" s="1"/>
  <c r="IJ33" i="139"/>
  <c r="IJ60" i="139" s="1"/>
  <c r="IN33" i="139"/>
  <c r="IN60" i="139" s="1"/>
  <c r="IR33" i="139"/>
  <c r="IR60" i="139" s="1"/>
  <c r="IV33" i="139"/>
  <c r="IV60" i="139" s="1"/>
  <c r="IW33" i="139"/>
  <c r="IW60" i="139" s="1"/>
  <c r="IZ33" i="139"/>
  <c r="IZ60" i="139" s="1"/>
  <c r="JD33" i="139"/>
  <c r="JD60" i="139" s="1"/>
  <c r="GZ34" i="139"/>
  <c r="GZ61" i="139" s="1"/>
  <c r="HD34" i="139"/>
  <c r="HD61" i="139" s="1"/>
  <c r="HH34" i="139"/>
  <c r="HH61" i="139" s="1"/>
  <c r="HI34" i="139"/>
  <c r="HI61" i="139" s="1"/>
  <c r="HL34" i="139"/>
  <c r="HL61" i="139" s="1"/>
  <c r="HP34" i="139"/>
  <c r="HP61" i="139" s="1"/>
  <c r="HT34" i="139"/>
  <c r="HT61" i="139" s="1"/>
  <c r="HX34" i="139"/>
  <c r="HX61" i="139" s="1"/>
  <c r="IB34" i="139"/>
  <c r="IB61" i="139" s="1"/>
  <c r="IC34" i="139"/>
  <c r="IC61" i="139" s="1"/>
  <c r="IF34" i="139"/>
  <c r="IF61" i="139" s="1"/>
  <c r="IJ34" i="139"/>
  <c r="IJ61" i="139" s="1"/>
  <c r="IN34" i="139"/>
  <c r="IN61" i="139" s="1"/>
  <c r="IR34" i="139"/>
  <c r="IR61" i="139" s="1"/>
  <c r="IV34" i="139"/>
  <c r="IV61" i="139" s="1"/>
  <c r="IW34" i="139"/>
  <c r="IW61" i="139" s="1"/>
  <c r="IZ34" i="139"/>
  <c r="IZ61" i="139" s="1"/>
  <c r="JD34" i="139"/>
  <c r="JD61" i="139" s="1"/>
  <c r="GZ35" i="139"/>
  <c r="GZ62" i="139" s="1"/>
  <c r="HD35" i="139"/>
  <c r="HD62" i="139" s="1"/>
  <c r="HH35" i="139"/>
  <c r="HH62" i="139" s="1"/>
  <c r="HI35" i="139"/>
  <c r="HI62" i="139" s="1"/>
  <c r="HL35" i="139"/>
  <c r="HL62" i="139" s="1"/>
  <c r="HP35" i="139"/>
  <c r="HP62" i="139" s="1"/>
  <c r="HT35" i="139"/>
  <c r="HT62" i="139" s="1"/>
  <c r="HX35" i="139"/>
  <c r="HX62" i="139" s="1"/>
  <c r="IB35" i="139"/>
  <c r="IB62" i="139" s="1"/>
  <c r="IC35" i="139"/>
  <c r="IC62" i="139" s="1"/>
  <c r="IF35" i="139"/>
  <c r="IF62" i="139" s="1"/>
  <c r="IJ35" i="139"/>
  <c r="IJ62" i="139" s="1"/>
  <c r="IN35" i="139"/>
  <c r="IN62" i="139" s="1"/>
  <c r="IR35" i="139"/>
  <c r="IR62" i="139" s="1"/>
  <c r="IV35" i="139"/>
  <c r="IV62" i="139" s="1"/>
  <c r="IW35" i="139"/>
  <c r="IW62" i="139" s="1"/>
  <c r="IZ35" i="139"/>
  <c r="IZ62" i="139" s="1"/>
  <c r="JD35" i="139"/>
  <c r="JD62" i="139" s="1"/>
  <c r="GZ36" i="139"/>
  <c r="GZ63" i="139" s="1"/>
  <c r="HD36" i="139"/>
  <c r="HD63" i="139" s="1"/>
  <c r="HH36" i="139"/>
  <c r="HH63" i="139" s="1"/>
  <c r="HI36" i="139"/>
  <c r="HI63" i="139" s="1"/>
  <c r="HL36" i="139"/>
  <c r="HL63" i="139" s="1"/>
  <c r="HP36" i="139"/>
  <c r="HP63" i="139" s="1"/>
  <c r="HT36" i="139"/>
  <c r="HT63" i="139" s="1"/>
  <c r="HX36" i="139"/>
  <c r="HX63" i="139" s="1"/>
  <c r="IB36" i="139"/>
  <c r="IB63" i="139" s="1"/>
  <c r="IC36" i="139"/>
  <c r="IC63" i="139" s="1"/>
  <c r="IF36" i="139"/>
  <c r="IF63" i="139" s="1"/>
  <c r="IJ36" i="139"/>
  <c r="IJ63" i="139" s="1"/>
  <c r="IN36" i="139"/>
  <c r="IN63" i="139" s="1"/>
  <c r="IR36" i="139"/>
  <c r="IR63" i="139" s="1"/>
  <c r="IV36" i="139"/>
  <c r="IV63" i="139" s="1"/>
  <c r="IW36" i="139"/>
  <c r="IW63" i="139" s="1"/>
  <c r="IZ36" i="139"/>
  <c r="IZ63" i="139" s="1"/>
  <c r="JD36" i="139"/>
  <c r="JD63" i="139" s="1"/>
  <c r="GZ37" i="139"/>
  <c r="GZ64" i="139" s="1"/>
  <c r="HD37" i="139"/>
  <c r="HD64" i="139" s="1"/>
  <c r="HH37" i="139"/>
  <c r="HH64" i="139" s="1"/>
  <c r="HI37" i="139"/>
  <c r="HI64" i="139" s="1"/>
  <c r="HL37" i="139"/>
  <c r="HL64" i="139" s="1"/>
  <c r="HP37" i="139"/>
  <c r="HP64" i="139" s="1"/>
  <c r="HT37" i="139"/>
  <c r="HT64" i="139" s="1"/>
  <c r="HX37" i="139"/>
  <c r="HX64" i="139" s="1"/>
  <c r="IB37" i="139"/>
  <c r="IB64" i="139" s="1"/>
  <c r="IC37" i="139"/>
  <c r="IC64" i="139" s="1"/>
  <c r="IF37" i="139"/>
  <c r="IF64" i="139" s="1"/>
  <c r="IJ37" i="139"/>
  <c r="IJ64" i="139" s="1"/>
  <c r="IN37" i="139"/>
  <c r="IN64" i="139" s="1"/>
  <c r="IR37" i="139"/>
  <c r="IR64" i="139" s="1"/>
  <c r="IV37" i="139"/>
  <c r="IV64" i="139" s="1"/>
  <c r="IW37" i="139"/>
  <c r="IW64" i="139" s="1"/>
  <c r="IZ37" i="139"/>
  <c r="IZ64" i="139" s="1"/>
  <c r="JD37" i="139"/>
  <c r="JD64" i="139" s="1"/>
  <c r="GZ38" i="139"/>
  <c r="GZ65" i="139" s="1"/>
  <c r="HD38" i="139"/>
  <c r="HD65" i="139" s="1"/>
  <c r="HH38" i="139"/>
  <c r="HH65" i="139" s="1"/>
  <c r="HI38" i="139"/>
  <c r="HI65" i="139" s="1"/>
  <c r="HL38" i="139"/>
  <c r="HL65" i="139" s="1"/>
  <c r="HP38" i="139"/>
  <c r="HP65" i="139" s="1"/>
  <c r="HT38" i="139"/>
  <c r="HT65" i="139" s="1"/>
  <c r="HX38" i="139"/>
  <c r="HX65" i="139" s="1"/>
  <c r="IB38" i="139"/>
  <c r="IB65" i="139" s="1"/>
  <c r="IC38" i="139"/>
  <c r="IC65" i="139" s="1"/>
  <c r="IF38" i="139"/>
  <c r="IF65" i="139" s="1"/>
  <c r="IJ38" i="139"/>
  <c r="IJ65" i="139" s="1"/>
  <c r="IN38" i="139"/>
  <c r="IN65" i="139" s="1"/>
  <c r="IR38" i="139"/>
  <c r="IR65" i="139" s="1"/>
  <c r="IV38" i="139"/>
  <c r="IV65" i="139" s="1"/>
  <c r="IW38" i="139"/>
  <c r="IW65" i="139" s="1"/>
  <c r="IZ38" i="139"/>
  <c r="IZ65" i="139" s="1"/>
  <c r="JD38" i="139"/>
  <c r="JD65" i="139" s="1"/>
  <c r="GZ39" i="139"/>
  <c r="GZ66" i="139" s="1"/>
  <c r="HD39" i="139"/>
  <c r="HD66" i="139" s="1"/>
  <c r="HH39" i="139"/>
  <c r="HH66" i="139" s="1"/>
  <c r="HI39" i="139"/>
  <c r="HI66" i="139" s="1"/>
  <c r="HL39" i="139"/>
  <c r="HL66" i="139" s="1"/>
  <c r="HP39" i="139"/>
  <c r="HP66" i="139" s="1"/>
  <c r="HT39" i="139"/>
  <c r="HT66" i="139" s="1"/>
  <c r="HX39" i="139"/>
  <c r="HX66" i="139" s="1"/>
  <c r="IB39" i="139"/>
  <c r="IB66" i="139" s="1"/>
  <c r="IC39" i="139"/>
  <c r="IC66" i="139" s="1"/>
  <c r="IF39" i="139"/>
  <c r="IF66" i="139" s="1"/>
  <c r="IJ39" i="139"/>
  <c r="IJ66" i="139" s="1"/>
  <c r="IN39" i="139"/>
  <c r="IN66" i="139" s="1"/>
  <c r="IR39" i="139"/>
  <c r="IR66" i="139" s="1"/>
  <c r="IV39" i="139"/>
  <c r="IV66" i="139" s="1"/>
  <c r="IW39" i="139"/>
  <c r="IW66" i="139" s="1"/>
  <c r="IZ39" i="139"/>
  <c r="IZ66" i="139" s="1"/>
  <c r="JD39" i="139"/>
  <c r="JD66" i="139" s="1"/>
  <c r="GZ40" i="139"/>
  <c r="GZ67" i="139" s="1"/>
  <c r="HD40" i="139"/>
  <c r="HD67" i="139" s="1"/>
  <c r="HH40" i="139"/>
  <c r="HH67" i="139" s="1"/>
  <c r="HI40" i="139"/>
  <c r="HI67" i="139" s="1"/>
  <c r="HL40" i="139"/>
  <c r="HL67" i="139" s="1"/>
  <c r="HP40" i="139"/>
  <c r="HP67" i="139" s="1"/>
  <c r="HT40" i="139"/>
  <c r="HT67" i="139" s="1"/>
  <c r="HX40" i="139"/>
  <c r="HX67" i="139" s="1"/>
  <c r="IB40" i="139"/>
  <c r="IB67" i="139" s="1"/>
  <c r="IC40" i="139"/>
  <c r="IC67" i="139" s="1"/>
  <c r="IF40" i="139"/>
  <c r="IF67" i="139" s="1"/>
  <c r="IJ40" i="139"/>
  <c r="IJ67" i="139" s="1"/>
  <c r="IN40" i="139"/>
  <c r="IN67" i="139" s="1"/>
  <c r="IR40" i="139"/>
  <c r="IR67" i="139" s="1"/>
  <c r="IV40" i="139"/>
  <c r="IV67" i="139" s="1"/>
  <c r="IW40" i="139"/>
  <c r="IW67" i="139" s="1"/>
  <c r="IZ40" i="139"/>
  <c r="IZ67" i="139" s="1"/>
  <c r="JD40" i="139"/>
  <c r="JD67" i="139" s="1"/>
  <c r="GZ41" i="139"/>
  <c r="GZ68" i="139" s="1"/>
  <c r="HD41" i="139"/>
  <c r="HD68" i="139" s="1"/>
  <c r="HH41" i="139"/>
  <c r="HH68" i="139" s="1"/>
  <c r="HI41" i="139"/>
  <c r="HI68" i="139" s="1"/>
  <c r="HL41" i="139"/>
  <c r="HL68" i="139" s="1"/>
  <c r="HP41" i="139"/>
  <c r="HP68" i="139" s="1"/>
  <c r="HT41" i="139"/>
  <c r="HT68" i="139" s="1"/>
  <c r="HX41" i="139"/>
  <c r="HX68" i="139" s="1"/>
  <c r="IB41" i="139"/>
  <c r="IB68" i="139" s="1"/>
  <c r="IC41" i="139"/>
  <c r="IC68" i="139" s="1"/>
  <c r="IF41" i="139"/>
  <c r="IF68" i="139" s="1"/>
  <c r="IJ41" i="139"/>
  <c r="IJ68" i="139" s="1"/>
  <c r="IN41" i="139"/>
  <c r="IN68" i="139" s="1"/>
  <c r="IR41" i="139"/>
  <c r="IR68" i="139" s="1"/>
  <c r="IV41" i="139"/>
  <c r="IV68" i="139" s="1"/>
  <c r="IW41" i="139"/>
  <c r="IW68" i="139" s="1"/>
  <c r="IZ41" i="139"/>
  <c r="IZ68" i="139" s="1"/>
  <c r="JD41" i="139"/>
  <c r="JD68" i="139" s="1"/>
  <c r="GZ57" i="139"/>
  <c r="HD57" i="139"/>
  <c r="HH57" i="139"/>
  <c r="HL57" i="139"/>
  <c r="HA83" i="139"/>
  <c r="HB83" i="139"/>
  <c r="HD83" i="139"/>
  <c r="HE83" i="139"/>
  <c r="HF83" i="139"/>
  <c r="HH83" i="139"/>
  <c r="HI83" i="139"/>
  <c r="HJ83" i="139"/>
  <c r="HL83" i="139"/>
  <c r="HM83" i="139"/>
  <c r="HN83" i="139"/>
  <c r="HP83" i="139"/>
  <c r="HQ83" i="139"/>
  <c r="HR83" i="139"/>
  <c r="HT83" i="139"/>
  <c r="HU83" i="139"/>
  <c r="HV83" i="139"/>
  <c r="HX83" i="139"/>
  <c r="HY83" i="139"/>
  <c r="HZ83" i="139"/>
  <c r="IB83" i="139"/>
  <c r="IC83" i="139"/>
  <c r="ID83" i="139"/>
  <c r="IF83" i="139"/>
  <c r="IG83" i="139"/>
  <c r="IH83" i="139"/>
  <c r="IJ83" i="139"/>
  <c r="IK83" i="139"/>
  <c r="IL83" i="139"/>
  <c r="IN83" i="139"/>
  <c r="IO83" i="139"/>
  <c r="IP83" i="139"/>
  <c r="IR83" i="139"/>
  <c r="IS83" i="139"/>
  <c r="IT83" i="139"/>
  <c r="IV83" i="139"/>
  <c r="IW83" i="139"/>
  <c r="IX83" i="139"/>
  <c r="IZ83" i="139"/>
  <c r="JA83" i="139"/>
  <c r="JB83" i="139"/>
  <c r="JD83" i="139"/>
  <c r="JE83" i="139"/>
  <c r="JF83" i="139"/>
  <c r="HA84" i="139"/>
  <c r="HB84" i="139"/>
  <c r="HD84" i="139"/>
  <c r="HE84" i="139"/>
  <c r="HF84" i="139"/>
  <c r="HH84" i="139"/>
  <c r="HI84" i="139"/>
  <c r="HJ84" i="139"/>
  <c r="HL84" i="139"/>
  <c r="HM84" i="139"/>
  <c r="HN84" i="139"/>
  <c r="HP84" i="139"/>
  <c r="HQ84" i="139"/>
  <c r="HR84" i="139"/>
  <c r="HT84" i="139"/>
  <c r="HU84" i="139"/>
  <c r="HV84" i="139"/>
  <c r="HX84" i="139"/>
  <c r="HY84" i="139"/>
  <c r="HZ84" i="139"/>
  <c r="IB84" i="139"/>
  <c r="IC84" i="139"/>
  <c r="ID84" i="139"/>
  <c r="IF84" i="139"/>
  <c r="IG84" i="139"/>
  <c r="IH84" i="139"/>
  <c r="IJ84" i="139"/>
  <c r="IK84" i="139"/>
  <c r="IL84" i="139"/>
  <c r="IN84" i="139"/>
  <c r="IO84" i="139"/>
  <c r="IP84" i="139"/>
  <c r="IR84" i="139"/>
  <c r="IS84" i="139"/>
  <c r="IT84" i="139"/>
  <c r="IV84" i="139"/>
  <c r="IW84" i="139"/>
  <c r="IX84" i="139"/>
  <c r="IZ84" i="139"/>
  <c r="JA84" i="139"/>
  <c r="JB84" i="139"/>
  <c r="JD84" i="139"/>
  <c r="JE84" i="139"/>
  <c r="JF84" i="139"/>
  <c r="HA85" i="139"/>
  <c r="HB85" i="139"/>
  <c r="HD85" i="139"/>
  <c r="HE85" i="139"/>
  <c r="HF85" i="139"/>
  <c r="HH85" i="139"/>
  <c r="HI85" i="139"/>
  <c r="HJ85" i="139"/>
  <c r="HL85" i="139"/>
  <c r="HM85" i="139"/>
  <c r="HN85" i="139"/>
  <c r="HP85" i="139"/>
  <c r="HQ85" i="139"/>
  <c r="HR85" i="139"/>
  <c r="HT85" i="139"/>
  <c r="HU85" i="139"/>
  <c r="HV85" i="139"/>
  <c r="HX85" i="139"/>
  <c r="HY85" i="139"/>
  <c r="HZ85" i="139"/>
  <c r="IB85" i="139"/>
  <c r="IC85" i="139"/>
  <c r="ID85" i="139"/>
  <c r="IF85" i="139"/>
  <c r="IG85" i="139"/>
  <c r="IH85" i="139"/>
  <c r="IJ85" i="139"/>
  <c r="IK85" i="139"/>
  <c r="IL85" i="139"/>
  <c r="IN85" i="139"/>
  <c r="IO85" i="139"/>
  <c r="IP85" i="139"/>
  <c r="IR85" i="139"/>
  <c r="IS85" i="139"/>
  <c r="IT85" i="139"/>
  <c r="IV85" i="139"/>
  <c r="IW85" i="139"/>
  <c r="IX85" i="139"/>
  <c r="IZ85" i="139"/>
  <c r="JA85" i="139"/>
  <c r="JB85" i="139"/>
  <c r="JD85" i="139"/>
  <c r="JE85" i="139"/>
  <c r="JF85" i="139"/>
  <c r="HA86" i="139"/>
  <c r="HB86" i="139"/>
  <c r="HD86" i="139"/>
  <c r="HE86" i="139"/>
  <c r="HF86" i="139"/>
  <c r="HH86" i="139"/>
  <c r="HI86" i="139"/>
  <c r="HJ86" i="139"/>
  <c r="HL86" i="139"/>
  <c r="HM86" i="139"/>
  <c r="HN86" i="139"/>
  <c r="HP86" i="139"/>
  <c r="HQ86" i="139"/>
  <c r="HR86" i="139"/>
  <c r="HT86" i="139"/>
  <c r="HU86" i="139"/>
  <c r="HV86" i="139"/>
  <c r="HX86" i="139"/>
  <c r="HY86" i="139"/>
  <c r="HZ86" i="139"/>
  <c r="IB86" i="139"/>
  <c r="IC86" i="139"/>
  <c r="ID86" i="139"/>
  <c r="IF86" i="139"/>
  <c r="IG86" i="139"/>
  <c r="IH86" i="139"/>
  <c r="IJ86" i="139"/>
  <c r="IK86" i="139"/>
  <c r="IL86" i="139"/>
  <c r="IN86" i="139"/>
  <c r="IO86" i="139"/>
  <c r="IP86" i="139"/>
  <c r="IR86" i="139"/>
  <c r="IS86" i="139"/>
  <c r="IT86" i="139"/>
  <c r="IV86" i="139"/>
  <c r="IW86" i="139"/>
  <c r="IX86" i="139"/>
  <c r="IZ86" i="139"/>
  <c r="JA86" i="139"/>
  <c r="JB86" i="139"/>
  <c r="JD86" i="139"/>
  <c r="JE86" i="139"/>
  <c r="JF86" i="139"/>
  <c r="HA87" i="139"/>
  <c r="HB87" i="139"/>
  <c r="HD87" i="139"/>
  <c r="HE87" i="139"/>
  <c r="HF87" i="139"/>
  <c r="HH87" i="139"/>
  <c r="HI87" i="139"/>
  <c r="HJ87" i="139"/>
  <c r="HL87" i="139"/>
  <c r="HM87" i="139"/>
  <c r="HN87" i="139"/>
  <c r="HP87" i="139"/>
  <c r="HQ87" i="139"/>
  <c r="HR87" i="139"/>
  <c r="HT87" i="139"/>
  <c r="HU87" i="139"/>
  <c r="HV87" i="139"/>
  <c r="HX87" i="139"/>
  <c r="HY87" i="139"/>
  <c r="HZ87" i="139"/>
  <c r="IB87" i="139"/>
  <c r="IC87" i="139"/>
  <c r="ID87" i="139"/>
  <c r="IF87" i="139"/>
  <c r="IG87" i="139"/>
  <c r="IH87" i="139"/>
  <c r="IJ87" i="139"/>
  <c r="IK87" i="139"/>
  <c r="IL87" i="139"/>
  <c r="IN87" i="139"/>
  <c r="IO87" i="139"/>
  <c r="IP87" i="139"/>
  <c r="IR87" i="139"/>
  <c r="IS87" i="139"/>
  <c r="IT87" i="139"/>
  <c r="IV87" i="139"/>
  <c r="IW87" i="139"/>
  <c r="IX87" i="139"/>
  <c r="IZ87" i="139"/>
  <c r="JA87" i="139"/>
  <c r="JB87" i="139"/>
  <c r="JD87" i="139"/>
  <c r="JE87" i="139"/>
  <c r="JF87" i="139"/>
  <c r="HA88" i="139"/>
  <c r="HB88" i="139"/>
  <c r="HD88" i="139"/>
  <c r="HE88" i="139"/>
  <c r="HF88" i="139"/>
  <c r="HH88" i="139"/>
  <c r="HI88" i="139"/>
  <c r="HJ88" i="139"/>
  <c r="HL88" i="139"/>
  <c r="HM88" i="139"/>
  <c r="HN88" i="139"/>
  <c r="HP88" i="139"/>
  <c r="HQ88" i="139"/>
  <c r="HR88" i="139"/>
  <c r="HT88" i="139"/>
  <c r="HU88" i="139"/>
  <c r="HV88" i="139"/>
  <c r="HX88" i="139"/>
  <c r="HY88" i="139"/>
  <c r="HZ88" i="139"/>
  <c r="IB88" i="139"/>
  <c r="IC88" i="139"/>
  <c r="ID88" i="139"/>
  <c r="IF88" i="139"/>
  <c r="IG88" i="139"/>
  <c r="IH88" i="139"/>
  <c r="IJ88" i="139"/>
  <c r="IK88" i="139"/>
  <c r="IL88" i="139"/>
  <c r="IN88" i="139"/>
  <c r="IO88" i="139"/>
  <c r="IP88" i="139"/>
  <c r="IR88" i="139"/>
  <c r="IS88" i="139"/>
  <c r="IT88" i="139"/>
  <c r="IV88" i="139"/>
  <c r="IW88" i="139"/>
  <c r="IX88" i="139"/>
  <c r="IZ88" i="139"/>
  <c r="JA88" i="139"/>
  <c r="JB88" i="139"/>
  <c r="JD88" i="139"/>
  <c r="JE88" i="139"/>
  <c r="JF88" i="139"/>
  <c r="HA89" i="139"/>
  <c r="HB89" i="139"/>
  <c r="HD89" i="139"/>
  <c r="HE89" i="139"/>
  <c r="HF89" i="139"/>
  <c r="HH89" i="139"/>
  <c r="HI89" i="139"/>
  <c r="HJ89" i="139"/>
  <c r="HL89" i="139"/>
  <c r="HM89" i="139"/>
  <c r="HN89" i="139"/>
  <c r="HP89" i="139"/>
  <c r="HQ89" i="139"/>
  <c r="HR89" i="139"/>
  <c r="HT89" i="139"/>
  <c r="HU89" i="139"/>
  <c r="HV89" i="139"/>
  <c r="HX89" i="139"/>
  <c r="HY89" i="139"/>
  <c r="HZ89" i="139"/>
  <c r="IB89" i="139"/>
  <c r="IC89" i="139"/>
  <c r="ID89" i="139"/>
  <c r="IF89" i="139"/>
  <c r="IG89" i="139"/>
  <c r="IH89" i="139"/>
  <c r="IJ89" i="139"/>
  <c r="IK89" i="139"/>
  <c r="IL89" i="139"/>
  <c r="IN89" i="139"/>
  <c r="IO89" i="139"/>
  <c r="IP89" i="139"/>
  <c r="IR89" i="139"/>
  <c r="IS89" i="139"/>
  <c r="IT89" i="139"/>
  <c r="IV89" i="139"/>
  <c r="IW89" i="139"/>
  <c r="IX89" i="139"/>
  <c r="IZ89" i="139"/>
  <c r="JA89" i="139"/>
  <c r="JB89" i="139"/>
  <c r="JD89" i="139"/>
  <c r="JE89" i="139"/>
  <c r="JF89" i="139"/>
  <c r="HA90" i="139"/>
  <c r="HB90" i="139"/>
  <c r="HD90" i="139"/>
  <c r="HE90" i="139"/>
  <c r="HF90" i="139"/>
  <c r="HH90" i="139"/>
  <c r="HI90" i="139"/>
  <c r="HJ90" i="139"/>
  <c r="HL90" i="139"/>
  <c r="HM90" i="139"/>
  <c r="HN90" i="139"/>
  <c r="HP90" i="139"/>
  <c r="HQ90" i="139"/>
  <c r="HR90" i="139"/>
  <c r="HT90" i="139"/>
  <c r="HU90" i="139"/>
  <c r="HV90" i="139"/>
  <c r="HX90" i="139"/>
  <c r="HY90" i="139"/>
  <c r="HZ90" i="139"/>
  <c r="IB90" i="139"/>
  <c r="IC90" i="139"/>
  <c r="ID90" i="139"/>
  <c r="IF90" i="139"/>
  <c r="IG90" i="139"/>
  <c r="IH90" i="139"/>
  <c r="IJ90" i="139"/>
  <c r="IK90" i="139"/>
  <c r="IL90" i="139"/>
  <c r="IN90" i="139"/>
  <c r="IO90" i="139"/>
  <c r="IP90" i="139"/>
  <c r="IR90" i="139"/>
  <c r="IS90" i="139"/>
  <c r="IT90" i="139"/>
  <c r="IV90" i="139"/>
  <c r="IW90" i="139"/>
  <c r="IX90" i="139"/>
  <c r="IZ90" i="139"/>
  <c r="JA90" i="139"/>
  <c r="JB90" i="139"/>
  <c r="JD90" i="139"/>
  <c r="JE90" i="139"/>
  <c r="JF90" i="139"/>
  <c r="HA91" i="139"/>
  <c r="HB91" i="139"/>
  <c r="HD91" i="139"/>
  <c r="HE91" i="139"/>
  <c r="HF91" i="139"/>
  <c r="HH91" i="139"/>
  <c r="HI91" i="139"/>
  <c r="HJ91" i="139"/>
  <c r="HL91" i="139"/>
  <c r="HM91" i="139"/>
  <c r="HN91" i="139"/>
  <c r="HP91" i="139"/>
  <c r="HQ91" i="139"/>
  <c r="HR91" i="139"/>
  <c r="HT91" i="139"/>
  <c r="HU91" i="139"/>
  <c r="HV91" i="139"/>
  <c r="HX91" i="139"/>
  <c r="HY91" i="139"/>
  <c r="HZ91" i="139"/>
  <c r="IB91" i="139"/>
  <c r="IC91" i="139"/>
  <c r="ID91" i="139"/>
  <c r="IF91" i="139"/>
  <c r="IG91" i="139"/>
  <c r="IH91" i="139"/>
  <c r="IJ91" i="139"/>
  <c r="IK91" i="139"/>
  <c r="IL91" i="139"/>
  <c r="IN91" i="139"/>
  <c r="IO91" i="139"/>
  <c r="IP91" i="139"/>
  <c r="IR91" i="139"/>
  <c r="IS91" i="139"/>
  <c r="IT91" i="139"/>
  <c r="IV91" i="139"/>
  <c r="IW91" i="139"/>
  <c r="IX91" i="139"/>
  <c r="IZ91" i="139"/>
  <c r="JA91" i="139"/>
  <c r="JB91" i="139"/>
  <c r="JD91" i="139"/>
  <c r="JE91" i="139"/>
  <c r="JF91" i="139"/>
  <c r="HA92" i="139"/>
  <c r="HB92" i="139"/>
  <c r="HD92" i="139"/>
  <c r="HE92" i="139"/>
  <c r="HF92" i="139"/>
  <c r="HH92" i="139"/>
  <c r="HI92" i="139"/>
  <c r="HJ92" i="139"/>
  <c r="HL92" i="139"/>
  <c r="HM92" i="139"/>
  <c r="HN92" i="139"/>
  <c r="HP92" i="139"/>
  <c r="HQ92" i="139"/>
  <c r="HR92" i="139"/>
  <c r="HT92" i="139"/>
  <c r="HU92" i="139"/>
  <c r="HV92" i="139"/>
  <c r="HX92" i="139"/>
  <c r="HY92" i="139"/>
  <c r="HZ92" i="139"/>
  <c r="IB92" i="139"/>
  <c r="IC92" i="139"/>
  <c r="ID92" i="139"/>
  <c r="IF92" i="139"/>
  <c r="IG92" i="139"/>
  <c r="IH92" i="139"/>
  <c r="IJ92" i="139"/>
  <c r="IK92" i="139"/>
  <c r="IL92" i="139"/>
  <c r="IN92" i="139"/>
  <c r="IO92" i="139"/>
  <c r="IP92" i="139"/>
  <c r="IR92" i="139"/>
  <c r="IS92" i="139"/>
  <c r="IT92" i="139"/>
  <c r="IV92" i="139"/>
  <c r="IW92" i="139"/>
  <c r="IX92" i="139"/>
  <c r="IZ92" i="139"/>
  <c r="JA92" i="139"/>
  <c r="JB92" i="139"/>
  <c r="JD92" i="139"/>
  <c r="JE92" i="139"/>
  <c r="JF92" i="139"/>
  <c r="HA93" i="139"/>
  <c r="HB93" i="139"/>
  <c r="HD93" i="139"/>
  <c r="HE93" i="139"/>
  <c r="HF93" i="139"/>
  <c r="HH93" i="139"/>
  <c r="HI93" i="139"/>
  <c r="HJ93" i="139"/>
  <c r="HL93" i="139"/>
  <c r="HM93" i="139"/>
  <c r="HN93" i="139"/>
  <c r="HP93" i="139"/>
  <c r="HQ93" i="139"/>
  <c r="HR93" i="139"/>
  <c r="HT93" i="139"/>
  <c r="HU93" i="139"/>
  <c r="HV93" i="139"/>
  <c r="HX93" i="139"/>
  <c r="HY93" i="139"/>
  <c r="HZ93" i="139"/>
  <c r="IB93" i="139"/>
  <c r="IC93" i="139"/>
  <c r="ID93" i="139"/>
  <c r="IF93" i="139"/>
  <c r="IG93" i="139"/>
  <c r="IH93" i="139"/>
  <c r="IJ93" i="139"/>
  <c r="IK93" i="139"/>
  <c r="IL93" i="139"/>
  <c r="IN93" i="139"/>
  <c r="IO93" i="139"/>
  <c r="IP93" i="139"/>
  <c r="IR93" i="139"/>
  <c r="IS93" i="139"/>
  <c r="IT93" i="139"/>
  <c r="IV93" i="139"/>
  <c r="IW93" i="139"/>
  <c r="IX93" i="139"/>
  <c r="IZ93" i="139"/>
  <c r="JA93" i="139"/>
  <c r="JB93" i="139"/>
  <c r="JD93" i="139"/>
  <c r="JE93" i="139"/>
  <c r="JF93" i="139"/>
  <c r="HA94" i="139"/>
  <c r="HB94" i="139"/>
  <c r="HD94" i="139"/>
  <c r="HE94" i="139"/>
  <c r="HF94" i="139"/>
  <c r="HH94" i="139"/>
  <c r="HI94" i="139"/>
  <c r="HJ94" i="139"/>
  <c r="HL94" i="139"/>
  <c r="HM94" i="139"/>
  <c r="HN94" i="139"/>
  <c r="HP94" i="139"/>
  <c r="HQ94" i="139"/>
  <c r="HR94" i="139"/>
  <c r="HT94" i="139"/>
  <c r="HU94" i="139"/>
  <c r="HV94" i="139"/>
  <c r="HX94" i="139"/>
  <c r="HY94" i="139"/>
  <c r="HZ94" i="139"/>
  <c r="IB94" i="139"/>
  <c r="IC94" i="139"/>
  <c r="ID94" i="139"/>
  <c r="IF94" i="139"/>
  <c r="IG94" i="139"/>
  <c r="IH94" i="139"/>
  <c r="IJ94" i="139"/>
  <c r="IK94" i="139"/>
  <c r="IL94" i="139"/>
  <c r="IN94" i="139"/>
  <c r="IO94" i="139"/>
  <c r="IP94" i="139"/>
  <c r="IR94" i="139"/>
  <c r="IS94" i="139"/>
  <c r="IT94" i="139"/>
  <c r="IV94" i="139"/>
  <c r="IW94" i="139"/>
  <c r="IX94" i="139"/>
  <c r="IZ94" i="139"/>
  <c r="JA94" i="139"/>
  <c r="JB94" i="139"/>
  <c r="JD94" i="139"/>
  <c r="JE94" i="139"/>
  <c r="JF94" i="139"/>
  <c r="JH40" i="139" l="1"/>
  <c r="JH67" i="139" s="1"/>
  <c r="JH36" i="139"/>
  <c r="JH63" i="139" s="1"/>
  <c r="JH38" i="139"/>
  <c r="JH65" i="139" s="1"/>
  <c r="JH41" i="139"/>
  <c r="JH68" i="139" s="1"/>
  <c r="JH39" i="139"/>
  <c r="JH66" i="139" s="1"/>
  <c r="JH34" i="139"/>
  <c r="JH61" i="139" s="1"/>
  <c r="JH37" i="139"/>
  <c r="JH64" i="139" s="1"/>
  <c r="JH32" i="139"/>
  <c r="JH59" i="139" s="1"/>
  <c r="JH35" i="139"/>
  <c r="JH62" i="139" s="1"/>
  <c r="JH30" i="139"/>
  <c r="JH57" i="139" s="1"/>
  <c r="JH33" i="139"/>
  <c r="JH60" i="139" s="1"/>
  <c r="JH92" i="139"/>
  <c r="JH88" i="139"/>
  <c r="JH84" i="139"/>
  <c r="JH94" i="139"/>
  <c r="JH90" i="139"/>
  <c r="JH86" i="139"/>
  <c r="IY94" i="139"/>
  <c r="IM94" i="139"/>
  <c r="HG94" i="139"/>
  <c r="JC93" i="139"/>
  <c r="IM93" i="139"/>
  <c r="IA93" i="139"/>
  <c r="HO93" i="139"/>
  <c r="HC93" i="139"/>
  <c r="IY92" i="139"/>
  <c r="II92" i="139"/>
  <c r="HW92" i="139"/>
  <c r="HC92" i="139"/>
  <c r="JC91" i="139"/>
  <c r="IU91" i="139"/>
  <c r="IM91" i="139"/>
  <c r="IA91" i="139"/>
  <c r="HO91" i="139"/>
  <c r="HC91" i="139"/>
  <c r="IY90" i="139"/>
  <c r="II90" i="139"/>
  <c r="HS90" i="139"/>
  <c r="HG90" i="139"/>
  <c r="JC89" i="139"/>
  <c r="IQ89" i="139"/>
  <c r="IE89" i="139"/>
  <c r="HO89" i="139"/>
  <c r="HG89" i="139"/>
  <c r="JC88" i="139"/>
  <c r="IQ88" i="139"/>
  <c r="II88" i="139"/>
  <c r="HW88" i="139"/>
  <c r="HK88" i="139"/>
  <c r="JG87" i="139"/>
  <c r="IU87" i="139"/>
  <c r="IE87" i="139"/>
  <c r="HW87" i="139"/>
  <c r="HK87" i="139"/>
  <c r="JG86" i="139"/>
  <c r="IU86" i="139"/>
  <c r="II86" i="139"/>
  <c r="HO86" i="139"/>
  <c r="HG86" i="139"/>
  <c r="IY85" i="139"/>
  <c r="IE85" i="139"/>
  <c r="HS85" i="139"/>
  <c r="HC85" i="139"/>
  <c r="JC84" i="139"/>
  <c r="IY84" i="139"/>
  <c r="IQ84" i="139"/>
  <c r="IE84" i="139"/>
  <c r="HW84" i="139"/>
  <c r="HO84" i="139"/>
  <c r="HC84" i="139"/>
  <c r="JG28" i="139"/>
  <c r="JG33" i="139" s="1"/>
  <c r="JG60" i="139" s="1"/>
  <c r="JG83" i="139"/>
  <c r="IY28" i="139"/>
  <c r="IY83" i="139"/>
  <c r="IM28" i="139"/>
  <c r="IM36" i="139" s="1"/>
  <c r="IM63" i="139" s="1"/>
  <c r="IM83" i="139"/>
  <c r="II28" i="139"/>
  <c r="II39" i="139" s="1"/>
  <c r="II66" i="139" s="1"/>
  <c r="II83" i="139"/>
  <c r="IA28" i="139"/>
  <c r="IA83" i="139"/>
  <c r="HS28" i="139"/>
  <c r="HS31" i="139" s="1"/>
  <c r="HS58" i="139" s="1"/>
  <c r="HS83" i="139"/>
  <c r="HC28" i="139"/>
  <c r="HC33" i="139" s="1"/>
  <c r="HC60" i="139" s="1"/>
  <c r="HC83" i="139"/>
  <c r="JC94" i="139"/>
  <c r="IQ94" i="139"/>
  <c r="IE94" i="139"/>
  <c r="HW94" i="139"/>
  <c r="HK94" i="139"/>
  <c r="JG93" i="139"/>
  <c r="IY93" i="139"/>
  <c r="IQ93" i="139"/>
  <c r="IE93" i="139"/>
  <c r="HS93" i="139"/>
  <c r="HG93" i="139"/>
  <c r="JG92" i="139"/>
  <c r="JC92" i="139"/>
  <c r="IQ92" i="139"/>
  <c r="IM92" i="139"/>
  <c r="IA39" i="139"/>
  <c r="IA66" i="139" s="1"/>
  <c r="IA92" i="139"/>
  <c r="HO92" i="139"/>
  <c r="HG92" i="139"/>
  <c r="IQ91" i="139"/>
  <c r="IE91" i="139"/>
  <c r="HS91" i="139"/>
  <c r="HG91" i="139"/>
  <c r="JC90" i="139"/>
  <c r="IQ90" i="139"/>
  <c r="IE90" i="139"/>
  <c r="IA90" i="139"/>
  <c r="HO90" i="139"/>
  <c r="HC90" i="139"/>
  <c r="IY89" i="139"/>
  <c r="IM89" i="139"/>
  <c r="IA36" i="139"/>
  <c r="IA63" i="139" s="1"/>
  <c r="IA89" i="139"/>
  <c r="HS89" i="139"/>
  <c r="HC89" i="139"/>
  <c r="IY35" i="139"/>
  <c r="IY62" i="139" s="1"/>
  <c r="IY88" i="139"/>
  <c r="IM35" i="139"/>
  <c r="IM62" i="139" s="1"/>
  <c r="IM88" i="139"/>
  <c r="IA35" i="139"/>
  <c r="IA62" i="139" s="1"/>
  <c r="IA88" i="139"/>
  <c r="HO88" i="139"/>
  <c r="HC88" i="139"/>
  <c r="IY87" i="139"/>
  <c r="IM87" i="139"/>
  <c r="HG87" i="139"/>
  <c r="JC86" i="139"/>
  <c r="IQ86" i="139"/>
  <c r="IE86" i="139"/>
  <c r="HW86" i="139"/>
  <c r="HK86" i="139"/>
  <c r="JG85" i="139"/>
  <c r="IU85" i="139"/>
  <c r="II85" i="139"/>
  <c r="HW85" i="139"/>
  <c r="HK85" i="139"/>
  <c r="HS84" i="139"/>
  <c r="HG84" i="139"/>
  <c r="JC28" i="139"/>
  <c r="JC83" i="139"/>
  <c r="IU28" i="139"/>
  <c r="IU38" i="139" s="1"/>
  <c r="IU65" i="139" s="1"/>
  <c r="IU83" i="139"/>
  <c r="IQ28" i="139"/>
  <c r="IQ34" i="139" s="1"/>
  <c r="IQ61" i="139" s="1"/>
  <c r="IQ83" i="139"/>
  <c r="IE28" i="139"/>
  <c r="IE39" i="139" s="1"/>
  <c r="IE66" i="139" s="1"/>
  <c r="IE83" i="139"/>
  <c r="HW28" i="139"/>
  <c r="HW37" i="139" s="1"/>
  <c r="HW64" i="139" s="1"/>
  <c r="HW83" i="139"/>
  <c r="HO28" i="139"/>
  <c r="HO34" i="139" s="1"/>
  <c r="HO61" i="139" s="1"/>
  <c r="HO83" i="139"/>
  <c r="HG28" i="139"/>
  <c r="HG32" i="139" s="1"/>
  <c r="HG59" i="139" s="1"/>
  <c r="HG83" i="139"/>
  <c r="JG94" i="139"/>
  <c r="IU94" i="139"/>
  <c r="II94" i="139"/>
  <c r="IA41" i="139"/>
  <c r="IA68" i="139" s="1"/>
  <c r="IA94" i="139"/>
  <c r="HO94" i="139"/>
  <c r="HC94" i="139"/>
  <c r="IU40" i="139"/>
  <c r="IU67" i="139" s="1"/>
  <c r="IU93" i="139"/>
  <c r="II93" i="139"/>
  <c r="HW93" i="139"/>
  <c r="HK93" i="139"/>
  <c r="IE92" i="139"/>
  <c r="HS92" i="139"/>
  <c r="HK92" i="139"/>
  <c r="JG91" i="139"/>
  <c r="IY38" i="139"/>
  <c r="IY65" i="139" s="1"/>
  <c r="IY91" i="139"/>
  <c r="II91" i="139"/>
  <c r="HW38" i="139"/>
  <c r="HW65" i="139" s="1"/>
  <c r="HW91" i="139"/>
  <c r="HK91" i="139"/>
  <c r="JG90" i="139"/>
  <c r="IU90" i="139"/>
  <c r="IM37" i="139"/>
  <c r="IM64" i="139" s="1"/>
  <c r="IM90" i="139"/>
  <c r="HK90" i="139"/>
  <c r="JG89" i="139"/>
  <c r="IU89" i="139"/>
  <c r="II89" i="139"/>
  <c r="HW89" i="139"/>
  <c r="HK89" i="139"/>
  <c r="JG88" i="139"/>
  <c r="IU35" i="139"/>
  <c r="IU62" i="139" s="1"/>
  <c r="IU88" i="139"/>
  <c r="IE88" i="139"/>
  <c r="HS88" i="139"/>
  <c r="HG88" i="139"/>
  <c r="JC87" i="139"/>
  <c r="IQ87" i="139"/>
  <c r="II87" i="139"/>
  <c r="IA34" i="139"/>
  <c r="IA61" i="139" s="1"/>
  <c r="IA87" i="139"/>
  <c r="HO87" i="139"/>
  <c r="HC87" i="139"/>
  <c r="IY33" i="139"/>
  <c r="IY60" i="139" s="1"/>
  <c r="IY86" i="139"/>
  <c r="IM33" i="139"/>
  <c r="IM60" i="139" s="1"/>
  <c r="IM86" i="139"/>
  <c r="IA86" i="139"/>
  <c r="HS33" i="139"/>
  <c r="HS60" i="139" s="1"/>
  <c r="HS86" i="139"/>
  <c r="HC86" i="139"/>
  <c r="JC85" i="139"/>
  <c r="IQ85" i="139"/>
  <c r="IM32" i="139"/>
  <c r="IM59" i="139" s="1"/>
  <c r="IM85" i="139"/>
  <c r="IA85" i="139"/>
  <c r="HO85" i="139"/>
  <c r="HG85" i="139"/>
  <c r="JG84" i="139"/>
  <c r="IU31" i="139"/>
  <c r="IU58" i="139" s="1"/>
  <c r="IU84" i="139"/>
  <c r="IM31" i="139"/>
  <c r="IM58" i="139" s="1"/>
  <c r="IM84" i="139"/>
  <c r="II84" i="139"/>
  <c r="IA31" i="139"/>
  <c r="IA58" i="139" s="1"/>
  <c r="IA84" i="139"/>
  <c r="HK84" i="139"/>
  <c r="HK28" i="139"/>
  <c r="HK83" i="139"/>
  <c r="HS34" i="139"/>
  <c r="HS61" i="139" s="1"/>
  <c r="JE28" i="139"/>
  <c r="JF28" i="139"/>
  <c r="JF32" i="139" s="1"/>
  <c r="JF59" i="139" s="1"/>
  <c r="JA28" i="139"/>
  <c r="JB28" i="139"/>
  <c r="IX28" i="139"/>
  <c r="IS28" i="139"/>
  <c r="IT28" i="139"/>
  <c r="IO28" i="139"/>
  <c r="IP28" i="139"/>
  <c r="IK28" i="139"/>
  <c r="IG28" i="139"/>
  <c r="IH28" i="139"/>
  <c r="ID28" i="139"/>
  <c r="ID40" i="139" s="1"/>
  <c r="ID67" i="139" s="1"/>
  <c r="HY28" i="139"/>
  <c r="HZ28" i="139"/>
  <c r="HU28" i="139"/>
  <c r="HV28" i="139"/>
  <c r="HV36" i="139" s="1"/>
  <c r="HV63" i="139" s="1"/>
  <c r="HQ28" i="139"/>
  <c r="HR28" i="139"/>
  <c r="HM28" i="139"/>
  <c r="HN28" i="139"/>
  <c r="HN40" i="139" s="1"/>
  <c r="HN67" i="139" s="1"/>
  <c r="HJ28" i="139"/>
  <c r="HE28" i="139"/>
  <c r="HF28" i="139"/>
  <c r="HA28" i="139"/>
  <c r="HB28" i="139"/>
  <c r="IL28" i="139"/>
  <c r="II32" i="139" l="1"/>
  <c r="II59" i="139" s="1"/>
  <c r="JG35" i="139"/>
  <c r="JG62" i="139" s="1"/>
  <c r="HS35" i="139"/>
  <c r="HS62" i="139" s="1"/>
  <c r="IM34" i="139"/>
  <c r="IM61" i="139" s="1"/>
  <c r="HS36" i="139"/>
  <c r="HS63" i="139" s="1"/>
  <c r="HS40" i="139"/>
  <c r="HS67" i="139" s="1"/>
  <c r="IU36" i="139"/>
  <c r="IU63" i="139" s="1"/>
  <c r="IU37" i="139"/>
  <c r="IU64" i="139" s="1"/>
  <c r="IU41" i="139"/>
  <c r="IU68" i="139" s="1"/>
  <c r="II36" i="139"/>
  <c r="II63" i="139" s="1"/>
  <c r="JG41" i="139"/>
  <c r="JG68" i="139" s="1"/>
  <c r="II40" i="139"/>
  <c r="II67" i="139" s="1"/>
  <c r="JG39" i="139"/>
  <c r="JG66" i="139" s="1"/>
  <c r="IU39" i="139"/>
  <c r="IU66" i="139" s="1"/>
  <c r="JG38" i="139"/>
  <c r="JG65" i="139" s="1"/>
  <c r="HJ31" i="139"/>
  <c r="HJ58" i="139" s="1"/>
  <c r="IH36" i="139"/>
  <c r="IH63" i="139" s="1"/>
  <c r="IH31" i="139"/>
  <c r="IH58" i="139" s="1"/>
  <c r="IL36" i="139"/>
  <c r="IL63" i="139" s="1"/>
  <c r="IH41" i="139"/>
  <c r="IH68" i="139" s="1"/>
  <c r="HF30" i="139"/>
  <c r="HF57" i="139" s="1"/>
  <c r="ID30" i="139"/>
  <c r="ID57" i="139" s="1"/>
  <c r="JB32" i="139"/>
  <c r="JB59" i="139" s="1"/>
  <c r="ID38" i="139"/>
  <c r="ID65" i="139" s="1"/>
  <c r="IU30" i="139"/>
  <c r="IU57" i="139" s="1"/>
  <c r="IA37" i="139"/>
  <c r="IA64" i="139" s="1"/>
  <c r="JG40" i="139"/>
  <c r="JG67" i="139" s="1"/>
  <c r="HN33" i="139"/>
  <c r="HN60" i="139" s="1"/>
  <c r="IH38" i="139"/>
  <c r="IH65" i="139" s="1"/>
  <c r="HC36" i="139"/>
  <c r="HC63" i="139" s="1"/>
  <c r="IH30" i="139"/>
  <c r="IH57" i="139" s="1"/>
  <c r="IH35" i="139"/>
  <c r="IH62" i="139" s="1"/>
  <c r="IL38" i="139"/>
  <c r="IL65" i="139" s="1"/>
  <c r="HO41" i="139"/>
  <c r="HO68" i="139" s="1"/>
  <c r="HC30" i="139"/>
  <c r="HC57" i="139" s="1"/>
  <c r="IL30" i="139"/>
  <c r="IL57" i="139" s="1"/>
  <c r="JB30" i="139"/>
  <c r="JB57" i="139" s="1"/>
  <c r="HF34" i="139"/>
  <c r="HF61" i="139" s="1"/>
  <c r="HV32" i="139"/>
  <c r="HV59" i="139" s="1"/>
  <c r="HV34" i="139"/>
  <c r="HV61" i="139" s="1"/>
  <c r="HO32" i="139"/>
  <c r="HO59" i="139" s="1"/>
  <c r="IE35" i="139"/>
  <c r="IE62" i="139" s="1"/>
  <c r="ID32" i="139"/>
  <c r="ID59" i="139" s="1"/>
  <c r="JG36" i="139"/>
  <c r="JG63" i="139" s="1"/>
  <c r="II38" i="139"/>
  <c r="II65" i="139" s="1"/>
  <c r="HC41" i="139"/>
  <c r="HC68" i="139" s="1"/>
  <c r="IQ32" i="139"/>
  <c r="IQ59" i="139" s="1"/>
  <c r="IH34" i="139"/>
  <c r="IH61" i="139" s="1"/>
  <c r="HR37" i="139"/>
  <c r="HR64" i="139" s="1"/>
  <c r="IH39" i="139"/>
  <c r="IH66" i="139" s="1"/>
  <c r="HW36" i="139"/>
  <c r="HW63" i="139" s="1"/>
  <c r="HW40" i="139"/>
  <c r="HW67" i="139" s="1"/>
  <c r="II41" i="139"/>
  <c r="II68" i="139" s="1"/>
  <c r="IH32" i="139"/>
  <c r="IH59" i="139" s="1"/>
  <c r="JB34" i="139"/>
  <c r="JB61" i="139" s="1"/>
  <c r="IH37" i="139"/>
  <c r="IH64" i="139" s="1"/>
  <c r="IL39" i="139"/>
  <c r="IL66" i="139" s="1"/>
  <c r="II31" i="139"/>
  <c r="II58" i="139" s="1"/>
  <c r="JG31" i="139"/>
  <c r="JG58" i="139" s="1"/>
  <c r="IA32" i="139"/>
  <c r="IA59" i="139" s="1"/>
  <c r="JC32" i="139"/>
  <c r="JC59" i="139" s="1"/>
  <c r="IA33" i="139"/>
  <c r="IA60" i="139" s="1"/>
  <c r="HC34" i="139"/>
  <c r="HC61" i="139" s="1"/>
  <c r="II34" i="139"/>
  <c r="II61" i="139" s="1"/>
  <c r="HG35" i="139"/>
  <c r="HG62" i="139" s="1"/>
  <c r="JG37" i="139"/>
  <c r="JG64" i="139" s="1"/>
  <c r="HS39" i="139"/>
  <c r="HS66" i="139" s="1"/>
  <c r="HO30" i="139"/>
  <c r="HO57" i="139" s="1"/>
  <c r="IE30" i="139"/>
  <c r="IE57" i="139" s="1"/>
  <c r="JG32" i="139"/>
  <c r="JG59" i="139" s="1"/>
  <c r="HC35" i="139"/>
  <c r="HC62" i="139" s="1"/>
  <c r="HC37" i="139"/>
  <c r="HC64" i="139" s="1"/>
  <c r="IA30" i="139"/>
  <c r="IA57" i="139" s="1"/>
  <c r="JB31" i="139"/>
  <c r="JB58" i="139" s="1"/>
  <c r="HV39" i="139"/>
  <c r="HV66" i="139" s="1"/>
  <c r="JC34" i="139"/>
  <c r="JC61" i="139" s="1"/>
  <c r="HW30" i="139"/>
  <c r="HW57" i="139" s="1"/>
  <c r="IY34" i="139"/>
  <c r="IY61" i="139" s="1"/>
  <c r="HR41" i="139"/>
  <c r="HR68" i="139" s="1"/>
  <c r="HK36" i="139"/>
  <c r="HK63" i="139" s="1"/>
  <c r="HW32" i="139"/>
  <c r="HW59" i="139" s="1"/>
  <c r="HF33" i="139"/>
  <c r="HF60" i="139" s="1"/>
  <c r="HN34" i="139"/>
  <c r="HN61" i="139" s="1"/>
  <c r="HR35" i="139"/>
  <c r="HR62" i="139" s="1"/>
  <c r="HV40" i="139"/>
  <c r="HV67" i="139" s="1"/>
  <c r="IQ40" i="139"/>
  <c r="IQ67" i="139" s="1"/>
  <c r="HW41" i="139"/>
  <c r="HW68" i="139" s="1"/>
  <c r="IT37" i="139"/>
  <c r="IT64" i="139" s="1"/>
  <c r="IT41" i="139"/>
  <c r="IT68" i="139" s="1"/>
  <c r="HK39" i="139"/>
  <c r="HK66" i="139" s="1"/>
  <c r="HG38" i="139"/>
  <c r="HG65" i="139" s="1"/>
  <c r="HG39" i="139"/>
  <c r="HG66" i="139" s="1"/>
  <c r="HC38" i="139"/>
  <c r="HC65" i="139" s="1"/>
  <c r="HO40" i="139"/>
  <c r="HO67" i="139" s="1"/>
  <c r="HV30" i="139"/>
  <c r="HV57" i="139" s="1"/>
  <c r="HV31" i="139"/>
  <c r="HV58" i="139" s="1"/>
  <c r="HV33" i="139"/>
  <c r="HV60" i="139" s="1"/>
  <c r="IT35" i="139"/>
  <c r="IT62" i="139" s="1"/>
  <c r="IP36" i="139"/>
  <c r="IP63" i="139" s="1"/>
  <c r="HF38" i="139"/>
  <c r="HF65" i="139" s="1"/>
  <c r="IT38" i="139"/>
  <c r="IT65" i="139" s="1"/>
  <c r="IP39" i="139"/>
  <c r="IP66" i="139" s="1"/>
  <c r="IL40" i="139"/>
  <c r="IL67" i="139" s="1"/>
  <c r="HW33" i="139"/>
  <c r="HW60" i="139" s="1"/>
  <c r="IE37" i="139"/>
  <c r="IE64" i="139" s="1"/>
  <c r="IQ39" i="139"/>
  <c r="IQ66" i="139" s="1"/>
  <c r="IE41" i="139"/>
  <c r="IE68" i="139" s="1"/>
  <c r="HC32" i="139"/>
  <c r="HC59" i="139" s="1"/>
  <c r="HC39" i="139"/>
  <c r="HC66" i="139" s="1"/>
  <c r="IL32" i="139"/>
  <c r="IL59" i="139" s="1"/>
  <c r="ID33" i="139"/>
  <c r="ID60" i="139" s="1"/>
  <c r="IL34" i="139"/>
  <c r="IL61" i="139" s="1"/>
  <c r="JB35" i="139"/>
  <c r="JB62" i="139" s="1"/>
  <c r="IL33" i="139"/>
  <c r="IL60" i="139" s="1"/>
  <c r="HN38" i="139"/>
  <c r="HN65" i="139" s="1"/>
  <c r="JB38" i="139"/>
  <c r="JB65" i="139" s="1"/>
  <c r="JB39" i="139"/>
  <c r="JB66" i="139" s="1"/>
  <c r="IT40" i="139"/>
  <c r="IT67" i="139" s="1"/>
  <c r="HK31" i="139"/>
  <c r="HK58" i="139" s="1"/>
  <c r="IU32" i="139"/>
  <c r="IU59" i="139" s="1"/>
  <c r="HO35" i="139"/>
  <c r="HO62" i="139" s="1"/>
  <c r="HO39" i="139"/>
  <c r="HO66" i="139" s="1"/>
  <c r="HN30" i="139"/>
  <c r="HN57" i="139" s="1"/>
  <c r="IT30" i="139"/>
  <c r="IT57" i="139" s="1"/>
  <c r="IT31" i="139"/>
  <c r="IT58" i="139" s="1"/>
  <c r="IT32" i="139"/>
  <c r="IT59" i="139" s="1"/>
  <c r="IT33" i="139"/>
  <c r="IT60" i="139" s="1"/>
  <c r="IP34" i="139"/>
  <c r="IP61" i="139" s="1"/>
  <c r="HJ36" i="139"/>
  <c r="HJ63" i="139" s="1"/>
  <c r="JB36" i="139"/>
  <c r="JB63" i="139" s="1"/>
  <c r="HV38" i="139"/>
  <c r="HV65" i="139" s="1"/>
  <c r="HJ39" i="139"/>
  <c r="HJ66" i="139" s="1"/>
  <c r="HF40" i="139"/>
  <c r="HF67" i="139" s="1"/>
  <c r="JB40" i="139"/>
  <c r="JB67" i="139" s="1"/>
  <c r="IE33" i="139"/>
  <c r="IE60" i="139" s="1"/>
  <c r="HO37" i="139"/>
  <c r="HO64" i="139" s="1"/>
  <c r="IQ37" i="139"/>
  <c r="IQ64" i="139" s="1"/>
  <c r="IE38" i="139"/>
  <c r="IE65" i="139" s="1"/>
  <c r="IE40" i="139"/>
  <c r="IE67" i="139" s="1"/>
  <c r="IQ41" i="139"/>
  <c r="IQ68" i="139" s="1"/>
  <c r="JG30" i="139"/>
  <c r="JG57" i="139" s="1"/>
  <c r="HE30" i="139"/>
  <c r="HE57" i="139" s="1"/>
  <c r="HE31" i="139"/>
  <c r="HE58" i="139" s="1"/>
  <c r="HE32" i="139"/>
  <c r="HE59" i="139" s="1"/>
  <c r="HE33" i="139"/>
  <c r="HE60" i="139" s="1"/>
  <c r="HE34" i="139"/>
  <c r="HE61" i="139" s="1"/>
  <c r="HE35" i="139"/>
  <c r="HE62" i="139" s="1"/>
  <c r="HE36" i="139"/>
  <c r="HE63" i="139" s="1"/>
  <c r="HE37" i="139"/>
  <c r="HE64" i="139" s="1"/>
  <c r="HE40" i="139"/>
  <c r="HE67" i="139" s="1"/>
  <c r="HE41" i="139"/>
  <c r="HE68" i="139" s="1"/>
  <c r="HE38" i="139"/>
  <c r="HE65" i="139" s="1"/>
  <c r="HE39" i="139"/>
  <c r="HE66" i="139" s="1"/>
  <c r="IK30" i="139"/>
  <c r="IK57" i="139" s="1"/>
  <c r="IK31" i="139"/>
  <c r="IK58" i="139" s="1"/>
  <c r="IK32" i="139"/>
  <c r="IK59" i="139" s="1"/>
  <c r="IK33" i="139"/>
  <c r="IK60" i="139" s="1"/>
  <c r="IK34" i="139"/>
  <c r="IK61" i="139" s="1"/>
  <c r="IK35" i="139"/>
  <c r="IK62" i="139" s="1"/>
  <c r="IK36" i="139"/>
  <c r="IK63" i="139" s="1"/>
  <c r="IK37" i="139"/>
  <c r="IK64" i="139" s="1"/>
  <c r="IK39" i="139"/>
  <c r="IK66" i="139" s="1"/>
  <c r="IK40" i="139"/>
  <c r="IK67" i="139" s="1"/>
  <c r="IK41" i="139"/>
  <c r="IK68" i="139" s="1"/>
  <c r="IK38" i="139"/>
  <c r="IK65" i="139" s="1"/>
  <c r="HZ31" i="139"/>
  <c r="HZ58" i="139" s="1"/>
  <c r="HB32" i="139"/>
  <c r="HB59" i="139" s="1"/>
  <c r="IX33" i="139"/>
  <c r="IX60" i="139" s="1"/>
  <c r="HZ34" i="139"/>
  <c r="HZ61" i="139" s="1"/>
  <c r="HB35" i="139"/>
  <c r="HB62" i="139" s="1"/>
  <c r="HZ36" i="139"/>
  <c r="HZ63" i="139" s="1"/>
  <c r="JF34" i="139"/>
  <c r="JF61" i="139" s="1"/>
  <c r="HB37" i="139"/>
  <c r="HB64" i="139" s="1"/>
  <c r="IX37" i="139"/>
  <c r="IX64" i="139" s="1"/>
  <c r="HZ39" i="139"/>
  <c r="HZ66" i="139" s="1"/>
  <c r="JF39" i="139"/>
  <c r="JF66" i="139" s="1"/>
  <c r="HB41" i="139"/>
  <c r="HB68" i="139" s="1"/>
  <c r="IX41" i="139"/>
  <c r="IX68" i="139" s="1"/>
  <c r="HK33" i="139"/>
  <c r="HK60" i="139" s="1"/>
  <c r="JC33" i="139"/>
  <c r="JC60" i="139" s="1"/>
  <c r="IL35" i="139"/>
  <c r="IL62" i="139" s="1"/>
  <c r="IL31" i="139"/>
  <c r="IL58" i="139" s="1"/>
  <c r="HA30" i="139"/>
  <c r="HA57" i="139" s="1"/>
  <c r="HA31" i="139"/>
  <c r="HA58" i="139" s="1"/>
  <c r="HA32" i="139"/>
  <c r="HA59" i="139" s="1"/>
  <c r="HA33" i="139"/>
  <c r="HA60" i="139" s="1"/>
  <c r="HA34" i="139"/>
  <c r="HA61" i="139" s="1"/>
  <c r="HA35" i="139"/>
  <c r="HA62" i="139" s="1"/>
  <c r="HA36" i="139"/>
  <c r="HA63" i="139" s="1"/>
  <c r="HA37" i="139"/>
  <c r="HA64" i="139" s="1"/>
  <c r="HA40" i="139"/>
  <c r="HA67" i="139" s="1"/>
  <c r="HA41" i="139"/>
  <c r="HA68" i="139" s="1"/>
  <c r="HA39" i="139"/>
  <c r="HA66" i="139" s="1"/>
  <c r="HA38" i="139"/>
  <c r="HA65" i="139" s="1"/>
  <c r="HJ30" i="139"/>
  <c r="HJ57" i="139" s="1"/>
  <c r="HM30" i="139"/>
  <c r="HM57" i="139" s="1"/>
  <c r="HM31" i="139"/>
  <c r="HM58" i="139" s="1"/>
  <c r="HM32" i="139"/>
  <c r="HM59" i="139" s="1"/>
  <c r="HM33" i="139"/>
  <c r="HM60" i="139" s="1"/>
  <c r="HM34" i="139"/>
  <c r="HM61" i="139" s="1"/>
  <c r="HM35" i="139"/>
  <c r="HM62" i="139" s="1"/>
  <c r="HM36" i="139"/>
  <c r="HM63" i="139" s="1"/>
  <c r="HM37" i="139"/>
  <c r="HM64" i="139" s="1"/>
  <c r="HM39" i="139"/>
  <c r="HM66" i="139" s="1"/>
  <c r="HM40" i="139"/>
  <c r="HM67" i="139" s="1"/>
  <c r="HM41" i="139"/>
  <c r="HM68" i="139" s="1"/>
  <c r="HM38" i="139"/>
  <c r="HM65" i="139" s="1"/>
  <c r="HY30" i="139"/>
  <c r="HY57" i="139" s="1"/>
  <c r="HY31" i="139"/>
  <c r="HY58" i="139" s="1"/>
  <c r="HY32" i="139"/>
  <c r="HY59" i="139" s="1"/>
  <c r="HY33" i="139"/>
  <c r="HY60" i="139" s="1"/>
  <c r="HY34" i="139"/>
  <c r="HY61" i="139" s="1"/>
  <c r="HY35" i="139"/>
  <c r="HY62" i="139" s="1"/>
  <c r="HY36" i="139"/>
  <c r="HY63" i="139" s="1"/>
  <c r="HY37" i="139"/>
  <c r="HY64" i="139" s="1"/>
  <c r="HY38" i="139"/>
  <c r="HY65" i="139" s="1"/>
  <c r="HY39" i="139"/>
  <c r="HY66" i="139" s="1"/>
  <c r="HY40" i="139"/>
  <c r="HY67" i="139" s="1"/>
  <c r="HY41" i="139"/>
  <c r="HY68" i="139" s="1"/>
  <c r="IP30" i="139"/>
  <c r="IP57" i="139" s="1"/>
  <c r="JE30" i="139"/>
  <c r="JE57" i="139" s="1"/>
  <c r="JE31" i="139"/>
  <c r="JE58" i="139" s="1"/>
  <c r="JE32" i="139"/>
  <c r="JE59" i="139" s="1"/>
  <c r="JE33" i="139"/>
  <c r="JE60" i="139" s="1"/>
  <c r="JE34" i="139"/>
  <c r="JE61" i="139" s="1"/>
  <c r="JE35" i="139"/>
  <c r="JE62" i="139" s="1"/>
  <c r="JE36" i="139"/>
  <c r="JE63" i="139" s="1"/>
  <c r="JE38" i="139"/>
  <c r="JE65" i="139" s="1"/>
  <c r="JE39" i="139"/>
  <c r="JE66" i="139" s="1"/>
  <c r="JE40" i="139"/>
  <c r="JE67" i="139" s="1"/>
  <c r="JE41" i="139"/>
  <c r="JE68" i="139" s="1"/>
  <c r="JE37" i="139"/>
  <c r="JE64" i="139" s="1"/>
  <c r="HN31" i="139"/>
  <c r="HN58" i="139" s="1"/>
  <c r="ID31" i="139"/>
  <c r="ID58" i="139" s="1"/>
  <c r="IX31" i="139"/>
  <c r="IX58" i="139" s="1"/>
  <c r="HF32" i="139"/>
  <c r="HF59" i="139" s="1"/>
  <c r="HZ32" i="139"/>
  <c r="HZ59" i="139" s="1"/>
  <c r="IP32" i="139"/>
  <c r="IP59" i="139" s="1"/>
  <c r="HB33" i="139"/>
  <c r="HB60" i="139" s="1"/>
  <c r="HR33" i="139"/>
  <c r="HR60" i="139" s="1"/>
  <c r="IH33" i="139"/>
  <c r="IH60" i="139" s="1"/>
  <c r="JB33" i="139"/>
  <c r="JB60" i="139" s="1"/>
  <c r="HJ34" i="139"/>
  <c r="HJ61" i="139" s="1"/>
  <c r="ID34" i="139"/>
  <c r="ID61" i="139" s="1"/>
  <c r="IT34" i="139"/>
  <c r="IT61" i="139" s="1"/>
  <c r="HF35" i="139"/>
  <c r="HF62" i="139" s="1"/>
  <c r="HV35" i="139"/>
  <c r="HV62" i="139" s="1"/>
  <c r="IP35" i="139"/>
  <c r="IP62" i="139" s="1"/>
  <c r="JF35" i="139"/>
  <c r="JF62" i="139" s="1"/>
  <c r="HN36" i="139"/>
  <c r="HN63" i="139" s="1"/>
  <c r="ID36" i="139"/>
  <c r="ID63" i="139" s="1"/>
  <c r="IT36" i="139"/>
  <c r="IT63" i="139" s="1"/>
  <c r="IX36" i="139"/>
  <c r="IX63" i="139" s="1"/>
  <c r="HF37" i="139"/>
  <c r="HF64" i="139" s="1"/>
  <c r="HV37" i="139"/>
  <c r="HV64" i="139" s="1"/>
  <c r="IL37" i="139"/>
  <c r="IL64" i="139" s="1"/>
  <c r="JB37" i="139"/>
  <c r="JB64" i="139" s="1"/>
  <c r="HJ38" i="139"/>
  <c r="HJ65" i="139" s="1"/>
  <c r="HZ38" i="139"/>
  <c r="HZ65" i="139" s="1"/>
  <c r="IP38" i="139"/>
  <c r="IP65" i="139" s="1"/>
  <c r="JF38" i="139"/>
  <c r="JF65" i="139" s="1"/>
  <c r="HN39" i="139"/>
  <c r="HN66" i="139" s="1"/>
  <c r="ID39" i="139"/>
  <c r="ID66" i="139" s="1"/>
  <c r="IT39" i="139"/>
  <c r="IT66" i="139" s="1"/>
  <c r="HB40" i="139"/>
  <c r="HB67" i="139" s="1"/>
  <c r="HR40" i="139"/>
  <c r="HR67" i="139" s="1"/>
  <c r="IH40" i="139"/>
  <c r="IH67" i="139" s="1"/>
  <c r="IX40" i="139"/>
  <c r="IX67" i="139" s="1"/>
  <c r="HF41" i="139"/>
  <c r="HF68" i="139" s="1"/>
  <c r="HV41" i="139"/>
  <c r="HV68" i="139" s="1"/>
  <c r="IL41" i="139"/>
  <c r="IL68" i="139" s="1"/>
  <c r="JB41" i="139"/>
  <c r="JB68" i="139" s="1"/>
  <c r="HK30" i="139"/>
  <c r="HK57" i="139" s="1"/>
  <c r="HG30" i="139"/>
  <c r="HG57" i="139" s="1"/>
  <c r="IQ30" i="139"/>
  <c r="IQ57" i="139" s="1"/>
  <c r="HG40" i="139"/>
  <c r="HG67" i="139" s="1"/>
  <c r="II30" i="139"/>
  <c r="II57" i="139" s="1"/>
  <c r="IM30" i="139"/>
  <c r="IM57" i="139" s="1"/>
  <c r="HC31" i="139"/>
  <c r="HC58" i="139" s="1"/>
  <c r="HW31" i="139"/>
  <c r="HW58" i="139" s="1"/>
  <c r="IQ31" i="139"/>
  <c r="IQ58" i="139" s="1"/>
  <c r="JC31" i="139"/>
  <c r="JC58" i="139" s="1"/>
  <c r="HS32" i="139"/>
  <c r="HS59" i="139" s="1"/>
  <c r="IY32" i="139"/>
  <c r="IY59" i="139" s="1"/>
  <c r="HO33" i="139"/>
  <c r="HO60" i="139" s="1"/>
  <c r="IU33" i="139"/>
  <c r="IU60" i="139" s="1"/>
  <c r="HK34" i="139"/>
  <c r="HK61" i="139" s="1"/>
  <c r="IE34" i="139"/>
  <c r="IE61" i="139" s="1"/>
  <c r="JG34" i="139"/>
  <c r="JG61" i="139" s="1"/>
  <c r="HW35" i="139"/>
  <c r="HW62" i="139" s="1"/>
  <c r="IQ35" i="139"/>
  <c r="IQ62" i="139" s="1"/>
  <c r="HG36" i="139"/>
  <c r="HG63" i="139" s="1"/>
  <c r="IE36" i="139"/>
  <c r="IE63" i="139" s="1"/>
  <c r="JC36" i="139"/>
  <c r="JC63" i="139" s="1"/>
  <c r="HS37" i="139"/>
  <c r="HS64" i="139" s="1"/>
  <c r="IY37" i="139"/>
  <c r="IY64" i="139" s="1"/>
  <c r="HO38" i="139"/>
  <c r="HO65" i="139" s="1"/>
  <c r="IM38" i="139"/>
  <c r="IM65" i="139" s="1"/>
  <c r="JC38" i="139"/>
  <c r="JC65" i="139" s="1"/>
  <c r="HW39" i="139"/>
  <c r="HW66" i="139" s="1"/>
  <c r="IY39" i="139"/>
  <c r="IY66" i="139" s="1"/>
  <c r="IM40" i="139"/>
  <c r="IM67" i="139" s="1"/>
  <c r="HG41" i="139"/>
  <c r="HG68" i="139" s="1"/>
  <c r="IY41" i="139"/>
  <c r="IY68" i="139" s="1"/>
  <c r="JF30" i="139"/>
  <c r="JF57" i="139" s="1"/>
  <c r="HR30" i="139"/>
  <c r="HR57" i="139" s="1"/>
  <c r="HR34" i="139"/>
  <c r="HR61" i="139" s="1"/>
  <c r="HU30" i="139"/>
  <c r="HU57" i="139" s="1"/>
  <c r="HU31" i="139"/>
  <c r="HU58" i="139" s="1"/>
  <c r="HU32" i="139"/>
  <c r="HU59" i="139" s="1"/>
  <c r="HU33" i="139"/>
  <c r="HU60" i="139" s="1"/>
  <c r="HU34" i="139"/>
  <c r="HU61" i="139" s="1"/>
  <c r="HU35" i="139"/>
  <c r="HU62" i="139" s="1"/>
  <c r="HU36" i="139"/>
  <c r="HU63" i="139" s="1"/>
  <c r="HU37" i="139"/>
  <c r="HU64" i="139" s="1"/>
  <c r="HU39" i="139"/>
  <c r="HU66" i="139" s="1"/>
  <c r="HU40" i="139"/>
  <c r="HU67" i="139" s="1"/>
  <c r="HU41" i="139"/>
  <c r="HU68" i="139" s="1"/>
  <c r="HU38" i="139"/>
  <c r="HU65" i="139" s="1"/>
  <c r="IG30" i="139"/>
  <c r="IG57" i="139" s="1"/>
  <c r="IG31" i="139"/>
  <c r="IG58" i="139" s="1"/>
  <c r="IG32" i="139"/>
  <c r="IG59" i="139" s="1"/>
  <c r="IG33" i="139"/>
  <c r="IG60" i="139" s="1"/>
  <c r="IG34" i="139"/>
  <c r="IG61" i="139" s="1"/>
  <c r="IG35" i="139"/>
  <c r="IG62" i="139" s="1"/>
  <c r="IG36" i="139"/>
  <c r="IG63" i="139" s="1"/>
  <c r="IG37" i="139"/>
  <c r="IG64" i="139" s="1"/>
  <c r="IG39" i="139"/>
  <c r="IG66" i="139" s="1"/>
  <c r="IG40" i="139"/>
  <c r="IG67" i="139" s="1"/>
  <c r="IG41" i="139"/>
  <c r="IG68" i="139" s="1"/>
  <c r="IG38" i="139"/>
  <c r="IG65" i="139" s="1"/>
  <c r="IS30" i="139"/>
  <c r="IS57" i="139" s="1"/>
  <c r="IS31" i="139"/>
  <c r="IS58" i="139" s="1"/>
  <c r="IS32" i="139"/>
  <c r="IS59" i="139" s="1"/>
  <c r="IS33" i="139"/>
  <c r="IS60" i="139" s="1"/>
  <c r="IS34" i="139"/>
  <c r="IS61" i="139" s="1"/>
  <c r="IS35" i="139"/>
  <c r="IS62" i="139" s="1"/>
  <c r="IS36" i="139"/>
  <c r="IS63" i="139" s="1"/>
  <c r="IS37" i="139"/>
  <c r="IS64" i="139" s="1"/>
  <c r="IS39" i="139"/>
  <c r="IS66" i="139" s="1"/>
  <c r="IS40" i="139"/>
  <c r="IS67" i="139" s="1"/>
  <c r="IS41" i="139"/>
  <c r="IS68" i="139" s="1"/>
  <c r="IS38" i="139"/>
  <c r="IS65" i="139" s="1"/>
  <c r="HB31" i="139"/>
  <c r="HB58" i="139" s="1"/>
  <c r="HR31" i="139"/>
  <c r="HR58" i="139" s="1"/>
  <c r="HJ32" i="139"/>
  <c r="HJ59" i="139" s="1"/>
  <c r="IP33" i="139"/>
  <c r="IP60" i="139" s="1"/>
  <c r="JF33" i="139"/>
  <c r="JF60" i="139" s="1"/>
  <c r="IX34" i="139"/>
  <c r="IX61" i="139" s="1"/>
  <c r="HJ35" i="139"/>
  <c r="HJ62" i="139" s="1"/>
  <c r="HZ35" i="139"/>
  <c r="HZ62" i="139" s="1"/>
  <c r="HB36" i="139"/>
  <c r="HB63" i="139" s="1"/>
  <c r="HR36" i="139"/>
  <c r="HR63" i="139" s="1"/>
  <c r="HR32" i="139"/>
  <c r="HR59" i="139" s="1"/>
  <c r="HJ37" i="139"/>
  <c r="HJ64" i="139" s="1"/>
  <c r="HZ37" i="139"/>
  <c r="HZ64" i="139" s="1"/>
  <c r="IP37" i="139"/>
  <c r="IP64" i="139" s="1"/>
  <c r="JF37" i="139"/>
  <c r="JF64" i="139" s="1"/>
  <c r="HB39" i="139"/>
  <c r="HB66" i="139" s="1"/>
  <c r="HR39" i="139"/>
  <c r="HR66" i="139" s="1"/>
  <c r="IX39" i="139"/>
  <c r="IX66" i="139" s="1"/>
  <c r="HJ41" i="139"/>
  <c r="HJ68" i="139" s="1"/>
  <c r="HZ41" i="139"/>
  <c r="HZ68" i="139" s="1"/>
  <c r="IP41" i="139"/>
  <c r="IP68" i="139" s="1"/>
  <c r="JF41" i="139"/>
  <c r="JF68" i="139" s="1"/>
  <c r="HK37" i="139"/>
  <c r="HK64" i="139" s="1"/>
  <c r="HK38" i="139"/>
  <c r="HK65" i="139" s="1"/>
  <c r="HK40" i="139"/>
  <c r="HK67" i="139" s="1"/>
  <c r="HG31" i="139"/>
  <c r="HG58" i="139" s="1"/>
  <c r="HK32" i="139"/>
  <c r="HK59" i="139" s="1"/>
  <c r="IQ33" i="139"/>
  <c r="IQ60" i="139" s="1"/>
  <c r="HG34" i="139"/>
  <c r="HG61" i="139" s="1"/>
  <c r="IY36" i="139"/>
  <c r="IY63" i="139" s="1"/>
  <c r="JC37" i="139"/>
  <c r="JC64" i="139" s="1"/>
  <c r="HS38" i="139"/>
  <c r="HS65" i="139" s="1"/>
  <c r="IQ38" i="139"/>
  <c r="IQ65" i="139" s="1"/>
  <c r="IM39" i="139"/>
  <c r="IM66" i="139" s="1"/>
  <c r="JC39" i="139"/>
  <c r="JC66" i="139" s="1"/>
  <c r="IY40" i="139"/>
  <c r="IY67" i="139" s="1"/>
  <c r="HK41" i="139"/>
  <c r="HK68" i="139" s="1"/>
  <c r="JC41" i="139"/>
  <c r="JC68" i="139" s="1"/>
  <c r="HB30" i="139"/>
  <c r="HB57" i="139" s="1"/>
  <c r="HQ30" i="139"/>
  <c r="HQ57" i="139" s="1"/>
  <c r="HQ31" i="139"/>
  <c r="HQ58" i="139" s="1"/>
  <c r="HQ32" i="139"/>
  <c r="HQ59" i="139" s="1"/>
  <c r="HQ33" i="139"/>
  <c r="HQ60" i="139" s="1"/>
  <c r="HQ34" i="139"/>
  <c r="HQ61" i="139" s="1"/>
  <c r="HQ35" i="139"/>
  <c r="HQ62" i="139" s="1"/>
  <c r="HQ36" i="139"/>
  <c r="HQ63" i="139" s="1"/>
  <c r="HQ37" i="139"/>
  <c r="HQ64" i="139" s="1"/>
  <c r="HQ39" i="139"/>
  <c r="HQ66" i="139" s="1"/>
  <c r="HQ40" i="139"/>
  <c r="HQ67" i="139" s="1"/>
  <c r="HQ41" i="139"/>
  <c r="HQ68" i="139" s="1"/>
  <c r="HQ38" i="139"/>
  <c r="HQ65" i="139" s="1"/>
  <c r="HZ30" i="139"/>
  <c r="HZ57" i="139" s="1"/>
  <c r="IO30" i="139"/>
  <c r="IO57" i="139" s="1"/>
  <c r="IO31" i="139"/>
  <c r="IO58" i="139" s="1"/>
  <c r="IO32" i="139"/>
  <c r="IO59" i="139" s="1"/>
  <c r="IO33" i="139"/>
  <c r="IO60" i="139" s="1"/>
  <c r="IO34" i="139"/>
  <c r="IO61" i="139" s="1"/>
  <c r="IO35" i="139"/>
  <c r="IO62" i="139" s="1"/>
  <c r="IO36" i="139"/>
  <c r="IO63" i="139" s="1"/>
  <c r="IO37" i="139"/>
  <c r="IO64" i="139" s="1"/>
  <c r="IO38" i="139"/>
  <c r="IO65" i="139" s="1"/>
  <c r="IO39" i="139"/>
  <c r="IO66" i="139" s="1"/>
  <c r="IO40" i="139"/>
  <c r="IO67" i="139" s="1"/>
  <c r="IO41" i="139"/>
  <c r="IO68" i="139" s="1"/>
  <c r="IX30" i="139"/>
  <c r="IX57" i="139" s="1"/>
  <c r="JA30" i="139"/>
  <c r="JA57" i="139" s="1"/>
  <c r="JA31" i="139"/>
  <c r="JA58" i="139" s="1"/>
  <c r="JA32" i="139"/>
  <c r="JA59" i="139" s="1"/>
  <c r="JA33" i="139"/>
  <c r="JA60" i="139" s="1"/>
  <c r="JA34" i="139"/>
  <c r="JA61" i="139" s="1"/>
  <c r="JA35" i="139"/>
  <c r="JA62" i="139" s="1"/>
  <c r="JA36" i="139"/>
  <c r="JA63" i="139" s="1"/>
  <c r="JA37" i="139"/>
  <c r="JA64" i="139" s="1"/>
  <c r="JA39" i="139"/>
  <c r="JA66" i="139" s="1"/>
  <c r="JA40" i="139"/>
  <c r="JA67" i="139" s="1"/>
  <c r="JA41" i="139"/>
  <c r="JA68" i="139" s="1"/>
  <c r="JA38" i="139"/>
  <c r="JA65" i="139" s="1"/>
  <c r="HF31" i="139"/>
  <c r="HF58" i="139" s="1"/>
  <c r="IP31" i="139"/>
  <c r="IP58" i="139" s="1"/>
  <c r="JF31" i="139"/>
  <c r="JF58" i="139" s="1"/>
  <c r="HN32" i="139"/>
  <c r="HN59" i="139" s="1"/>
  <c r="IX32" i="139"/>
  <c r="IX59" i="139" s="1"/>
  <c r="HJ33" i="139"/>
  <c r="HJ60" i="139" s="1"/>
  <c r="HZ33" i="139"/>
  <c r="HZ60" i="139" s="1"/>
  <c r="HB34" i="139"/>
  <c r="HB61" i="139" s="1"/>
  <c r="HN35" i="139"/>
  <c r="HN62" i="139" s="1"/>
  <c r="ID35" i="139"/>
  <c r="ID62" i="139" s="1"/>
  <c r="IX35" i="139"/>
  <c r="IX62" i="139" s="1"/>
  <c r="HF36" i="139"/>
  <c r="HF63" i="139" s="1"/>
  <c r="JF36" i="139"/>
  <c r="JF63" i="139" s="1"/>
  <c r="HN37" i="139"/>
  <c r="HN64" i="139" s="1"/>
  <c r="ID37" i="139"/>
  <c r="ID64" i="139" s="1"/>
  <c r="HB38" i="139"/>
  <c r="HB65" i="139" s="1"/>
  <c r="HR38" i="139"/>
  <c r="HR65" i="139" s="1"/>
  <c r="IX38" i="139"/>
  <c r="IX65" i="139" s="1"/>
  <c r="HF39" i="139"/>
  <c r="HF66" i="139" s="1"/>
  <c r="HJ40" i="139"/>
  <c r="HJ67" i="139" s="1"/>
  <c r="HZ40" i="139"/>
  <c r="HZ67" i="139" s="1"/>
  <c r="IP40" i="139"/>
  <c r="IP67" i="139" s="1"/>
  <c r="JF40" i="139"/>
  <c r="JF67" i="139" s="1"/>
  <c r="HN41" i="139"/>
  <c r="HN68" i="139" s="1"/>
  <c r="ID41" i="139"/>
  <c r="ID68" i="139" s="1"/>
  <c r="HS41" i="139"/>
  <c r="HS68" i="139" s="1"/>
  <c r="JC30" i="139"/>
  <c r="JC57" i="139" s="1"/>
  <c r="HS30" i="139"/>
  <c r="HS57" i="139" s="1"/>
  <c r="IY30" i="139"/>
  <c r="IY57" i="139" s="1"/>
  <c r="HO31" i="139"/>
  <c r="HO58" i="139" s="1"/>
  <c r="IE31" i="139"/>
  <c r="IE58" i="139" s="1"/>
  <c r="IY31" i="139"/>
  <c r="IY58" i="139" s="1"/>
  <c r="IE32" i="139"/>
  <c r="IE59" i="139" s="1"/>
  <c r="HG33" i="139"/>
  <c r="HG60" i="139" s="1"/>
  <c r="II33" i="139"/>
  <c r="II60" i="139" s="1"/>
  <c r="HW34" i="139"/>
  <c r="HW61" i="139" s="1"/>
  <c r="IU34" i="139"/>
  <c r="IU61" i="139" s="1"/>
  <c r="HK35" i="139"/>
  <c r="HK62" i="139" s="1"/>
  <c r="II35" i="139"/>
  <c r="II62" i="139" s="1"/>
  <c r="JC35" i="139"/>
  <c r="JC62" i="139" s="1"/>
  <c r="HO36" i="139"/>
  <c r="HO63" i="139" s="1"/>
  <c r="IQ36" i="139"/>
  <c r="IQ63" i="139" s="1"/>
  <c r="HG37" i="139"/>
  <c r="HG64" i="139" s="1"/>
  <c r="II37" i="139"/>
  <c r="II64" i="139" s="1"/>
  <c r="IA38" i="139"/>
  <c r="IA65" i="139" s="1"/>
  <c r="HC40" i="139"/>
  <c r="HC67" i="139" s="1"/>
  <c r="IA40" i="139"/>
  <c r="IA67" i="139" s="1"/>
  <c r="JC40" i="139"/>
  <c r="JC67" i="139" s="1"/>
  <c r="IM41" i="139"/>
  <c r="IM68" i="139" s="1"/>
  <c r="GY28" i="139" l="1"/>
  <c r="GY31" i="139" s="1"/>
  <c r="GY58" i="139" s="1"/>
  <c r="GY38" i="139" l="1"/>
  <c r="GY65" i="139" s="1"/>
  <c r="GY36" i="139"/>
  <c r="GY63" i="139" s="1"/>
  <c r="GY40" i="139"/>
  <c r="GY67" i="139" s="1"/>
  <c r="GY41" i="139"/>
  <c r="GY68" i="139" s="1"/>
  <c r="GY32" i="139"/>
  <c r="GY59" i="139" s="1"/>
  <c r="GY30" i="139"/>
  <c r="GY57" i="139" s="1"/>
  <c r="GY37" i="139"/>
  <c r="GY64" i="139" s="1"/>
  <c r="GY35" i="139"/>
  <c r="GY62" i="139" s="1"/>
  <c r="GY39" i="139"/>
  <c r="GY66" i="139" s="1"/>
  <c r="GY34" i="139"/>
  <c r="GY61" i="139" s="1"/>
  <c r="GY33" i="139"/>
  <c r="GY60" i="139" s="1"/>
  <c r="GX28" i="139"/>
  <c r="GW28" i="139" s="1"/>
  <c r="GV28" i="139" s="1"/>
  <c r="GV36" i="139" l="1"/>
  <c r="GV63" i="139" s="1"/>
  <c r="GV31" i="139"/>
  <c r="GV58" i="139" s="1"/>
  <c r="GV30" i="139"/>
  <c r="GV57" i="139" s="1"/>
  <c r="GV33" i="139"/>
  <c r="GV60" i="139" s="1"/>
  <c r="GV37" i="139"/>
  <c r="GV64" i="139" s="1"/>
  <c r="GV32" i="139"/>
  <c r="GV59" i="139" s="1"/>
  <c r="GV40" i="139"/>
  <c r="GV67" i="139" s="1"/>
  <c r="GV39" i="139"/>
  <c r="GV66" i="139" s="1"/>
  <c r="GV38" i="139"/>
  <c r="GV65" i="139" s="1"/>
  <c r="GV34" i="139"/>
  <c r="GV61" i="139" s="1"/>
  <c r="GV35" i="139"/>
  <c r="GV62" i="139" s="1"/>
  <c r="GV41" i="139"/>
  <c r="GV68" i="139" s="1"/>
  <c r="GU28" i="139"/>
  <c r="GX32" i="139"/>
  <c r="GX59" i="139" s="1"/>
  <c r="GW30" i="139"/>
  <c r="GW57" i="139" s="1"/>
  <c r="GW32" i="139"/>
  <c r="GW59" i="139" s="1"/>
  <c r="GW34" i="139"/>
  <c r="GW61" i="139" s="1"/>
  <c r="GW36" i="139"/>
  <c r="GW63" i="139" s="1"/>
  <c r="GW31" i="139"/>
  <c r="GW58" i="139" s="1"/>
  <c r="GW33" i="139"/>
  <c r="GW60" i="139" s="1"/>
  <c r="GW35" i="139"/>
  <c r="GW62" i="139" s="1"/>
  <c r="GW41" i="139"/>
  <c r="GW68" i="139" s="1"/>
  <c r="GW39" i="139"/>
  <c r="GW66" i="139" s="1"/>
  <c r="GW40" i="139"/>
  <c r="GW67" i="139" s="1"/>
  <c r="GW38" i="139"/>
  <c r="GW65" i="139" s="1"/>
  <c r="GW37" i="139"/>
  <c r="GW64" i="139" s="1"/>
  <c r="GX34" i="139"/>
  <c r="GX61" i="139" s="1"/>
  <c r="GX30" i="139"/>
  <c r="GX57" i="139" s="1"/>
  <c r="GX36" i="139"/>
  <c r="GX63" i="139" s="1"/>
  <c r="GX40" i="139"/>
  <c r="GX67" i="139" s="1"/>
  <c r="GX33" i="139"/>
  <c r="GX60" i="139" s="1"/>
  <c r="GX37" i="139"/>
  <c r="GX64" i="139" s="1"/>
  <c r="GX31" i="139"/>
  <c r="GX58" i="139" s="1"/>
  <c r="GX41" i="139"/>
  <c r="GX68" i="139" s="1"/>
  <c r="GX39" i="139"/>
  <c r="GX66" i="139" s="1"/>
  <c r="GX35" i="139"/>
  <c r="GX62" i="139" s="1"/>
  <c r="GX38" i="139"/>
  <c r="GX65" i="139" s="1"/>
  <c r="GU30" i="139" l="1"/>
  <c r="GU57" i="139" s="1"/>
  <c r="GU34" i="139"/>
  <c r="GU61" i="139" s="1"/>
  <c r="GU39" i="139"/>
  <c r="GU66" i="139" s="1"/>
  <c r="GU40" i="139"/>
  <c r="GU67" i="139" s="1"/>
  <c r="GU41" i="139"/>
  <c r="GU68" i="139" s="1"/>
  <c r="GU33" i="139"/>
  <c r="GU60" i="139" s="1"/>
  <c r="GU37" i="139"/>
  <c r="GU64" i="139" s="1"/>
  <c r="GU32" i="139"/>
  <c r="GU59" i="139" s="1"/>
  <c r="GU36" i="139"/>
  <c r="GU63" i="139" s="1"/>
  <c r="GU35" i="139"/>
  <c r="GU62" i="139" s="1"/>
  <c r="GU31" i="139"/>
  <c r="GU58" i="139" s="1"/>
  <c r="GU38" i="139"/>
  <c r="GU65" i="139" s="1"/>
  <c r="GT28" i="139"/>
  <c r="GT41" i="139" l="1"/>
  <c r="GT68" i="139" s="1"/>
  <c r="GT32" i="139"/>
  <c r="GT59" i="139" s="1"/>
  <c r="GS28" i="139"/>
  <c r="GS31" i="139" s="1"/>
  <c r="GS58" i="139" s="1"/>
  <c r="GT35" i="139"/>
  <c r="GT62" i="139" s="1"/>
  <c r="GT34" i="139"/>
  <c r="GT61" i="139" s="1"/>
  <c r="GT38" i="139"/>
  <c r="GT65" i="139" s="1"/>
  <c r="GT37" i="139"/>
  <c r="GT64" i="139" s="1"/>
  <c r="GT40" i="139"/>
  <c r="GT67" i="139" s="1"/>
  <c r="GT33" i="139"/>
  <c r="GT60" i="139" s="1"/>
  <c r="GT31" i="139"/>
  <c r="GT58" i="139" s="1"/>
  <c r="GT39" i="139"/>
  <c r="GT66" i="139" s="1"/>
  <c r="GT36" i="139"/>
  <c r="GT63" i="139" s="1"/>
  <c r="GT30" i="139"/>
  <c r="GT57" i="139" s="1"/>
  <c r="GS30" i="139"/>
  <c r="GS57" i="139" s="1"/>
  <c r="GR28" i="139" l="1"/>
  <c r="GS37" i="139"/>
  <c r="GS64" i="139" s="1"/>
  <c r="GS34" i="139"/>
  <c r="GS61" i="139" s="1"/>
  <c r="GS39" i="139"/>
  <c r="GS66" i="139" s="1"/>
  <c r="GS32" i="139"/>
  <c r="GS59" i="139" s="1"/>
  <c r="GS38" i="139"/>
  <c r="GS65" i="139" s="1"/>
  <c r="GS41" i="139"/>
  <c r="GS68" i="139" s="1"/>
  <c r="GS40" i="139"/>
  <c r="GS67" i="139" s="1"/>
  <c r="GS36" i="139"/>
  <c r="GS63" i="139" s="1"/>
  <c r="GS35" i="139"/>
  <c r="GS62" i="139" s="1"/>
  <c r="GS33" i="139"/>
  <c r="GS60" i="139" s="1"/>
  <c r="JN56" i="139"/>
  <c r="GR41" i="139" l="1"/>
  <c r="GR68" i="139" s="1"/>
  <c r="GR35" i="139"/>
  <c r="GR62" i="139" s="1"/>
  <c r="GR40" i="139"/>
  <c r="GR67" i="139" s="1"/>
  <c r="GR34" i="139"/>
  <c r="GR61" i="139" s="1"/>
  <c r="GR38" i="139"/>
  <c r="GR65" i="139" s="1"/>
  <c r="GR33" i="139"/>
  <c r="GR60" i="139" s="1"/>
  <c r="GR37" i="139"/>
  <c r="GR64" i="139" s="1"/>
  <c r="GR36" i="139"/>
  <c r="GR63" i="139" s="1"/>
  <c r="GQ28" i="139"/>
  <c r="GR39" i="139"/>
  <c r="GR66" i="139" s="1"/>
  <c r="GR32" i="139"/>
  <c r="GR59" i="139" s="1"/>
  <c r="GR31" i="139"/>
  <c r="GR58" i="139" s="1"/>
  <c r="GR30" i="139"/>
  <c r="GR57" i="139" s="1"/>
  <c r="GQ37" i="139" l="1"/>
  <c r="GQ64" i="139" s="1"/>
  <c r="GP28" i="139"/>
  <c r="GQ30" i="139"/>
  <c r="GQ57" i="139" s="1"/>
  <c r="GQ35" i="139"/>
  <c r="GQ62" i="139" s="1"/>
  <c r="GQ36" i="139"/>
  <c r="GQ63" i="139" s="1"/>
  <c r="GQ40" i="139"/>
  <c r="GQ67" i="139" s="1"/>
  <c r="GQ34" i="139"/>
  <c r="GQ61" i="139" s="1"/>
  <c r="GQ32" i="139"/>
  <c r="GQ59" i="139" s="1"/>
  <c r="GQ41" i="139"/>
  <c r="GQ68" i="139" s="1"/>
  <c r="GQ33" i="139"/>
  <c r="GQ60" i="139" s="1"/>
  <c r="GQ38" i="139"/>
  <c r="GQ65" i="139" s="1"/>
  <c r="GQ39" i="139"/>
  <c r="GQ66" i="139" s="1"/>
  <c r="GQ31" i="139"/>
  <c r="GQ58" i="139" s="1"/>
  <c r="GP32" i="139" l="1"/>
  <c r="GP59" i="139" s="1"/>
  <c r="GP33" i="139"/>
  <c r="GP60" i="139" s="1"/>
  <c r="GP37" i="139"/>
  <c r="GP64" i="139" s="1"/>
  <c r="GP38" i="139"/>
  <c r="GP65" i="139" s="1"/>
  <c r="GP41" i="139"/>
  <c r="GP68" i="139" s="1"/>
  <c r="GP35" i="139"/>
  <c r="GP62" i="139" s="1"/>
  <c r="GP40" i="139"/>
  <c r="GP67" i="139" s="1"/>
  <c r="GP39" i="139"/>
  <c r="GP66" i="139" s="1"/>
  <c r="GP30" i="139"/>
  <c r="GP57" i="139" s="1"/>
  <c r="GP34" i="139"/>
  <c r="GP61" i="139" s="1"/>
  <c r="GP31" i="139"/>
  <c r="GP58" i="139" s="1"/>
  <c r="GO28" i="139"/>
  <c r="GP36" i="139"/>
  <c r="GP63" i="139" s="1"/>
  <c r="GO31" i="139" l="1"/>
  <c r="GO58" i="139" s="1"/>
  <c r="GO35" i="139"/>
  <c r="GO62" i="139" s="1"/>
  <c r="GO39" i="139"/>
  <c r="GO66" i="139" s="1"/>
  <c r="GO30" i="139"/>
  <c r="GO57" i="139" s="1"/>
  <c r="GO34" i="139"/>
  <c r="GO61" i="139" s="1"/>
  <c r="GO33" i="139"/>
  <c r="GO60" i="139" s="1"/>
  <c r="GN28" i="139"/>
  <c r="GO32" i="139"/>
  <c r="GO59" i="139" s="1"/>
  <c r="GO41" i="139"/>
  <c r="GO68" i="139" s="1"/>
  <c r="GO37" i="139"/>
  <c r="GO64" i="139" s="1"/>
  <c r="GO36" i="139"/>
  <c r="GO63" i="139" s="1"/>
  <c r="GO40" i="139"/>
  <c r="GO67" i="139" s="1"/>
  <c r="GO38" i="139"/>
  <c r="GO65" i="139" s="1"/>
  <c r="GN34" i="139" l="1"/>
  <c r="GN61" i="139" s="1"/>
  <c r="GN40" i="139"/>
  <c r="GN67" i="139" s="1"/>
  <c r="GN41" i="139"/>
  <c r="GN68" i="139" s="1"/>
  <c r="GN32" i="139"/>
  <c r="GN59" i="139" s="1"/>
  <c r="GM28" i="139"/>
  <c r="GN38" i="139"/>
  <c r="GN65" i="139" s="1"/>
  <c r="GN33" i="139"/>
  <c r="GN60" i="139" s="1"/>
  <c r="GN36" i="139"/>
  <c r="GN63" i="139" s="1"/>
  <c r="GN30" i="139"/>
  <c r="GN57" i="139" s="1"/>
  <c r="GN39" i="139"/>
  <c r="GN66" i="139" s="1"/>
  <c r="GN31" i="139"/>
  <c r="GN58" i="139" s="1"/>
  <c r="GN37" i="139"/>
  <c r="GN64" i="139" s="1"/>
  <c r="GN35" i="139"/>
  <c r="GN62" i="139" s="1"/>
  <c r="GM34" i="139" l="1"/>
  <c r="GM61" i="139" s="1"/>
  <c r="GM30" i="139"/>
  <c r="GM57" i="139" s="1"/>
  <c r="GM41" i="139"/>
  <c r="GM68" i="139" s="1"/>
  <c r="GM38" i="139"/>
  <c r="GM65" i="139" s="1"/>
  <c r="GM40" i="139"/>
  <c r="GM67" i="139" s="1"/>
  <c r="GL28" i="139"/>
  <c r="GM35" i="139"/>
  <c r="GM62" i="139" s="1"/>
  <c r="GM32" i="139"/>
  <c r="GM59" i="139" s="1"/>
  <c r="GM36" i="139"/>
  <c r="GM63" i="139" s="1"/>
  <c r="GM31" i="139"/>
  <c r="GM58" i="139" s="1"/>
  <c r="GM39" i="139"/>
  <c r="GM66" i="139" s="1"/>
  <c r="GM37" i="139"/>
  <c r="GM64" i="139" s="1"/>
  <c r="GM33" i="139"/>
  <c r="GM60" i="139" s="1"/>
  <c r="GL38" i="139" l="1"/>
  <c r="GL65" i="139" s="1"/>
  <c r="GL40" i="139"/>
  <c r="GL67" i="139" s="1"/>
  <c r="GL31" i="139"/>
  <c r="GL58" i="139" s="1"/>
  <c r="GL41" i="139"/>
  <c r="GL68" i="139" s="1"/>
  <c r="GK28" i="139"/>
  <c r="GL32" i="139"/>
  <c r="GL59" i="139" s="1"/>
  <c r="GL37" i="139"/>
  <c r="GL64" i="139" s="1"/>
  <c r="GL39" i="139"/>
  <c r="GL66" i="139" s="1"/>
  <c r="GL30" i="139"/>
  <c r="GL57" i="139" s="1"/>
  <c r="GL33" i="139"/>
  <c r="GL60" i="139" s="1"/>
  <c r="GL34" i="139"/>
  <c r="GL61" i="139" s="1"/>
  <c r="GL35" i="139"/>
  <c r="GL62" i="139" s="1"/>
  <c r="GL36" i="139"/>
  <c r="GL63" i="139" s="1"/>
  <c r="GK41" i="139" l="1"/>
  <c r="GK68" i="139" s="1"/>
  <c r="GK34" i="139"/>
  <c r="GK61" i="139" s="1"/>
  <c r="GK31" i="139"/>
  <c r="GK58" i="139" s="1"/>
  <c r="GK38" i="139"/>
  <c r="GK65" i="139" s="1"/>
  <c r="GK37" i="139"/>
  <c r="GK64" i="139" s="1"/>
  <c r="GK30" i="139"/>
  <c r="GK57" i="139" s="1"/>
  <c r="GK33" i="139"/>
  <c r="GK60" i="139" s="1"/>
  <c r="GJ28" i="139"/>
  <c r="GK32" i="139"/>
  <c r="GK59" i="139" s="1"/>
  <c r="GK35" i="139"/>
  <c r="GK62" i="139" s="1"/>
  <c r="GK39" i="139"/>
  <c r="GK66" i="139" s="1"/>
  <c r="GK36" i="139"/>
  <c r="GK63" i="139" s="1"/>
  <c r="GK40" i="139"/>
  <c r="GK67" i="139" s="1"/>
  <c r="GJ35" i="139" l="1"/>
  <c r="GJ62" i="139" s="1"/>
  <c r="GJ36" i="139"/>
  <c r="GJ63" i="139" s="1"/>
  <c r="GJ37" i="139"/>
  <c r="GJ64" i="139" s="1"/>
  <c r="GJ38" i="139"/>
  <c r="GJ65" i="139" s="1"/>
  <c r="GJ40" i="139"/>
  <c r="GJ67" i="139" s="1"/>
  <c r="GJ33" i="139"/>
  <c r="GJ60" i="139" s="1"/>
  <c r="GJ32" i="139"/>
  <c r="GJ59" i="139" s="1"/>
  <c r="GJ31" i="139"/>
  <c r="GJ58" i="139" s="1"/>
  <c r="GJ34" i="139"/>
  <c r="GJ61" i="139" s="1"/>
  <c r="GJ39" i="139"/>
  <c r="GJ66" i="139" s="1"/>
  <c r="GI28" i="139"/>
  <c r="GJ41" i="139"/>
  <c r="GJ68" i="139" s="1"/>
  <c r="GJ30" i="139"/>
  <c r="GJ57" i="139" s="1"/>
  <c r="GI32" i="139" l="1"/>
  <c r="GI59" i="139" s="1"/>
  <c r="GI41" i="139"/>
  <c r="GI68" i="139" s="1"/>
  <c r="GI40" i="139"/>
  <c r="GI67" i="139" s="1"/>
  <c r="GI38" i="139"/>
  <c r="GI65" i="139" s="1"/>
  <c r="GI33" i="139"/>
  <c r="GI60" i="139" s="1"/>
  <c r="GI31" i="139"/>
  <c r="GI58" i="139" s="1"/>
  <c r="GI35" i="139"/>
  <c r="GI62" i="139" s="1"/>
  <c r="GI34" i="139"/>
  <c r="GI61" i="139" s="1"/>
  <c r="GI39" i="139"/>
  <c r="GI66" i="139" s="1"/>
  <c r="GI37" i="139"/>
  <c r="GI64" i="139" s="1"/>
  <c r="GI36" i="139"/>
  <c r="GI63" i="139" s="1"/>
  <c r="GH28" i="139"/>
  <c r="GI30" i="139"/>
  <c r="GI57" i="139" s="1"/>
  <c r="GH35" i="139" l="1"/>
  <c r="GH62" i="139" s="1"/>
  <c r="GH37" i="139"/>
  <c r="GH64" i="139" s="1"/>
  <c r="GH36" i="139"/>
  <c r="GH63" i="139" s="1"/>
  <c r="GH41" i="139"/>
  <c r="GH68" i="139" s="1"/>
  <c r="GH34" i="139"/>
  <c r="GH61" i="139" s="1"/>
  <c r="GH30" i="139"/>
  <c r="GH57" i="139" s="1"/>
  <c r="GH38" i="139"/>
  <c r="GH65" i="139" s="1"/>
  <c r="GH31" i="139"/>
  <c r="GH58" i="139" s="1"/>
  <c r="GH40" i="139"/>
  <c r="GH67" i="139" s="1"/>
  <c r="GH39" i="139"/>
  <c r="GH66" i="139" s="1"/>
  <c r="GG28" i="139"/>
  <c r="GH33" i="139"/>
  <c r="GH60" i="139" s="1"/>
  <c r="GH32" i="139"/>
  <c r="GH59" i="139" s="1"/>
  <c r="GF28" i="139" l="1"/>
  <c r="GG36" i="139"/>
  <c r="GG63" i="139" s="1"/>
  <c r="GG30" i="139"/>
  <c r="GG57" i="139" s="1"/>
  <c r="GG37" i="139"/>
  <c r="GG64" i="139" s="1"/>
  <c r="GG41" i="139"/>
  <c r="GG68" i="139" s="1"/>
  <c r="GG33" i="139"/>
  <c r="GG60" i="139" s="1"/>
  <c r="GG32" i="139"/>
  <c r="GG59" i="139" s="1"/>
  <c r="GG40" i="139"/>
  <c r="GG67" i="139" s="1"/>
  <c r="GG35" i="139"/>
  <c r="GG62" i="139" s="1"/>
  <c r="GG34" i="139"/>
  <c r="GG61" i="139" s="1"/>
  <c r="GG38" i="139"/>
  <c r="GG65" i="139" s="1"/>
  <c r="GG39" i="139"/>
  <c r="GG66" i="139" s="1"/>
  <c r="GG31" i="139"/>
  <c r="GG58" i="139" s="1"/>
  <c r="GF36" i="139" l="1"/>
  <c r="GF63" i="139" s="1"/>
  <c r="GF41" i="139"/>
  <c r="GF68" i="139" s="1"/>
  <c r="GE28" i="139"/>
  <c r="GF35" i="139"/>
  <c r="GF62" i="139" s="1"/>
  <c r="GF34" i="139"/>
  <c r="GF61" i="139" s="1"/>
  <c r="GF38" i="139"/>
  <c r="GF65" i="139" s="1"/>
  <c r="GF37" i="139"/>
  <c r="GF64" i="139" s="1"/>
  <c r="GF32" i="139"/>
  <c r="GF59" i="139" s="1"/>
  <c r="GF31" i="139"/>
  <c r="GF58" i="139" s="1"/>
  <c r="GF40" i="139"/>
  <c r="GF67" i="139" s="1"/>
  <c r="GF33" i="139"/>
  <c r="GF60" i="139" s="1"/>
  <c r="GF39" i="139"/>
  <c r="GF66" i="139" s="1"/>
  <c r="GF30" i="139"/>
  <c r="GF57" i="139" s="1"/>
  <c r="GE35" i="139" l="1"/>
  <c r="GE62" i="139" s="1"/>
  <c r="GE30" i="139"/>
  <c r="GE57" i="139" s="1"/>
  <c r="GD28" i="139"/>
  <c r="GE33" i="139"/>
  <c r="GE60" i="139" s="1"/>
  <c r="GE31" i="139"/>
  <c r="GE58" i="139" s="1"/>
  <c r="GE34" i="139"/>
  <c r="GE61" i="139" s="1"/>
  <c r="GE37" i="139"/>
  <c r="GE64" i="139" s="1"/>
  <c r="GE39" i="139"/>
  <c r="GE66" i="139" s="1"/>
  <c r="GE38" i="139"/>
  <c r="GE65" i="139" s="1"/>
  <c r="GE36" i="139"/>
  <c r="GE63" i="139" s="1"/>
  <c r="GE41" i="139"/>
  <c r="GE68" i="139" s="1"/>
  <c r="GE32" i="139"/>
  <c r="GE59" i="139" s="1"/>
  <c r="GE40" i="139"/>
  <c r="GE67" i="139" s="1"/>
  <c r="GD30" i="139" l="1"/>
  <c r="GD57" i="139" s="1"/>
  <c r="GD35" i="139"/>
  <c r="GD62" i="139" s="1"/>
  <c r="GD41" i="139"/>
  <c r="GD68" i="139" s="1"/>
  <c r="GD40" i="139"/>
  <c r="GD67" i="139" s="1"/>
  <c r="GD36" i="139"/>
  <c r="GD63" i="139" s="1"/>
  <c r="GD37" i="139"/>
  <c r="GD64" i="139" s="1"/>
  <c r="GD33" i="139"/>
  <c r="GD60" i="139" s="1"/>
  <c r="GD38" i="139"/>
  <c r="GD65" i="139" s="1"/>
  <c r="GD32" i="139"/>
  <c r="GD59" i="139" s="1"/>
  <c r="GD39" i="139"/>
  <c r="GD66" i="139" s="1"/>
  <c r="GC28" i="139"/>
  <c r="GD31" i="139"/>
  <c r="GD58" i="139" s="1"/>
  <c r="GD34" i="139"/>
  <c r="GD61" i="139" s="1"/>
  <c r="GC31" i="139" l="1"/>
  <c r="GC58" i="139" s="1"/>
  <c r="GC35" i="139"/>
  <c r="GC62" i="139" s="1"/>
  <c r="GC38" i="139"/>
  <c r="GC65" i="139" s="1"/>
  <c r="GB28" i="139"/>
  <c r="GC37" i="139"/>
  <c r="GC64" i="139" s="1"/>
  <c r="GC39" i="139"/>
  <c r="GC66" i="139" s="1"/>
  <c r="GC33" i="139"/>
  <c r="GC60" i="139" s="1"/>
  <c r="GC40" i="139"/>
  <c r="GC67" i="139" s="1"/>
  <c r="GC41" i="139"/>
  <c r="GC68" i="139" s="1"/>
  <c r="GC30" i="139"/>
  <c r="GC57" i="139" s="1"/>
  <c r="GC34" i="139"/>
  <c r="GC61" i="139" s="1"/>
  <c r="GC32" i="139"/>
  <c r="GC59" i="139" s="1"/>
  <c r="GC36" i="139"/>
  <c r="GC63" i="139" s="1"/>
  <c r="GB33" i="139" l="1"/>
  <c r="GB60" i="139" s="1"/>
  <c r="GB38" i="139"/>
  <c r="GB65" i="139" s="1"/>
  <c r="GB31" i="139"/>
  <c r="GB58" i="139" s="1"/>
  <c r="GB37" i="139"/>
  <c r="GB64" i="139" s="1"/>
  <c r="GB30" i="139"/>
  <c r="GB57" i="139" s="1"/>
  <c r="GB34" i="139"/>
  <c r="GB61" i="139" s="1"/>
  <c r="GB39" i="139"/>
  <c r="GB66" i="139" s="1"/>
  <c r="GB35" i="139"/>
  <c r="GB62" i="139" s="1"/>
  <c r="GB36" i="139"/>
  <c r="GB63" i="139" s="1"/>
  <c r="GA28" i="139"/>
  <c r="GB41" i="139"/>
  <c r="GB68" i="139" s="1"/>
  <c r="GB32" i="139"/>
  <c r="GB59" i="139" s="1"/>
  <c r="GB40" i="139"/>
  <c r="GB67" i="139" s="1"/>
  <c r="GA38" i="139" l="1"/>
  <c r="GA65" i="139" s="1"/>
  <c r="GZ91" i="139" s="1"/>
  <c r="GA36" i="139"/>
  <c r="GA63" i="139" s="1"/>
  <c r="GZ89" i="139" s="1"/>
  <c r="FZ28" i="139"/>
  <c r="GA33" i="139"/>
  <c r="GA60" i="139" s="1"/>
  <c r="GZ86" i="139" s="1"/>
  <c r="GA31" i="139"/>
  <c r="GA58" i="139" s="1"/>
  <c r="GZ84" i="139" s="1"/>
  <c r="GA34" i="139"/>
  <c r="GA61" i="139" s="1"/>
  <c r="GZ87" i="139" s="1"/>
  <c r="GA32" i="139"/>
  <c r="GA59" i="139" s="1"/>
  <c r="GZ85" i="139" s="1"/>
  <c r="GA30" i="139"/>
  <c r="GA57" i="139" s="1"/>
  <c r="GZ83" i="139" s="1"/>
  <c r="GA40" i="139"/>
  <c r="GA67" i="139" s="1"/>
  <c r="GZ93" i="139" s="1"/>
  <c r="GA41" i="139"/>
  <c r="GA68" i="139" s="1"/>
  <c r="GZ94" i="139" s="1"/>
  <c r="GA35" i="139"/>
  <c r="GA62" i="139" s="1"/>
  <c r="GZ88" i="139" s="1"/>
  <c r="GA39" i="139"/>
  <c r="GA66" i="139" s="1"/>
  <c r="GZ92" i="139" s="1"/>
  <c r="GA37" i="139"/>
  <c r="GA64" i="139" s="1"/>
  <c r="GZ90" i="139" s="1"/>
  <c r="FZ38" i="139" l="1"/>
  <c r="FZ65" i="139" s="1"/>
  <c r="GY91" i="139" s="1"/>
  <c r="FZ30" i="139"/>
  <c r="FZ57" i="139" s="1"/>
  <c r="GY83" i="139" s="1"/>
  <c r="FZ41" i="139"/>
  <c r="FZ68" i="139" s="1"/>
  <c r="GY94" i="139" s="1"/>
  <c r="FY28" i="139"/>
  <c r="FZ31" i="139"/>
  <c r="FZ58" i="139" s="1"/>
  <c r="GY84" i="139" s="1"/>
  <c r="FZ32" i="139"/>
  <c r="FZ59" i="139" s="1"/>
  <c r="GY85" i="139" s="1"/>
  <c r="FZ34" i="139"/>
  <c r="FZ61" i="139" s="1"/>
  <c r="GY87" i="139" s="1"/>
  <c r="FZ35" i="139"/>
  <c r="FZ62" i="139" s="1"/>
  <c r="GY88" i="139" s="1"/>
  <c r="FZ36" i="139"/>
  <c r="FZ63" i="139" s="1"/>
  <c r="GY89" i="139" s="1"/>
  <c r="FZ40" i="139"/>
  <c r="FZ67" i="139" s="1"/>
  <c r="GY93" i="139" s="1"/>
  <c r="FZ37" i="139"/>
  <c r="FZ64" i="139" s="1"/>
  <c r="GY90" i="139" s="1"/>
  <c r="FZ33" i="139"/>
  <c r="FZ60" i="139" s="1"/>
  <c r="GY86" i="139" s="1"/>
  <c r="FZ39" i="139"/>
  <c r="FZ66" i="139" s="1"/>
  <c r="GY92" i="139" s="1"/>
  <c r="FX28" i="139" l="1"/>
  <c r="FY30" i="139"/>
  <c r="FY57" i="139" s="1"/>
  <c r="GX83" i="139" s="1"/>
  <c r="FY37" i="139"/>
  <c r="FY64" i="139" s="1"/>
  <c r="GX90" i="139" s="1"/>
  <c r="FY33" i="139"/>
  <c r="FY60" i="139" s="1"/>
  <c r="GX86" i="139" s="1"/>
  <c r="FY36" i="139"/>
  <c r="FY63" i="139" s="1"/>
  <c r="GX89" i="139" s="1"/>
  <c r="FY35" i="139"/>
  <c r="FY62" i="139" s="1"/>
  <c r="GX88" i="139" s="1"/>
  <c r="FY32" i="139"/>
  <c r="FY59" i="139" s="1"/>
  <c r="GX85" i="139" s="1"/>
  <c r="FY39" i="139"/>
  <c r="FY66" i="139" s="1"/>
  <c r="GX92" i="139" s="1"/>
  <c r="FY34" i="139"/>
  <c r="FY61" i="139" s="1"/>
  <c r="GX87" i="139" s="1"/>
  <c r="FY40" i="139"/>
  <c r="FY67" i="139" s="1"/>
  <c r="GX93" i="139" s="1"/>
  <c r="FY31" i="139"/>
  <c r="FY58" i="139" s="1"/>
  <c r="GX84" i="139" s="1"/>
  <c r="FY38" i="139"/>
  <c r="FY65" i="139" s="1"/>
  <c r="GX91" i="139" s="1"/>
  <c r="FY41" i="139"/>
  <c r="FY68" i="139" s="1"/>
  <c r="GX94" i="139" s="1"/>
  <c r="FX32" i="139" l="1"/>
  <c r="FX59" i="139" s="1"/>
  <c r="GW85" i="139" s="1"/>
  <c r="FX30" i="139"/>
  <c r="FX57" i="139" s="1"/>
  <c r="GW83" i="139" s="1"/>
  <c r="FX37" i="139"/>
  <c r="FX64" i="139" s="1"/>
  <c r="GW90" i="139" s="1"/>
  <c r="FX31" i="139"/>
  <c r="FX58" i="139" s="1"/>
  <c r="GW84" i="139" s="1"/>
  <c r="FX39" i="139"/>
  <c r="FX66" i="139" s="1"/>
  <c r="GW92" i="139" s="1"/>
  <c r="FX35" i="139"/>
  <c r="FX62" i="139" s="1"/>
  <c r="GW88" i="139" s="1"/>
  <c r="FX33" i="139"/>
  <c r="FX60" i="139" s="1"/>
  <c r="GW86" i="139" s="1"/>
  <c r="FX41" i="139"/>
  <c r="FX68" i="139" s="1"/>
  <c r="GW94" i="139" s="1"/>
  <c r="FX38" i="139"/>
  <c r="FX65" i="139" s="1"/>
  <c r="GW91" i="139" s="1"/>
  <c r="FX40" i="139"/>
  <c r="FX67" i="139" s="1"/>
  <c r="GW93" i="139" s="1"/>
  <c r="FX34" i="139"/>
  <c r="FX61" i="139" s="1"/>
  <c r="GW87" i="139" s="1"/>
  <c r="FW28" i="139"/>
  <c r="FX36" i="139"/>
  <c r="FX63" i="139" s="1"/>
  <c r="GW89" i="139" s="1"/>
  <c r="FW36" i="139" l="1"/>
  <c r="FW63" i="139" s="1"/>
  <c r="GV89" i="139" s="1"/>
  <c r="FW39" i="139"/>
  <c r="FW66" i="139" s="1"/>
  <c r="GV92" i="139" s="1"/>
  <c r="FW33" i="139"/>
  <c r="FW60" i="139" s="1"/>
  <c r="GV86" i="139" s="1"/>
  <c r="FW31" i="139"/>
  <c r="FW58" i="139" s="1"/>
  <c r="GV84" i="139" s="1"/>
  <c r="FW40" i="139"/>
  <c r="FW67" i="139" s="1"/>
  <c r="GV93" i="139" s="1"/>
  <c r="FW37" i="139"/>
  <c r="FW64" i="139" s="1"/>
  <c r="GV90" i="139" s="1"/>
  <c r="FW34" i="139"/>
  <c r="FW61" i="139" s="1"/>
  <c r="GV87" i="139" s="1"/>
  <c r="FW35" i="139"/>
  <c r="FW62" i="139" s="1"/>
  <c r="GV88" i="139" s="1"/>
  <c r="FW30" i="139"/>
  <c r="FW57" i="139" s="1"/>
  <c r="GV83" i="139" s="1"/>
  <c r="FV28" i="139"/>
  <c r="FW38" i="139"/>
  <c r="FW65" i="139" s="1"/>
  <c r="GV91" i="139" s="1"/>
  <c r="FW32" i="139"/>
  <c r="FW59" i="139" s="1"/>
  <c r="GV85" i="139" s="1"/>
  <c r="FW41" i="139"/>
  <c r="FW68" i="139" s="1"/>
  <c r="GV94" i="139" s="1"/>
  <c r="FV41" i="139" l="1"/>
  <c r="FV68" i="139" s="1"/>
  <c r="GU94" i="139" s="1"/>
  <c r="FV39" i="139"/>
  <c r="FV66" i="139" s="1"/>
  <c r="GU92" i="139" s="1"/>
  <c r="FV33" i="139"/>
  <c r="FV60" i="139" s="1"/>
  <c r="GU86" i="139" s="1"/>
  <c r="FV36" i="139"/>
  <c r="FV63" i="139" s="1"/>
  <c r="GU89" i="139" s="1"/>
  <c r="FV35" i="139"/>
  <c r="FV62" i="139" s="1"/>
  <c r="GU88" i="139" s="1"/>
  <c r="FV32" i="139"/>
  <c r="FV59" i="139" s="1"/>
  <c r="GU85" i="139" s="1"/>
  <c r="FV30" i="139"/>
  <c r="FV57" i="139" s="1"/>
  <c r="GU83" i="139" s="1"/>
  <c r="FU28" i="139"/>
  <c r="FV34" i="139"/>
  <c r="FV61" i="139" s="1"/>
  <c r="GU87" i="139" s="1"/>
  <c r="FV37" i="139"/>
  <c r="FV64" i="139" s="1"/>
  <c r="GU90" i="139" s="1"/>
  <c r="FV38" i="139"/>
  <c r="FV65" i="139" s="1"/>
  <c r="GU91" i="139" s="1"/>
  <c r="FV40" i="139"/>
  <c r="FV67" i="139" s="1"/>
  <c r="GU93" i="139" s="1"/>
  <c r="FV31" i="139"/>
  <c r="FV58" i="139" s="1"/>
  <c r="GU84" i="139" s="1"/>
  <c r="FU35" i="139" l="1"/>
  <c r="FU62" i="139" s="1"/>
  <c r="GT88" i="139" s="1"/>
  <c r="FU37" i="139"/>
  <c r="FU64" i="139" s="1"/>
  <c r="GT90" i="139" s="1"/>
  <c r="FU30" i="139"/>
  <c r="FU57" i="139" s="1"/>
  <c r="GT83" i="139" s="1"/>
  <c r="FU34" i="139"/>
  <c r="FU61" i="139" s="1"/>
  <c r="GT87" i="139" s="1"/>
  <c r="FU38" i="139"/>
  <c r="FU65" i="139" s="1"/>
  <c r="GT91" i="139" s="1"/>
  <c r="FT28" i="139"/>
  <c r="FU36" i="139"/>
  <c r="FU63" i="139" s="1"/>
  <c r="GT89" i="139" s="1"/>
  <c r="FU33" i="139"/>
  <c r="FU60" i="139" s="1"/>
  <c r="GT86" i="139" s="1"/>
  <c r="FU31" i="139"/>
  <c r="FU58" i="139" s="1"/>
  <c r="GT84" i="139" s="1"/>
  <c r="FU32" i="139"/>
  <c r="FU59" i="139" s="1"/>
  <c r="GT85" i="139" s="1"/>
  <c r="FU41" i="139"/>
  <c r="FU68" i="139" s="1"/>
  <c r="GT94" i="139" s="1"/>
  <c r="FU39" i="139"/>
  <c r="FU66" i="139" s="1"/>
  <c r="GT92" i="139" s="1"/>
  <c r="FU40" i="139"/>
  <c r="FU67" i="139" s="1"/>
  <c r="GT93" i="139" s="1"/>
  <c r="FT33" i="139" l="1"/>
  <c r="FT60" i="139" s="1"/>
  <c r="GS86" i="139" s="1"/>
  <c r="FT32" i="139"/>
  <c r="FT59" i="139" s="1"/>
  <c r="GS85" i="139" s="1"/>
  <c r="FT35" i="139"/>
  <c r="FT62" i="139" s="1"/>
  <c r="GS88" i="139" s="1"/>
  <c r="FT38" i="139"/>
  <c r="FT65" i="139" s="1"/>
  <c r="GS91" i="139" s="1"/>
  <c r="FT41" i="139"/>
  <c r="FT68" i="139" s="1"/>
  <c r="GS94" i="139" s="1"/>
  <c r="FT39" i="139"/>
  <c r="FT66" i="139" s="1"/>
  <c r="GS92" i="139" s="1"/>
  <c r="FT36" i="139"/>
  <c r="FT63" i="139" s="1"/>
  <c r="GS89" i="139" s="1"/>
  <c r="FT40" i="139"/>
  <c r="FT67" i="139" s="1"/>
  <c r="GS93" i="139" s="1"/>
  <c r="FT34" i="139"/>
  <c r="FT61" i="139" s="1"/>
  <c r="GS87" i="139" s="1"/>
  <c r="FT31" i="139"/>
  <c r="FT58" i="139" s="1"/>
  <c r="GS84" i="139" s="1"/>
  <c r="FT37" i="139"/>
  <c r="FT64" i="139" s="1"/>
  <c r="GS90" i="139" s="1"/>
  <c r="FT30" i="139"/>
  <c r="FT57" i="139" s="1"/>
  <c r="GS83" i="139" s="1"/>
  <c r="FS28" i="139"/>
  <c r="FS32" i="139" l="1"/>
  <c r="FS59" i="139" s="1"/>
  <c r="GR85" i="139" s="1"/>
  <c r="FS36" i="139"/>
  <c r="FS63" i="139" s="1"/>
  <c r="GR89" i="139" s="1"/>
  <c r="FR28" i="139"/>
  <c r="FS35" i="139"/>
  <c r="FS62" i="139" s="1"/>
  <c r="GR88" i="139" s="1"/>
  <c r="FS40" i="139"/>
  <c r="FS67" i="139" s="1"/>
  <c r="GR93" i="139" s="1"/>
  <c r="FS31" i="139"/>
  <c r="FS58" i="139" s="1"/>
  <c r="GR84" i="139" s="1"/>
  <c r="FS34" i="139"/>
  <c r="FS61" i="139" s="1"/>
  <c r="GR87" i="139" s="1"/>
  <c r="FS30" i="139"/>
  <c r="FS57" i="139" s="1"/>
  <c r="GR83" i="139" s="1"/>
  <c r="FS39" i="139"/>
  <c r="FS66" i="139" s="1"/>
  <c r="GR92" i="139" s="1"/>
  <c r="FS38" i="139"/>
  <c r="FS65" i="139" s="1"/>
  <c r="GR91" i="139" s="1"/>
  <c r="FS37" i="139"/>
  <c r="FS64" i="139" s="1"/>
  <c r="GR90" i="139" s="1"/>
  <c r="FS41" i="139"/>
  <c r="FS68" i="139" s="1"/>
  <c r="GR94" i="139" s="1"/>
  <c r="FS33" i="139"/>
  <c r="FS60" i="139" s="1"/>
  <c r="GR86" i="139" s="1"/>
  <c r="FR39" i="139" l="1"/>
  <c r="FR66" i="139" s="1"/>
  <c r="GQ92" i="139" s="1"/>
  <c r="FR37" i="139"/>
  <c r="FR64" i="139" s="1"/>
  <c r="GQ90" i="139" s="1"/>
  <c r="FR41" i="139"/>
  <c r="FR68" i="139" s="1"/>
  <c r="GQ94" i="139" s="1"/>
  <c r="FQ28" i="139"/>
  <c r="FR30" i="139"/>
  <c r="FR57" i="139" s="1"/>
  <c r="GQ83" i="139" s="1"/>
  <c r="FR34" i="139"/>
  <c r="FR61" i="139" s="1"/>
  <c r="GQ87" i="139" s="1"/>
  <c r="FR32" i="139"/>
  <c r="FR59" i="139" s="1"/>
  <c r="GQ85" i="139" s="1"/>
  <c r="FR31" i="139"/>
  <c r="FR58" i="139" s="1"/>
  <c r="GQ84" i="139" s="1"/>
  <c r="FR35" i="139"/>
  <c r="FR62" i="139" s="1"/>
  <c r="GQ88" i="139" s="1"/>
  <c r="FR33" i="139"/>
  <c r="FR60" i="139" s="1"/>
  <c r="GQ86" i="139" s="1"/>
  <c r="FR38" i="139"/>
  <c r="FR65" i="139" s="1"/>
  <c r="GQ91" i="139" s="1"/>
  <c r="FR36" i="139"/>
  <c r="FR63" i="139" s="1"/>
  <c r="GQ89" i="139" s="1"/>
  <c r="FR40" i="139"/>
  <c r="FR67" i="139" s="1"/>
  <c r="GQ93" i="139" s="1"/>
  <c r="FQ34" i="139" l="1"/>
  <c r="FQ61" i="139" s="1"/>
  <c r="GP87" i="139" s="1"/>
  <c r="FQ38" i="139"/>
  <c r="FQ65" i="139" s="1"/>
  <c r="GP91" i="139" s="1"/>
  <c r="FQ39" i="139"/>
  <c r="FQ66" i="139" s="1"/>
  <c r="GP92" i="139" s="1"/>
  <c r="FP28" i="139"/>
  <c r="FQ35" i="139"/>
  <c r="FQ62" i="139" s="1"/>
  <c r="GP88" i="139" s="1"/>
  <c r="FQ37" i="139"/>
  <c r="FQ64" i="139" s="1"/>
  <c r="GP90" i="139" s="1"/>
  <c r="FQ41" i="139"/>
  <c r="FQ68" i="139" s="1"/>
  <c r="GP94" i="139" s="1"/>
  <c r="FQ33" i="139"/>
  <c r="FQ60" i="139" s="1"/>
  <c r="GP86" i="139" s="1"/>
  <c r="FQ30" i="139"/>
  <c r="FQ57" i="139" s="1"/>
  <c r="GP83" i="139" s="1"/>
  <c r="FQ36" i="139"/>
  <c r="FQ63" i="139" s="1"/>
  <c r="GP89" i="139" s="1"/>
  <c r="FQ40" i="139"/>
  <c r="FQ67" i="139" s="1"/>
  <c r="GP93" i="139" s="1"/>
  <c r="FQ32" i="139"/>
  <c r="FQ59" i="139" s="1"/>
  <c r="GP85" i="139" s="1"/>
  <c r="FQ31" i="139"/>
  <c r="FQ58" i="139" s="1"/>
  <c r="GP84" i="139" s="1"/>
  <c r="FP31" i="139" l="1"/>
  <c r="FP58" i="139" s="1"/>
  <c r="GO84" i="139" s="1"/>
  <c r="FO28" i="139"/>
  <c r="FP38" i="139"/>
  <c r="FP65" i="139" s="1"/>
  <c r="GO91" i="139" s="1"/>
  <c r="FP30" i="139"/>
  <c r="FP57" i="139" s="1"/>
  <c r="GO83" i="139" s="1"/>
  <c r="FP35" i="139"/>
  <c r="FP62" i="139" s="1"/>
  <c r="GO88" i="139" s="1"/>
  <c r="FP39" i="139"/>
  <c r="FP66" i="139" s="1"/>
  <c r="GO92" i="139" s="1"/>
  <c r="FP36" i="139"/>
  <c r="FP63" i="139" s="1"/>
  <c r="GO89" i="139" s="1"/>
  <c r="FP34" i="139"/>
  <c r="FP61" i="139" s="1"/>
  <c r="GO87" i="139" s="1"/>
  <c r="FP40" i="139"/>
  <c r="FP67" i="139" s="1"/>
  <c r="GO93" i="139" s="1"/>
  <c r="FP37" i="139"/>
  <c r="FP64" i="139" s="1"/>
  <c r="GO90" i="139" s="1"/>
  <c r="FP32" i="139"/>
  <c r="FP59" i="139" s="1"/>
  <c r="GO85" i="139" s="1"/>
  <c r="FP33" i="139"/>
  <c r="FP60" i="139" s="1"/>
  <c r="GO86" i="139" s="1"/>
  <c r="FP41" i="139"/>
  <c r="FP68" i="139" s="1"/>
  <c r="GO94" i="139" s="1"/>
  <c r="FN28" i="139" l="1"/>
  <c r="FO31" i="139"/>
  <c r="FO58" i="139" s="1"/>
  <c r="GN84" i="139" s="1"/>
  <c r="FO34" i="139"/>
  <c r="FO61" i="139" s="1"/>
  <c r="GN87" i="139" s="1"/>
  <c r="FO39" i="139"/>
  <c r="FO66" i="139" s="1"/>
  <c r="GN92" i="139" s="1"/>
  <c r="FO32" i="139"/>
  <c r="FO59" i="139" s="1"/>
  <c r="GN85" i="139" s="1"/>
  <c r="FO36" i="139"/>
  <c r="FO63" i="139" s="1"/>
  <c r="GN89" i="139" s="1"/>
  <c r="FO40" i="139"/>
  <c r="FO67" i="139" s="1"/>
  <c r="GN93" i="139" s="1"/>
  <c r="FO30" i="139"/>
  <c r="FO57" i="139" s="1"/>
  <c r="GN83" i="139" s="1"/>
  <c r="FO33" i="139"/>
  <c r="FO60" i="139" s="1"/>
  <c r="GN86" i="139" s="1"/>
  <c r="FO35" i="139"/>
  <c r="FO62" i="139" s="1"/>
  <c r="GN88" i="139" s="1"/>
  <c r="FO37" i="139"/>
  <c r="FO64" i="139" s="1"/>
  <c r="GN90" i="139" s="1"/>
  <c r="FO41" i="139"/>
  <c r="FO68" i="139" s="1"/>
  <c r="GN94" i="139" s="1"/>
  <c r="FO38" i="139"/>
  <c r="FO65" i="139" s="1"/>
  <c r="GN91" i="139" s="1"/>
  <c r="FN34" i="139" l="1"/>
  <c r="FN61" i="139" s="1"/>
  <c r="GM87" i="139" s="1"/>
  <c r="FN39" i="139"/>
  <c r="FN66" i="139" s="1"/>
  <c r="GM92" i="139" s="1"/>
  <c r="FN41" i="139"/>
  <c r="FN68" i="139" s="1"/>
  <c r="GM94" i="139" s="1"/>
  <c r="FN36" i="139"/>
  <c r="FN63" i="139" s="1"/>
  <c r="GM89" i="139" s="1"/>
  <c r="FN35" i="139"/>
  <c r="FN62" i="139" s="1"/>
  <c r="GM88" i="139" s="1"/>
  <c r="FN31" i="139"/>
  <c r="FN58" i="139" s="1"/>
  <c r="GM84" i="139" s="1"/>
  <c r="FN40" i="139"/>
  <c r="FN67" i="139" s="1"/>
  <c r="GM93" i="139" s="1"/>
  <c r="FN30" i="139"/>
  <c r="FN57" i="139" s="1"/>
  <c r="GM83" i="139" s="1"/>
  <c r="FN32" i="139"/>
  <c r="FN59" i="139" s="1"/>
  <c r="GM85" i="139" s="1"/>
  <c r="FN33" i="139"/>
  <c r="FN60" i="139" s="1"/>
  <c r="GM86" i="139" s="1"/>
  <c r="FN38" i="139"/>
  <c r="FN65" i="139" s="1"/>
  <c r="GM91" i="139" s="1"/>
  <c r="FN37" i="139"/>
  <c r="FN64" i="139" s="1"/>
  <c r="GM90" i="139" s="1"/>
  <c r="FM28" i="139"/>
  <c r="FM31" i="139" l="1"/>
  <c r="FM58" i="139" s="1"/>
  <c r="GL84" i="139" s="1"/>
  <c r="FM33" i="139"/>
  <c r="FM60" i="139" s="1"/>
  <c r="GL86" i="139" s="1"/>
  <c r="FM40" i="139"/>
  <c r="FM67" i="139" s="1"/>
  <c r="GL93" i="139" s="1"/>
  <c r="FM41" i="139"/>
  <c r="FM68" i="139" s="1"/>
  <c r="GL94" i="139" s="1"/>
  <c r="FM39" i="139"/>
  <c r="FM66" i="139" s="1"/>
  <c r="GL92" i="139" s="1"/>
  <c r="FM32" i="139"/>
  <c r="FM59" i="139" s="1"/>
  <c r="GL85" i="139" s="1"/>
  <c r="FM30" i="139"/>
  <c r="FM57" i="139" s="1"/>
  <c r="GL83" i="139" s="1"/>
  <c r="FM36" i="139"/>
  <c r="FM63" i="139" s="1"/>
  <c r="GL89" i="139" s="1"/>
  <c r="FM38" i="139"/>
  <c r="FM65" i="139" s="1"/>
  <c r="GL91" i="139" s="1"/>
  <c r="FM35" i="139"/>
  <c r="FM62" i="139" s="1"/>
  <c r="GL88" i="139" s="1"/>
  <c r="FM37" i="139"/>
  <c r="FM64" i="139" s="1"/>
  <c r="GL90" i="139" s="1"/>
  <c r="FL28" i="139"/>
  <c r="FM34" i="139"/>
  <c r="FM61" i="139" s="1"/>
  <c r="GL87" i="139" s="1"/>
  <c r="FL34" i="139" l="1"/>
  <c r="FL61" i="139" s="1"/>
  <c r="GK87" i="139" s="1"/>
  <c r="FL37" i="139"/>
  <c r="FL64" i="139" s="1"/>
  <c r="GK90" i="139" s="1"/>
  <c r="FL41" i="139"/>
  <c r="FL68" i="139" s="1"/>
  <c r="GK94" i="139" s="1"/>
  <c r="FL35" i="139"/>
  <c r="FL62" i="139" s="1"/>
  <c r="GK88" i="139" s="1"/>
  <c r="FL30" i="139"/>
  <c r="FL57" i="139" s="1"/>
  <c r="GK83" i="139" s="1"/>
  <c r="FL36" i="139"/>
  <c r="FL63" i="139" s="1"/>
  <c r="GK89" i="139" s="1"/>
  <c r="FL32" i="139"/>
  <c r="FL59" i="139" s="1"/>
  <c r="GK85" i="139" s="1"/>
  <c r="FL38" i="139"/>
  <c r="FL65" i="139" s="1"/>
  <c r="GK91" i="139" s="1"/>
  <c r="FL39" i="139"/>
  <c r="FL66" i="139" s="1"/>
  <c r="GK92" i="139" s="1"/>
  <c r="FL31" i="139"/>
  <c r="FL58" i="139" s="1"/>
  <c r="GK84" i="139" s="1"/>
  <c r="FL33" i="139"/>
  <c r="FL60" i="139" s="1"/>
  <c r="GK86" i="139" s="1"/>
  <c r="FL40" i="139"/>
  <c r="FL67" i="139" s="1"/>
  <c r="GK93" i="139" s="1"/>
  <c r="FK28" i="139"/>
  <c r="FJ28" i="139" l="1"/>
  <c r="FK36" i="139"/>
  <c r="FK63" i="139" s="1"/>
  <c r="GJ89" i="139" s="1"/>
  <c r="FK32" i="139"/>
  <c r="FK59" i="139" s="1"/>
  <c r="GJ85" i="139" s="1"/>
  <c r="FK34" i="139"/>
  <c r="FK61" i="139" s="1"/>
  <c r="GJ87" i="139" s="1"/>
  <c r="FK33" i="139"/>
  <c r="FK60" i="139" s="1"/>
  <c r="GJ86" i="139" s="1"/>
  <c r="FK40" i="139"/>
  <c r="FK67" i="139" s="1"/>
  <c r="GJ93" i="139" s="1"/>
  <c r="FK41" i="139"/>
  <c r="FK68" i="139" s="1"/>
  <c r="GJ94" i="139" s="1"/>
  <c r="FK39" i="139"/>
  <c r="FK66" i="139" s="1"/>
  <c r="GJ92" i="139" s="1"/>
  <c r="FK31" i="139"/>
  <c r="FK58" i="139" s="1"/>
  <c r="GJ84" i="139" s="1"/>
  <c r="FK37" i="139"/>
  <c r="FK64" i="139" s="1"/>
  <c r="GJ90" i="139" s="1"/>
  <c r="FK38" i="139"/>
  <c r="FK65" i="139" s="1"/>
  <c r="GJ91" i="139" s="1"/>
  <c r="FK35" i="139"/>
  <c r="FK62" i="139" s="1"/>
  <c r="GJ88" i="139" s="1"/>
  <c r="FK30" i="139"/>
  <c r="FK57" i="139" s="1"/>
  <c r="GJ83" i="139" s="1"/>
  <c r="FJ36" i="139" l="1"/>
  <c r="FJ63" i="139" s="1"/>
  <c r="GI89" i="139" s="1"/>
  <c r="FJ40" i="139"/>
  <c r="FJ67" i="139" s="1"/>
  <c r="GI93" i="139" s="1"/>
  <c r="FJ32" i="139"/>
  <c r="FJ59" i="139" s="1"/>
  <c r="GI85" i="139" s="1"/>
  <c r="FJ37" i="139"/>
  <c r="FJ64" i="139" s="1"/>
  <c r="GI90" i="139" s="1"/>
  <c r="FJ31" i="139"/>
  <c r="FJ58" i="139" s="1"/>
  <c r="GI84" i="139" s="1"/>
  <c r="FI28" i="139"/>
  <c r="FJ41" i="139"/>
  <c r="FJ68" i="139" s="1"/>
  <c r="GI94" i="139" s="1"/>
  <c r="FJ34" i="139"/>
  <c r="FJ61" i="139" s="1"/>
  <c r="GI87" i="139" s="1"/>
  <c r="FJ35" i="139"/>
  <c r="FJ62" i="139" s="1"/>
  <c r="GI88" i="139" s="1"/>
  <c r="FJ33" i="139"/>
  <c r="FJ60" i="139" s="1"/>
  <c r="GI86" i="139" s="1"/>
  <c r="FJ38" i="139"/>
  <c r="FJ65" i="139" s="1"/>
  <c r="GI91" i="139" s="1"/>
  <c r="FJ39" i="139"/>
  <c r="FJ66" i="139" s="1"/>
  <c r="GI92" i="139" s="1"/>
  <c r="FJ30" i="139"/>
  <c r="FJ57" i="139" s="1"/>
  <c r="GI83" i="139" s="1"/>
  <c r="FI39" i="139" l="1"/>
  <c r="FI66" i="139" s="1"/>
  <c r="GH92" i="139" s="1"/>
  <c r="FI30" i="139"/>
  <c r="FI57" i="139" s="1"/>
  <c r="GH83" i="139" s="1"/>
  <c r="FI34" i="139"/>
  <c r="FI61" i="139" s="1"/>
  <c r="GH87" i="139" s="1"/>
  <c r="FI38" i="139"/>
  <c r="FI65" i="139" s="1"/>
  <c r="GH91" i="139" s="1"/>
  <c r="FI35" i="139"/>
  <c r="FI62" i="139" s="1"/>
  <c r="GH88" i="139" s="1"/>
  <c r="FI31" i="139"/>
  <c r="FI58" i="139" s="1"/>
  <c r="GH84" i="139" s="1"/>
  <c r="FH28" i="139"/>
  <c r="FI37" i="139"/>
  <c r="FI64" i="139" s="1"/>
  <c r="GH90" i="139" s="1"/>
  <c r="FI33" i="139"/>
  <c r="FI60" i="139" s="1"/>
  <c r="GH86" i="139" s="1"/>
  <c r="FI36" i="139"/>
  <c r="FI63" i="139" s="1"/>
  <c r="GH89" i="139" s="1"/>
  <c r="FI41" i="139"/>
  <c r="FI68" i="139" s="1"/>
  <c r="GH94" i="139" s="1"/>
  <c r="FI40" i="139"/>
  <c r="FI67" i="139" s="1"/>
  <c r="GH93" i="139" s="1"/>
  <c r="FI32" i="139"/>
  <c r="FI59" i="139" s="1"/>
  <c r="GH85" i="139" s="1"/>
  <c r="FH36" i="139" l="1"/>
  <c r="FH63" i="139" s="1"/>
  <c r="GG89" i="139" s="1"/>
  <c r="FH38" i="139"/>
  <c r="FH65" i="139" s="1"/>
  <c r="GG91" i="139" s="1"/>
  <c r="FG28" i="139"/>
  <c r="FH40" i="139"/>
  <c r="FH67" i="139" s="1"/>
  <c r="GG93" i="139" s="1"/>
  <c r="FH37" i="139"/>
  <c r="FH64" i="139" s="1"/>
  <c r="GG90" i="139" s="1"/>
  <c r="FH31" i="139"/>
  <c r="FH58" i="139" s="1"/>
  <c r="GG84" i="139" s="1"/>
  <c r="FH32" i="139"/>
  <c r="FH59" i="139" s="1"/>
  <c r="GG85" i="139" s="1"/>
  <c r="FH33" i="139"/>
  <c r="FH60" i="139" s="1"/>
  <c r="GG86" i="139" s="1"/>
  <c r="FH35" i="139"/>
  <c r="FH62" i="139" s="1"/>
  <c r="GG88" i="139" s="1"/>
  <c r="FH41" i="139"/>
  <c r="FH68" i="139" s="1"/>
  <c r="GG94" i="139" s="1"/>
  <c r="FH34" i="139"/>
  <c r="FH61" i="139" s="1"/>
  <c r="GG87" i="139" s="1"/>
  <c r="FH39" i="139"/>
  <c r="FH66" i="139" s="1"/>
  <c r="GG92" i="139" s="1"/>
  <c r="FH30" i="139"/>
  <c r="FH57" i="139" s="1"/>
  <c r="GG83" i="139" s="1"/>
  <c r="FG39" i="139" l="1"/>
  <c r="FG66" i="139" s="1"/>
  <c r="GF92" i="139" s="1"/>
  <c r="FG38" i="139"/>
  <c r="FG65" i="139" s="1"/>
  <c r="GF91" i="139" s="1"/>
  <c r="FG30" i="139"/>
  <c r="FG57" i="139" s="1"/>
  <c r="GF83" i="139" s="1"/>
  <c r="FG40" i="139"/>
  <c r="FG67" i="139" s="1"/>
  <c r="GF93" i="139" s="1"/>
  <c r="FG41" i="139"/>
  <c r="FG68" i="139" s="1"/>
  <c r="GF94" i="139" s="1"/>
  <c r="FG37" i="139"/>
  <c r="FG64" i="139" s="1"/>
  <c r="GF90" i="139" s="1"/>
  <c r="FG36" i="139"/>
  <c r="FG63" i="139" s="1"/>
  <c r="GF89" i="139" s="1"/>
  <c r="FG33" i="139"/>
  <c r="FG60" i="139" s="1"/>
  <c r="GF86" i="139" s="1"/>
  <c r="FG32" i="139"/>
  <c r="FG59" i="139" s="1"/>
  <c r="GF85" i="139" s="1"/>
  <c r="FF28" i="139"/>
  <c r="FG35" i="139"/>
  <c r="FG62" i="139" s="1"/>
  <c r="GF88" i="139" s="1"/>
  <c r="FG31" i="139"/>
  <c r="FG58" i="139" s="1"/>
  <c r="GF84" i="139" s="1"/>
  <c r="FG34" i="139"/>
  <c r="FG61" i="139" s="1"/>
  <c r="GF87" i="139" s="1"/>
  <c r="FF41" i="139" l="1"/>
  <c r="FF68" i="139" s="1"/>
  <c r="GE94" i="139" s="1"/>
  <c r="FF36" i="139"/>
  <c r="FF63" i="139" s="1"/>
  <c r="GE89" i="139" s="1"/>
  <c r="FF34" i="139"/>
  <c r="FF61" i="139" s="1"/>
  <c r="GE87" i="139" s="1"/>
  <c r="FF31" i="139"/>
  <c r="FF58" i="139" s="1"/>
  <c r="GE84" i="139" s="1"/>
  <c r="FF33" i="139"/>
  <c r="FF60" i="139" s="1"/>
  <c r="GE86" i="139" s="1"/>
  <c r="FF32" i="139"/>
  <c r="FF59" i="139" s="1"/>
  <c r="GE85" i="139" s="1"/>
  <c r="FE28" i="139"/>
  <c r="FF40" i="139"/>
  <c r="FF67" i="139" s="1"/>
  <c r="GE93" i="139" s="1"/>
  <c r="FF35" i="139"/>
  <c r="FF62" i="139" s="1"/>
  <c r="GE88" i="139" s="1"/>
  <c r="FF39" i="139"/>
  <c r="FF66" i="139" s="1"/>
  <c r="GE92" i="139" s="1"/>
  <c r="FF37" i="139"/>
  <c r="FF64" i="139" s="1"/>
  <c r="GE90" i="139" s="1"/>
  <c r="FF30" i="139"/>
  <c r="FF57" i="139" s="1"/>
  <c r="GE83" i="139" s="1"/>
  <c r="FF38" i="139"/>
  <c r="FF65" i="139" s="1"/>
  <c r="GE91" i="139" s="1"/>
  <c r="FE30" i="139" l="1"/>
  <c r="FE57" i="139" s="1"/>
  <c r="GD83" i="139" s="1"/>
  <c r="FE37" i="139"/>
  <c r="FE64" i="139" s="1"/>
  <c r="GD90" i="139" s="1"/>
  <c r="FD28" i="139"/>
  <c r="FE39" i="139"/>
  <c r="FE66" i="139" s="1"/>
  <c r="GD92" i="139" s="1"/>
  <c r="FE36" i="139"/>
  <c r="FE63" i="139" s="1"/>
  <c r="GD89" i="139" s="1"/>
  <c r="FE38" i="139"/>
  <c r="FE65" i="139" s="1"/>
  <c r="GD91" i="139" s="1"/>
  <c r="FE40" i="139"/>
  <c r="FE67" i="139" s="1"/>
  <c r="GD93" i="139" s="1"/>
  <c r="FE41" i="139"/>
  <c r="FE68" i="139" s="1"/>
  <c r="GD94" i="139" s="1"/>
  <c r="FE31" i="139"/>
  <c r="FE58" i="139" s="1"/>
  <c r="GD84" i="139" s="1"/>
  <c r="FE32" i="139"/>
  <c r="FE59" i="139" s="1"/>
  <c r="GD85" i="139" s="1"/>
  <c r="FE35" i="139"/>
  <c r="FE62" i="139" s="1"/>
  <c r="GD88" i="139" s="1"/>
  <c r="FE33" i="139"/>
  <c r="FE60" i="139" s="1"/>
  <c r="GD86" i="139" s="1"/>
  <c r="FE34" i="139"/>
  <c r="FE61" i="139" s="1"/>
  <c r="GD87" i="139" s="1"/>
  <c r="FD34" i="139" l="1"/>
  <c r="FD61" i="139" s="1"/>
  <c r="GC87" i="139" s="1"/>
  <c r="FD30" i="139"/>
  <c r="FD57" i="139" s="1"/>
  <c r="GC83" i="139" s="1"/>
  <c r="FD36" i="139"/>
  <c r="FD63" i="139" s="1"/>
  <c r="GC89" i="139" s="1"/>
  <c r="FD32" i="139"/>
  <c r="FD59" i="139" s="1"/>
  <c r="GC85" i="139" s="1"/>
  <c r="FC28" i="139"/>
  <c r="FD41" i="139"/>
  <c r="FD68" i="139" s="1"/>
  <c r="GC94" i="139" s="1"/>
  <c r="FD37" i="139"/>
  <c r="FD64" i="139" s="1"/>
  <c r="GC90" i="139" s="1"/>
  <c r="FD40" i="139"/>
  <c r="FD67" i="139" s="1"/>
  <c r="GC93" i="139" s="1"/>
  <c r="FD31" i="139"/>
  <c r="FD58" i="139" s="1"/>
  <c r="GC84" i="139" s="1"/>
  <c r="FD39" i="139"/>
  <c r="FD66" i="139" s="1"/>
  <c r="GC92" i="139" s="1"/>
  <c r="FD35" i="139"/>
  <c r="FD62" i="139" s="1"/>
  <c r="GC88" i="139" s="1"/>
  <c r="FD33" i="139"/>
  <c r="FD60" i="139" s="1"/>
  <c r="GC86" i="139" s="1"/>
  <c r="FD38" i="139"/>
  <c r="FD65" i="139" s="1"/>
  <c r="GC91" i="139" s="1"/>
  <c r="FC37" i="139" l="1"/>
  <c r="FC64" i="139" s="1"/>
  <c r="GB90" i="139" s="1"/>
  <c r="FB28" i="139"/>
  <c r="FC33" i="139"/>
  <c r="FC60" i="139" s="1"/>
  <c r="GB86" i="139" s="1"/>
  <c r="FC36" i="139"/>
  <c r="FC63" i="139" s="1"/>
  <c r="GB89" i="139" s="1"/>
  <c r="FC38" i="139"/>
  <c r="FC65" i="139" s="1"/>
  <c r="GB91" i="139" s="1"/>
  <c r="FC34" i="139"/>
  <c r="FC61" i="139" s="1"/>
  <c r="GB87" i="139" s="1"/>
  <c r="FC39" i="139"/>
  <c r="FC66" i="139" s="1"/>
  <c r="GB92" i="139" s="1"/>
  <c r="FC41" i="139"/>
  <c r="FC68" i="139" s="1"/>
  <c r="GB94" i="139" s="1"/>
  <c r="FC32" i="139"/>
  <c r="FC59" i="139" s="1"/>
  <c r="GB85" i="139" s="1"/>
  <c r="FC31" i="139"/>
  <c r="FC58" i="139" s="1"/>
  <c r="GB84" i="139" s="1"/>
  <c r="FC40" i="139"/>
  <c r="FC67" i="139" s="1"/>
  <c r="GB93" i="139" s="1"/>
  <c r="FC30" i="139"/>
  <c r="FC57" i="139" s="1"/>
  <c r="GB83" i="139" s="1"/>
  <c r="FC35" i="139"/>
  <c r="FC62" i="139" s="1"/>
  <c r="GB88" i="139" s="1"/>
  <c r="FB34" i="139" l="1"/>
  <c r="FB61" i="139" s="1"/>
  <c r="GA87" i="139" s="1"/>
  <c r="FB35" i="139"/>
  <c r="FB62" i="139" s="1"/>
  <c r="GA88" i="139" s="1"/>
  <c r="FB32" i="139"/>
  <c r="FB59" i="139" s="1"/>
  <c r="GA85" i="139" s="1"/>
  <c r="FB36" i="139"/>
  <c r="FB63" i="139" s="1"/>
  <c r="GA89" i="139" s="1"/>
  <c r="FB30" i="139"/>
  <c r="FB57" i="139" s="1"/>
  <c r="GA83" i="139" s="1"/>
  <c r="FB37" i="139"/>
  <c r="FB64" i="139" s="1"/>
  <c r="GA90" i="139" s="1"/>
  <c r="FA28" i="139"/>
  <c r="FB33" i="139"/>
  <c r="FB60" i="139" s="1"/>
  <c r="GA86" i="139" s="1"/>
  <c r="FB31" i="139"/>
  <c r="FB58" i="139" s="1"/>
  <c r="GA84" i="139" s="1"/>
  <c r="FB40" i="139"/>
  <c r="FB67" i="139" s="1"/>
  <c r="GA93" i="139" s="1"/>
  <c r="FB38" i="139"/>
  <c r="FB65" i="139" s="1"/>
  <c r="GA91" i="139" s="1"/>
  <c r="FB41" i="139"/>
  <c r="FB68" i="139" s="1"/>
  <c r="GA94" i="139" s="1"/>
  <c r="FB39" i="139"/>
  <c r="FB66" i="139" s="1"/>
  <c r="GA92" i="139" s="1"/>
  <c r="FA38" i="139" l="1"/>
  <c r="FA65" i="139" s="1"/>
  <c r="FZ91" i="139" s="1"/>
  <c r="FA31" i="139"/>
  <c r="FA58" i="139" s="1"/>
  <c r="FZ84" i="139" s="1"/>
  <c r="FA36" i="139"/>
  <c r="FA63" i="139" s="1"/>
  <c r="FZ89" i="139" s="1"/>
  <c r="EZ28" i="139"/>
  <c r="FA32" i="139"/>
  <c r="FA59" i="139" s="1"/>
  <c r="FZ85" i="139" s="1"/>
  <c r="FA33" i="139"/>
  <c r="FA60" i="139" s="1"/>
  <c r="FZ86" i="139" s="1"/>
  <c r="FA34" i="139"/>
  <c r="FA61" i="139" s="1"/>
  <c r="FZ87" i="139" s="1"/>
  <c r="FA39" i="139"/>
  <c r="FA66" i="139" s="1"/>
  <c r="FZ92" i="139" s="1"/>
  <c r="FA35" i="139"/>
  <c r="FA62" i="139" s="1"/>
  <c r="FZ88" i="139" s="1"/>
  <c r="FA37" i="139"/>
  <c r="FA64" i="139" s="1"/>
  <c r="FZ90" i="139" s="1"/>
  <c r="FA41" i="139"/>
  <c r="FA68" i="139" s="1"/>
  <c r="FZ94" i="139" s="1"/>
  <c r="FA40" i="139"/>
  <c r="FA67" i="139" s="1"/>
  <c r="FZ93" i="139" s="1"/>
  <c r="FA30" i="139"/>
  <c r="FA57" i="139" s="1"/>
  <c r="FZ83" i="139" s="1"/>
  <c r="EZ39" i="139" l="1"/>
  <c r="EZ66" i="139" s="1"/>
  <c r="FY92" i="139" s="1"/>
  <c r="EZ35" i="139"/>
  <c r="EZ62" i="139" s="1"/>
  <c r="FY88" i="139" s="1"/>
  <c r="EZ40" i="139"/>
  <c r="EZ67" i="139" s="1"/>
  <c r="FY93" i="139" s="1"/>
  <c r="EZ33" i="139"/>
  <c r="EZ60" i="139" s="1"/>
  <c r="FY86" i="139" s="1"/>
  <c r="EZ36" i="139"/>
  <c r="EZ63" i="139" s="1"/>
  <c r="FY89" i="139" s="1"/>
  <c r="EZ30" i="139"/>
  <c r="EZ57" i="139" s="1"/>
  <c r="FY83" i="139" s="1"/>
  <c r="EZ34" i="139"/>
  <c r="EZ61" i="139" s="1"/>
  <c r="FY87" i="139" s="1"/>
  <c r="EZ38" i="139"/>
  <c r="EZ65" i="139" s="1"/>
  <c r="FY91" i="139" s="1"/>
  <c r="EZ31" i="139"/>
  <c r="EZ58" i="139" s="1"/>
  <c r="FY84" i="139" s="1"/>
  <c r="EZ32" i="139"/>
  <c r="EZ59" i="139" s="1"/>
  <c r="FY85" i="139" s="1"/>
  <c r="EZ41" i="139"/>
  <c r="EZ68" i="139" s="1"/>
  <c r="FY94" i="139" s="1"/>
  <c r="EZ37" i="139"/>
  <c r="EZ64" i="139" s="1"/>
  <c r="FY90" i="139" s="1"/>
  <c r="EY28" i="139"/>
  <c r="EY31" i="139" l="1"/>
  <c r="EY58" i="139" s="1"/>
  <c r="FX84" i="139" s="1"/>
  <c r="EY33" i="139"/>
  <c r="EY60" i="139" s="1"/>
  <c r="FX86" i="139" s="1"/>
  <c r="EY34" i="139"/>
  <c r="EY61" i="139" s="1"/>
  <c r="FX87" i="139" s="1"/>
  <c r="EY38" i="139"/>
  <c r="EY65" i="139" s="1"/>
  <c r="FX91" i="139" s="1"/>
  <c r="EY36" i="139"/>
  <c r="EY63" i="139" s="1"/>
  <c r="FX89" i="139" s="1"/>
  <c r="EY41" i="139"/>
  <c r="EY68" i="139" s="1"/>
  <c r="FX94" i="139" s="1"/>
  <c r="EY30" i="139"/>
  <c r="EY57" i="139" s="1"/>
  <c r="FX83" i="139" s="1"/>
  <c r="EX28" i="139"/>
  <c r="EY35" i="139"/>
  <c r="EY62" i="139" s="1"/>
  <c r="FX88" i="139" s="1"/>
  <c r="EY40" i="139"/>
  <c r="EY67" i="139" s="1"/>
  <c r="FX93" i="139" s="1"/>
  <c r="EY39" i="139"/>
  <c r="EY66" i="139" s="1"/>
  <c r="FX92" i="139" s="1"/>
  <c r="EY32" i="139"/>
  <c r="EY59" i="139" s="1"/>
  <c r="FX85" i="139" s="1"/>
  <c r="EY37" i="139"/>
  <c r="EY64" i="139" s="1"/>
  <c r="FX90" i="139" s="1"/>
  <c r="EX34" i="139" l="1"/>
  <c r="EX61" i="139" s="1"/>
  <c r="FW87" i="139" s="1"/>
  <c r="EX31" i="139"/>
  <c r="EX58" i="139" s="1"/>
  <c r="FW84" i="139" s="1"/>
  <c r="EW28" i="139"/>
  <c r="EX33" i="139"/>
  <c r="EX60" i="139" s="1"/>
  <c r="FW86" i="139" s="1"/>
  <c r="EX39" i="139"/>
  <c r="EX66" i="139" s="1"/>
  <c r="FW92" i="139" s="1"/>
  <c r="EX32" i="139"/>
  <c r="EX59" i="139" s="1"/>
  <c r="FW85" i="139" s="1"/>
  <c r="EX36" i="139"/>
  <c r="EX63" i="139" s="1"/>
  <c r="FW89" i="139" s="1"/>
  <c r="EX41" i="139"/>
  <c r="EX68" i="139" s="1"/>
  <c r="FW94" i="139" s="1"/>
  <c r="EX30" i="139"/>
  <c r="EX57" i="139" s="1"/>
  <c r="FW83" i="139" s="1"/>
  <c r="EX35" i="139"/>
  <c r="EX62" i="139" s="1"/>
  <c r="FW88" i="139" s="1"/>
  <c r="EX38" i="139"/>
  <c r="EX65" i="139" s="1"/>
  <c r="FW91" i="139" s="1"/>
  <c r="EX37" i="139"/>
  <c r="EX64" i="139" s="1"/>
  <c r="FW90" i="139" s="1"/>
  <c r="EX40" i="139"/>
  <c r="EX67" i="139" s="1"/>
  <c r="FW93" i="139" s="1"/>
  <c r="EW39" i="139" l="1"/>
  <c r="EW66" i="139" s="1"/>
  <c r="FV92" i="139" s="1"/>
  <c r="EW36" i="139"/>
  <c r="EW63" i="139" s="1"/>
  <c r="FV89" i="139" s="1"/>
  <c r="EW30" i="139"/>
  <c r="EW57" i="139" s="1"/>
  <c r="FV83" i="139" s="1"/>
  <c r="EW37" i="139"/>
  <c r="EW64" i="139" s="1"/>
  <c r="FV90" i="139" s="1"/>
  <c r="EW41" i="139"/>
  <c r="EW68" i="139" s="1"/>
  <c r="FV94" i="139" s="1"/>
  <c r="EV28" i="139"/>
  <c r="EW38" i="139"/>
  <c r="EW65" i="139" s="1"/>
  <c r="FV91" i="139" s="1"/>
  <c r="EW40" i="139"/>
  <c r="EW67" i="139" s="1"/>
  <c r="FV93" i="139" s="1"/>
  <c r="EW34" i="139"/>
  <c r="EW61" i="139" s="1"/>
  <c r="FV87" i="139" s="1"/>
  <c r="EW35" i="139"/>
  <c r="EW62" i="139" s="1"/>
  <c r="FV88" i="139" s="1"/>
  <c r="EW33" i="139"/>
  <c r="EW60" i="139" s="1"/>
  <c r="FV86" i="139" s="1"/>
  <c r="EW32" i="139"/>
  <c r="EW59" i="139" s="1"/>
  <c r="FV85" i="139" s="1"/>
  <c r="EW31" i="139"/>
  <c r="EW58" i="139" s="1"/>
  <c r="FV84" i="139" s="1"/>
  <c r="EV36" i="139" l="1"/>
  <c r="EV63" i="139" s="1"/>
  <c r="FU89" i="139" s="1"/>
  <c r="EV41" i="139"/>
  <c r="EV68" i="139" s="1"/>
  <c r="FU94" i="139" s="1"/>
  <c r="EV35" i="139"/>
  <c r="EV62" i="139" s="1"/>
  <c r="FU88" i="139" s="1"/>
  <c r="EV33" i="139"/>
  <c r="EV60" i="139" s="1"/>
  <c r="FU86" i="139" s="1"/>
  <c r="EV34" i="139"/>
  <c r="EV61" i="139" s="1"/>
  <c r="FU87" i="139" s="1"/>
  <c r="EV39" i="139"/>
  <c r="EV66" i="139" s="1"/>
  <c r="FU92" i="139" s="1"/>
  <c r="EV40" i="139"/>
  <c r="EV67" i="139" s="1"/>
  <c r="FU93" i="139" s="1"/>
  <c r="EV31" i="139"/>
  <c r="EV58" i="139" s="1"/>
  <c r="FU84" i="139" s="1"/>
  <c r="EV32" i="139"/>
  <c r="EV59" i="139" s="1"/>
  <c r="FU85" i="139" s="1"/>
  <c r="EV38" i="139"/>
  <c r="EV65" i="139" s="1"/>
  <c r="FU91" i="139" s="1"/>
  <c r="EV30" i="139"/>
  <c r="EV57" i="139" s="1"/>
  <c r="FU83" i="139" s="1"/>
  <c r="EV37" i="139"/>
  <c r="EV64" i="139" s="1"/>
  <c r="FU90" i="139" s="1"/>
  <c r="EU28" i="139"/>
  <c r="EU37" i="139" l="1"/>
  <c r="EU64" i="139" s="1"/>
  <c r="FT90" i="139" s="1"/>
  <c r="EU40" i="139"/>
  <c r="EU67" i="139" s="1"/>
  <c r="FT93" i="139" s="1"/>
  <c r="EU35" i="139"/>
  <c r="EU62" i="139" s="1"/>
  <c r="FT88" i="139" s="1"/>
  <c r="EU36" i="139"/>
  <c r="EU63" i="139" s="1"/>
  <c r="FT89" i="139" s="1"/>
  <c r="EU33" i="139"/>
  <c r="EU60" i="139" s="1"/>
  <c r="FT86" i="139" s="1"/>
  <c r="EU38" i="139"/>
  <c r="EU65" i="139" s="1"/>
  <c r="FT91" i="139" s="1"/>
  <c r="EU34" i="139"/>
  <c r="EU61" i="139" s="1"/>
  <c r="FT87" i="139" s="1"/>
  <c r="ET28" i="139"/>
  <c r="EU30" i="139"/>
  <c r="EU57" i="139" s="1"/>
  <c r="FT83" i="139" s="1"/>
  <c r="EU41" i="139"/>
  <c r="EU68" i="139" s="1"/>
  <c r="FT94" i="139" s="1"/>
  <c r="EU39" i="139"/>
  <c r="EU66" i="139" s="1"/>
  <c r="FT92" i="139" s="1"/>
  <c r="EU32" i="139"/>
  <c r="EU59" i="139" s="1"/>
  <c r="FT85" i="139" s="1"/>
  <c r="EU31" i="139"/>
  <c r="EU58" i="139" s="1"/>
  <c r="FT84" i="139" s="1"/>
  <c r="ET30" i="139" l="1"/>
  <c r="ET57" i="139" s="1"/>
  <c r="FS83" i="139" s="1"/>
  <c r="ES28" i="139"/>
  <c r="ET36" i="139"/>
  <c r="ET63" i="139" s="1"/>
  <c r="FS89" i="139" s="1"/>
  <c r="ET31" i="139"/>
  <c r="ET58" i="139" s="1"/>
  <c r="FS84" i="139" s="1"/>
  <c r="ET38" i="139"/>
  <c r="ET65" i="139" s="1"/>
  <c r="FS91" i="139" s="1"/>
  <c r="ET33" i="139"/>
  <c r="ET60" i="139" s="1"/>
  <c r="FS86" i="139" s="1"/>
  <c r="ET34" i="139"/>
  <c r="ET61" i="139" s="1"/>
  <c r="FS87" i="139" s="1"/>
  <c r="ET37" i="139"/>
  <c r="ET64" i="139" s="1"/>
  <c r="FS90" i="139" s="1"/>
  <c r="ET39" i="139"/>
  <c r="ET66" i="139" s="1"/>
  <c r="FS92" i="139" s="1"/>
  <c r="ET41" i="139"/>
  <c r="ET68" i="139" s="1"/>
  <c r="FS94" i="139" s="1"/>
  <c r="ET35" i="139"/>
  <c r="ET62" i="139" s="1"/>
  <c r="FS88" i="139" s="1"/>
  <c r="ET40" i="139"/>
  <c r="ET67" i="139" s="1"/>
  <c r="FS93" i="139" s="1"/>
  <c r="ET32" i="139"/>
  <c r="ET59" i="139" s="1"/>
  <c r="FS85" i="139" s="1"/>
  <c r="ES38" i="139" l="1"/>
  <c r="ES65" i="139" s="1"/>
  <c r="FR91" i="139" s="1"/>
  <c r="ER28" i="139"/>
  <c r="ES32" i="139"/>
  <c r="ES59" i="139" s="1"/>
  <c r="FR85" i="139" s="1"/>
  <c r="ES40" i="139"/>
  <c r="ES67" i="139" s="1"/>
  <c r="FR93" i="139" s="1"/>
  <c r="ES41" i="139"/>
  <c r="ES68" i="139" s="1"/>
  <c r="FR94" i="139" s="1"/>
  <c r="ES30" i="139"/>
  <c r="ES57" i="139" s="1"/>
  <c r="FR83" i="139" s="1"/>
  <c r="ES31" i="139"/>
  <c r="ES58" i="139" s="1"/>
  <c r="FR84" i="139" s="1"/>
  <c r="ES36" i="139"/>
  <c r="ES63" i="139" s="1"/>
  <c r="FR89" i="139" s="1"/>
  <c r="ES35" i="139"/>
  <c r="ES62" i="139" s="1"/>
  <c r="FR88" i="139" s="1"/>
  <c r="ES34" i="139"/>
  <c r="ES61" i="139" s="1"/>
  <c r="FR87" i="139" s="1"/>
  <c r="ES39" i="139"/>
  <c r="ES66" i="139" s="1"/>
  <c r="FR92" i="139" s="1"/>
  <c r="ES37" i="139"/>
  <c r="ES64" i="139" s="1"/>
  <c r="FR90" i="139" s="1"/>
  <c r="ES33" i="139"/>
  <c r="ES60" i="139" s="1"/>
  <c r="FR86" i="139" s="1"/>
  <c r="ER38" i="139" l="1"/>
  <c r="ER65" i="139" s="1"/>
  <c r="FQ91" i="139" s="1"/>
  <c r="ER41" i="139"/>
  <c r="ER68" i="139" s="1"/>
  <c r="FQ94" i="139" s="1"/>
  <c r="ER39" i="139"/>
  <c r="ER66" i="139" s="1"/>
  <c r="FQ92" i="139" s="1"/>
  <c r="EQ28" i="139"/>
  <c r="ER40" i="139"/>
  <c r="ER67" i="139" s="1"/>
  <c r="FQ93" i="139" s="1"/>
  <c r="ER34" i="139"/>
  <c r="ER61" i="139" s="1"/>
  <c r="FQ87" i="139" s="1"/>
  <c r="ER35" i="139"/>
  <c r="ER62" i="139" s="1"/>
  <c r="FQ88" i="139" s="1"/>
  <c r="ER32" i="139"/>
  <c r="ER59" i="139" s="1"/>
  <c r="FQ85" i="139" s="1"/>
  <c r="ER37" i="139"/>
  <c r="ER64" i="139" s="1"/>
  <c r="FQ90" i="139" s="1"/>
  <c r="ER36" i="139"/>
  <c r="ER63" i="139" s="1"/>
  <c r="FQ89" i="139" s="1"/>
  <c r="ER33" i="139"/>
  <c r="ER60" i="139" s="1"/>
  <c r="FQ86" i="139" s="1"/>
  <c r="ER30" i="139"/>
  <c r="ER57" i="139" s="1"/>
  <c r="FQ83" i="139" s="1"/>
  <c r="ER31" i="139"/>
  <c r="ER58" i="139" s="1"/>
  <c r="FQ84" i="139" s="1"/>
  <c r="EQ34" i="139" l="1"/>
  <c r="EQ61" i="139" s="1"/>
  <c r="FP87" i="139" s="1"/>
  <c r="EQ38" i="139"/>
  <c r="EQ65" i="139" s="1"/>
  <c r="FP91" i="139" s="1"/>
  <c r="EQ41" i="139"/>
  <c r="EQ68" i="139" s="1"/>
  <c r="FP94" i="139" s="1"/>
  <c r="EQ37" i="139"/>
  <c r="EQ64" i="139" s="1"/>
  <c r="FP90" i="139" s="1"/>
  <c r="EQ32" i="139"/>
  <c r="EQ59" i="139" s="1"/>
  <c r="FP85" i="139" s="1"/>
  <c r="EP28" i="139"/>
  <c r="EQ30" i="139"/>
  <c r="EQ57" i="139" s="1"/>
  <c r="FP83" i="139" s="1"/>
  <c r="EQ36" i="139"/>
  <c r="EQ63" i="139" s="1"/>
  <c r="FP89" i="139" s="1"/>
  <c r="EQ39" i="139"/>
  <c r="EQ66" i="139" s="1"/>
  <c r="FP92" i="139" s="1"/>
  <c r="EQ40" i="139"/>
  <c r="EQ67" i="139" s="1"/>
  <c r="FP93" i="139" s="1"/>
  <c r="EQ31" i="139"/>
  <c r="EQ58" i="139" s="1"/>
  <c r="FP84" i="139" s="1"/>
  <c r="EQ35" i="139"/>
  <c r="EQ62" i="139" s="1"/>
  <c r="FP88" i="139" s="1"/>
  <c r="EQ33" i="139"/>
  <c r="EQ60" i="139" s="1"/>
  <c r="FP86" i="139" s="1"/>
  <c r="EP31" i="139" l="1"/>
  <c r="EP58" i="139" s="1"/>
  <c r="FO84" i="139" s="1"/>
  <c r="EP37" i="139"/>
  <c r="EP64" i="139" s="1"/>
  <c r="FO90" i="139" s="1"/>
  <c r="EP39" i="139"/>
  <c r="EP66" i="139" s="1"/>
  <c r="FO92" i="139" s="1"/>
  <c r="EP40" i="139"/>
  <c r="EP67" i="139" s="1"/>
  <c r="FO93" i="139" s="1"/>
  <c r="EP30" i="139"/>
  <c r="EP57" i="139" s="1"/>
  <c r="FO83" i="139" s="1"/>
  <c r="EP41" i="139"/>
  <c r="EP68" i="139" s="1"/>
  <c r="FO94" i="139" s="1"/>
  <c r="EP36" i="139"/>
  <c r="EP63" i="139" s="1"/>
  <c r="FO89" i="139" s="1"/>
  <c r="EP32" i="139"/>
  <c r="EP59" i="139" s="1"/>
  <c r="FO85" i="139" s="1"/>
  <c r="EP33" i="139"/>
  <c r="EP60" i="139" s="1"/>
  <c r="FO86" i="139" s="1"/>
  <c r="EP35" i="139"/>
  <c r="EP62" i="139" s="1"/>
  <c r="FO88" i="139" s="1"/>
  <c r="EP38" i="139"/>
  <c r="EP65" i="139" s="1"/>
  <c r="FO91" i="139" s="1"/>
  <c r="EO28" i="139"/>
  <c r="EP34" i="139"/>
  <c r="EP61" i="139" s="1"/>
  <c r="FO87" i="139" s="1"/>
  <c r="EO36" i="139" l="1"/>
  <c r="EO63" i="139" s="1"/>
  <c r="FN89" i="139" s="1"/>
  <c r="EO40" i="139"/>
  <c r="EO67" i="139" s="1"/>
  <c r="FN93" i="139" s="1"/>
  <c r="EO31" i="139"/>
  <c r="EO58" i="139" s="1"/>
  <c r="FN84" i="139" s="1"/>
  <c r="EO32" i="139"/>
  <c r="EO59" i="139" s="1"/>
  <c r="FN85" i="139" s="1"/>
  <c r="EO37" i="139"/>
  <c r="EO64" i="139" s="1"/>
  <c r="FN90" i="139" s="1"/>
  <c r="EO34" i="139"/>
  <c r="EO61" i="139" s="1"/>
  <c r="FN87" i="139" s="1"/>
  <c r="EO35" i="139"/>
  <c r="EO62" i="139" s="1"/>
  <c r="FN88" i="139" s="1"/>
  <c r="EO39" i="139"/>
  <c r="EO66" i="139" s="1"/>
  <c r="FN92" i="139" s="1"/>
  <c r="EO38" i="139"/>
  <c r="EO65" i="139" s="1"/>
  <c r="FN91" i="139" s="1"/>
  <c r="EO41" i="139"/>
  <c r="EO68" i="139" s="1"/>
  <c r="FN94" i="139" s="1"/>
  <c r="EO30" i="139"/>
  <c r="EO57" i="139" s="1"/>
  <c r="FN83" i="139" s="1"/>
  <c r="EN28" i="139"/>
  <c r="EO33" i="139"/>
  <c r="EO60" i="139" s="1"/>
  <c r="FN86" i="139" s="1"/>
  <c r="EN32" i="139" l="1"/>
  <c r="EN59" i="139" s="1"/>
  <c r="FM85" i="139" s="1"/>
  <c r="EN34" i="139"/>
  <c r="EN61" i="139" s="1"/>
  <c r="FM87" i="139" s="1"/>
  <c r="EN31" i="139"/>
  <c r="EN58" i="139" s="1"/>
  <c r="FM84" i="139" s="1"/>
  <c r="EN38" i="139"/>
  <c r="EN65" i="139" s="1"/>
  <c r="FM91" i="139" s="1"/>
  <c r="EN40" i="139"/>
  <c r="EN67" i="139" s="1"/>
  <c r="FM93" i="139" s="1"/>
  <c r="EN35" i="139"/>
  <c r="EN62" i="139" s="1"/>
  <c r="FM88" i="139" s="1"/>
  <c r="EM28" i="139"/>
  <c r="EN36" i="139"/>
  <c r="EN63" i="139" s="1"/>
  <c r="FM89" i="139" s="1"/>
  <c r="EN33" i="139"/>
  <c r="EN60" i="139" s="1"/>
  <c r="FM86" i="139" s="1"/>
  <c r="EN37" i="139"/>
  <c r="EN64" i="139" s="1"/>
  <c r="FM90" i="139" s="1"/>
  <c r="EN39" i="139"/>
  <c r="EN66" i="139" s="1"/>
  <c r="FM92" i="139" s="1"/>
  <c r="EN41" i="139"/>
  <c r="EN68" i="139" s="1"/>
  <c r="FM94" i="139" s="1"/>
  <c r="EN30" i="139"/>
  <c r="EN57" i="139" s="1"/>
  <c r="FM83" i="139" s="1"/>
  <c r="EM39" i="139" l="1"/>
  <c r="EM66" i="139" s="1"/>
  <c r="FL92" i="139" s="1"/>
  <c r="EM37" i="139"/>
  <c r="EM64" i="139" s="1"/>
  <c r="FL90" i="139" s="1"/>
  <c r="EL28" i="139"/>
  <c r="EM32" i="139"/>
  <c r="EM59" i="139" s="1"/>
  <c r="FL85" i="139" s="1"/>
  <c r="EM33" i="139"/>
  <c r="EM60" i="139" s="1"/>
  <c r="FL86" i="139" s="1"/>
  <c r="EM40" i="139"/>
  <c r="EM67" i="139" s="1"/>
  <c r="FL93" i="139" s="1"/>
  <c r="EM38" i="139"/>
  <c r="EM65" i="139" s="1"/>
  <c r="FL91" i="139" s="1"/>
  <c r="EM34" i="139"/>
  <c r="EM61" i="139" s="1"/>
  <c r="FL87" i="139" s="1"/>
  <c r="EM35" i="139"/>
  <c r="EM62" i="139" s="1"/>
  <c r="FL88" i="139" s="1"/>
  <c r="EM36" i="139"/>
  <c r="EM63" i="139" s="1"/>
  <c r="FL89" i="139" s="1"/>
  <c r="EM31" i="139"/>
  <c r="EM58" i="139" s="1"/>
  <c r="FL84" i="139" s="1"/>
  <c r="EM41" i="139"/>
  <c r="EM68" i="139" s="1"/>
  <c r="FL94" i="139" s="1"/>
  <c r="EM30" i="139"/>
  <c r="EM57" i="139" s="1"/>
  <c r="FL83" i="139" s="1"/>
  <c r="EL40" i="139" l="1"/>
  <c r="EL67" i="139" s="1"/>
  <c r="FK93" i="139" s="1"/>
  <c r="EL31" i="139"/>
  <c r="EL58" i="139" s="1"/>
  <c r="FK84" i="139" s="1"/>
  <c r="EL30" i="139"/>
  <c r="EL57" i="139" s="1"/>
  <c r="FK83" i="139" s="1"/>
  <c r="EL34" i="139"/>
  <c r="EL61" i="139" s="1"/>
  <c r="FK87" i="139" s="1"/>
  <c r="EL38" i="139"/>
  <c r="EL65" i="139" s="1"/>
  <c r="FK91" i="139" s="1"/>
  <c r="EK28" i="139"/>
  <c r="EL37" i="139"/>
  <c r="EL64" i="139" s="1"/>
  <c r="FK90" i="139" s="1"/>
  <c r="EL39" i="139"/>
  <c r="EL66" i="139" s="1"/>
  <c r="FK92" i="139" s="1"/>
  <c r="EL32" i="139"/>
  <c r="EL59" i="139" s="1"/>
  <c r="FK85" i="139" s="1"/>
  <c r="EL33" i="139"/>
  <c r="EL60" i="139" s="1"/>
  <c r="FK86" i="139" s="1"/>
  <c r="EL36" i="139"/>
  <c r="EL63" i="139" s="1"/>
  <c r="FK89" i="139" s="1"/>
  <c r="EL41" i="139"/>
  <c r="EL68" i="139" s="1"/>
  <c r="FK94" i="139" s="1"/>
  <c r="EL35" i="139"/>
  <c r="EL62" i="139" s="1"/>
  <c r="FK88" i="139" s="1"/>
  <c r="EK38" i="139" l="1"/>
  <c r="EK65" i="139" s="1"/>
  <c r="FJ91" i="139" s="1"/>
  <c r="EK37" i="139"/>
  <c r="EK64" i="139" s="1"/>
  <c r="FJ90" i="139" s="1"/>
  <c r="EK32" i="139"/>
  <c r="EK59" i="139" s="1"/>
  <c r="FJ85" i="139" s="1"/>
  <c r="EK34" i="139"/>
  <c r="EK61" i="139" s="1"/>
  <c r="FJ87" i="139" s="1"/>
  <c r="EK40" i="139"/>
  <c r="EK67" i="139" s="1"/>
  <c r="FJ93" i="139" s="1"/>
  <c r="EK30" i="139"/>
  <c r="EK57" i="139" s="1"/>
  <c r="FJ83" i="139" s="1"/>
  <c r="EK41" i="139"/>
  <c r="EK68" i="139" s="1"/>
  <c r="FJ94" i="139" s="1"/>
  <c r="EK39" i="139"/>
  <c r="EK66" i="139" s="1"/>
  <c r="FJ92" i="139" s="1"/>
  <c r="EK35" i="139"/>
  <c r="EK62" i="139" s="1"/>
  <c r="FJ88" i="139" s="1"/>
  <c r="EK31" i="139"/>
  <c r="EK58" i="139" s="1"/>
  <c r="FJ84" i="139" s="1"/>
  <c r="EK36" i="139"/>
  <c r="EK63" i="139" s="1"/>
  <c r="FJ89" i="139" s="1"/>
  <c r="EK33" i="139"/>
  <c r="EK60" i="139" s="1"/>
  <c r="FJ86" i="139" s="1"/>
  <c r="EJ28" i="139"/>
  <c r="EJ34" i="139" l="1"/>
  <c r="EJ61" i="139" s="1"/>
  <c r="FI87" i="139" s="1"/>
  <c r="EJ32" i="139"/>
  <c r="EJ59" i="139" s="1"/>
  <c r="FI85" i="139" s="1"/>
  <c r="EJ33" i="139"/>
  <c r="EJ60" i="139" s="1"/>
  <c r="FI86" i="139" s="1"/>
  <c r="EJ35" i="139"/>
  <c r="EJ62" i="139" s="1"/>
  <c r="FI88" i="139" s="1"/>
  <c r="EI28" i="139"/>
  <c r="EJ37" i="139"/>
  <c r="EJ64" i="139" s="1"/>
  <c r="FI90" i="139" s="1"/>
  <c r="EJ31" i="139"/>
  <c r="EJ58" i="139" s="1"/>
  <c r="FI84" i="139" s="1"/>
  <c r="EJ30" i="139"/>
  <c r="EJ57" i="139" s="1"/>
  <c r="FI83" i="139" s="1"/>
  <c r="EJ36" i="139"/>
  <c r="EJ63" i="139" s="1"/>
  <c r="FI89" i="139" s="1"/>
  <c r="EJ40" i="139"/>
  <c r="EJ67" i="139" s="1"/>
  <c r="FI93" i="139" s="1"/>
  <c r="EJ41" i="139"/>
  <c r="EJ68" i="139" s="1"/>
  <c r="FI94" i="139" s="1"/>
  <c r="EJ38" i="139"/>
  <c r="EJ65" i="139" s="1"/>
  <c r="FI91" i="139" s="1"/>
  <c r="EJ39" i="139"/>
  <c r="EJ66" i="139" s="1"/>
  <c r="FI92" i="139" s="1"/>
  <c r="EI38" i="139" l="1"/>
  <c r="EI65" i="139" s="1"/>
  <c r="FH91" i="139" s="1"/>
  <c r="EI37" i="139"/>
  <c r="EI64" i="139" s="1"/>
  <c r="FH90" i="139" s="1"/>
  <c r="EI41" i="139"/>
  <c r="EI68" i="139" s="1"/>
  <c r="FH94" i="139" s="1"/>
  <c r="EI35" i="139"/>
  <c r="EI62" i="139" s="1"/>
  <c r="FH88" i="139" s="1"/>
  <c r="EI39" i="139"/>
  <c r="EI66" i="139" s="1"/>
  <c r="FH92" i="139" s="1"/>
  <c r="EI34" i="139"/>
  <c r="EI61" i="139" s="1"/>
  <c r="FH87" i="139" s="1"/>
  <c r="EH28" i="139"/>
  <c r="EI33" i="139"/>
  <c r="EI60" i="139" s="1"/>
  <c r="FH86" i="139" s="1"/>
  <c r="EI32" i="139"/>
  <c r="EI59" i="139" s="1"/>
  <c r="FH85" i="139" s="1"/>
  <c r="EI31" i="139"/>
  <c r="EI58" i="139" s="1"/>
  <c r="FH84" i="139" s="1"/>
  <c r="EI40" i="139"/>
  <c r="EI67" i="139" s="1"/>
  <c r="FH93" i="139" s="1"/>
  <c r="EI36" i="139"/>
  <c r="EI63" i="139" s="1"/>
  <c r="FH89" i="139" s="1"/>
  <c r="EI30" i="139"/>
  <c r="EI57" i="139" s="1"/>
  <c r="FH83" i="139" s="1"/>
  <c r="EH39" i="139" l="1"/>
  <c r="EH66" i="139" s="1"/>
  <c r="FG92" i="139" s="1"/>
  <c r="EH40" i="139"/>
  <c r="EH67" i="139" s="1"/>
  <c r="FG93" i="139" s="1"/>
  <c r="EH32" i="139"/>
  <c r="EH59" i="139" s="1"/>
  <c r="FG85" i="139" s="1"/>
  <c r="EH38" i="139"/>
  <c r="EH65" i="139" s="1"/>
  <c r="FG91" i="139" s="1"/>
  <c r="EH30" i="139"/>
  <c r="EH57" i="139" s="1"/>
  <c r="FG83" i="139" s="1"/>
  <c r="EH37" i="139"/>
  <c r="EH64" i="139" s="1"/>
  <c r="FG90" i="139" s="1"/>
  <c r="EG28" i="139"/>
  <c r="EH35" i="139"/>
  <c r="EH62" i="139" s="1"/>
  <c r="FG88" i="139" s="1"/>
  <c r="EH34" i="139"/>
  <c r="EH61" i="139" s="1"/>
  <c r="FG87" i="139" s="1"/>
  <c r="EH31" i="139"/>
  <c r="EH58" i="139" s="1"/>
  <c r="FG84" i="139" s="1"/>
  <c r="EH36" i="139"/>
  <c r="EH63" i="139" s="1"/>
  <c r="FG89" i="139" s="1"/>
  <c r="EH41" i="139"/>
  <c r="EH68" i="139" s="1"/>
  <c r="FG94" i="139" s="1"/>
  <c r="EH33" i="139"/>
  <c r="EH60" i="139" s="1"/>
  <c r="FG86" i="139" s="1"/>
  <c r="EG35" i="139" l="1"/>
  <c r="EG62" i="139" s="1"/>
  <c r="FF88" i="139" s="1"/>
  <c r="EG30" i="139"/>
  <c r="EG57" i="139" s="1"/>
  <c r="FF83" i="139" s="1"/>
  <c r="EG37" i="139"/>
  <c r="EG64" i="139" s="1"/>
  <c r="FF90" i="139" s="1"/>
  <c r="EG38" i="139"/>
  <c r="EG65" i="139" s="1"/>
  <c r="FF91" i="139" s="1"/>
  <c r="EG41" i="139"/>
  <c r="EG68" i="139" s="1"/>
  <c r="FF94" i="139" s="1"/>
  <c r="EG36" i="139"/>
  <c r="EG63" i="139" s="1"/>
  <c r="FF89" i="139" s="1"/>
  <c r="EF28" i="139"/>
  <c r="EG34" i="139"/>
  <c r="EG61" i="139" s="1"/>
  <c r="FF87" i="139" s="1"/>
  <c r="EG33" i="139"/>
  <c r="EG60" i="139" s="1"/>
  <c r="FF86" i="139" s="1"/>
  <c r="EG31" i="139"/>
  <c r="EG58" i="139" s="1"/>
  <c r="FF84" i="139" s="1"/>
  <c r="EG40" i="139"/>
  <c r="EG67" i="139" s="1"/>
  <c r="FF93" i="139" s="1"/>
  <c r="EG32" i="139"/>
  <c r="EG59" i="139" s="1"/>
  <c r="FF85" i="139" s="1"/>
  <c r="EG39" i="139"/>
  <c r="EG66" i="139" s="1"/>
  <c r="FF92" i="139" s="1"/>
  <c r="EF38" i="139" l="1"/>
  <c r="EF65" i="139" s="1"/>
  <c r="FE91" i="139" s="1"/>
  <c r="EF37" i="139"/>
  <c r="EF64" i="139" s="1"/>
  <c r="FE90" i="139" s="1"/>
  <c r="EF34" i="139"/>
  <c r="EF61" i="139" s="1"/>
  <c r="FE87" i="139" s="1"/>
  <c r="EF40" i="139"/>
  <c r="EF67" i="139" s="1"/>
  <c r="FE93" i="139" s="1"/>
  <c r="EF41" i="139"/>
  <c r="EF68" i="139" s="1"/>
  <c r="FE94" i="139" s="1"/>
  <c r="EF35" i="139"/>
  <c r="EF62" i="139" s="1"/>
  <c r="FE88" i="139" s="1"/>
  <c r="EF30" i="139"/>
  <c r="EF57" i="139" s="1"/>
  <c r="FE83" i="139" s="1"/>
  <c r="EF33" i="139"/>
  <c r="EF60" i="139" s="1"/>
  <c r="FE86" i="139" s="1"/>
  <c r="EF36" i="139"/>
  <c r="EF63" i="139" s="1"/>
  <c r="FE89" i="139" s="1"/>
  <c r="EF39" i="139"/>
  <c r="EF66" i="139" s="1"/>
  <c r="FE92" i="139" s="1"/>
  <c r="EF32" i="139"/>
  <c r="EF59" i="139" s="1"/>
  <c r="FE85" i="139" s="1"/>
  <c r="EF31" i="139"/>
  <c r="EF58" i="139" s="1"/>
  <c r="FE84" i="139" s="1"/>
  <c r="EE28" i="139"/>
  <c r="EE33" i="139" l="1"/>
  <c r="EE60" i="139" s="1"/>
  <c r="FD86" i="139" s="1"/>
  <c r="EE40" i="139"/>
  <c r="EE67" i="139" s="1"/>
  <c r="FD93" i="139" s="1"/>
  <c r="EE38" i="139"/>
  <c r="EE65" i="139" s="1"/>
  <c r="FD91" i="139" s="1"/>
  <c r="EE39" i="139"/>
  <c r="EE66" i="139" s="1"/>
  <c r="FD92" i="139" s="1"/>
  <c r="EE34" i="139"/>
  <c r="EE61" i="139" s="1"/>
  <c r="FD87" i="139" s="1"/>
  <c r="EE30" i="139"/>
  <c r="EE57" i="139" s="1"/>
  <c r="FD83" i="139" s="1"/>
  <c r="EE31" i="139"/>
  <c r="EE58" i="139" s="1"/>
  <c r="FD84" i="139" s="1"/>
  <c r="EE35" i="139"/>
  <c r="EE62" i="139" s="1"/>
  <c r="FD88" i="139" s="1"/>
  <c r="EE32" i="139"/>
  <c r="EE59" i="139" s="1"/>
  <c r="FD85" i="139" s="1"/>
  <c r="EE36" i="139"/>
  <c r="EE63" i="139" s="1"/>
  <c r="FD89" i="139" s="1"/>
  <c r="EE37" i="139"/>
  <c r="EE64" i="139" s="1"/>
  <c r="FD90" i="139" s="1"/>
  <c r="ED28" i="139"/>
  <c r="EE41" i="139"/>
  <c r="EE68" i="139" s="1"/>
  <c r="FD94" i="139" s="1"/>
  <c r="ED41" i="139" l="1"/>
  <c r="ED68" i="139" s="1"/>
  <c r="FC94" i="139" s="1"/>
  <c r="ED34" i="139"/>
  <c r="ED61" i="139" s="1"/>
  <c r="FC87" i="139" s="1"/>
  <c r="ED39" i="139"/>
  <c r="ED66" i="139" s="1"/>
  <c r="FC92" i="139" s="1"/>
  <c r="EC28" i="139"/>
  <c r="ED38" i="139"/>
  <c r="ED65" i="139" s="1"/>
  <c r="FC91" i="139" s="1"/>
  <c r="ED40" i="139"/>
  <c r="ED67" i="139" s="1"/>
  <c r="FC93" i="139" s="1"/>
  <c r="ED32" i="139"/>
  <c r="ED59" i="139" s="1"/>
  <c r="FC85" i="139" s="1"/>
  <c r="ED30" i="139"/>
  <c r="ED57" i="139" s="1"/>
  <c r="FC83" i="139" s="1"/>
  <c r="ED37" i="139"/>
  <c r="ED64" i="139" s="1"/>
  <c r="FC90" i="139" s="1"/>
  <c r="ED33" i="139"/>
  <c r="ED60" i="139" s="1"/>
  <c r="FC86" i="139" s="1"/>
  <c r="ED31" i="139"/>
  <c r="ED58" i="139" s="1"/>
  <c r="FC84" i="139" s="1"/>
  <c r="ED35" i="139"/>
  <c r="ED62" i="139" s="1"/>
  <c r="FC88" i="139" s="1"/>
  <c r="ED36" i="139"/>
  <c r="ED63" i="139" s="1"/>
  <c r="FC89" i="139" s="1"/>
  <c r="EC34" i="139" l="1"/>
  <c r="EC61" i="139" s="1"/>
  <c r="FB87" i="139" s="1"/>
  <c r="EC36" i="139"/>
  <c r="EC63" i="139" s="1"/>
  <c r="FB89" i="139" s="1"/>
  <c r="EC40" i="139"/>
  <c r="EC67" i="139" s="1"/>
  <c r="FB93" i="139" s="1"/>
  <c r="EB28" i="139"/>
  <c r="EC39" i="139"/>
  <c r="EC66" i="139" s="1"/>
  <c r="FB92" i="139" s="1"/>
  <c r="EC38" i="139"/>
  <c r="EC65" i="139" s="1"/>
  <c r="FB91" i="139" s="1"/>
  <c r="EC41" i="139"/>
  <c r="EC68" i="139" s="1"/>
  <c r="FB94" i="139" s="1"/>
  <c r="EC31" i="139"/>
  <c r="EC58" i="139" s="1"/>
  <c r="FB84" i="139" s="1"/>
  <c r="EC30" i="139"/>
  <c r="EC57" i="139" s="1"/>
  <c r="FB83" i="139" s="1"/>
  <c r="EC37" i="139"/>
  <c r="EC64" i="139" s="1"/>
  <c r="FB90" i="139" s="1"/>
  <c r="EC32" i="139"/>
  <c r="EC59" i="139" s="1"/>
  <c r="FB85" i="139" s="1"/>
  <c r="EC33" i="139"/>
  <c r="EC60" i="139" s="1"/>
  <c r="FB86" i="139" s="1"/>
  <c r="EC35" i="139"/>
  <c r="EC62" i="139" s="1"/>
  <c r="FB88" i="139" s="1"/>
  <c r="EB33" i="139" l="1"/>
  <c r="EB60" i="139" s="1"/>
  <c r="FA86" i="139" s="1"/>
  <c r="EB30" i="139"/>
  <c r="EB57" i="139" s="1"/>
  <c r="FA83" i="139" s="1"/>
  <c r="EB37" i="139"/>
  <c r="EB64" i="139" s="1"/>
  <c r="FA90" i="139" s="1"/>
  <c r="EB36" i="139"/>
  <c r="EB63" i="139" s="1"/>
  <c r="FA89" i="139" s="1"/>
  <c r="EB32" i="139"/>
  <c r="EB59" i="139" s="1"/>
  <c r="FA85" i="139" s="1"/>
  <c r="EB34" i="139"/>
  <c r="EB61" i="139" s="1"/>
  <c r="FA87" i="139" s="1"/>
  <c r="EB31" i="139"/>
  <c r="EB58" i="139" s="1"/>
  <c r="FA84" i="139" s="1"/>
  <c r="EB41" i="139"/>
  <c r="EB68" i="139" s="1"/>
  <c r="FA94" i="139" s="1"/>
  <c r="EB39" i="139"/>
  <c r="EB66" i="139" s="1"/>
  <c r="FA92" i="139" s="1"/>
  <c r="EA28" i="139"/>
  <c r="EB40" i="139"/>
  <c r="EB67" i="139" s="1"/>
  <c r="FA93" i="139" s="1"/>
  <c r="EB38" i="139"/>
  <c r="EB65" i="139" s="1"/>
  <c r="FA91" i="139" s="1"/>
  <c r="EB35" i="139"/>
  <c r="EB62" i="139" s="1"/>
  <c r="FA88" i="139" s="1"/>
  <c r="EA37" i="139" l="1"/>
  <c r="EA64" i="139" s="1"/>
  <c r="EZ90" i="139" s="1"/>
  <c r="EA36" i="139"/>
  <c r="EA63" i="139" s="1"/>
  <c r="EZ89" i="139" s="1"/>
  <c r="EA38" i="139"/>
  <c r="EA65" i="139" s="1"/>
  <c r="EZ91" i="139" s="1"/>
  <c r="EA31" i="139"/>
  <c r="EA58" i="139" s="1"/>
  <c r="EZ84" i="139" s="1"/>
  <c r="EA32" i="139"/>
  <c r="EA59" i="139" s="1"/>
  <c r="EZ85" i="139" s="1"/>
  <c r="EA35" i="139"/>
  <c r="EA62" i="139" s="1"/>
  <c r="EZ88" i="139" s="1"/>
  <c r="EA41" i="139"/>
  <c r="EA68" i="139" s="1"/>
  <c r="EZ94" i="139" s="1"/>
  <c r="EA33" i="139"/>
  <c r="EA60" i="139" s="1"/>
  <c r="EZ86" i="139" s="1"/>
  <c r="EA39" i="139"/>
  <c r="EA66" i="139" s="1"/>
  <c r="EZ92" i="139" s="1"/>
  <c r="DZ28" i="139"/>
  <c r="EA30" i="139"/>
  <c r="EA57" i="139" s="1"/>
  <c r="EZ83" i="139" s="1"/>
  <c r="EA40" i="139"/>
  <c r="EA67" i="139" s="1"/>
  <c r="EZ93" i="139" s="1"/>
  <c r="EA34" i="139"/>
  <c r="EA61" i="139" s="1"/>
  <c r="EZ87" i="139" s="1"/>
  <c r="DZ40" i="139" l="1"/>
  <c r="DZ67" i="139" s="1"/>
  <c r="EY93" i="139" s="1"/>
  <c r="DY28" i="139"/>
  <c r="DZ34" i="139"/>
  <c r="DZ61" i="139" s="1"/>
  <c r="EY87" i="139" s="1"/>
  <c r="DZ39" i="139"/>
  <c r="DZ66" i="139" s="1"/>
  <c r="EY92" i="139" s="1"/>
  <c r="DZ36" i="139"/>
  <c r="DZ63" i="139" s="1"/>
  <c r="EY89" i="139" s="1"/>
  <c r="DZ30" i="139"/>
  <c r="DZ57" i="139" s="1"/>
  <c r="EY83" i="139" s="1"/>
  <c r="DZ41" i="139"/>
  <c r="DZ68" i="139" s="1"/>
  <c r="EY94" i="139" s="1"/>
  <c r="DZ38" i="139"/>
  <c r="DZ65" i="139" s="1"/>
  <c r="EY91" i="139" s="1"/>
  <c r="DZ35" i="139"/>
  <c r="DZ62" i="139" s="1"/>
  <c r="EY88" i="139" s="1"/>
  <c r="DZ33" i="139"/>
  <c r="DZ60" i="139" s="1"/>
  <c r="EY86" i="139" s="1"/>
  <c r="DZ37" i="139"/>
  <c r="DZ64" i="139" s="1"/>
  <c r="EY90" i="139" s="1"/>
  <c r="DZ32" i="139"/>
  <c r="DZ59" i="139" s="1"/>
  <c r="EY85" i="139" s="1"/>
  <c r="DZ31" i="139"/>
  <c r="DZ58" i="139" s="1"/>
  <c r="EY84" i="139" s="1"/>
  <c r="DY41" i="139" l="1"/>
  <c r="DY68" i="139" s="1"/>
  <c r="EX94" i="139" s="1"/>
  <c r="DY32" i="139"/>
  <c r="DY59" i="139" s="1"/>
  <c r="EX85" i="139" s="1"/>
  <c r="DY34" i="139"/>
  <c r="DY61" i="139" s="1"/>
  <c r="EX87" i="139" s="1"/>
  <c r="DY31" i="139"/>
  <c r="DY58" i="139" s="1"/>
  <c r="EX84" i="139" s="1"/>
  <c r="DY36" i="139"/>
  <c r="DY63" i="139" s="1"/>
  <c r="EX89" i="139" s="1"/>
  <c r="DY33" i="139"/>
  <c r="DY60" i="139" s="1"/>
  <c r="EX86" i="139" s="1"/>
  <c r="DY35" i="139"/>
  <c r="DY62" i="139" s="1"/>
  <c r="EX88" i="139" s="1"/>
  <c r="DX28" i="139"/>
  <c r="DY39" i="139"/>
  <c r="DY66" i="139" s="1"/>
  <c r="EX92" i="139" s="1"/>
  <c r="DY30" i="139"/>
  <c r="DY57" i="139" s="1"/>
  <c r="EX83" i="139" s="1"/>
  <c r="DY38" i="139"/>
  <c r="DY65" i="139" s="1"/>
  <c r="EX91" i="139" s="1"/>
  <c r="DY37" i="139"/>
  <c r="DY64" i="139" s="1"/>
  <c r="EX90" i="139" s="1"/>
  <c r="DY40" i="139"/>
  <c r="DY67" i="139" s="1"/>
  <c r="EX93" i="139" s="1"/>
  <c r="DX40" i="139" l="1"/>
  <c r="DX67" i="139" s="1"/>
  <c r="EW93" i="139" s="1"/>
  <c r="DX36" i="139"/>
  <c r="DX63" i="139" s="1"/>
  <c r="EW89" i="139" s="1"/>
  <c r="DX38" i="139"/>
  <c r="DX65" i="139" s="1"/>
  <c r="EW91" i="139" s="1"/>
  <c r="DX34" i="139"/>
  <c r="DX61" i="139" s="1"/>
  <c r="EW87" i="139" s="1"/>
  <c r="DX31" i="139"/>
  <c r="DX58" i="139" s="1"/>
  <c r="EW84" i="139" s="1"/>
  <c r="DX35" i="139"/>
  <c r="DX62" i="139" s="1"/>
  <c r="EW88" i="139" s="1"/>
  <c r="DX41" i="139"/>
  <c r="DX68" i="139" s="1"/>
  <c r="EW94" i="139" s="1"/>
  <c r="DX32" i="139"/>
  <c r="DX59" i="139" s="1"/>
  <c r="EW85" i="139" s="1"/>
  <c r="DX37" i="139"/>
  <c r="DX64" i="139" s="1"/>
  <c r="EW90" i="139" s="1"/>
  <c r="DX39" i="139"/>
  <c r="DX66" i="139" s="1"/>
  <c r="EW92" i="139" s="1"/>
  <c r="DX30" i="139"/>
  <c r="DX57" i="139" s="1"/>
  <c r="EW83" i="139" s="1"/>
  <c r="DX33" i="139"/>
  <c r="DX60" i="139" s="1"/>
  <c r="EW86" i="139" s="1"/>
  <c r="DW28" i="139"/>
  <c r="DW36" i="139" l="1"/>
  <c r="DW63" i="139" s="1"/>
  <c r="EV89" i="139" s="1"/>
  <c r="DW31" i="139"/>
  <c r="DW58" i="139" s="1"/>
  <c r="EV84" i="139" s="1"/>
  <c r="DW33" i="139"/>
  <c r="DW60" i="139" s="1"/>
  <c r="EV86" i="139" s="1"/>
  <c r="DW40" i="139"/>
  <c r="DW67" i="139" s="1"/>
  <c r="EV93" i="139" s="1"/>
  <c r="DW39" i="139"/>
  <c r="DW66" i="139" s="1"/>
  <c r="EV92" i="139" s="1"/>
  <c r="DW38" i="139"/>
  <c r="DW65" i="139" s="1"/>
  <c r="EV91" i="139" s="1"/>
  <c r="DW37" i="139"/>
  <c r="DW64" i="139" s="1"/>
  <c r="EV90" i="139" s="1"/>
  <c r="DW32" i="139"/>
  <c r="DW59" i="139" s="1"/>
  <c r="EV85" i="139" s="1"/>
  <c r="DW34" i="139"/>
  <c r="DW61" i="139" s="1"/>
  <c r="EV87" i="139" s="1"/>
  <c r="DW35" i="139"/>
  <c r="DW62" i="139" s="1"/>
  <c r="EV88" i="139" s="1"/>
  <c r="DV28" i="139"/>
  <c r="DW41" i="139"/>
  <c r="DW68" i="139" s="1"/>
  <c r="EV94" i="139" s="1"/>
  <c r="DW30" i="139"/>
  <c r="DW57" i="139" s="1"/>
  <c r="EV83" i="139" s="1"/>
  <c r="DV41" i="139" l="1"/>
  <c r="DV68" i="139" s="1"/>
  <c r="EU94" i="139" s="1"/>
  <c r="DV36" i="139"/>
  <c r="DV63" i="139" s="1"/>
  <c r="EU89" i="139" s="1"/>
  <c r="DV39" i="139"/>
  <c r="DV66" i="139" s="1"/>
  <c r="EU92" i="139" s="1"/>
  <c r="DV40" i="139"/>
  <c r="DV67" i="139" s="1"/>
  <c r="EU93" i="139" s="1"/>
  <c r="DV32" i="139"/>
  <c r="DV59" i="139" s="1"/>
  <c r="EU85" i="139" s="1"/>
  <c r="DV33" i="139"/>
  <c r="DV60" i="139" s="1"/>
  <c r="EU86" i="139" s="1"/>
  <c r="DV38" i="139"/>
  <c r="DV65" i="139" s="1"/>
  <c r="EU91" i="139" s="1"/>
  <c r="DV30" i="139"/>
  <c r="DV57" i="139" s="1"/>
  <c r="EU83" i="139" s="1"/>
  <c r="DU28" i="139"/>
  <c r="DV37" i="139"/>
  <c r="DV64" i="139" s="1"/>
  <c r="EU90" i="139" s="1"/>
  <c r="DV34" i="139"/>
  <c r="DV61" i="139" s="1"/>
  <c r="EU87" i="139" s="1"/>
  <c r="DV35" i="139"/>
  <c r="DV62" i="139" s="1"/>
  <c r="EU88" i="139" s="1"/>
  <c r="DV31" i="139"/>
  <c r="DV58" i="139" s="1"/>
  <c r="EU84" i="139" s="1"/>
  <c r="DU41" i="139" l="1"/>
  <c r="DU68" i="139" s="1"/>
  <c r="ET94" i="139" s="1"/>
  <c r="DU40" i="139"/>
  <c r="DU67" i="139" s="1"/>
  <c r="ET93" i="139" s="1"/>
  <c r="DU36" i="139"/>
  <c r="DU63" i="139" s="1"/>
  <c r="ET89" i="139" s="1"/>
  <c r="DU34" i="139"/>
  <c r="DU61" i="139" s="1"/>
  <c r="ET87" i="139" s="1"/>
  <c r="DU37" i="139"/>
  <c r="DU64" i="139" s="1"/>
  <c r="ET90" i="139" s="1"/>
  <c r="DU33" i="139"/>
  <c r="DU60" i="139" s="1"/>
  <c r="ET86" i="139" s="1"/>
  <c r="DU32" i="139"/>
  <c r="DU59" i="139" s="1"/>
  <c r="ET85" i="139" s="1"/>
  <c r="DU31" i="139"/>
  <c r="DU58" i="139" s="1"/>
  <c r="ET84" i="139" s="1"/>
  <c r="DU35" i="139"/>
  <c r="DU62" i="139" s="1"/>
  <c r="ET88" i="139" s="1"/>
  <c r="DU39" i="139"/>
  <c r="DU66" i="139" s="1"/>
  <c r="ET92" i="139" s="1"/>
  <c r="DU38" i="139"/>
  <c r="DU65" i="139" s="1"/>
  <c r="ET91" i="139" s="1"/>
  <c r="DT28" i="139"/>
  <c r="DU30" i="139"/>
  <c r="DU57" i="139" s="1"/>
  <c r="ET83" i="139" s="1"/>
  <c r="DT35" i="139" l="1"/>
  <c r="DT62" i="139" s="1"/>
  <c r="ES88" i="139" s="1"/>
  <c r="DT38" i="139"/>
  <c r="DT65" i="139" s="1"/>
  <c r="ES91" i="139" s="1"/>
  <c r="DS28" i="139"/>
  <c r="DT30" i="139"/>
  <c r="DT57" i="139" s="1"/>
  <c r="ES83" i="139" s="1"/>
  <c r="DT32" i="139"/>
  <c r="DT59" i="139" s="1"/>
  <c r="ES85" i="139" s="1"/>
  <c r="DT39" i="139"/>
  <c r="DT66" i="139" s="1"/>
  <c r="ES92" i="139" s="1"/>
  <c r="DT33" i="139"/>
  <c r="DT60" i="139" s="1"/>
  <c r="ES86" i="139" s="1"/>
  <c r="DT41" i="139"/>
  <c r="DT68" i="139" s="1"/>
  <c r="ES94" i="139" s="1"/>
  <c r="DT37" i="139"/>
  <c r="DT64" i="139" s="1"/>
  <c r="ES90" i="139" s="1"/>
  <c r="DT31" i="139"/>
  <c r="DT58" i="139" s="1"/>
  <c r="ES84" i="139" s="1"/>
  <c r="DT34" i="139"/>
  <c r="DT61" i="139" s="1"/>
  <c r="ES87" i="139" s="1"/>
  <c r="DT40" i="139"/>
  <c r="DT67" i="139" s="1"/>
  <c r="ES93" i="139" s="1"/>
  <c r="DT36" i="139"/>
  <c r="DT63" i="139" s="1"/>
  <c r="ES89" i="139" s="1"/>
  <c r="DS37" i="139" l="1"/>
  <c r="DS64" i="139" s="1"/>
  <c r="ER90" i="139" s="1"/>
  <c r="DS35" i="139"/>
  <c r="DS62" i="139" s="1"/>
  <c r="ER88" i="139" s="1"/>
  <c r="DS41" i="139"/>
  <c r="DS68" i="139" s="1"/>
  <c r="ER94" i="139" s="1"/>
  <c r="DS39" i="139"/>
  <c r="DS66" i="139" s="1"/>
  <c r="ER92" i="139" s="1"/>
  <c r="DS38" i="139"/>
  <c r="DS65" i="139" s="1"/>
  <c r="ER91" i="139" s="1"/>
  <c r="DS30" i="139"/>
  <c r="DS57" i="139" s="1"/>
  <c r="ER83" i="139" s="1"/>
  <c r="DS32" i="139"/>
  <c r="DS59" i="139" s="1"/>
  <c r="ER85" i="139" s="1"/>
  <c r="DS40" i="139"/>
  <c r="DS67" i="139" s="1"/>
  <c r="ER93" i="139" s="1"/>
  <c r="DR28" i="139"/>
  <c r="DS33" i="139"/>
  <c r="DS60" i="139" s="1"/>
  <c r="ER86" i="139" s="1"/>
  <c r="DS36" i="139"/>
  <c r="DS63" i="139" s="1"/>
  <c r="ER89" i="139" s="1"/>
  <c r="DS31" i="139"/>
  <c r="DS58" i="139" s="1"/>
  <c r="ER84" i="139" s="1"/>
  <c r="DS34" i="139"/>
  <c r="DS61" i="139" s="1"/>
  <c r="ER87" i="139" s="1"/>
  <c r="DR40" i="139" l="1"/>
  <c r="DR67" i="139" s="1"/>
  <c r="EQ93" i="139" s="1"/>
  <c r="DR32" i="139"/>
  <c r="DR59" i="139" s="1"/>
  <c r="EQ85" i="139" s="1"/>
  <c r="DR33" i="139"/>
  <c r="DR60" i="139" s="1"/>
  <c r="EQ86" i="139" s="1"/>
  <c r="DR39" i="139"/>
  <c r="DR66" i="139" s="1"/>
  <c r="EQ92" i="139" s="1"/>
  <c r="DR37" i="139"/>
  <c r="DR64" i="139" s="1"/>
  <c r="EQ90" i="139" s="1"/>
  <c r="DR30" i="139"/>
  <c r="DR57" i="139" s="1"/>
  <c r="EQ83" i="139" s="1"/>
  <c r="DR36" i="139"/>
  <c r="DR63" i="139" s="1"/>
  <c r="EQ89" i="139" s="1"/>
  <c r="DR31" i="139"/>
  <c r="DR58" i="139" s="1"/>
  <c r="EQ84" i="139" s="1"/>
  <c r="DR35" i="139"/>
  <c r="DR62" i="139" s="1"/>
  <c r="EQ88" i="139" s="1"/>
  <c r="DR41" i="139"/>
  <c r="DR68" i="139" s="1"/>
  <c r="EQ94" i="139" s="1"/>
  <c r="DR38" i="139"/>
  <c r="DR65" i="139" s="1"/>
  <c r="EQ91" i="139" s="1"/>
  <c r="DQ28" i="139"/>
  <c r="DR34" i="139"/>
  <c r="DR61" i="139" s="1"/>
  <c r="EQ87" i="139" s="1"/>
  <c r="DQ30" i="139" l="1"/>
  <c r="DQ57" i="139" s="1"/>
  <c r="EP83" i="139" s="1"/>
  <c r="DQ33" i="139"/>
  <c r="DQ60" i="139" s="1"/>
  <c r="EP86" i="139" s="1"/>
  <c r="DQ38" i="139"/>
  <c r="DQ65" i="139" s="1"/>
  <c r="EP91" i="139" s="1"/>
  <c r="DQ41" i="139"/>
  <c r="DQ68" i="139" s="1"/>
  <c r="EP94" i="139" s="1"/>
  <c r="DQ34" i="139"/>
  <c r="DQ61" i="139" s="1"/>
  <c r="EP87" i="139" s="1"/>
  <c r="DQ35" i="139"/>
  <c r="DQ62" i="139" s="1"/>
  <c r="EP88" i="139" s="1"/>
  <c r="DQ32" i="139"/>
  <c r="DQ59" i="139" s="1"/>
  <c r="EP85" i="139" s="1"/>
  <c r="DQ31" i="139"/>
  <c r="DQ58" i="139" s="1"/>
  <c r="EP84" i="139" s="1"/>
  <c r="DQ39" i="139"/>
  <c r="DQ66" i="139" s="1"/>
  <c r="EP92" i="139" s="1"/>
  <c r="DP28" i="139"/>
  <c r="DQ40" i="139"/>
  <c r="DQ67" i="139" s="1"/>
  <c r="EP93" i="139" s="1"/>
  <c r="DQ37" i="139"/>
  <c r="DQ64" i="139" s="1"/>
  <c r="EP90" i="139" s="1"/>
  <c r="DQ36" i="139"/>
  <c r="DQ63" i="139" s="1"/>
  <c r="EP89" i="139" s="1"/>
  <c r="DP31" i="139" l="1"/>
  <c r="DP58" i="139" s="1"/>
  <c r="EO84" i="139" s="1"/>
  <c r="DP40" i="139"/>
  <c r="DP67" i="139" s="1"/>
  <c r="EO93" i="139" s="1"/>
  <c r="DP38" i="139"/>
  <c r="DP65" i="139" s="1"/>
  <c r="EO91" i="139" s="1"/>
  <c r="DP36" i="139"/>
  <c r="DP63" i="139" s="1"/>
  <c r="EO89" i="139" s="1"/>
  <c r="DO28" i="139"/>
  <c r="DP32" i="139"/>
  <c r="DP59" i="139" s="1"/>
  <c r="EO85" i="139" s="1"/>
  <c r="DP39" i="139"/>
  <c r="DP66" i="139" s="1"/>
  <c r="EO92" i="139" s="1"/>
  <c r="DP35" i="139"/>
  <c r="DP62" i="139" s="1"/>
  <c r="EO88" i="139" s="1"/>
  <c r="DP33" i="139"/>
  <c r="DP60" i="139" s="1"/>
  <c r="EO86" i="139" s="1"/>
  <c r="DP34" i="139"/>
  <c r="DP61" i="139" s="1"/>
  <c r="EO87" i="139" s="1"/>
  <c r="DP37" i="139"/>
  <c r="DP64" i="139" s="1"/>
  <c r="EO90" i="139" s="1"/>
  <c r="DP30" i="139"/>
  <c r="DP57" i="139" s="1"/>
  <c r="EO83" i="139" s="1"/>
  <c r="DP41" i="139"/>
  <c r="DP68" i="139" s="1"/>
  <c r="EO94" i="139" s="1"/>
  <c r="DO39" i="139" l="1"/>
  <c r="DO66" i="139" s="1"/>
  <c r="EN92" i="139" s="1"/>
  <c r="DO34" i="139"/>
  <c r="DO61" i="139" s="1"/>
  <c r="EN87" i="139" s="1"/>
  <c r="DO32" i="139"/>
  <c r="DO59" i="139" s="1"/>
  <c r="EN85" i="139" s="1"/>
  <c r="DO30" i="139"/>
  <c r="DO57" i="139" s="1"/>
  <c r="EN83" i="139" s="1"/>
  <c r="DO36" i="139"/>
  <c r="DO63" i="139" s="1"/>
  <c r="EN89" i="139" s="1"/>
  <c r="DO31" i="139"/>
  <c r="DO58" i="139" s="1"/>
  <c r="EN84" i="139" s="1"/>
  <c r="DO37" i="139"/>
  <c r="DO64" i="139" s="1"/>
  <c r="EN90" i="139" s="1"/>
  <c r="DO40" i="139"/>
  <c r="DO67" i="139" s="1"/>
  <c r="EN93" i="139" s="1"/>
  <c r="DO33" i="139"/>
  <c r="DO60" i="139" s="1"/>
  <c r="EN86" i="139" s="1"/>
  <c r="DO35" i="139"/>
  <c r="DO62" i="139" s="1"/>
  <c r="EN88" i="139" s="1"/>
  <c r="DO41" i="139"/>
  <c r="DO68" i="139" s="1"/>
  <c r="EN94" i="139" s="1"/>
  <c r="DN28" i="139"/>
  <c r="DO38" i="139"/>
  <c r="DO65" i="139" s="1"/>
  <c r="EN91" i="139" s="1"/>
  <c r="DN41" i="139" l="1"/>
  <c r="DN68" i="139" s="1"/>
  <c r="EM94" i="139" s="1"/>
  <c r="DN37" i="139"/>
  <c r="DN64" i="139" s="1"/>
  <c r="EM90" i="139" s="1"/>
  <c r="DN36" i="139"/>
  <c r="DN63" i="139" s="1"/>
  <c r="EM89" i="139" s="1"/>
  <c r="DN31" i="139"/>
  <c r="DN58" i="139" s="1"/>
  <c r="EM84" i="139" s="1"/>
  <c r="DN39" i="139"/>
  <c r="DN66" i="139" s="1"/>
  <c r="EM92" i="139" s="1"/>
  <c r="DM28" i="139"/>
  <c r="DN38" i="139"/>
  <c r="DN65" i="139" s="1"/>
  <c r="EM91" i="139" s="1"/>
  <c r="DN40" i="139"/>
  <c r="DN67" i="139" s="1"/>
  <c r="EM93" i="139" s="1"/>
  <c r="DN34" i="139"/>
  <c r="DN61" i="139" s="1"/>
  <c r="EM87" i="139" s="1"/>
  <c r="DN33" i="139"/>
  <c r="DN60" i="139" s="1"/>
  <c r="EM86" i="139" s="1"/>
  <c r="DN35" i="139"/>
  <c r="DN62" i="139" s="1"/>
  <c r="EM88" i="139" s="1"/>
  <c r="DN32" i="139"/>
  <c r="DN59" i="139" s="1"/>
  <c r="EM85" i="139" s="1"/>
  <c r="DN30" i="139"/>
  <c r="DN57" i="139" s="1"/>
  <c r="EM83" i="139" s="1"/>
  <c r="DM33" i="139" l="1"/>
  <c r="DM60" i="139" s="1"/>
  <c r="EL86" i="139" s="1"/>
  <c r="DM40" i="139"/>
  <c r="DM67" i="139" s="1"/>
  <c r="EL93" i="139" s="1"/>
  <c r="DM32" i="139"/>
  <c r="DM59" i="139" s="1"/>
  <c r="EL85" i="139" s="1"/>
  <c r="DM34" i="139"/>
  <c r="DM61" i="139" s="1"/>
  <c r="EL87" i="139" s="1"/>
  <c r="DM36" i="139"/>
  <c r="DM63" i="139" s="1"/>
  <c r="EL89" i="139" s="1"/>
  <c r="DM35" i="139"/>
  <c r="DM62" i="139" s="1"/>
  <c r="EL88" i="139" s="1"/>
  <c r="DM38" i="139"/>
  <c r="DM65" i="139" s="1"/>
  <c r="EL91" i="139" s="1"/>
  <c r="DM37" i="139"/>
  <c r="DM64" i="139" s="1"/>
  <c r="EL90" i="139" s="1"/>
  <c r="DM30" i="139"/>
  <c r="DM57" i="139" s="1"/>
  <c r="EL83" i="139" s="1"/>
  <c r="DM31" i="139"/>
  <c r="DM58" i="139" s="1"/>
  <c r="EL84" i="139" s="1"/>
  <c r="DM41" i="139"/>
  <c r="DM68" i="139" s="1"/>
  <c r="EL94" i="139" s="1"/>
  <c r="DL28" i="139"/>
  <c r="DM39" i="139"/>
  <c r="DM66" i="139" s="1"/>
  <c r="EL92" i="139" s="1"/>
  <c r="DL40" i="139" l="1"/>
  <c r="DL67" i="139" s="1"/>
  <c r="EK93" i="139" s="1"/>
  <c r="DL35" i="139"/>
  <c r="DL62" i="139" s="1"/>
  <c r="EK88" i="139" s="1"/>
  <c r="DL41" i="139"/>
  <c r="DL68" i="139" s="1"/>
  <c r="EK94" i="139" s="1"/>
  <c r="DL30" i="139"/>
  <c r="DL57" i="139" s="1"/>
  <c r="EK83" i="139" s="1"/>
  <c r="DL38" i="139"/>
  <c r="DL65" i="139" s="1"/>
  <c r="EK91" i="139" s="1"/>
  <c r="DL39" i="139"/>
  <c r="DL66" i="139" s="1"/>
  <c r="EK92" i="139" s="1"/>
  <c r="DL37" i="139"/>
  <c r="DL64" i="139" s="1"/>
  <c r="EK90" i="139" s="1"/>
  <c r="DL32" i="139"/>
  <c r="DL59" i="139" s="1"/>
  <c r="EK85" i="139" s="1"/>
  <c r="DL33" i="139"/>
  <c r="DL60" i="139" s="1"/>
  <c r="EK86" i="139" s="1"/>
  <c r="DK28" i="139"/>
  <c r="DL31" i="139"/>
  <c r="DL58" i="139" s="1"/>
  <c r="EK84" i="139" s="1"/>
  <c r="DL36" i="139"/>
  <c r="DL63" i="139" s="1"/>
  <c r="EK89" i="139" s="1"/>
  <c r="DL34" i="139"/>
  <c r="DL61" i="139" s="1"/>
  <c r="EK87" i="139" s="1"/>
  <c r="DK31" i="139" l="1"/>
  <c r="DK58" i="139" s="1"/>
  <c r="EJ84" i="139" s="1"/>
  <c r="DJ28" i="139"/>
  <c r="DK30" i="139"/>
  <c r="DK57" i="139" s="1"/>
  <c r="EJ83" i="139" s="1"/>
  <c r="DK37" i="139"/>
  <c r="DK64" i="139" s="1"/>
  <c r="EJ90" i="139" s="1"/>
  <c r="DK33" i="139"/>
  <c r="DK60" i="139" s="1"/>
  <c r="EJ86" i="139" s="1"/>
  <c r="DK36" i="139"/>
  <c r="DK63" i="139" s="1"/>
  <c r="EJ89" i="139" s="1"/>
  <c r="DK34" i="139"/>
  <c r="DK61" i="139" s="1"/>
  <c r="EJ87" i="139" s="1"/>
  <c r="DK32" i="139"/>
  <c r="DK59" i="139" s="1"/>
  <c r="EJ85" i="139" s="1"/>
  <c r="DK35" i="139"/>
  <c r="DK62" i="139" s="1"/>
  <c r="EJ88" i="139" s="1"/>
  <c r="DK39" i="139"/>
  <c r="DK66" i="139" s="1"/>
  <c r="EJ92" i="139" s="1"/>
  <c r="DK40" i="139"/>
  <c r="DK67" i="139" s="1"/>
  <c r="EJ93" i="139" s="1"/>
  <c r="DK41" i="139"/>
  <c r="DK68" i="139" s="1"/>
  <c r="EJ94" i="139" s="1"/>
  <c r="DK38" i="139"/>
  <c r="DK65" i="139" s="1"/>
  <c r="EJ91" i="139" s="1"/>
  <c r="DJ38" i="139" l="1"/>
  <c r="DJ65" i="139" s="1"/>
  <c r="EI91" i="139" s="1"/>
  <c r="DJ40" i="139"/>
  <c r="DJ67" i="139" s="1"/>
  <c r="EI93" i="139" s="1"/>
  <c r="DJ34" i="139"/>
  <c r="DJ61" i="139" s="1"/>
  <c r="EI87" i="139" s="1"/>
  <c r="DJ37" i="139"/>
  <c r="DJ64" i="139" s="1"/>
  <c r="EI90" i="139" s="1"/>
  <c r="DJ35" i="139"/>
  <c r="DJ62" i="139" s="1"/>
  <c r="EI88" i="139" s="1"/>
  <c r="DJ36" i="139"/>
  <c r="DJ63" i="139" s="1"/>
  <c r="EI89" i="139" s="1"/>
  <c r="DJ41" i="139"/>
  <c r="DJ68" i="139" s="1"/>
  <c r="EI94" i="139" s="1"/>
  <c r="DJ32" i="139"/>
  <c r="DJ59" i="139" s="1"/>
  <c r="EI85" i="139" s="1"/>
  <c r="DJ31" i="139"/>
  <c r="DJ58" i="139" s="1"/>
  <c r="EI84" i="139" s="1"/>
  <c r="DJ39" i="139"/>
  <c r="DJ66" i="139" s="1"/>
  <c r="EI92" i="139" s="1"/>
  <c r="DI28" i="139"/>
  <c r="DJ33" i="139"/>
  <c r="DJ60" i="139" s="1"/>
  <c r="EI86" i="139" s="1"/>
  <c r="DJ30" i="139"/>
  <c r="DJ57" i="139" s="1"/>
  <c r="EI83" i="139" s="1"/>
  <c r="DI36" i="139" l="1"/>
  <c r="DI63" i="139" s="1"/>
  <c r="EH89" i="139" s="1"/>
  <c r="DI40" i="139"/>
  <c r="DI67" i="139" s="1"/>
  <c r="EH93" i="139" s="1"/>
  <c r="DI33" i="139"/>
  <c r="DI60" i="139" s="1"/>
  <c r="EH86" i="139" s="1"/>
  <c r="DI38" i="139"/>
  <c r="DI65" i="139" s="1"/>
  <c r="EH91" i="139" s="1"/>
  <c r="DI32" i="139"/>
  <c r="DI59" i="139" s="1"/>
  <c r="EH85" i="139" s="1"/>
  <c r="DH28" i="139"/>
  <c r="DI41" i="139"/>
  <c r="DI68" i="139" s="1"/>
  <c r="EH94" i="139" s="1"/>
  <c r="DI34" i="139"/>
  <c r="DI61" i="139" s="1"/>
  <c r="EH87" i="139" s="1"/>
  <c r="DI39" i="139"/>
  <c r="DI66" i="139" s="1"/>
  <c r="EH92" i="139" s="1"/>
  <c r="DI31" i="139"/>
  <c r="DI58" i="139" s="1"/>
  <c r="EH84" i="139" s="1"/>
  <c r="DI35" i="139"/>
  <c r="DI62" i="139" s="1"/>
  <c r="EH88" i="139" s="1"/>
  <c r="DI30" i="139"/>
  <c r="DI57" i="139" s="1"/>
  <c r="EH83" i="139" s="1"/>
  <c r="DI37" i="139"/>
  <c r="DI64" i="139" s="1"/>
  <c r="EH90" i="139" s="1"/>
  <c r="DH39" i="139" l="1"/>
  <c r="DH66" i="139" s="1"/>
  <c r="EG92" i="139" s="1"/>
  <c r="DG28" i="139"/>
  <c r="DH35" i="139"/>
  <c r="DH62" i="139" s="1"/>
  <c r="EG88" i="139" s="1"/>
  <c r="DH33" i="139"/>
  <c r="DH60" i="139" s="1"/>
  <c r="EG86" i="139" s="1"/>
  <c r="DH41" i="139"/>
  <c r="DH68" i="139" s="1"/>
  <c r="EG94" i="139" s="1"/>
  <c r="DH37" i="139"/>
  <c r="DH64" i="139" s="1"/>
  <c r="EG90" i="139" s="1"/>
  <c r="DH38" i="139"/>
  <c r="DH65" i="139" s="1"/>
  <c r="EG91" i="139" s="1"/>
  <c r="DH34" i="139"/>
  <c r="DH61" i="139" s="1"/>
  <c r="EG87" i="139" s="1"/>
  <c r="DH32" i="139"/>
  <c r="DH59" i="139" s="1"/>
  <c r="EG85" i="139" s="1"/>
  <c r="DH31" i="139"/>
  <c r="DH58" i="139" s="1"/>
  <c r="EG84" i="139" s="1"/>
  <c r="DH40" i="139"/>
  <c r="DH67" i="139" s="1"/>
  <c r="EG93" i="139" s="1"/>
  <c r="DH30" i="139"/>
  <c r="DH57" i="139" s="1"/>
  <c r="EG83" i="139" s="1"/>
  <c r="DH36" i="139"/>
  <c r="DH63" i="139" s="1"/>
  <c r="EG89" i="139" s="1"/>
  <c r="DG40" i="139" l="1"/>
  <c r="DG67" i="139" s="1"/>
  <c r="EF93" i="139" s="1"/>
  <c r="DG38" i="139"/>
  <c r="DG65" i="139" s="1"/>
  <c r="EF91" i="139" s="1"/>
  <c r="DG39" i="139"/>
  <c r="DG66" i="139" s="1"/>
  <c r="EF92" i="139" s="1"/>
  <c r="DG30" i="139"/>
  <c r="DG57" i="139" s="1"/>
  <c r="EF83" i="139" s="1"/>
  <c r="DG34" i="139"/>
  <c r="DG61" i="139" s="1"/>
  <c r="EF87" i="139" s="1"/>
  <c r="DG32" i="139"/>
  <c r="DG59" i="139" s="1"/>
  <c r="EF85" i="139" s="1"/>
  <c r="DG35" i="139"/>
  <c r="DG62" i="139" s="1"/>
  <c r="EF88" i="139" s="1"/>
  <c r="DG31" i="139"/>
  <c r="DG58" i="139" s="1"/>
  <c r="EF84" i="139" s="1"/>
  <c r="DG36" i="139"/>
  <c r="DG63" i="139" s="1"/>
  <c r="EF89" i="139" s="1"/>
  <c r="DG37" i="139"/>
  <c r="DG64" i="139" s="1"/>
  <c r="EF90" i="139" s="1"/>
  <c r="DF28" i="139"/>
  <c r="DG41" i="139"/>
  <c r="DG68" i="139" s="1"/>
  <c r="EF94" i="139" s="1"/>
  <c r="DG33" i="139"/>
  <c r="DG60" i="139" s="1"/>
  <c r="EF86" i="139" s="1"/>
  <c r="DF31" i="139" l="1"/>
  <c r="DF58" i="139" s="1"/>
  <c r="EE84" i="139" s="1"/>
  <c r="DF33" i="139"/>
  <c r="DF60" i="139" s="1"/>
  <c r="EE86" i="139" s="1"/>
  <c r="DF30" i="139"/>
  <c r="DF57" i="139" s="1"/>
  <c r="EE83" i="139" s="1"/>
  <c r="DF37" i="139"/>
  <c r="DF64" i="139" s="1"/>
  <c r="EE90" i="139" s="1"/>
  <c r="DF35" i="139"/>
  <c r="DF62" i="139" s="1"/>
  <c r="EE88" i="139" s="1"/>
  <c r="DE28" i="139"/>
  <c r="DF34" i="139"/>
  <c r="DF61" i="139" s="1"/>
  <c r="EE87" i="139" s="1"/>
  <c r="DF39" i="139"/>
  <c r="DF66" i="139" s="1"/>
  <c r="EE92" i="139" s="1"/>
  <c r="DF36" i="139"/>
  <c r="DF63" i="139" s="1"/>
  <c r="EE89" i="139" s="1"/>
  <c r="DF38" i="139"/>
  <c r="DF65" i="139" s="1"/>
  <c r="EE91" i="139" s="1"/>
  <c r="DF32" i="139"/>
  <c r="DF59" i="139" s="1"/>
  <c r="EE85" i="139" s="1"/>
  <c r="DF41" i="139"/>
  <c r="DF68" i="139" s="1"/>
  <c r="EE94" i="139" s="1"/>
  <c r="DF40" i="139"/>
  <c r="DF67" i="139" s="1"/>
  <c r="EE93" i="139" s="1"/>
  <c r="DE40" i="139" l="1"/>
  <c r="DE67" i="139" s="1"/>
  <c r="ED93" i="139" s="1"/>
  <c r="DE34" i="139"/>
  <c r="DE61" i="139" s="1"/>
  <c r="ED87" i="139" s="1"/>
  <c r="DE41" i="139"/>
  <c r="DE68" i="139" s="1"/>
  <c r="ED94" i="139" s="1"/>
  <c r="DE36" i="139"/>
  <c r="DE63" i="139" s="1"/>
  <c r="ED89" i="139" s="1"/>
  <c r="DE35" i="139"/>
  <c r="DE62" i="139" s="1"/>
  <c r="ED88" i="139" s="1"/>
  <c r="DE33" i="139"/>
  <c r="DE60" i="139" s="1"/>
  <c r="ED86" i="139" s="1"/>
  <c r="DE39" i="139"/>
  <c r="DE66" i="139" s="1"/>
  <c r="ED92" i="139" s="1"/>
  <c r="DD28" i="139"/>
  <c r="DE38" i="139"/>
  <c r="DE65" i="139" s="1"/>
  <c r="ED91" i="139" s="1"/>
  <c r="DE30" i="139"/>
  <c r="DE57" i="139" s="1"/>
  <c r="ED83" i="139" s="1"/>
  <c r="DE32" i="139"/>
  <c r="DE59" i="139" s="1"/>
  <c r="ED85" i="139" s="1"/>
  <c r="DE37" i="139"/>
  <c r="DE64" i="139" s="1"/>
  <c r="ED90" i="139" s="1"/>
  <c r="DE31" i="139"/>
  <c r="DE58" i="139" s="1"/>
  <c r="ED84" i="139" s="1"/>
  <c r="DD41" i="139" l="1"/>
  <c r="DD68" i="139" s="1"/>
  <c r="EC94" i="139" s="1"/>
  <c r="DC28" i="139"/>
  <c r="DD35" i="139"/>
  <c r="DD62" i="139" s="1"/>
  <c r="EC88" i="139" s="1"/>
  <c r="DD30" i="139"/>
  <c r="DD57" i="139" s="1"/>
  <c r="EC83" i="139" s="1"/>
  <c r="DD36" i="139"/>
  <c r="DD63" i="139" s="1"/>
  <c r="EC89" i="139" s="1"/>
  <c r="DD34" i="139"/>
  <c r="DD61" i="139" s="1"/>
  <c r="EC87" i="139" s="1"/>
  <c r="DD32" i="139"/>
  <c r="DD59" i="139" s="1"/>
  <c r="EC85" i="139" s="1"/>
  <c r="DD40" i="139"/>
  <c r="DD67" i="139" s="1"/>
  <c r="EC93" i="139" s="1"/>
  <c r="DD38" i="139"/>
  <c r="DD65" i="139" s="1"/>
  <c r="EC91" i="139" s="1"/>
  <c r="DD33" i="139"/>
  <c r="DD60" i="139" s="1"/>
  <c r="EC86" i="139" s="1"/>
  <c r="DD39" i="139"/>
  <c r="DD66" i="139" s="1"/>
  <c r="EC92" i="139" s="1"/>
  <c r="DD37" i="139"/>
  <c r="DD64" i="139" s="1"/>
  <c r="EC90" i="139" s="1"/>
  <c r="DD31" i="139"/>
  <c r="DD58" i="139" s="1"/>
  <c r="EC84" i="139" s="1"/>
  <c r="DC34" i="139" l="1"/>
  <c r="DC61" i="139" s="1"/>
  <c r="EB87" i="139" s="1"/>
  <c r="DC36" i="139"/>
  <c r="DC63" i="139" s="1"/>
  <c r="EB89" i="139" s="1"/>
  <c r="DC39" i="139"/>
  <c r="DC66" i="139" s="1"/>
  <c r="EB92" i="139" s="1"/>
  <c r="DC33" i="139"/>
  <c r="DC60" i="139" s="1"/>
  <c r="EB86" i="139" s="1"/>
  <c r="DC30" i="139"/>
  <c r="DC57" i="139" s="1"/>
  <c r="EB83" i="139" s="1"/>
  <c r="DC37" i="139"/>
  <c r="DC64" i="139" s="1"/>
  <c r="EB90" i="139" s="1"/>
  <c r="DC31" i="139"/>
  <c r="DC58" i="139" s="1"/>
  <c r="EB84" i="139" s="1"/>
  <c r="DC35" i="139"/>
  <c r="DC62" i="139" s="1"/>
  <c r="EB88" i="139" s="1"/>
  <c r="DC40" i="139"/>
  <c r="DC67" i="139" s="1"/>
  <c r="EB93" i="139" s="1"/>
  <c r="DC41" i="139"/>
  <c r="DC68" i="139" s="1"/>
  <c r="EB94" i="139" s="1"/>
  <c r="DB28" i="139"/>
  <c r="DC38" i="139"/>
  <c r="DC65" i="139" s="1"/>
  <c r="EB91" i="139" s="1"/>
  <c r="DC32" i="139"/>
  <c r="DC59" i="139" s="1"/>
  <c r="EB85" i="139" s="1"/>
  <c r="DB30" i="139" l="1"/>
  <c r="DB57" i="139" s="1"/>
  <c r="EA83" i="139" s="1"/>
  <c r="DB33" i="139"/>
  <c r="DB60" i="139" s="1"/>
  <c r="EA86" i="139" s="1"/>
  <c r="DB36" i="139"/>
  <c r="DB63" i="139" s="1"/>
  <c r="EA89" i="139" s="1"/>
  <c r="DB32" i="139"/>
  <c r="DB59" i="139" s="1"/>
  <c r="EA85" i="139" s="1"/>
  <c r="DA28" i="139"/>
  <c r="DB40" i="139"/>
  <c r="DB67" i="139" s="1"/>
  <c r="EA93" i="139" s="1"/>
  <c r="DB41" i="139"/>
  <c r="DB68" i="139" s="1"/>
  <c r="EA94" i="139" s="1"/>
  <c r="DB39" i="139"/>
  <c r="DB66" i="139" s="1"/>
  <c r="EA92" i="139" s="1"/>
  <c r="DB38" i="139"/>
  <c r="DB65" i="139" s="1"/>
  <c r="EA91" i="139" s="1"/>
  <c r="DB37" i="139"/>
  <c r="DB64" i="139" s="1"/>
  <c r="EA90" i="139" s="1"/>
  <c r="DB34" i="139"/>
  <c r="DB61" i="139" s="1"/>
  <c r="EA87" i="139" s="1"/>
  <c r="DB31" i="139"/>
  <c r="DB58" i="139" s="1"/>
  <c r="EA84" i="139" s="1"/>
  <c r="DB35" i="139"/>
  <c r="DB62" i="139" s="1"/>
  <c r="EA88" i="139" s="1"/>
  <c r="DA33" i="139" l="1"/>
  <c r="DA60" i="139" s="1"/>
  <c r="DZ86" i="139" s="1"/>
  <c r="DA30" i="139"/>
  <c r="DA57" i="139" s="1"/>
  <c r="DZ83" i="139" s="1"/>
  <c r="DA31" i="139"/>
  <c r="DA58" i="139" s="1"/>
  <c r="DZ84" i="139" s="1"/>
  <c r="DA40" i="139"/>
  <c r="DA67" i="139" s="1"/>
  <c r="DZ93" i="139" s="1"/>
  <c r="DA36" i="139"/>
  <c r="DA63" i="139" s="1"/>
  <c r="DZ89" i="139" s="1"/>
  <c r="DA39" i="139"/>
  <c r="DA66" i="139" s="1"/>
  <c r="DZ92" i="139" s="1"/>
  <c r="DA37" i="139"/>
  <c r="DA64" i="139" s="1"/>
  <c r="DZ90" i="139" s="1"/>
  <c r="CZ28" i="139"/>
  <c r="DA32" i="139"/>
  <c r="DA59" i="139" s="1"/>
  <c r="DZ85" i="139" s="1"/>
  <c r="DA35" i="139"/>
  <c r="DA62" i="139" s="1"/>
  <c r="DZ88" i="139" s="1"/>
  <c r="DA34" i="139"/>
  <c r="DA61" i="139" s="1"/>
  <c r="DZ87" i="139" s="1"/>
  <c r="DA41" i="139"/>
  <c r="DA68" i="139" s="1"/>
  <c r="DZ94" i="139" s="1"/>
  <c r="DA38" i="139"/>
  <c r="DA65" i="139" s="1"/>
  <c r="DZ91" i="139" s="1"/>
  <c r="CZ40" i="139" l="1"/>
  <c r="CZ67" i="139" s="1"/>
  <c r="DY93" i="139" s="1"/>
  <c r="CZ41" i="139"/>
  <c r="CZ68" i="139" s="1"/>
  <c r="DY94" i="139" s="1"/>
  <c r="CY28" i="139"/>
  <c r="CZ31" i="139"/>
  <c r="CZ58" i="139" s="1"/>
  <c r="DY84" i="139" s="1"/>
  <c r="CZ39" i="139"/>
  <c r="CZ66" i="139" s="1"/>
  <c r="DY92" i="139" s="1"/>
  <c r="CZ33" i="139"/>
  <c r="CZ60" i="139" s="1"/>
  <c r="DY86" i="139" s="1"/>
  <c r="CZ36" i="139"/>
  <c r="CZ63" i="139" s="1"/>
  <c r="DY89" i="139" s="1"/>
  <c r="CZ37" i="139"/>
  <c r="CZ64" i="139" s="1"/>
  <c r="DY90" i="139" s="1"/>
  <c r="CZ38" i="139"/>
  <c r="CZ65" i="139" s="1"/>
  <c r="DY91" i="139" s="1"/>
  <c r="CZ30" i="139"/>
  <c r="CZ57" i="139" s="1"/>
  <c r="DY83" i="139" s="1"/>
  <c r="CZ34" i="139"/>
  <c r="CZ61" i="139" s="1"/>
  <c r="DY87" i="139" s="1"/>
  <c r="CZ35" i="139"/>
  <c r="CZ62" i="139" s="1"/>
  <c r="DY88" i="139" s="1"/>
  <c r="CZ32" i="139"/>
  <c r="CZ59" i="139" s="1"/>
  <c r="DY85" i="139" s="1"/>
  <c r="CY39" i="139" l="1"/>
  <c r="CY66" i="139" s="1"/>
  <c r="DX92" i="139" s="1"/>
  <c r="CY38" i="139"/>
  <c r="CY65" i="139" s="1"/>
  <c r="DX91" i="139" s="1"/>
  <c r="CY41" i="139"/>
  <c r="CY68" i="139" s="1"/>
  <c r="DX94" i="139" s="1"/>
  <c r="CY34" i="139"/>
  <c r="CY61" i="139" s="1"/>
  <c r="DX87" i="139" s="1"/>
  <c r="CY40" i="139"/>
  <c r="CY67" i="139" s="1"/>
  <c r="DX93" i="139" s="1"/>
  <c r="CX28" i="139"/>
  <c r="CY32" i="139"/>
  <c r="CY59" i="139" s="1"/>
  <c r="DX85" i="139" s="1"/>
  <c r="CY30" i="139"/>
  <c r="CY57" i="139" s="1"/>
  <c r="DX83" i="139" s="1"/>
  <c r="CY31" i="139"/>
  <c r="CY58" i="139" s="1"/>
  <c r="DX84" i="139" s="1"/>
  <c r="CY36" i="139"/>
  <c r="CY63" i="139" s="1"/>
  <c r="DX89" i="139" s="1"/>
  <c r="CY37" i="139"/>
  <c r="CY64" i="139" s="1"/>
  <c r="DX90" i="139" s="1"/>
  <c r="CY33" i="139"/>
  <c r="CY60" i="139" s="1"/>
  <c r="DX86" i="139" s="1"/>
  <c r="CY35" i="139"/>
  <c r="CY62" i="139" s="1"/>
  <c r="DX88" i="139" s="1"/>
  <c r="CX35" i="139" l="1"/>
  <c r="CX62" i="139" s="1"/>
  <c r="DW88" i="139" s="1"/>
  <c r="CX32" i="139"/>
  <c r="CX59" i="139" s="1"/>
  <c r="DW85" i="139" s="1"/>
  <c r="CW28" i="139"/>
  <c r="CX36" i="139"/>
  <c r="CX63" i="139" s="1"/>
  <c r="DW89" i="139" s="1"/>
  <c r="CX33" i="139"/>
  <c r="CX60" i="139" s="1"/>
  <c r="DW86" i="139" s="1"/>
  <c r="CX39" i="139"/>
  <c r="CX66" i="139" s="1"/>
  <c r="DW92" i="139" s="1"/>
  <c r="CX34" i="139"/>
  <c r="CX61" i="139" s="1"/>
  <c r="DW87" i="139" s="1"/>
  <c r="CX31" i="139"/>
  <c r="CX58" i="139" s="1"/>
  <c r="DW84" i="139" s="1"/>
  <c r="CX38" i="139"/>
  <c r="CX65" i="139" s="1"/>
  <c r="DW91" i="139" s="1"/>
  <c r="CX37" i="139"/>
  <c r="CX64" i="139" s="1"/>
  <c r="DW90" i="139" s="1"/>
  <c r="CX30" i="139"/>
  <c r="CX57" i="139" s="1"/>
  <c r="DW83" i="139" s="1"/>
  <c r="CX40" i="139"/>
  <c r="CX67" i="139" s="1"/>
  <c r="DW93" i="139" s="1"/>
  <c r="CX41" i="139"/>
  <c r="CX68" i="139" s="1"/>
  <c r="DW94" i="139" s="1"/>
  <c r="CW41" i="139" l="1"/>
  <c r="CW68" i="139" s="1"/>
  <c r="DV94" i="139" s="1"/>
  <c r="CW30" i="139"/>
  <c r="CW57" i="139" s="1"/>
  <c r="DV83" i="139" s="1"/>
  <c r="CW33" i="139"/>
  <c r="CW60" i="139" s="1"/>
  <c r="DV86" i="139" s="1"/>
  <c r="CW36" i="139"/>
  <c r="CW63" i="139" s="1"/>
  <c r="DV89" i="139" s="1"/>
  <c r="CW39" i="139"/>
  <c r="CW66" i="139" s="1"/>
  <c r="DV92" i="139" s="1"/>
  <c r="CW35" i="139"/>
  <c r="CW62" i="139" s="1"/>
  <c r="DV88" i="139" s="1"/>
  <c r="CW40" i="139"/>
  <c r="CW67" i="139" s="1"/>
  <c r="DV93" i="139" s="1"/>
  <c r="CW34" i="139"/>
  <c r="CW61" i="139" s="1"/>
  <c r="DV87" i="139" s="1"/>
  <c r="CV28" i="139"/>
  <c r="CW38" i="139"/>
  <c r="CW65" i="139" s="1"/>
  <c r="DV91" i="139" s="1"/>
  <c r="CW31" i="139"/>
  <c r="CW58" i="139" s="1"/>
  <c r="DV84" i="139" s="1"/>
  <c r="CW37" i="139"/>
  <c r="CW64" i="139" s="1"/>
  <c r="DV90" i="139" s="1"/>
  <c r="CW32" i="139"/>
  <c r="CW59" i="139" s="1"/>
  <c r="DV85" i="139" s="1"/>
  <c r="CV41" i="139" l="1"/>
  <c r="CV68" i="139" s="1"/>
  <c r="DU94" i="139" s="1"/>
  <c r="CV38" i="139"/>
  <c r="CV65" i="139" s="1"/>
  <c r="DU91" i="139" s="1"/>
  <c r="CV40" i="139"/>
  <c r="CV67" i="139" s="1"/>
  <c r="DU93" i="139" s="1"/>
  <c r="CV34" i="139"/>
  <c r="CV61" i="139" s="1"/>
  <c r="DU87" i="139" s="1"/>
  <c r="CV30" i="139"/>
  <c r="CV57" i="139" s="1"/>
  <c r="DU83" i="139" s="1"/>
  <c r="CV36" i="139"/>
  <c r="CV63" i="139" s="1"/>
  <c r="DU89" i="139" s="1"/>
  <c r="CV33" i="139"/>
  <c r="CV60" i="139" s="1"/>
  <c r="DU86" i="139" s="1"/>
  <c r="CU28" i="139"/>
  <c r="CV35" i="139"/>
  <c r="CV62" i="139" s="1"/>
  <c r="DU88" i="139" s="1"/>
  <c r="CV32" i="139"/>
  <c r="CV59" i="139" s="1"/>
  <c r="DU85" i="139" s="1"/>
  <c r="CV31" i="139"/>
  <c r="CV58" i="139" s="1"/>
  <c r="DU84" i="139" s="1"/>
  <c r="CV39" i="139"/>
  <c r="CV66" i="139" s="1"/>
  <c r="DU92" i="139" s="1"/>
  <c r="CV37" i="139"/>
  <c r="CV64" i="139" s="1"/>
  <c r="DU90" i="139" s="1"/>
  <c r="CU31" i="139" l="1"/>
  <c r="CU58" i="139" s="1"/>
  <c r="DT84" i="139" s="1"/>
  <c r="CU34" i="139"/>
  <c r="CU61" i="139" s="1"/>
  <c r="DT87" i="139" s="1"/>
  <c r="CU40" i="139"/>
  <c r="CU67" i="139" s="1"/>
  <c r="DT93" i="139" s="1"/>
  <c r="CU30" i="139"/>
  <c r="CU57" i="139" s="1"/>
  <c r="DT83" i="139" s="1"/>
  <c r="CU33" i="139"/>
  <c r="CU60" i="139" s="1"/>
  <c r="DT86" i="139" s="1"/>
  <c r="CT28" i="139"/>
  <c r="CU32" i="139"/>
  <c r="CU59" i="139" s="1"/>
  <c r="DT85" i="139" s="1"/>
  <c r="CU38" i="139"/>
  <c r="CU65" i="139" s="1"/>
  <c r="DT91" i="139" s="1"/>
  <c r="CU37" i="139"/>
  <c r="CU64" i="139" s="1"/>
  <c r="DT90" i="139" s="1"/>
  <c r="CU39" i="139"/>
  <c r="CU66" i="139" s="1"/>
  <c r="DT92" i="139" s="1"/>
  <c r="CU36" i="139"/>
  <c r="CU63" i="139" s="1"/>
  <c r="DT89" i="139" s="1"/>
  <c r="CU35" i="139"/>
  <c r="CU62" i="139" s="1"/>
  <c r="DT88" i="139" s="1"/>
  <c r="CU41" i="139"/>
  <c r="CU68" i="139" s="1"/>
  <c r="DT94" i="139" s="1"/>
  <c r="CT38" i="139" l="1"/>
  <c r="CT65" i="139" s="1"/>
  <c r="DS91" i="139" s="1"/>
  <c r="CT34" i="139"/>
  <c r="CT61" i="139" s="1"/>
  <c r="DS87" i="139" s="1"/>
  <c r="CT36" i="139"/>
  <c r="CT63" i="139" s="1"/>
  <c r="DS89" i="139" s="1"/>
  <c r="CT37" i="139"/>
  <c r="CT64" i="139" s="1"/>
  <c r="DS90" i="139" s="1"/>
  <c r="CT30" i="139"/>
  <c r="CT57" i="139" s="1"/>
  <c r="DS83" i="139" s="1"/>
  <c r="CT40" i="139"/>
  <c r="CT67" i="139" s="1"/>
  <c r="DS93" i="139" s="1"/>
  <c r="CT32" i="139"/>
  <c r="CT59" i="139" s="1"/>
  <c r="DS85" i="139" s="1"/>
  <c r="CT41" i="139"/>
  <c r="CT68" i="139" s="1"/>
  <c r="DS94" i="139" s="1"/>
  <c r="CS28" i="139"/>
  <c r="CT31" i="139"/>
  <c r="CT58" i="139" s="1"/>
  <c r="DS84" i="139" s="1"/>
  <c r="CT35" i="139"/>
  <c r="CT62" i="139" s="1"/>
  <c r="DS88" i="139" s="1"/>
  <c r="CT39" i="139"/>
  <c r="CT66" i="139" s="1"/>
  <c r="DS92" i="139" s="1"/>
  <c r="CT33" i="139"/>
  <c r="CT60" i="139" s="1"/>
  <c r="DS86" i="139" s="1"/>
  <c r="CS30" i="139" l="1"/>
  <c r="CS57" i="139" s="1"/>
  <c r="DR83" i="139" s="1"/>
  <c r="CS40" i="139"/>
  <c r="CS67" i="139" s="1"/>
  <c r="DR93" i="139" s="1"/>
  <c r="CS35" i="139"/>
  <c r="CS62" i="139" s="1"/>
  <c r="DR88" i="139" s="1"/>
  <c r="CS38" i="139"/>
  <c r="CS65" i="139" s="1"/>
  <c r="DR91" i="139" s="1"/>
  <c r="CR28" i="139"/>
  <c r="CS31" i="139"/>
  <c r="CS58" i="139" s="1"/>
  <c r="DR84" i="139" s="1"/>
  <c r="CS36" i="139"/>
  <c r="CS63" i="139" s="1"/>
  <c r="DR89" i="139" s="1"/>
  <c r="CS33" i="139"/>
  <c r="CS60" i="139" s="1"/>
  <c r="DR86" i="139" s="1"/>
  <c r="CS39" i="139"/>
  <c r="CS66" i="139" s="1"/>
  <c r="DR92" i="139" s="1"/>
  <c r="CS34" i="139"/>
  <c r="CS61" i="139" s="1"/>
  <c r="DR87" i="139" s="1"/>
  <c r="CS37" i="139"/>
  <c r="CS64" i="139" s="1"/>
  <c r="DR90" i="139" s="1"/>
  <c r="CS41" i="139"/>
  <c r="CS68" i="139" s="1"/>
  <c r="DR94" i="139" s="1"/>
  <c r="CS32" i="139"/>
  <c r="CS59" i="139" s="1"/>
  <c r="DR85" i="139" s="1"/>
  <c r="CR39" i="139" l="1"/>
  <c r="CR66" i="139" s="1"/>
  <c r="DQ92" i="139" s="1"/>
  <c r="CR34" i="139"/>
  <c r="CR61" i="139" s="1"/>
  <c r="DQ87" i="139" s="1"/>
  <c r="CR37" i="139"/>
  <c r="CR64" i="139" s="1"/>
  <c r="DQ90" i="139" s="1"/>
  <c r="CR38" i="139"/>
  <c r="CR65" i="139" s="1"/>
  <c r="DQ91" i="139" s="1"/>
  <c r="CR40" i="139"/>
  <c r="CR67" i="139" s="1"/>
  <c r="DQ93" i="139" s="1"/>
  <c r="CR41" i="139"/>
  <c r="CR68" i="139" s="1"/>
  <c r="DQ94" i="139" s="1"/>
  <c r="CR31" i="139"/>
  <c r="CR58" i="139" s="1"/>
  <c r="DQ84" i="139" s="1"/>
  <c r="CR32" i="139"/>
  <c r="CR59" i="139" s="1"/>
  <c r="DQ85" i="139" s="1"/>
  <c r="CR36" i="139"/>
  <c r="CR63" i="139" s="1"/>
  <c r="DQ89" i="139" s="1"/>
  <c r="CR33" i="139"/>
  <c r="CR60" i="139" s="1"/>
  <c r="DQ86" i="139" s="1"/>
  <c r="CR35" i="139"/>
  <c r="CR62" i="139" s="1"/>
  <c r="DQ88" i="139" s="1"/>
  <c r="CR30" i="139"/>
  <c r="CR57" i="139" s="1"/>
  <c r="DQ83" i="139" s="1"/>
  <c r="CQ28" i="139"/>
  <c r="CQ35" i="139" l="1"/>
  <c r="CQ62" i="139" s="1"/>
  <c r="DP88" i="139" s="1"/>
  <c r="CP28" i="139"/>
  <c r="CQ33" i="139"/>
  <c r="CQ60" i="139" s="1"/>
  <c r="DP86" i="139" s="1"/>
  <c r="CQ34" i="139"/>
  <c r="CQ61" i="139" s="1"/>
  <c r="DP87" i="139" s="1"/>
  <c r="CQ41" i="139"/>
  <c r="CQ68" i="139" s="1"/>
  <c r="DP94" i="139" s="1"/>
  <c r="CQ30" i="139"/>
  <c r="CQ57" i="139" s="1"/>
  <c r="DP83" i="139" s="1"/>
  <c r="CQ31" i="139"/>
  <c r="CQ58" i="139" s="1"/>
  <c r="DP84" i="139" s="1"/>
  <c r="CQ36" i="139"/>
  <c r="CQ63" i="139" s="1"/>
  <c r="DP89" i="139" s="1"/>
  <c r="CQ40" i="139"/>
  <c r="CQ67" i="139" s="1"/>
  <c r="DP93" i="139" s="1"/>
  <c r="CQ37" i="139"/>
  <c r="CQ64" i="139" s="1"/>
  <c r="DP90" i="139" s="1"/>
  <c r="CQ32" i="139"/>
  <c r="CQ59" i="139" s="1"/>
  <c r="DP85" i="139" s="1"/>
  <c r="CQ38" i="139"/>
  <c r="CQ65" i="139" s="1"/>
  <c r="DP91" i="139" s="1"/>
  <c r="CQ39" i="139"/>
  <c r="CQ66" i="139" s="1"/>
  <c r="DP92" i="139" s="1"/>
  <c r="CP30" i="139" l="1"/>
  <c r="CP57" i="139" s="1"/>
  <c r="DO83" i="139" s="1"/>
  <c r="CP34" i="139"/>
  <c r="CP61" i="139" s="1"/>
  <c r="DO87" i="139" s="1"/>
  <c r="CP36" i="139"/>
  <c r="CP63" i="139" s="1"/>
  <c r="DO89" i="139" s="1"/>
  <c r="CP38" i="139"/>
  <c r="CP65" i="139" s="1"/>
  <c r="DO91" i="139" s="1"/>
  <c r="CP31" i="139"/>
  <c r="CP58" i="139" s="1"/>
  <c r="DO84" i="139" s="1"/>
  <c r="CP40" i="139"/>
  <c r="CP67" i="139" s="1"/>
  <c r="DO93" i="139" s="1"/>
  <c r="CP32" i="139"/>
  <c r="CP59" i="139" s="1"/>
  <c r="DO85" i="139" s="1"/>
  <c r="CP37" i="139"/>
  <c r="CP64" i="139" s="1"/>
  <c r="DO90" i="139" s="1"/>
  <c r="CO28" i="139"/>
  <c r="CP41" i="139"/>
  <c r="CP68" i="139" s="1"/>
  <c r="DO94" i="139" s="1"/>
  <c r="CP39" i="139"/>
  <c r="CP66" i="139" s="1"/>
  <c r="DO92" i="139" s="1"/>
  <c r="CP33" i="139"/>
  <c r="CP60" i="139" s="1"/>
  <c r="DO86" i="139" s="1"/>
  <c r="CP35" i="139"/>
  <c r="CP62" i="139" s="1"/>
  <c r="DO88" i="139" s="1"/>
  <c r="CO30" i="139" l="1"/>
  <c r="CO57" i="139" s="1"/>
  <c r="DN83" i="139" s="1"/>
  <c r="CO31" i="139"/>
  <c r="CO58" i="139" s="1"/>
  <c r="DN84" i="139" s="1"/>
  <c r="CO34" i="139"/>
  <c r="CO61" i="139" s="1"/>
  <c r="DN87" i="139" s="1"/>
  <c r="CO36" i="139"/>
  <c r="CO63" i="139" s="1"/>
  <c r="DN89" i="139" s="1"/>
  <c r="CO40" i="139"/>
  <c r="CO67" i="139" s="1"/>
  <c r="DN93" i="139" s="1"/>
  <c r="CO38" i="139"/>
  <c r="CO65" i="139" s="1"/>
  <c r="DN91" i="139" s="1"/>
  <c r="CO37" i="139"/>
  <c r="CO64" i="139" s="1"/>
  <c r="DN90" i="139" s="1"/>
  <c r="CO32" i="139"/>
  <c r="CO59" i="139" s="1"/>
  <c r="DN85" i="139" s="1"/>
  <c r="CO39" i="139"/>
  <c r="CO66" i="139" s="1"/>
  <c r="DN92" i="139" s="1"/>
  <c r="CO35" i="139"/>
  <c r="CO62" i="139" s="1"/>
  <c r="DN88" i="139" s="1"/>
  <c r="CO33" i="139"/>
  <c r="CO60" i="139" s="1"/>
  <c r="DN86" i="139" s="1"/>
  <c r="CO41" i="139"/>
  <c r="CO68" i="139" s="1"/>
  <c r="DN94" i="139" s="1"/>
  <c r="CN28" i="139"/>
  <c r="CN32" i="139" l="1"/>
  <c r="CN59" i="139" s="1"/>
  <c r="DM85" i="139" s="1"/>
  <c r="CN41" i="139"/>
  <c r="CN68" i="139" s="1"/>
  <c r="DM94" i="139" s="1"/>
  <c r="CN39" i="139"/>
  <c r="CN66" i="139" s="1"/>
  <c r="DM92" i="139" s="1"/>
  <c r="CM28" i="139"/>
  <c r="CN38" i="139"/>
  <c r="CN65" i="139" s="1"/>
  <c r="DM91" i="139" s="1"/>
  <c r="CN30" i="139"/>
  <c r="CN57" i="139" s="1"/>
  <c r="DM83" i="139" s="1"/>
  <c r="CN36" i="139"/>
  <c r="CN63" i="139" s="1"/>
  <c r="DM89" i="139" s="1"/>
  <c r="CN31" i="139"/>
  <c r="CN58" i="139" s="1"/>
  <c r="DM84" i="139" s="1"/>
  <c r="CN33" i="139"/>
  <c r="CN60" i="139" s="1"/>
  <c r="DM86" i="139" s="1"/>
  <c r="CN35" i="139"/>
  <c r="CN62" i="139" s="1"/>
  <c r="DM88" i="139" s="1"/>
  <c r="CN40" i="139"/>
  <c r="CN67" i="139" s="1"/>
  <c r="DM93" i="139" s="1"/>
  <c r="CN34" i="139"/>
  <c r="CN61" i="139" s="1"/>
  <c r="DM87" i="139" s="1"/>
  <c r="CN37" i="139"/>
  <c r="CN64" i="139" s="1"/>
  <c r="DM90" i="139" s="1"/>
  <c r="CL28" i="139" l="1"/>
  <c r="CM31" i="139"/>
  <c r="CM58" i="139" s="1"/>
  <c r="DL84" i="139" s="1"/>
  <c r="CM34" i="139"/>
  <c r="CM61" i="139" s="1"/>
  <c r="DL87" i="139" s="1"/>
  <c r="CM39" i="139"/>
  <c r="CM66" i="139" s="1"/>
  <c r="DL92" i="139" s="1"/>
  <c r="CM38" i="139"/>
  <c r="CM65" i="139" s="1"/>
  <c r="DL91" i="139" s="1"/>
  <c r="CM32" i="139"/>
  <c r="CM59" i="139" s="1"/>
  <c r="DL85" i="139" s="1"/>
  <c r="CM40" i="139"/>
  <c r="CM67" i="139" s="1"/>
  <c r="DL93" i="139" s="1"/>
  <c r="CM30" i="139"/>
  <c r="CM57" i="139" s="1"/>
  <c r="DL83" i="139" s="1"/>
  <c r="CM33" i="139"/>
  <c r="CM60" i="139" s="1"/>
  <c r="DL86" i="139" s="1"/>
  <c r="CM37" i="139"/>
  <c r="CM64" i="139" s="1"/>
  <c r="DL90" i="139" s="1"/>
  <c r="CM35" i="139"/>
  <c r="CM62" i="139" s="1"/>
  <c r="DL88" i="139" s="1"/>
  <c r="CM36" i="139"/>
  <c r="CM63" i="139" s="1"/>
  <c r="DL89" i="139" s="1"/>
  <c r="CM41" i="139"/>
  <c r="CM68" i="139" s="1"/>
  <c r="DL94" i="139" s="1"/>
  <c r="CL32" i="139" l="1"/>
  <c r="CL59" i="139" s="1"/>
  <c r="DK85" i="139" s="1"/>
  <c r="CL35" i="139"/>
  <c r="CL62" i="139" s="1"/>
  <c r="DK88" i="139" s="1"/>
  <c r="CK28" i="139"/>
  <c r="CL34" i="139"/>
  <c r="CL61" i="139" s="1"/>
  <c r="DK87" i="139" s="1"/>
  <c r="CL38" i="139"/>
  <c r="CL65" i="139" s="1"/>
  <c r="DK91" i="139" s="1"/>
  <c r="CL31" i="139"/>
  <c r="CL58" i="139" s="1"/>
  <c r="DK84" i="139" s="1"/>
  <c r="CL40" i="139"/>
  <c r="CL67" i="139" s="1"/>
  <c r="DK93" i="139" s="1"/>
  <c r="CL41" i="139"/>
  <c r="CL68" i="139" s="1"/>
  <c r="DK94" i="139" s="1"/>
  <c r="CL37" i="139"/>
  <c r="CL64" i="139" s="1"/>
  <c r="DK90" i="139" s="1"/>
  <c r="CL33" i="139"/>
  <c r="CL60" i="139" s="1"/>
  <c r="DK86" i="139" s="1"/>
  <c r="CL36" i="139"/>
  <c r="CL63" i="139" s="1"/>
  <c r="DK89" i="139" s="1"/>
  <c r="CL30" i="139"/>
  <c r="CL57" i="139" s="1"/>
  <c r="DK83" i="139" s="1"/>
  <c r="CL39" i="139"/>
  <c r="CL66" i="139" s="1"/>
  <c r="DK92" i="139" s="1"/>
  <c r="CK33" i="139" l="1"/>
  <c r="CK60" i="139" s="1"/>
  <c r="DJ86" i="139" s="1"/>
  <c r="CK31" i="139"/>
  <c r="CK58" i="139" s="1"/>
  <c r="DJ84" i="139" s="1"/>
  <c r="CK36" i="139"/>
  <c r="CK63" i="139" s="1"/>
  <c r="DJ89" i="139" s="1"/>
  <c r="CK37" i="139"/>
  <c r="CK64" i="139" s="1"/>
  <c r="DJ90" i="139" s="1"/>
  <c r="CK32" i="139"/>
  <c r="CK59" i="139" s="1"/>
  <c r="DJ85" i="139" s="1"/>
  <c r="CK40" i="139"/>
  <c r="CK67" i="139" s="1"/>
  <c r="DJ93" i="139" s="1"/>
  <c r="CK39" i="139"/>
  <c r="CK66" i="139" s="1"/>
  <c r="DJ92" i="139" s="1"/>
  <c r="CJ28" i="139"/>
  <c r="CK34" i="139"/>
  <c r="CK61" i="139" s="1"/>
  <c r="DJ87" i="139" s="1"/>
  <c r="CK35" i="139"/>
  <c r="CK62" i="139" s="1"/>
  <c r="DJ88" i="139" s="1"/>
  <c r="CK41" i="139"/>
  <c r="CK68" i="139" s="1"/>
  <c r="DJ94" i="139" s="1"/>
  <c r="CK30" i="139"/>
  <c r="CK57" i="139" s="1"/>
  <c r="DJ83" i="139" s="1"/>
  <c r="CK38" i="139"/>
  <c r="CK65" i="139" s="1"/>
  <c r="DJ91" i="139" s="1"/>
  <c r="CJ37" i="139" l="1"/>
  <c r="CJ64" i="139" s="1"/>
  <c r="DI90" i="139" s="1"/>
  <c r="CJ32" i="139"/>
  <c r="CJ59" i="139" s="1"/>
  <c r="DI85" i="139" s="1"/>
  <c r="CJ34" i="139"/>
  <c r="CJ61" i="139" s="1"/>
  <c r="DI87" i="139" s="1"/>
  <c r="CJ36" i="139"/>
  <c r="CJ63" i="139" s="1"/>
  <c r="DI89" i="139" s="1"/>
  <c r="CI28" i="139"/>
  <c r="CJ38" i="139"/>
  <c r="CJ65" i="139" s="1"/>
  <c r="DI91" i="139" s="1"/>
  <c r="CJ35" i="139"/>
  <c r="CJ62" i="139" s="1"/>
  <c r="DI88" i="139" s="1"/>
  <c r="CJ33" i="139"/>
  <c r="CJ60" i="139" s="1"/>
  <c r="DI86" i="139" s="1"/>
  <c r="CJ31" i="139"/>
  <c r="CJ58" i="139" s="1"/>
  <c r="DI84" i="139" s="1"/>
  <c r="CJ30" i="139"/>
  <c r="CJ57" i="139" s="1"/>
  <c r="DI83" i="139" s="1"/>
  <c r="CJ41" i="139"/>
  <c r="CJ68" i="139" s="1"/>
  <c r="DI94" i="139" s="1"/>
  <c r="CJ39" i="139"/>
  <c r="CJ66" i="139" s="1"/>
  <c r="DI92" i="139" s="1"/>
  <c r="CJ40" i="139"/>
  <c r="CJ67" i="139" s="1"/>
  <c r="DI93" i="139" s="1"/>
  <c r="CI40" i="139" l="1"/>
  <c r="CI67" i="139" s="1"/>
  <c r="DH93" i="139" s="1"/>
  <c r="CH28" i="139"/>
  <c r="CI31" i="139"/>
  <c r="CI58" i="139" s="1"/>
  <c r="DH84" i="139" s="1"/>
  <c r="CI33" i="139"/>
  <c r="CI60" i="139" s="1"/>
  <c r="DH86" i="139" s="1"/>
  <c r="CI39" i="139"/>
  <c r="CI66" i="139" s="1"/>
  <c r="DH92" i="139" s="1"/>
  <c r="CI37" i="139"/>
  <c r="CI64" i="139" s="1"/>
  <c r="DH90" i="139" s="1"/>
  <c r="CI41" i="139"/>
  <c r="CI68" i="139" s="1"/>
  <c r="DH94" i="139" s="1"/>
  <c r="CI32" i="139"/>
  <c r="CI59" i="139" s="1"/>
  <c r="DH85" i="139" s="1"/>
  <c r="CI38" i="139"/>
  <c r="CI65" i="139" s="1"/>
  <c r="DH91" i="139" s="1"/>
  <c r="CI30" i="139"/>
  <c r="CI57" i="139" s="1"/>
  <c r="DH83" i="139" s="1"/>
  <c r="CI35" i="139"/>
  <c r="CI62" i="139" s="1"/>
  <c r="DH88" i="139" s="1"/>
  <c r="CI34" i="139"/>
  <c r="CI61" i="139" s="1"/>
  <c r="DH87" i="139" s="1"/>
  <c r="CI36" i="139"/>
  <c r="CI63" i="139" s="1"/>
  <c r="DH89" i="139" s="1"/>
  <c r="CH36" i="139" l="1"/>
  <c r="CH63" i="139" s="1"/>
  <c r="DG89" i="139" s="1"/>
  <c r="CH38" i="139"/>
  <c r="CH65" i="139" s="1"/>
  <c r="DG91" i="139" s="1"/>
  <c r="CH34" i="139"/>
  <c r="CH61" i="139" s="1"/>
  <c r="DG87" i="139" s="1"/>
  <c r="CH33" i="139"/>
  <c r="CH60" i="139" s="1"/>
  <c r="DG86" i="139" s="1"/>
  <c r="CH41" i="139"/>
  <c r="CH68" i="139" s="1"/>
  <c r="DG94" i="139" s="1"/>
  <c r="CH39" i="139"/>
  <c r="CH66" i="139" s="1"/>
  <c r="DG92" i="139" s="1"/>
  <c r="CH30" i="139"/>
  <c r="CH57" i="139" s="1"/>
  <c r="DG83" i="139" s="1"/>
  <c r="CG28" i="139"/>
  <c r="CH35" i="139"/>
  <c r="CH62" i="139" s="1"/>
  <c r="DG88" i="139" s="1"/>
  <c r="CH40" i="139"/>
  <c r="CH67" i="139" s="1"/>
  <c r="DG93" i="139" s="1"/>
  <c r="CH37" i="139"/>
  <c r="CH64" i="139" s="1"/>
  <c r="DG90" i="139" s="1"/>
  <c r="CH31" i="139"/>
  <c r="CH58" i="139" s="1"/>
  <c r="DG84" i="139" s="1"/>
  <c r="CH32" i="139"/>
  <c r="CH59" i="139" s="1"/>
  <c r="DG85" i="139" s="1"/>
  <c r="CG37" i="139" l="1"/>
  <c r="CG64" i="139" s="1"/>
  <c r="DF90" i="139" s="1"/>
  <c r="CG33" i="139"/>
  <c r="CG60" i="139" s="1"/>
  <c r="DF86" i="139" s="1"/>
  <c r="CG36" i="139"/>
  <c r="CG63" i="139" s="1"/>
  <c r="DF89" i="139" s="1"/>
  <c r="CG39" i="139"/>
  <c r="CG66" i="139" s="1"/>
  <c r="DF92" i="139" s="1"/>
  <c r="CG35" i="139"/>
  <c r="CG62" i="139" s="1"/>
  <c r="DF88" i="139" s="1"/>
  <c r="CG34" i="139"/>
  <c r="CG61" i="139" s="1"/>
  <c r="DF87" i="139" s="1"/>
  <c r="CG30" i="139"/>
  <c r="CG57" i="139" s="1"/>
  <c r="DF83" i="139" s="1"/>
  <c r="CG31" i="139"/>
  <c r="CG58" i="139" s="1"/>
  <c r="DF84" i="139" s="1"/>
  <c r="CG41" i="139"/>
  <c r="CG68" i="139" s="1"/>
  <c r="DF94" i="139" s="1"/>
  <c r="CG40" i="139"/>
  <c r="CG67" i="139" s="1"/>
  <c r="DF93" i="139" s="1"/>
  <c r="CF28" i="139"/>
  <c r="CG38" i="139"/>
  <c r="CG65" i="139" s="1"/>
  <c r="DF91" i="139" s="1"/>
  <c r="CG32" i="139"/>
  <c r="CG59" i="139" s="1"/>
  <c r="DF85" i="139" s="1"/>
  <c r="CF32" i="139" l="1"/>
  <c r="CF59" i="139" s="1"/>
  <c r="DE85" i="139" s="1"/>
  <c r="CF36" i="139"/>
  <c r="CF63" i="139" s="1"/>
  <c r="DE89" i="139" s="1"/>
  <c r="CF35" i="139"/>
  <c r="CF62" i="139" s="1"/>
  <c r="DE88" i="139" s="1"/>
  <c r="CF39" i="139"/>
  <c r="CF66" i="139" s="1"/>
  <c r="DE92" i="139" s="1"/>
  <c r="CF33" i="139"/>
  <c r="CF60" i="139" s="1"/>
  <c r="DE86" i="139" s="1"/>
  <c r="CF41" i="139"/>
  <c r="CF68" i="139" s="1"/>
  <c r="DE94" i="139" s="1"/>
  <c r="CE28" i="139"/>
  <c r="CF34" i="139"/>
  <c r="CF61" i="139" s="1"/>
  <c r="DE87" i="139" s="1"/>
  <c r="CF31" i="139"/>
  <c r="CF58" i="139" s="1"/>
  <c r="DE84" i="139" s="1"/>
  <c r="CF30" i="139"/>
  <c r="CF57" i="139" s="1"/>
  <c r="DE83" i="139" s="1"/>
  <c r="CF37" i="139"/>
  <c r="CF64" i="139" s="1"/>
  <c r="DE90" i="139" s="1"/>
  <c r="CF40" i="139"/>
  <c r="CF67" i="139" s="1"/>
  <c r="DE93" i="139" s="1"/>
  <c r="CF38" i="139"/>
  <c r="CF65" i="139" s="1"/>
  <c r="DE91" i="139" s="1"/>
  <c r="CE36" i="139" l="1"/>
  <c r="CE63" i="139" s="1"/>
  <c r="DD89" i="139" s="1"/>
  <c r="CE40" i="139"/>
  <c r="CE67" i="139" s="1"/>
  <c r="DD93" i="139" s="1"/>
  <c r="CE34" i="139"/>
  <c r="CE61" i="139" s="1"/>
  <c r="DD87" i="139" s="1"/>
  <c r="CE38" i="139"/>
  <c r="CE65" i="139" s="1"/>
  <c r="DD91" i="139" s="1"/>
  <c r="CE35" i="139"/>
  <c r="CE62" i="139" s="1"/>
  <c r="DD88" i="139" s="1"/>
  <c r="CE37" i="139"/>
  <c r="CE64" i="139" s="1"/>
  <c r="DD90" i="139" s="1"/>
  <c r="CE32" i="139"/>
  <c r="CE59" i="139" s="1"/>
  <c r="DD85" i="139" s="1"/>
  <c r="CE39" i="139"/>
  <c r="CE66" i="139" s="1"/>
  <c r="DD92" i="139" s="1"/>
  <c r="CE41" i="139"/>
  <c r="CE68" i="139" s="1"/>
  <c r="DD94" i="139" s="1"/>
  <c r="CD28" i="139"/>
  <c r="CE30" i="139"/>
  <c r="CE57" i="139" s="1"/>
  <c r="DD83" i="139" s="1"/>
  <c r="CE33" i="139"/>
  <c r="CE60" i="139" s="1"/>
  <c r="DD86" i="139" s="1"/>
  <c r="CE31" i="139"/>
  <c r="CE58" i="139" s="1"/>
  <c r="DD84" i="139" s="1"/>
  <c r="CD37" i="139" l="1"/>
  <c r="CD64" i="139" s="1"/>
  <c r="DC90" i="139" s="1"/>
  <c r="CD34" i="139"/>
  <c r="CD61" i="139" s="1"/>
  <c r="DC87" i="139" s="1"/>
  <c r="CD39" i="139"/>
  <c r="CD66" i="139" s="1"/>
  <c r="DC92" i="139" s="1"/>
  <c r="CD32" i="139"/>
  <c r="CD59" i="139" s="1"/>
  <c r="DC85" i="139" s="1"/>
  <c r="CD31" i="139"/>
  <c r="CD58" i="139" s="1"/>
  <c r="DC84" i="139" s="1"/>
  <c r="CD35" i="139"/>
  <c r="CD62" i="139" s="1"/>
  <c r="DC88" i="139" s="1"/>
  <c r="CD36" i="139"/>
  <c r="CD63" i="139" s="1"/>
  <c r="DC89" i="139" s="1"/>
  <c r="CD30" i="139"/>
  <c r="CD57" i="139" s="1"/>
  <c r="DC83" i="139" s="1"/>
  <c r="CD41" i="139"/>
  <c r="CD68" i="139" s="1"/>
  <c r="DC94" i="139" s="1"/>
  <c r="CD33" i="139"/>
  <c r="CD60" i="139" s="1"/>
  <c r="DC86" i="139" s="1"/>
  <c r="CD38" i="139"/>
  <c r="CD65" i="139" s="1"/>
  <c r="DC91" i="139" s="1"/>
  <c r="CD40" i="139"/>
  <c r="CD67" i="139" s="1"/>
  <c r="DC93" i="139" s="1"/>
  <c r="CC28" i="139"/>
  <c r="CC36" i="139" l="1"/>
  <c r="CC63" i="139" s="1"/>
  <c r="DB89" i="139" s="1"/>
  <c r="CC37" i="139"/>
  <c r="CC64" i="139" s="1"/>
  <c r="DB90" i="139" s="1"/>
  <c r="CC35" i="139"/>
  <c r="CC62" i="139" s="1"/>
  <c r="DB88" i="139" s="1"/>
  <c r="CC38" i="139"/>
  <c r="CC65" i="139" s="1"/>
  <c r="DB91" i="139" s="1"/>
  <c r="CC31" i="139"/>
  <c r="CC58" i="139" s="1"/>
  <c r="DB84" i="139" s="1"/>
  <c r="CC39" i="139"/>
  <c r="CC66" i="139" s="1"/>
  <c r="DB92" i="139" s="1"/>
  <c r="CC34" i="139"/>
  <c r="CC61" i="139" s="1"/>
  <c r="DB87" i="139" s="1"/>
  <c r="CB28" i="139"/>
  <c r="CC32" i="139"/>
  <c r="CC59" i="139" s="1"/>
  <c r="DB85" i="139" s="1"/>
  <c r="CC41" i="139"/>
  <c r="CC68" i="139" s="1"/>
  <c r="DB94" i="139" s="1"/>
  <c r="CC30" i="139"/>
  <c r="CC57" i="139" s="1"/>
  <c r="DB83" i="139" s="1"/>
  <c r="CC40" i="139"/>
  <c r="CC67" i="139" s="1"/>
  <c r="DB93" i="139" s="1"/>
  <c r="CC33" i="139"/>
  <c r="CC60" i="139" s="1"/>
  <c r="DB86" i="139" s="1"/>
  <c r="CB41" i="139" l="1"/>
  <c r="CB68" i="139" s="1"/>
  <c r="DA94" i="139" s="1"/>
  <c r="CB30" i="139"/>
  <c r="CB57" i="139" s="1"/>
  <c r="DA83" i="139" s="1"/>
  <c r="CB36" i="139"/>
  <c r="CB63" i="139" s="1"/>
  <c r="DA89" i="139" s="1"/>
  <c r="CB34" i="139"/>
  <c r="CB61" i="139" s="1"/>
  <c r="DA87" i="139" s="1"/>
  <c r="CB37" i="139"/>
  <c r="CB64" i="139" s="1"/>
  <c r="DA90" i="139" s="1"/>
  <c r="CB39" i="139"/>
  <c r="CB66" i="139" s="1"/>
  <c r="DA92" i="139" s="1"/>
  <c r="CB40" i="139"/>
  <c r="CB67" i="139" s="1"/>
  <c r="DA93" i="139" s="1"/>
  <c r="CB33" i="139"/>
  <c r="CB60" i="139" s="1"/>
  <c r="DA86" i="139" s="1"/>
  <c r="CB38" i="139"/>
  <c r="CB65" i="139" s="1"/>
  <c r="DA91" i="139" s="1"/>
  <c r="CB35" i="139"/>
  <c r="CB62" i="139" s="1"/>
  <c r="DA88" i="139" s="1"/>
  <c r="CB32" i="139"/>
  <c r="CB59" i="139" s="1"/>
  <c r="DA85" i="139" s="1"/>
  <c r="CB31" i="139"/>
  <c r="CB58" i="139" s="1"/>
  <c r="DA84" i="139" s="1"/>
  <c r="CA28" i="139"/>
  <c r="CA37" i="139" l="1"/>
  <c r="CA64" i="139" s="1"/>
  <c r="CZ90" i="139" s="1"/>
  <c r="CA32" i="139"/>
  <c r="CA59" i="139" s="1"/>
  <c r="CZ85" i="139" s="1"/>
  <c r="CA38" i="139"/>
  <c r="CA65" i="139" s="1"/>
  <c r="CZ91" i="139" s="1"/>
  <c r="CA40" i="139"/>
  <c r="CA67" i="139" s="1"/>
  <c r="CZ93" i="139" s="1"/>
  <c r="CA33" i="139"/>
  <c r="CA60" i="139" s="1"/>
  <c r="CZ86" i="139" s="1"/>
  <c r="CA30" i="139"/>
  <c r="CA57" i="139" s="1"/>
  <c r="CZ83" i="139" s="1"/>
  <c r="CA35" i="139"/>
  <c r="CA62" i="139" s="1"/>
  <c r="CZ88" i="139" s="1"/>
  <c r="CA31" i="139"/>
  <c r="CA58" i="139" s="1"/>
  <c r="CZ84" i="139" s="1"/>
  <c r="CA41" i="139"/>
  <c r="CA68" i="139" s="1"/>
  <c r="CZ94" i="139" s="1"/>
  <c r="CA36" i="139"/>
  <c r="CA63" i="139" s="1"/>
  <c r="CZ89" i="139" s="1"/>
  <c r="CA34" i="139"/>
  <c r="CA61" i="139" s="1"/>
  <c r="CZ87" i="139" s="1"/>
  <c r="CA39" i="139"/>
  <c r="CA66" i="139" s="1"/>
  <c r="CZ92" i="139" s="1"/>
  <c r="BZ28" i="139"/>
  <c r="BZ38" i="139" l="1"/>
  <c r="BZ65" i="139" s="1"/>
  <c r="CY91" i="139" s="1"/>
  <c r="BZ41" i="139"/>
  <c r="BZ68" i="139" s="1"/>
  <c r="CY94" i="139" s="1"/>
  <c r="BZ39" i="139"/>
  <c r="BZ66" i="139" s="1"/>
  <c r="CY92" i="139" s="1"/>
  <c r="BZ32" i="139"/>
  <c r="BZ59" i="139" s="1"/>
  <c r="CY85" i="139" s="1"/>
  <c r="BZ31" i="139"/>
  <c r="BZ58" i="139" s="1"/>
  <c r="CY84" i="139" s="1"/>
  <c r="BZ35" i="139"/>
  <c r="BZ62" i="139" s="1"/>
  <c r="CY88" i="139" s="1"/>
  <c r="BZ30" i="139"/>
  <c r="BZ57" i="139" s="1"/>
  <c r="CY83" i="139" s="1"/>
  <c r="BZ40" i="139"/>
  <c r="BZ67" i="139" s="1"/>
  <c r="CY93" i="139" s="1"/>
  <c r="BY28" i="139"/>
  <c r="BZ36" i="139"/>
  <c r="BZ63" i="139" s="1"/>
  <c r="CY89" i="139" s="1"/>
  <c r="BZ34" i="139"/>
  <c r="BZ61" i="139" s="1"/>
  <c r="CY87" i="139" s="1"/>
  <c r="BZ37" i="139"/>
  <c r="BZ64" i="139" s="1"/>
  <c r="CY90" i="139" s="1"/>
  <c r="BZ33" i="139"/>
  <c r="BZ60" i="139" s="1"/>
  <c r="CY86" i="139" s="1"/>
  <c r="BY41" i="139" l="1"/>
  <c r="BY68" i="139" s="1"/>
  <c r="CX94" i="139" s="1"/>
  <c r="BY38" i="139"/>
  <c r="BY65" i="139" s="1"/>
  <c r="CX91" i="139" s="1"/>
  <c r="BY34" i="139"/>
  <c r="BY61" i="139" s="1"/>
  <c r="CX87" i="139" s="1"/>
  <c r="BY37" i="139"/>
  <c r="BY64" i="139" s="1"/>
  <c r="CX90" i="139" s="1"/>
  <c r="BY32" i="139"/>
  <c r="BY59" i="139" s="1"/>
  <c r="CX85" i="139" s="1"/>
  <c r="BY40" i="139"/>
  <c r="BY67" i="139" s="1"/>
  <c r="CX93" i="139" s="1"/>
  <c r="BY30" i="139"/>
  <c r="BY57" i="139" s="1"/>
  <c r="CX83" i="139" s="1"/>
  <c r="BY36" i="139"/>
  <c r="BY63" i="139" s="1"/>
  <c r="CX89" i="139" s="1"/>
  <c r="BY39" i="139"/>
  <c r="BY66" i="139" s="1"/>
  <c r="CX92" i="139" s="1"/>
  <c r="BY31" i="139"/>
  <c r="BY58" i="139" s="1"/>
  <c r="CX84" i="139" s="1"/>
  <c r="BX28" i="139"/>
  <c r="BY33" i="139"/>
  <c r="BY60" i="139" s="1"/>
  <c r="CX86" i="139" s="1"/>
  <c r="BY35" i="139"/>
  <c r="BY62" i="139" s="1"/>
  <c r="CX88" i="139" s="1"/>
  <c r="BX30" i="139" l="1"/>
  <c r="BX57" i="139" s="1"/>
  <c r="CW83" i="139" s="1"/>
  <c r="BX32" i="139"/>
  <c r="BX59" i="139" s="1"/>
  <c r="CW85" i="139" s="1"/>
  <c r="BX31" i="139"/>
  <c r="BX58" i="139" s="1"/>
  <c r="CW84" i="139" s="1"/>
  <c r="BX36" i="139"/>
  <c r="BX63" i="139" s="1"/>
  <c r="CW89" i="139" s="1"/>
  <c r="BX41" i="139"/>
  <c r="BX68" i="139" s="1"/>
  <c r="CW94" i="139" s="1"/>
  <c r="BW28" i="139"/>
  <c r="BX35" i="139"/>
  <c r="BX62" i="139" s="1"/>
  <c r="CW88" i="139" s="1"/>
  <c r="BX39" i="139"/>
  <c r="BX66" i="139" s="1"/>
  <c r="CW92" i="139" s="1"/>
  <c r="BX38" i="139"/>
  <c r="BX65" i="139" s="1"/>
  <c r="CW91" i="139" s="1"/>
  <c r="BX33" i="139"/>
  <c r="BX60" i="139" s="1"/>
  <c r="CW86" i="139" s="1"/>
  <c r="BX37" i="139"/>
  <c r="BX64" i="139" s="1"/>
  <c r="CW90" i="139" s="1"/>
  <c r="BX40" i="139"/>
  <c r="BX67" i="139" s="1"/>
  <c r="CW93" i="139" s="1"/>
  <c r="BX34" i="139"/>
  <c r="BX61" i="139" s="1"/>
  <c r="CW87" i="139" s="1"/>
  <c r="BW31" i="139" l="1"/>
  <c r="BW58" i="139" s="1"/>
  <c r="CV84" i="139" s="1"/>
  <c r="BW30" i="139"/>
  <c r="BW57" i="139" s="1"/>
  <c r="CV83" i="139" s="1"/>
  <c r="BW39" i="139"/>
  <c r="BW66" i="139" s="1"/>
  <c r="CV92" i="139" s="1"/>
  <c r="BW34" i="139"/>
  <c r="BW61" i="139" s="1"/>
  <c r="CV87" i="139" s="1"/>
  <c r="BW35" i="139"/>
  <c r="BW62" i="139" s="1"/>
  <c r="CV88" i="139" s="1"/>
  <c r="BW37" i="139"/>
  <c r="BW64" i="139" s="1"/>
  <c r="CV90" i="139" s="1"/>
  <c r="BV28" i="139"/>
  <c r="BW38" i="139"/>
  <c r="BW65" i="139" s="1"/>
  <c r="CV91" i="139" s="1"/>
  <c r="BW33" i="139"/>
  <c r="BW60" i="139" s="1"/>
  <c r="CV86" i="139" s="1"/>
  <c r="BW41" i="139"/>
  <c r="BW68" i="139" s="1"/>
  <c r="CV94" i="139" s="1"/>
  <c r="BW36" i="139"/>
  <c r="BW63" i="139" s="1"/>
  <c r="CV89" i="139" s="1"/>
  <c r="BW32" i="139"/>
  <c r="BW59" i="139" s="1"/>
  <c r="CV85" i="139" s="1"/>
  <c r="BW40" i="139"/>
  <c r="BW67" i="139" s="1"/>
  <c r="CV93" i="139" s="1"/>
  <c r="BV33" i="139" l="1"/>
  <c r="BV60" i="139" s="1"/>
  <c r="CU86" i="139" s="1"/>
  <c r="BV31" i="139"/>
  <c r="BV58" i="139" s="1"/>
  <c r="CU84" i="139" s="1"/>
  <c r="BV40" i="139"/>
  <c r="BV67" i="139" s="1"/>
  <c r="CU93" i="139" s="1"/>
  <c r="BV30" i="139"/>
  <c r="BV57" i="139" s="1"/>
  <c r="CU83" i="139" s="1"/>
  <c r="BV37" i="139"/>
  <c r="BV64" i="139" s="1"/>
  <c r="CU90" i="139" s="1"/>
  <c r="BV38" i="139"/>
  <c r="BV65" i="139" s="1"/>
  <c r="CU91" i="139" s="1"/>
  <c r="BV35" i="139"/>
  <c r="BV62" i="139" s="1"/>
  <c r="CU88" i="139" s="1"/>
  <c r="BV41" i="139"/>
  <c r="BV68" i="139" s="1"/>
  <c r="CU94" i="139" s="1"/>
  <c r="BV34" i="139"/>
  <c r="BV61" i="139" s="1"/>
  <c r="CU87" i="139" s="1"/>
  <c r="BV39" i="139"/>
  <c r="BV66" i="139" s="1"/>
  <c r="CU92" i="139" s="1"/>
  <c r="BU28" i="139"/>
  <c r="BV36" i="139"/>
  <c r="BV63" i="139" s="1"/>
  <c r="CU89" i="139" s="1"/>
  <c r="BV32" i="139"/>
  <c r="BV59" i="139" s="1"/>
  <c r="CU85" i="139" s="1"/>
  <c r="BU35" i="139" l="1"/>
  <c r="BU62" i="139" s="1"/>
  <c r="CT88" i="139" s="1"/>
  <c r="BU40" i="139"/>
  <c r="BU67" i="139" s="1"/>
  <c r="CT93" i="139" s="1"/>
  <c r="BU33" i="139"/>
  <c r="BU60" i="139" s="1"/>
  <c r="CT86" i="139" s="1"/>
  <c r="BU34" i="139"/>
  <c r="BU61" i="139" s="1"/>
  <c r="CT87" i="139" s="1"/>
  <c r="BU32" i="139"/>
  <c r="BU59" i="139" s="1"/>
  <c r="CT85" i="139" s="1"/>
  <c r="BU36" i="139"/>
  <c r="BU63" i="139" s="1"/>
  <c r="CT89" i="139" s="1"/>
  <c r="BU41" i="139"/>
  <c r="BU68" i="139" s="1"/>
  <c r="CT94" i="139" s="1"/>
  <c r="BU30" i="139"/>
  <c r="BU57" i="139" s="1"/>
  <c r="CT83" i="139" s="1"/>
  <c r="BU38" i="139"/>
  <c r="BU65" i="139" s="1"/>
  <c r="CT91" i="139" s="1"/>
  <c r="BU31" i="139"/>
  <c r="BU58" i="139" s="1"/>
  <c r="CT84" i="139" s="1"/>
  <c r="BU39" i="139"/>
  <c r="BU66" i="139" s="1"/>
  <c r="CT92" i="139" s="1"/>
  <c r="BT28" i="139"/>
  <c r="BU37" i="139"/>
  <c r="BU64" i="139" s="1"/>
  <c r="CT90" i="139" s="1"/>
  <c r="BT33" i="139" l="1"/>
  <c r="BT60" i="139" s="1"/>
  <c r="CS86" i="139" s="1"/>
  <c r="BT38" i="139"/>
  <c r="BT65" i="139" s="1"/>
  <c r="CS91" i="139" s="1"/>
  <c r="BT41" i="139"/>
  <c r="BT68" i="139" s="1"/>
  <c r="CS94" i="139" s="1"/>
  <c r="BT34" i="139"/>
  <c r="BT61" i="139" s="1"/>
  <c r="CS87" i="139" s="1"/>
  <c r="BT32" i="139"/>
  <c r="BT59" i="139" s="1"/>
  <c r="CS85" i="139" s="1"/>
  <c r="BT36" i="139"/>
  <c r="BT63" i="139" s="1"/>
  <c r="CS89" i="139" s="1"/>
  <c r="BT40" i="139"/>
  <c r="BT67" i="139" s="1"/>
  <c r="CS93" i="139" s="1"/>
  <c r="BT30" i="139"/>
  <c r="BT57" i="139" s="1"/>
  <c r="CS83" i="139" s="1"/>
  <c r="BS28" i="139"/>
  <c r="BT37" i="139"/>
  <c r="BT64" i="139" s="1"/>
  <c r="CS90" i="139" s="1"/>
  <c r="BT39" i="139"/>
  <c r="BT66" i="139" s="1"/>
  <c r="CS92" i="139" s="1"/>
  <c r="BT35" i="139"/>
  <c r="BT62" i="139" s="1"/>
  <c r="CS88" i="139" s="1"/>
  <c r="BT31" i="139"/>
  <c r="BT58" i="139" s="1"/>
  <c r="CS84" i="139" s="1"/>
  <c r="BS35" i="139" l="1"/>
  <c r="BS62" i="139" s="1"/>
  <c r="CR88" i="139" s="1"/>
  <c r="BS36" i="139"/>
  <c r="BS63" i="139" s="1"/>
  <c r="CR89" i="139" s="1"/>
  <c r="BS32" i="139"/>
  <c r="BS59" i="139" s="1"/>
  <c r="CR85" i="139" s="1"/>
  <c r="BS31" i="139"/>
  <c r="BS58" i="139" s="1"/>
  <c r="CR84" i="139" s="1"/>
  <c r="BS41" i="139"/>
  <c r="BS68" i="139" s="1"/>
  <c r="CR94" i="139" s="1"/>
  <c r="BS30" i="139"/>
  <c r="BS57" i="139" s="1"/>
  <c r="CR83" i="139" s="1"/>
  <c r="BS37" i="139"/>
  <c r="BS64" i="139" s="1"/>
  <c r="CR90" i="139" s="1"/>
  <c r="BS33" i="139"/>
  <c r="BS60" i="139" s="1"/>
  <c r="CR86" i="139" s="1"/>
  <c r="BS40" i="139"/>
  <c r="BS67" i="139" s="1"/>
  <c r="CR93" i="139" s="1"/>
  <c r="BS39" i="139"/>
  <c r="BS66" i="139" s="1"/>
  <c r="CR92" i="139" s="1"/>
  <c r="BS38" i="139"/>
  <c r="BS65" i="139" s="1"/>
  <c r="CR91" i="139" s="1"/>
  <c r="BS34" i="139"/>
  <c r="BS61" i="139" s="1"/>
  <c r="CR87" i="139" s="1"/>
  <c r="BR28" i="139"/>
  <c r="BR40" i="139" l="1"/>
  <c r="BR67" i="139" s="1"/>
  <c r="CQ93" i="139" s="1"/>
  <c r="BR34" i="139"/>
  <c r="BR61" i="139" s="1"/>
  <c r="CQ87" i="139" s="1"/>
  <c r="BR36" i="139"/>
  <c r="BR63" i="139" s="1"/>
  <c r="CQ89" i="139" s="1"/>
  <c r="BQ28" i="139"/>
  <c r="BR31" i="139"/>
  <c r="BR58" i="139" s="1"/>
  <c r="CQ84" i="139" s="1"/>
  <c r="BR30" i="139"/>
  <c r="BR57" i="139" s="1"/>
  <c r="CQ83" i="139" s="1"/>
  <c r="BR32" i="139"/>
  <c r="BR59" i="139" s="1"/>
  <c r="CQ85" i="139" s="1"/>
  <c r="BR37" i="139"/>
  <c r="BR64" i="139" s="1"/>
  <c r="CQ90" i="139" s="1"/>
  <c r="BR38" i="139"/>
  <c r="BR65" i="139" s="1"/>
  <c r="CQ91" i="139" s="1"/>
  <c r="BR39" i="139"/>
  <c r="BR66" i="139" s="1"/>
  <c r="CQ92" i="139" s="1"/>
  <c r="BR35" i="139"/>
  <c r="BR62" i="139" s="1"/>
  <c r="CQ88" i="139" s="1"/>
  <c r="BR33" i="139"/>
  <c r="BR60" i="139" s="1"/>
  <c r="CQ86" i="139" s="1"/>
  <c r="BR41" i="139"/>
  <c r="BR68" i="139" s="1"/>
  <c r="CQ94" i="139" s="1"/>
  <c r="BQ31" i="139" l="1"/>
  <c r="BQ58" i="139" s="1"/>
  <c r="CP84" i="139" s="1"/>
  <c r="BQ32" i="139"/>
  <c r="BQ59" i="139" s="1"/>
  <c r="CP85" i="139" s="1"/>
  <c r="BQ38" i="139"/>
  <c r="BQ65" i="139" s="1"/>
  <c r="CP91" i="139" s="1"/>
  <c r="BQ40" i="139"/>
  <c r="BQ67" i="139" s="1"/>
  <c r="CP93" i="139" s="1"/>
  <c r="BQ34" i="139"/>
  <c r="BQ61" i="139" s="1"/>
  <c r="CP87" i="139" s="1"/>
  <c r="BQ41" i="139"/>
  <c r="BQ68" i="139" s="1"/>
  <c r="CP94" i="139" s="1"/>
  <c r="BQ35" i="139"/>
  <c r="BQ62" i="139" s="1"/>
  <c r="CP88" i="139" s="1"/>
  <c r="BQ33" i="139"/>
  <c r="BQ60" i="139" s="1"/>
  <c r="CP86" i="139" s="1"/>
  <c r="BP28" i="139"/>
  <c r="BQ37" i="139"/>
  <c r="BQ64" i="139" s="1"/>
  <c r="CP90" i="139" s="1"/>
  <c r="BQ30" i="139"/>
  <c r="BQ57" i="139" s="1"/>
  <c r="CP83" i="139" s="1"/>
  <c r="BQ39" i="139"/>
  <c r="BQ66" i="139" s="1"/>
  <c r="CP92" i="139" s="1"/>
  <c r="BQ36" i="139"/>
  <c r="BQ63" i="139" s="1"/>
  <c r="CP89" i="139" s="1"/>
  <c r="BP40" i="139" l="1"/>
  <c r="BP67" i="139" s="1"/>
  <c r="CO93" i="139" s="1"/>
  <c r="BP36" i="139"/>
  <c r="BP63" i="139" s="1"/>
  <c r="CO89" i="139" s="1"/>
  <c r="BP38" i="139"/>
  <c r="BP65" i="139" s="1"/>
  <c r="CO91" i="139" s="1"/>
  <c r="BP31" i="139"/>
  <c r="BP58" i="139" s="1"/>
  <c r="CO84" i="139" s="1"/>
  <c r="BP33" i="139"/>
  <c r="BP60" i="139" s="1"/>
  <c r="CO86" i="139" s="1"/>
  <c r="BP34" i="139"/>
  <c r="BP61" i="139" s="1"/>
  <c r="CO87" i="139" s="1"/>
  <c r="BP41" i="139"/>
  <c r="BP68" i="139" s="1"/>
  <c r="CO94" i="139" s="1"/>
  <c r="BP37" i="139"/>
  <c r="BP64" i="139" s="1"/>
  <c r="CO90" i="139" s="1"/>
  <c r="BP35" i="139"/>
  <c r="BP62" i="139" s="1"/>
  <c r="CO88" i="139" s="1"/>
  <c r="BP30" i="139"/>
  <c r="BP57" i="139" s="1"/>
  <c r="CO83" i="139" s="1"/>
  <c r="BP39" i="139"/>
  <c r="BP66" i="139" s="1"/>
  <c r="CO92" i="139" s="1"/>
  <c r="BO28" i="139"/>
  <c r="BP32" i="139"/>
  <c r="BP59" i="139" s="1"/>
  <c r="CO85" i="139" s="1"/>
  <c r="BN28" i="139" l="1"/>
  <c r="BO41" i="139"/>
  <c r="BO68" i="139" s="1"/>
  <c r="CN94" i="139" s="1"/>
  <c r="BO31" i="139"/>
  <c r="BO58" i="139" s="1"/>
  <c r="CN84" i="139" s="1"/>
  <c r="BO35" i="139"/>
  <c r="BO62" i="139" s="1"/>
  <c r="CN88" i="139" s="1"/>
  <c r="BO36" i="139"/>
  <c r="BO63" i="139" s="1"/>
  <c r="CN89" i="139" s="1"/>
  <c r="BO40" i="139"/>
  <c r="BO67" i="139" s="1"/>
  <c r="CN93" i="139" s="1"/>
  <c r="BO32" i="139"/>
  <c r="BO59" i="139" s="1"/>
  <c r="CN85" i="139" s="1"/>
  <c r="BO39" i="139"/>
  <c r="BO66" i="139" s="1"/>
  <c r="CN92" i="139" s="1"/>
  <c r="BO34" i="139"/>
  <c r="BO61" i="139" s="1"/>
  <c r="CN87" i="139" s="1"/>
  <c r="BO37" i="139"/>
  <c r="BO64" i="139" s="1"/>
  <c r="CN90" i="139" s="1"/>
  <c r="BO30" i="139"/>
  <c r="BO57" i="139" s="1"/>
  <c r="CN83" i="139" s="1"/>
  <c r="BO33" i="139"/>
  <c r="BO60" i="139" s="1"/>
  <c r="CN86" i="139" s="1"/>
  <c r="BO38" i="139"/>
  <c r="BO65" i="139" s="1"/>
  <c r="CN91" i="139" s="1"/>
  <c r="BN40" i="139" l="1"/>
  <c r="BN67" i="139" s="1"/>
  <c r="CM93" i="139" s="1"/>
  <c r="BN34" i="139"/>
  <c r="BN61" i="139" s="1"/>
  <c r="CM87" i="139" s="1"/>
  <c r="BN32" i="139"/>
  <c r="BN59" i="139" s="1"/>
  <c r="CM85" i="139" s="1"/>
  <c r="BN31" i="139"/>
  <c r="BN58" i="139" s="1"/>
  <c r="CM84" i="139" s="1"/>
  <c r="BN35" i="139"/>
  <c r="BN62" i="139" s="1"/>
  <c r="CM88" i="139" s="1"/>
  <c r="BN38" i="139"/>
  <c r="BN65" i="139" s="1"/>
  <c r="CM91" i="139" s="1"/>
  <c r="BN30" i="139"/>
  <c r="BN57" i="139" s="1"/>
  <c r="CM83" i="139" s="1"/>
  <c r="BN39" i="139"/>
  <c r="BN66" i="139" s="1"/>
  <c r="CM92" i="139" s="1"/>
  <c r="BN36" i="139"/>
  <c r="BN63" i="139" s="1"/>
  <c r="CM89" i="139" s="1"/>
  <c r="BN41" i="139"/>
  <c r="BN68" i="139" s="1"/>
  <c r="CM94" i="139" s="1"/>
  <c r="BM28" i="139"/>
  <c r="BN33" i="139"/>
  <c r="BN60" i="139" s="1"/>
  <c r="CM86" i="139" s="1"/>
  <c r="BN37" i="139"/>
  <c r="BN64" i="139" s="1"/>
  <c r="CM90" i="139" s="1"/>
  <c r="BM33" i="139" l="1"/>
  <c r="BM60" i="139" s="1"/>
  <c r="CL86" i="139" s="1"/>
  <c r="BM34" i="139"/>
  <c r="BM61" i="139" s="1"/>
  <c r="CL87" i="139" s="1"/>
  <c r="BM38" i="139"/>
  <c r="BM65" i="139" s="1"/>
  <c r="CL91" i="139" s="1"/>
  <c r="BM40" i="139"/>
  <c r="BM67" i="139" s="1"/>
  <c r="CL93" i="139" s="1"/>
  <c r="BM39" i="139"/>
  <c r="BM66" i="139" s="1"/>
  <c r="CL92" i="139" s="1"/>
  <c r="BM37" i="139"/>
  <c r="BM64" i="139" s="1"/>
  <c r="CL90" i="139" s="1"/>
  <c r="BM31" i="139"/>
  <c r="BM58" i="139" s="1"/>
  <c r="CL84" i="139" s="1"/>
  <c r="BM35" i="139"/>
  <c r="BM62" i="139" s="1"/>
  <c r="CL88" i="139" s="1"/>
  <c r="BM32" i="139"/>
  <c r="BM59" i="139" s="1"/>
  <c r="CL85" i="139" s="1"/>
  <c r="BM30" i="139"/>
  <c r="BM57" i="139" s="1"/>
  <c r="CL83" i="139" s="1"/>
  <c r="BM36" i="139"/>
  <c r="BM63" i="139" s="1"/>
  <c r="CL89" i="139" s="1"/>
  <c r="BM41" i="139"/>
  <c r="BM68" i="139" s="1"/>
  <c r="CL94" i="139" s="1"/>
  <c r="BL28" i="139"/>
  <c r="BL41" i="139" l="1"/>
  <c r="BL68" i="139" s="1"/>
  <c r="CK94" i="139" s="1"/>
  <c r="BL38" i="139"/>
  <c r="BL65" i="139" s="1"/>
  <c r="CK91" i="139" s="1"/>
  <c r="BL35" i="139"/>
  <c r="BL62" i="139" s="1"/>
  <c r="CK88" i="139" s="1"/>
  <c r="BL34" i="139"/>
  <c r="BL61" i="139" s="1"/>
  <c r="CK87" i="139" s="1"/>
  <c r="BL37" i="139"/>
  <c r="BL64" i="139" s="1"/>
  <c r="CK90" i="139" s="1"/>
  <c r="BL30" i="139"/>
  <c r="BL57" i="139" s="1"/>
  <c r="CK83" i="139" s="1"/>
  <c r="BK28" i="139"/>
  <c r="BL40" i="139"/>
  <c r="BL67" i="139" s="1"/>
  <c r="CK93" i="139" s="1"/>
  <c r="BL31" i="139"/>
  <c r="BL58" i="139" s="1"/>
  <c r="CK84" i="139" s="1"/>
  <c r="BL32" i="139"/>
  <c r="BL59" i="139" s="1"/>
  <c r="CK85" i="139" s="1"/>
  <c r="BL36" i="139"/>
  <c r="BL63" i="139" s="1"/>
  <c r="CK89" i="139" s="1"/>
  <c r="BL39" i="139"/>
  <c r="BL66" i="139" s="1"/>
  <c r="CK92" i="139" s="1"/>
  <c r="BL33" i="139"/>
  <c r="BL60" i="139" s="1"/>
  <c r="CK86" i="139" s="1"/>
  <c r="BK37" i="139" l="1"/>
  <c r="BK64" i="139" s="1"/>
  <c r="CJ90" i="139" s="1"/>
  <c r="BK31" i="139"/>
  <c r="BK58" i="139" s="1"/>
  <c r="CJ84" i="139" s="1"/>
  <c r="BK32" i="139"/>
  <c r="BK59" i="139" s="1"/>
  <c r="CJ85" i="139" s="1"/>
  <c r="BK38" i="139"/>
  <c r="BK65" i="139" s="1"/>
  <c r="CJ91" i="139" s="1"/>
  <c r="BJ28" i="139"/>
  <c r="BK35" i="139"/>
  <c r="BK62" i="139" s="1"/>
  <c r="CJ88" i="139" s="1"/>
  <c r="BK36" i="139"/>
  <c r="BK63" i="139" s="1"/>
  <c r="CJ89" i="139" s="1"/>
  <c r="BK40" i="139"/>
  <c r="BK67" i="139" s="1"/>
  <c r="CJ93" i="139" s="1"/>
  <c r="BK30" i="139"/>
  <c r="BK57" i="139" s="1"/>
  <c r="CJ83" i="139" s="1"/>
  <c r="BK39" i="139"/>
  <c r="BK66" i="139" s="1"/>
  <c r="CJ92" i="139" s="1"/>
  <c r="BK34" i="139"/>
  <c r="BK61" i="139" s="1"/>
  <c r="CJ87" i="139" s="1"/>
  <c r="BK41" i="139"/>
  <c r="BK68" i="139" s="1"/>
  <c r="CJ94" i="139" s="1"/>
  <c r="BK33" i="139"/>
  <c r="BK60" i="139" s="1"/>
  <c r="CJ86" i="139" s="1"/>
  <c r="BI28" i="139" l="1"/>
  <c r="BJ31" i="139"/>
  <c r="BJ58" i="139" s="1"/>
  <c r="CI84" i="139" s="1"/>
  <c r="BJ30" i="139"/>
  <c r="BJ57" i="139" s="1"/>
  <c r="CI83" i="139" s="1"/>
  <c r="BJ36" i="139"/>
  <c r="BJ63" i="139" s="1"/>
  <c r="CI89" i="139" s="1"/>
  <c r="BJ39" i="139"/>
  <c r="BJ66" i="139" s="1"/>
  <c r="CI92" i="139" s="1"/>
  <c r="BJ35" i="139"/>
  <c r="BJ62" i="139" s="1"/>
  <c r="CI88" i="139" s="1"/>
  <c r="BJ41" i="139"/>
  <c r="BJ68" i="139" s="1"/>
  <c r="CI94" i="139" s="1"/>
  <c r="BJ33" i="139"/>
  <c r="BJ60" i="139" s="1"/>
  <c r="CI86" i="139" s="1"/>
  <c r="BJ40" i="139"/>
  <c r="BJ67" i="139" s="1"/>
  <c r="CI93" i="139" s="1"/>
  <c r="BJ37" i="139"/>
  <c r="BJ64" i="139" s="1"/>
  <c r="CI90" i="139" s="1"/>
  <c r="BJ34" i="139"/>
  <c r="BJ61" i="139" s="1"/>
  <c r="CI87" i="139" s="1"/>
  <c r="BJ38" i="139"/>
  <c r="BJ65" i="139" s="1"/>
  <c r="CI91" i="139" s="1"/>
  <c r="BJ32" i="139"/>
  <c r="BJ59" i="139" s="1"/>
  <c r="CI85" i="139" s="1"/>
  <c r="BI35" i="139" l="1"/>
  <c r="BI62" i="139" s="1"/>
  <c r="CH88" i="139" s="1"/>
  <c r="BI33" i="139"/>
  <c r="BI60" i="139" s="1"/>
  <c r="CH86" i="139" s="1"/>
  <c r="BI41" i="139"/>
  <c r="BI68" i="139" s="1"/>
  <c r="CH94" i="139" s="1"/>
  <c r="BH28" i="139"/>
  <c r="BI34" i="139"/>
  <c r="BI61" i="139" s="1"/>
  <c r="CH87" i="139" s="1"/>
  <c r="BI31" i="139"/>
  <c r="BI58" i="139" s="1"/>
  <c r="CH84" i="139" s="1"/>
  <c r="BI38" i="139"/>
  <c r="BI65" i="139" s="1"/>
  <c r="CH91" i="139" s="1"/>
  <c r="BI30" i="139"/>
  <c r="BI57" i="139" s="1"/>
  <c r="CH83" i="139" s="1"/>
  <c r="BI32" i="139"/>
  <c r="BI59" i="139" s="1"/>
  <c r="CH85" i="139" s="1"/>
  <c r="BI39" i="139"/>
  <c r="BI66" i="139" s="1"/>
  <c r="CH92" i="139" s="1"/>
  <c r="BI37" i="139"/>
  <c r="BI64" i="139" s="1"/>
  <c r="CH90" i="139" s="1"/>
  <c r="BI36" i="139"/>
  <c r="BI63" i="139" s="1"/>
  <c r="CH89" i="139" s="1"/>
  <c r="BI40" i="139"/>
  <c r="BI67" i="139" s="1"/>
  <c r="CH93" i="139" s="1"/>
  <c r="BH39" i="139" l="1"/>
  <c r="BH66" i="139" s="1"/>
  <c r="CG92" i="139" s="1"/>
  <c r="BG28" i="139"/>
  <c r="BH36" i="139"/>
  <c r="BH63" i="139" s="1"/>
  <c r="CG89" i="139" s="1"/>
  <c r="BH41" i="139"/>
  <c r="BH68" i="139" s="1"/>
  <c r="CG94" i="139" s="1"/>
  <c r="BH35" i="139"/>
  <c r="BH62" i="139" s="1"/>
  <c r="CG88" i="139" s="1"/>
  <c r="BH40" i="139"/>
  <c r="BH67" i="139" s="1"/>
  <c r="CG93" i="139" s="1"/>
  <c r="BH38" i="139"/>
  <c r="BH65" i="139" s="1"/>
  <c r="CG91" i="139" s="1"/>
  <c r="BH30" i="139"/>
  <c r="BH57" i="139" s="1"/>
  <c r="CG83" i="139" s="1"/>
  <c r="BH31" i="139"/>
  <c r="BH58" i="139" s="1"/>
  <c r="CG84" i="139" s="1"/>
  <c r="BH33" i="139"/>
  <c r="BH60" i="139" s="1"/>
  <c r="CG86" i="139" s="1"/>
  <c r="BH32" i="139"/>
  <c r="BH59" i="139" s="1"/>
  <c r="CG85" i="139" s="1"/>
  <c r="BH37" i="139"/>
  <c r="BH64" i="139" s="1"/>
  <c r="CG90" i="139" s="1"/>
  <c r="BH34" i="139"/>
  <c r="BH61" i="139" s="1"/>
  <c r="CG87" i="139" s="1"/>
  <c r="BG35" i="139" l="1"/>
  <c r="BG62" i="139" s="1"/>
  <c r="CF88" i="139" s="1"/>
  <c r="BG34" i="139"/>
  <c r="BG61" i="139" s="1"/>
  <c r="CF87" i="139" s="1"/>
  <c r="BG33" i="139"/>
  <c r="BG60" i="139" s="1"/>
  <c r="CF86" i="139" s="1"/>
  <c r="BG39" i="139"/>
  <c r="BG66" i="139" s="1"/>
  <c r="CF92" i="139" s="1"/>
  <c r="BG30" i="139"/>
  <c r="BG57" i="139" s="1"/>
  <c r="CF83" i="139" s="1"/>
  <c r="BG37" i="139"/>
  <c r="BG64" i="139" s="1"/>
  <c r="CF90" i="139" s="1"/>
  <c r="BG36" i="139"/>
  <c r="BG63" i="139" s="1"/>
  <c r="CF89" i="139" s="1"/>
  <c r="BG32" i="139"/>
  <c r="BG59" i="139" s="1"/>
  <c r="CF85" i="139" s="1"/>
  <c r="BG38" i="139"/>
  <c r="BG65" i="139" s="1"/>
  <c r="CF91" i="139" s="1"/>
  <c r="BG40" i="139"/>
  <c r="BG67" i="139" s="1"/>
  <c r="CF93" i="139" s="1"/>
  <c r="BG41" i="139"/>
  <c r="BG68" i="139" s="1"/>
  <c r="CF94" i="139" s="1"/>
  <c r="BF28" i="139"/>
  <c r="BG31" i="139"/>
  <c r="BG58" i="139" s="1"/>
  <c r="CF84" i="139" s="1"/>
  <c r="BF40" i="139" l="1"/>
  <c r="BF67" i="139" s="1"/>
  <c r="CE93" i="139" s="1"/>
  <c r="BF38" i="139"/>
  <c r="BF65" i="139" s="1"/>
  <c r="CE91" i="139" s="1"/>
  <c r="BF39" i="139"/>
  <c r="BF66" i="139" s="1"/>
  <c r="CE92" i="139" s="1"/>
  <c r="BF36" i="139"/>
  <c r="BF63" i="139" s="1"/>
  <c r="CE89" i="139" s="1"/>
  <c r="BF30" i="139"/>
  <c r="BF57" i="139" s="1"/>
  <c r="CE83" i="139" s="1"/>
  <c r="BF32" i="139"/>
  <c r="BF59" i="139" s="1"/>
  <c r="CE85" i="139" s="1"/>
  <c r="BF31" i="139"/>
  <c r="BF58" i="139" s="1"/>
  <c r="CE84" i="139" s="1"/>
  <c r="BF41" i="139"/>
  <c r="BF68" i="139" s="1"/>
  <c r="CE94" i="139" s="1"/>
  <c r="BF33" i="139"/>
  <c r="BF60" i="139" s="1"/>
  <c r="CE86" i="139" s="1"/>
  <c r="BF34" i="139"/>
  <c r="BF61" i="139" s="1"/>
  <c r="CE87" i="139" s="1"/>
  <c r="BF37" i="139"/>
  <c r="BF64" i="139" s="1"/>
  <c r="CE90" i="139" s="1"/>
  <c r="BE28" i="139"/>
  <c r="BF35" i="139"/>
  <c r="BF62" i="139" s="1"/>
  <c r="CE88" i="139" s="1"/>
  <c r="BE30" i="139" l="1"/>
  <c r="BE57" i="139" s="1"/>
  <c r="CD83" i="139" s="1"/>
  <c r="BE40" i="139"/>
  <c r="BE67" i="139" s="1"/>
  <c r="CD93" i="139" s="1"/>
  <c r="BD28" i="139"/>
  <c r="BE35" i="139"/>
  <c r="BE62" i="139" s="1"/>
  <c r="CD88" i="139" s="1"/>
  <c r="BE38" i="139"/>
  <c r="BE65" i="139" s="1"/>
  <c r="CD91" i="139" s="1"/>
  <c r="BE33" i="139"/>
  <c r="BE60" i="139" s="1"/>
  <c r="CD86" i="139" s="1"/>
  <c r="BE39" i="139"/>
  <c r="BE66" i="139" s="1"/>
  <c r="CD92" i="139" s="1"/>
  <c r="BE41" i="139"/>
  <c r="BE68" i="139" s="1"/>
  <c r="CD94" i="139" s="1"/>
  <c r="BE34" i="139"/>
  <c r="BE61" i="139" s="1"/>
  <c r="CD87" i="139" s="1"/>
  <c r="BE36" i="139"/>
  <c r="BE63" i="139" s="1"/>
  <c r="CD89" i="139" s="1"/>
  <c r="BE37" i="139"/>
  <c r="BE64" i="139" s="1"/>
  <c r="CD90" i="139" s="1"/>
  <c r="BE32" i="139"/>
  <c r="BE59" i="139" s="1"/>
  <c r="CD85" i="139" s="1"/>
  <c r="BE31" i="139"/>
  <c r="BE58" i="139" s="1"/>
  <c r="CD84" i="139" s="1"/>
  <c r="BD39" i="139" l="1"/>
  <c r="BD66" i="139" s="1"/>
  <c r="CC92" i="139" s="1"/>
  <c r="BD30" i="139"/>
  <c r="BD57" i="139" s="1"/>
  <c r="CC83" i="139" s="1"/>
  <c r="BD34" i="139"/>
  <c r="BD61" i="139" s="1"/>
  <c r="CC87" i="139" s="1"/>
  <c r="BD31" i="139"/>
  <c r="BD58" i="139" s="1"/>
  <c r="CC84" i="139" s="1"/>
  <c r="BD32" i="139"/>
  <c r="BD59" i="139" s="1"/>
  <c r="CC85" i="139" s="1"/>
  <c r="BD35" i="139"/>
  <c r="BD62" i="139" s="1"/>
  <c r="CC88" i="139" s="1"/>
  <c r="BD38" i="139"/>
  <c r="BD65" i="139" s="1"/>
  <c r="CC91" i="139" s="1"/>
  <c r="BD41" i="139"/>
  <c r="BD68" i="139" s="1"/>
  <c r="CC94" i="139" s="1"/>
  <c r="BD36" i="139"/>
  <c r="BD63" i="139" s="1"/>
  <c r="CC89" i="139" s="1"/>
  <c r="BD33" i="139"/>
  <c r="BD60" i="139" s="1"/>
  <c r="CC86" i="139" s="1"/>
  <c r="BC28" i="139"/>
  <c r="BD37" i="139"/>
  <c r="BD64" i="139" s="1"/>
  <c r="CC90" i="139" s="1"/>
  <c r="BD40" i="139"/>
  <c r="BD67" i="139" s="1"/>
  <c r="CC93" i="139" s="1"/>
  <c r="BB28" i="139" l="1"/>
  <c r="BC38" i="139"/>
  <c r="BC65" i="139" s="1"/>
  <c r="CB91" i="139" s="1"/>
  <c r="BC34" i="139"/>
  <c r="BC61" i="139" s="1"/>
  <c r="CB87" i="139" s="1"/>
  <c r="BC31" i="139"/>
  <c r="BC58" i="139" s="1"/>
  <c r="CB84" i="139" s="1"/>
  <c r="BC36" i="139"/>
  <c r="BC63" i="139" s="1"/>
  <c r="CB89" i="139" s="1"/>
  <c r="BC40" i="139"/>
  <c r="BC67" i="139" s="1"/>
  <c r="CB93" i="139" s="1"/>
  <c r="BC32" i="139"/>
  <c r="BC59" i="139" s="1"/>
  <c r="CB85" i="139" s="1"/>
  <c r="BC33" i="139"/>
  <c r="BC60" i="139" s="1"/>
  <c r="CB86" i="139" s="1"/>
  <c r="BC37" i="139"/>
  <c r="BC64" i="139" s="1"/>
  <c r="CB90" i="139" s="1"/>
  <c r="BC35" i="139"/>
  <c r="BC62" i="139" s="1"/>
  <c r="CB88" i="139" s="1"/>
  <c r="BC41" i="139"/>
  <c r="BC68" i="139" s="1"/>
  <c r="CB94" i="139" s="1"/>
  <c r="BC39" i="139"/>
  <c r="BC66" i="139" s="1"/>
  <c r="CB92" i="139" s="1"/>
  <c r="BC30" i="139"/>
  <c r="BC57" i="139" s="1"/>
  <c r="CB83" i="139" s="1"/>
  <c r="BB31" i="139" l="1"/>
  <c r="BB58" i="139" s="1"/>
  <c r="CA84" i="139" s="1"/>
  <c r="BB36" i="139"/>
  <c r="BB63" i="139" s="1"/>
  <c r="CA89" i="139" s="1"/>
  <c r="BB32" i="139"/>
  <c r="BB59" i="139" s="1"/>
  <c r="CA85" i="139" s="1"/>
  <c r="BB30" i="139"/>
  <c r="BB57" i="139" s="1"/>
  <c r="CA83" i="139" s="1"/>
  <c r="BA28" i="139"/>
  <c r="BB38" i="139"/>
  <c r="BB65" i="139" s="1"/>
  <c r="CA91" i="139" s="1"/>
  <c r="BB34" i="139"/>
  <c r="BB61" i="139" s="1"/>
  <c r="CA87" i="139" s="1"/>
  <c r="BB39" i="139"/>
  <c r="BB66" i="139" s="1"/>
  <c r="CA92" i="139" s="1"/>
  <c r="BB37" i="139"/>
  <c r="BB64" i="139" s="1"/>
  <c r="CA90" i="139" s="1"/>
  <c r="BB41" i="139"/>
  <c r="BB68" i="139" s="1"/>
  <c r="CA94" i="139" s="1"/>
  <c r="BB35" i="139"/>
  <c r="BB62" i="139" s="1"/>
  <c r="CA88" i="139" s="1"/>
  <c r="BB33" i="139"/>
  <c r="BB60" i="139" s="1"/>
  <c r="CA86" i="139" s="1"/>
  <c r="BB40" i="139"/>
  <c r="BB67" i="139" s="1"/>
  <c r="CA93" i="139" s="1"/>
  <c r="BA37" i="139" l="1"/>
  <c r="BA64" i="139" s="1"/>
  <c r="BZ90" i="139" s="1"/>
  <c r="BA33" i="139"/>
  <c r="BA60" i="139" s="1"/>
  <c r="BZ86" i="139" s="1"/>
  <c r="BA38" i="139"/>
  <c r="BA65" i="139" s="1"/>
  <c r="BZ91" i="139" s="1"/>
  <c r="BA31" i="139"/>
  <c r="BA58" i="139" s="1"/>
  <c r="BZ84" i="139" s="1"/>
  <c r="BA34" i="139"/>
  <c r="BA61" i="139" s="1"/>
  <c r="BZ87" i="139" s="1"/>
  <c r="BA32" i="139"/>
  <c r="BA59" i="139" s="1"/>
  <c r="BZ85" i="139" s="1"/>
  <c r="AZ28" i="139"/>
  <c r="BA35" i="139"/>
  <c r="BA62" i="139" s="1"/>
  <c r="BZ88" i="139" s="1"/>
  <c r="BA30" i="139"/>
  <c r="BA57" i="139" s="1"/>
  <c r="BZ83" i="139" s="1"/>
  <c r="BA36" i="139"/>
  <c r="BA63" i="139" s="1"/>
  <c r="BZ89" i="139" s="1"/>
  <c r="BA40" i="139"/>
  <c r="BA67" i="139" s="1"/>
  <c r="BZ93" i="139" s="1"/>
  <c r="BA39" i="139"/>
  <c r="BA66" i="139" s="1"/>
  <c r="BZ92" i="139" s="1"/>
  <c r="BA41" i="139"/>
  <c r="BA68" i="139" s="1"/>
  <c r="BZ94" i="139" s="1"/>
  <c r="AZ31" i="139" l="1"/>
  <c r="AZ58" i="139" s="1"/>
  <c r="BY84" i="139" s="1"/>
  <c r="AZ37" i="139"/>
  <c r="AZ64" i="139" s="1"/>
  <c r="BY90" i="139" s="1"/>
  <c r="AZ39" i="139"/>
  <c r="AZ66" i="139" s="1"/>
  <c r="BY92" i="139" s="1"/>
  <c r="AZ35" i="139"/>
  <c r="AZ62" i="139" s="1"/>
  <c r="BY88" i="139" s="1"/>
  <c r="AY28" i="139"/>
  <c r="AZ36" i="139"/>
  <c r="AZ63" i="139" s="1"/>
  <c r="BY89" i="139" s="1"/>
  <c r="AZ41" i="139"/>
  <c r="AZ68" i="139" s="1"/>
  <c r="BY94" i="139" s="1"/>
  <c r="AZ32" i="139"/>
  <c r="AZ59" i="139" s="1"/>
  <c r="BY85" i="139" s="1"/>
  <c r="AZ40" i="139"/>
  <c r="AZ67" i="139" s="1"/>
  <c r="BY93" i="139" s="1"/>
  <c r="AZ30" i="139"/>
  <c r="AZ57" i="139" s="1"/>
  <c r="BY83" i="139" s="1"/>
  <c r="AZ33" i="139"/>
  <c r="AZ60" i="139" s="1"/>
  <c r="BY86" i="139" s="1"/>
  <c r="AZ38" i="139"/>
  <c r="AZ65" i="139" s="1"/>
  <c r="BY91" i="139" s="1"/>
  <c r="AZ34" i="139"/>
  <c r="AZ61" i="139" s="1"/>
  <c r="BY87" i="139" s="1"/>
  <c r="AY32" i="139" l="1"/>
  <c r="AY59" i="139" s="1"/>
  <c r="BX85" i="139" s="1"/>
  <c r="AY35" i="139"/>
  <c r="AY62" i="139" s="1"/>
  <c r="BX88" i="139" s="1"/>
  <c r="AY30" i="139"/>
  <c r="AY57" i="139" s="1"/>
  <c r="BX83" i="139" s="1"/>
  <c r="AY41" i="139"/>
  <c r="AY68" i="139" s="1"/>
  <c r="BX94" i="139" s="1"/>
  <c r="AY39" i="139"/>
  <c r="AY66" i="139" s="1"/>
  <c r="BX92" i="139" s="1"/>
  <c r="AY33" i="139"/>
  <c r="AY60" i="139" s="1"/>
  <c r="BX86" i="139" s="1"/>
  <c r="AY40" i="139"/>
  <c r="AY67" i="139" s="1"/>
  <c r="BX93" i="139" s="1"/>
  <c r="AX28" i="139"/>
  <c r="AY31" i="139"/>
  <c r="AY58" i="139" s="1"/>
  <c r="BX84" i="139" s="1"/>
  <c r="AY34" i="139"/>
  <c r="AY61" i="139" s="1"/>
  <c r="BX87" i="139" s="1"/>
  <c r="AY36" i="139"/>
  <c r="AY63" i="139" s="1"/>
  <c r="BX89" i="139" s="1"/>
  <c r="AY37" i="139"/>
  <c r="AY64" i="139" s="1"/>
  <c r="BX90" i="139" s="1"/>
  <c r="AY38" i="139"/>
  <c r="AY65" i="139" s="1"/>
  <c r="BX91" i="139" s="1"/>
  <c r="AX38" i="139" l="1"/>
  <c r="AX65" i="139" s="1"/>
  <c r="BW91" i="139" s="1"/>
  <c r="AX41" i="139"/>
  <c r="AX68" i="139" s="1"/>
  <c r="BW94" i="139" s="1"/>
  <c r="AX39" i="139"/>
  <c r="AX66" i="139" s="1"/>
  <c r="BW92" i="139" s="1"/>
  <c r="AX36" i="139"/>
  <c r="AX63" i="139" s="1"/>
  <c r="BW89" i="139" s="1"/>
  <c r="AX37" i="139"/>
  <c r="AX64" i="139" s="1"/>
  <c r="BW90" i="139" s="1"/>
  <c r="AX34" i="139"/>
  <c r="AX61" i="139" s="1"/>
  <c r="BW87" i="139" s="1"/>
  <c r="AX30" i="139"/>
  <c r="AX57" i="139" s="1"/>
  <c r="BW83" i="139" s="1"/>
  <c r="AX35" i="139"/>
  <c r="AX62" i="139" s="1"/>
  <c r="BW88" i="139" s="1"/>
  <c r="AW28" i="139"/>
  <c r="AX32" i="139"/>
  <c r="AX59" i="139" s="1"/>
  <c r="BW85" i="139" s="1"/>
  <c r="AX40" i="139"/>
  <c r="AX67" i="139" s="1"/>
  <c r="BW93" i="139" s="1"/>
  <c r="AX31" i="139"/>
  <c r="AX58" i="139" s="1"/>
  <c r="BW84" i="139" s="1"/>
  <c r="AX33" i="139"/>
  <c r="AX60" i="139" s="1"/>
  <c r="BW86" i="139" s="1"/>
  <c r="AV28" i="139" l="1"/>
  <c r="AW34" i="139"/>
  <c r="AW61" i="139" s="1"/>
  <c r="BV87" i="139" s="1"/>
  <c r="AW31" i="139"/>
  <c r="AW58" i="139" s="1"/>
  <c r="BV84" i="139" s="1"/>
  <c r="AW37" i="139"/>
  <c r="AW64" i="139" s="1"/>
  <c r="BV90" i="139" s="1"/>
  <c r="AW40" i="139"/>
  <c r="AW67" i="139" s="1"/>
  <c r="BV93" i="139" s="1"/>
  <c r="AW35" i="139"/>
  <c r="AW62" i="139" s="1"/>
  <c r="BV88" i="139" s="1"/>
  <c r="AW38" i="139"/>
  <c r="AW65" i="139" s="1"/>
  <c r="BV91" i="139" s="1"/>
  <c r="AW32" i="139"/>
  <c r="AW59" i="139" s="1"/>
  <c r="BV85" i="139" s="1"/>
  <c r="AW41" i="139"/>
  <c r="AW68" i="139" s="1"/>
  <c r="BV94" i="139" s="1"/>
  <c r="AW30" i="139"/>
  <c r="AW57" i="139" s="1"/>
  <c r="BV83" i="139" s="1"/>
  <c r="AW39" i="139"/>
  <c r="AW66" i="139" s="1"/>
  <c r="BV92" i="139" s="1"/>
  <c r="AW36" i="139"/>
  <c r="AW63" i="139" s="1"/>
  <c r="BV89" i="139" s="1"/>
  <c r="AW33" i="139"/>
  <c r="AW60" i="139" s="1"/>
  <c r="BV86" i="139" s="1"/>
  <c r="AV38" i="139" l="1"/>
  <c r="AV65" i="139" s="1"/>
  <c r="BU91" i="139" s="1"/>
  <c r="AV31" i="139"/>
  <c r="AV58" i="139" s="1"/>
  <c r="BU84" i="139" s="1"/>
  <c r="AU28" i="139"/>
  <c r="AV39" i="139"/>
  <c r="AV66" i="139" s="1"/>
  <c r="BU92" i="139" s="1"/>
  <c r="AV36" i="139"/>
  <c r="AV63" i="139" s="1"/>
  <c r="BU89" i="139" s="1"/>
  <c r="AV30" i="139"/>
  <c r="AV57" i="139" s="1"/>
  <c r="BU83" i="139" s="1"/>
  <c r="AV32" i="139"/>
  <c r="AV59" i="139" s="1"/>
  <c r="BU85" i="139" s="1"/>
  <c r="AV37" i="139"/>
  <c r="AV64" i="139" s="1"/>
  <c r="BU90" i="139" s="1"/>
  <c r="AV40" i="139"/>
  <c r="AV67" i="139" s="1"/>
  <c r="BU93" i="139" s="1"/>
  <c r="AV34" i="139"/>
  <c r="AV61" i="139" s="1"/>
  <c r="BU87" i="139" s="1"/>
  <c r="AV41" i="139"/>
  <c r="AV68" i="139" s="1"/>
  <c r="BU94" i="139" s="1"/>
  <c r="AV35" i="139"/>
  <c r="AV62" i="139" s="1"/>
  <c r="BU88" i="139" s="1"/>
  <c r="AV33" i="139"/>
  <c r="AV60" i="139" s="1"/>
  <c r="BU86" i="139" s="1"/>
  <c r="AU31" i="139" l="1"/>
  <c r="AU58" i="139" s="1"/>
  <c r="BT84" i="139" s="1"/>
  <c r="AU41" i="139"/>
  <c r="AU68" i="139" s="1"/>
  <c r="BT94" i="139" s="1"/>
  <c r="AU36" i="139"/>
  <c r="AU63" i="139" s="1"/>
  <c r="BT89" i="139" s="1"/>
  <c r="AU30" i="139"/>
  <c r="AU57" i="139" s="1"/>
  <c r="BT83" i="139" s="1"/>
  <c r="AU39" i="139"/>
  <c r="AU66" i="139" s="1"/>
  <c r="BT92" i="139" s="1"/>
  <c r="AU37" i="139"/>
  <c r="AU64" i="139" s="1"/>
  <c r="BT90" i="139" s="1"/>
  <c r="AT28" i="139"/>
  <c r="AU40" i="139"/>
  <c r="AU67" i="139" s="1"/>
  <c r="BT93" i="139" s="1"/>
  <c r="AU38" i="139"/>
  <c r="AU65" i="139" s="1"/>
  <c r="BT91" i="139" s="1"/>
  <c r="AU35" i="139"/>
  <c r="AU62" i="139" s="1"/>
  <c r="BT88" i="139" s="1"/>
  <c r="AU33" i="139"/>
  <c r="AU60" i="139" s="1"/>
  <c r="BT86" i="139" s="1"/>
  <c r="AU32" i="139"/>
  <c r="AU59" i="139" s="1"/>
  <c r="BT85" i="139" s="1"/>
  <c r="AU34" i="139"/>
  <c r="AU61" i="139" s="1"/>
  <c r="BT87" i="139" s="1"/>
  <c r="AT30" i="139" l="1"/>
  <c r="AT57" i="139" s="1"/>
  <c r="BS83" i="139" s="1"/>
  <c r="AT32" i="139"/>
  <c r="AT59" i="139" s="1"/>
  <c r="BS85" i="139" s="1"/>
  <c r="AT40" i="139"/>
  <c r="AT67" i="139" s="1"/>
  <c r="BS93" i="139" s="1"/>
  <c r="AS28" i="139"/>
  <c r="AT36" i="139"/>
  <c r="AT63" i="139" s="1"/>
  <c r="BS89" i="139" s="1"/>
  <c r="AT35" i="139"/>
  <c r="AT62" i="139" s="1"/>
  <c r="BS88" i="139" s="1"/>
  <c r="AT41" i="139"/>
  <c r="AT68" i="139" s="1"/>
  <c r="BS94" i="139" s="1"/>
  <c r="AT39" i="139"/>
  <c r="AT66" i="139" s="1"/>
  <c r="BS92" i="139" s="1"/>
  <c r="AT37" i="139"/>
  <c r="AT64" i="139" s="1"/>
  <c r="BS90" i="139" s="1"/>
  <c r="AT38" i="139"/>
  <c r="AT65" i="139" s="1"/>
  <c r="BS91" i="139" s="1"/>
  <c r="AT34" i="139"/>
  <c r="AT61" i="139" s="1"/>
  <c r="BS87" i="139" s="1"/>
  <c r="AT31" i="139"/>
  <c r="AT58" i="139" s="1"/>
  <c r="BS84" i="139" s="1"/>
  <c r="AT33" i="139"/>
  <c r="AT60" i="139" s="1"/>
  <c r="BS86" i="139" s="1"/>
  <c r="JJ36" i="139"/>
  <c r="JI36" i="139"/>
  <c r="JK36" i="139"/>
  <c r="JL36" i="139" s="1"/>
  <c r="JN36" i="139" s="1"/>
  <c r="JJ41" i="139"/>
  <c r="JK41" i="139"/>
  <c r="JL41" i="139" s="1"/>
  <c r="JN41" i="139" s="1"/>
  <c r="JI41" i="139"/>
  <c r="JJ40" i="139"/>
  <c r="JK40" i="139"/>
  <c r="JL40" i="139" s="1"/>
  <c r="JN40" i="139" s="1"/>
  <c r="JI40" i="139"/>
  <c r="JJ37" i="139"/>
  <c r="JK37" i="139"/>
  <c r="JL37" i="139" s="1"/>
  <c r="JN37" i="139" s="1"/>
  <c r="JI37" i="139"/>
  <c r="JI33" i="139"/>
  <c r="JJ33" i="139"/>
  <c r="JK33" i="139"/>
  <c r="JL33" i="139" s="1"/>
  <c r="JN33" i="139" s="1"/>
  <c r="JK31" i="139"/>
  <c r="JL31" i="139" s="1"/>
  <c r="JN31" i="139" s="1"/>
  <c r="JJ31" i="139"/>
  <c r="JI31" i="139"/>
  <c r="JJ38" i="139"/>
  <c r="JK38" i="139"/>
  <c r="JL38" i="139" s="1"/>
  <c r="JN38" i="139" s="1"/>
  <c r="JI38" i="139"/>
  <c r="JI34" i="139"/>
  <c r="JK34" i="139"/>
  <c r="JL34" i="139" s="1"/>
  <c r="JN34" i="139" s="1"/>
  <c r="JJ34" i="139"/>
  <c r="JJ32" i="139"/>
  <c r="JK32" i="139"/>
  <c r="JL32" i="139" s="1"/>
  <c r="JN32" i="139" s="1"/>
  <c r="JI32" i="139"/>
  <c r="JJ39" i="139"/>
  <c r="JI39" i="139"/>
  <c r="JK39" i="139"/>
  <c r="JL39" i="139" s="1"/>
  <c r="JN39" i="139" s="1"/>
  <c r="JJ35" i="139"/>
  <c r="JK35" i="139"/>
  <c r="JL35" i="139" s="1"/>
  <c r="JN35" i="139" s="1"/>
  <c r="JI35" i="139"/>
  <c r="JK30" i="139"/>
  <c r="JL30" i="139" s="1"/>
  <c r="JN30" i="139" s="1"/>
  <c r="JJ30" i="139"/>
  <c r="JI30" i="139"/>
  <c r="AS34" i="139" l="1"/>
  <c r="AS61" i="139" s="1"/>
  <c r="BR87" i="139" s="1"/>
  <c r="AS35" i="139"/>
  <c r="AS62" i="139" s="1"/>
  <c r="BR88" i="139" s="1"/>
  <c r="AS40" i="139"/>
  <c r="AS67" i="139" s="1"/>
  <c r="BR93" i="139" s="1"/>
  <c r="AS32" i="139"/>
  <c r="AS59" i="139" s="1"/>
  <c r="BR85" i="139" s="1"/>
  <c r="AR28" i="139"/>
  <c r="AS41" i="139"/>
  <c r="AS68" i="139" s="1"/>
  <c r="BR94" i="139" s="1"/>
  <c r="AS39" i="139"/>
  <c r="AS66" i="139" s="1"/>
  <c r="BR92" i="139" s="1"/>
  <c r="AS38" i="139"/>
  <c r="AS65" i="139" s="1"/>
  <c r="BR91" i="139" s="1"/>
  <c r="AS36" i="139"/>
  <c r="AS63" i="139" s="1"/>
  <c r="BR89" i="139" s="1"/>
  <c r="AS37" i="139"/>
  <c r="AS64" i="139" s="1"/>
  <c r="BR90" i="139" s="1"/>
  <c r="AS30" i="139"/>
  <c r="AS57" i="139" s="1"/>
  <c r="BR83" i="139" s="1"/>
  <c r="AS31" i="139"/>
  <c r="AS58" i="139" s="1"/>
  <c r="BR84" i="139" s="1"/>
  <c r="AS33" i="139"/>
  <c r="AS60" i="139" s="1"/>
  <c r="BR86" i="139" s="1"/>
  <c r="JM30" i="139"/>
  <c r="JM40" i="139"/>
  <c r="JM41" i="139"/>
  <c r="JM32" i="139"/>
  <c r="JM37" i="139"/>
  <c r="JM34" i="139"/>
  <c r="JM33" i="139"/>
  <c r="JM35" i="139"/>
  <c r="JM38" i="139"/>
  <c r="JM31" i="139"/>
  <c r="JI60" i="139"/>
  <c r="JK60" i="139"/>
  <c r="JL60" i="139" s="1"/>
  <c r="JN60" i="139" s="1"/>
  <c r="JJ60" i="139"/>
  <c r="JK57" i="139"/>
  <c r="JL57" i="139" s="1"/>
  <c r="JN57" i="139" s="1"/>
  <c r="JI57" i="139"/>
  <c r="JJ57" i="139"/>
  <c r="JK62" i="139"/>
  <c r="JL62" i="139" s="1"/>
  <c r="JN62" i="139" s="1"/>
  <c r="JI62" i="139"/>
  <c r="JJ62" i="139"/>
  <c r="JM39" i="139"/>
  <c r="JI65" i="139"/>
  <c r="JJ65" i="139"/>
  <c r="JK65" i="139"/>
  <c r="JL65" i="139" s="1"/>
  <c r="JN65" i="139" s="1"/>
  <c r="JJ58" i="139"/>
  <c r="JK58" i="139"/>
  <c r="JL58" i="139" s="1"/>
  <c r="JN58" i="139" s="1"/>
  <c r="JI58" i="139"/>
  <c r="JI67" i="139"/>
  <c r="JJ67" i="139"/>
  <c r="JK67" i="139"/>
  <c r="JL67" i="139" s="1"/>
  <c r="JN67" i="139" s="1"/>
  <c r="JJ68" i="139"/>
  <c r="JI68" i="139"/>
  <c r="JK68" i="139"/>
  <c r="JL68" i="139" s="1"/>
  <c r="JN68" i="139" s="1"/>
  <c r="JK63" i="139"/>
  <c r="JL63" i="139" s="1"/>
  <c r="JN63" i="139" s="1"/>
  <c r="JI63" i="139"/>
  <c r="JJ63" i="139"/>
  <c r="JJ66" i="139"/>
  <c r="JI66" i="139"/>
  <c r="JK66" i="139"/>
  <c r="JL66" i="139" s="1"/>
  <c r="JN66" i="139" s="1"/>
  <c r="JK59" i="139"/>
  <c r="JL59" i="139" s="1"/>
  <c r="JN59" i="139" s="1"/>
  <c r="JJ59" i="139"/>
  <c r="JI59" i="139"/>
  <c r="JK61" i="139"/>
  <c r="JL61" i="139" s="1"/>
  <c r="JN61" i="139" s="1"/>
  <c r="JJ61" i="139"/>
  <c r="JI61" i="139"/>
  <c r="JM36" i="139"/>
  <c r="JK64" i="139"/>
  <c r="JL64" i="139" s="1"/>
  <c r="JN64" i="139" s="1"/>
  <c r="JJ64" i="139"/>
  <c r="JI64" i="139"/>
  <c r="AR33" i="139" l="1"/>
  <c r="AR60" i="139" s="1"/>
  <c r="BQ86" i="139" s="1"/>
  <c r="AR31" i="139"/>
  <c r="AR58" i="139" s="1"/>
  <c r="BQ84" i="139" s="1"/>
  <c r="AR36" i="139"/>
  <c r="AR63" i="139" s="1"/>
  <c r="BQ89" i="139" s="1"/>
  <c r="AQ28" i="139"/>
  <c r="AR34" i="139"/>
  <c r="AR61" i="139" s="1"/>
  <c r="BQ87" i="139" s="1"/>
  <c r="AR39" i="139"/>
  <c r="AR66" i="139" s="1"/>
  <c r="BQ92" i="139" s="1"/>
  <c r="AR35" i="139"/>
  <c r="AR62" i="139" s="1"/>
  <c r="BQ88" i="139" s="1"/>
  <c r="AR37" i="139"/>
  <c r="AR64" i="139" s="1"/>
  <c r="BQ90" i="139" s="1"/>
  <c r="AR38" i="139"/>
  <c r="AR65" i="139" s="1"/>
  <c r="BQ91" i="139" s="1"/>
  <c r="AR30" i="139"/>
  <c r="AR57" i="139" s="1"/>
  <c r="BQ83" i="139" s="1"/>
  <c r="AR40" i="139"/>
  <c r="AR67" i="139" s="1"/>
  <c r="BQ93" i="139" s="1"/>
  <c r="AR41" i="139"/>
  <c r="AR68" i="139" s="1"/>
  <c r="BQ94" i="139" s="1"/>
  <c r="AR32" i="139"/>
  <c r="AR59" i="139" s="1"/>
  <c r="BQ85" i="139" s="1"/>
  <c r="JM62" i="139"/>
  <c r="JM65" i="139"/>
  <c r="JM61" i="139"/>
  <c r="JM59" i="139"/>
  <c r="JM68" i="139"/>
  <c r="JM63" i="139"/>
  <c r="JM64" i="139"/>
  <c r="JM66" i="139"/>
  <c r="JM58" i="139"/>
  <c r="JM57" i="139"/>
  <c r="JM60" i="139"/>
  <c r="JM67" i="139"/>
  <c r="AQ34" i="139" l="1"/>
  <c r="AQ61" i="139" s="1"/>
  <c r="BP87" i="139" s="1"/>
  <c r="AQ39" i="139"/>
  <c r="AQ66" i="139" s="1"/>
  <c r="BP92" i="139" s="1"/>
  <c r="AP28" i="139"/>
  <c r="AQ31" i="139"/>
  <c r="AQ58" i="139" s="1"/>
  <c r="BP84" i="139" s="1"/>
  <c r="AQ38" i="139"/>
  <c r="AQ65" i="139" s="1"/>
  <c r="BP91" i="139" s="1"/>
  <c r="AQ30" i="139"/>
  <c r="AQ57" i="139" s="1"/>
  <c r="BP83" i="139" s="1"/>
  <c r="AQ33" i="139"/>
  <c r="AQ60" i="139" s="1"/>
  <c r="BP86" i="139" s="1"/>
  <c r="AQ40" i="139"/>
  <c r="AQ67" i="139" s="1"/>
  <c r="BP93" i="139" s="1"/>
  <c r="AQ32" i="139"/>
  <c r="AQ59" i="139" s="1"/>
  <c r="BP85" i="139" s="1"/>
  <c r="AQ37" i="139"/>
  <c r="AQ64" i="139" s="1"/>
  <c r="BP90" i="139" s="1"/>
  <c r="AQ36" i="139"/>
  <c r="AQ63" i="139" s="1"/>
  <c r="BP89" i="139" s="1"/>
  <c r="AQ35" i="139"/>
  <c r="AQ62" i="139" s="1"/>
  <c r="BP88" i="139" s="1"/>
  <c r="AQ41" i="139"/>
  <c r="AQ68" i="139" s="1"/>
  <c r="BP94" i="139" s="1"/>
  <c r="AP34" i="139" l="1"/>
  <c r="AP61" i="139" s="1"/>
  <c r="BO87" i="139" s="1"/>
  <c r="AP38" i="139"/>
  <c r="AP65" i="139" s="1"/>
  <c r="BO91" i="139" s="1"/>
  <c r="AP35" i="139"/>
  <c r="AP62" i="139" s="1"/>
  <c r="BO88" i="139" s="1"/>
  <c r="AP32" i="139"/>
  <c r="AP59" i="139" s="1"/>
  <c r="BO85" i="139" s="1"/>
  <c r="AP40" i="139"/>
  <c r="AP67" i="139" s="1"/>
  <c r="BO93" i="139" s="1"/>
  <c r="AP37" i="139"/>
  <c r="AP64" i="139" s="1"/>
  <c r="BO90" i="139" s="1"/>
  <c r="AP36" i="139"/>
  <c r="AP63" i="139" s="1"/>
  <c r="BO89" i="139" s="1"/>
  <c r="AO28" i="139"/>
  <c r="AP31" i="139"/>
  <c r="AP58" i="139" s="1"/>
  <c r="BO84" i="139" s="1"/>
  <c r="AP39" i="139"/>
  <c r="AP66" i="139" s="1"/>
  <c r="BO92" i="139" s="1"/>
  <c r="AP41" i="139"/>
  <c r="AP68" i="139" s="1"/>
  <c r="BO94" i="139" s="1"/>
  <c r="AP33" i="139"/>
  <c r="AP60" i="139" s="1"/>
  <c r="BO86" i="139" s="1"/>
  <c r="AP30" i="139"/>
  <c r="AP57" i="139" s="1"/>
  <c r="BO83" i="139" s="1"/>
  <c r="AO38" i="139" l="1"/>
  <c r="AO65" i="139" s="1"/>
  <c r="BN91" i="139" s="1"/>
  <c r="AO40" i="139"/>
  <c r="AO67" i="139" s="1"/>
  <c r="BN93" i="139" s="1"/>
  <c r="AO35" i="139"/>
  <c r="AO62" i="139" s="1"/>
  <c r="BN88" i="139" s="1"/>
  <c r="AO37" i="139"/>
  <c r="AO64" i="139" s="1"/>
  <c r="BN90" i="139" s="1"/>
  <c r="AO39" i="139"/>
  <c r="AO66" i="139" s="1"/>
  <c r="BN92" i="139" s="1"/>
  <c r="AO32" i="139"/>
  <c r="AO59" i="139" s="1"/>
  <c r="BN85" i="139" s="1"/>
  <c r="AN28" i="139"/>
  <c r="AO34" i="139"/>
  <c r="AO61" i="139" s="1"/>
  <c r="BN87" i="139" s="1"/>
  <c r="AO31" i="139"/>
  <c r="AO58" i="139" s="1"/>
  <c r="BN84" i="139" s="1"/>
  <c r="AO33" i="139"/>
  <c r="AO60" i="139" s="1"/>
  <c r="BN86" i="139" s="1"/>
  <c r="AO30" i="139"/>
  <c r="AO57" i="139" s="1"/>
  <c r="BN83" i="139" s="1"/>
  <c r="AO36" i="139"/>
  <c r="AO63" i="139" s="1"/>
  <c r="BN89" i="139" s="1"/>
  <c r="AO41" i="139"/>
  <c r="AO68" i="139" s="1"/>
  <c r="BN94" i="139" s="1"/>
  <c r="AN40" i="139" l="1"/>
  <c r="AN67" i="139" s="1"/>
  <c r="BM93" i="139" s="1"/>
  <c r="AN37" i="139"/>
  <c r="AN64" i="139" s="1"/>
  <c r="BM90" i="139" s="1"/>
  <c r="AN38" i="139"/>
  <c r="AN65" i="139" s="1"/>
  <c r="BM91" i="139" s="1"/>
  <c r="AN32" i="139"/>
  <c r="AN59" i="139" s="1"/>
  <c r="BM85" i="139" s="1"/>
  <c r="AN39" i="139"/>
  <c r="AN66" i="139" s="1"/>
  <c r="BM92" i="139" s="1"/>
  <c r="AN35" i="139"/>
  <c r="AN62" i="139" s="1"/>
  <c r="BM88" i="139" s="1"/>
  <c r="AN41" i="139"/>
  <c r="AN68" i="139" s="1"/>
  <c r="BM94" i="139" s="1"/>
  <c r="AN31" i="139"/>
  <c r="AN58" i="139" s="1"/>
  <c r="BM84" i="139" s="1"/>
  <c r="AN36" i="139"/>
  <c r="AN63" i="139" s="1"/>
  <c r="BM89" i="139" s="1"/>
  <c r="AM28" i="139"/>
  <c r="AN30" i="139"/>
  <c r="AN57" i="139" s="1"/>
  <c r="BM83" i="139" s="1"/>
  <c r="AN33" i="139"/>
  <c r="AN60" i="139" s="1"/>
  <c r="BM86" i="139" s="1"/>
  <c r="AN34" i="139"/>
  <c r="AN61" i="139" s="1"/>
  <c r="BM87" i="139" s="1"/>
  <c r="AM32" i="139" l="1"/>
  <c r="AM59" i="139" s="1"/>
  <c r="BL85" i="139" s="1"/>
  <c r="AM40" i="139"/>
  <c r="AM67" i="139" s="1"/>
  <c r="BL93" i="139" s="1"/>
  <c r="AM41" i="139"/>
  <c r="AM68" i="139" s="1"/>
  <c r="BL94" i="139" s="1"/>
  <c r="AM39" i="139"/>
  <c r="AM66" i="139" s="1"/>
  <c r="BL92" i="139" s="1"/>
  <c r="AM37" i="139"/>
  <c r="AM64" i="139" s="1"/>
  <c r="BL90" i="139" s="1"/>
  <c r="AL28" i="139"/>
  <c r="AM31" i="139"/>
  <c r="AM58" i="139" s="1"/>
  <c r="BL84" i="139" s="1"/>
  <c r="AM36" i="139"/>
  <c r="AM63" i="139" s="1"/>
  <c r="BL89" i="139" s="1"/>
  <c r="AM33" i="139"/>
  <c r="AM60" i="139" s="1"/>
  <c r="BL86" i="139" s="1"/>
  <c r="AM30" i="139"/>
  <c r="AM57" i="139" s="1"/>
  <c r="BL83" i="139" s="1"/>
  <c r="AM34" i="139"/>
  <c r="AM61" i="139" s="1"/>
  <c r="BL87" i="139" s="1"/>
  <c r="AM38" i="139"/>
  <c r="AM65" i="139" s="1"/>
  <c r="BL91" i="139" s="1"/>
  <c r="AM35" i="139"/>
  <c r="AM62" i="139" s="1"/>
  <c r="BL88" i="139" s="1"/>
  <c r="AK28" i="139" l="1"/>
  <c r="AL39" i="139"/>
  <c r="AL66" i="139" s="1"/>
  <c r="BK92" i="139" s="1"/>
  <c r="AL33" i="139"/>
  <c r="AL60" i="139" s="1"/>
  <c r="BK86" i="139" s="1"/>
  <c r="AL32" i="139"/>
  <c r="AL59" i="139" s="1"/>
  <c r="BK85" i="139" s="1"/>
  <c r="AL40" i="139"/>
  <c r="AL67" i="139" s="1"/>
  <c r="BK93" i="139" s="1"/>
  <c r="AL34" i="139"/>
  <c r="AL61" i="139" s="1"/>
  <c r="BK87" i="139" s="1"/>
  <c r="AL36" i="139"/>
  <c r="AL63" i="139" s="1"/>
  <c r="BK89" i="139" s="1"/>
  <c r="AL37" i="139"/>
  <c r="AL64" i="139" s="1"/>
  <c r="BK90" i="139" s="1"/>
  <c r="AL35" i="139"/>
  <c r="AL62" i="139" s="1"/>
  <c r="BK88" i="139" s="1"/>
  <c r="AL38" i="139"/>
  <c r="AL65" i="139" s="1"/>
  <c r="BK91" i="139" s="1"/>
  <c r="AL31" i="139"/>
  <c r="AL58" i="139" s="1"/>
  <c r="BK84" i="139" s="1"/>
  <c r="AL41" i="139"/>
  <c r="AL68" i="139" s="1"/>
  <c r="BK94" i="139" s="1"/>
  <c r="AL30" i="139"/>
  <c r="AL57" i="139" s="1"/>
  <c r="BK83" i="139" s="1"/>
  <c r="AK32" i="139" l="1"/>
  <c r="AK59" i="139" s="1"/>
  <c r="BJ85" i="139" s="1"/>
  <c r="AJ28" i="139"/>
  <c r="AK40" i="139"/>
  <c r="AK67" i="139" s="1"/>
  <c r="BJ93" i="139" s="1"/>
  <c r="AK36" i="139"/>
  <c r="AK63" i="139" s="1"/>
  <c r="BJ89" i="139" s="1"/>
  <c r="AK38" i="139"/>
  <c r="AK65" i="139" s="1"/>
  <c r="BJ91" i="139" s="1"/>
  <c r="AK41" i="139"/>
  <c r="AK68" i="139" s="1"/>
  <c r="BJ94" i="139" s="1"/>
  <c r="AK37" i="139"/>
  <c r="AK64" i="139" s="1"/>
  <c r="BJ90" i="139" s="1"/>
  <c r="AK30" i="139"/>
  <c r="AK57" i="139" s="1"/>
  <c r="BJ83" i="139" s="1"/>
  <c r="AK34" i="139"/>
  <c r="AK61" i="139" s="1"/>
  <c r="BJ87" i="139" s="1"/>
  <c r="AK39" i="139"/>
  <c r="AK66" i="139" s="1"/>
  <c r="BJ92" i="139" s="1"/>
  <c r="AK31" i="139"/>
  <c r="AK58" i="139" s="1"/>
  <c r="BJ84" i="139" s="1"/>
  <c r="AK33" i="139"/>
  <c r="AK60" i="139" s="1"/>
  <c r="BJ86" i="139" s="1"/>
  <c r="AK35" i="139"/>
  <c r="AK62" i="139" s="1"/>
  <c r="BJ88" i="139" s="1"/>
  <c r="AJ36" i="139" l="1"/>
  <c r="AJ63" i="139" s="1"/>
  <c r="BI89" i="139" s="1"/>
  <c r="AJ31" i="139"/>
  <c r="AJ58" i="139" s="1"/>
  <c r="BI84" i="139" s="1"/>
  <c r="AJ34" i="139"/>
  <c r="AJ61" i="139" s="1"/>
  <c r="BI87" i="139" s="1"/>
  <c r="AJ38" i="139"/>
  <c r="AJ65" i="139" s="1"/>
  <c r="BI91" i="139" s="1"/>
  <c r="AJ35" i="139"/>
  <c r="AJ62" i="139" s="1"/>
  <c r="BI88" i="139" s="1"/>
  <c r="AJ40" i="139"/>
  <c r="AJ67" i="139" s="1"/>
  <c r="BI93" i="139" s="1"/>
  <c r="AJ33" i="139"/>
  <c r="AJ60" i="139" s="1"/>
  <c r="BI86" i="139" s="1"/>
  <c r="AI28" i="139"/>
  <c r="AJ37" i="139"/>
  <c r="AJ64" i="139" s="1"/>
  <c r="BI90" i="139" s="1"/>
  <c r="AJ32" i="139"/>
  <c r="AJ59" i="139" s="1"/>
  <c r="BI85" i="139" s="1"/>
  <c r="AJ30" i="139"/>
  <c r="AJ57" i="139" s="1"/>
  <c r="BI83" i="139" s="1"/>
  <c r="AJ41" i="139"/>
  <c r="AJ68" i="139" s="1"/>
  <c r="BI94" i="139" s="1"/>
  <c r="AJ39" i="139"/>
  <c r="AJ66" i="139" s="1"/>
  <c r="BI92" i="139" s="1"/>
  <c r="AH28" i="139" l="1"/>
  <c r="AI41" i="139"/>
  <c r="AI68" i="139" s="1"/>
  <c r="BH94" i="139" s="1"/>
  <c r="AI38" i="139"/>
  <c r="AI65" i="139" s="1"/>
  <c r="BH91" i="139" s="1"/>
  <c r="AI36" i="139"/>
  <c r="AI63" i="139" s="1"/>
  <c r="BH89" i="139" s="1"/>
  <c r="AI40" i="139"/>
  <c r="AI67" i="139" s="1"/>
  <c r="BH93" i="139" s="1"/>
  <c r="AI30" i="139"/>
  <c r="AI57" i="139" s="1"/>
  <c r="BH83" i="139" s="1"/>
  <c r="AI32" i="139"/>
  <c r="AI59" i="139" s="1"/>
  <c r="BH85" i="139" s="1"/>
  <c r="AI39" i="139"/>
  <c r="AI66" i="139" s="1"/>
  <c r="BH92" i="139" s="1"/>
  <c r="AI35" i="139"/>
  <c r="AI62" i="139" s="1"/>
  <c r="BH88" i="139" s="1"/>
  <c r="AI34" i="139"/>
  <c r="AI61" i="139" s="1"/>
  <c r="BH87" i="139" s="1"/>
  <c r="AI33" i="139"/>
  <c r="AI60" i="139" s="1"/>
  <c r="BH86" i="139" s="1"/>
  <c r="AI37" i="139"/>
  <c r="AI64" i="139" s="1"/>
  <c r="BH90" i="139" s="1"/>
  <c r="AI31" i="139"/>
  <c r="AI58" i="139" s="1"/>
  <c r="BH84" i="139" s="1"/>
  <c r="AH30" i="139" l="1"/>
  <c r="AH57" i="139" s="1"/>
  <c r="BG83" i="139" s="1"/>
  <c r="AH39" i="139"/>
  <c r="AH66" i="139" s="1"/>
  <c r="BG92" i="139" s="1"/>
  <c r="AH38" i="139"/>
  <c r="AH65" i="139" s="1"/>
  <c r="BG91" i="139" s="1"/>
  <c r="AH36" i="139"/>
  <c r="AH63" i="139" s="1"/>
  <c r="BG89" i="139" s="1"/>
  <c r="AH34" i="139"/>
  <c r="AH61" i="139" s="1"/>
  <c r="BG87" i="139" s="1"/>
  <c r="AH31" i="139"/>
  <c r="AH58" i="139" s="1"/>
  <c r="BG84" i="139" s="1"/>
  <c r="AH40" i="139"/>
  <c r="AH67" i="139" s="1"/>
  <c r="BG93" i="139" s="1"/>
  <c r="AH32" i="139"/>
  <c r="AH59" i="139" s="1"/>
  <c r="BG85" i="139" s="1"/>
  <c r="AH35" i="139"/>
  <c r="AH62" i="139" s="1"/>
  <c r="BG88" i="139" s="1"/>
  <c r="AH33" i="139"/>
  <c r="AH60" i="139" s="1"/>
  <c r="BG86" i="139" s="1"/>
  <c r="AG28" i="139"/>
  <c r="AH41" i="139"/>
  <c r="AH68" i="139" s="1"/>
  <c r="BG94" i="139" s="1"/>
  <c r="AH37" i="139"/>
  <c r="AH64" i="139" s="1"/>
  <c r="BG90" i="139" s="1"/>
  <c r="AG35" i="139" l="1"/>
  <c r="AG62" i="139" s="1"/>
  <c r="BF88" i="139" s="1"/>
  <c r="AG41" i="139"/>
  <c r="AG68" i="139" s="1"/>
  <c r="BF94" i="139" s="1"/>
  <c r="AG32" i="139"/>
  <c r="AG59" i="139" s="1"/>
  <c r="BF85" i="139" s="1"/>
  <c r="AG39" i="139"/>
  <c r="AG66" i="139" s="1"/>
  <c r="BF92" i="139" s="1"/>
  <c r="AG40" i="139"/>
  <c r="AG67" i="139" s="1"/>
  <c r="BF93" i="139" s="1"/>
  <c r="AG37" i="139"/>
  <c r="AG64" i="139" s="1"/>
  <c r="BF90" i="139" s="1"/>
  <c r="AG31" i="139"/>
  <c r="AG58" i="139" s="1"/>
  <c r="BF84" i="139" s="1"/>
  <c r="AG33" i="139"/>
  <c r="AG60" i="139" s="1"/>
  <c r="BF86" i="139" s="1"/>
  <c r="AG38" i="139"/>
  <c r="AG65" i="139" s="1"/>
  <c r="BF91" i="139" s="1"/>
  <c r="AF28" i="139"/>
  <c r="AG34" i="139"/>
  <c r="AG61" i="139" s="1"/>
  <c r="BF87" i="139" s="1"/>
  <c r="AG36" i="139"/>
  <c r="AG63" i="139" s="1"/>
  <c r="BF89" i="139" s="1"/>
  <c r="AG30" i="139"/>
  <c r="AG57" i="139" s="1"/>
  <c r="BF83" i="139" s="1"/>
  <c r="AE28" i="139" l="1"/>
  <c r="AF40" i="139"/>
  <c r="AF67" i="139" s="1"/>
  <c r="BE93" i="139" s="1"/>
  <c r="AF32" i="139"/>
  <c r="AF59" i="139" s="1"/>
  <c r="BE85" i="139" s="1"/>
  <c r="AF41" i="139"/>
  <c r="AF68" i="139" s="1"/>
  <c r="BE94" i="139" s="1"/>
  <c r="AF30" i="139"/>
  <c r="AF57" i="139" s="1"/>
  <c r="BE83" i="139" s="1"/>
  <c r="AF39" i="139"/>
  <c r="AF66" i="139" s="1"/>
  <c r="BE92" i="139" s="1"/>
  <c r="AF36" i="139"/>
  <c r="AF63" i="139" s="1"/>
  <c r="BE89" i="139" s="1"/>
  <c r="AF35" i="139"/>
  <c r="AF62" i="139" s="1"/>
  <c r="BE88" i="139" s="1"/>
  <c r="AF37" i="139"/>
  <c r="AF64" i="139" s="1"/>
  <c r="BE90" i="139" s="1"/>
  <c r="AF31" i="139"/>
  <c r="AF58" i="139" s="1"/>
  <c r="BE84" i="139" s="1"/>
  <c r="AF38" i="139"/>
  <c r="AF65" i="139" s="1"/>
  <c r="BE91" i="139" s="1"/>
  <c r="AF33" i="139"/>
  <c r="AF60" i="139" s="1"/>
  <c r="BE86" i="139" s="1"/>
  <c r="AF34" i="139"/>
  <c r="AF61" i="139" s="1"/>
  <c r="BE87" i="139" s="1"/>
  <c r="AE35" i="139" l="1"/>
  <c r="AE62" i="139" s="1"/>
  <c r="BD88" i="139" s="1"/>
  <c r="AE30" i="139"/>
  <c r="AE57" i="139" s="1"/>
  <c r="BD83" i="139" s="1"/>
  <c r="AE34" i="139"/>
  <c r="AE61" i="139" s="1"/>
  <c r="BD87" i="139" s="1"/>
  <c r="AE39" i="139"/>
  <c r="AE66" i="139" s="1"/>
  <c r="BD92" i="139" s="1"/>
  <c r="AE37" i="139"/>
  <c r="AE64" i="139" s="1"/>
  <c r="BD90" i="139" s="1"/>
  <c r="AE33" i="139"/>
  <c r="AE60" i="139" s="1"/>
  <c r="BD86" i="139" s="1"/>
  <c r="AE40" i="139"/>
  <c r="AE67" i="139" s="1"/>
  <c r="BD93" i="139" s="1"/>
  <c r="AE41" i="139"/>
  <c r="AE68" i="139" s="1"/>
  <c r="BD94" i="139" s="1"/>
  <c r="AE38" i="139"/>
  <c r="AE65" i="139" s="1"/>
  <c r="BD91" i="139" s="1"/>
  <c r="AE36" i="139"/>
  <c r="AE63" i="139" s="1"/>
  <c r="BD89" i="139" s="1"/>
  <c r="AD28" i="139"/>
  <c r="AE31" i="139"/>
  <c r="AE58" i="139" s="1"/>
  <c r="BD84" i="139" s="1"/>
  <c r="AE32" i="139"/>
  <c r="AE59" i="139" s="1"/>
  <c r="BD85" i="139" s="1"/>
  <c r="AD38" i="139" l="1"/>
  <c r="AD65" i="139" s="1"/>
  <c r="BC91" i="139" s="1"/>
  <c r="AD40" i="139"/>
  <c r="AD67" i="139" s="1"/>
  <c r="BC93" i="139" s="1"/>
  <c r="AD32" i="139"/>
  <c r="AD59" i="139" s="1"/>
  <c r="BC85" i="139" s="1"/>
  <c r="AD36" i="139"/>
  <c r="AD63" i="139" s="1"/>
  <c r="BC89" i="139" s="1"/>
  <c r="AD35" i="139"/>
  <c r="AD62" i="139" s="1"/>
  <c r="BC88" i="139" s="1"/>
  <c r="AC28" i="139"/>
  <c r="AD33" i="139"/>
  <c r="AD60" i="139" s="1"/>
  <c r="BC86" i="139" s="1"/>
  <c r="AD41" i="139"/>
  <c r="AD68" i="139" s="1"/>
  <c r="BC94" i="139" s="1"/>
  <c r="AD30" i="139"/>
  <c r="AD57" i="139" s="1"/>
  <c r="BC83" i="139" s="1"/>
  <c r="AD37" i="139"/>
  <c r="AD64" i="139" s="1"/>
  <c r="BC90" i="139" s="1"/>
  <c r="AD39" i="139"/>
  <c r="AD66" i="139" s="1"/>
  <c r="BC92" i="139" s="1"/>
  <c r="AD34" i="139"/>
  <c r="AD61" i="139" s="1"/>
  <c r="BC87" i="139" s="1"/>
  <c r="AD31" i="139"/>
  <c r="AD58" i="139" s="1"/>
  <c r="BC84" i="139" s="1"/>
  <c r="AC40" i="139" l="1"/>
  <c r="AC67" i="139" s="1"/>
  <c r="BB93" i="139" s="1"/>
  <c r="AC30" i="139"/>
  <c r="AC57" i="139" s="1"/>
  <c r="BB83" i="139" s="1"/>
  <c r="AC41" i="139"/>
  <c r="AC68" i="139" s="1"/>
  <c r="BB94" i="139" s="1"/>
  <c r="AC33" i="139"/>
  <c r="AC60" i="139" s="1"/>
  <c r="BB86" i="139" s="1"/>
  <c r="AC39" i="139"/>
  <c r="AC66" i="139" s="1"/>
  <c r="BB92" i="139" s="1"/>
  <c r="AB28" i="139"/>
  <c r="AC37" i="139"/>
  <c r="AC64" i="139" s="1"/>
  <c r="BB90" i="139" s="1"/>
  <c r="AC34" i="139"/>
  <c r="AC61" i="139" s="1"/>
  <c r="BB87" i="139" s="1"/>
  <c r="AC36" i="139"/>
  <c r="AC63" i="139" s="1"/>
  <c r="BB89" i="139" s="1"/>
  <c r="AC38" i="139"/>
  <c r="AC65" i="139" s="1"/>
  <c r="BB91" i="139" s="1"/>
  <c r="AC32" i="139"/>
  <c r="AC59" i="139" s="1"/>
  <c r="BB85" i="139" s="1"/>
  <c r="AC31" i="139"/>
  <c r="AC58" i="139" s="1"/>
  <c r="BB84" i="139" s="1"/>
  <c r="AC35" i="139"/>
  <c r="AC62" i="139" s="1"/>
  <c r="BB88" i="139" s="1"/>
  <c r="AB39" i="139" l="1"/>
  <c r="AB66" i="139" s="1"/>
  <c r="BA92" i="139" s="1"/>
  <c r="AA28" i="139"/>
  <c r="AB38" i="139"/>
  <c r="AB65" i="139" s="1"/>
  <c r="BA91" i="139" s="1"/>
  <c r="AB37" i="139"/>
  <c r="AB64" i="139" s="1"/>
  <c r="BA90" i="139" s="1"/>
  <c r="AB41" i="139"/>
  <c r="AB68" i="139" s="1"/>
  <c r="BA94" i="139" s="1"/>
  <c r="AB35" i="139"/>
  <c r="AB62" i="139" s="1"/>
  <c r="BA88" i="139" s="1"/>
  <c r="AB36" i="139"/>
  <c r="AB63" i="139" s="1"/>
  <c r="BA89" i="139" s="1"/>
  <c r="AB32" i="139"/>
  <c r="AB59" i="139" s="1"/>
  <c r="BA85" i="139" s="1"/>
  <c r="AB33" i="139"/>
  <c r="AB60" i="139" s="1"/>
  <c r="BA86" i="139" s="1"/>
  <c r="AB34" i="139"/>
  <c r="AB61" i="139" s="1"/>
  <c r="BA87" i="139" s="1"/>
  <c r="AB31" i="139"/>
  <c r="AB58" i="139" s="1"/>
  <c r="BA84" i="139" s="1"/>
  <c r="AB30" i="139"/>
  <c r="AB57" i="139" s="1"/>
  <c r="BA83" i="139" s="1"/>
  <c r="AB40" i="139"/>
  <c r="AB67" i="139" s="1"/>
  <c r="BA93" i="139" s="1"/>
  <c r="AA37" i="139" l="1"/>
  <c r="AA64" i="139" s="1"/>
  <c r="AZ90" i="139" s="1"/>
  <c r="AA33" i="139"/>
  <c r="AA60" i="139" s="1"/>
  <c r="AZ86" i="139" s="1"/>
  <c r="AA40" i="139"/>
  <c r="AA67" i="139" s="1"/>
  <c r="AZ93" i="139" s="1"/>
  <c r="AA34" i="139"/>
  <c r="AA61" i="139" s="1"/>
  <c r="AZ87" i="139" s="1"/>
  <c r="AA39" i="139"/>
  <c r="AA66" i="139" s="1"/>
  <c r="AZ92" i="139" s="1"/>
  <c r="AA36" i="139"/>
  <c r="AA63" i="139" s="1"/>
  <c r="AZ89" i="139" s="1"/>
  <c r="AA30" i="139"/>
  <c r="AA57" i="139" s="1"/>
  <c r="AZ83" i="139" s="1"/>
  <c r="AA32" i="139"/>
  <c r="AA59" i="139" s="1"/>
  <c r="AZ85" i="139" s="1"/>
  <c r="AA31" i="139"/>
  <c r="AA58" i="139" s="1"/>
  <c r="AZ84" i="139" s="1"/>
  <c r="AA41" i="139"/>
  <c r="AA68" i="139" s="1"/>
  <c r="AZ94" i="139" s="1"/>
  <c r="AA35" i="139"/>
  <c r="AA62" i="139" s="1"/>
  <c r="AZ88" i="139" s="1"/>
  <c r="AA38" i="139"/>
  <c r="AA65" i="139" s="1"/>
  <c r="AZ91" i="139" s="1"/>
  <c r="Z28" i="139"/>
  <c r="Z35" i="139" l="1"/>
  <c r="Z62" i="139" s="1"/>
  <c r="AY88" i="139" s="1"/>
  <c r="Z30" i="139"/>
  <c r="Z57" i="139" s="1"/>
  <c r="AY83" i="139" s="1"/>
  <c r="Z38" i="139"/>
  <c r="Z65" i="139" s="1"/>
  <c r="AY91" i="139" s="1"/>
  <c r="Z31" i="139"/>
  <c r="Z58" i="139" s="1"/>
  <c r="AY84" i="139" s="1"/>
  <c r="Z32" i="139"/>
  <c r="Z59" i="139" s="1"/>
  <c r="AY85" i="139" s="1"/>
  <c r="Z36" i="139"/>
  <c r="Z63" i="139" s="1"/>
  <c r="AY89" i="139" s="1"/>
  <c r="Y28" i="139"/>
  <c r="Z41" i="139"/>
  <c r="Z68" i="139" s="1"/>
  <c r="AY94" i="139" s="1"/>
  <c r="Z34" i="139"/>
  <c r="Z61" i="139" s="1"/>
  <c r="AY87" i="139" s="1"/>
  <c r="Z37" i="139"/>
  <c r="Z64" i="139" s="1"/>
  <c r="AY90" i="139" s="1"/>
  <c r="Z33" i="139"/>
  <c r="Z60" i="139" s="1"/>
  <c r="AY86" i="139" s="1"/>
  <c r="Z39" i="139"/>
  <c r="Z66" i="139" s="1"/>
  <c r="AY92" i="139" s="1"/>
  <c r="Z40" i="139"/>
  <c r="Z67" i="139" s="1"/>
  <c r="AY93" i="139" s="1"/>
  <c r="Y35" i="139" l="1"/>
  <c r="Y62" i="139" s="1"/>
  <c r="AX88" i="139" s="1"/>
  <c r="Y30" i="139"/>
  <c r="Y57" i="139" s="1"/>
  <c r="AX83" i="139" s="1"/>
  <c r="Y34" i="139"/>
  <c r="Y61" i="139" s="1"/>
  <c r="AX87" i="139" s="1"/>
  <c r="Y32" i="139"/>
  <c r="Y59" i="139" s="1"/>
  <c r="AX85" i="139" s="1"/>
  <c r="Y31" i="139"/>
  <c r="Y58" i="139" s="1"/>
  <c r="AX84" i="139" s="1"/>
  <c r="Y38" i="139"/>
  <c r="Y65" i="139" s="1"/>
  <c r="AX91" i="139" s="1"/>
  <c r="Y41" i="139"/>
  <c r="Y68" i="139" s="1"/>
  <c r="AX94" i="139" s="1"/>
  <c r="Y33" i="139"/>
  <c r="Y60" i="139" s="1"/>
  <c r="AX86" i="139" s="1"/>
  <c r="Y36" i="139"/>
  <c r="Y63" i="139" s="1"/>
  <c r="AX89" i="139" s="1"/>
  <c r="Y37" i="139"/>
  <c r="Y64" i="139" s="1"/>
  <c r="AX90" i="139" s="1"/>
  <c r="Y39" i="139"/>
  <c r="Y66" i="139" s="1"/>
  <c r="AX92" i="139" s="1"/>
  <c r="X28" i="139"/>
  <c r="Y40" i="139"/>
  <c r="Y67" i="139" s="1"/>
  <c r="AX93" i="139" s="1"/>
  <c r="X40" i="139" l="1"/>
  <c r="X67" i="139" s="1"/>
  <c r="AW93" i="139" s="1"/>
  <c r="X37" i="139"/>
  <c r="X64" i="139" s="1"/>
  <c r="AW90" i="139" s="1"/>
  <c r="X39" i="139"/>
  <c r="X66" i="139" s="1"/>
  <c r="AW92" i="139" s="1"/>
  <c r="X30" i="139"/>
  <c r="X57" i="139" s="1"/>
  <c r="AW83" i="139" s="1"/>
  <c r="X35" i="139"/>
  <c r="X62" i="139" s="1"/>
  <c r="AW88" i="139" s="1"/>
  <c r="X38" i="139"/>
  <c r="X65" i="139" s="1"/>
  <c r="AW91" i="139" s="1"/>
  <c r="X41" i="139"/>
  <c r="X68" i="139" s="1"/>
  <c r="AW94" i="139" s="1"/>
  <c r="X36" i="139"/>
  <c r="X63" i="139" s="1"/>
  <c r="AW89" i="139" s="1"/>
  <c r="W28" i="139"/>
  <c r="X32" i="139"/>
  <c r="X59" i="139" s="1"/>
  <c r="AW85" i="139" s="1"/>
  <c r="X34" i="139"/>
  <c r="X61" i="139" s="1"/>
  <c r="AW87" i="139" s="1"/>
  <c r="X31" i="139"/>
  <c r="X58" i="139" s="1"/>
  <c r="AW84" i="139" s="1"/>
  <c r="X33" i="139"/>
  <c r="X60" i="139" s="1"/>
  <c r="AW86" i="139" s="1"/>
  <c r="W39" i="139" l="1"/>
  <c r="W66" i="139" s="1"/>
  <c r="AV92" i="139" s="1"/>
  <c r="W30" i="139"/>
  <c r="W57" i="139" s="1"/>
  <c r="AV83" i="139" s="1"/>
  <c r="W36" i="139"/>
  <c r="W63" i="139" s="1"/>
  <c r="AV89" i="139" s="1"/>
  <c r="W33" i="139"/>
  <c r="W60" i="139" s="1"/>
  <c r="AV86" i="139" s="1"/>
  <c r="W41" i="139"/>
  <c r="W68" i="139" s="1"/>
  <c r="AV94" i="139" s="1"/>
  <c r="V28" i="139"/>
  <c r="W31" i="139"/>
  <c r="W58" i="139" s="1"/>
  <c r="AV84" i="139" s="1"/>
  <c r="W32" i="139"/>
  <c r="W59" i="139" s="1"/>
  <c r="AV85" i="139" s="1"/>
  <c r="W40" i="139"/>
  <c r="W67" i="139" s="1"/>
  <c r="AV93" i="139" s="1"/>
  <c r="W37" i="139"/>
  <c r="W64" i="139" s="1"/>
  <c r="AV90" i="139" s="1"/>
  <c r="W34" i="139"/>
  <c r="W61" i="139" s="1"/>
  <c r="AV87" i="139" s="1"/>
  <c r="W38" i="139"/>
  <c r="W65" i="139" s="1"/>
  <c r="AV91" i="139" s="1"/>
  <c r="W35" i="139"/>
  <c r="W62" i="139" s="1"/>
  <c r="AV88" i="139" s="1"/>
  <c r="V34" i="139" l="1"/>
  <c r="V61" i="139" s="1"/>
  <c r="AU87" i="139" s="1"/>
  <c r="V38" i="139"/>
  <c r="V65" i="139" s="1"/>
  <c r="AU91" i="139" s="1"/>
  <c r="V39" i="139"/>
  <c r="V66" i="139" s="1"/>
  <c r="AU92" i="139" s="1"/>
  <c r="V41" i="139"/>
  <c r="V68" i="139" s="1"/>
  <c r="AU94" i="139" s="1"/>
  <c r="V35" i="139"/>
  <c r="V62" i="139" s="1"/>
  <c r="AU88" i="139" s="1"/>
  <c r="V40" i="139"/>
  <c r="V67" i="139" s="1"/>
  <c r="AU93" i="139" s="1"/>
  <c r="V31" i="139"/>
  <c r="V58" i="139" s="1"/>
  <c r="AU84" i="139" s="1"/>
  <c r="U28" i="139"/>
  <c r="V33" i="139"/>
  <c r="V60" i="139" s="1"/>
  <c r="AU86" i="139" s="1"/>
  <c r="V30" i="139"/>
  <c r="V57" i="139" s="1"/>
  <c r="AU83" i="139" s="1"/>
  <c r="V32" i="139"/>
  <c r="V59" i="139" s="1"/>
  <c r="AU85" i="139" s="1"/>
  <c r="V37" i="139"/>
  <c r="V64" i="139" s="1"/>
  <c r="AU90" i="139" s="1"/>
  <c r="V36" i="139"/>
  <c r="V63" i="139" s="1"/>
  <c r="AU89" i="139" s="1"/>
  <c r="U36" i="139" l="1"/>
  <c r="U63" i="139" s="1"/>
  <c r="AT89" i="139" s="1"/>
  <c r="U39" i="139"/>
  <c r="U66" i="139" s="1"/>
  <c r="AT92" i="139" s="1"/>
  <c r="U35" i="139"/>
  <c r="U62" i="139" s="1"/>
  <c r="AT88" i="139" s="1"/>
  <c r="U33" i="139"/>
  <c r="U60" i="139" s="1"/>
  <c r="AT86" i="139" s="1"/>
  <c r="U37" i="139"/>
  <c r="U64" i="139" s="1"/>
  <c r="AT90" i="139" s="1"/>
  <c r="U32" i="139"/>
  <c r="U59" i="139" s="1"/>
  <c r="AT85" i="139" s="1"/>
  <c r="T28" i="139"/>
  <c r="U31" i="139"/>
  <c r="U58" i="139" s="1"/>
  <c r="AT84" i="139" s="1"/>
  <c r="U41" i="139"/>
  <c r="U68" i="139" s="1"/>
  <c r="AT94" i="139" s="1"/>
  <c r="U30" i="139"/>
  <c r="U57" i="139" s="1"/>
  <c r="AT83" i="139" s="1"/>
  <c r="U38" i="139"/>
  <c r="U65" i="139" s="1"/>
  <c r="AT91" i="139" s="1"/>
  <c r="U34" i="139"/>
  <c r="U61" i="139" s="1"/>
  <c r="AT87" i="139" s="1"/>
  <c r="U40" i="139"/>
  <c r="U67" i="139" s="1"/>
  <c r="AT93" i="139" s="1"/>
  <c r="T36" i="139" l="1"/>
  <c r="T63" i="139" s="1"/>
  <c r="AS89" i="139" s="1"/>
  <c r="T34" i="139"/>
  <c r="T61" i="139" s="1"/>
  <c r="AS87" i="139" s="1"/>
  <c r="T39" i="139"/>
  <c r="T66" i="139" s="1"/>
  <c r="AS92" i="139" s="1"/>
  <c r="T33" i="139"/>
  <c r="T60" i="139" s="1"/>
  <c r="AS86" i="139" s="1"/>
  <c r="T30" i="139"/>
  <c r="T57" i="139" s="1"/>
  <c r="AS83" i="139" s="1"/>
  <c r="T41" i="139"/>
  <c r="T68" i="139" s="1"/>
  <c r="AS94" i="139" s="1"/>
  <c r="T37" i="139"/>
  <c r="T64" i="139" s="1"/>
  <c r="AS90" i="139" s="1"/>
  <c r="T31" i="139"/>
  <c r="T58" i="139" s="1"/>
  <c r="AS84" i="139" s="1"/>
  <c r="T40" i="139"/>
  <c r="T67" i="139" s="1"/>
  <c r="AS93" i="139" s="1"/>
  <c r="S28" i="139"/>
  <c r="T38" i="139"/>
  <c r="T65" i="139" s="1"/>
  <c r="AS91" i="139" s="1"/>
  <c r="T35" i="139"/>
  <c r="T62" i="139" s="1"/>
  <c r="AS88" i="139" s="1"/>
  <c r="T32" i="139"/>
  <c r="T59" i="139" s="1"/>
  <c r="AS85" i="139" s="1"/>
  <c r="R28" i="139" l="1"/>
  <c r="S33" i="139"/>
  <c r="S60" i="139" s="1"/>
  <c r="AR86" i="139" s="1"/>
  <c r="S35" i="139"/>
  <c r="S62" i="139" s="1"/>
  <c r="AR88" i="139" s="1"/>
  <c r="S38" i="139"/>
  <c r="S65" i="139" s="1"/>
  <c r="AR91" i="139" s="1"/>
  <c r="S34" i="139"/>
  <c r="S61" i="139" s="1"/>
  <c r="AR87" i="139" s="1"/>
  <c r="S31" i="139"/>
  <c r="S58" i="139" s="1"/>
  <c r="AR84" i="139" s="1"/>
  <c r="S36" i="139"/>
  <c r="S63" i="139" s="1"/>
  <c r="AR89" i="139" s="1"/>
  <c r="S37" i="139"/>
  <c r="S64" i="139" s="1"/>
  <c r="AR90" i="139" s="1"/>
  <c r="S41" i="139"/>
  <c r="S68" i="139" s="1"/>
  <c r="AR94" i="139" s="1"/>
  <c r="S30" i="139"/>
  <c r="S57" i="139" s="1"/>
  <c r="AR83" i="139" s="1"/>
  <c r="S40" i="139"/>
  <c r="S67" i="139" s="1"/>
  <c r="AR93" i="139" s="1"/>
  <c r="S39" i="139"/>
  <c r="S66" i="139" s="1"/>
  <c r="AR92" i="139" s="1"/>
  <c r="S32" i="139"/>
  <c r="S59" i="139" s="1"/>
  <c r="AR85" i="139" s="1"/>
  <c r="R40" i="139" l="1"/>
  <c r="R67" i="139" s="1"/>
  <c r="AQ93" i="139" s="1"/>
  <c r="Q28" i="139"/>
  <c r="R32" i="139"/>
  <c r="R59" i="139" s="1"/>
  <c r="AQ85" i="139" s="1"/>
  <c r="R41" i="139"/>
  <c r="R68" i="139" s="1"/>
  <c r="AQ94" i="139" s="1"/>
  <c r="R34" i="139"/>
  <c r="R61" i="139" s="1"/>
  <c r="AQ87" i="139" s="1"/>
  <c r="R33" i="139"/>
  <c r="R60" i="139" s="1"/>
  <c r="AQ86" i="139" s="1"/>
  <c r="R35" i="139"/>
  <c r="R62" i="139" s="1"/>
  <c r="AQ88" i="139" s="1"/>
  <c r="R31" i="139"/>
  <c r="R58" i="139" s="1"/>
  <c r="AQ84" i="139" s="1"/>
  <c r="R36" i="139"/>
  <c r="R63" i="139" s="1"/>
  <c r="AQ89" i="139" s="1"/>
  <c r="R38" i="139"/>
  <c r="R65" i="139" s="1"/>
  <c r="AQ91" i="139" s="1"/>
  <c r="R39" i="139"/>
  <c r="R66" i="139" s="1"/>
  <c r="AQ92" i="139" s="1"/>
  <c r="R30" i="139"/>
  <c r="R57" i="139" s="1"/>
  <c r="AQ83" i="139" s="1"/>
  <c r="R37" i="139"/>
  <c r="R64" i="139" s="1"/>
  <c r="AQ90" i="139" s="1"/>
  <c r="Q30" i="139" l="1"/>
  <c r="Q57" i="139" s="1"/>
  <c r="AP83" i="139" s="1"/>
  <c r="P28" i="139"/>
  <c r="Q34" i="139"/>
  <c r="Q61" i="139" s="1"/>
  <c r="AP87" i="139" s="1"/>
  <c r="Q32" i="139"/>
  <c r="Q59" i="139" s="1"/>
  <c r="AP85" i="139" s="1"/>
  <c r="Q31" i="139"/>
  <c r="Q58" i="139" s="1"/>
  <c r="AP84" i="139" s="1"/>
  <c r="Q36" i="139"/>
  <c r="Q63" i="139" s="1"/>
  <c r="AP89" i="139" s="1"/>
  <c r="Q35" i="139"/>
  <c r="Q62" i="139" s="1"/>
  <c r="AP88" i="139" s="1"/>
  <c r="Q37" i="139"/>
  <c r="Q64" i="139" s="1"/>
  <c r="AP90" i="139" s="1"/>
  <c r="Q33" i="139"/>
  <c r="Q60" i="139" s="1"/>
  <c r="AP86" i="139" s="1"/>
  <c r="Q39" i="139"/>
  <c r="Q66" i="139" s="1"/>
  <c r="AP92" i="139" s="1"/>
  <c r="Q41" i="139"/>
  <c r="Q68" i="139" s="1"/>
  <c r="AP94" i="139" s="1"/>
  <c r="Q38" i="139"/>
  <c r="Q65" i="139" s="1"/>
  <c r="AP91" i="139" s="1"/>
  <c r="Q40" i="139"/>
  <c r="Q67" i="139" s="1"/>
  <c r="AP93" i="139" s="1"/>
  <c r="P38" i="139" l="1"/>
  <c r="P65" i="139" s="1"/>
  <c r="AO91" i="139" s="1"/>
  <c r="P34" i="139"/>
  <c r="P61" i="139" s="1"/>
  <c r="AO87" i="139" s="1"/>
  <c r="O28" i="139"/>
  <c r="P35" i="139"/>
  <c r="P62" i="139" s="1"/>
  <c r="AO88" i="139" s="1"/>
  <c r="P39" i="139"/>
  <c r="P66" i="139" s="1"/>
  <c r="AO92" i="139" s="1"/>
  <c r="P41" i="139"/>
  <c r="P68" i="139" s="1"/>
  <c r="AO94" i="139" s="1"/>
  <c r="P33" i="139"/>
  <c r="P60" i="139" s="1"/>
  <c r="AO86" i="139" s="1"/>
  <c r="P40" i="139"/>
  <c r="P67" i="139" s="1"/>
  <c r="AO93" i="139" s="1"/>
  <c r="P30" i="139"/>
  <c r="P57" i="139" s="1"/>
  <c r="AO83" i="139" s="1"/>
  <c r="P37" i="139"/>
  <c r="P64" i="139" s="1"/>
  <c r="AO90" i="139" s="1"/>
  <c r="P31" i="139"/>
  <c r="P58" i="139" s="1"/>
  <c r="AO84" i="139" s="1"/>
  <c r="P32" i="139"/>
  <c r="P59" i="139" s="1"/>
  <c r="AO85" i="139" s="1"/>
  <c r="P36" i="139"/>
  <c r="P63" i="139" s="1"/>
  <c r="AO89" i="139" s="1"/>
  <c r="O31" i="139" l="1"/>
  <c r="O58" i="139" s="1"/>
  <c r="AN84" i="139" s="1"/>
  <c r="O36" i="139"/>
  <c r="O63" i="139" s="1"/>
  <c r="AN89" i="139" s="1"/>
  <c r="O32" i="139"/>
  <c r="O59" i="139" s="1"/>
  <c r="AN85" i="139" s="1"/>
  <c r="O41" i="139"/>
  <c r="O68" i="139" s="1"/>
  <c r="AN94" i="139" s="1"/>
  <c r="N28" i="139"/>
  <c r="O34" i="139"/>
  <c r="O61" i="139" s="1"/>
  <c r="AN87" i="139" s="1"/>
  <c r="O39" i="139"/>
  <c r="O66" i="139" s="1"/>
  <c r="AN92" i="139" s="1"/>
  <c r="O35" i="139"/>
  <c r="O62" i="139" s="1"/>
  <c r="AN88" i="139" s="1"/>
  <c r="O30" i="139"/>
  <c r="O57" i="139" s="1"/>
  <c r="AN83" i="139" s="1"/>
  <c r="O37" i="139"/>
  <c r="O64" i="139" s="1"/>
  <c r="AN90" i="139" s="1"/>
  <c r="O40" i="139"/>
  <c r="O67" i="139" s="1"/>
  <c r="AN93" i="139" s="1"/>
  <c r="O38" i="139"/>
  <c r="O65" i="139" s="1"/>
  <c r="AN91" i="139" s="1"/>
  <c r="O33" i="139"/>
  <c r="O60" i="139" s="1"/>
  <c r="AN86" i="139" s="1"/>
  <c r="N32" i="139" l="1"/>
  <c r="N59" i="139" s="1"/>
  <c r="AM85" i="139" s="1"/>
  <c r="N31" i="139"/>
  <c r="N58" i="139" s="1"/>
  <c r="AM84" i="139" s="1"/>
  <c r="N38" i="139"/>
  <c r="N65" i="139" s="1"/>
  <c r="AM91" i="139" s="1"/>
  <c r="N37" i="139"/>
  <c r="N64" i="139" s="1"/>
  <c r="AM90" i="139" s="1"/>
  <c r="N35" i="139"/>
  <c r="N62" i="139" s="1"/>
  <c r="AM88" i="139" s="1"/>
  <c r="N33" i="139"/>
  <c r="N60" i="139" s="1"/>
  <c r="AM86" i="139" s="1"/>
  <c r="N30" i="139"/>
  <c r="N57" i="139" s="1"/>
  <c r="AM83" i="139" s="1"/>
  <c r="N40" i="139"/>
  <c r="N67" i="139" s="1"/>
  <c r="AM93" i="139" s="1"/>
  <c r="N34" i="139"/>
  <c r="N61" i="139" s="1"/>
  <c r="AM87" i="139" s="1"/>
  <c r="N39" i="139"/>
  <c r="N66" i="139" s="1"/>
  <c r="AM92" i="139" s="1"/>
  <c r="N41" i="139"/>
  <c r="N68" i="139" s="1"/>
  <c r="AM94" i="139" s="1"/>
  <c r="M28" i="139"/>
  <c r="N36" i="139"/>
  <c r="N63" i="139" s="1"/>
  <c r="AM89" i="139" s="1"/>
  <c r="M33" i="139" l="1"/>
  <c r="M60" i="139" s="1"/>
  <c r="AL86" i="139" s="1"/>
  <c r="M41" i="139"/>
  <c r="M68" i="139" s="1"/>
  <c r="AL94" i="139" s="1"/>
  <c r="M32" i="139"/>
  <c r="M59" i="139" s="1"/>
  <c r="AL85" i="139" s="1"/>
  <c r="M31" i="139"/>
  <c r="M58" i="139" s="1"/>
  <c r="AL84" i="139" s="1"/>
  <c r="M40" i="139"/>
  <c r="M67" i="139" s="1"/>
  <c r="AL93" i="139" s="1"/>
  <c r="L28" i="139"/>
  <c r="M39" i="139"/>
  <c r="M66" i="139" s="1"/>
  <c r="AL92" i="139" s="1"/>
  <c r="M30" i="139"/>
  <c r="M57" i="139" s="1"/>
  <c r="AL83" i="139" s="1"/>
  <c r="M38" i="139"/>
  <c r="M65" i="139" s="1"/>
  <c r="AL91" i="139" s="1"/>
  <c r="M36" i="139"/>
  <c r="M63" i="139" s="1"/>
  <c r="AL89" i="139" s="1"/>
  <c r="M34" i="139"/>
  <c r="M61" i="139" s="1"/>
  <c r="AL87" i="139" s="1"/>
  <c r="M37" i="139"/>
  <c r="M64" i="139" s="1"/>
  <c r="AL90" i="139" s="1"/>
  <c r="M35" i="139"/>
  <c r="M62" i="139" s="1"/>
  <c r="AL88" i="139" s="1"/>
  <c r="L31" i="139" l="1"/>
  <c r="L58" i="139" s="1"/>
  <c r="AK84" i="139" s="1"/>
  <c r="L41" i="139"/>
  <c r="L68" i="139" s="1"/>
  <c r="AK94" i="139" s="1"/>
  <c r="K28" i="139"/>
  <c r="L38" i="139"/>
  <c r="L65" i="139" s="1"/>
  <c r="AK91" i="139" s="1"/>
  <c r="L35" i="139"/>
  <c r="L62" i="139" s="1"/>
  <c r="AK88" i="139" s="1"/>
  <c r="L39" i="139"/>
  <c r="L66" i="139" s="1"/>
  <c r="AK92" i="139" s="1"/>
  <c r="L36" i="139"/>
  <c r="L63" i="139" s="1"/>
  <c r="AK89" i="139" s="1"/>
  <c r="L30" i="139"/>
  <c r="L57" i="139" s="1"/>
  <c r="AK83" i="139" s="1"/>
  <c r="L40" i="139"/>
  <c r="L67" i="139" s="1"/>
  <c r="AK93" i="139" s="1"/>
  <c r="L32" i="139"/>
  <c r="L59" i="139" s="1"/>
  <c r="AK85" i="139" s="1"/>
  <c r="L34" i="139"/>
  <c r="L61" i="139" s="1"/>
  <c r="AK87" i="139" s="1"/>
  <c r="L33" i="139"/>
  <c r="L60" i="139" s="1"/>
  <c r="AK86" i="139" s="1"/>
  <c r="L37" i="139"/>
  <c r="L64" i="139" s="1"/>
  <c r="AK90" i="139" s="1"/>
  <c r="K30" i="139" l="1"/>
  <c r="K57" i="139" s="1"/>
  <c r="AJ83" i="139" s="1"/>
  <c r="K33" i="139"/>
  <c r="K60" i="139" s="1"/>
  <c r="AJ86" i="139" s="1"/>
  <c r="K31" i="139"/>
  <c r="K58" i="139" s="1"/>
  <c r="AJ84" i="139" s="1"/>
  <c r="J28" i="139"/>
  <c r="K38" i="139"/>
  <c r="K65" i="139" s="1"/>
  <c r="AJ91" i="139" s="1"/>
  <c r="K35" i="139"/>
  <c r="K62" i="139" s="1"/>
  <c r="AJ88" i="139" s="1"/>
  <c r="K34" i="139"/>
  <c r="K61" i="139" s="1"/>
  <c r="AJ87" i="139" s="1"/>
  <c r="K32" i="139"/>
  <c r="K59" i="139" s="1"/>
  <c r="AJ85" i="139" s="1"/>
  <c r="K41" i="139"/>
  <c r="K68" i="139" s="1"/>
  <c r="AJ94" i="139" s="1"/>
  <c r="K39" i="139"/>
  <c r="K66" i="139" s="1"/>
  <c r="AJ92" i="139" s="1"/>
  <c r="K37" i="139"/>
  <c r="K64" i="139" s="1"/>
  <c r="AJ90" i="139" s="1"/>
  <c r="K36" i="139"/>
  <c r="K63" i="139" s="1"/>
  <c r="AJ89" i="139" s="1"/>
  <c r="K40" i="139"/>
  <c r="K67" i="139" s="1"/>
  <c r="AJ93" i="139" s="1"/>
  <c r="J35" i="139" l="1"/>
  <c r="J62" i="139" s="1"/>
  <c r="AI88" i="139" s="1"/>
  <c r="J31" i="139"/>
  <c r="J58" i="139" s="1"/>
  <c r="AI84" i="139" s="1"/>
  <c r="J38" i="139"/>
  <c r="J65" i="139" s="1"/>
  <c r="AI91" i="139" s="1"/>
  <c r="I28" i="139"/>
  <c r="J36" i="139"/>
  <c r="J63" i="139" s="1"/>
  <c r="AI89" i="139" s="1"/>
  <c r="J37" i="139"/>
  <c r="J64" i="139" s="1"/>
  <c r="AI90" i="139" s="1"/>
  <c r="J32" i="139"/>
  <c r="J59" i="139" s="1"/>
  <c r="AI85" i="139" s="1"/>
  <c r="J41" i="139"/>
  <c r="J68" i="139" s="1"/>
  <c r="AI94" i="139" s="1"/>
  <c r="J34" i="139"/>
  <c r="J61" i="139" s="1"/>
  <c r="AI87" i="139" s="1"/>
  <c r="J30" i="139"/>
  <c r="J57" i="139" s="1"/>
  <c r="AI83" i="139" s="1"/>
  <c r="J39" i="139"/>
  <c r="J66" i="139" s="1"/>
  <c r="AI92" i="139" s="1"/>
  <c r="J33" i="139"/>
  <c r="J60" i="139" s="1"/>
  <c r="AI86" i="139" s="1"/>
  <c r="J40" i="139"/>
  <c r="J67" i="139" s="1"/>
  <c r="AI93" i="139" s="1"/>
  <c r="I30" i="139" l="1"/>
  <c r="I57" i="139" s="1"/>
  <c r="AH83" i="139" s="1"/>
  <c r="I33" i="139"/>
  <c r="I60" i="139" s="1"/>
  <c r="AH86" i="139" s="1"/>
  <c r="I41" i="139"/>
  <c r="I68" i="139" s="1"/>
  <c r="AH94" i="139" s="1"/>
  <c r="I31" i="139"/>
  <c r="I58" i="139" s="1"/>
  <c r="AH84" i="139" s="1"/>
  <c r="I37" i="139"/>
  <c r="I64" i="139" s="1"/>
  <c r="AH90" i="139" s="1"/>
  <c r="I36" i="139"/>
  <c r="I63" i="139" s="1"/>
  <c r="AH89" i="139" s="1"/>
  <c r="I38" i="139"/>
  <c r="I65" i="139" s="1"/>
  <c r="AH91" i="139" s="1"/>
  <c r="I40" i="139"/>
  <c r="I67" i="139" s="1"/>
  <c r="AH93" i="139" s="1"/>
  <c r="I32" i="139"/>
  <c r="I59" i="139" s="1"/>
  <c r="AH85" i="139" s="1"/>
  <c r="I39" i="139"/>
  <c r="I66" i="139" s="1"/>
  <c r="AH92" i="139" s="1"/>
  <c r="I34" i="139"/>
  <c r="I61" i="139" s="1"/>
  <c r="AH87" i="139" s="1"/>
  <c r="I35" i="139"/>
  <c r="I62" i="139" s="1"/>
  <c r="AH88" i="139" s="1"/>
  <c r="H28" i="139"/>
  <c r="H41" i="139" l="1"/>
  <c r="H68" i="139" s="1"/>
  <c r="AG94" i="139" s="1"/>
  <c r="H38" i="139"/>
  <c r="H65" i="139" s="1"/>
  <c r="AG91" i="139" s="1"/>
  <c r="H34" i="139"/>
  <c r="H61" i="139" s="1"/>
  <c r="AG87" i="139" s="1"/>
  <c r="H39" i="139"/>
  <c r="H66" i="139" s="1"/>
  <c r="AG92" i="139" s="1"/>
  <c r="H37" i="139"/>
  <c r="H64" i="139" s="1"/>
  <c r="AG90" i="139" s="1"/>
  <c r="G28" i="139"/>
  <c r="H31" i="139"/>
  <c r="H58" i="139" s="1"/>
  <c r="AG84" i="139" s="1"/>
  <c r="H32" i="139"/>
  <c r="H59" i="139" s="1"/>
  <c r="AG85" i="139" s="1"/>
  <c r="H40" i="139"/>
  <c r="H67" i="139" s="1"/>
  <c r="AG93" i="139" s="1"/>
  <c r="H33" i="139"/>
  <c r="H60" i="139" s="1"/>
  <c r="AG86" i="139" s="1"/>
  <c r="H36" i="139"/>
  <c r="H63" i="139" s="1"/>
  <c r="AG89" i="139" s="1"/>
  <c r="H30" i="139"/>
  <c r="H57" i="139" s="1"/>
  <c r="AG83" i="139" s="1"/>
  <c r="H35" i="139"/>
  <c r="H62" i="139" s="1"/>
  <c r="AG88" i="139" s="1"/>
  <c r="G37" i="139" l="1"/>
  <c r="G64" i="139" s="1"/>
  <c r="AF90" i="139" s="1"/>
  <c r="G30" i="139"/>
  <c r="G57" i="139" s="1"/>
  <c r="AF83" i="139" s="1"/>
  <c r="G39" i="139"/>
  <c r="G66" i="139" s="1"/>
  <c r="AF92" i="139" s="1"/>
  <c r="G40" i="139"/>
  <c r="G67" i="139" s="1"/>
  <c r="AF93" i="139" s="1"/>
  <c r="G38" i="139"/>
  <c r="G65" i="139" s="1"/>
  <c r="AF91" i="139" s="1"/>
  <c r="G32" i="139"/>
  <c r="G59" i="139" s="1"/>
  <c r="AF85" i="139" s="1"/>
  <c r="G36" i="139"/>
  <c r="G63" i="139" s="1"/>
  <c r="AF89" i="139" s="1"/>
  <c r="G33" i="139"/>
  <c r="G60" i="139" s="1"/>
  <c r="AF86" i="139" s="1"/>
  <c r="G31" i="139"/>
  <c r="G58" i="139" s="1"/>
  <c r="AF84" i="139" s="1"/>
  <c r="G34" i="139"/>
  <c r="G61" i="139" s="1"/>
  <c r="AF87" i="139" s="1"/>
  <c r="G35" i="139"/>
  <c r="G62" i="139" s="1"/>
  <c r="AF88" i="139" s="1"/>
  <c r="F28" i="139"/>
  <c r="G41" i="139"/>
  <c r="G68" i="139" s="1"/>
  <c r="AF94" i="139" s="1"/>
  <c r="F37" i="139" l="1"/>
  <c r="F64" i="139" s="1"/>
  <c r="AE90" i="139" s="1"/>
  <c r="F39" i="139"/>
  <c r="F66" i="139" s="1"/>
  <c r="AE92" i="139" s="1"/>
  <c r="E28" i="139"/>
  <c r="F31" i="139"/>
  <c r="F58" i="139" s="1"/>
  <c r="AE84" i="139" s="1"/>
  <c r="F33" i="139"/>
  <c r="F60" i="139" s="1"/>
  <c r="AE86" i="139" s="1"/>
  <c r="F38" i="139"/>
  <c r="F65" i="139" s="1"/>
  <c r="AE91" i="139" s="1"/>
  <c r="F41" i="139"/>
  <c r="F68" i="139" s="1"/>
  <c r="AE94" i="139" s="1"/>
  <c r="F34" i="139"/>
  <c r="F61" i="139" s="1"/>
  <c r="AE87" i="139" s="1"/>
  <c r="F35" i="139"/>
  <c r="F62" i="139" s="1"/>
  <c r="AE88" i="139" s="1"/>
  <c r="F32" i="139"/>
  <c r="F59" i="139" s="1"/>
  <c r="AE85" i="139" s="1"/>
  <c r="F36" i="139"/>
  <c r="F63" i="139" s="1"/>
  <c r="AE89" i="139" s="1"/>
  <c r="F40" i="139"/>
  <c r="F67" i="139" s="1"/>
  <c r="AE93" i="139" s="1"/>
  <c r="F30" i="139"/>
  <c r="F57" i="139" s="1"/>
  <c r="AE83" i="139" s="1"/>
  <c r="E30" i="139" l="1"/>
  <c r="E57" i="139" s="1"/>
  <c r="AD83" i="139" s="1"/>
  <c r="E35" i="139"/>
  <c r="E62" i="139" s="1"/>
  <c r="AD88" i="139" s="1"/>
  <c r="E40" i="139"/>
  <c r="E67" i="139" s="1"/>
  <c r="AD93" i="139" s="1"/>
  <c r="E37" i="139"/>
  <c r="E64" i="139" s="1"/>
  <c r="AD90" i="139" s="1"/>
  <c r="D28" i="139"/>
  <c r="E39" i="139"/>
  <c r="E66" i="139" s="1"/>
  <c r="AD92" i="139" s="1"/>
  <c r="E31" i="139"/>
  <c r="E58" i="139" s="1"/>
  <c r="AD84" i="139" s="1"/>
  <c r="E34" i="139"/>
  <c r="E61" i="139" s="1"/>
  <c r="AD87" i="139" s="1"/>
  <c r="E41" i="139"/>
  <c r="E68" i="139" s="1"/>
  <c r="AD94" i="139" s="1"/>
  <c r="E33" i="139"/>
  <c r="E60" i="139" s="1"/>
  <c r="AD86" i="139" s="1"/>
  <c r="E38" i="139"/>
  <c r="E65" i="139" s="1"/>
  <c r="AD91" i="139" s="1"/>
  <c r="E32" i="139"/>
  <c r="E59" i="139" s="1"/>
  <c r="AD85" i="139" s="1"/>
  <c r="E36" i="139"/>
  <c r="E63" i="139" s="1"/>
  <c r="AD89" i="139" s="1"/>
  <c r="D41" i="139" l="1"/>
  <c r="D68" i="139" s="1"/>
  <c r="AC94" i="139" s="1"/>
  <c r="D37" i="139"/>
  <c r="D64" i="139" s="1"/>
  <c r="AC90" i="139" s="1"/>
  <c r="D30" i="139"/>
  <c r="D57" i="139" s="1"/>
  <c r="AC83" i="139" s="1"/>
  <c r="D32" i="139"/>
  <c r="D59" i="139" s="1"/>
  <c r="AC85" i="139" s="1"/>
  <c r="D31" i="139"/>
  <c r="D58" i="139" s="1"/>
  <c r="AC84" i="139" s="1"/>
  <c r="D36" i="139"/>
  <c r="D63" i="139" s="1"/>
  <c r="AC89" i="139" s="1"/>
  <c r="D34" i="139"/>
  <c r="D61" i="139" s="1"/>
  <c r="AC87" i="139" s="1"/>
  <c r="D39" i="139"/>
  <c r="D66" i="139" s="1"/>
  <c r="AC92" i="139" s="1"/>
  <c r="C28" i="139"/>
  <c r="D35" i="139"/>
  <c r="D62" i="139" s="1"/>
  <c r="AC88" i="139" s="1"/>
  <c r="D40" i="139"/>
  <c r="D67" i="139" s="1"/>
  <c r="AC93" i="139" s="1"/>
  <c r="D33" i="139"/>
  <c r="D60" i="139" s="1"/>
  <c r="AC86" i="139" s="1"/>
  <c r="D38" i="139"/>
  <c r="D65" i="139" s="1"/>
  <c r="AC91" i="139" s="1"/>
  <c r="C38" i="139" l="1"/>
  <c r="C65" i="139" s="1"/>
  <c r="AB91" i="139" s="1"/>
  <c r="C33" i="139"/>
  <c r="C60" i="139" s="1"/>
  <c r="AB86" i="139" s="1"/>
  <c r="C34" i="139"/>
  <c r="C61" i="139" s="1"/>
  <c r="AB87" i="139" s="1"/>
  <c r="C31" i="139"/>
  <c r="C58" i="139" s="1"/>
  <c r="AB84" i="139" s="1"/>
  <c r="C36" i="139"/>
  <c r="C63" i="139" s="1"/>
  <c r="AB89" i="139" s="1"/>
  <c r="C35" i="139"/>
  <c r="C62" i="139" s="1"/>
  <c r="AB88" i="139" s="1"/>
  <c r="C39" i="139"/>
  <c r="C66" i="139" s="1"/>
  <c r="AB92" i="139" s="1"/>
  <c r="C30" i="139"/>
  <c r="C57" i="139" s="1"/>
  <c r="AB83" i="139" s="1"/>
  <c r="C40" i="139"/>
  <c r="C67" i="139" s="1"/>
  <c r="AB93" i="139" s="1"/>
  <c r="B28" i="139"/>
  <c r="C32" i="139"/>
  <c r="C59" i="139" s="1"/>
  <c r="AB85" i="139" s="1"/>
  <c r="C41" i="139"/>
  <c r="C68" i="139" s="1"/>
  <c r="AB94" i="139" s="1"/>
  <c r="C37" i="139"/>
  <c r="C64" i="139" s="1"/>
  <c r="AB90" i="139" s="1"/>
  <c r="B40" i="139" l="1"/>
  <c r="B67" i="139" s="1"/>
  <c r="AA93" i="139" s="1"/>
  <c r="B35" i="139"/>
  <c r="B62" i="139" s="1"/>
  <c r="AA88" i="139" s="1"/>
  <c r="B38" i="139"/>
  <c r="B65" i="139" s="1"/>
  <c r="AA91" i="139" s="1"/>
  <c r="B39" i="139"/>
  <c r="B66" i="139" s="1"/>
  <c r="AA92" i="139" s="1"/>
  <c r="B37" i="139"/>
  <c r="B64" i="139" s="1"/>
  <c r="AA90" i="139" s="1"/>
  <c r="B41" i="139"/>
  <c r="B68" i="139" s="1"/>
  <c r="AA94" i="139" s="1"/>
  <c r="B30" i="139"/>
  <c r="B57" i="139" s="1"/>
  <c r="AA83" i="139" s="1"/>
  <c r="B32" i="139"/>
  <c r="B59" i="139" s="1"/>
  <c r="AA85" i="139" s="1"/>
  <c r="B34" i="139"/>
  <c r="B61" i="139" s="1"/>
  <c r="AA87" i="139" s="1"/>
  <c r="B33" i="139"/>
  <c r="B60" i="139" s="1"/>
  <c r="AA86" i="139" s="1"/>
  <c r="B36" i="139"/>
  <c r="B63" i="139" s="1"/>
  <c r="AA89" i="139" s="1"/>
  <c r="B31" i="139"/>
  <c r="B58" i="139" s="1"/>
  <c r="AA84" i="139" s="1"/>
</calcChain>
</file>

<file path=xl/sharedStrings.xml><?xml version="1.0" encoding="utf-8"?>
<sst xmlns="http://schemas.openxmlformats.org/spreadsheetml/2006/main" count="20" uniqueCount="12">
  <si>
    <t>MES</t>
  </si>
  <si>
    <t>Period</t>
  </si>
  <si>
    <t>MEDIA</t>
  </si>
  <si>
    <t>MEDIANA</t>
  </si>
  <si>
    <t>VARIANZA</t>
  </si>
  <si>
    <t>σ</t>
  </si>
  <si>
    <r>
      <t xml:space="preserve">INTERVALO </t>
    </r>
    <r>
      <rPr>
        <b/>
        <sz val="8"/>
        <color theme="0"/>
        <rFont val="Calibri"/>
        <family val="2"/>
        <scheme val="minor"/>
      </rPr>
      <t>∓</t>
    </r>
    <r>
      <rPr>
        <b/>
        <sz val="11"/>
        <color theme="0"/>
        <rFont val="Calibri"/>
        <family val="2"/>
        <scheme val="minor"/>
      </rPr>
      <t>2σ</t>
    </r>
  </si>
  <si>
    <t>Serie Corregida</t>
  </si>
  <si>
    <t>Serie Original</t>
  </si>
  <si>
    <t>SSAutESP</t>
  </si>
  <si>
    <t>Inicio</t>
  </si>
  <si>
    <t>Amplitud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</si>
</sst>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C0A]mmm\-yy;@"/>
    <numFmt numFmtId="165" formatCode="0.0%"/>
    <numFmt numFmtId="166" formatCode="0.000000"/>
    <numFmt numFmtId="167" formatCode="0.00\ &quot;σ&quot;"/>
  </numFmts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3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3" fontId="1" fillId="0" borderId="1" xfId="0" applyNumberFormat="1" applyFont="1" applyBorder="1"/>
    <xf numFmtId="164" fontId="1" fillId="0" borderId="1" xfId="0" applyNumberFormat="1" applyFont="1" applyBorder="1" applyAlignment="1">
      <alignment vertical="center"/>
    </xf>
    <xf numFmtId="164" fontId="1" fillId="0" borderId="1" xfId="0" applyNumberFormat="1" applyFont="1" applyBorder="1"/>
    <xf numFmtId="10" fontId="2" fillId="0" borderId="0" xfId="1" applyNumberFormat="1" applyFont="1"/>
    <xf numFmtId="16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 vertical="center"/>
    </xf>
    <xf numFmtId="10" fontId="7" fillId="3" borderId="0" xfId="0" applyNumberFormat="1" applyFont="1" applyFill="1"/>
    <xf numFmtId="166" fontId="7" fillId="3" borderId="0" xfId="0" applyNumberFormat="1" applyFont="1" applyFill="1"/>
    <xf numFmtId="165" fontId="7" fillId="3" borderId="0" xfId="1" applyNumberFormat="1" applyFont="1" applyFill="1" applyAlignment="1">
      <alignment horizontal="center" vertical="center"/>
    </xf>
    <xf numFmtId="10" fontId="0" fillId="0" borderId="0" xfId="0" applyNumberFormat="1"/>
    <xf numFmtId="10" fontId="7" fillId="3" borderId="0" xfId="1" applyNumberFormat="1" applyFont="1" applyFill="1" applyAlignment="1">
      <alignment horizontal="center" vertical="center"/>
    </xf>
    <xf numFmtId="10" fontId="0" fillId="0" borderId="0" xfId="1" applyNumberFormat="1" applyFont="1" applyFill="1"/>
    <xf numFmtId="167" fontId="5" fillId="2" borderId="0" xfId="0" applyNumberFormat="1" applyFont="1" applyFill="1" applyAlignment="1">
      <alignment horizontal="center" vertical="center"/>
    </xf>
    <xf numFmtId="9" fontId="0" fillId="0" borderId="0" xfId="1" applyNumberFormat="1" applyFont="1"/>
    <xf numFmtId="10" fontId="0" fillId="0" borderId="0" xfId="1" applyNumberFormat="1" applyFont="1"/>
  </cellXfs>
  <cellStyles count="2">
    <cellStyle name="Normal" xfId="0" builtinId="0"/>
    <cellStyle name="Porcentaje" xfId="1" builtinId="5"/>
  </cellStyles>
  <dxfs count="4"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ill>
        <patternFill>
          <bgColor theme="0"/>
        </patternFill>
      </fill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0066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SSAutESP!$C$61</c:f>
              <c:strCache>
                <c:ptCount val="1"/>
                <c:pt idx="0">
                  <c:v>Serie Original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SSAutESP!$C$62:$C$202</c:f>
              <c:numCache>
                <c:formatCode>#,##0</c:formatCode>
                <c:ptCount val="141"/>
                <c:pt idx="0">
                  <c:v>2569344.04</c:v>
                </c:pt>
                <c:pt idx="1">
                  <c:v>2573902.35</c:v>
                </c:pt>
                <c:pt idx="2">
                  <c:v>2584964.13</c:v>
                </c:pt>
                <c:pt idx="3">
                  <c:v>2595379.1</c:v>
                </c:pt>
                <c:pt idx="4">
                  <c:v>2606821.13</c:v>
                </c:pt>
                <c:pt idx="5">
                  <c:v>2615666.15</c:v>
                </c:pt>
                <c:pt idx="6">
                  <c:v>2620886.86</c:v>
                </c:pt>
                <c:pt idx="7">
                  <c:v>2621951.59</c:v>
                </c:pt>
                <c:pt idx="8">
                  <c:v>2620548.54</c:v>
                </c:pt>
                <c:pt idx="9">
                  <c:v>2621607.09</c:v>
                </c:pt>
                <c:pt idx="10">
                  <c:v>2622915.4700000002</c:v>
                </c:pt>
                <c:pt idx="11">
                  <c:v>2622593</c:v>
                </c:pt>
                <c:pt idx="12">
                  <c:v>2607548.6800000002</c:v>
                </c:pt>
                <c:pt idx="13">
                  <c:v>2617910.65</c:v>
                </c:pt>
                <c:pt idx="14">
                  <c:v>2630199.19</c:v>
                </c:pt>
                <c:pt idx="15">
                  <c:v>2643245.4</c:v>
                </c:pt>
                <c:pt idx="16">
                  <c:v>2655777.5699999998</c:v>
                </c:pt>
                <c:pt idx="17">
                  <c:v>2664488.38</c:v>
                </c:pt>
                <c:pt idx="18">
                  <c:v>2670593.04</c:v>
                </c:pt>
                <c:pt idx="19">
                  <c:v>2670634.09</c:v>
                </c:pt>
                <c:pt idx="20">
                  <c:v>2670719.23</c:v>
                </c:pt>
                <c:pt idx="21">
                  <c:v>2673295.86</c:v>
                </c:pt>
                <c:pt idx="22">
                  <c:v>2675551.4700000002</c:v>
                </c:pt>
                <c:pt idx="23">
                  <c:v>2675695.83</c:v>
                </c:pt>
                <c:pt idx="24">
                  <c:v>2671033.4700000002</c:v>
                </c:pt>
                <c:pt idx="25">
                  <c:v>2678369</c:v>
                </c:pt>
                <c:pt idx="26">
                  <c:v>2692909.57</c:v>
                </c:pt>
                <c:pt idx="27">
                  <c:v>2710556.05</c:v>
                </c:pt>
                <c:pt idx="28">
                  <c:v>2726663.77</c:v>
                </c:pt>
                <c:pt idx="29">
                  <c:v>2739626.33</c:v>
                </c:pt>
                <c:pt idx="30">
                  <c:v>2747870.82</c:v>
                </c:pt>
                <c:pt idx="31">
                  <c:v>2750904.95</c:v>
                </c:pt>
                <c:pt idx="32">
                  <c:v>2754230.45</c:v>
                </c:pt>
                <c:pt idx="33">
                  <c:v>2759872.65</c:v>
                </c:pt>
                <c:pt idx="34">
                  <c:v>2764923.65</c:v>
                </c:pt>
                <c:pt idx="35">
                  <c:v>2770250.89</c:v>
                </c:pt>
                <c:pt idx="36">
                  <c:v>2768253.95</c:v>
                </c:pt>
                <c:pt idx="37">
                  <c:v>2780917.95</c:v>
                </c:pt>
                <c:pt idx="38">
                  <c:v>2800362.21</c:v>
                </c:pt>
                <c:pt idx="39">
                  <c:v>2817972.95</c:v>
                </c:pt>
                <c:pt idx="40">
                  <c:v>2834709.2</c:v>
                </c:pt>
                <c:pt idx="41">
                  <c:v>2849361.13</c:v>
                </c:pt>
                <c:pt idx="42">
                  <c:v>2857506.47</c:v>
                </c:pt>
                <c:pt idx="43">
                  <c:v>2859427.5</c:v>
                </c:pt>
                <c:pt idx="44">
                  <c:v>2861768.95</c:v>
                </c:pt>
                <c:pt idx="45">
                  <c:v>2867423.14</c:v>
                </c:pt>
                <c:pt idx="46">
                  <c:v>2873320.19</c:v>
                </c:pt>
                <c:pt idx="47">
                  <c:v>2878779.05</c:v>
                </c:pt>
                <c:pt idx="48">
                  <c:v>2876706.6</c:v>
                </c:pt>
                <c:pt idx="49">
                  <c:v>2884992.2</c:v>
                </c:pt>
                <c:pt idx="50">
                  <c:v>2900855.66</c:v>
                </c:pt>
                <c:pt idx="51">
                  <c:v>2916433.04</c:v>
                </c:pt>
                <c:pt idx="52">
                  <c:v>2931504.86</c:v>
                </c:pt>
                <c:pt idx="53">
                  <c:v>2944916.81</c:v>
                </c:pt>
                <c:pt idx="54">
                  <c:v>2950785.69</c:v>
                </c:pt>
                <c:pt idx="55">
                  <c:v>2951456.22</c:v>
                </c:pt>
                <c:pt idx="56">
                  <c:v>2953668.4</c:v>
                </c:pt>
                <c:pt idx="57">
                  <c:v>2958182.6</c:v>
                </c:pt>
                <c:pt idx="58">
                  <c:v>2963521.28</c:v>
                </c:pt>
                <c:pt idx="59">
                  <c:v>2967849.2</c:v>
                </c:pt>
                <c:pt idx="60">
                  <c:v>2963965.52</c:v>
                </c:pt>
                <c:pt idx="61">
                  <c:v>2972719.5</c:v>
                </c:pt>
                <c:pt idx="62">
                  <c:v>2986282.65</c:v>
                </c:pt>
                <c:pt idx="63">
                  <c:v>3001292.05</c:v>
                </c:pt>
                <c:pt idx="64">
                  <c:v>3017194.95</c:v>
                </c:pt>
                <c:pt idx="65">
                  <c:v>3028458</c:v>
                </c:pt>
                <c:pt idx="66">
                  <c:v>3033439.95</c:v>
                </c:pt>
                <c:pt idx="67">
                  <c:v>3032031.31</c:v>
                </c:pt>
                <c:pt idx="68">
                  <c:v>3034700.09</c:v>
                </c:pt>
                <c:pt idx="69">
                  <c:v>3041827.14</c:v>
                </c:pt>
                <c:pt idx="70">
                  <c:v>3047009</c:v>
                </c:pt>
                <c:pt idx="71">
                  <c:v>3053033.72</c:v>
                </c:pt>
                <c:pt idx="72">
                  <c:v>3051691.77</c:v>
                </c:pt>
                <c:pt idx="73">
                  <c:v>3063804.1</c:v>
                </c:pt>
                <c:pt idx="74">
                  <c:v>3082544.36</c:v>
                </c:pt>
                <c:pt idx="75">
                  <c:v>3100505.42</c:v>
                </c:pt>
                <c:pt idx="76">
                  <c:v>3117502.95</c:v>
                </c:pt>
                <c:pt idx="77">
                  <c:v>3132507.76</c:v>
                </c:pt>
                <c:pt idx="78">
                  <c:v>3141184.5</c:v>
                </c:pt>
                <c:pt idx="79">
                  <c:v>3140701.81</c:v>
                </c:pt>
                <c:pt idx="80">
                  <c:v>3145212.3</c:v>
                </c:pt>
                <c:pt idx="81">
                  <c:v>3153101.13</c:v>
                </c:pt>
                <c:pt idx="82">
                  <c:v>3156911.95</c:v>
                </c:pt>
                <c:pt idx="83">
                  <c:v>3159017.17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8C-443B-BA77-C9C7F1438BF1}"/>
            </c:ext>
          </c:extLst>
        </c:ser>
        <c:ser>
          <c:idx val="0"/>
          <c:order val="1"/>
          <c:tx>
            <c:strRef>
              <c:f>SSAutESP!$B$61</c:f>
              <c:strCache>
                <c:ptCount val="1"/>
                <c:pt idx="0">
                  <c:v>Serie Corregida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SSAutESP!$B$62:$B$202</c:f>
              <c:numCache>
                <c:formatCode>#,##0</c:formatCode>
                <c:ptCount val="141"/>
                <c:pt idx="0">
                  <c:v>2812917.3985899999</c:v>
                </c:pt>
                <c:pt idx="1">
                  <c:v>2817475.7085899999</c:v>
                </c:pt>
                <c:pt idx="2">
                  <c:v>2828537.4885900002</c:v>
                </c:pt>
                <c:pt idx="3">
                  <c:v>2838952.4585899999</c:v>
                </c:pt>
                <c:pt idx="4">
                  <c:v>2850394.4885900002</c:v>
                </c:pt>
                <c:pt idx="5">
                  <c:v>2859239.5085900002</c:v>
                </c:pt>
                <c:pt idx="6">
                  <c:v>2864460.2185900002</c:v>
                </c:pt>
                <c:pt idx="7">
                  <c:v>2865524.9485900002</c:v>
                </c:pt>
                <c:pt idx="8">
                  <c:v>2864121.8985899999</c:v>
                </c:pt>
                <c:pt idx="9">
                  <c:v>2865180.4485900002</c:v>
                </c:pt>
                <c:pt idx="10">
                  <c:v>2866488.82859</c:v>
                </c:pt>
                <c:pt idx="11">
                  <c:v>2866166.3585899998</c:v>
                </c:pt>
                <c:pt idx="12">
                  <c:v>2851122.03859</c:v>
                </c:pt>
                <c:pt idx="13">
                  <c:v>2861484.0085900002</c:v>
                </c:pt>
                <c:pt idx="14">
                  <c:v>2873772.5485899998</c:v>
                </c:pt>
                <c:pt idx="15">
                  <c:v>2886818.7585900002</c:v>
                </c:pt>
                <c:pt idx="16">
                  <c:v>2899350.9285900001</c:v>
                </c:pt>
                <c:pt idx="17">
                  <c:v>2908061.7385900002</c:v>
                </c:pt>
                <c:pt idx="18">
                  <c:v>2914166.3985899999</c:v>
                </c:pt>
                <c:pt idx="19">
                  <c:v>2914207.4485900002</c:v>
                </c:pt>
                <c:pt idx="20">
                  <c:v>2914292.5885899998</c:v>
                </c:pt>
                <c:pt idx="21">
                  <c:v>2916869.2185900002</c:v>
                </c:pt>
                <c:pt idx="22">
                  <c:v>2919124.82859</c:v>
                </c:pt>
                <c:pt idx="23">
                  <c:v>2919269.1885899999</c:v>
                </c:pt>
                <c:pt idx="24">
                  <c:v>2914606.82859</c:v>
                </c:pt>
                <c:pt idx="25">
                  <c:v>2921942.3585899998</c:v>
                </c:pt>
                <c:pt idx="26">
                  <c:v>2936482.9285900001</c:v>
                </c:pt>
                <c:pt idx="27">
                  <c:v>2954129.4085900001</c:v>
                </c:pt>
                <c:pt idx="28">
                  <c:v>2970237.1285899999</c:v>
                </c:pt>
                <c:pt idx="29">
                  <c:v>2983199.6885899999</c:v>
                </c:pt>
                <c:pt idx="30">
                  <c:v>2991444.1785900001</c:v>
                </c:pt>
                <c:pt idx="31">
                  <c:v>2994478.30859</c:v>
                </c:pt>
                <c:pt idx="32">
                  <c:v>2997803.80859</c:v>
                </c:pt>
                <c:pt idx="33">
                  <c:v>3003446.0085900002</c:v>
                </c:pt>
                <c:pt idx="34">
                  <c:v>3008497.0085900002</c:v>
                </c:pt>
                <c:pt idx="35">
                  <c:v>3013824.24859</c:v>
                </c:pt>
                <c:pt idx="36">
                  <c:v>3011827.30859</c:v>
                </c:pt>
                <c:pt idx="37">
                  <c:v>3024491.30859</c:v>
                </c:pt>
                <c:pt idx="38">
                  <c:v>3043935.5685899998</c:v>
                </c:pt>
                <c:pt idx="39">
                  <c:v>3061546.30859</c:v>
                </c:pt>
                <c:pt idx="40">
                  <c:v>3078282.55859</c:v>
                </c:pt>
                <c:pt idx="41">
                  <c:v>3092934.4885900002</c:v>
                </c:pt>
                <c:pt idx="42">
                  <c:v>3101079.82859</c:v>
                </c:pt>
                <c:pt idx="43">
                  <c:v>3103000.8585899998</c:v>
                </c:pt>
                <c:pt idx="44">
                  <c:v>3105342.30859</c:v>
                </c:pt>
                <c:pt idx="45">
                  <c:v>3110996.49859</c:v>
                </c:pt>
                <c:pt idx="46">
                  <c:v>3116893.5485899998</c:v>
                </c:pt>
                <c:pt idx="47">
                  <c:v>3122352.4085900001</c:v>
                </c:pt>
                <c:pt idx="48">
                  <c:v>3120279.9585899999</c:v>
                </c:pt>
                <c:pt idx="49">
                  <c:v>3128565.55859</c:v>
                </c:pt>
                <c:pt idx="50">
                  <c:v>3144429.01859</c:v>
                </c:pt>
                <c:pt idx="51">
                  <c:v>3160006.3985899999</c:v>
                </c:pt>
                <c:pt idx="52">
                  <c:v>3175078.2185900002</c:v>
                </c:pt>
                <c:pt idx="53">
                  <c:v>3188490.1685899999</c:v>
                </c:pt>
                <c:pt idx="54">
                  <c:v>3194359.0485899998</c:v>
                </c:pt>
                <c:pt idx="55">
                  <c:v>3195029.57859</c:v>
                </c:pt>
                <c:pt idx="56">
                  <c:v>3197241.7585900002</c:v>
                </c:pt>
                <c:pt idx="57">
                  <c:v>3201755.9585899999</c:v>
                </c:pt>
                <c:pt idx="58">
                  <c:v>3207094.6385900001</c:v>
                </c:pt>
                <c:pt idx="59">
                  <c:v>3211422.55859</c:v>
                </c:pt>
                <c:pt idx="60">
                  <c:v>3207538.8785899999</c:v>
                </c:pt>
                <c:pt idx="61">
                  <c:v>3216292.8585899998</c:v>
                </c:pt>
                <c:pt idx="62">
                  <c:v>3229856.0085900002</c:v>
                </c:pt>
                <c:pt idx="63">
                  <c:v>3244865.4085900001</c:v>
                </c:pt>
                <c:pt idx="64">
                  <c:v>3260768.30859</c:v>
                </c:pt>
                <c:pt idx="65">
                  <c:v>3272031.3585899998</c:v>
                </c:pt>
                <c:pt idx="66">
                  <c:v>3277013.30859</c:v>
                </c:pt>
                <c:pt idx="67">
                  <c:v>3275604.6685899999</c:v>
                </c:pt>
                <c:pt idx="68">
                  <c:v>3278273.4485900002</c:v>
                </c:pt>
                <c:pt idx="69">
                  <c:v>3285400.49859</c:v>
                </c:pt>
                <c:pt idx="70">
                  <c:v>3290582.3585899998</c:v>
                </c:pt>
                <c:pt idx="71">
                  <c:v>3296607.07859</c:v>
                </c:pt>
                <c:pt idx="72">
                  <c:v>3295265.1285899999</c:v>
                </c:pt>
                <c:pt idx="73">
                  <c:v>3307377.4585899999</c:v>
                </c:pt>
                <c:pt idx="74">
                  <c:v>3326117.7185900002</c:v>
                </c:pt>
                <c:pt idx="75">
                  <c:v>3344078.7785899998</c:v>
                </c:pt>
                <c:pt idx="76">
                  <c:v>3361076.30859</c:v>
                </c:pt>
                <c:pt idx="77">
                  <c:v>3376081.1185900001</c:v>
                </c:pt>
                <c:pt idx="78">
                  <c:v>3384757.8585899998</c:v>
                </c:pt>
                <c:pt idx="79">
                  <c:v>3384275.1685899999</c:v>
                </c:pt>
                <c:pt idx="80">
                  <c:v>3388785.6585900001</c:v>
                </c:pt>
                <c:pt idx="81">
                  <c:v>3396674.4885900002</c:v>
                </c:pt>
                <c:pt idx="82">
                  <c:v>3400485.30859</c:v>
                </c:pt>
                <c:pt idx="83">
                  <c:v>3402590.5285899998</c:v>
                </c:pt>
                <c:pt idx="84">
                  <c:v>3396973.9</c:v>
                </c:pt>
                <c:pt idx="85">
                  <c:v>3398445.76</c:v>
                </c:pt>
                <c:pt idx="86">
                  <c:v>3407599.63</c:v>
                </c:pt>
                <c:pt idx="87">
                  <c:v>3410506.49</c:v>
                </c:pt>
                <c:pt idx="88">
                  <c:v>3410077.75</c:v>
                </c:pt>
                <c:pt idx="89">
                  <c:v>3409523.33</c:v>
                </c:pt>
                <c:pt idx="90">
                  <c:v>3399627.47</c:v>
                </c:pt>
                <c:pt idx="91">
                  <c:v>3382147.8</c:v>
                </c:pt>
                <c:pt idx="92">
                  <c:v>3371691.18</c:v>
                </c:pt>
                <c:pt idx="93">
                  <c:v>3355586.2</c:v>
                </c:pt>
                <c:pt idx="94">
                  <c:v>3336478.85</c:v>
                </c:pt>
                <c:pt idx="95">
                  <c:v>3319188.25</c:v>
                </c:pt>
                <c:pt idx="96">
                  <c:v>3287286.25</c:v>
                </c:pt>
                <c:pt idx="97">
                  <c:v>3263872.05</c:v>
                </c:pt>
                <c:pt idx="98">
                  <c:v>3253268.95</c:v>
                </c:pt>
                <c:pt idx="99">
                  <c:v>3244526.25</c:v>
                </c:pt>
                <c:pt idx="100">
                  <c:v>3237965.05</c:v>
                </c:pt>
                <c:pt idx="101">
                  <c:v>3232150.63</c:v>
                </c:pt>
                <c:pt idx="102">
                  <c:v>3218678.2</c:v>
                </c:pt>
                <c:pt idx="103">
                  <c:v>3202304.61</c:v>
                </c:pt>
                <c:pt idx="104">
                  <c:v>3194873.22</c:v>
                </c:pt>
                <c:pt idx="105">
                  <c:v>3182563.27</c:v>
                </c:pt>
                <c:pt idx="106">
                  <c:v>3170355.8</c:v>
                </c:pt>
                <c:pt idx="107">
                  <c:v>3162336.72</c:v>
                </c:pt>
                <c:pt idx="108">
                  <c:v>3146161.36</c:v>
                </c:pt>
                <c:pt idx="109">
                  <c:v>3133792.4</c:v>
                </c:pt>
                <c:pt idx="110">
                  <c:v>3134665.86</c:v>
                </c:pt>
                <c:pt idx="111">
                  <c:v>3137430.1</c:v>
                </c:pt>
                <c:pt idx="112">
                  <c:v>3142035.18</c:v>
                </c:pt>
                <c:pt idx="113">
                  <c:v>3145650.49</c:v>
                </c:pt>
                <c:pt idx="114">
                  <c:v>3140330.45</c:v>
                </c:pt>
                <c:pt idx="115">
                  <c:v>3126791.86</c:v>
                </c:pt>
                <c:pt idx="116">
                  <c:v>3122484.22</c:v>
                </c:pt>
                <c:pt idx="117">
                  <c:v>3117468.3</c:v>
                </c:pt>
                <c:pt idx="118">
                  <c:v>3110745.14</c:v>
                </c:pt>
                <c:pt idx="119">
                  <c:v>3104247.73</c:v>
                </c:pt>
                <c:pt idx="120">
                  <c:v>3091816.55</c:v>
                </c:pt>
                <c:pt idx="121">
                  <c:v>3082287.45</c:v>
                </c:pt>
                <c:pt idx="122">
                  <c:v>3089588.42</c:v>
                </c:pt>
                <c:pt idx="123">
                  <c:v>3098306.72</c:v>
                </c:pt>
                <c:pt idx="124">
                  <c:v>3106765.22</c:v>
                </c:pt>
                <c:pt idx="125">
                  <c:v>3110614.72</c:v>
                </c:pt>
                <c:pt idx="126">
                  <c:v>3105845.18</c:v>
                </c:pt>
                <c:pt idx="127">
                  <c:v>3094589.67</c:v>
                </c:pt>
                <c:pt idx="128">
                  <c:v>3092136.17</c:v>
                </c:pt>
                <c:pt idx="129">
                  <c:v>3086837.35</c:v>
                </c:pt>
                <c:pt idx="130">
                  <c:v>3078368.13</c:v>
                </c:pt>
                <c:pt idx="131">
                  <c:v>3071668.85</c:v>
                </c:pt>
                <c:pt idx="132">
                  <c:v>3043950.08</c:v>
                </c:pt>
                <c:pt idx="133">
                  <c:v>3045931.95</c:v>
                </c:pt>
                <c:pt idx="134">
                  <c:v>3050798.45</c:v>
                </c:pt>
                <c:pt idx="135">
                  <c:v>3057272.09</c:v>
                </c:pt>
                <c:pt idx="136">
                  <c:v>3064493.58</c:v>
                </c:pt>
                <c:pt idx="137">
                  <c:v>3068807.51</c:v>
                </c:pt>
                <c:pt idx="138">
                  <c:v>3064842.63</c:v>
                </c:pt>
                <c:pt idx="139">
                  <c:v>3050085.4</c:v>
                </c:pt>
                <c:pt idx="140">
                  <c:v>3044854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8C-443B-BA77-C9C7F1438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6024016"/>
        <c:axId val="916024408"/>
      </c:lineChart>
      <c:catAx>
        <c:axId val="916024016"/>
        <c:scaling>
          <c:orientation val="minMax"/>
        </c:scaling>
        <c:delete val="0"/>
        <c:axPos val="b"/>
        <c:majorTickMark val="out"/>
        <c:minorTickMark val="none"/>
        <c:tickLblPos val="nextTo"/>
        <c:crossAx val="916024408"/>
        <c:crosses val="autoZero"/>
        <c:auto val="1"/>
        <c:lblAlgn val="ctr"/>
        <c:lblOffset val="100"/>
        <c:noMultiLvlLbl val="0"/>
      </c:catAx>
      <c:valAx>
        <c:axId val="916024408"/>
        <c:scaling>
          <c:orientation val="minMax"/>
          <c:min val="200000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160240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0</xdr:row>
      <xdr:rowOff>28575</xdr:rowOff>
    </xdr:from>
    <xdr:to>
      <xdr:col>14</xdr:col>
      <xdr:colOff>676274</xdr:colOff>
      <xdr:row>37</xdr:row>
      <xdr:rowOff>95250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</xdr:colOff>
      <xdr:row>143</xdr:row>
      <xdr:rowOff>161925</xdr:rowOff>
    </xdr:from>
    <xdr:to>
      <xdr:col>8</xdr:col>
      <xdr:colOff>695326</xdr:colOff>
      <xdr:row>146</xdr:row>
      <xdr:rowOff>64769</xdr:rowOff>
    </xdr:to>
    <xdr:sp macro="" textlink="">
      <xdr:nvSpPr>
        <xdr:cNvPr id="4" name="3 Flecha izquierda"/>
        <xdr:cNvSpPr/>
      </xdr:nvSpPr>
      <xdr:spPr>
        <a:xfrm>
          <a:off x="2647950" y="27403425"/>
          <a:ext cx="4476751" cy="47434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200" b="1"/>
            <a:t>Cambio de sistema en la Seguridad Social (se incluye el SETA)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/OBSERVATORIOEMPLEO/An&#225;lisis/Previsiones/Ser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eries"/>
    </sheetNames>
    <sheetDataSet>
      <sheetData sheetId="0">
        <row r="7">
          <cell r="E7">
            <v>2812917.3985899999</v>
          </cell>
        </row>
        <row r="8">
          <cell r="E8">
            <v>2817475.7085899999</v>
          </cell>
        </row>
        <row r="9">
          <cell r="E9">
            <v>2828537.4885900002</v>
          </cell>
        </row>
        <row r="10">
          <cell r="E10">
            <v>2838952.4585899999</v>
          </cell>
        </row>
        <row r="11">
          <cell r="E11">
            <v>2850394.4885900002</v>
          </cell>
        </row>
        <row r="12">
          <cell r="E12">
            <v>2859239.5085900002</v>
          </cell>
        </row>
        <row r="13">
          <cell r="E13">
            <v>2864460.2185900002</v>
          </cell>
        </row>
        <row r="14">
          <cell r="E14">
            <v>2865524.9485900002</v>
          </cell>
        </row>
        <row r="15">
          <cell r="E15">
            <v>2864121.8985899999</v>
          </cell>
        </row>
        <row r="16">
          <cell r="E16">
            <v>2865180.4485900002</v>
          </cell>
        </row>
        <row r="17">
          <cell r="E17">
            <v>2866488.82859</v>
          </cell>
        </row>
        <row r="18">
          <cell r="E18">
            <v>2866166.3585899998</v>
          </cell>
        </row>
        <row r="19">
          <cell r="E19">
            <v>2851122.03859</v>
          </cell>
        </row>
        <row r="20">
          <cell r="E20">
            <v>2861484.0085900002</v>
          </cell>
        </row>
        <row r="21">
          <cell r="E21">
            <v>2873772.5485899998</v>
          </cell>
        </row>
        <row r="22">
          <cell r="E22">
            <v>2886818.7585900002</v>
          </cell>
        </row>
        <row r="23">
          <cell r="E23">
            <v>2899350.9285900001</v>
          </cell>
        </row>
        <row r="24">
          <cell r="E24">
            <v>2908061.7385900002</v>
          </cell>
        </row>
        <row r="25">
          <cell r="E25">
            <v>2914166.3985899999</v>
          </cell>
        </row>
        <row r="26">
          <cell r="E26">
            <v>2914207.4485900002</v>
          </cell>
        </row>
        <row r="27">
          <cell r="E27">
            <v>2914292.5885899998</v>
          </cell>
        </row>
        <row r="28">
          <cell r="E28">
            <v>2916869.2185900002</v>
          </cell>
        </row>
        <row r="29">
          <cell r="E29">
            <v>2919124.82859</v>
          </cell>
        </row>
        <row r="30">
          <cell r="E30">
            <v>2919269.1885899999</v>
          </cell>
        </row>
        <row r="31">
          <cell r="E31">
            <v>2914606.82859</v>
          </cell>
        </row>
        <row r="32">
          <cell r="E32">
            <v>2921942.3585899998</v>
          </cell>
        </row>
        <row r="33">
          <cell r="E33">
            <v>2936482.9285900001</v>
          </cell>
        </row>
        <row r="34">
          <cell r="E34">
            <v>2954129.4085900001</v>
          </cell>
        </row>
        <row r="35">
          <cell r="E35">
            <v>2970237.1285899999</v>
          </cell>
        </row>
        <row r="36">
          <cell r="E36">
            <v>2983199.6885899999</v>
          </cell>
        </row>
        <row r="37">
          <cell r="E37">
            <v>2991444.1785900001</v>
          </cell>
        </row>
        <row r="38">
          <cell r="E38">
            <v>2994478.30859</v>
          </cell>
        </row>
        <row r="39">
          <cell r="E39">
            <v>2997803.80859</v>
          </cell>
        </row>
        <row r="40">
          <cell r="E40">
            <v>3003446.0085900002</v>
          </cell>
        </row>
        <row r="41">
          <cell r="E41">
            <v>3008497.0085900002</v>
          </cell>
        </row>
        <row r="42">
          <cell r="E42">
            <v>3013824.24859</v>
          </cell>
        </row>
        <row r="43">
          <cell r="E43">
            <v>3011827.30859</v>
          </cell>
        </row>
        <row r="44">
          <cell r="E44">
            <v>3024491.30859</v>
          </cell>
        </row>
        <row r="45">
          <cell r="E45">
            <v>3043935.5685899998</v>
          </cell>
        </row>
        <row r="46">
          <cell r="E46">
            <v>3061546.30859</v>
          </cell>
        </row>
        <row r="47">
          <cell r="E47">
            <v>3078282.55859</v>
          </cell>
        </row>
        <row r="48">
          <cell r="E48">
            <v>3092934.4885900002</v>
          </cell>
        </row>
        <row r="49">
          <cell r="E49">
            <v>3101079.82859</v>
          </cell>
        </row>
        <row r="50">
          <cell r="E50">
            <v>3103000.8585899998</v>
          </cell>
        </row>
        <row r="51">
          <cell r="E51">
            <v>3105342.30859</v>
          </cell>
        </row>
        <row r="52">
          <cell r="E52">
            <v>3110996.49859</v>
          </cell>
        </row>
        <row r="53">
          <cell r="E53">
            <v>3116893.5485899998</v>
          </cell>
        </row>
        <row r="54">
          <cell r="E54">
            <v>3122352.4085900001</v>
          </cell>
        </row>
        <row r="55">
          <cell r="E55">
            <v>3120279.9585899999</v>
          </cell>
        </row>
        <row r="56">
          <cell r="E56">
            <v>3128565.55859</v>
          </cell>
        </row>
        <row r="57">
          <cell r="E57">
            <v>3144429.01859</v>
          </cell>
        </row>
        <row r="58">
          <cell r="E58">
            <v>3160006.3985899999</v>
          </cell>
        </row>
        <row r="59">
          <cell r="E59">
            <v>3175078.2185900002</v>
          </cell>
        </row>
        <row r="60">
          <cell r="E60">
            <v>3188490.1685899999</v>
          </cell>
        </row>
        <row r="61">
          <cell r="E61">
            <v>3194359.0485899998</v>
          </cell>
        </row>
        <row r="62">
          <cell r="E62">
            <v>3195029.57859</v>
          </cell>
        </row>
        <row r="63">
          <cell r="E63">
            <v>3197241.7585900002</v>
          </cell>
        </row>
        <row r="64">
          <cell r="E64">
            <v>3201755.9585899999</v>
          </cell>
        </row>
        <row r="65">
          <cell r="E65">
            <v>3207094.6385900001</v>
          </cell>
        </row>
        <row r="66">
          <cell r="E66">
            <v>3211422.55859</v>
          </cell>
        </row>
        <row r="67">
          <cell r="E67">
            <v>3207538.8785899999</v>
          </cell>
        </row>
        <row r="68">
          <cell r="E68">
            <v>3216292.8585899998</v>
          </cell>
        </row>
        <row r="69">
          <cell r="E69">
            <v>3229856.0085900002</v>
          </cell>
        </row>
        <row r="70">
          <cell r="E70">
            <v>3244865.4085900001</v>
          </cell>
        </row>
        <row r="71">
          <cell r="E71">
            <v>3260768.30859</v>
          </cell>
        </row>
        <row r="72">
          <cell r="E72">
            <v>3272031.3585899998</v>
          </cell>
        </row>
        <row r="73">
          <cell r="E73">
            <v>3277013.30859</v>
          </cell>
        </row>
        <row r="74">
          <cell r="E74">
            <v>3275604.6685899999</v>
          </cell>
        </row>
        <row r="75">
          <cell r="E75">
            <v>3278273.4485900002</v>
          </cell>
        </row>
        <row r="76">
          <cell r="E76">
            <v>3285400.49859</v>
          </cell>
        </row>
        <row r="77">
          <cell r="E77">
            <v>3290582.3585899998</v>
          </cell>
        </row>
        <row r="78">
          <cell r="E78">
            <v>3296607.07859</v>
          </cell>
        </row>
        <row r="79">
          <cell r="E79">
            <v>3295265.1285899999</v>
          </cell>
        </row>
        <row r="80">
          <cell r="E80">
            <v>3307377.4585899999</v>
          </cell>
        </row>
        <row r="81">
          <cell r="E81">
            <v>3326117.7185900002</v>
          </cell>
        </row>
        <row r="82">
          <cell r="E82">
            <v>3344078.7785899998</v>
          </cell>
        </row>
        <row r="83">
          <cell r="E83">
            <v>3361076.30859</v>
          </cell>
        </row>
        <row r="84">
          <cell r="E84">
            <v>3376081.1185900001</v>
          </cell>
        </row>
        <row r="85">
          <cell r="E85">
            <v>3384757.8585899998</v>
          </cell>
        </row>
        <row r="86">
          <cell r="E86">
            <v>3384275.1685899999</v>
          </cell>
        </row>
        <row r="87">
          <cell r="E87">
            <v>3388785.6585900001</v>
          </cell>
        </row>
        <row r="88">
          <cell r="E88">
            <v>3396674.4885900002</v>
          </cell>
        </row>
        <row r="89">
          <cell r="E89">
            <v>3400485.30859</v>
          </cell>
        </row>
        <row r="90">
          <cell r="E90">
            <v>3402590.5285899998</v>
          </cell>
        </row>
        <row r="91">
          <cell r="E91">
            <v>3396973.9</v>
          </cell>
        </row>
        <row r="92">
          <cell r="E92">
            <v>3398445.76</v>
          </cell>
        </row>
        <row r="93">
          <cell r="E93">
            <v>3407599.63</v>
          </cell>
        </row>
        <row r="94">
          <cell r="E94">
            <v>3410506.49</v>
          </cell>
        </row>
        <row r="95">
          <cell r="E95">
            <v>3410077.75</v>
          </cell>
        </row>
        <row r="96">
          <cell r="E96">
            <v>3409523.33</v>
          </cell>
        </row>
        <row r="97">
          <cell r="E97">
            <v>3399627.47</v>
          </cell>
        </row>
        <row r="98">
          <cell r="E98">
            <v>3382147.8</v>
          </cell>
        </row>
        <row r="99">
          <cell r="E99">
            <v>3371691.18</v>
          </cell>
        </row>
        <row r="100">
          <cell r="E100">
            <v>3355586.2</v>
          </cell>
        </row>
        <row r="101">
          <cell r="E101">
            <v>3336478.85</v>
          </cell>
        </row>
        <row r="102">
          <cell r="E102">
            <v>3319188.25</v>
          </cell>
        </row>
        <row r="103">
          <cell r="E103">
            <v>3287286.25</v>
          </cell>
        </row>
        <row r="104">
          <cell r="E104">
            <v>3263872.05</v>
          </cell>
        </row>
        <row r="105">
          <cell r="E105">
            <v>3253268.95</v>
          </cell>
        </row>
        <row r="106">
          <cell r="E106">
            <v>3244526.25</v>
          </cell>
        </row>
        <row r="107">
          <cell r="E107">
            <v>3237965.05</v>
          </cell>
        </row>
        <row r="108">
          <cell r="E108">
            <v>3232150.63</v>
          </cell>
        </row>
        <row r="109">
          <cell r="E109">
            <v>3218678.2</v>
          </cell>
        </row>
        <row r="110">
          <cell r="E110">
            <v>3202304.61</v>
          </cell>
        </row>
        <row r="111">
          <cell r="E111">
            <v>3194873.22</v>
          </cell>
        </row>
        <row r="112">
          <cell r="E112">
            <v>3182563.27</v>
          </cell>
        </row>
        <row r="113">
          <cell r="E113">
            <v>3170355.8</v>
          </cell>
        </row>
        <row r="114">
          <cell r="E114">
            <v>3162336.72</v>
          </cell>
        </row>
        <row r="115">
          <cell r="E115">
            <v>3146161.36</v>
          </cell>
        </row>
        <row r="116">
          <cell r="E116">
            <v>3133792.4</v>
          </cell>
        </row>
        <row r="117">
          <cell r="E117">
            <v>3134665.86</v>
          </cell>
        </row>
        <row r="118">
          <cell r="E118">
            <v>3137430.1</v>
          </cell>
        </row>
        <row r="119">
          <cell r="E119">
            <v>3142035.18</v>
          </cell>
        </row>
        <row r="120">
          <cell r="E120">
            <v>3145650.49</v>
          </cell>
        </row>
        <row r="121">
          <cell r="E121">
            <v>3140330.45</v>
          </cell>
        </row>
        <row r="122">
          <cell r="E122">
            <v>3126791.86</v>
          </cell>
        </row>
        <row r="123">
          <cell r="E123">
            <v>3122484.22</v>
          </cell>
        </row>
        <row r="124">
          <cell r="E124">
            <v>3117468.3</v>
          </cell>
        </row>
        <row r="125">
          <cell r="E125">
            <v>3110745.14</v>
          </cell>
        </row>
        <row r="126">
          <cell r="E126">
            <v>3104247.73</v>
          </cell>
        </row>
        <row r="127">
          <cell r="E127">
            <v>3091816.55</v>
          </cell>
        </row>
        <row r="128">
          <cell r="E128">
            <v>3082287.45</v>
          </cell>
        </row>
        <row r="129">
          <cell r="E129">
            <v>3089588.42</v>
          </cell>
        </row>
        <row r="130">
          <cell r="E130">
            <v>3098306.72</v>
          </cell>
        </row>
        <row r="131">
          <cell r="E131">
            <v>3106765.22</v>
          </cell>
        </row>
        <row r="132">
          <cell r="E132">
            <v>3110614.72</v>
          </cell>
        </row>
        <row r="133">
          <cell r="E133">
            <v>3105845.18</v>
          </cell>
        </row>
        <row r="134">
          <cell r="E134">
            <v>3094589.67</v>
          </cell>
        </row>
        <row r="135">
          <cell r="E135">
            <v>3092136.17</v>
          </cell>
        </row>
        <row r="136">
          <cell r="E136">
            <v>3086837.35</v>
          </cell>
        </row>
        <row r="137">
          <cell r="E137">
            <v>3078368.13</v>
          </cell>
        </row>
        <row r="138">
          <cell r="E138">
            <v>3071668.85</v>
          </cell>
        </row>
        <row r="139">
          <cell r="E139">
            <v>3043950.08</v>
          </cell>
        </row>
        <row r="140">
          <cell r="E140">
            <v>3045931.95</v>
          </cell>
        </row>
        <row r="141">
          <cell r="E141">
            <v>3050798.45</v>
          </cell>
        </row>
        <row r="142">
          <cell r="E142">
            <v>3057272.09</v>
          </cell>
        </row>
        <row r="143">
          <cell r="E143">
            <v>3064493.58</v>
          </cell>
        </row>
        <row r="144">
          <cell r="E144">
            <v>3068807.51</v>
          </cell>
        </row>
        <row r="145">
          <cell r="E145">
            <v>3064842.63</v>
          </cell>
        </row>
        <row r="146">
          <cell r="E146">
            <v>3050085.4</v>
          </cell>
        </row>
        <row r="147">
          <cell r="E147">
            <v>3044854</v>
          </cell>
        </row>
        <row r="148">
          <cell r="E148">
            <v>3038901</v>
          </cell>
        </row>
        <row r="149">
          <cell r="E149">
            <v>3028794</v>
          </cell>
        </row>
        <row r="150">
          <cell r="E150">
            <v>3024652</v>
          </cell>
        </row>
        <row r="151">
          <cell r="E151">
            <v>3008925</v>
          </cell>
        </row>
        <row r="152">
          <cell r="E152">
            <v>2997806</v>
          </cell>
        </row>
        <row r="153">
          <cell r="E153">
            <v>3005397</v>
          </cell>
        </row>
        <row r="154">
          <cell r="E154">
            <v>3017311</v>
          </cell>
        </row>
        <row r="155">
          <cell r="E155">
            <v>3029843</v>
          </cell>
        </row>
        <row r="156">
          <cell r="E156">
            <v>3042276</v>
          </cell>
        </row>
        <row r="157">
          <cell r="E157">
            <v>3046644</v>
          </cell>
        </row>
        <row r="158">
          <cell r="E158">
            <v>3034003</v>
          </cell>
        </row>
        <row r="159">
          <cell r="E159">
            <v>3035491</v>
          </cell>
        </row>
        <row r="160">
          <cell r="E160">
            <v>3038780</v>
          </cell>
        </row>
        <row r="161">
          <cell r="E161">
            <v>3042596</v>
          </cell>
        </row>
        <row r="162">
          <cell r="E162">
            <v>3050341</v>
          </cell>
        </row>
        <row r="163">
          <cell r="E163">
            <v>3038781</v>
          </cell>
        </row>
        <row r="164">
          <cell r="E164">
            <v>3042240</v>
          </cell>
        </row>
        <row r="165">
          <cell r="E165">
            <v>3058965</v>
          </cell>
        </row>
        <row r="166">
          <cell r="E166">
            <v>3080910</v>
          </cell>
        </row>
        <row r="167">
          <cell r="E167">
            <v>3100232</v>
          </cell>
        </row>
        <row r="168">
          <cell r="E168">
            <v>3115747</v>
          </cell>
        </row>
        <row r="169">
          <cell r="E169">
            <v>3119433</v>
          </cell>
        </row>
        <row r="170">
          <cell r="E170">
            <v>3109867</v>
          </cell>
        </row>
        <row r="171">
          <cell r="E171">
            <v>3114225</v>
          </cell>
        </row>
        <row r="172">
          <cell r="E172">
            <v>3119533</v>
          </cell>
        </row>
        <row r="173">
          <cell r="E173">
            <v>3120052</v>
          </cell>
        </row>
        <row r="174">
          <cell r="E174">
            <v>3125806</v>
          </cell>
        </row>
        <row r="175">
          <cell r="E175">
            <v>3114389</v>
          </cell>
        </row>
        <row r="176">
          <cell r="E176">
            <v>3114852</v>
          </cell>
        </row>
        <row r="177">
          <cell r="E177">
            <v>3131629</v>
          </cell>
        </row>
        <row r="178">
          <cell r="E178">
            <v>3151593</v>
          </cell>
        </row>
        <row r="179">
          <cell r="E179">
            <v>3168371</v>
          </cell>
        </row>
        <row r="180">
          <cell r="E180">
            <v>3181086</v>
          </cell>
        </row>
        <row r="181">
          <cell r="E181">
            <v>3178352</v>
          </cell>
        </row>
        <row r="182">
          <cell r="E182">
            <v>3164675</v>
          </cell>
        </row>
        <row r="183">
          <cell r="E183">
            <v>3165396</v>
          </cell>
        </row>
        <row r="184">
          <cell r="E184">
            <v>3165562</v>
          </cell>
        </row>
        <row r="185">
          <cell r="E185">
            <v>3166188</v>
          </cell>
        </row>
        <row r="186">
          <cell r="E186">
            <v>3167999</v>
          </cell>
        </row>
        <row r="187">
          <cell r="E187">
            <v>3149472</v>
          </cell>
        </row>
        <row r="188">
          <cell r="E188">
            <v>3153066</v>
          </cell>
        </row>
        <row r="189">
          <cell r="E189">
            <v>3169296</v>
          </cell>
        </row>
        <row r="190">
          <cell r="E190">
            <v>3184134</v>
          </cell>
        </row>
        <row r="191">
          <cell r="E191">
            <v>3198148</v>
          </cell>
        </row>
        <row r="192">
          <cell r="E192">
            <v>3209378</v>
          </cell>
        </row>
        <row r="193">
          <cell r="E193">
            <v>3205027</v>
          </cell>
        </row>
        <row r="194">
          <cell r="E194">
            <v>3191697</v>
          </cell>
        </row>
        <row r="195">
          <cell r="E195">
            <v>3191839</v>
          </cell>
        </row>
        <row r="196">
          <cell r="E196">
            <v>3194260</v>
          </cell>
        </row>
        <row r="197">
          <cell r="E197">
            <v>3193893</v>
          </cell>
        </row>
        <row r="198">
          <cell r="E198">
            <v>3194210</v>
          </cell>
        </row>
        <row r="199">
          <cell r="E199">
            <v>3177431</v>
          </cell>
        </row>
        <row r="200">
          <cell r="E200">
            <v>3181472.15</v>
          </cell>
        </row>
        <row r="201">
          <cell r="E201">
            <v>3196754.43</v>
          </cell>
        </row>
        <row r="202">
          <cell r="E202">
            <v>3214007</v>
          </cell>
        </row>
        <row r="203">
          <cell r="E203">
            <v>3229086</v>
          </cell>
        </row>
        <row r="204">
          <cell r="E204">
            <v>3238410</v>
          </cell>
        </row>
        <row r="205">
          <cell r="E205">
            <v>3229905</v>
          </cell>
        </row>
        <row r="206">
          <cell r="E206">
            <v>3213140</v>
          </cell>
        </row>
        <row r="207">
          <cell r="E207">
            <v>3216272</v>
          </cell>
        </row>
        <row r="208">
          <cell r="E208">
            <v>3217902</v>
          </cell>
        </row>
        <row r="209">
          <cell r="E209">
            <v>3210880</v>
          </cell>
        </row>
        <row r="210">
          <cell r="E210">
            <v>3204678</v>
          </cell>
        </row>
        <row r="211">
          <cell r="E211">
            <v>3193892</v>
          </cell>
        </row>
        <row r="212">
          <cell r="E212">
            <v>3209919</v>
          </cell>
        </row>
        <row r="213">
          <cell r="E213">
            <v>3230400</v>
          </cell>
        </row>
        <row r="214">
          <cell r="E214">
            <v>3246854</v>
          </cell>
        </row>
        <row r="215">
          <cell r="E215">
            <v>3261398</v>
          </cell>
        </row>
        <row r="216">
          <cell r="E216">
            <v>3273558</v>
          </cell>
        </row>
        <row r="217">
          <cell r="E217">
            <v>3267169</v>
          </cell>
        </row>
        <row r="218">
          <cell r="E218">
            <v>3249275</v>
          </cell>
        </row>
        <row r="219">
          <cell r="E219">
            <v>3253670</v>
          </cell>
        </row>
        <row r="220">
          <cell r="E220">
            <v>3258612</v>
          </cell>
        </row>
        <row r="221">
          <cell r="E221">
            <v>3254138</v>
          </cell>
        </row>
        <row r="222">
          <cell r="E222">
            <v>3254663</v>
          </cell>
        </row>
        <row r="223">
          <cell r="E223">
            <v>3234373</v>
          </cell>
        </row>
        <row r="224">
          <cell r="E224">
            <v>3239653</v>
          </cell>
        </row>
        <row r="225">
          <cell r="E225">
            <v>3254078</v>
          </cell>
        </row>
        <row r="226">
          <cell r="E226">
            <v>3266741</v>
          </cell>
        </row>
        <row r="227">
          <cell r="E227">
            <v>3277855</v>
          </cell>
        </row>
        <row r="228">
          <cell r="E228">
            <v>3286600</v>
          </cell>
        </row>
        <row r="229">
          <cell r="E229">
            <v>3278833</v>
          </cell>
        </row>
        <row r="230">
          <cell r="E230">
            <v>3261552</v>
          </cell>
        </row>
        <row r="231">
          <cell r="E231">
            <v>3266258</v>
          </cell>
        </row>
        <row r="232">
          <cell r="E232">
            <v>3271976</v>
          </cell>
        </row>
        <row r="233">
          <cell r="E233">
            <v>3269092</v>
          </cell>
        </row>
        <row r="234">
          <cell r="E234">
            <v>3269088</v>
          </cell>
        </row>
        <row r="235">
          <cell r="E235">
            <v>3251119</v>
          </cell>
        </row>
        <row r="236">
          <cell r="E236">
            <v>3257896.4</v>
          </cell>
        </row>
        <row r="237">
          <cell r="E237">
            <v>3252516.54</v>
          </cell>
        </row>
        <row r="238">
          <cell r="E238">
            <v>3211266.65</v>
          </cell>
        </row>
        <row r="239">
          <cell r="E239">
            <v>3220906.75</v>
          </cell>
        </row>
        <row r="240">
          <cell r="E240">
            <v>3245252.4545499999</v>
          </cell>
        </row>
        <row r="241">
          <cell r="E241">
            <v>3262757.9</v>
          </cell>
        </row>
        <row r="242">
          <cell r="E242">
            <v>3263160.3199999998</v>
          </cell>
        </row>
        <row r="243">
          <cell r="E243">
            <v>3263552.58</v>
          </cell>
        </row>
        <row r="244">
          <cell r="E244">
            <v>3265368.95</v>
          </cell>
        </row>
        <row r="245">
          <cell r="E245">
            <v>3267873.18</v>
          </cell>
        </row>
        <row r="246">
          <cell r="E246">
            <v>3271408.04</v>
          </cell>
        </row>
        <row r="247">
          <cell r="E247">
            <v>3256739.78</v>
          </cell>
        </row>
        <row r="248">
          <cell r="E248">
            <v>3262255.4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Y94"/>
  <sheetViews>
    <sheetView tabSelected="1" topLeftCell="GE1" workbookViewId="0">
      <selection activeCell="HA3" sqref="HA3"/>
    </sheetView>
  </sheetViews>
  <sheetFormatPr baseColWidth="10" defaultRowHeight="15" x14ac:dyDescent="0.25"/>
  <cols>
    <col min="1" max="1" width="7.140625" style="1" bestFit="1" customWidth="1"/>
    <col min="2" max="109" width="9.28515625" style="1" bestFit="1" customWidth="1"/>
    <col min="110" max="148" width="9.140625" style="1" bestFit="1" customWidth="1"/>
    <col min="149" max="268" width="9.140625" style="1" customWidth="1"/>
    <col min="269" max="269" width="6.85546875" style="1" bestFit="1" customWidth="1"/>
    <col min="270" max="270" width="8.5703125" style="1" bestFit="1" customWidth="1"/>
    <col min="271" max="271" width="9.140625" style="1" bestFit="1" customWidth="1"/>
    <col min="272" max="272" width="6.140625" style="1" bestFit="1" customWidth="1"/>
    <col min="273" max="273" width="15.7109375" style="1" bestFit="1" customWidth="1"/>
    <col min="274" max="274" width="6.85546875" style="1" bestFit="1" customWidth="1"/>
    <col min="275" max="336" width="9" style="1" customWidth="1"/>
  </cols>
  <sheetData>
    <row r="1" spans="1:337" x14ac:dyDescent="0.25">
      <c r="B1" s="1">
        <v>36</v>
      </c>
      <c r="C1" s="1">
        <v>37</v>
      </c>
      <c r="D1" s="1">
        <v>38</v>
      </c>
      <c r="E1" s="1">
        <v>39</v>
      </c>
      <c r="F1" s="1">
        <v>40</v>
      </c>
      <c r="G1" s="1">
        <v>41</v>
      </c>
      <c r="H1" s="1">
        <v>42</v>
      </c>
      <c r="I1" s="1">
        <v>43</v>
      </c>
      <c r="J1" s="1">
        <v>44</v>
      </c>
      <c r="K1" s="1">
        <v>45</v>
      </c>
      <c r="L1" s="1">
        <v>46</v>
      </c>
      <c r="M1" s="1">
        <v>47</v>
      </c>
      <c r="N1" s="1">
        <v>48</v>
      </c>
      <c r="O1" s="1">
        <v>49</v>
      </c>
      <c r="P1" s="1">
        <v>50</v>
      </c>
      <c r="Q1" s="1">
        <v>51</v>
      </c>
      <c r="R1" s="1">
        <v>52</v>
      </c>
      <c r="S1" s="1">
        <v>53</v>
      </c>
      <c r="T1" s="1">
        <v>54</v>
      </c>
      <c r="U1" s="1">
        <v>55</v>
      </c>
      <c r="V1" s="1">
        <v>56</v>
      </c>
      <c r="W1" s="1">
        <v>57</v>
      </c>
      <c r="X1" s="1">
        <v>58</v>
      </c>
      <c r="Y1" s="1">
        <v>59</v>
      </c>
      <c r="Z1" s="1">
        <v>60</v>
      </c>
      <c r="AA1" s="1">
        <v>61</v>
      </c>
      <c r="AB1" s="1">
        <v>62</v>
      </c>
      <c r="AC1" s="1">
        <v>63</v>
      </c>
      <c r="AD1" s="1">
        <v>64</v>
      </c>
      <c r="AE1" s="1">
        <v>65</v>
      </c>
      <c r="AF1" s="1">
        <v>66</v>
      </c>
      <c r="AG1" s="1">
        <v>67</v>
      </c>
      <c r="AH1" s="1">
        <v>68</v>
      </c>
      <c r="AI1" s="1">
        <v>69</v>
      </c>
      <c r="AJ1" s="1">
        <v>70</v>
      </c>
      <c r="AK1" s="1">
        <v>71</v>
      </c>
      <c r="AL1" s="1">
        <v>72</v>
      </c>
      <c r="AM1" s="1">
        <v>73</v>
      </c>
      <c r="AN1" s="1">
        <v>74</v>
      </c>
      <c r="AO1" s="1">
        <v>75</v>
      </c>
      <c r="AP1" s="1">
        <v>76</v>
      </c>
      <c r="AQ1" s="1">
        <v>77</v>
      </c>
      <c r="AR1" s="1">
        <v>78</v>
      </c>
      <c r="AS1" s="1">
        <v>79</v>
      </c>
      <c r="AT1" s="1">
        <v>80</v>
      </c>
      <c r="AU1" s="1">
        <v>81</v>
      </c>
      <c r="AV1" s="1">
        <v>82</v>
      </c>
      <c r="AW1" s="1">
        <v>83</v>
      </c>
      <c r="AX1" s="1">
        <v>84</v>
      </c>
      <c r="AY1" s="1">
        <v>85</v>
      </c>
      <c r="AZ1" s="1">
        <v>86</v>
      </c>
      <c r="BA1" s="1">
        <v>87</v>
      </c>
      <c r="BB1" s="1">
        <v>88</v>
      </c>
      <c r="BC1" s="1">
        <v>89</v>
      </c>
      <c r="BD1" s="1">
        <v>90</v>
      </c>
      <c r="BE1" s="1">
        <v>91</v>
      </c>
      <c r="BF1" s="1">
        <v>92</v>
      </c>
      <c r="BG1" s="1">
        <v>93</v>
      </c>
      <c r="BH1" s="1">
        <v>94</v>
      </c>
      <c r="BI1" s="1">
        <v>95</v>
      </c>
      <c r="BJ1" s="1">
        <v>96</v>
      </c>
      <c r="BK1" s="1">
        <v>97</v>
      </c>
      <c r="BL1" s="1">
        <v>98</v>
      </c>
      <c r="BM1" s="1">
        <v>99</v>
      </c>
      <c r="BN1" s="1">
        <v>100</v>
      </c>
      <c r="BO1" s="1">
        <v>101</v>
      </c>
      <c r="BP1" s="1">
        <v>102</v>
      </c>
      <c r="BQ1" s="1">
        <v>103</v>
      </c>
      <c r="BR1" s="1">
        <v>104</v>
      </c>
      <c r="BS1" s="1">
        <v>105</v>
      </c>
      <c r="BT1" s="1">
        <v>106</v>
      </c>
      <c r="BU1" s="1">
        <v>107</v>
      </c>
      <c r="BV1" s="1">
        <v>108</v>
      </c>
      <c r="BW1" s="1">
        <v>109</v>
      </c>
      <c r="BX1" s="1">
        <v>110</v>
      </c>
      <c r="BY1" s="1">
        <v>111</v>
      </c>
      <c r="BZ1" s="1">
        <v>112</v>
      </c>
      <c r="CA1" s="1">
        <v>113</v>
      </c>
      <c r="CB1" s="1">
        <v>114</v>
      </c>
      <c r="CC1" s="1">
        <v>115</v>
      </c>
      <c r="CD1" s="1">
        <v>116</v>
      </c>
      <c r="CE1" s="1">
        <v>117</v>
      </c>
      <c r="CF1" s="1">
        <v>118</v>
      </c>
      <c r="CG1" s="1">
        <v>119</v>
      </c>
      <c r="CH1" s="1">
        <v>120</v>
      </c>
      <c r="CI1" s="1">
        <v>121</v>
      </c>
      <c r="CJ1" s="1">
        <v>122</v>
      </c>
      <c r="CK1" s="1">
        <v>123</v>
      </c>
      <c r="CL1" s="1">
        <v>124</v>
      </c>
      <c r="CM1" s="1">
        <v>125</v>
      </c>
      <c r="CN1" s="1">
        <v>126</v>
      </c>
      <c r="CO1" s="1">
        <v>127</v>
      </c>
      <c r="CP1" s="1">
        <v>128</v>
      </c>
      <c r="CQ1" s="1">
        <v>129</v>
      </c>
      <c r="CR1" s="1">
        <v>130</v>
      </c>
      <c r="CS1" s="1">
        <v>131</v>
      </c>
      <c r="CT1" s="1">
        <v>132</v>
      </c>
      <c r="CU1" s="1">
        <v>133</v>
      </c>
      <c r="CV1" s="1">
        <v>134</v>
      </c>
      <c r="CW1" s="1">
        <v>135</v>
      </c>
      <c r="CX1" s="1">
        <v>136</v>
      </c>
      <c r="CY1" s="1">
        <v>137</v>
      </c>
      <c r="CZ1" s="1">
        <v>138</v>
      </c>
      <c r="DA1" s="1">
        <v>139</v>
      </c>
      <c r="DB1" s="1">
        <v>140</v>
      </c>
      <c r="DC1" s="1">
        <v>141</v>
      </c>
      <c r="DD1" s="1">
        <v>142</v>
      </c>
      <c r="DE1" s="1">
        <v>143</v>
      </c>
      <c r="DF1" s="1">
        <v>144</v>
      </c>
      <c r="DG1" s="1">
        <v>145</v>
      </c>
      <c r="DH1" s="1">
        <v>146</v>
      </c>
      <c r="DI1" s="1">
        <v>147</v>
      </c>
      <c r="DJ1" s="1">
        <v>148</v>
      </c>
      <c r="DK1" s="1">
        <v>149</v>
      </c>
      <c r="DL1" s="1">
        <v>150</v>
      </c>
      <c r="DM1" s="1">
        <v>151</v>
      </c>
      <c r="DN1" s="1">
        <v>152</v>
      </c>
      <c r="DO1" s="1">
        <v>153</v>
      </c>
      <c r="DP1" s="1">
        <v>154</v>
      </c>
      <c r="DQ1" s="1">
        <v>155</v>
      </c>
      <c r="DR1" s="1">
        <v>156</v>
      </c>
      <c r="DS1" s="1">
        <v>157</v>
      </c>
      <c r="DT1" s="1">
        <v>158</v>
      </c>
      <c r="DU1" s="1">
        <v>159</v>
      </c>
      <c r="DV1" s="1">
        <v>160</v>
      </c>
      <c r="DW1" s="1">
        <v>161</v>
      </c>
      <c r="DX1" s="1">
        <v>162</v>
      </c>
      <c r="DY1" s="1">
        <v>163</v>
      </c>
      <c r="DZ1" s="1">
        <v>164</v>
      </c>
      <c r="EA1" s="1">
        <v>165</v>
      </c>
      <c r="EB1" s="1">
        <v>166</v>
      </c>
      <c r="EC1" s="1">
        <v>167</v>
      </c>
      <c r="ED1" s="1">
        <v>168</v>
      </c>
      <c r="EE1" s="1">
        <v>169</v>
      </c>
      <c r="EF1" s="1">
        <v>170</v>
      </c>
      <c r="EG1" s="1">
        <v>171</v>
      </c>
      <c r="EH1" s="1">
        <v>172</v>
      </c>
      <c r="EI1" s="1">
        <v>173</v>
      </c>
      <c r="EJ1" s="1">
        <v>174</v>
      </c>
      <c r="EK1" s="1">
        <v>175</v>
      </c>
      <c r="EL1" s="1">
        <v>176</v>
      </c>
      <c r="EM1" s="1">
        <v>177</v>
      </c>
      <c r="EN1" s="1">
        <v>178</v>
      </c>
      <c r="EO1" s="1">
        <v>179</v>
      </c>
      <c r="EP1" s="1">
        <v>180</v>
      </c>
      <c r="EQ1" s="1">
        <v>181</v>
      </c>
      <c r="ER1" s="1">
        <v>182</v>
      </c>
      <c r="ES1" s="1">
        <v>183</v>
      </c>
      <c r="ET1" s="1">
        <v>184</v>
      </c>
      <c r="EU1" s="1">
        <v>185</v>
      </c>
      <c r="EV1" s="1">
        <v>186</v>
      </c>
      <c r="EW1" s="1">
        <v>187</v>
      </c>
      <c r="EX1" s="1">
        <v>188</v>
      </c>
      <c r="EY1" s="1">
        <v>189</v>
      </c>
      <c r="EZ1" s="1">
        <v>190</v>
      </c>
      <c r="FA1" s="1">
        <v>191</v>
      </c>
      <c r="FB1" s="1">
        <v>192</v>
      </c>
      <c r="FC1" s="1">
        <v>193</v>
      </c>
      <c r="FD1" s="1">
        <v>194</v>
      </c>
      <c r="FE1" s="1">
        <v>195</v>
      </c>
      <c r="FF1" s="1">
        <v>196</v>
      </c>
      <c r="FG1" s="1">
        <v>197</v>
      </c>
      <c r="FH1" s="1">
        <v>198</v>
      </c>
      <c r="FI1" s="1">
        <v>199</v>
      </c>
      <c r="FJ1" s="1">
        <v>200</v>
      </c>
      <c r="FK1" s="1">
        <v>201</v>
      </c>
      <c r="FL1" s="1">
        <v>202</v>
      </c>
      <c r="FM1" s="1">
        <v>203</v>
      </c>
      <c r="FN1" s="1">
        <v>204</v>
      </c>
      <c r="FO1" s="1">
        <v>205</v>
      </c>
      <c r="FP1" s="1">
        <v>206</v>
      </c>
      <c r="FQ1" s="1">
        <v>207</v>
      </c>
      <c r="FR1" s="1">
        <v>208</v>
      </c>
      <c r="FS1" s="1">
        <v>209</v>
      </c>
      <c r="FT1" s="1">
        <v>210</v>
      </c>
      <c r="FU1" s="1">
        <v>211</v>
      </c>
      <c r="FV1" s="1">
        <v>212</v>
      </c>
      <c r="FW1" s="1">
        <v>213</v>
      </c>
      <c r="FX1" s="1">
        <v>214</v>
      </c>
      <c r="FY1" s="1">
        <v>215</v>
      </c>
      <c r="FZ1" s="1">
        <v>216</v>
      </c>
      <c r="GA1" s="1">
        <v>217</v>
      </c>
      <c r="GB1" s="1">
        <v>218</v>
      </c>
      <c r="GC1" s="1">
        <v>219</v>
      </c>
      <c r="GD1" s="1">
        <v>220</v>
      </c>
      <c r="GE1" s="1">
        <v>221</v>
      </c>
      <c r="GF1" s="1">
        <v>222</v>
      </c>
      <c r="GG1" s="1">
        <v>223</v>
      </c>
      <c r="GH1" s="1">
        <v>224</v>
      </c>
      <c r="GI1" s="1">
        <v>225</v>
      </c>
      <c r="GJ1" s="1">
        <v>226</v>
      </c>
      <c r="GK1" s="1">
        <v>227</v>
      </c>
      <c r="GL1" s="1">
        <v>228</v>
      </c>
      <c r="GM1" s="1">
        <v>229</v>
      </c>
      <c r="GN1" s="1">
        <v>230</v>
      </c>
      <c r="GO1" s="1">
        <v>231</v>
      </c>
      <c r="GP1" s="1">
        <v>232</v>
      </c>
      <c r="GQ1" s="1">
        <v>233</v>
      </c>
      <c r="GR1" s="1">
        <v>234</v>
      </c>
      <c r="GS1" s="1">
        <v>235</v>
      </c>
      <c r="GT1" s="1">
        <v>236</v>
      </c>
      <c r="GU1" s="1">
        <v>237</v>
      </c>
      <c r="GV1" s="1">
        <v>238</v>
      </c>
      <c r="GW1" s="1">
        <v>239</v>
      </c>
      <c r="GX1" s="1">
        <v>240</v>
      </c>
      <c r="GY1" s="1">
        <v>241</v>
      </c>
      <c r="GZ1" s="1">
        <v>242</v>
      </c>
      <c r="HA1" s="1">
        <v>243</v>
      </c>
      <c r="HB1" s="1">
        <v>244</v>
      </c>
      <c r="HC1" s="1">
        <v>245</v>
      </c>
      <c r="HD1" s="1">
        <v>246</v>
      </c>
      <c r="HE1" s="1">
        <v>247</v>
      </c>
      <c r="HF1" s="1">
        <v>248</v>
      </c>
      <c r="HG1" s="1">
        <v>249</v>
      </c>
      <c r="HH1" s="1">
        <v>250</v>
      </c>
      <c r="HI1" s="1">
        <v>251</v>
      </c>
      <c r="HJ1" s="1">
        <v>252</v>
      </c>
      <c r="HK1" s="1">
        <v>253</v>
      </c>
      <c r="HL1" s="1">
        <v>254</v>
      </c>
      <c r="HM1" s="1">
        <v>255</v>
      </c>
      <c r="HN1" s="1">
        <v>256</v>
      </c>
      <c r="HO1" s="1">
        <v>257</v>
      </c>
      <c r="HP1" s="1">
        <v>258</v>
      </c>
      <c r="HQ1" s="1">
        <v>259</v>
      </c>
      <c r="HR1" s="1">
        <v>260</v>
      </c>
      <c r="HS1" s="1">
        <v>261</v>
      </c>
      <c r="HT1" s="1">
        <v>262</v>
      </c>
      <c r="HU1" s="1">
        <v>263</v>
      </c>
      <c r="HV1" s="1">
        <v>264</v>
      </c>
      <c r="HW1" s="1">
        <v>265</v>
      </c>
      <c r="HX1" s="1">
        <v>266</v>
      </c>
      <c r="HY1" s="1">
        <v>267</v>
      </c>
      <c r="HZ1" s="1">
        <v>268</v>
      </c>
      <c r="IA1" s="1">
        <v>269</v>
      </c>
      <c r="IB1" s="1">
        <v>270</v>
      </c>
      <c r="IC1" s="1">
        <v>271</v>
      </c>
      <c r="ID1" s="1">
        <v>272</v>
      </c>
      <c r="IE1" s="1">
        <v>273</v>
      </c>
      <c r="IF1" s="1">
        <v>274</v>
      </c>
      <c r="IG1" s="1">
        <v>275</v>
      </c>
      <c r="IH1" s="1">
        <v>276</v>
      </c>
      <c r="II1" s="1">
        <v>277</v>
      </c>
      <c r="IJ1" s="1">
        <v>278</v>
      </c>
      <c r="IK1" s="1">
        <v>279</v>
      </c>
      <c r="IL1" s="1">
        <v>280</v>
      </c>
      <c r="IM1" s="1">
        <v>281</v>
      </c>
      <c r="IN1" s="1">
        <v>282</v>
      </c>
      <c r="IO1" s="1">
        <v>283</v>
      </c>
      <c r="IP1" s="1">
        <v>284</v>
      </c>
      <c r="IQ1" s="1">
        <v>285</v>
      </c>
      <c r="IR1" s="1">
        <v>286</v>
      </c>
      <c r="IS1" s="1">
        <v>287</v>
      </c>
      <c r="IT1" s="1">
        <v>288</v>
      </c>
      <c r="IU1" s="1">
        <v>289</v>
      </c>
      <c r="IV1" s="1">
        <v>290</v>
      </c>
      <c r="IW1" s="1">
        <v>291</v>
      </c>
      <c r="IX1" s="1">
        <v>292</v>
      </c>
      <c r="IY1" s="1">
        <v>293</v>
      </c>
      <c r="IZ1" s="1">
        <v>294</v>
      </c>
      <c r="JA1" s="1">
        <v>295</v>
      </c>
      <c r="JB1" s="1">
        <v>296</v>
      </c>
      <c r="JC1" s="1">
        <v>297</v>
      </c>
      <c r="JD1" s="1">
        <v>298</v>
      </c>
      <c r="JE1" s="1">
        <v>299</v>
      </c>
      <c r="JF1" s="1">
        <v>300</v>
      </c>
      <c r="JG1" s="1">
        <v>301</v>
      </c>
      <c r="JH1" s="1">
        <v>302</v>
      </c>
    </row>
    <row r="2" spans="1:337" x14ac:dyDescent="0.25">
      <c r="A2" s="3" t="s">
        <v>1</v>
      </c>
      <c r="B2" s="7">
        <v>37986</v>
      </c>
      <c r="C2" s="7">
        <v>38017</v>
      </c>
      <c r="D2" s="7">
        <v>38046</v>
      </c>
      <c r="E2" s="7">
        <v>38077</v>
      </c>
      <c r="F2" s="7">
        <v>38107</v>
      </c>
      <c r="G2" s="7">
        <v>38138</v>
      </c>
      <c r="H2" s="7">
        <v>38168</v>
      </c>
      <c r="I2" s="7">
        <v>38199</v>
      </c>
      <c r="J2" s="7">
        <v>38230</v>
      </c>
      <c r="K2" s="7">
        <v>38260</v>
      </c>
      <c r="L2" s="7">
        <v>38291</v>
      </c>
      <c r="M2" s="7">
        <v>38321</v>
      </c>
      <c r="N2" s="7">
        <v>38352</v>
      </c>
      <c r="O2" s="7">
        <v>38383</v>
      </c>
      <c r="P2" s="7">
        <v>38411</v>
      </c>
      <c r="Q2" s="7">
        <v>38442</v>
      </c>
      <c r="R2" s="7">
        <v>38472</v>
      </c>
      <c r="S2" s="7">
        <v>38503</v>
      </c>
      <c r="T2" s="7">
        <v>38533</v>
      </c>
      <c r="U2" s="7">
        <v>38564</v>
      </c>
      <c r="V2" s="7">
        <v>38595</v>
      </c>
      <c r="W2" s="7">
        <v>38625</v>
      </c>
      <c r="X2" s="7">
        <v>38656</v>
      </c>
      <c r="Y2" s="7">
        <v>38686</v>
      </c>
      <c r="Z2" s="7">
        <v>38717</v>
      </c>
      <c r="AA2" s="7">
        <v>38748</v>
      </c>
      <c r="AB2" s="7">
        <v>38776</v>
      </c>
      <c r="AC2" s="7">
        <v>38807</v>
      </c>
      <c r="AD2" s="7">
        <v>38837</v>
      </c>
      <c r="AE2" s="7">
        <v>38868</v>
      </c>
      <c r="AF2" s="7">
        <v>38898</v>
      </c>
      <c r="AG2" s="7">
        <v>38929</v>
      </c>
      <c r="AH2" s="7">
        <v>38960</v>
      </c>
      <c r="AI2" s="7">
        <v>38990</v>
      </c>
      <c r="AJ2" s="7">
        <v>39021</v>
      </c>
      <c r="AK2" s="7">
        <v>39051</v>
      </c>
      <c r="AL2" s="7">
        <v>39082</v>
      </c>
      <c r="AM2" s="7">
        <v>39113</v>
      </c>
      <c r="AN2" s="7">
        <v>39141</v>
      </c>
      <c r="AO2" s="7">
        <v>39172</v>
      </c>
      <c r="AP2" s="7">
        <v>39202</v>
      </c>
      <c r="AQ2" s="7">
        <v>39233</v>
      </c>
      <c r="AR2" s="7">
        <v>39263</v>
      </c>
      <c r="AS2" s="7">
        <v>39294</v>
      </c>
      <c r="AT2" s="7">
        <v>39325</v>
      </c>
      <c r="AU2" s="7">
        <v>39355</v>
      </c>
      <c r="AV2" s="7">
        <v>39386</v>
      </c>
      <c r="AW2" s="7">
        <v>39416</v>
      </c>
      <c r="AX2" s="7">
        <v>39447</v>
      </c>
      <c r="AY2" s="7">
        <v>39478</v>
      </c>
      <c r="AZ2" s="7">
        <v>39507</v>
      </c>
      <c r="BA2" s="7">
        <v>39538</v>
      </c>
      <c r="BB2" s="7">
        <v>39568</v>
      </c>
      <c r="BC2" s="7">
        <v>39599</v>
      </c>
      <c r="BD2" s="7">
        <v>39629</v>
      </c>
      <c r="BE2" s="7">
        <v>39660</v>
      </c>
      <c r="BF2" s="7">
        <v>39691</v>
      </c>
      <c r="BG2" s="7">
        <v>39721</v>
      </c>
      <c r="BH2" s="7">
        <v>39752</v>
      </c>
      <c r="BI2" s="7">
        <v>39782</v>
      </c>
      <c r="BJ2" s="7">
        <v>39813</v>
      </c>
      <c r="BK2" s="7">
        <v>39844</v>
      </c>
      <c r="BL2" s="7">
        <v>39872</v>
      </c>
      <c r="BM2" s="7">
        <v>39903</v>
      </c>
      <c r="BN2" s="7">
        <v>39933</v>
      </c>
      <c r="BO2" s="7">
        <v>39964</v>
      </c>
      <c r="BP2" s="7">
        <v>39994</v>
      </c>
      <c r="BQ2" s="7">
        <v>40025</v>
      </c>
      <c r="BR2" s="7">
        <v>40056</v>
      </c>
      <c r="BS2" s="7">
        <v>40086</v>
      </c>
      <c r="BT2" s="7">
        <v>40117</v>
      </c>
      <c r="BU2" s="7">
        <v>40147</v>
      </c>
      <c r="BV2" s="7">
        <v>40178</v>
      </c>
      <c r="BW2" s="7">
        <v>40209</v>
      </c>
      <c r="BX2" s="7">
        <v>40237</v>
      </c>
      <c r="BY2" s="7">
        <v>40268</v>
      </c>
      <c r="BZ2" s="7">
        <v>40298</v>
      </c>
      <c r="CA2" s="7">
        <v>40329</v>
      </c>
      <c r="CB2" s="7">
        <v>40359</v>
      </c>
      <c r="CC2" s="7">
        <v>40390</v>
      </c>
      <c r="CD2" s="7">
        <v>40421</v>
      </c>
      <c r="CE2" s="7">
        <v>40451</v>
      </c>
      <c r="CF2" s="7">
        <v>40482</v>
      </c>
      <c r="CG2" s="7">
        <v>40512</v>
      </c>
      <c r="CH2" s="7">
        <v>40543</v>
      </c>
      <c r="CI2" s="7">
        <v>40574</v>
      </c>
      <c r="CJ2" s="7">
        <v>40602</v>
      </c>
      <c r="CK2" s="7">
        <v>40633</v>
      </c>
      <c r="CL2" s="7">
        <v>40663</v>
      </c>
      <c r="CM2" s="7">
        <v>40694</v>
      </c>
      <c r="CN2" s="7">
        <v>40724</v>
      </c>
      <c r="CO2" s="7">
        <v>40755</v>
      </c>
      <c r="CP2" s="7">
        <v>40786</v>
      </c>
      <c r="CQ2" s="7">
        <v>40816</v>
      </c>
      <c r="CR2" s="7">
        <v>40847</v>
      </c>
      <c r="CS2" s="7">
        <v>40877</v>
      </c>
      <c r="CT2" s="7">
        <v>40908</v>
      </c>
      <c r="CU2" s="7">
        <v>40939</v>
      </c>
      <c r="CV2" s="8">
        <v>40968</v>
      </c>
      <c r="CW2" s="7">
        <v>40999</v>
      </c>
      <c r="CX2" s="7">
        <v>41029</v>
      </c>
      <c r="CY2" s="7">
        <v>41060</v>
      </c>
      <c r="CZ2" s="7">
        <v>41090</v>
      </c>
      <c r="DA2" s="7">
        <v>41121</v>
      </c>
      <c r="DB2" s="7">
        <v>41152</v>
      </c>
      <c r="DC2" s="7">
        <v>41182</v>
      </c>
      <c r="DD2" s="7">
        <v>41213</v>
      </c>
      <c r="DE2" s="7">
        <v>41243</v>
      </c>
      <c r="DF2" s="7">
        <v>41274</v>
      </c>
      <c r="DG2" s="7">
        <v>41305</v>
      </c>
      <c r="DH2" s="7">
        <v>41333</v>
      </c>
      <c r="DI2" s="7">
        <v>41364</v>
      </c>
      <c r="DJ2" s="7">
        <v>41394</v>
      </c>
      <c r="DK2" s="7">
        <v>41425</v>
      </c>
      <c r="DL2" s="7">
        <v>41455</v>
      </c>
      <c r="DM2" s="7">
        <v>41486</v>
      </c>
      <c r="DN2" s="7">
        <v>41517</v>
      </c>
      <c r="DO2" s="7">
        <v>41547</v>
      </c>
      <c r="DP2" s="7">
        <v>41578</v>
      </c>
      <c r="DQ2" s="7">
        <v>41608</v>
      </c>
      <c r="DR2" s="7">
        <v>41639</v>
      </c>
      <c r="DS2" s="7">
        <v>41670</v>
      </c>
      <c r="DT2" s="7">
        <v>41698</v>
      </c>
      <c r="DU2" s="7">
        <v>41729</v>
      </c>
      <c r="DV2" s="7">
        <v>41759</v>
      </c>
      <c r="DW2" s="7">
        <v>41790</v>
      </c>
      <c r="DX2" s="7">
        <v>41820</v>
      </c>
      <c r="DY2" s="7">
        <v>41851</v>
      </c>
      <c r="DZ2" s="7">
        <v>41882</v>
      </c>
      <c r="EA2" s="7">
        <v>41912</v>
      </c>
      <c r="EB2" s="7">
        <v>41943</v>
      </c>
      <c r="EC2" s="7">
        <v>41973</v>
      </c>
      <c r="ED2" s="7">
        <v>42004</v>
      </c>
      <c r="EE2" s="7">
        <v>42035</v>
      </c>
      <c r="EF2" s="7">
        <v>42063</v>
      </c>
      <c r="EG2" s="7">
        <v>42094</v>
      </c>
      <c r="EH2" s="7">
        <v>42124</v>
      </c>
      <c r="EI2" s="7">
        <v>42155</v>
      </c>
      <c r="EJ2" s="7">
        <v>42185</v>
      </c>
      <c r="EK2" s="7">
        <v>42216</v>
      </c>
      <c r="EL2" s="7">
        <v>42247</v>
      </c>
      <c r="EM2" s="7">
        <v>42277</v>
      </c>
      <c r="EN2" s="7">
        <v>42308</v>
      </c>
      <c r="EO2" s="7">
        <v>42338</v>
      </c>
      <c r="EP2" s="7">
        <v>42369</v>
      </c>
      <c r="EQ2" s="7">
        <v>42400</v>
      </c>
      <c r="ER2" s="7">
        <v>42429</v>
      </c>
      <c r="ES2" s="7">
        <v>42460</v>
      </c>
      <c r="ET2" s="7">
        <v>42490</v>
      </c>
      <c r="EU2" s="7">
        <v>42521</v>
      </c>
      <c r="EV2" s="7">
        <v>42551</v>
      </c>
      <c r="EW2" s="7">
        <v>42582</v>
      </c>
      <c r="EX2" s="7">
        <v>42613</v>
      </c>
      <c r="EY2" s="7">
        <v>42643</v>
      </c>
      <c r="EZ2" s="7">
        <v>42674</v>
      </c>
      <c r="FA2" s="7">
        <v>42704</v>
      </c>
      <c r="FB2" s="7">
        <v>42735</v>
      </c>
      <c r="FC2" s="7">
        <v>42766</v>
      </c>
      <c r="FD2" s="7">
        <v>42794</v>
      </c>
      <c r="FE2" s="7">
        <v>42825</v>
      </c>
      <c r="FF2" s="7">
        <v>42855</v>
      </c>
      <c r="FG2" s="7">
        <v>42886</v>
      </c>
      <c r="FH2" s="7">
        <v>42916</v>
      </c>
      <c r="FI2" s="7">
        <v>42947</v>
      </c>
      <c r="FJ2" s="7">
        <v>42978</v>
      </c>
      <c r="FK2" s="7">
        <v>43008</v>
      </c>
      <c r="FL2" s="7">
        <v>43039</v>
      </c>
      <c r="FM2" s="7">
        <v>43069</v>
      </c>
      <c r="FN2" s="7">
        <v>43100</v>
      </c>
      <c r="FO2" s="7">
        <v>43131</v>
      </c>
      <c r="FP2" s="7">
        <v>43159</v>
      </c>
      <c r="FQ2" s="7">
        <v>43190</v>
      </c>
      <c r="FR2" s="7">
        <v>43220</v>
      </c>
      <c r="FS2" s="7">
        <v>43251</v>
      </c>
      <c r="FT2" s="7">
        <v>43281</v>
      </c>
      <c r="FU2" s="7">
        <v>43312</v>
      </c>
      <c r="FV2" s="7">
        <v>43343</v>
      </c>
      <c r="FW2" s="7">
        <v>43373</v>
      </c>
      <c r="FX2" s="7">
        <v>43404</v>
      </c>
      <c r="FY2" s="7">
        <v>43434</v>
      </c>
      <c r="FZ2" s="7">
        <v>43465</v>
      </c>
      <c r="GA2" s="7">
        <v>43496</v>
      </c>
      <c r="GB2" s="7">
        <v>43524</v>
      </c>
      <c r="GC2" s="7">
        <v>43555</v>
      </c>
      <c r="GD2" s="7">
        <v>43585</v>
      </c>
      <c r="GE2" s="7">
        <v>43616</v>
      </c>
      <c r="GF2" s="7">
        <v>43646</v>
      </c>
      <c r="GG2" s="7">
        <v>43677</v>
      </c>
      <c r="GH2" s="7">
        <v>43708</v>
      </c>
      <c r="GI2" s="7">
        <v>43738</v>
      </c>
      <c r="GJ2" s="7">
        <v>43769</v>
      </c>
      <c r="GK2" s="7">
        <v>43799</v>
      </c>
      <c r="GL2" s="7">
        <v>43830</v>
      </c>
      <c r="GM2" s="7">
        <v>43861</v>
      </c>
      <c r="GN2" s="7">
        <v>43890</v>
      </c>
      <c r="GO2" s="7">
        <v>43921</v>
      </c>
      <c r="GP2" s="7">
        <v>43951</v>
      </c>
      <c r="GQ2" s="7">
        <v>43982</v>
      </c>
      <c r="GR2" s="7">
        <v>44012</v>
      </c>
      <c r="GS2" s="7">
        <v>44043</v>
      </c>
      <c r="GT2" s="7">
        <v>44074</v>
      </c>
      <c r="GU2" s="7">
        <v>44104</v>
      </c>
      <c r="GV2" s="7">
        <v>44135</v>
      </c>
      <c r="GW2" s="7">
        <v>44165</v>
      </c>
      <c r="GX2" s="7">
        <v>44196</v>
      </c>
      <c r="GY2" s="7">
        <v>44227</v>
      </c>
      <c r="GZ2" s="7">
        <v>44255</v>
      </c>
      <c r="HA2" s="7">
        <v>44286</v>
      </c>
      <c r="HB2" s="7">
        <v>44316</v>
      </c>
      <c r="HC2" s="7">
        <v>44347</v>
      </c>
      <c r="HD2" s="7">
        <v>44377</v>
      </c>
      <c r="HE2" s="7">
        <v>44408</v>
      </c>
      <c r="HF2" s="7">
        <v>44439</v>
      </c>
      <c r="HG2" s="7">
        <v>44469</v>
      </c>
      <c r="HH2" s="7">
        <v>44500</v>
      </c>
      <c r="HI2" s="7">
        <v>44530</v>
      </c>
      <c r="HJ2" s="7">
        <v>44561</v>
      </c>
      <c r="HK2" s="7">
        <v>44592</v>
      </c>
      <c r="HL2" s="7">
        <v>44620</v>
      </c>
      <c r="HM2" s="7">
        <v>44651</v>
      </c>
      <c r="HN2" s="7">
        <v>44681</v>
      </c>
      <c r="HO2" s="7">
        <v>44712</v>
      </c>
      <c r="HP2" s="7">
        <v>44742</v>
      </c>
      <c r="HQ2" s="7">
        <v>44773</v>
      </c>
      <c r="HR2" s="7">
        <v>44804</v>
      </c>
      <c r="HS2" s="7">
        <v>44834</v>
      </c>
      <c r="HT2" s="7">
        <v>44865</v>
      </c>
      <c r="HU2" s="7">
        <v>44895</v>
      </c>
      <c r="HV2" s="7">
        <v>44926</v>
      </c>
      <c r="HW2" s="7">
        <v>44957</v>
      </c>
      <c r="HX2" s="7">
        <v>44985</v>
      </c>
      <c r="HY2" s="7">
        <v>45016</v>
      </c>
      <c r="HZ2" s="7">
        <v>45046</v>
      </c>
      <c r="IA2" s="7">
        <v>45077</v>
      </c>
      <c r="IB2" s="7">
        <v>45107</v>
      </c>
      <c r="IC2" s="7">
        <v>45138</v>
      </c>
      <c r="ID2" s="7">
        <v>45169</v>
      </c>
      <c r="IE2" s="7">
        <v>45199</v>
      </c>
      <c r="IF2" s="7">
        <v>45230</v>
      </c>
      <c r="IG2" s="7">
        <v>45260</v>
      </c>
      <c r="IH2" s="7">
        <v>45291</v>
      </c>
      <c r="II2" s="7">
        <v>45322</v>
      </c>
      <c r="IJ2" s="7">
        <v>45351</v>
      </c>
      <c r="IK2" s="7">
        <v>45382</v>
      </c>
      <c r="IL2" s="7">
        <v>45412</v>
      </c>
      <c r="IM2" s="7">
        <v>45443</v>
      </c>
      <c r="IN2" s="7">
        <v>45473</v>
      </c>
      <c r="IO2" s="7">
        <v>45504</v>
      </c>
      <c r="IP2" s="7">
        <v>45535</v>
      </c>
      <c r="IQ2" s="7">
        <v>45565</v>
      </c>
      <c r="IR2" s="7">
        <v>45596</v>
      </c>
      <c r="IS2" s="7">
        <v>45626</v>
      </c>
      <c r="IT2" s="7">
        <v>45657</v>
      </c>
      <c r="IU2" s="7">
        <v>45688</v>
      </c>
      <c r="IV2" s="7">
        <v>45716</v>
      </c>
      <c r="IW2" s="7">
        <v>45747</v>
      </c>
      <c r="IX2" s="7">
        <v>45777</v>
      </c>
      <c r="IY2" s="7">
        <v>45808</v>
      </c>
      <c r="IZ2" s="7">
        <v>45838</v>
      </c>
      <c r="JA2" s="7">
        <v>45869</v>
      </c>
      <c r="JB2" s="7">
        <v>45900</v>
      </c>
      <c r="JC2" s="7">
        <v>45930</v>
      </c>
      <c r="JD2" s="7">
        <v>45961</v>
      </c>
      <c r="JE2" s="7">
        <v>45991</v>
      </c>
      <c r="JF2" s="7">
        <v>46022</v>
      </c>
      <c r="JG2" s="7">
        <v>46053</v>
      </c>
      <c r="JH2" s="7">
        <v>46081</v>
      </c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</row>
    <row r="3" spans="1:337" x14ac:dyDescent="0.25">
      <c r="A3" s="4">
        <v>1</v>
      </c>
      <c r="B3" s="1">
        <v>3008392.7722795997</v>
      </c>
      <c r="C3" s="1">
        <v>3022024.3524170616</v>
      </c>
      <c r="D3" s="1">
        <v>3041963.534456634</v>
      </c>
      <c r="E3" s="1">
        <v>3062737.5121863242</v>
      </c>
      <c r="F3" s="1">
        <v>3079742.4700309485</v>
      </c>
      <c r="G3" s="1">
        <v>3092735.0952186529</v>
      </c>
      <c r="H3" s="1">
        <v>3103199.9772452163</v>
      </c>
      <c r="I3" s="1">
        <v>3105165.6185429525</v>
      </c>
      <c r="J3" s="1">
        <v>3106761.847363973</v>
      </c>
      <c r="K3" s="1">
        <v>3110681.2334144535</v>
      </c>
      <c r="L3" s="1">
        <v>3115745.6916642087</v>
      </c>
      <c r="M3" s="1">
        <v>3119437.2938098749</v>
      </c>
      <c r="N3" s="1">
        <v>3120885.3309454811</v>
      </c>
      <c r="O3" s="1">
        <v>3132448.5944256671</v>
      </c>
      <c r="P3" s="1">
        <v>3145780.6618110295</v>
      </c>
      <c r="Q3" s="1">
        <v>3162177.2180249416</v>
      </c>
      <c r="R3" s="1">
        <v>3175872.5396886142</v>
      </c>
      <c r="S3" s="1">
        <v>3188027.7766886847</v>
      </c>
      <c r="T3" s="1">
        <v>3196728.8951377096</v>
      </c>
      <c r="U3" s="1">
        <v>3195756.8936019018</v>
      </c>
      <c r="V3" s="1">
        <v>3196023.4439246748</v>
      </c>
      <c r="W3" s="1">
        <v>3201627.7372598718</v>
      </c>
      <c r="X3" s="1">
        <v>3206198.1062484216</v>
      </c>
      <c r="Y3" s="1">
        <v>3210710.1598532731</v>
      </c>
      <c r="Z3" s="1">
        <v>3208520.0712831328</v>
      </c>
      <c r="AA3" s="1">
        <v>3215939.6217591302</v>
      </c>
      <c r="AB3" s="1">
        <v>3232326.1453451826</v>
      </c>
      <c r="AC3" s="1">
        <v>3244187.406944708</v>
      </c>
      <c r="AD3" s="1">
        <v>3258847.9113111412</v>
      </c>
      <c r="AE3" s="1">
        <v>3273357.3120174105</v>
      </c>
      <c r="AF3" s="1">
        <v>3277687.7394210529</v>
      </c>
      <c r="AG3" s="1">
        <v>3276770.7193806767</v>
      </c>
      <c r="AH3" s="1">
        <v>3275574.4017719217</v>
      </c>
      <c r="AI3" s="1">
        <v>3282153.2258540234</v>
      </c>
      <c r="AJ3" s="1">
        <v>3290934.6720126551</v>
      </c>
      <c r="AK3" s="1">
        <v>3294447.3414886659</v>
      </c>
      <c r="AL3" s="1">
        <v>3293921.6832889803</v>
      </c>
      <c r="AM3" s="1">
        <v>3305146.807141549</v>
      </c>
      <c r="AN3" s="1">
        <v>3323701.410362009</v>
      </c>
      <c r="AO3" s="1">
        <v>3344017.4666695865</v>
      </c>
      <c r="AP3" s="1">
        <v>3361306.1889725067</v>
      </c>
      <c r="AQ3" s="1">
        <v>3374402.0633741776</v>
      </c>
      <c r="AR3" s="1">
        <v>3384008.5545993345</v>
      </c>
      <c r="AS3" s="1">
        <v>3387193.9254300124</v>
      </c>
      <c r="AT3" s="1">
        <v>3386872.0726601826</v>
      </c>
      <c r="AU3" s="1">
        <v>3396161.84680242</v>
      </c>
      <c r="AV3" s="1">
        <v>3402928.534718805</v>
      </c>
      <c r="AW3" s="1">
        <v>3405531.6852046656</v>
      </c>
      <c r="AX3" s="1">
        <v>3398358.515375928</v>
      </c>
      <c r="AY3" s="1">
        <v>3405421.774172754</v>
      </c>
      <c r="AZ3" s="1">
        <v>3413056.9600439258</v>
      </c>
      <c r="BA3" s="1">
        <v>3417835.8809881005</v>
      </c>
      <c r="BB3" s="1">
        <v>3417750.0184553051</v>
      </c>
      <c r="BC3" s="1">
        <v>3409055.8165523913</v>
      </c>
      <c r="BD3" s="1">
        <v>3402970.9845837094</v>
      </c>
      <c r="BE3" s="1">
        <v>3385663.3624371062</v>
      </c>
      <c r="BF3" s="1">
        <v>3369530.1140590869</v>
      </c>
      <c r="BG3" s="1">
        <v>3364572.3628307665</v>
      </c>
      <c r="BH3" s="1">
        <v>3344998.6849603057</v>
      </c>
      <c r="BI3" s="1">
        <v>3321439.0500431703</v>
      </c>
      <c r="BJ3" s="1">
        <v>3298469.9284750144</v>
      </c>
      <c r="BK3" s="1">
        <v>3268136.4315132056</v>
      </c>
      <c r="BL3" s="1">
        <v>3250104.5086463732</v>
      </c>
      <c r="BM3" s="1">
        <v>3239406.0934975948</v>
      </c>
      <c r="BN3" s="1">
        <v>3233456.0564817195</v>
      </c>
      <c r="BO3" s="1">
        <v>3230004.9776113238</v>
      </c>
      <c r="BP3" s="1">
        <v>3218964.9239875143</v>
      </c>
      <c r="BQ3" s="1">
        <v>3199210.9852220351</v>
      </c>
      <c r="BR3" s="1">
        <v>3188082.3956049103</v>
      </c>
      <c r="BS3" s="1">
        <v>3184300.5214142259</v>
      </c>
      <c r="BT3" s="1">
        <v>3169140.6302910196</v>
      </c>
      <c r="BU3" s="1">
        <v>3157730.139515833</v>
      </c>
      <c r="BV3" s="1">
        <v>3140811.9609755129</v>
      </c>
      <c r="BW3" s="1">
        <v>3138682.5742059681</v>
      </c>
      <c r="BX3" s="1">
        <v>3132340.7197025362</v>
      </c>
      <c r="BY3" s="1">
        <v>3135306.7747081323</v>
      </c>
      <c r="BZ3" s="1">
        <v>3138371.0594871454</v>
      </c>
      <c r="CA3" s="1">
        <v>3144252.4590743217</v>
      </c>
      <c r="CB3" s="1">
        <v>3141766.9789654873</v>
      </c>
      <c r="CC3" s="1">
        <v>3130819.6658920152</v>
      </c>
      <c r="CD3" s="1">
        <v>3119482.0665715211</v>
      </c>
      <c r="CE3" s="1">
        <v>3114964.3418535045</v>
      </c>
      <c r="CF3" s="1">
        <v>3109949.3232597145</v>
      </c>
      <c r="CG3" s="1">
        <v>3105520.7273476003</v>
      </c>
      <c r="CH3" s="1">
        <v>3089165.4407839831</v>
      </c>
      <c r="CI3" s="1">
        <v>3085112.5198477842</v>
      </c>
      <c r="CJ3" s="1">
        <v>3084910.6081910869</v>
      </c>
      <c r="CK3" s="1">
        <v>3095390.525270531</v>
      </c>
      <c r="CL3" s="1">
        <v>3107084.8698888556</v>
      </c>
      <c r="CM3" s="1">
        <v>3114184.1088965042</v>
      </c>
      <c r="CN3" s="1">
        <v>3107769.8179825717</v>
      </c>
      <c r="CO3" s="1">
        <v>3095321.1877031978</v>
      </c>
      <c r="CP3" s="1">
        <v>3090785.5894341012</v>
      </c>
      <c r="CQ3" s="1">
        <v>3087905.4769894509</v>
      </c>
      <c r="CR3" s="1">
        <v>3080100.7783462573</v>
      </c>
      <c r="CS3" s="1">
        <v>3071004.7073643971</v>
      </c>
      <c r="CT3" s="1">
        <v>3057755.6650212514</v>
      </c>
      <c r="CU3" s="1">
        <v>3037737.3267449066</v>
      </c>
      <c r="CV3" s="1">
        <v>3050413.1211467003</v>
      </c>
      <c r="CW3" s="1">
        <v>3057264.0615594671</v>
      </c>
      <c r="CX3" s="1">
        <v>3064029.3957471633</v>
      </c>
      <c r="CY3" s="1">
        <v>3069126.6440317146</v>
      </c>
      <c r="CZ3" s="1">
        <v>3065845.0971236709</v>
      </c>
      <c r="DA3" s="1">
        <v>3055382.4243969289</v>
      </c>
      <c r="DB3" s="1">
        <v>3044130.9770939928</v>
      </c>
      <c r="DC3" s="1">
        <v>3037854.1874904661</v>
      </c>
      <c r="DD3" s="1">
        <v>3030976.3615011862</v>
      </c>
      <c r="DE3" s="1">
        <v>3020959.3349158997</v>
      </c>
      <c r="DF3" s="1">
        <v>3010870.4690706218</v>
      </c>
      <c r="DG3" s="1">
        <v>3001832.5667392723</v>
      </c>
      <c r="DH3" s="1">
        <v>3001885.6845224882</v>
      </c>
      <c r="DI3" s="1">
        <v>3011417.9635524838</v>
      </c>
      <c r="DJ3" s="1">
        <v>3027633.3493876597</v>
      </c>
      <c r="DK3" s="1">
        <v>3039085.1503244461</v>
      </c>
      <c r="DL3" s="1">
        <v>3045612.4665068351</v>
      </c>
      <c r="DM3" s="1">
        <v>3041685.6960136327</v>
      </c>
      <c r="DN3" s="1">
        <v>3031480.77438136</v>
      </c>
      <c r="DO3" s="1">
        <v>3034687.9568394921</v>
      </c>
      <c r="DP3" s="1">
        <v>3036056.6832460882</v>
      </c>
      <c r="DQ3" s="1">
        <v>3046055.3193830159</v>
      </c>
      <c r="DR3" s="1">
        <v>3045268.320777962</v>
      </c>
      <c r="DS3" s="1">
        <v>3040494.2299757591</v>
      </c>
      <c r="DT3" s="1">
        <v>3055830.3843838749</v>
      </c>
      <c r="DU3" s="1">
        <v>3075141.5482829204</v>
      </c>
      <c r="DV3" s="1">
        <v>3099933.1470746109</v>
      </c>
      <c r="DW3" s="1">
        <v>3117484.6421070369</v>
      </c>
      <c r="DX3" s="1">
        <v>3123053.714183623</v>
      </c>
      <c r="DY3" s="1">
        <v>3114444.0252715955</v>
      </c>
      <c r="DZ3" s="1">
        <v>3112160.2914933451</v>
      </c>
      <c r="EA3" s="1">
        <v>3118027.1540719867</v>
      </c>
      <c r="EB3" s="1">
        <v>3122093.2284045485</v>
      </c>
      <c r="EC3" s="1">
        <v>3124528.7646790911</v>
      </c>
      <c r="ED3" s="1">
        <v>3119599.3793450785</v>
      </c>
      <c r="EE3" s="1">
        <v>3111588.7158953361</v>
      </c>
      <c r="EF3" s="1">
        <v>3128937.8935713666</v>
      </c>
      <c r="EG3" s="1">
        <v>3149587.6450209031</v>
      </c>
      <c r="EH3" s="1">
        <v>3169714.3866400728</v>
      </c>
      <c r="EI3" s="1">
        <v>3182309.7108006021</v>
      </c>
      <c r="EJ3" s="1">
        <v>3184898.8131531388</v>
      </c>
      <c r="EK3" s="1">
        <v>3167900.5598436156</v>
      </c>
      <c r="EL3" s="1">
        <v>3164039.2376158256</v>
      </c>
      <c r="EM3" s="1">
        <v>3165951.6843570718</v>
      </c>
      <c r="EN3" s="1">
        <v>3163406.8015742186</v>
      </c>
      <c r="EO3" s="1">
        <v>3169642.283279269</v>
      </c>
      <c r="EP3" s="1">
        <v>3154899.4542050571</v>
      </c>
      <c r="EQ3" s="1">
        <v>3143875.4125614115</v>
      </c>
      <c r="ER3" s="1">
        <v>3166709.8656428484</v>
      </c>
      <c r="ES3" s="1">
        <v>3187262.1222966369</v>
      </c>
      <c r="ET3" s="1">
        <v>3197086.1996288653</v>
      </c>
      <c r="EU3" s="1">
        <v>3208780.2763723796</v>
      </c>
      <c r="EV3" s="1">
        <v>3209440.6470165895</v>
      </c>
      <c r="EW3" s="1">
        <v>3192057.9005083302</v>
      </c>
      <c r="EX3" s="1">
        <v>3190656.5112753478</v>
      </c>
      <c r="EY3" s="1">
        <v>3191852.7675178517</v>
      </c>
      <c r="EZ3" s="1">
        <v>3193576.2790704705</v>
      </c>
      <c r="FA3" s="1">
        <v>3194905.8279949431</v>
      </c>
      <c r="FB3" s="1">
        <v>3180669.550565239</v>
      </c>
      <c r="FC3" s="1">
        <v>3174435.334499469</v>
      </c>
      <c r="FD3" s="1">
        <v>3196169.0353216007</v>
      </c>
      <c r="FE3" s="1">
        <v>3212530.4274532427</v>
      </c>
      <c r="FF3" s="1">
        <v>3229214.2512864065</v>
      </c>
      <c r="FG3" s="1">
        <v>3240675.8807561989</v>
      </c>
      <c r="FH3" s="1">
        <v>3236276.2062128866</v>
      </c>
      <c r="FI3" s="1">
        <v>3214444.2041127002</v>
      </c>
      <c r="FJ3" s="1">
        <v>3210004.8096492561</v>
      </c>
      <c r="FK3" s="1">
        <v>3217587.8485193281</v>
      </c>
      <c r="FL3" s="1">
        <v>3217672.1432540757</v>
      </c>
      <c r="FM3" s="1">
        <v>3208258.5302903168</v>
      </c>
      <c r="FN3" s="1">
        <v>3184664.284094865</v>
      </c>
      <c r="FO3" s="1">
        <v>3193145.9343831828</v>
      </c>
      <c r="FP3" s="1">
        <v>3227744.0843003402</v>
      </c>
      <c r="FQ3" s="1">
        <v>3250423.342472333</v>
      </c>
      <c r="FR3" s="1">
        <v>3262100.5193194002</v>
      </c>
      <c r="FS3" s="1">
        <v>3272226.2314948058</v>
      </c>
      <c r="FT3" s="1">
        <v>3271702.6114565078</v>
      </c>
      <c r="FU3" s="1">
        <v>3252458.080514688</v>
      </c>
      <c r="FV3" s="1">
        <v>3248782.0512649696</v>
      </c>
      <c r="FW3" s="1">
        <v>3256137.7614217643</v>
      </c>
      <c r="FX3" s="1">
        <v>3257303.6588044744</v>
      </c>
      <c r="FY3" s="1">
        <v>3254022.9435068928</v>
      </c>
      <c r="FZ3" s="1">
        <v>3242661.0832539173</v>
      </c>
      <c r="GA3" s="1">
        <v>3235137.9225605917</v>
      </c>
      <c r="GB3" s="1">
        <v>3252973.9923606841</v>
      </c>
      <c r="GC3" s="1">
        <v>3266871.3600440505</v>
      </c>
      <c r="GD3" s="1">
        <v>3278255.8103958583</v>
      </c>
      <c r="GE3" s="1">
        <v>3285758.3303685682</v>
      </c>
      <c r="GF3" s="1">
        <v>3279338.5871062018</v>
      </c>
      <c r="GG3" s="1">
        <v>3261382.7857943894</v>
      </c>
      <c r="GH3" s="1">
        <v>3261872.2646603771</v>
      </c>
      <c r="GI3" s="1">
        <v>3269610.2695644069</v>
      </c>
      <c r="GJ3" s="1">
        <v>3269081.6985205766</v>
      </c>
      <c r="GK3" s="1">
        <v>3268826.1408164287</v>
      </c>
      <c r="GL3" s="1">
        <v>3253786.7605884159</v>
      </c>
      <c r="GM3" s="1">
        <v>3257153.5498682507</v>
      </c>
      <c r="GN3" s="1">
        <v>3272333.6936181174</v>
      </c>
      <c r="GO3" s="1">
        <v>3262906.1653243871</v>
      </c>
      <c r="GP3" s="1">
        <v>3210980.1815889254</v>
      </c>
      <c r="GQ3" s="1">
        <v>3224217.6122417618</v>
      </c>
      <c r="GR3" s="1">
        <v>3238714.0594229121</v>
      </c>
      <c r="GS3" s="1">
        <v>3255195.9243334597</v>
      </c>
      <c r="GT3" s="1">
        <v>3273217.6190443011</v>
      </c>
      <c r="GU3" s="1">
        <v>3264940.4950750768</v>
      </c>
      <c r="GV3" s="1">
        <v>3263265.133821181</v>
      </c>
      <c r="GW3" s="1">
        <v>3269308.6409578174</v>
      </c>
      <c r="GX3" s="1">
        <v>3255968.9623576747</v>
      </c>
      <c r="GY3" s="1">
        <v>3259502.0767545677</v>
      </c>
      <c r="GZ3" s="1">
        <v>3273618.8652436901</v>
      </c>
      <c r="HA3" s="1" t="str">
        <f t="shared" ref="GZ3:JH6" si="0">IF(GZ3="","","")</f>
        <v/>
      </c>
      <c r="HB3" s="1" t="str">
        <f t="shared" si="0"/>
        <v/>
      </c>
      <c r="HC3" s="1" t="str">
        <f t="shared" si="0"/>
        <v/>
      </c>
      <c r="HD3" s="1" t="str">
        <f t="shared" si="0"/>
        <v/>
      </c>
      <c r="HE3" s="1" t="str">
        <f t="shared" si="0"/>
        <v/>
      </c>
      <c r="HF3" s="1" t="str">
        <f t="shared" si="0"/>
        <v/>
      </c>
      <c r="HG3" s="1" t="str">
        <f t="shared" si="0"/>
        <v/>
      </c>
      <c r="HH3" s="1" t="str">
        <f t="shared" si="0"/>
        <v/>
      </c>
      <c r="HI3" s="1" t="str">
        <f t="shared" si="0"/>
        <v/>
      </c>
      <c r="HJ3" s="1" t="str">
        <f t="shared" si="0"/>
        <v/>
      </c>
      <c r="HK3" s="1" t="str">
        <f t="shared" si="0"/>
        <v/>
      </c>
      <c r="HL3" s="1" t="str">
        <f t="shared" si="0"/>
        <v/>
      </c>
      <c r="HM3" s="1" t="str">
        <f t="shared" si="0"/>
        <v/>
      </c>
      <c r="HN3" s="1" t="str">
        <f t="shared" si="0"/>
        <v/>
      </c>
      <c r="HO3" s="1" t="str">
        <f t="shared" si="0"/>
        <v/>
      </c>
      <c r="HP3" s="1" t="str">
        <f t="shared" si="0"/>
        <v/>
      </c>
      <c r="HQ3" s="1" t="str">
        <f t="shared" si="0"/>
        <v/>
      </c>
      <c r="HR3" s="1" t="str">
        <f t="shared" si="0"/>
        <v/>
      </c>
      <c r="HS3" s="1" t="str">
        <f t="shared" si="0"/>
        <v/>
      </c>
      <c r="HT3" s="1" t="str">
        <f t="shared" si="0"/>
        <v/>
      </c>
      <c r="HU3" s="1" t="str">
        <f t="shared" si="0"/>
        <v/>
      </c>
      <c r="HV3" s="1" t="str">
        <f t="shared" si="0"/>
        <v/>
      </c>
      <c r="HW3" s="1" t="str">
        <f t="shared" si="0"/>
        <v/>
      </c>
      <c r="HX3" s="1" t="str">
        <f t="shared" si="0"/>
        <v/>
      </c>
      <c r="HY3" s="1" t="str">
        <f t="shared" si="0"/>
        <v/>
      </c>
      <c r="HZ3" s="1" t="str">
        <f t="shared" si="0"/>
        <v/>
      </c>
      <c r="IA3" s="1" t="str">
        <f t="shared" si="0"/>
        <v/>
      </c>
      <c r="IB3" s="1" t="str">
        <f t="shared" si="0"/>
        <v/>
      </c>
      <c r="IC3" s="1" t="str">
        <f t="shared" si="0"/>
        <v/>
      </c>
      <c r="ID3" s="1" t="str">
        <f t="shared" si="0"/>
        <v/>
      </c>
      <c r="IE3" s="1" t="str">
        <f t="shared" si="0"/>
        <v/>
      </c>
      <c r="IF3" s="1" t="str">
        <f t="shared" si="0"/>
        <v/>
      </c>
      <c r="IG3" s="1" t="str">
        <f t="shared" si="0"/>
        <v/>
      </c>
      <c r="IH3" s="1" t="str">
        <f t="shared" si="0"/>
        <v/>
      </c>
      <c r="II3" s="1" t="str">
        <f t="shared" si="0"/>
        <v/>
      </c>
      <c r="IJ3" s="1" t="str">
        <f t="shared" si="0"/>
        <v/>
      </c>
      <c r="IK3" s="1" t="str">
        <f t="shared" si="0"/>
        <v/>
      </c>
      <c r="IL3" s="1" t="str">
        <f t="shared" si="0"/>
        <v/>
      </c>
      <c r="IM3" s="1" t="str">
        <f t="shared" si="0"/>
        <v/>
      </c>
      <c r="IN3" s="1" t="str">
        <f t="shared" si="0"/>
        <v/>
      </c>
      <c r="IO3" s="1" t="str">
        <f t="shared" si="0"/>
        <v/>
      </c>
      <c r="IP3" s="1" t="str">
        <f t="shared" si="0"/>
        <v/>
      </c>
      <c r="IQ3" s="1" t="str">
        <f t="shared" si="0"/>
        <v/>
      </c>
      <c r="IR3" s="1" t="str">
        <f t="shared" si="0"/>
        <v/>
      </c>
      <c r="IS3" s="1" t="str">
        <f t="shared" si="0"/>
        <v/>
      </c>
      <c r="IT3" s="1" t="str">
        <f t="shared" si="0"/>
        <v/>
      </c>
      <c r="IU3" s="1" t="str">
        <f t="shared" si="0"/>
        <v/>
      </c>
      <c r="IV3" s="1" t="str">
        <f t="shared" si="0"/>
        <v/>
      </c>
      <c r="IW3" s="1" t="str">
        <f t="shared" si="0"/>
        <v/>
      </c>
      <c r="IX3" s="1" t="str">
        <f t="shared" si="0"/>
        <v/>
      </c>
      <c r="IY3" s="1" t="str">
        <f t="shared" si="0"/>
        <v/>
      </c>
      <c r="IZ3" s="1" t="str">
        <f t="shared" si="0"/>
        <v/>
      </c>
      <c r="JA3" s="1" t="str">
        <f t="shared" si="0"/>
        <v/>
      </c>
      <c r="JB3" s="1" t="str">
        <f t="shared" si="0"/>
        <v/>
      </c>
      <c r="JC3" s="1" t="str">
        <f t="shared" si="0"/>
        <v/>
      </c>
      <c r="JD3" s="1" t="str">
        <f t="shared" si="0"/>
        <v/>
      </c>
      <c r="JE3" s="1" t="str">
        <f t="shared" si="0"/>
        <v/>
      </c>
      <c r="JF3" s="1" t="str">
        <f t="shared" si="0"/>
        <v/>
      </c>
      <c r="JG3" s="1" t="str">
        <f t="shared" si="0"/>
        <v/>
      </c>
      <c r="JH3" s="1" t="str">
        <f t="shared" si="0"/>
        <v/>
      </c>
      <c r="LY3" s="1"/>
    </row>
    <row r="4" spans="1:337" x14ac:dyDescent="0.25">
      <c r="A4" s="4">
        <v>2</v>
      </c>
      <c r="B4" s="1">
        <v>3019614.1430311892</v>
      </c>
      <c r="C4" s="1">
        <v>3039688.8255605921</v>
      </c>
      <c r="D4" s="1">
        <v>3061315.447503991</v>
      </c>
      <c r="E4" s="1">
        <v>3081903.3983598202</v>
      </c>
      <c r="F4" s="1">
        <v>3095031.9572212845</v>
      </c>
      <c r="G4" s="1">
        <v>3102988.053618866</v>
      </c>
      <c r="H4" s="1">
        <v>3107408.4127560183</v>
      </c>
      <c r="I4" s="1">
        <v>3109499.6531562572</v>
      </c>
      <c r="J4" s="1">
        <v>3111646.7565672072</v>
      </c>
      <c r="K4" s="1">
        <v>3115417.6418466456</v>
      </c>
      <c r="L4" s="1">
        <v>3117594.299366612</v>
      </c>
      <c r="M4" s="1">
        <v>3117051.1538262088</v>
      </c>
      <c r="N4" s="1">
        <v>3131731.9541912763</v>
      </c>
      <c r="O4" s="1">
        <v>3150956.7610536842</v>
      </c>
      <c r="P4" s="1">
        <v>3163806.6643126328</v>
      </c>
      <c r="Q4" s="1">
        <v>3178702.3418929321</v>
      </c>
      <c r="R4" s="1">
        <v>3189207.6163685783</v>
      </c>
      <c r="S4" s="1">
        <v>3196173.7141794697</v>
      </c>
      <c r="T4" s="1">
        <v>3199516.5910536549</v>
      </c>
      <c r="U4" s="1">
        <v>3197232.4408927113</v>
      </c>
      <c r="V4" s="1">
        <v>3200271.9923046702</v>
      </c>
      <c r="W4" s="1">
        <v>3206208.2020924841</v>
      </c>
      <c r="X4" s="1">
        <v>3209298.489589205</v>
      </c>
      <c r="Y4" s="1">
        <v>3206759.2823485523</v>
      </c>
      <c r="Z4" s="1">
        <v>3217621.3612671997</v>
      </c>
      <c r="AA4" s="1">
        <v>3232009.2599452501</v>
      </c>
      <c r="AB4" s="1">
        <v>3248153.7003637645</v>
      </c>
      <c r="AC4" s="1">
        <v>3257861.815727755</v>
      </c>
      <c r="AD4" s="1">
        <v>3270907.1883302182</v>
      </c>
      <c r="AE4" s="1">
        <v>3279622.4902100796</v>
      </c>
      <c r="AF4" s="1">
        <v>3277903.2412864221</v>
      </c>
      <c r="AG4" s="1">
        <v>3277403.8333008736</v>
      </c>
      <c r="AH4" s="1">
        <v>3278565.7012212295</v>
      </c>
      <c r="AI4" s="1">
        <v>3286513.6855184436</v>
      </c>
      <c r="AJ4" s="1">
        <v>3294067.4186659409</v>
      </c>
      <c r="AK4" s="1">
        <v>3291079.0721665481</v>
      </c>
      <c r="AL4" s="1">
        <v>3302868.8832427328</v>
      </c>
      <c r="AM4" s="1">
        <v>3320756.8844307223</v>
      </c>
      <c r="AN4" s="1">
        <v>3340933.4947852469</v>
      </c>
      <c r="AO4" s="1">
        <v>3361251.4883031487</v>
      </c>
      <c r="AP4" s="1">
        <v>3375065.7292879792</v>
      </c>
      <c r="AQ4" s="1">
        <v>3381172.7471129689</v>
      </c>
      <c r="AR4" s="1">
        <v>3386414.7571271937</v>
      </c>
      <c r="AS4" s="1">
        <v>3391288.5977813792</v>
      </c>
      <c r="AT4" s="1">
        <v>3392729.8369452604</v>
      </c>
      <c r="AU4" s="1">
        <v>3402325.8630880555</v>
      </c>
      <c r="AV4" s="1">
        <v>3408898.5907302378</v>
      </c>
      <c r="AW4" s="1">
        <v>3403593.15304117</v>
      </c>
      <c r="AX4" s="1">
        <v>3408076.9699029298</v>
      </c>
      <c r="AY4" s="1">
        <v>3419950.3159761503</v>
      </c>
      <c r="AZ4" s="1">
        <v>3429635.6209401712</v>
      </c>
      <c r="BA4" s="1">
        <v>3428639.4943090538</v>
      </c>
      <c r="BB4" s="1">
        <v>3421912.5569421006</v>
      </c>
      <c r="BC4" s="1">
        <v>3401129.5184408426</v>
      </c>
      <c r="BD4" s="1">
        <v>3390525.4966093451</v>
      </c>
      <c r="BE4" s="1">
        <v>3373559.5149696413</v>
      </c>
      <c r="BF4" s="1">
        <v>3359542.4661068944</v>
      </c>
      <c r="BG4" s="1">
        <v>3355230.4289067099</v>
      </c>
      <c r="BH4" s="1">
        <v>3330689.4716574801</v>
      </c>
      <c r="BI4" s="1">
        <v>3302496.1288655261</v>
      </c>
      <c r="BJ4" s="1">
        <v>3290637.1694085132</v>
      </c>
      <c r="BK4" s="1">
        <v>3257612.8275163183</v>
      </c>
      <c r="BL4" s="1">
        <v>3234512.2457965473</v>
      </c>
      <c r="BM4" s="1">
        <v>3223448.0651091081</v>
      </c>
      <c r="BN4" s="1">
        <v>3220010.0592567371</v>
      </c>
      <c r="BO4" s="1">
        <v>3214507.6469623614</v>
      </c>
      <c r="BP4" s="1">
        <v>3199760.9149705237</v>
      </c>
      <c r="BQ4" s="1">
        <v>3180944.6420793366</v>
      </c>
      <c r="BR4" s="1">
        <v>3175964.106841417</v>
      </c>
      <c r="BS4" s="1">
        <v>3174277.2884153444</v>
      </c>
      <c r="BT4" s="1">
        <v>3156746.7841053987</v>
      </c>
      <c r="BU4" s="1">
        <v>3134261.1286219927</v>
      </c>
      <c r="BV4" s="1">
        <v>3130544.6155290864</v>
      </c>
      <c r="BW4" s="1">
        <v>3141620.7692098338</v>
      </c>
      <c r="BX4" s="1">
        <v>3130049.6125245439</v>
      </c>
      <c r="BY4" s="1">
        <v>3135101.8090445194</v>
      </c>
      <c r="BZ4" s="1">
        <v>3138166.5026899753</v>
      </c>
      <c r="CA4" s="1">
        <v>3139947.1053018039</v>
      </c>
      <c r="CB4" s="1">
        <v>3133524.2649085815</v>
      </c>
      <c r="CC4" s="1">
        <v>3126208.4812950799</v>
      </c>
      <c r="CD4" s="1">
        <v>3110824.3484453163</v>
      </c>
      <c r="CE4" s="1">
        <v>3107227.978257305</v>
      </c>
      <c r="CF4" s="1">
        <v>3104767.4713252336</v>
      </c>
      <c r="CG4" s="1">
        <v>3092666.8389883963</v>
      </c>
      <c r="CH4" s="1">
        <v>3081643.2354824739</v>
      </c>
      <c r="CI4" s="1">
        <v>3088644.7854422564</v>
      </c>
      <c r="CJ4" s="1">
        <v>3088384.9511008346</v>
      </c>
      <c r="CK4" s="1">
        <v>3101498.0503974888</v>
      </c>
      <c r="CL4" s="1">
        <v>3114766.133451337</v>
      </c>
      <c r="CM4" s="1">
        <v>3113508.6253337795</v>
      </c>
      <c r="CN4" s="1">
        <v>3097313.3457309147</v>
      </c>
      <c r="CO4" s="1">
        <v>3091274.8549540271</v>
      </c>
      <c r="CP4" s="1">
        <v>3085111.2875148649</v>
      </c>
      <c r="CQ4" s="1">
        <v>3082347.4550407827</v>
      </c>
      <c r="CR4" s="1">
        <v>3074398.1097260676</v>
      </c>
      <c r="CS4" s="1">
        <v>3056953.2098898394</v>
      </c>
      <c r="CT4" s="1">
        <v>3049648.532772705</v>
      </c>
      <c r="CU4" s="1">
        <v>3037885.2035909398</v>
      </c>
      <c r="CV4" s="1">
        <v>3055613.387608815</v>
      </c>
      <c r="CW4" s="1">
        <v>3063528.8070257967</v>
      </c>
      <c r="CX4" s="1">
        <v>3067460.3740115715</v>
      </c>
      <c r="CY4" s="1">
        <v>3065642.1425174684</v>
      </c>
      <c r="CZ4" s="1">
        <v>3056534.0445964276</v>
      </c>
      <c r="DA4" s="1">
        <v>3052225.6273745485</v>
      </c>
      <c r="DB4" s="1">
        <v>3036712.7257234622</v>
      </c>
      <c r="DC4" s="1">
        <v>3028489.969137751</v>
      </c>
      <c r="DD4" s="1">
        <v>3023324.6220691418</v>
      </c>
      <c r="DE4" s="1">
        <v>3004256.1553140762</v>
      </c>
      <c r="DF4" s="1">
        <v>3004740.5434467057</v>
      </c>
      <c r="DG4" s="1">
        <v>3006596.7871648679</v>
      </c>
      <c r="DH4" s="1">
        <v>3006592.3856980801</v>
      </c>
      <c r="DI4" s="1">
        <v>3016222.9067918565</v>
      </c>
      <c r="DJ4" s="1">
        <v>3036324.0032024281</v>
      </c>
      <c r="DK4" s="1">
        <v>3040558.648480305</v>
      </c>
      <c r="DL4" s="1">
        <v>3041125.4527871059</v>
      </c>
      <c r="DM4" s="1">
        <v>3045480.5238092141</v>
      </c>
      <c r="DN4" s="1">
        <v>3028757.7440094072</v>
      </c>
      <c r="DO4" s="1">
        <v>3030854.4517596541</v>
      </c>
      <c r="DP4" s="1">
        <v>3036942.9996158909</v>
      </c>
      <c r="DQ4" s="1">
        <v>3041117.0230592536</v>
      </c>
      <c r="DR4" s="1">
        <v>3048764.4981692908</v>
      </c>
      <c r="DS4" s="1">
        <v>3051916.9559810478</v>
      </c>
      <c r="DT4" s="1">
        <v>3070842.5686344672</v>
      </c>
      <c r="DU4" s="1">
        <v>3091782.4091676911</v>
      </c>
      <c r="DV4" s="1">
        <v>3117778.2913370701</v>
      </c>
      <c r="DW4" s="1">
        <v>3127963.4898099219</v>
      </c>
      <c r="DX4" s="1">
        <v>3119731.748179731</v>
      </c>
      <c r="DY4" s="1">
        <v>3117568.1520116432</v>
      </c>
      <c r="DZ4" s="1">
        <v>3113087.976837439</v>
      </c>
      <c r="EA4" s="1">
        <v>3119447.9372272035</v>
      </c>
      <c r="EB4" s="1">
        <v>3126402.7376588397</v>
      </c>
      <c r="EC4" s="1">
        <v>3115921.4034558479</v>
      </c>
      <c r="ED4" s="1">
        <v>3119793.7581689274</v>
      </c>
      <c r="EE4" s="1">
        <v>3124535.7051795311</v>
      </c>
      <c r="EF4" s="1">
        <v>3144628.4526547329</v>
      </c>
      <c r="EG4" s="1">
        <v>3166702.5837345617</v>
      </c>
      <c r="EH4" s="1">
        <v>3185357.7089347211</v>
      </c>
      <c r="EI4" s="1">
        <v>3187453.8716616137</v>
      </c>
      <c r="EJ4" s="1">
        <v>3178338.7344446518</v>
      </c>
      <c r="EK4" s="1">
        <v>3167714.1353469761</v>
      </c>
      <c r="EL4" s="1">
        <v>3163689.9828081112</v>
      </c>
      <c r="EM4" s="1">
        <v>3163960.9800856197</v>
      </c>
      <c r="EN4" s="1">
        <v>3164104.1473920504</v>
      </c>
      <c r="EO4" s="1">
        <v>3158845.3211015174</v>
      </c>
      <c r="EP4" s="1">
        <v>3155108.0534530068</v>
      </c>
      <c r="EQ4" s="1">
        <v>3153986.8544365503</v>
      </c>
      <c r="ER4" s="1">
        <v>3182836.2216011658</v>
      </c>
      <c r="ES4" s="1">
        <v>3203793.6499007535</v>
      </c>
      <c r="ET4" s="1">
        <v>3205954.1133681452</v>
      </c>
      <c r="EU4" s="1">
        <v>3209313.4489994585</v>
      </c>
      <c r="EV4" s="1">
        <v>3198552.6722114291</v>
      </c>
      <c r="EW4" s="1">
        <v>3190673.4488641173</v>
      </c>
      <c r="EX4" s="1">
        <v>3189766.5793440938</v>
      </c>
      <c r="EY4" s="1">
        <v>3190296.0529722385</v>
      </c>
      <c r="EZ4" s="1">
        <v>3195585.4400673541</v>
      </c>
      <c r="FA4" s="1">
        <v>3181871.34990275</v>
      </c>
      <c r="FB4" s="1">
        <v>3179026.8387363916</v>
      </c>
      <c r="FC4" s="1">
        <v>3186053.7910585622</v>
      </c>
      <c r="FD4" s="1">
        <v>3212526.4585402338</v>
      </c>
      <c r="FE4" s="1">
        <v>3227139.0396081964</v>
      </c>
      <c r="FF4" s="1">
        <v>3241989.1401887536</v>
      </c>
      <c r="FG4" s="1">
        <v>3239969.2752733221</v>
      </c>
      <c r="FH4" s="1">
        <v>3223928.9437079648</v>
      </c>
      <c r="FI4" s="1">
        <v>3211339.1429745574</v>
      </c>
      <c r="FJ4" s="1">
        <v>3208065.8379790452</v>
      </c>
      <c r="FK4" s="1">
        <v>3215873.7199638681</v>
      </c>
      <c r="FL4" s="1">
        <v>3218436.2857255209</v>
      </c>
      <c r="FM4" s="1">
        <v>3191149.0510652075</v>
      </c>
      <c r="FN4" s="1">
        <v>3180800.737431312</v>
      </c>
      <c r="FO4" s="1">
        <v>3201201.8879410177</v>
      </c>
      <c r="FP4" s="1">
        <v>3244757.4526259629</v>
      </c>
      <c r="FQ4" s="1">
        <v>3270640.4407892977</v>
      </c>
      <c r="FR4" s="1">
        <v>3273724.7129203491</v>
      </c>
      <c r="FS4" s="1">
        <v>3268246.6303451359</v>
      </c>
      <c r="FT4" s="1">
        <v>3259820.3927554414</v>
      </c>
      <c r="FU4" s="1">
        <v>3254876.6796023264</v>
      </c>
      <c r="FV4" s="1">
        <v>3248655.8808962214</v>
      </c>
      <c r="FW4" s="1">
        <v>3252675.068777198</v>
      </c>
      <c r="FX4" s="1">
        <v>3257516.5095205661</v>
      </c>
      <c r="FY4" s="1">
        <v>3240861.3078465061</v>
      </c>
      <c r="FZ4" s="1">
        <v>3251517.1953067165</v>
      </c>
      <c r="GA4" s="1">
        <v>3247538.2944271853</v>
      </c>
      <c r="GB4" s="1">
        <v>3268897.6016205139</v>
      </c>
      <c r="GC4" s="1">
        <v>3278528.0037892191</v>
      </c>
      <c r="GD4" s="1">
        <v>3285535.7011892293</v>
      </c>
      <c r="GE4" s="1">
        <v>3278817.2804281092</v>
      </c>
      <c r="GF4" s="1">
        <v>3262234.6838470469</v>
      </c>
      <c r="GG4" s="1">
        <v>3262385.2011741307</v>
      </c>
      <c r="GH4" s="1">
        <v>3261994.9009348806</v>
      </c>
      <c r="GI4" s="1">
        <v>3266326.6808168208</v>
      </c>
      <c r="GJ4" s="1">
        <v>3269990.7904314073</v>
      </c>
      <c r="GK4" s="1">
        <v>3254630.2123181317</v>
      </c>
      <c r="GL4" s="1">
        <v>3257259.5768881403</v>
      </c>
      <c r="GM4" s="1">
        <v>3271237.525587291</v>
      </c>
      <c r="GN4" s="1">
        <v>3287390.0386715</v>
      </c>
      <c r="GO4" s="1">
        <v>3275601.0008431338</v>
      </c>
      <c r="GP4" s="1">
        <v>3214739.9756618692</v>
      </c>
      <c r="GQ4" s="1">
        <v>3213364.4982551457</v>
      </c>
      <c r="GR4" s="1">
        <v>3222865.0665379828</v>
      </c>
      <c r="GS4" s="1">
        <v>3265973.4781563077</v>
      </c>
      <c r="GT4" s="1">
        <v>3283409.8084899988</v>
      </c>
      <c r="GU4" s="1">
        <v>3262902.9786068578</v>
      </c>
      <c r="GV4" s="1">
        <v>3262781.9185694316</v>
      </c>
      <c r="GW4" s="1">
        <v>3254290.8795777974</v>
      </c>
      <c r="GX4" s="1">
        <v>3262977.9136514533</v>
      </c>
      <c r="GY4" s="1">
        <v>3270933.5906134844</v>
      </c>
      <c r="GZ4" s="1">
        <v>3284995.1859195102</v>
      </c>
      <c r="HA4" s="1" t="str">
        <f t="shared" si="0"/>
        <v/>
      </c>
      <c r="HB4" s="1" t="str">
        <f t="shared" si="0"/>
        <v/>
      </c>
      <c r="HC4" s="1" t="str">
        <f t="shared" si="0"/>
        <v/>
      </c>
      <c r="HD4" s="1" t="str">
        <f t="shared" si="0"/>
        <v/>
      </c>
      <c r="HE4" s="1" t="str">
        <f t="shared" si="0"/>
        <v/>
      </c>
      <c r="HF4" s="1" t="str">
        <f t="shared" si="0"/>
        <v/>
      </c>
      <c r="HG4" s="1" t="str">
        <f t="shared" si="0"/>
        <v/>
      </c>
      <c r="HH4" s="1" t="str">
        <f t="shared" si="0"/>
        <v/>
      </c>
      <c r="HI4" s="1" t="str">
        <f t="shared" si="0"/>
        <v/>
      </c>
      <c r="HJ4" s="1" t="str">
        <f t="shared" si="0"/>
        <v/>
      </c>
      <c r="HK4" s="1" t="str">
        <f t="shared" si="0"/>
        <v/>
      </c>
      <c r="HL4" s="1" t="str">
        <f t="shared" si="0"/>
        <v/>
      </c>
      <c r="HM4" s="1" t="str">
        <f t="shared" si="0"/>
        <v/>
      </c>
      <c r="HN4" s="1" t="str">
        <f t="shared" si="0"/>
        <v/>
      </c>
      <c r="HO4" s="1" t="str">
        <f t="shared" si="0"/>
        <v/>
      </c>
      <c r="HP4" s="1" t="str">
        <f t="shared" si="0"/>
        <v/>
      </c>
      <c r="HQ4" s="1" t="str">
        <f t="shared" si="0"/>
        <v/>
      </c>
      <c r="HR4" s="1" t="str">
        <f t="shared" si="0"/>
        <v/>
      </c>
      <c r="HS4" s="1" t="str">
        <f t="shared" si="0"/>
        <v/>
      </c>
      <c r="HT4" s="1" t="str">
        <f t="shared" si="0"/>
        <v/>
      </c>
      <c r="HU4" s="1" t="str">
        <f t="shared" si="0"/>
        <v/>
      </c>
      <c r="HV4" s="1" t="str">
        <f t="shared" si="0"/>
        <v/>
      </c>
      <c r="HW4" s="1" t="str">
        <f t="shared" si="0"/>
        <v/>
      </c>
      <c r="HX4" s="1" t="str">
        <f t="shared" si="0"/>
        <v/>
      </c>
      <c r="HY4" s="1" t="str">
        <f t="shared" si="0"/>
        <v/>
      </c>
      <c r="HZ4" s="1" t="str">
        <f t="shared" si="0"/>
        <v/>
      </c>
      <c r="IA4" s="1" t="str">
        <f t="shared" si="0"/>
        <v/>
      </c>
      <c r="IB4" s="1" t="str">
        <f t="shared" si="0"/>
        <v/>
      </c>
      <c r="IC4" s="1" t="str">
        <f t="shared" si="0"/>
        <v/>
      </c>
      <c r="ID4" s="1" t="str">
        <f t="shared" si="0"/>
        <v/>
      </c>
      <c r="IE4" s="1" t="str">
        <f t="shared" si="0"/>
        <v/>
      </c>
      <c r="IF4" s="1" t="str">
        <f t="shared" si="0"/>
        <v/>
      </c>
      <c r="IG4" s="1" t="str">
        <f t="shared" si="0"/>
        <v/>
      </c>
      <c r="IH4" s="1" t="str">
        <f t="shared" si="0"/>
        <v/>
      </c>
      <c r="II4" s="1" t="str">
        <f t="shared" si="0"/>
        <v/>
      </c>
      <c r="IJ4" s="1" t="str">
        <f t="shared" si="0"/>
        <v/>
      </c>
      <c r="IK4" s="1" t="str">
        <f t="shared" si="0"/>
        <v/>
      </c>
      <c r="IL4" s="1" t="str">
        <f t="shared" si="0"/>
        <v/>
      </c>
      <c r="IM4" s="1" t="str">
        <f t="shared" si="0"/>
        <v/>
      </c>
      <c r="IN4" s="1" t="str">
        <f t="shared" si="0"/>
        <v/>
      </c>
      <c r="IO4" s="1" t="str">
        <f t="shared" si="0"/>
        <v/>
      </c>
      <c r="IP4" s="1" t="str">
        <f t="shared" si="0"/>
        <v/>
      </c>
      <c r="IQ4" s="1" t="str">
        <f t="shared" si="0"/>
        <v/>
      </c>
      <c r="IR4" s="1" t="str">
        <f t="shared" si="0"/>
        <v/>
      </c>
      <c r="IS4" s="1" t="str">
        <f t="shared" si="0"/>
        <v/>
      </c>
      <c r="IT4" s="1" t="str">
        <f t="shared" si="0"/>
        <v/>
      </c>
      <c r="IU4" s="1" t="str">
        <f t="shared" si="0"/>
        <v/>
      </c>
      <c r="IV4" s="1" t="str">
        <f t="shared" si="0"/>
        <v/>
      </c>
      <c r="IW4" s="1" t="str">
        <f t="shared" si="0"/>
        <v/>
      </c>
      <c r="IX4" s="1" t="str">
        <f t="shared" si="0"/>
        <v/>
      </c>
      <c r="IY4" s="1" t="str">
        <f t="shared" si="0"/>
        <v/>
      </c>
      <c r="IZ4" s="1" t="str">
        <f t="shared" si="0"/>
        <v/>
      </c>
      <c r="JA4" s="1" t="str">
        <f t="shared" si="0"/>
        <v/>
      </c>
      <c r="JB4" s="1" t="str">
        <f t="shared" si="0"/>
        <v/>
      </c>
      <c r="JC4" s="1" t="str">
        <f t="shared" si="0"/>
        <v/>
      </c>
      <c r="JD4" s="1" t="str">
        <f t="shared" si="0"/>
        <v/>
      </c>
      <c r="JE4" s="1" t="str">
        <f t="shared" si="0"/>
        <v/>
      </c>
      <c r="JF4" s="1" t="str">
        <f t="shared" si="0"/>
        <v/>
      </c>
      <c r="JG4" s="1" t="str">
        <f t="shared" si="0"/>
        <v/>
      </c>
      <c r="JH4" s="1" t="str">
        <f t="shared" si="0"/>
        <v/>
      </c>
      <c r="LY4" s="1"/>
    </row>
    <row r="5" spans="1:337" x14ac:dyDescent="0.25">
      <c r="A5" s="5">
        <v>3</v>
      </c>
      <c r="B5" s="1">
        <v>3033635.5008502239</v>
      </c>
      <c r="C5" s="1">
        <v>3058492.4409026103</v>
      </c>
      <c r="D5" s="1">
        <v>3079990.7732544569</v>
      </c>
      <c r="E5" s="1">
        <v>3097045.637965641</v>
      </c>
      <c r="F5" s="1">
        <v>3106581.0536842011</v>
      </c>
      <c r="G5" s="1">
        <v>3107115.451969035</v>
      </c>
      <c r="H5" s="1">
        <v>3112138.0196223832</v>
      </c>
      <c r="I5" s="1">
        <v>3114683.5585971046</v>
      </c>
      <c r="J5" s="1">
        <v>3115970.9306317819</v>
      </c>
      <c r="K5" s="1">
        <v>3116844.4433060684</v>
      </c>
      <c r="L5" s="1">
        <v>3115450.2160867155</v>
      </c>
      <c r="M5" s="1">
        <v>3126945.5929020066</v>
      </c>
      <c r="N5" s="1">
        <v>3150456.8836388923</v>
      </c>
      <c r="O5" s="1">
        <v>3169909.4361683894</v>
      </c>
      <c r="P5" s="1">
        <v>3181300.7708424013</v>
      </c>
      <c r="Q5" s="1">
        <v>3192448.5074385367</v>
      </c>
      <c r="R5" s="1">
        <v>3197202.6924624168</v>
      </c>
      <c r="S5" s="1">
        <v>3198875.5171286743</v>
      </c>
      <c r="T5" s="1">
        <v>3201410.3449375788</v>
      </c>
      <c r="U5" s="1">
        <v>3201592.8593205204</v>
      </c>
      <c r="V5" s="1">
        <v>3204396.6258507613</v>
      </c>
      <c r="W5" s="1">
        <v>3207858.1713865977</v>
      </c>
      <c r="X5" s="1">
        <v>3205475.7992020538</v>
      </c>
      <c r="Y5" s="1">
        <v>3215982.935702295</v>
      </c>
      <c r="Z5" s="1">
        <v>3234024.0010546483</v>
      </c>
      <c r="AA5" s="1">
        <v>3247475.5578856245</v>
      </c>
      <c r="AB5" s="1">
        <v>3263342.3614244638</v>
      </c>
      <c r="AC5" s="1">
        <v>3269620.9909912692</v>
      </c>
      <c r="AD5" s="1">
        <v>3276356.656695608</v>
      </c>
      <c r="AE5" s="1">
        <v>3280818.5412056865</v>
      </c>
      <c r="AF5" s="1">
        <v>3279094.1801870419</v>
      </c>
      <c r="AG5" s="1">
        <v>3280610.7142841578</v>
      </c>
      <c r="AH5" s="1">
        <v>3281880.6984031992</v>
      </c>
      <c r="AI5" s="1">
        <v>3289209.3453120687</v>
      </c>
      <c r="AJ5" s="1">
        <v>3291523.6582062468</v>
      </c>
      <c r="AK5" s="1">
        <v>3299241.2709380817</v>
      </c>
      <c r="AL5" s="1">
        <v>3317870.0027829367</v>
      </c>
      <c r="AM5" s="1">
        <v>3337216.9298206009</v>
      </c>
      <c r="AN5" s="1">
        <v>3357573.4283236172</v>
      </c>
      <c r="AO5" s="1">
        <v>3375458.5769254426</v>
      </c>
      <c r="AP5" s="1">
        <v>3382551.1836529174</v>
      </c>
      <c r="AQ5" s="1">
        <v>3383588.585344757</v>
      </c>
      <c r="AR5" s="1">
        <v>3390618.5381274661</v>
      </c>
      <c r="AS5" s="1">
        <v>3399016.8745932858</v>
      </c>
      <c r="AT5" s="1">
        <v>3397986.3274112688</v>
      </c>
      <c r="AU5" s="1">
        <v>3407521.9727623947</v>
      </c>
      <c r="AV5" s="1">
        <v>3409630.8660346698</v>
      </c>
      <c r="AW5" s="1">
        <v>3414101.4294806379</v>
      </c>
      <c r="AX5" s="1">
        <v>3423749.0506923357</v>
      </c>
      <c r="AY5" s="1">
        <v>3435308.5979840076</v>
      </c>
      <c r="AZ5" s="1">
        <v>3444818.4701978266</v>
      </c>
      <c r="BA5" s="1">
        <v>3437614.1102471761</v>
      </c>
      <c r="BB5" s="1">
        <v>3421334.3071686202</v>
      </c>
      <c r="BC5" s="1">
        <v>3386564.5800464619</v>
      </c>
      <c r="BD5" s="1">
        <v>3380359.477654662</v>
      </c>
      <c r="BE5" s="1">
        <v>3364712.1179398368</v>
      </c>
      <c r="BF5" s="1">
        <v>3347471.4311788967</v>
      </c>
      <c r="BG5" s="1">
        <v>3345050.1732834377</v>
      </c>
      <c r="BH5" s="1">
        <v>3312519.3445210578</v>
      </c>
      <c r="BI5" s="1">
        <v>3292713.3321800232</v>
      </c>
      <c r="BJ5" s="1">
        <v>3286454.4603204494</v>
      </c>
      <c r="BK5" s="1">
        <v>3246541.9866912523</v>
      </c>
      <c r="BL5" s="1">
        <v>3215307.6774725453</v>
      </c>
      <c r="BM5" s="1">
        <v>3207199.6467996649</v>
      </c>
      <c r="BN5" s="1">
        <v>3200206.6863822183</v>
      </c>
      <c r="BO5" s="1">
        <v>3191727.5248964103</v>
      </c>
      <c r="BP5" s="1">
        <v>3181042.9305849923</v>
      </c>
      <c r="BQ5" s="1">
        <v>3164382.1454309514</v>
      </c>
      <c r="BR5" s="1">
        <v>3162198.3987023761</v>
      </c>
      <c r="BS5" s="1">
        <v>3164611.1808897099</v>
      </c>
      <c r="BT5" s="1">
        <v>3134687.9485871764</v>
      </c>
      <c r="BU5" s="1">
        <v>3123352.1129612969</v>
      </c>
      <c r="BV5" s="1">
        <v>3130246.2632114417</v>
      </c>
      <c r="BW5" s="1">
        <v>3144194.7369176093</v>
      </c>
      <c r="BX5" s="1">
        <v>3128432.7147630416</v>
      </c>
      <c r="BY5" s="1">
        <v>3133852.507688866</v>
      </c>
      <c r="BZ5" s="1">
        <v>3131952.9920467688</v>
      </c>
      <c r="CA5" s="1">
        <v>3132340.6582149398</v>
      </c>
      <c r="CB5" s="1">
        <v>3131158.1243202845</v>
      </c>
      <c r="CC5" s="1">
        <v>3119044.3426735494</v>
      </c>
      <c r="CD5" s="1">
        <v>3101089.3330431017</v>
      </c>
      <c r="CE5" s="1">
        <v>3099955.7446176237</v>
      </c>
      <c r="CF5" s="1">
        <v>3090960.2013759781</v>
      </c>
      <c r="CG5" s="1">
        <v>3084929.3456515772</v>
      </c>
      <c r="CH5" s="1">
        <v>3084532.4733826108</v>
      </c>
      <c r="CI5" s="1">
        <v>3094385.2088201465</v>
      </c>
      <c r="CJ5" s="1">
        <v>3092812.7847788148</v>
      </c>
      <c r="CK5" s="1">
        <v>3107237.4541338775</v>
      </c>
      <c r="CL5" s="1">
        <v>3114259.5089243199</v>
      </c>
      <c r="CM5" s="1">
        <v>3105929.7016606913</v>
      </c>
      <c r="CN5" s="1">
        <v>3092972.7104327027</v>
      </c>
      <c r="CO5" s="1">
        <v>3086573.2806680342</v>
      </c>
      <c r="CP5" s="1">
        <v>3078047.0138177797</v>
      </c>
      <c r="CQ5" s="1">
        <v>3077371.8903591735</v>
      </c>
      <c r="CR5" s="1">
        <v>3062084.497246949</v>
      </c>
      <c r="CS5" s="1">
        <v>3048420.3094423087</v>
      </c>
      <c r="CT5" s="1">
        <v>3053861.2349784607</v>
      </c>
      <c r="CU5" s="1">
        <v>3038122.6090694154</v>
      </c>
      <c r="CV5" s="1">
        <v>3060896.81772207</v>
      </c>
      <c r="CW5" s="1">
        <v>3066709.8024791996</v>
      </c>
      <c r="CX5" s="1">
        <v>3064836.3217265168</v>
      </c>
      <c r="CY5" s="1">
        <v>3056356.5566459298</v>
      </c>
      <c r="CZ5" s="1">
        <v>3052699.2902574083</v>
      </c>
      <c r="DA5" s="1">
        <v>3047536.384218202</v>
      </c>
      <c r="DB5" s="1">
        <v>3025960.1829460268</v>
      </c>
      <c r="DC5" s="1">
        <v>3020338.8246310172</v>
      </c>
      <c r="DD5" s="1">
        <v>3008847.0043284819</v>
      </c>
      <c r="DE5" s="1">
        <v>2995156.530015151</v>
      </c>
      <c r="DF5" s="1">
        <v>3011788.6183115002</v>
      </c>
      <c r="DG5" s="1">
        <v>3012226.7699720217</v>
      </c>
      <c r="DH5" s="1">
        <v>3010925.2448981944</v>
      </c>
      <c r="DI5" s="1">
        <v>3019648.3327948321</v>
      </c>
      <c r="DJ5" s="1">
        <v>3036740.4601423973</v>
      </c>
      <c r="DK5" s="1">
        <v>3033092.6143209361</v>
      </c>
      <c r="DL5" s="1">
        <v>3044209.522814434</v>
      </c>
      <c r="DM5" s="1">
        <v>3048110.1206922149</v>
      </c>
      <c r="DN5" s="1">
        <v>3022716.1306697098</v>
      </c>
      <c r="DO5" s="1">
        <v>3030252.6643964397</v>
      </c>
      <c r="DP5" s="1">
        <v>3027310.6681427029</v>
      </c>
      <c r="DQ5" s="1">
        <v>3042620.5930596376</v>
      </c>
      <c r="DR5" s="1">
        <v>3065214.4683201965</v>
      </c>
      <c r="DS5" s="1">
        <v>3063927.9758068789</v>
      </c>
      <c r="DT5" s="1">
        <v>3085894.156565777</v>
      </c>
      <c r="DU5" s="1">
        <v>3106421.7259854116</v>
      </c>
      <c r="DV5" s="1">
        <v>3127279.9797286857</v>
      </c>
      <c r="DW5" s="1">
        <v>3126204.0901435791</v>
      </c>
      <c r="DX5" s="1">
        <v>3125500.573912479</v>
      </c>
      <c r="DY5" s="1">
        <v>3121467.2818735959</v>
      </c>
      <c r="DZ5" s="1">
        <v>3112562.5707919286</v>
      </c>
      <c r="EA5" s="1">
        <v>3120589.6656157374</v>
      </c>
      <c r="EB5" s="1">
        <v>3122091.4548964314</v>
      </c>
      <c r="EC5" s="1">
        <v>3116184.2591337091</v>
      </c>
      <c r="ED5" s="1">
        <v>3134289.3932377254</v>
      </c>
      <c r="EE5" s="1">
        <v>3139922.7342536524</v>
      </c>
      <c r="EF5" s="1">
        <v>3159806.7569546611</v>
      </c>
      <c r="EG5" s="1">
        <v>3181498.261680603</v>
      </c>
      <c r="EH5" s="1">
        <v>3190312.2069897819</v>
      </c>
      <c r="EI5" s="1">
        <v>3180665.4835390085</v>
      </c>
      <c r="EJ5" s="1">
        <v>3181294.031173123</v>
      </c>
      <c r="EK5" s="1">
        <v>3167475.9653444747</v>
      </c>
      <c r="EL5" s="1">
        <v>3161042.234800077</v>
      </c>
      <c r="EM5" s="1">
        <v>3165138.5030367626</v>
      </c>
      <c r="EN5" s="1">
        <v>3151088.0989499157</v>
      </c>
      <c r="EO5" s="1">
        <v>3158330.5406789118</v>
      </c>
      <c r="EP5" s="1">
        <v>3167592.1040750607</v>
      </c>
      <c r="EQ5" s="1">
        <v>3165880.5171202626</v>
      </c>
      <c r="ER5" s="1">
        <v>3197282.9600728778</v>
      </c>
      <c r="ES5" s="1">
        <v>3216458.3590299282</v>
      </c>
      <c r="ET5" s="1">
        <v>3206839.9916948332</v>
      </c>
      <c r="EU5" s="1">
        <v>3199271.6851556627</v>
      </c>
      <c r="EV5" s="1">
        <v>3199643.4954638062</v>
      </c>
      <c r="EW5" s="1">
        <v>3189226.6766642262</v>
      </c>
      <c r="EX5" s="1">
        <v>3188100.9493534616</v>
      </c>
      <c r="EY5" s="1">
        <v>3190802.3873910052</v>
      </c>
      <c r="EZ5" s="1">
        <v>3184171.565044512</v>
      </c>
      <c r="FA5" s="1">
        <v>3181741.6365487706</v>
      </c>
      <c r="FB5" s="1">
        <v>3192109.0648985021</v>
      </c>
      <c r="FC5" s="1">
        <v>3198430.1765977778</v>
      </c>
      <c r="FD5" s="1">
        <v>3227836.5872370107</v>
      </c>
      <c r="FE5" s="1">
        <v>3238522.3176706694</v>
      </c>
      <c r="FF5" s="1">
        <v>3240282.9876811951</v>
      </c>
      <c r="FG5" s="1">
        <v>3229803.7728581093</v>
      </c>
      <c r="FH5" s="1">
        <v>3223989.508686116</v>
      </c>
      <c r="FI5" s="1">
        <v>3208636.2208988294</v>
      </c>
      <c r="FJ5" s="1">
        <v>3204431.5289025502</v>
      </c>
      <c r="FK5" s="1">
        <v>3216238.0144825084</v>
      </c>
      <c r="FL5" s="1">
        <v>3202388.1972927093</v>
      </c>
      <c r="FM5" s="1">
        <v>3189374.3060839232</v>
      </c>
      <c r="FN5" s="1">
        <v>3189916.7054489111</v>
      </c>
      <c r="FO5" s="1">
        <v>3211495.6037887004</v>
      </c>
      <c r="FP5" s="1">
        <v>3258797.2594284359</v>
      </c>
      <c r="FQ5" s="1">
        <v>3286515.1286157281</v>
      </c>
      <c r="FR5" s="1">
        <v>3272390.8721496845</v>
      </c>
      <c r="FS5" s="1">
        <v>3257538.2327296487</v>
      </c>
      <c r="FT5" s="1">
        <v>3260826.707093765</v>
      </c>
      <c r="FU5" s="1">
        <v>3257486.4337880523</v>
      </c>
      <c r="FV5" s="1">
        <v>3244755.8430280006</v>
      </c>
      <c r="FW5" s="1">
        <v>3251702.0648219655</v>
      </c>
      <c r="FX5" s="1">
        <v>3245458.1656817803</v>
      </c>
      <c r="FY5" s="1">
        <v>3247148.0420374866</v>
      </c>
      <c r="FZ5" s="1">
        <v>3272620.0536199426</v>
      </c>
      <c r="GA5" s="1">
        <v>3259586.9053820749</v>
      </c>
      <c r="GB5" s="1">
        <v>3281186.6468765801</v>
      </c>
      <c r="GC5" s="1">
        <v>3287104.155932737</v>
      </c>
      <c r="GD5" s="1">
        <v>3275712.5489611533</v>
      </c>
      <c r="GE5" s="1">
        <v>3261273.3927275143</v>
      </c>
      <c r="GF5" s="1">
        <v>3262378.0401387759</v>
      </c>
      <c r="GG5" s="1">
        <v>3265244.0567297013</v>
      </c>
      <c r="GH5" s="1">
        <v>3256677.8288643844</v>
      </c>
      <c r="GI5" s="1">
        <v>3266591.9640391637</v>
      </c>
      <c r="GJ5" s="1">
        <v>3254625.3371930085</v>
      </c>
      <c r="GK5" s="1">
        <v>3260906.8094232762</v>
      </c>
      <c r="GL5" s="1">
        <v>3271430.4398161699</v>
      </c>
      <c r="GM5" s="1">
        <v>3284396.12184308</v>
      </c>
      <c r="GN5" s="1">
        <v>3299474.674103464</v>
      </c>
      <c r="GO5" s="1">
        <v>3277292.4915957763</v>
      </c>
      <c r="GP5" s="1">
        <v>3204830.0111464597</v>
      </c>
      <c r="GQ5" s="1">
        <v>3193028.8089525038</v>
      </c>
      <c r="GR5" s="1">
        <v>3219775.0442329952</v>
      </c>
      <c r="GS5" s="1">
        <v>3279232.0395647706</v>
      </c>
      <c r="GT5" s="1">
        <v>3286177.9107232932</v>
      </c>
      <c r="GU5" s="1">
        <v>3262999.4484325936</v>
      </c>
      <c r="GV5" s="1">
        <v>3244797.2479966637</v>
      </c>
      <c r="GW5" s="1">
        <v>3260367.2600062592</v>
      </c>
      <c r="GX5" s="1">
        <v>3274198.2129965383</v>
      </c>
      <c r="GY5" s="1">
        <v>3278851.9800622147</v>
      </c>
      <c r="GZ5" s="1">
        <v>3296343.3654370401</v>
      </c>
      <c r="HA5" s="1" t="str">
        <f t="shared" si="0"/>
        <v/>
      </c>
      <c r="HB5" s="1" t="str">
        <f t="shared" si="0"/>
        <v/>
      </c>
      <c r="HC5" s="1" t="str">
        <f t="shared" si="0"/>
        <v/>
      </c>
      <c r="HD5" s="1" t="str">
        <f t="shared" si="0"/>
        <v/>
      </c>
      <c r="HE5" s="1" t="str">
        <f t="shared" si="0"/>
        <v/>
      </c>
      <c r="HF5" s="1" t="str">
        <f t="shared" si="0"/>
        <v/>
      </c>
      <c r="HG5" s="1" t="str">
        <f t="shared" si="0"/>
        <v/>
      </c>
      <c r="HH5" s="1" t="str">
        <f t="shared" si="0"/>
        <v/>
      </c>
      <c r="HI5" s="1" t="str">
        <f t="shared" si="0"/>
        <v/>
      </c>
      <c r="HJ5" s="1" t="str">
        <f t="shared" si="0"/>
        <v/>
      </c>
      <c r="HK5" s="1" t="str">
        <f t="shared" si="0"/>
        <v/>
      </c>
      <c r="HL5" s="1" t="str">
        <f t="shared" si="0"/>
        <v/>
      </c>
      <c r="HM5" s="1" t="str">
        <f t="shared" si="0"/>
        <v/>
      </c>
      <c r="HN5" s="1" t="str">
        <f t="shared" si="0"/>
        <v/>
      </c>
      <c r="HO5" s="1" t="str">
        <f t="shared" si="0"/>
        <v/>
      </c>
      <c r="HP5" s="1" t="str">
        <f t="shared" si="0"/>
        <v/>
      </c>
      <c r="HQ5" s="1" t="str">
        <f t="shared" si="0"/>
        <v/>
      </c>
      <c r="HR5" s="1" t="str">
        <f t="shared" si="0"/>
        <v/>
      </c>
      <c r="HS5" s="1" t="str">
        <f t="shared" si="0"/>
        <v/>
      </c>
      <c r="HT5" s="1" t="str">
        <f t="shared" si="0"/>
        <v/>
      </c>
      <c r="HU5" s="1" t="str">
        <f t="shared" si="0"/>
        <v/>
      </c>
      <c r="HV5" s="1" t="str">
        <f t="shared" si="0"/>
        <v/>
      </c>
      <c r="HW5" s="1" t="str">
        <f t="shared" si="0"/>
        <v/>
      </c>
      <c r="HX5" s="1" t="str">
        <f t="shared" si="0"/>
        <v/>
      </c>
      <c r="HY5" s="1" t="str">
        <f t="shared" si="0"/>
        <v/>
      </c>
      <c r="HZ5" s="1" t="str">
        <f t="shared" si="0"/>
        <v/>
      </c>
      <c r="IA5" s="1" t="str">
        <f t="shared" si="0"/>
        <v/>
      </c>
      <c r="IB5" s="1" t="str">
        <f t="shared" si="0"/>
        <v/>
      </c>
      <c r="IC5" s="1" t="str">
        <f t="shared" si="0"/>
        <v/>
      </c>
      <c r="ID5" s="1" t="str">
        <f t="shared" si="0"/>
        <v/>
      </c>
      <c r="IE5" s="1" t="str">
        <f t="shared" si="0"/>
        <v/>
      </c>
      <c r="IF5" s="1" t="str">
        <f t="shared" si="0"/>
        <v/>
      </c>
      <c r="IG5" s="1" t="str">
        <f t="shared" si="0"/>
        <v/>
      </c>
      <c r="IH5" s="1" t="str">
        <f t="shared" si="0"/>
        <v/>
      </c>
      <c r="II5" s="1" t="str">
        <f t="shared" si="0"/>
        <v/>
      </c>
      <c r="IJ5" s="1" t="str">
        <f t="shared" si="0"/>
        <v/>
      </c>
      <c r="IK5" s="1" t="str">
        <f t="shared" si="0"/>
        <v/>
      </c>
      <c r="IL5" s="1" t="str">
        <f t="shared" si="0"/>
        <v/>
      </c>
      <c r="IM5" s="1" t="str">
        <f t="shared" si="0"/>
        <v/>
      </c>
      <c r="IN5" s="1" t="str">
        <f t="shared" si="0"/>
        <v/>
      </c>
      <c r="IO5" s="1" t="str">
        <f t="shared" si="0"/>
        <v/>
      </c>
      <c r="IP5" s="1" t="str">
        <f t="shared" si="0"/>
        <v/>
      </c>
      <c r="IQ5" s="1" t="str">
        <f t="shared" si="0"/>
        <v/>
      </c>
      <c r="IR5" s="1" t="str">
        <f t="shared" si="0"/>
        <v/>
      </c>
      <c r="IS5" s="1" t="str">
        <f t="shared" si="0"/>
        <v/>
      </c>
      <c r="IT5" s="1" t="str">
        <f t="shared" si="0"/>
        <v/>
      </c>
      <c r="IU5" s="1" t="str">
        <f t="shared" si="0"/>
        <v/>
      </c>
      <c r="IV5" s="1" t="str">
        <f t="shared" si="0"/>
        <v/>
      </c>
      <c r="IW5" s="1" t="str">
        <f t="shared" si="0"/>
        <v/>
      </c>
      <c r="IX5" s="1" t="str">
        <f t="shared" si="0"/>
        <v/>
      </c>
      <c r="IY5" s="1" t="str">
        <f t="shared" si="0"/>
        <v/>
      </c>
      <c r="IZ5" s="1" t="str">
        <f t="shared" si="0"/>
        <v/>
      </c>
      <c r="JA5" s="1" t="str">
        <f t="shared" si="0"/>
        <v/>
      </c>
      <c r="JB5" s="1" t="str">
        <f t="shared" si="0"/>
        <v/>
      </c>
      <c r="JC5" s="1" t="str">
        <f t="shared" si="0"/>
        <v/>
      </c>
      <c r="JD5" s="1" t="str">
        <f t="shared" si="0"/>
        <v/>
      </c>
      <c r="JE5" s="1" t="str">
        <f t="shared" si="0"/>
        <v/>
      </c>
      <c r="JF5" s="1" t="str">
        <f t="shared" si="0"/>
        <v/>
      </c>
      <c r="JG5" s="1" t="str">
        <f t="shared" si="0"/>
        <v/>
      </c>
      <c r="JH5" s="1" t="str">
        <f t="shared" si="0"/>
        <v/>
      </c>
      <c r="LY5" s="1"/>
    </row>
    <row r="6" spans="1:337" x14ac:dyDescent="0.25">
      <c r="A6" s="5">
        <v>4</v>
      </c>
      <c r="B6" s="1">
        <v>3050856.4564441275</v>
      </c>
      <c r="C6" s="1">
        <v>3076503.5923900446</v>
      </c>
      <c r="D6" s="1">
        <v>3095375.7566087209</v>
      </c>
      <c r="E6" s="1">
        <v>3109194.2745243218</v>
      </c>
      <c r="F6" s="1">
        <v>3112812.348592204</v>
      </c>
      <c r="G6" s="1">
        <v>3111756.5499882773</v>
      </c>
      <c r="H6" s="1">
        <v>3118053.6854009097</v>
      </c>
      <c r="I6" s="1">
        <v>3120025.0251696305</v>
      </c>
      <c r="J6" s="1">
        <v>3119056.8946797899</v>
      </c>
      <c r="K6" s="1">
        <v>3114830.3637642432</v>
      </c>
      <c r="L6" s="1">
        <v>3124872.8771143379</v>
      </c>
      <c r="M6" s="1">
        <v>3144599.5810041772</v>
      </c>
      <c r="N6" s="1">
        <v>3169585.3416824858</v>
      </c>
      <c r="O6" s="1">
        <v>3187703.5320477257</v>
      </c>
      <c r="P6" s="1">
        <v>3195474.7088076752</v>
      </c>
      <c r="Q6" s="1">
        <v>3201287.482517154</v>
      </c>
      <c r="R6" s="1">
        <v>3200034.9020077311</v>
      </c>
      <c r="S6" s="1">
        <v>3200672.956093397</v>
      </c>
      <c r="T6" s="1">
        <v>3206636.2583071017</v>
      </c>
      <c r="U6" s="1">
        <v>3205860.9725456219</v>
      </c>
      <c r="V6" s="1">
        <v>3206247.6098586228</v>
      </c>
      <c r="W6" s="1">
        <v>3205409.395783457</v>
      </c>
      <c r="X6" s="1">
        <v>3213256.2010912201</v>
      </c>
      <c r="Y6" s="1">
        <v>3232217.8597668991</v>
      </c>
      <c r="Z6" s="1">
        <v>3249599.4723743973</v>
      </c>
      <c r="AA6" s="1">
        <v>3262800.094871196</v>
      </c>
      <c r="AB6" s="1">
        <v>3276355.6577370334</v>
      </c>
      <c r="AC6" s="1">
        <v>3275579.6270188135</v>
      </c>
      <c r="AD6" s="1">
        <v>3276535.2884927131</v>
      </c>
      <c r="AE6" s="1">
        <v>3281958.2338093724</v>
      </c>
      <c r="AF6" s="1">
        <v>3283066.0214636391</v>
      </c>
      <c r="AG6" s="1">
        <v>3284253.2859655335</v>
      </c>
      <c r="AH6" s="1">
        <v>3284329.2986514457</v>
      </c>
      <c r="AI6" s="1">
        <v>3285805.8758873791</v>
      </c>
      <c r="AJ6" s="1">
        <v>3299160.7462647893</v>
      </c>
      <c r="AK6" s="1">
        <v>3314071.9570070831</v>
      </c>
      <c r="AL6" s="1">
        <v>3333422.747464193</v>
      </c>
      <c r="AM6" s="1">
        <v>3354058.979911882</v>
      </c>
      <c r="AN6" s="1">
        <v>3371122.4744743649</v>
      </c>
      <c r="AO6" s="1">
        <v>3383287.1544785127</v>
      </c>
      <c r="AP6" s="1">
        <v>3384077.2897749245</v>
      </c>
      <c r="AQ6" s="1">
        <v>3388110.827001974</v>
      </c>
      <c r="AR6" s="1">
        <v>3398144.1944998456</v>
      </c>
      <c r="AS6" s="1">
        <v>3406806.787386477</v>
      </c>
      <c r="AT6" s="1">
        <v>3402916.732770117</v>
      </c>
      <c r="AU6" s="1">
        <v>3408847.9177001147</v>
      </c>
      <c r="AV6" s="1">
        <v>3419743.6179751232</v>
      </c>
      <c r="AW6" s="1">
        <v>3430593.4293041145</v>
      </c>
      <c r="AX6" s="1">
        <v>3439608.3754925495</v>
      </c>
      <c r="AY6" s="1">
        <v>3450320.2055910127</v>
      </c>
      <c r="AZ6" s="1">
        <v>3455455.2841122895</v>
      </c>
      <c r="BA6" s="1">
        <v>3440955.6317767687</v>
      </c>
      <c r="BB6" s="1">
        <v>3415534.3863179227</v>
      </c>
      <c r="BC6" s="1">
        <v>3374174.0764822331</v>
      </c>
      <c r="BD6" s="1">
        <v>3373455.4815018913</v>
      </c>
      <c r="BE6" s="1">
        <v>3354106.4380366923</v>
      </c>
      <c r="BF6" s="1">
        <v>3334083.7175620114</v>
      </c>
      <c r="BG6" s="1">
        <v>3327704.4750610776</v>
      </c>
      <c r="BH6" s="1">
        <v>3303506.4978873488</v>
      </c>
      <c r="BI6" s="1">
        <v>3287539.6481791264</v>
      </c>
      <c r="BJ6" s="1">
        <v>3281481.60880291</v>
      </c>
      <c r="BK6" s="1">
        <v>3232515.6467220546</v>
      </c>
      <c r="BL6" s="1">
        <v>3194922.6037646271</v>
      </c>
      <c r="BM6" s="1">
        <v>3181304.4156232304</v>
      </c>
      <c r="BN6" s="1">
        <v>3176535.5016794885</v>
      </c>
      <c r="BO6" s="1">
        <v>3171522.3389673266</v>
      </c>
      <c r="BP6" s="1">
        <v>3164179.6408208087</v>
      </c>
      <c r="BQ6" s="1">
        <v>3145488.0060788542</v>
      </c>
      <c r="BR6" s="1">
        <v>3148462.395389474</v>
      </c>
      <c r="BS6" s="1">
        <v>3145121.7518108473</v>
      </c>
      <c r="BT6" s="1">
        <v>3122888.2912415443</v>
      </c>
      <c r="BU6" s="1">
        <v>3120608.3283724692</v>
      </c>
      <c r="BV6" s="1">
        <v>3128495.9708332806</v>
      </c>
      <c r="BW6" s="1">
        <v>3147343.8215065273</v>
      </c>
      <c r="BX6" s="1">
        <v>3127057.3480132176</v>
      </c>
      <c r="BY6" s="1">
        <v>3126820.1937123588</v>
      </c>
      <c r="BZ6" s="1">
        <v>3122627.833588819</v>
      </c>
      <c r="CA6" s="1">
        <v>3127970.2136904327</v>
      </c>
      <c r="CB6" s="1">
        <v>3124649.9644705132</v>
      </c>
      <c r="CC6" s="1">
        <v>3112076.8876300082</v>
      </c>
      <c r="CD6" s="1">
        <v>3092395.8607158624</v>
      </c>
      <c r="CE6" s="1">
        <v>3085115.5165531971</v>
      </c>
      <c r="CF6" s="1">
        <v>3084809.6774548721</v>
      </c>
      <c r="CG6" s="1">
        <v>3088862.9036578117</v>
      </c>
      <c r="CH6" s="1">
        <v>3087762.8224451561</v>
      </c>
      <c r="CI6" s="1">
        <v>3101557.2881245557</v>
      </c>
      <c r="CJ6" s="1">
        <v>3096279.851746201</v>
      </c>
      <c r="CK6" s="1">
        <v>3108463.6358524729</v>
      </c>
      <c r="CL6" s="1">
        <v>3109831.4769928185</v>
      </c>
      <c r="CM6" s="1">
        <v>3105553.5967561007</v>
      </c>
      <c r="CN6" s="1">
        <v>3088205.6019903524</v>
      </c>
      <c r="CO6" s="1">
        <v>3080361.5974390712</v>
      </c>
      <c r="CP6" s="1">
        <v>3072129.0723552182</v>
      </c>
      <c r="CQ6" s="1">
        <v>3066166.4085323345</v>
      </c>
      <c r="CR6" s="1">
        <v>3055417.6215641918</v>
      </c>
      <c r="CS6" s="1">
        <v>3052517.5873013567</v>
      </c>
      <c r="CT6" s="1">
        <v>3058922.504176111</v>
      </c>
      <c r="CU6" s="1">
        <v>3038591.3183942712</v>
      </c>
      <c r="CV6" s="1">
        <v>3063458.765574866</v>
      </c>
      <c r="CW6" s="1">
        <v>3061367.9087665789</v>
      </c>
      <c r="CX6" s="1">
        <v>3055173.8890014011</v>
      </c>
      <c r="CY6" s="1">
        <v>3053218.5654582558</v>
      </c>
      <c r="CZ6" s="1">
        <v>3048545.4632510487</v>
      </c>
      <c r="DA6" s="1">
        <v>3041045.4911628151</v>
      </c>
      <c r="DB6" s="1">
        <v>3016749.1728804829</v>
      </c>
      <c r="DC6" s="1">
        <v>3003282.078600103</v>
      </c>
      <c r="DD6" s="1">
        <v>2999903.453158692</v>
      </c>
      <c r="DE6" s="1">
        <v>2998003.0441260212</v>
      </c>
      <c r="DF6" s="1">
        <v>3015920.1036345186</v>
      </c>
      <c r="DG6" s="1">
        <v>3018394.6180178225</v>
      </c>
      <c r="DH6" s="1">
        <v>3012769.1815836895</v>
      </c>
      <c r="DI6" s="1">
        <v>3015052.0996853365</v>
      </c>
      <c r="DJ6" s="1">
        <v>3028986.5834740754</v>
      </c>
      <c r="DK6" s="1">
        <v>3034596.3938122159</v>
      </c>
      <c r="DL6" s="1">
        <v>3046525.9944681283</v>
      </c>
      <c r="DM6" s="1">
        <v>3047693.1687195329</v>
      </c>
      <c r="DN6" s="1">
        <v>3019487.4745591865</v>
      </c>
      <c r="DO6" s="1">
        <v>3018475.3511331482</v>
      </c>
      <c r="DP6" s="1">
        <v>3024861.6745109018</v>
      </c>
      <c r="DQ6" s="1">
        <v>3053774.7861426454</v>
      </c>
      <c r="DR6" s="1">
        <v>3082959.5696416944</v>
      </c>
      <c r="DS6" s="1">
        <v>3076238.5969201745</v>
      </c>
      <c r="DT6" s="1">
        <v>3098908.7783501633</v>
      </c>
      <c r="DU6" s="1">
        <v>3112631.571091684</v>
      </c>
      <c r="DV6" s="1">
        <v>3127016.4672084982</v>
      </c>
      <c r="DW6" s="1">
        <v>3135092.697112754</v>
      </c>
      <c r="DX6" s="1">
        <v>3131370.1674515544</v>
      </c>
      <c r="DY6" s="1">
        <v>3124892.7414431274</v>
      </c>
      <c r="DZ6" s="1">
        <v>3114605.4608685146</v>
      </c>
      <c r="EA6" s="1">
        <v>3114656.268163668</v>
      </c>
      <c r="EB6" s="1">
        <v>3123964.0010761539</v>
      </c>
      <c r="EC6" s="1">
        <v>3128585.6405434133</v>
      </c>
      <c r="ED6" s="1">
        <v>3151576.9467106666</v>
      </c>
      <c r="EE6" s="1">
        <v>3154088.0878774123</v>
      </c>
      <c r="EF6" s="1">
        <v>3172732.9605624117</v>
      </c>
      <c r="EG6" s="1">
        <v>3187058.4679691987</v>
      </c>
      <c r="EH6" s="1">
        <v>3184510.2313466105</v>
      </c>
      <c r="EI6" s="1">
        <v>3184044.0386566054</v>
      </c>
      <c r="EJ6" s="1">
        <v>3184423.5086192274</v>
      </c>
      <c r="EK6" s="1">
        <v>3164664.4994746381</v>
      </c>
      <c r="EL6" s="1">
        <v>3162338.9777306505</v>
      </c>
      <c r="EM6" s="1">
        <v>3152869.1589648151</v>
      </c>
      <c r="EN6" s="1">
        <v>3149612.3412312279</v>
      </c>
      <c r="EO6" s="1">
        <v>3170756.0130622322</v>
      </c>
      <c r="EP6" s="1">
        <v>3181186.1020591967</v>
      </c>
      <c r="EQ6" s="1">
        <v>3176023.9329926674</v>
      </c>
      <c r="ER6" s="1">
        <v>3208518.2668488761</v>
      </c>
      <c r="ES6" s="1">
        <v>3217457.9940874106</v>
      </c>
      <c r="ET6" s="1">
        <v>3199810.7641936913</v>
      </c>
      <c r="EU6" s="1">
        <v>3200208.9161006664</v>
      </c>
      <c r="EV6" s="1">
        <v>3200430.2749649342</v>
      </c>
      <c r="EW6" s="1">
        <v>3185825.3452919922</v>
      </c>
      <c r="EX6" s="1">
        <v>3187856.2452773703</v>
      </c>
      <c r="EY6" s="1">
        <v>3177385.8367844615</v>
      </c>
      <c r="EZ6" s="1">
        <v>3184136.5150063457</v>
      </c>
      <c r="FA6" s="1">
        <v>3194432.2988900999</v>
      </c>
      <c r="FB6" s="1">
        <v>3204807.0384843331</v>
      </c>
      <c r="FC6" s="1">
        <v>3209726.0632155659</v>
      </c>
      <c r="FD6" s="1">
        <v>3240180.1298812698</v>
      </c>
      <c r="FE6" s="1">
        <v>3234602.6977807926</v>
      </c>
      <c r="FF6" s="1">
        <v>3229843.3878206918</v>
      </c>
      <c r="FG6" s="1">
        <v>3231066.6628442844</v>
      </c>
      <c r="FH6" s="1">
        <v>3224414.2866896251</v>
      </c>
      <c r="FI6" s="1">
        <v>3203978.1149139386</v>
      </c>
      <c r="FJ6" s="1">
        <v>3202247.8294888316</v>
      </c>
      <c r="FK6" s="1">
        <v>3203847.2961695287</v>
      </c>
      <c r="FL6" s="1">
        <v>3205292.3157061627</v>
      </c>
      <c r="FM6" s="1">
        <v>3200507.3255645493</v>
      </c>
      <c r="FN6" s="1">
        <v>3200855.8812056915</v>
      </c>
      <c r="FO6" s="1">
        <v>3221123.2471314343</v>
      </c>
      <c r="FP6" s="1">
        <v>3272176.3696793457</v>
      </c>
      <c r="FQ6" s="1">
        <v>3285869.776314701</v>
      </c>
      <c r="FR6" s="1">
        <v>3263221.777444547</v>
      </c>
      <c r="FS6" s="1">
        <v>3259826.1987819779</v>
      </c>
      <c r="FT6" s="1">
        <v>3262652.6718766312</v>
      </c>
      <c r="FU6" s="1">
        <v>3252703.9423346156</v>
      </c>
      <c r="FV6" s="1">
        <v>3242489.8806390259</v>
      </c>
      <c r="FW6" s="1">
        <v>3238865.5437221602</v>
      </c>
      <c r="FX6" s="1">
        <v>3250161.9108387269</v>
      </c>
      <c r="FY6" s="1">
        <v>3263754.9288653787</v>
      </c>
      <c r="FZ6" s="1">
        <v>3289795.8978896048</v>
      </c>
      <c r="GA6" s="1">
        <v>3269175.3028197754</v>
      </c>
      <c r="GB6" s="1">
        <v>3289235.854232478</v>
      </c>
      <c r="GC6" s="1">
        <v>3282075.6086285831</v>
      </c>
      <c r="GD6" s="1">
        <v>3262666.6478702761</v>
      </c>
      <c r="GE6" s="1">
        <v>3261364.5215119249</v>
      </c>
      <c r="GF6" s="1">
        <v>3262717.0828294903</v>
      </c>
      <c r="GG6" s="1">
        <v>3260049.5073370901</v>
      </c>
      <c r="GH6" s="1">
        <v>3253974.7858633902</v>
      </c>
      <c r="GI6" s="1">
        <v>3249767.3463668339</v>
      </c>
      <c r="GJ6" s="1">
        <v>3262222.7266059658</v>
      </c>
      <c r="GK6" s="1">
        <v>3275730.5369124822</v>
      </c>
      <c r="GL6" s="1">
        <v>3285365.5132107553</v>
      </c>
      <c r="GM6" s="1">
        <v>3296887.48414229</v>
      </c>
      <c r="GN6" s="1">
        <v>3308445.9710171297</v>
      </c>
      <c r="GO6" s="1">
        <v>3271612.8419971648</v>
      </c>
      <c r="GP6" s="1">
        <v>3189458.3425239129</v>
      </c>
      <c r="GQ6" s="1">
        <v>3188059.002852127</v>
      </c>
      <c r="GR6" s="1">
        <v>3217248.3201425048</v>
      </c>
      <c r="GS6" s="1">
        <v>3281408.0327382372</v>
      </c>
      <c r="GT6" s="1">
        <v>3290866.9295884976</v>
      </c>
      <c r="GU6" s="1">
        <v>3250366.0788524998</v>
      </c>
      <c r="GV6" s="1">
        <v>3249448.0718273697</v>
      </c>
      <c r="GW6" s="1">
        <v>3272673.4477211642</v>
      </c>
      <c r="GX6" s="1">
        <v>3282127.4813388106</v>
      </c>
      <c r="GY6" s="1">
        <v>3290922.7813306302</v>
      </c>
      <c r="GZ6" s="1">
        <v>3305813.1090028998</v>
      </c>
      <c r="HA6" s="1" t="str">
        <f t="shared" si="0"/>
        <v/>
      </c>
      <c r="HB6" s="1" t="str">
        <f t="shared" si="0"/>
        <v/>
      </c>
      <c r="HC6" s="1" t="str">
        <f t="shared" si="0"/>
        <v/>
      </c>
      <c r="HD6" s="1" t="str">
        <f t="shared" si="0"/>
        <v/>
      </c>
      <c r="HE6" s="1" t="str">
        <f t="shared" si="0"/>
        <v/>
      </c>
      <c r="HF6" s="1" t="str">
        <f t="shared" si="0"/>
        <v/>
      </c>
      <c r="HG6" s="1" t="str">
        <f t="shared" si="0"/>
        <v/>
      </c>
      <c r="HH6" s="1" t="str">
        <f t="shared" si="0"/>
        <v/>
      </c>
      <c r="HI6" s="1" t="str">
        <f t="shared" si="0"/>
        <v/>
      </c>
      <c r="HJ6" s="1" t="str">
        <f t="shared" si="0"/>
        <v/>
      </c>
      <c r="HK6" s="1" t="str">
        <f t="shared" si="0"/>
        <v/>
      </c>
      <c r="HL6" s="1" t="str">
        <f t="shared" si="0"/>
        <v/>
      </c>
      <c r="HM6" s="1" t="str">
        <f t="shared" si="0"/>
        <v/>
      </c>
      <c r="HN6" s="1" t="str">
        <f t="shared" si="0"/>
        <v/>
      </c>
      <c r="HO6" s="1" t="str">
        <f t="shared" si="0"/>
        <v/>
      </c>
      <c r="HP6" s="1" t="str">
        <f t="shared" si="0"/>
        <v/>
      </c>
      <c r="HQ6" s="1" t="str">
        <f t="shared" si="0"/>
        <v/>
      </c>
      <c r="HR6" s="1" t="str">
        <f t="shared" si="0"/>
        <v/>
      </c>
      <c r="HS6" s="1" t="str">
        <f t="shared" si="0"/>
        <v/>
      </c>
      <c r="HT6" s="1" t="str">
        <f t="shared" si="0"/>
        <v/>
      </c>
      <c r="HU6" s="1" t="str">
        <f t="shared" si="0"/>
        <v/>
      </c>
      <c r="HV6" s="1" t="str">
        <f t="shared" si="0"/>
        <v/>
      </c>
      <c r="HW6" s="1" t="str">
        <f t="shared" si="0"/>
        <v/>
      </c>
      <c r="HX6" s="1" t="str">
        <f t="shared" si="0"/>
        <v/>
      </c>
      <c r="HY6" s="1" t="str">
        <f t="shared" si="0"/>
        <v/>
      </c>
      <c r="HZ6" s="1" t="str">
        <f t="shared" si="0"/>
        <v/>
      </c>
      <c r="IA6" s="1" t="str">
        <f t="shared" si="0"/>
        <v/>
      </c>
      <c r="IB6" s="1" t="str">
        <f t="shared" si="0"/>
        <v/>
      </c>
      <c r="IC6" s="1" t="str">
        <f t="shared" si="0"/>
        <v/>
      </c>
      <c r="ID6" s="1" t="str">
        <f t="shared" si="0"/>
        <v/>
      </c>
      <c r="IE6" s="1" t="str">
        <f t="shared" si="0"/>
        <v/>
      </c>
      <c r="IF6" s="1" t="str">
        <f t="shared" si="0"/>
        <v/>
      </c>
      <c r="IG6" s="1" t="str">
        <f t="shared" si="0"/>
        <v/>
      </c>
      <c r="IH6" s="1" t="str">
        <f t="shared" si="0"/>
        <v/>
      </c>
      <c r="II6" s="1" t="str">
        <f t="shared" si="0"/>
        <v/>
      </c>
      <c r="IJ6" s="1" t="str">
        <f t="shared" si="0"/>
        <v/>
      </c>
      <c r="IK6" s="1" t="str">
        <f t="shared" si="0"/>
        <v/>
      </c>
      <c r="IL6" s="1" t="str">
        <f t="shared" si="0"/>
        <v/>
      </c>
      <c r="IM6" s="1" t="str">
        <f t="shared" si="0"/>
        <v/>
      </c>
      <c r="IN6" s="1" t="str">
        <f t="shared" si="0"/>
        <v/>
      </c>
      <c r="IO6" s="1" t="str">
        <f t="shared" si="0"/>
        <v/>
      </c>
      <c r="IP6" s="1" t="str">
        <f t="shared" si="0"/>
        <v/>
      </c>
      <c r="IQ6" s="1" t="str">
        <f t="shared" si="0"/>
        <v/>
      </c>
      <c r="IR6" s="1" t="str">
        <f t="shared" si="0"/>
        <v/>
      </c>
      <c r="IS6" s="1" t="str">
        <f t="shared" si="0"/>
        <v/>
      </c>
      <c r="IT6" s="1" t="str">
        <f t="shared" si="0"/>
        <v/>
      </c>
      <c r="IU6" s="1" t="str">
        <f t="shared" si="0"/>
        <v/>
      </c>
      <c r="IV6" s="1" t="str">
        <f t="shared" si="0"/>
        <v/>
      </c>
      <c r="IW6" s="1" t="str">
        <f t="shared" si="0"/>
        <v/>
      </c>
      <c r="IX6" s="1" t="str">
        <f t="shared" si="0"/>
        <v/>
      </c>
      <c r="IY6" s="1" t="str">
        <f t="shared" si="0"/>
        <v/>
      </c>
      <c r="IZ6" s="1" t="str">
        <f t="shared" si="0"/>
        <v/>
      </c>
      <c r="JA6" s="1" t="str">
        <f t="shared" si="0"/>
        <v/>
      </c>
      <c r="JB6" s="1" t="str">
        <f t="shared" si="0"/>
        <v/>
      </c>
      <c r="JC6" s="1" t="str">
        <f t="shared" si="0"/>
        <v/>
      </c>
      <c r="JD6" s="1" t="str">
        <f t="shared" si="0"/>
        <v/>
      </c>
      <c r="JE6" s="1" t="str">
        <f t="shared" si="0"/>
        <v/>
      </c>
      <c r="JF6" s="1" t="str">
        <f t="shared" si="0"/>
        <v/>
      </c>
      <c r="JG6" s="1" t="str">
        <f t="shared" si="0"/>
        <v/>
      </c>
      <c r="JH6" s="1" t="str">
        <f t="shared" ref="GZ6:JH10" si="1">IF(JG6="","","")</f>
        <v/>
      </c>
      <c r="LY6" s="1"/>
    </row>
    <row r="7" spans="1:337" x14ac:dyDescent="0.25">
      <c r="A7" s="5">
        <v>5</v>
      </c>
      <c r="B7" s="1">
        <v>3067968.0179293342</v>
      </c>
      <c r="C7" s="1">
        <v>3091365.38856126</v>
      </c>
      <c r="D7" s="1">
        <v>3106825.2997234277</v>
      </c>
      <c r="E7" s="1">
        <v>3115252.1063444046</v>
      </c>
      <c r="F7" s="1">
        <v>3117958.2868728489</v>
      </c>
      <c r="G7" s="1">
        <v>3117609.8166623991</v>
      </c>
      <c r="H7" s="1">
        <v>3124481.6990570612</v>
      </c>
      <c r="I7" s="1">
        <v>3124211.1009389898</v>
      </c>
      <c r="J7" s="1">
        <v>3115186.8565131426</v>
      </c>
      <c r="K7" s="1">
        <v>3124201.1967521012</v>
      </c>
      <c r="L7" s="1">
        <v>3142250.0913585452</v>
      </c>
      <c r="M7" s="1">
        <v>3162765.9601086872</v>
      </c>
      <c r="N7" s="1">
        <v>3186704.9979824936</v>
      </c>
      <c r="O7" s="1">
        <v>3202612.1044320147</v>
      </c>
      <c r="P7" s="1">
        <v>3205874.746008636</v>
      </c>
      <c r="Q7" s="1">
        <v>3204336.0023041447</v>
      </c>
      <c r="R7" s="1">
        <v>3201969.2615578831</v>
      </c>
      <c r="S7" s="1">
        <v>3205793.2998639429</v>
      </c>
      <c r="T7" s="1">
        <v>3211880.9408599054</v>
      </c>
      <c r="U7" s="1">
        <v>3208643.7777773021</v>
      </c>
      <c r="V7" s="1">
        <v>3200990.28954852</v>
      </c>
      <c r="W7" s="1">
        <v>3213172.889557614</v>
      </c>
      <c r="X7" s="1">
        <v>3228983.2160511357</v>
      </c>
      <c r="Y7" s="1">
        <v>3247682.6441661473</v>
      </c>
      <c r="Z7" s="1">
        <v>3264549.2405701689</v>
      </c>
      <c r="AA7" s="1">
        <v>3276080.5326349353</v>
      </c>
      <c r="AB7" s="1">
        <v>3282961.8504076293</v>
      </c>
      <c r="AC7" s="1">
        <v>3276135.1010301113</v>
      </c>
      <c r="AD7" s="1">
        <v>3277245.4410656025</v>
      </c>
      <c r="AE7" s="1">
        <v>3286825.6718767746</v>
      </c>
      <c r="AF7" s="1">
        <v>3287197.1359781586</v>
      </c>
      <c r="AG7" s="1">
        <v>3287216.2706566174</v>
      </c>
      <c r="AH7" s="1">
        <v>3279076.0476757372</v>
      </c>
      <c r="AI7" s="1">
        <v>3293262.7631072691</v>
      </c>
      <c r="AJ7" s="1">
        <v>3313799.1516882116</v>
      </c>
      <c r="AK7" s="1">
        <v>3329569.2947574137</v>
      </c>
      <c r="AL7" s="1">
        <v>3349311.7032376481</v>
      </c>
      <c r="AM7" s="1">
        <v>3367542.1508418769</v>
      </c>
      <c r="AN7" s="1">
        <v>3378616.8325859145</v>
      </c>
      <c r="AO7" s="1">
        <v>3385370.3301373557</v>
      </c>
      <c r="AP7" s="1">
        <v>3387678.1146249748</v>
      </c>
      <c r="AQ7" s="1">
        <v>3394721.9739945265</v>
      </c>
      <c r="AR7" s="1">
        <v>3405060.8952963706</v>
      </c>
      <c r="AS7" s="1">
        <v>3411807.2072204286</v>
      </c>
      <c r="AT7" s="1">
        <v>3399912.8297281484</v>
      </c>
      <c r="AU7" s="1">
        <v>3418839.1386754988</v>
      </c>
      <c r="AV7" s="1">
        <v>3436453.1782310042</v>
      </c>
      <c r="AW7" s="1">
        <v>3447840.4077005927</v>
      </c>
      <c r="AX7" s="1">
        <v>3455283.8565279958</v>
      </c>
      <c r="AY7" s="1">
        <v>3463069.5434440924</v>
      </c>
      <c r="AZ7" s="1">
        <v>3459940.8112401194</v>
      </c>
      <c r="BA7" s="1">
        <v>3437251.7017909237</v>
      </c>
      <c r="BB7" s="1">
        <v>3410813.8564016912</v>
      </c>
      <c r="BC7" s="1">
        <v>3366121.7093477817</v>
      </c>
      <c r="BD7" s="1">
        <v>3364126.082633866</v>
      </c>
      <c r="BE7" s="1">
        <v>3341747.393787913</v>
      </c>
      <c r="BF7" s="1">
        <v>3317115.3226555651</v>
      </c>
      <c r="BG7" s="1">
        <v>3321684.6531101773</v>
      </c>
      <c r="BH7" s="1">
        <v>3301164.3263641084</v>
      </c>
      <c r="BI7" s="1">
        <v>3282517.7979630763</v>
      </c>
      <c r="BJ7" s="1">
        <v>3276092.6273196973</v>
      </c>
      <c r="BK7" s="1">
        <v>3215337.5839655027</v>
      </c>
      <c r="BL7" s="1">
        <v>3167002.8782042968</v>
      </c>
      <c r="BM7" s="1">
        <v>3149632.8642648729</v>
      </c>
      <c r="BN7" s="1">
        <v>3153384.5228362693</v>
      </c>
      <c r="BO7" s="1">
        <v>3153909.346262373</v>
      </c>
      <c r="BP7" s="1">
        <v>3145725.9990601214</v>
      </c>
      <c r="BQ7" s="1">
        <v>3126252.9532511923</v>
      </c>
      <c r="BR7" s="1">
        <v>3124795.5250962325</v>
      </c>
      <c r="BS7" s="1">
        <v>3136571.1387274386</v>
      </c>
      <c r="BT7" s="1">
        <v>3120008.2311227312</v>
      </c>
      <c r="BU7" s="1">
        <v>3117336.4740612796</v>
      </c>
      <c r="BV7" s="1">
        <v>3127509.0104262847</v>
      </c>
      <c r="BW7" s="1">
        <v>3149709.9741280703</v>
      </c>
      <c r="BX7" s="1">
        <v>3117738.4986236771</v>
      </c>
      <c r="BY7" s="1">
        <v>3116773.8531181328</v>
      </c>
      <c r="BZ7" s="1">
        <v>3116257.2289497782</v>
      </c>
      <c r="CA7" s="1">
        <v>3121845.3360230173</v>
      </c>
      <c r="CB7" s="1">
        <v>3117593.1064115921</v>
      </c>
      <c r="CC7" s="1">
        <v>3106814.1478030765</v>
      </c>
      <c r="CD7" s="1">
        <v>3075359.8132994031</v>
      </c>
      <c r="CE7" s="1">
        <v>3080684.5540488362</v>
      </c>
      <c r="CF7" s="1">
        <v>3089158.1253079399</v>
      </c>
      <c r="CG7" s="1">
        <v>3093531.2600121917</v>
      </c>
      <c r="CH7" s="1">
        <v>3091891.4484819742</v>
      </c>
      <c r="CI7" s="1">
        <v>3106989.1410838519</v>
      </c>
      <c r="CJ7" s="1">
        <v>3091343.0730303093</v>
      </c>
      <c r="CK7" s="1">
        <v>3105950.2280106018</v>
      </c>
      <c r="CL7" s="1">
        <v>3108273.8591136606</v>
      </c>
      <c r="CM7" s="1">
        <v>3103709.7461715834</v>
      </c>
      <c r="CN7" s="1">
        <v>3082621.2370928293</v>
      </c>
      <c r="CO7" s="1">
        <v>3075085.9972974123</v>
      </c>
      <c r="CP7" s="1">
        <v>3057383.3751500221</v>
      </c>
      <c r="CQ7" s="1">
        <v>3059687.439944366</v>
      </c>
      <c r="CR7" s="1">
        <v>3061179.9937290475</v>
      </c>
      <c r="CS7" s="1">
        <v>3057355.4189375653</v>
      </c>
      <c r="CT7" s="1">
        <v>3064248.1956843073</v>
      </c>
      <c r="CU7" s="1">
        <v>3037086.4038900826</v>
      </c>
      <c r="CV7" s="1">
        <v>3058327.8796478854</v>
      </c>
      <c r="CW7" s="1">
        <v>3052842.5004162127</v>
      </c>
      <c r="CX7" s="1">
        <v>3051907.8683073306</v>
      </c>
      <c r="CY7" s="1">
        <v>3049163.1480957828</v>
      </c>
      <c r="CZ7" s="1">
        <v>3042857.664013545</v>
      </c>
      <c r="DA7" s="1">
        <v>3035781.5299389567</v>
      </c>
      <c r="DB7" s="1">
        <v>3000759.4943306153</v>
      </c>
      <c r="DC7" s="1">
        <v>2993704.6908189934</v>
      </c>
      <c r="DD7" s="1">
        <v>3003942.4726405395</v>
      </c>
      <c r="DE7" s="1">
        <v>3001571.6832233099</v>
      </c>
      <c r="DF7" s="1">
        <v>3022326.1511423653</v>
      </c>
      <c r="DG7" s="1">
        <v>3022058.6372591024</v>
      </c>
      <c r="DH7" s="1">
        <v>3007168.6877639419</v>
      </c>
      <c r="DI7" s="1">
        <v>3009040.8248471729</v>
      </c>
      <c r="DJ7" s="1">
        <v>3029345.5659459867</v>
      </c>
      <c r="DK7" s="1">
        <v>3034526.7583170724</v>
      </c>
      <c r="DL7" s="1">
        <v>3045914.8556012819</v>
      </c>
      <c r="DM7" s="1">
        <v>3050385.9814803293</v>
      </c>
      <c r="DN7" s="1">
        <v>3007742.772365056</v>
      </c>
      <c r="DO7" s="1">
        <v>3014825.2194002764</v>
      </c>
      <c r="DP7" s="1">
        <v>3036565.7036948334</v>
      </c>
      <c r="DQ7" s="1">
        <v>3068860.214754249</v>
      </c>
      <c r="DR7" s="1">
        <v>3100954.703459573</v>
      </c>
      <c r="DS7" s="1">
        <v>3089662.7976815896</v>
      </c>
      <c r="DT7" s="1">
        <v>3103578.9896266721</v>
      </c>
      <c r="DU7" s="1">
        <v>3108765.0160524566</v>
      </c>
      <c r="DV7" s="1">
        <v>3135099.4295363007</v>
      </c>
      <c r="DW7" s="1">
        <v>3144003.3222737005</v>
      </c>
      <c r="DX7" s="1">
        <v>3135774.2406252003</v>
      </c>
      <c r="DY7" s="1">
        <v>3130180.7103504161</v>
      </c>
      <c r="DZ7" s="1">
        <v>3105195.9111672426</v>
      </c>
      <c r="EA7" s="1">
        <v>3117335.7734090714</v>
      </c>
      <c r="EB7" s="1">
        <v>3134119.8196796253</v>
      </c>
      <c r="EC7" s="1">
        <v>3144219.470840239</v>
      </c>
      <c r="ED7" s="1">
        <v>3168197.4636557298</v>
      </c>
      <c r="EE7" s="1">
        <v>3165358.5311090578</v>
      </c>
      <c r="EF7" s="1">
        <v>3176480.7217416735</v>
      </c>
      <c r="EG7" s="1">
        <v>3181083.5271736709</v>
      </c>
      <c r="EH7" s="1">
        <v>3189765.5309216464</v>
      </c>
      <c r="EI7" s="1">
        <v>3187806.7723169606</v>
      </c>
      <c r="EJ7" s="1">
        <v>3185382.3931378033</v>
      </c>
      <c r="EK7" s="1">
        <v>3165446.383333087</v>
      </c>
      <c r="EL7" s="1">
        <v>3147593.6235483121</v>
      </c>
      <c r="EM7" s="1">
        <v>3151132.1048832699</v>
      </c>
      <c r="EN7" s="1">
        <v>3161262.9187856363</v>
      </c>
      <c r="EO7" s="1">
        <v>3186848.5815093331</v>
      </c>
      <c r="EP7" s="1">
        <v>3194254.9485126222</v>
      </c>
      <c r="EQ7" s="1">
        <v>3183091.0211288403</v>
      </c>
      <c r="ER7" s="1">
        <v>3207786.7045628428</v>
      </c>
      <c r="ES7" s="1">
        <v>3206247.7482467713</v>
      </c>
      <c r="ET7" s="1">
        <v>3200303.7803594433</v>
      </c>
      <c r="EU7" s="1">
        <v>3200905.0320252152</v>
      </c>
      <c r="EV7" s="1">
        <v>3199164.792597495</v>
      </c>
      <c r="EW7" s="1">
        <v>3185554.3446491165</v>
      </c>
      <c r="EX7" s="1">
        <v>3173480.1674929094</v>
      </c>
      <c r="EY7" s="1">
        <v>3176428.010192276</v>
      </c>
      <c r="EZ7" s="1">
        <v>3194812.0777294394</v>
      </c>
      <c r="FA7" s="1">
        <v>3208496.5335860848</v>
      </c>
      <c r="FB7" s="1">
        <v>3216733.3509315262</v>
      </c>
      <c r="FC7" s="1">
        <v>3217911.627931321</v>
      </c>
      <c r="FD7" s="1">
        <v>3240092.4664963651</v>
      </c>
      <c r="FE7" s="1">
        <v>3222797.9181954646</v>
      </c>
      <c r="FF7" s="1">
        <v>3230747.1440980597</v>
      </c>
      <c r="FG7" s="1">
        <v>3232430.8347229389</v>
      </c>
      <c r="FH7" s="1">
        <v>3222737.9625649499</v>
      </c>
      <c r="FI7" s="1">
        <v>3201737.2887727902</v>
      </c>
      <c r="FJ7" s="1">
        <v>3182635.4726892086</v>
      </c>
      <c r="FK7" s="1">
        <v>3207285.9937298242</v>
      </c>
      <c r="FL7" s="1">
        <v>3219767.2039374094</v>
      </c>
      <c r="FM7" s="1">
        <v>3213393.9350074837</v>
      </c>
      <c r="FN7" s="1">
        <v>3210547.0510131065</v>
      </c>
      <c r="FO7" s="1">
        <v>3227670.3127181018</v>
      </c>
      <c r="FP7" s="1">
        <v>3274863.3593507987</v>
      </c>
      <c r="FQ7" s="1">
        <v>3274574.0989257428</v>
      </c>
      <c r="FR7" s="1">
        <v>3265520.2753647678</v>
      </c>
      <c r="FS7" s="1">
        <v>3260620.8999605179</v>
      </c>
      <c r="FT7" s="1">
        <v>3259761.6752308607</v>
      </c>
      <c r="FU7" s="1">
        <v>3251873.2661651205</v>
      </c>
      <c r="FV7" s="1">
        <v>3227932.8278277745</v>
      </c>
      <c r="FW7" s="1">
        <v>3244581.7741326289</v>
      </c>
      <c r="FX7" s="1">
        <v>3268720.4037453495</v>
      </c>
      <c r="FY7" s="1">
        <v>3279143.7921941876</v>
      </c>
      <c r="FZ7" s="1">
        <v>3304449.3806165149</v>
      </c>
      <c r="GA7" s="1">
        <v>3276625.0248078262</v>
      </c>
      <c r="GB7" s="1">
        <v>3281359.4626079015</v>
      </c>
      <c r="GC7" s="1">
        <v>3268190.3321718806</v>
      </c>
      <c r="GD7" s="1">
        <v>3261401.2824132871</v>
      </c>
      <c r="GE7" s="1">
        <v>3261751.3324026605</v>
      </c>
      <c r="GF7" s="1">
        <v>3257532.1128907707</v>
      </c>
      <c r="GG7" s="1">
        <v>3259982.938568335</v>
      </c>
      <c r="GH7" s="1">
        <v>3238098.2489589266</v>
      </c>
      <c r="GI7" s="1">
        <v>3258208.4838776262</v>
      </c>
      <c r="GJ7" s="1">
        <v>3278641.3788843043</v>
      </c>
      <c r="GK7" s="1">
        <v>3290163.2543320758</v>
      </c>
      <c r="GL7" s="1">
        <v>3298087.2569025266</v>
      </c>
      <c r="GM7" s="1">
        <v>3306723.8689982975</v>
      </c>
      <c r="GN7" s="1">
        <v>3301179.6638766332</v>
      </c>
      <c r="GO7" s="1">
        <v>3260218.9807133181</v>
      </c>
      <c r="GP7" s="1">
        <v>3177376.1019635461</v>
      </c>
      <c r="GQ7" s="1">
        <v>3183824.3000527588</v>
      </c>
      <c r="GR7" s="1">
        <v>3211199.714976456</v>
      </c>
      <c r="GS7" s="1">
        <v>3285556.8875333425</v>
      </c>
      <c r="GT7" s="1">
        <v>3278221.3611977492</v>
      </c>
      <c r="GU7" s="1">
        <v>3254195.7306536664</v>
      </c>
      <c r="GV7" s="1">
        <v>3261130.580568051</v>
      </c>
      <c r="GW7" s="1">
        <v>3278805.8504019994</v>
      </c>
      <c r="GX7" s="1">
        <v>3294731.4079633364</v>
      </c>
      <c r="GY7" s="1">
        <v>3302134.4605044806</v>
      </c>
      <c r="GZ7" s="1">
        <v>3307806.26671849</v>
      </c>
      <c r="HA7" s="1" t="str">
        <f t="shared" si="1"/>
        <v/>
      </c>
      <c r="HB7" s="1" t="str">
        <f t="shared" si="1"/>
        <v/>
      </c>
      <c r="HC7" s="1" t="str">
        <f t="shared" si="1"/>
        <v/>
      </c>
      <c r="HD7" s="1" t="str">
        <f t="shared" si="1"/>
        <v/>
      </c>
      <c r="HE7" s="1" t="str">
        <f t="shared" si="1"/>
        <v/>
      </c>
      <c r="HF7" s="1" t="str">
        <f t="shared" si="1"/>
        <v/>
      </c>
      <c r="HG7" s="1" t="str">
        <f t="shared" si="1"/>
        <v/>
      </c>
      <c r="HH7" s="1" t="str">
        <f t="shared" si="1"/>
        <v/>
      </c>
      <c r="HI7" s="1" t="str">
        <f t="shared" si="1"/>
        <v/>
      </c>
      <c r="HJ7" s="1" t="str">
        <f t="shared" si="1"/>
        <v/>
      </c>
      <c r="HK7" s="1" t="str">
        <f t="shared" si="1"/>
        <v/>
      </c>
      <c r="HL7" s="1" t="str">
        <f t="shared" si="1"/>
        <v/>
      </c>
      <c r="HM7" s="1" t="str">
        <f t="shared" si="1"/>
        <v/>
      </c>
      <c r="HN7" s="1" t="str">
        <f t="shared" si="1"/>
        <v/>
      </c>
      <c r="HO7" s="1" t="str">
        <f t="shared" si="1"/>
        <v/>
      </c>
      <c r="HP7" s="1" t="str">
        <f t="shared" si="1"/>
        <v/>
      </c>
      <c r="HQ7" s="1" t="str">
        <f t="shared" si="1"/>
        <v/>
      </c>
      <c r="HR7" s="1" t="str">
        <f t="shared" si="1"/>
        <v/>
      </c>
      <c r="HS7" s="1" t="str">
        <f t="shared" si="1"/>
        <v/>
      </c>
      <c r="HT7" s="1" t="str">
        <f t="shared" si="1"/>
        <v/>
      </c>
      <c r="HU7" s="1" t="str">
        <f t="shared" si="1"/>
        <v/>
      </c>
      <c r="HV7" s="1" t="str">
        <f t="shared" si="1"/>
        <v/>
      </c>
      <c r="HW7" s="1" t="str">
        <f t="shared" si="1"/>
        <v/>
      </c>
      <c r="HX7" s="1" t="str">
        <f t="shared" si="1"/>
        <v/>
      </c>
      <c r="HY7" s="1" t="str">
        <f t="shared" si="1"/>
        <v/>
      </c>
      <c r="HZ7" s="1" t="str">
        <f t="shared" si="1"/>
        <v/>
      </c>
      <c r="IA7" s="1" t="str">
        <f t="shared" si="1"/>
        <v/>
      </c>
      <c r="IB7" s="1" t="str">
        <f t="shared" si="1"/>
        <v/>
      </c>
      <c r="IC7" s="1" t="str">
        <f t="shared" si="1"/>
        <v/>
      </c>
      <c r="ID7" s="1" t="str">
        <f t="shared" si="1"/>
        <v/>
      </c>
      <c r="IE7" s="1" t="str">
        <f t="shared" si="1"/>
        <v/>
      </c>
      <c r="IF7" s="1" t="str">
        <f t="shared" si="1"/>
        <v/>
      </c>
      <c r="IG7" s="1" t="str">
        <f t="shared" si="1"/>
        <v/>
      </c>
      <c r="IH7" s="1" t="str">
        <f t="shared" si="1"/>
        <v/>
      </c>
      <c r="II7" s="1" t="str">
        <f t="shared" si="1"/>
        <v/>
      </c>
      <c r="IJ7" s="1" t="str">
        <f t="shared" si="1"/>
        <v/>
      </c>
      <c r="IK7" s="1" t="str">
        <f t="shared" si="1"/>
        <v/>
      </c>
      <c r="IL7" s="1" t="str">
        <f t="shared" si="1"/>
        <v/>
      </c>
      <c r="IM7" s="1" t="str">
        <f t="shared" si="1"/>
        <v/>
      </c>
      <c r="IN7" s="1" t="str">
        <f t="shared" si="1"/>
        <v/>
      </c>
      <c r="IO7" s="1" t="str">
        <f t="shared" si="1"/>
        <v/>
      </c>
      <c r="IP7" s="1" t="str">
        <f t="shared" si="1"/>
        <v/>
      </c>
      <c r="IQ7" s="1" t="str">
        <f t="shared" si="1"/>
        <v/>
      </c>
      <c r="IR7" s="1" t="str">
        <f t="shared" si="1"/>
        <v/>
      </c>
      <c r="IS7" s="1" t="str">
        <f t="shared" si="1"/>
        <v/>
      </c>
      <c r="IT7" s="1" t="str">
        <f t="shared" si="1"/>
        <v/>
      </c>
      <c r="IU7" s="1" t="str">
        <f t="shared" si="1"/>
        <v/>
      </c>
      <c r="IV7" s="1" t="str">
        <f t="shared" si="1"/>
        <v/>
      </c>
      <c r="IW7" s="1" t="str">
        <f t="shared" si="1"/>
        <v/>
      </c>
      <c r="IX7" s="1" t="str">
        <f t="shared" si="1"/>
        <v/>
      </c>
      <c r="IY7" s="1" t="str">
        <f t="shared" si="1"/>
        <v/>
      </c>
      <c r="IZ7" s="1" t="str">
        <f t="shared" si="1"/>
        <v/>
      </c>
      <c r="JA7" s="1" t="str">
        <f t="shared" si="1"/>
        <v/>
      </c>
      <c r="JB7" s="1" t="str">
        <f t="shared" si="1"/>
        <v/>
      </c>
      <c r="JC7" s="1" t="str">
        <f t="shared" si="1"/>
        <v/>
      </c>
      <c r="JD7" s="1" t="str">
        <f t="shared" si="1"/>
        <v/>
      </c>
      <c r="JE7" s="1" t="str">
        <f t="shared" si="1"/>
        <v/>
      </c>
      <c r="JF7" s="1" t="str">
        <f t="shared" si="1"/>
        <v/>
      </c>
      <c r="JG7" s="1" t="str">
        <f t="shared" si="1"/>
        <v/>
      </c>
      <c r="JH7" s="1" t="str">
        <f t="shared" si="1"/>
        <v/>
      </c>
      <c r="LY7" s="1"/>
    </row>
    <row r="8" spans="1:337" x14ac:dyDescent="0.25">
      <c r="A8" s="5">
        <v>6</v>
      </c>
      <c r="B8" s="1">
        <v>3080903.9311108133</v>
      </c>
      <c r="C8" s="1">
        <v>3102595.7124730637</v>
      </c>
      <c r="D8" s="1">
        <v>3112907.2851579105</v>
      </c>
      <c r="E8" s="1">
        <v>3121310.9147542417</v>
      </c>
      <c r="F8" s="1">
        <v>3125655.7255270816</v>
      </c>
      <c r="G8" s="1">
        <v>3123957.3129936839</v>
      </c>
      <c r="H8" s="1">
        <v>3128902.3013668275</v>
      </c>
      <c r="I8" s="1">
        <v>3120613.9534371099</v>
      </c>
      <c r="J8" s="1">
        <v>3125842.8972787391</v>
      </c>
      <c r="K8" s="1">
        <v>3141469.4703592039</v>
      </c>
      <c r="L8" s="1">
        <v>3160043.931050662</v>
      </c>
      <c r="M8" s="1">
        <v>3178920.1671858551</v>
      </c>
      <c r="N8" s="1">
        <v>3201562.597468867</v>
      </c>
      <c r="O8" s="1">
        <v>3212170.1681552455</v>
      </c>
      <c r="P8" s="1">
        <v>3209497.1027977122</v>
      </c>
      <c r="Q8" s="1">
        <v>3206771.1152629452</v>
      </c>
      <c r="R8" s="1">
        <v>3207220.5462446176</v>
      </c>
      <c r="S8" s="1">
        <v>3210938.8535310626</v>
      </c>
      <c r="T8" s="1">
        <v>3214382.5721853077</v>
      </c>
      <c r="U8" s="1">
        <v>3204070.8682801109</v>
      </c>
      <c r="V8" s="1">
        <v>3209315.605424922</v>
      </c>
      <c r="W8" s="1">
        <v>3228886.208895985</v>
      </c>
      <c r="X8" s="1">
        <v>3245086.4034171617</v>
      </c>
      <c r="Y8" s="1">
        <v>3262554.3204624206</v>
      </c>
      <c r="Z8" s="1">
        <v>3277702.551031528</v>
      </c>
      <c r="AA8" s="1">
        <v>3283324.7264473899</v>
      </c>
      <c r="AB8" s="1">
        <v>3284219.6974485451</v>
      </c>
      <c r="AC8" s="1">
        <v>3277666.6761698583</v>
      </c>
      <c r="AD8" s="1">
        <v>3281568.2415542798</v>
      </c>
      <c r="AE8" s="1">
        <v>3292214.4562725662</v>
      </c>
      <c r="AF8" s="1">
        <v>3290492.9533840171</v>
      </c>
      <c r="AG8" s="1">
        <v>3282338.3748514224</v>
      </c>
      <c r="AH8" s="1">
        <v>3285748.944509164</v>
      </c>
      <c r="AI8" s="1">
        <v>3307595.5303864358</v>
      </c>
      <c r="AJ8" s="1">
        <v>3329452.4696245519</v>
      </c>
      <c r="AK8" s="1">
        <v>3344947.4705150491</v>
      </c>
      <c r="AL8" s="1">
        <v>3361591.8532130327</v>
      </c>
      <c r="AM8" s="1">
        <v>3374718.6090368154</v>
      </c>
      <c r="AN8" s="1">
        <v>3380427.8085693074</v>
      </c>
      <c r="AO8" s="1">
        <v>3389334.0344889918</v>
      </c>
      <c r="AP8" s="1">
        <v>3394501.2286069589</v>
      </c>
      <c r="AQ8" s="1">
        <v>3400737.8413035828</v>
      </c>
      <c r="AR8" s="1">
        <v>3409998.8184377868</v>
      </c>
      <c r="AS8" s="1">
        <v>3412429.1990073351</v>
      </c>
      <c r="AT8" s="1">
        <v>3410739.3414188172</v>
      </c>
      <c r="AU8" s="1">
        <v>3435415.1326375208</v>
      </c>
      <c r="AV8" s="1">
        <v>3455421.1142269806</v>
      </c>
      <c r="AW8" s="1">
        <v>3464399.9030558402</v>
      </c>
      <c r="AX8" s="1">
        <v>3468161.8144723647</v>
      </c>
      <c r="AY8" s="1">
        <v>3468721.3468457172</v>
      </c>
      <c r="AZ8" s="1">
        <v>3460389.0447355025</v>
      </c>
      <c r="BA8" s="1">
        <v>3437916.6419099183</v>
      </c>
      <c r="BB8" s="1">
        <v>3408154.6015375266</v>
      </c>
      <c r="BC8" s="1">
        <v>3356540.6935624434</v>
      </c>
      <c r="BD8" s="1">
        <v>3353374.8373757224</v>
      </c>
      <c r="BE8" s="1">
        <v>3323240.8377610231</v>
      </c>
      <c r="BF8" s="1">
        <v>3307046.7011170168</v>
      </c>
      <c r="BG8" s="1">
        <v>3322394.5179742519</v>
      </c>
      <c r="BH8" s="1">
        <v>3300615.882955227</v>
      </c>
      <c r="BI8" s="1">
        <v>3276959.2423573863</v>
      </c>
      <c r="BJ8" s="1">
        <v>3268771.1013860498</v>
      </c>
      <c r="BK8" s="1">
        <v>3192683.3705781214</v>
      </c>
      <c r="BL8" s="1">
        <v>3132575.7714940319</v>
      </c>
      <c r="BM8" s="1">
        <v>3123378.2778829271</v>
      </c>
      <c r="BN8" s="1">
        <v>3130697.4130838336</v>
      </c>
      <c r="BO8" s="1">
        <v>3133545.2639102452</v>
      </c>
      <c r="BP8" s="1">
        <v>3127078.0047882218</v>
      </c>
      <c r="BQ8" s="1">
        <v>3103939.2107270719</v>
      </c>
      <c r="BR8" s="1">
        <v>3111581.0394892367</v>
      </c>
      <c r="BS8" s="1">
        <v>3134956.9349043118</v>
      </c>
      <c r="BT8" s="1">
        <v>3116347.0260530272</v>
      </c>
      <c r="BU8" s="1">
        <v>3114364.9412227999</v>
      </c>
      <c r="BV8" s="1">
        <v>3126640.4580486342</v>
      </c>
      <c r="BW8" s="1">
        <v>3145077.9177072598</v>
      </c>
      <c r="BX8" s="1">
        <v>3105577.170825697</v>
      </c>
      <c r="BY8" s="1">
        <v>3109199.778904628</v>
      </c>
      <c r="BZ8" s="1">
        <v>3107550.0414507277</v>
      </c>
      <c r="CA8" s="1">
        <v>3115903.3468450848</v>
      </c>
      <c r="CB8" s="1">
        <v>3113310.421955951</v>
      </c>
      <c r="CC8" s="1">
        <v>3094420.4762813342</v>
      </c>
      <c r="CD8" s="1">
        <v>3069348.6554469997</v>
      </c>
      <c r="CE8" s="1">
        <v>3084444.0390517288</v>
      </c>
      <c r="CF8" s="1">
        <v>3093758.3597938102</v>
      </c>
      <c r="CG8" s="1">
        <v>3098796.5498298253</v>
      </c>
      <c r="CH8" s="1">
        <v>3094857.0966128651</v>
      </c>
      <c r="CI8" s="1">
        <v>3104097.8622865221</v>
      </c>
      <c r="CJ8" s="1">
        <v>3079443.6732608574</v>
      </c>
      <c r="CK8" s="1">
        <v>3107543.6236822987</v>
      </c>
      <c r="CL8" s="1">
        <v>3105385.7884874847</v>
      </c>
      <c r="CM8" s="1">
        <v>3100365.4977828395</v>
      </c>
      <c r="CN8" s="1">
        <v>3077662.1392090544</v>
      </c>
      <c r="CO8" s="1">
        <v>3062246.216653157</v>
      </c>
      <c r="CP8" s="1">
        <v>3053900.480584335</v>
      </c>
      <c r="CQ8" s="1">
        <v>3066500.6181009747</v>
      </c>
      <c r="CR8" s="1">
        <v>3067696.2591255279</v>
      </c>
      <c r="CS8" s="1">
        <v>3062932.8912246721</v>
      </c>
      <c r="CT8" s="1">
        <v>3066994.9488171753</v>
      </c>
      <c r="CU8" s="1">
        <v>3028407.5235951948</v>
      </c>
      <c r="CV8" s="1">
        <v>3047946.198296533</v>
      </c>
      <c r="CW8" s="1">
        <v>3050206.1439020885</v>
      </c>
      <c r="CX8" s="1">
        <v>3047609.7834358313</v>
      </c>
      <c r="CY8" s="1">
        <v>3043184.339179433</v>
      </c>
      <c r="CZ8" s="1">
        <v>3038030.0893277833</v>
      </c>
      <c r="DA8" s="1">
        <v>3020781.0367120975</v>
      </c>
      <c r="DB8" s="1">
        <v>2993525.2499334244</v>
      </c>
      <c r="DC8" s="1">
        <v>2996529.9286852069</v>
      </c>
      <c r="DD8" s="1">
        <v>3008822.5289757992</v>
      </c>
      <c r="DE8" s="1">
        <v>3004819.4519017423</v>
      </c>
      <c r="DF8" s="1">
        <v>3026727.0161313647</v>
      </c>
      <c r="DG8" s="1">
        <v>3017725.5337015805</v>
      </c>
      <c r="DH8" s="1">
        <v>2993019.9795450792</v>
      </c>
      <c r="DI8" s="1">
        <v>3007179.610232221</v>
      </c>
      <c r="DJ8" s="1">
        <v>3028566.1479032445</v>
      </c>
      <c r="DK8" s="1">
        <v>3031011.0204540025</v>
      </c>
      <c r="DL8" s="1">
        <v>3048033.9770732922</v>
      </c>
      <c r="DM8" s="1">
        <v>3042025.8577034762</v>
      </c>
      <c r="DN8" s="1">
        <v>3005480.9912612974</v>
      </c>
      <c r="DO8" s="1">
        <v>3025724.6502463063</v>
      </c>
      <c r="DP8" s="1">
        <v>3049629.2887757914</v>
      </c>
      <c r="DQ8" s="1">
        <v>3084227.6668933998</v>
      </c>
      <c r="DR8" s="1">
        <v>3116994.2981794607</v>
      </c>
      <c r="DS8" s="1">
        <v>3094648.0513737109</v>
      </c>
      <c r="DT8" s="1">
        <v>3098269.8307667305</v>
      </c>
      <c r="DU8" s="1">
        <v>3114037.9616163718</v>
      </c>
      <c r="DV8" s="1">
        <v>3142914.0896754628</v>
      </c>
      <c r="DW8" s="1">
        <v>3151656.6150446888</v>
      </c>
      <c r="DX8" s="1">
        <v>3144619.7629581261</v>
      </c>
      <c r="DY8" s="1">
        <v>3124365.8792968504</v>
      </c>
      <c r="DZ8" s="1">
        <v>3107778.0421978757</v>
      </c>
      <c r="EA8" s="1">
        <v>3129300.2450280539</v>
      </c>
      <c r="EB8" s="1">
        <v>3151052.7893082509</v>
      </c>
      <c r="EC8" s="1">
        <v>3159475.2691733362</v>
      </c>
      <c r="ED8" s="1">
        <v>3182521.7575032925</v>
      </c>
      <c r="EE8" s="1">
        <v>3167251.7986873044</v>
      </c>
      <c r="EF8" s="1">
        <v>3168777.7957855491</v>
      </c>
      <c r="EG8" s="1">
        <v>3185895.7746936656</v>
      </c>
      <c r="EH8" s="1">
        <v>3195654.3509534267</v>
      </c>
      <c r="EI8" s="1">
        <v>3189359.2564636664</v>
      </c>
      <c r="EJ8" s="1">
        <v>3189034.7843765696</v>
      </c>
      <c r="EK8" s="1">
        <v>3151330.9856603011</v>
      </c>
      <c r="EL8" s="1">
        <v>3144390.0153220426</v>
      </c>
      <c r="EM8" s="1">
        <v>3163936.0136470217</v>
      </c>
      <c r="EN8" s="1">
        <v>3173084.771994241</v>
      </c>
      <c r="EO8" s="1">
        <v>3201604.3258325364</v>
      </c>
      <c r="EP8" s="1">
        <v>3203487.547444372</v>
      </c>
      <c r="EQ8" s="1">
        <v>3178141.358509447</v>
      </c>
      <c r="ER8" s="1">
        <v>3194462.3509631045</v>
      </c>
      <c r="ES8" s="1">
        <v>3207056.3989397222</v>
      </c>
      <c r="ET8" s="1">
        <v>3201118.0529658934</v>
      </c>
      <c r="EU8" s="1">
        <v>3199943.2800540077</v>
      </c>
      <c r="EV8" s="1">
        <v>3200968.0596089112</v>
      </c>
      <c r="EW8" s="1">
        <v>3169031.2435937636</v>
      </c>
      <c r="EX8" s="1">
        <v>3172819.9799378533</v>
      </c>
      <c r="EY8" s="1">
        <v>3188826.5186956953</v>
      </c>
      <c r="EZ8" s="1">
        <v>3210072.051237524</v>
      </c>
      <c r="FA8" s="1">
        <v>3222210.5072621051</v>
      </c>
      <c r="FB8" s="1">
        <v>3226491.0438236268</v>
      </c>
      <c r="FC8" s="1">
        <v>3213855.8570496482</v>
      </c>
      <c r="FD8" s="1">
        <v>3229382.4523129105</v>
      </c>
      <c r="FE8" s="1">
        <v>3223282.7574768178</v>
      </c>
      <c r="FF8" s="1">
        <v>3233424.9105793573</v>
      </c>
      <c r="FG8" s="1">
        <v>3232316.8540761</v>
      </c>
      <c r="FH8" s="1">
        <v>3223364.1995780542</v>
      </c>
      <c r="FI8" s="1">
        <v>3182788.4504088233</v>
      </c>
      <c r="FJ8" s="1">
        <v>3182424.9211549787</v>
      </c>
      <c r="FK8" s="1">
        <v>3214779.0166127263</v>
      </c>
      <c r="FL8" s="1">
        <v>3233622.5046108766</v>
      </c>
      <c r="FM8" s="1">
        <v>3224939.6466666735</v>
      </c>
      <c r="FN8" s="1">
        <v>3216803.4073978672</v>
      </c>
      <c r="FO8" s="1">
        <v>3227150.6415687213</v>
      </c>
      <c r="FP8" s="1">
        <v>3272920.2050111918</v>
      </c>
      <c r="FQ8" s="1">
        <v>3281629.0542889219</v>
      </c>
      <c r="FR8" s="1">
        <v>3268242.9435619069</v>
      </c>
      <c r="FS8" s="1">
        <v>3256144.1218652213</v>
      </c>
      <c r="FT8" s="1">
        <v>3259708.9801376127</v>
      </c>
      <c r="FU8" s="1">
        <v>3239323.681261335</v>
      </c>
      <c r="FV8" s="1">
        <v>3232627.9070824534</v>
      </c>
      <c r="FW8" s="1">
        <v>3261647.0767663666</v>
      </c>
      <c r="FX8" s="1">
        <v>3286615.9927414116</v>
      </c>
      <c r="FY8" s="1">
        <v>3291806.5731238667</v>
      </c>
      <c r="FZ8" s="1">
        <v>3314814.8381740293</v>
      </c>
      <c r="GA8" s="1">
        <v>3270346.6474519586</v>
      </c>
      <c r="GB8" s="1">
        <v>3267526.4263914777</v>
      </c>
      <c r="GC8" s="1">
        <v>3268295.835915687</v>
      </c>
      <c r="GD8" s="1">
        <v>3261137.8167439196</v>
      </c>
      <c r="GE8" s="1">
        <v>3254936.3487858418</v>
      </c>
      <c r="GF8" s="1">
        <v>3256057.3643703926</v>
      </c>
      <c r="GG8" s="1">
        <v>3239942.8560528988</v>
      </c>
      <c r="GH8" s="1">
        <v>3242083.4843181032</v>
      </c>
      <c r="GI8" s="1">
        <v>3272748.9295901144</v>
      </c>
      <c r="GJ8" s="1">
        <v>3294499.0503146015</v>
      </c>
      <c r="GK8" s="1">
        <v>3303614.9559070901</v>
      </c>
      <c r="GL8" s="1">
        <v>3307944.8063989114</v>
      </c>
      <c r="GM8" s="1">
        <v>3301016.080712589</v>
      </c>
      <c r="GN8" s="1">
        <v>3286943.7519615223</v>
      </c>
      <c r="GO8" s="1">
        <v>3253412.8075438794</v>
      </c>
      <c r="GP8" s="1">
        <v>3165041.0769459209</v>
      </c>
      <c r="GQ8" s="1">
        <v>3172984.9130970268</v>
      </c>
      <c r="GR8" s="1">
        <v>3207385.2985346261</v>
      </c>
      <c r="GS8" s="1">
        <v>3272425.8213423388</v>
      </c>
      <c r="GT8" s="1">
        <v>3287068.0098916106</v>
      </c>
      <c r="GU8" s="1">
        <v>3262595.334801686</v>
      </c>
      <c r="GV8" s="1">
        <v>3265598.0285208933</v>
      </c>
      <c r="GW8" s="1">
        <v>3291167.4194925209</v>
      </c>
      <c r="GX8" s="1">
        <v>3305935.0258538974</v>
      </c>
      <c r="GY8" s="1">
        <v>3301744.0129782651</v>
      </c>
      <c r="GZ8" s="1">
        <v>3293660.5724368901</v>
      </c>
      <c r="HA8" s="1" t="str">
        <f t="shared" si="1"/>
        <v/>
      </c>
      <c r="HB8" s="1" t="str">
        <f t="shared" si="1"/>
        <v/>
      </c>
      <c r="HC8" s="1" t="str">
        <f t="shared" si="1"/>
        <v/>
      </c>
      <c r="HD8" s="1" t="str">
        <f t="shared" si="1"/>
        <v/>
      </c>
      <c r="HE8" s="1" t="str">
        <f t="shared" si="1"/>
        <v/>
      </c>
      <c r="HF8" s="1" t="str">
        <f t="shared" si="1"/>
        <v/>
      </c>
      <c r="HG8" s="1" t="str">
        <f t="shared" si="1"/>
        <v/>
      </c>
      <c r="HH8" s="1" t="str">
        <f t="shared" si="1"/>
        <v/>
      </c>
      <c r="HI8" s="1" t="str">
        <f t="shared" si="1"/>
        <v/>
      </c>
      <c r="HJ8" s="1" t="str">
        <f t="shared" si="1"/>
        <v/>
      </c>
      <c r="HK8" s="1" t="str">
        <f t="shared" si="1"/>
        <v/>
      </c>
      <c r="HL8" s="1" t="str">
        <f t="shared" si="1"/>
        <v/>
      </c>
      <c r="HM8" s="1" t="str">
        <f t="shared" si="1"/>
        <v/>
      </c>
      <c r="HN8" s="1" t="str">
        <f t="shared" si="1"/>
        <v/>
      </c>
      <c r="HO8" s="1" t="str">
        <f t="shared" si="1"/>
        <v/>
      </c>
      <c r="HP8" s="1" t="str">
        <f t="shared" si="1"/>
        <v/>
      </c>
      <c r="HQ8" s="1" t="str">
        <f t="shared" si="1"/>
        <v/>
      </c>
      <c r="HR8" s="1" t="str">
        <f t="shared" si="1"/>
        <v/>
      </c>
      <c r="HS8" s="1" t="str">
        <f t="shared" si="1"/>
        <v/>
      </c>
      <c r="HT8" s="1" t="str">
        <f t="shared" si="1"/>
        <v/>
      </c>
      <c r="HU8" s="1" t="str">
        <f t="shared" si="1"/>
        <v/>
      </c>
      <c r="HV8" s="1" t="str">
        <f t="shared" si="1"/>
        <v/>
      </c>
      <c r="HW8" s="1" t="str">
        <f t="shared" si="1"/>
        <v/>
      </c>
      <c r="HX8" s="1" t="str">
        <f t="shared" si="1"/>
        <v/>
      </c>
      <c r="HY8" s="1" t="str">
        <f t="shared" si="1"/>
        <v/>
      </c>
      <c r="HZ8" s="1" t="str">
        <f t="shared" si="1"/>
        <v/>
      </c>
      <c r="IA8" s="1" t="str">
        <f t="shared" si="1"/>
        <v/>
      </c>
      <c r="IB8" s="1" t="str">
        <f t="shared" si="1"/>
        <v/>
      </c>
      <c r="IC8" s="1" t="str">
        <f t="shared" si="1"/>
        <v/>
      </c>
      <c r="ID8" s="1" t="str">
        <f t="shared" si="1"/>
        <v/>
      </c>
      <c r="IE8" s="1" t="str">
        <f t="shared" si="1"/>
        <v/>
      </c>
      <c r="IF8" s="1" t="str">
        <f t="shared" si="1"/>
        <v/>
      </c>
      <c r="IG8" s="1" t="str">
        <f t="shared" si="1"/>
        <v/>
      </c>
      <c r="IH8" s="1" t="str">
        <f t="shared" si="1"/>
        <v/>
      </c>
      <c r="II8" s="1" t="str">
        <f t="shared" si="1"/>
        <v/>
      </c>
      <c r="IJ8" s="1" t="str">
        <f t="shared" si="1"/>
        <v/>
      </c>
      <c r="IK8" s="1" t="str">
        <f t="shared" si="1"/>
        <v/>
      </c>
      <c r="IL8" s="1" t="str">
        <f t="shared" si="1"/>
        <v/>
      </c>
      <c r="IM8" s="1" t="str">
        <f t="shared" si="1"/>
        <v/>
      </c>
      <c r="IN8" s="1" t="str">
        <f t="shared" si="1"/>
        <v/>
      </c>
      <c r="IO8" s="1" t="str">
        <f t="shared" si="1"/>
        <v/>
      </c>
      <c r="IP8" s="1" t="str">
        <f t="shared" si="1"/>
        <v/>
      </c>
      <c r="IQ8" s="1" t="str">
        <f t="shared" si="1"/>
        <v/>
      </c>
      <c r="IR8" s="1" t="str">
        <f t="shared" si="1"/>
        <v/>
      </c>
      <c r="IS8" s="1" t="str">
        <f t="shared" si="1"/>
        <v/>
      </c>
      <c r="IT8" s="1" t="str">
        <f t="shared" si="1"/>
        <v/>
      </c>
      <c r="IU8" s="1" t="str">
        <f t="shared" si="1"/>
        <v/>
      </c>
      <c r="IV8" s="1" t="str">
        <f t="shared" si="1"/>
        <v/>
      </c>
      <c r="IW8" s="1" t="str">
        <f t="shared" si="1"/>
        <v/>
      </c>
      <c r="IX8" s="1" t="str">
        <f t="shared" si="1"/>
        <v/>
      </c>
      <c r="IY8" s="1" t="str">
        <f t="shared" si="1"/>
        <v/>
      </c>
      <c r="IZ8" s="1" t="str">
        <f t="shared" si="1"/>
        <v/>
      </c>
      <c r="JA8" s="1" t="str">
        <f t="shared" si="1"/>
        <v/>
      </c>
      <c r="JB8" s="1" t="str">
        <f t="shared" si="1"/>
        <v/>
      </c>
      <c r="JC8" s="1" t="str">
        <f t="shared" si="1"/>
        <v/>
      </c>
      <c r="JD8" s="1" t="str">
        <f t="shared" si="1"/>
        <v/>
      </c>
      <c r="JE8" s="1" t="str">
        <f t="shared" si="1"/>
        <v/>
      </c>
      <c r="JF8" s="1" t="str">
        <f t="shared" si="1"/>
        <v/>
      </c>
      <c r="JG8" s="1" t="str">
        <f t="shared" si="1"/>
        <v/>
      </c>
      <c r="JH8" s="1" t="str">
        <f t="shared" si="1"/>
        <v/>
      </c>
      <c r="LY8" s="1"/>
    </row>
    <row r="9" spans="1:337" x14ac:dyDescent="0.25">
      <c r="A9" s="4">
        <v>7</v>
      </c>
      <c r="B9" s="1">
        <v>3090486.9968502624</v>
      </c>
      <c r="C9" s="1">
        <v>3108389.5748379622</v>
      </c>
      <c r="D9" s="1">
        <v>3118589.538114747</v>
      </c>
      <c r="E9" s="1">
        <v>3128845.4985109065</v>
      </c>
      <c r="F9" s="1">
        <v>3133030.68396615</v>
      </c>
      <c r="G9" s="1">
        <v>3128315.9793021902</v>
      </c>
      <c r="H9" s="1">
        <v>3126470.6015028618</v>
      </c>
      <c r="I9" s="1">
        <v>3132098.9012198937</v>
      </c>
      <c r="J9" s="1">
        <v>3143393.6597536914</v>
      </c>
      <c r="K9" s="1">
        <v>3159164.9948611613</v>
      </c>
      <c r="L9" s="1">
        <v>3175862.1728899758</v>
      </c>
      <c r="M9" s="1">
        <v>3192904.5838006455</v>
      </c>
      <c r="N9" s="1">
        <v>3211514.7162824292</v>
      </c>
      <c r="O9" s="1">
        <v>3216269.8598739197</v>
      </c>
      <c r="P9" s="1">
        <v>3212576.8391642142</v>
      </c>
      <c r="Q9" s="1">
        <v>3212604.7984889578</v>
      </c>
      <c r="R9" s="1">
        <v>3212468.1612559306</v>
      </c>
      <c r="S9" s="1">
        <v>3213062.1197116491</v>
      </c>
      <c r="T9" s="1">
        <v>3210907.003199202</v>
      </c>
      <c r="U9" s="1">
        <v>3212462.4457241753</v>
      </c>
      <c r="V9" s="1">
        <v>3224761.4529769421</v>
      </c>
      <c r="W9" s="1">
        <v>3244974.5150559824</v>
      </c>
      <c r="X9" s="1">
        <v>3259594.881752287</v>
      </c>
      <c r="Y9" s="1">
        <v>3274620.7487145197</v>
      </c>
      <c r="Z9" s="1">
        <v>3283722.4487391976</v>
      </c>
      <c r="AA9" s="1">
        <v>3284966.5446114074</v>
      </c>
      <c r="AB9" s="1">
        <v>3286591.2025125013</v>
      </c>
      <c r="AC9" s="1">
        <v>3281852.2619918613</v>
      </c>
      <c r="AD9" s="1">
        <v>3286015.1524648932</v>
      </c>
      <c r="AE9" s="1">
        <v>3293991.5920020076</v>
      </c>
      <c r="AF9" s="1">
        <v>3285592.9024915891</v>
      </c>
      <c r="AG9" s="1">
        <v>3289519.1297217277</v>
      </c>
      <c r="AH9" s="1">
        <v>3298354.304278777</v>
      </c>
      <c r="AI9" s="1">
        <v>3322611.8467676835</v>
      </c>
      <c r="AJ9" s="1">
        <v>3344192.7935089939</v>
      </c>
      <c r="AK9" s="1">
        <v>3356985.4575595586</v>
      </c>
      <c r="AL9" s="1">
        <v>3367104.3658043621</v>
      </c>
      <c r="AM9" s="1">
        <v>3376146.579200604</v>
      </c>
      <c r="AN9" s="1">
        <v>3384085.3584601171</v>
      </c>
      <c r="AO9" s="1">
        <v>3396478.8169697626</v>
      </c>
      <c r="AP9" s="1">
        <v>3401298.9489769321</v>
      </c>
      <c r="AQ9" s="1">
        <v>3405520.4741775868</v>
      </c>
      <c r="AR9" s="1">
        <v>3411110.0347382384</v>
      </c>
      <c r="AS9" s="1">
        <v>3423336.1212478671</v>
      </c>
      <c r="AT9" s="1">
        <v>3427460.6482400075</v>
      </c>
      <c r="AU9" s="1">
        <v>3454250.7998380158</v>
      </c>
      <c r="AV9" s="1">
        <v>3473584.3209723737</v>
      </c>
      <c r="AW9" s="1">
        <v>3477995.8224242525</v>
      </c>
      <c r="AX9" s="1">
        <v>3474774.0902636414</v>
      </c>
      <c r="AY9" s="1">
        <v>3468667.6622859333</v>
      </c>
      <c r="AZ9" s="1">
        <v>3461884.6731692334</v>
      </c>
      <c r="BA9" s="1">
        <v>3442488.1968967672</v>
      </c>
      <c r="BB9" s="1">
        <v>3404535.6552647734</v>
      </c>
      <c r="BC9" s="1">
        <v>3343741.4543376258</v>
      </c>
      <c r="BD9" s="1">
        <v>3337453.4135519657</v>
      </c>
      <c r="BE9" s="1">
        <v>3314709.9872734351</v>
      </c>
      <c r="BF9" s="1">
        <v>3304150.8336456474</v>
      </c>
      <c r="BG9" s="1">
        <v>3324978.2278491878</v>
      </c>
      <c r="BH9" s="1">
        <v>3299049.5952692125</v>
      </c>
      <c r="BI9" s="1">
        <v>3269485.1136108199</v>
      </c>
      <c r="BJ9" s="1">
        <v>3256827.2355165733</v>
      </c>
      <c r="BK9" s="1">
        <v>3165266.3110829396</v>
      </c>
      <c r="BL9" s="1">
        <v>3103091.6603346346</v>
      </c>
      <c r="BM9" s="1">
        <v>3094887.4448112892</v>
      </c>
      <c r="BN9" s="1">
        <v>3106372.1799745979</v>
      </c>
      <c r="BO9" s="1">
        <v>3112475.590829107</v>
      </c>
      <c r="BP9" s="1">
        <v>3105967.6610162295</v>
      </c>
      <c r="BQ9" s="1">
        <v>3088445.1826523682</v>
      </c>
      <c r="BR9" s="1">
        <v>3106221.2438043803</v>
      </c>
      <c r="BS9" s="1">
        <v>3133818.9411038435</v>
      </c>
      <c r="BT9" s="1">
        <v>3113104.257971731</v>
      </c>
      <c r="BU9" s="1">
        <v>3110563.8062227517</v>
      </c>
      <c r="BV9" s="1">
        <v>3117840.2137932093</v>
      </c>
      <c r="BW9" s="1">
        <v>3135440.3672700566</v>
      </c>
      <c r="BX9" s="1">
        <v>3097289.0461732624</v>
      </c>
      <c r="BY9" s="1">
        <v>3098984.9240176976</v>
      </c>
      <c r="BZ9" s="1">
        <v>3098896.327143773</v>
      </c>
      <c r="CA9" s="1">
        <v>3111677.2664478254</v>
      </c>
      <c r="CB9" s="1">
        <v>3103642.1993126394</v>
      </c>
      <c r="CC9" s="1">
        <v>3089020.204751581</v>
      </c>
      <c r="CD9" s="1">
        <v>3069655.7535463758</v>
      </c>
      <c r="CE9" s="1">
        <v>3088473.4542055661</v>
      </c>
      <c r="CF9" s="1">
        <v>3098914.3209647937</v>
      </c>
      <c r="CG9" s="1">
        <v>3102938.8193053599</v>
      </c>
      <c r="CH9" s="1">
        <v>3089870.9417255148</v>
      </c>
      <c r="CI9" s="1">
        <v>3095044.8490066016</v>
      </c>
      <c r="CJ9" s="1">
        <v>3075730.1208901508</v>
      </c>
      <c r="CK9" s="1">
        <v>3106729.3351755794</v>
      </c>
      <c r="CL9" s="1">
        <v>3102424.0669453908</v>
      </c>
      <c r="CM9" s="1">
        <v>3097661.6076515974</v>
      </c>
      <c r="CN9" s="1">
        <v>3064067.3365807598</v>
      </c>
      <c r="CO9" s="1">
        <v>3055097.9540170426</v>
      </c>
      <c r="CP9" s="1">
        <v>3058462.0714344499</v>
      </c>
      <c r="CQ9" s="1">
        <v>3074406.8295430434</v>
      </c>
      <c r="CR9" s="1">
        <v>3074964.5112618413</v>
      </c>
      <c r="CS9" s="1">
        <v>3065881.8167908033</v>
      </c>
      <c r="CT9" s="1">
        <v>3061703.8321179627</v>
      </c>
      <c r="CU9" s="1">
        <v>3013778.6381570827</v>
      </c>
      <c r="CV9" s="1">
        <v>3042530.8341480833</v>
      </c>
      <c r="CW9" s="1">
        <v>3045627.708466969</v>
      </c>
      <c r="CX9" s="1">
        <v>3041606.715392814</v>
      </c>
      <c r="CY9" s="1">
        <v>3038189.8981173411</v>
      </c>
      <c r="CZ9" s="1">
        <v>3021656.5683551803</v>
      </c>
      <c r="DA9" s="1">
        <v>3015881.647433463</v>
      </c>
      <c r="DB9" s="1">
        <v>2996086.1376128588</v>
      </c>
      <c r="DC9" s="1">
        <v>3000188.7166852858</v>
      </c>
      <c r="DD9" s="1">
        <v>3015191.8578406647</v>
      </c>
      <c r="DE9" s="1">
        <v>3007043.3235753877</v>
      </c>
      <c r="DF9" s="1">
        <v>3023391.9720757566</v>
      </c>
      <c r="DG9" s="1">
        <v>3005457.2763904156</v>
      </c>
      <c r="DH9" s="1">
        <v>2987284.5620597787</v>
      </c>
      <c r="DI9" s="1">
        <v>3003698.067629437</v>
      </c>
      <c r="DJ9" s="1">
        <v>3024968.8702750872</v>
      </c>
      <c r="DK9" s="1">
        <v>3031147.675879512</v>
      </c>
      <c r="DL9" s="1">
        <v>3037734.0146468729</v>
      </c>
      <c r="DM9" s="1">
        <v>3041872.0291634523</v>
      </c>
      <c r="DN9" s="1">
        <v>3011998.6192049515</v>
      </c>
      <c r="DO9" s="1">
        <v>3039557.580498945</v>
      </c>
      <c r="DP9" s="1">
        <v>3061537.5852419687</v>
      </c>
      <c r="DQ9" s="1">
        <v>3097587.8431554092</v>
      </c>
      <c r="DR9" s="1">
        <v>3124744.4824703168</v>
      </c>
      <c r="DS9" s="1">
        <v>3087295.3599863816</v>
      </c>
      <c r="DT9" s="1">
        <v>3102122.1347822016</v>
      </c>
      <c r="DU9" s="1">
        <v>3118502.1799656008</v>
      </c>
      <c r="DV9" s="1">
        <v>3148671.6879793815</v>
      </c>
      <c r="DW9" s="1">
        <v>3162149.8480896326</v>
      </c>
      <c r="DX9" s="1">
        <v>3141900.9029000998</v>
      </c>
      <c r="DY9" s="1">
        <v>3125734.1685607964</v>
      </c>
      <c r="DZ9" s="1">
        <v>3117471.4394745249</v>
      </c>
      <c r="EA9" s="1">
        <v>3144278.7167177619</v>
      </c>
      <c r="EB9" s="1">
        <v>3167468.0602405155</v>
      </c>
      <c r="EC9" s="1">
        <v>3172005.9414830869</v>
      </c>
      <c r="ED9" s="1">
        <v>3187627.3294706433</v>
      </c>
      <c r="EE9" s="1">
        <v>3157753.6158545315</v>
      </c>
      <c r="EF9" s="1">
        <v>3171890.9778349604</v>
      </c>
      <c r="EG9" s="1">
        <v>3190441.9718745383</v>
      </c>
      <c r="EH9" s="1">
        <v>3198366.5476799039</v>
      </c>
      <c r="EI9" s="1">
        <v>3193755.3662228789</v>
      </c>
      <c r="EJ9" s="1">
        <v>3178133.0529137314</v>
      </c>
      <c r="EK9" s="1">
        <v>3149000.3648022865</v>
      </c>
      <c r="EL9" s="1">
        <v>3156743.1138863894</v>
      </c>
      <c r="EM9" s="1">
        <v>3178477.662421355</v>
      </c>
      <c r="EN9" s="1">
        <v>3185645.3557508895</v>
      </c>
      <c r="EO9" s="1">
        <v>3213565.0307011558</v>
      </c>
      <c r="EP9" s="1">
        <v>3201764.9217770617</v>
      </c>
      <c r="EQ9" s="1">
        <v>3162274.0039155334</v>
      </c>
      <c r="ER9" s="1">
        <v>3193346.0321191009</v>
      </c>
      <c r="ES9" s="1">
        <v>3208697.9785439223</v>
      </c>
      <c r="ET9" s="1">
        <v>3200307.6336572152</v>
      </c>
      <c r="EU9" s="1">
        <v>3201235.6867434839</v>
      </c>
      <c r="EV9" s="1">
        <v>3186853.8940623035</v>
      </c>
      <c r="EW9" s="1">
        <v>3166768.69927736</v>
      </c>
      <c r="EX9" s="1">
        <v>3185245.2848291593</v>
      </c>
      <c r="EY9" s="1">
        <v>3201325.8244571337</v>
      </c>
      <c r="EZ9" s="1">
        <v>3224086.9676123899</v>
      </c>
      <c r="FA9" s="1">
        <v>3232425.3570561046</v>
      </c>
      <c r="FB9" s="1">
        <v>3225236.2665628046</v>
      </c>
      <c r="FC9" s="1">
        <v>3199390.0098946551</v>
      </c>
      <c r="FD9" s="1">
        <v>3231121.7343372158</v>
      </c>
      <c r="FE9" s="1">
        <v>3224674.0932215489</v>
      </c>
      <c r="FF9" s="1">
        <v>3234658.4923304422</v>
      </c>
      <c r="FG9" s="1">
        <v>3233352.3924812102</v>
      </c>
      <c r="FH9" s="1">
        <v>3207226.9539176552</v>
      </c>
      <c r="FI9" s="1">
        <v>3180502.9410310709</v>
      </c>
      <c r="FJ9" s="1">
        <v>3194566.095081524</v>
      </c>
      <c r="FK9" s="1">
        <v>3228986.9914715793</v>
      </c>
      <c r="FL9" s="1">
        <v>3247706.8708807863</v>
      </c>
      <c r="FM9" s="1">
        <v>3232868.4695392307</v>
      </c>
      <c r="FN9" s="1">
        <v>3209277.3512915261</v>
      </c>
      <c r="FO9" s="1">
        <v>3220568.3541060439</v>
      </c>
      <c r="FP9" s="1">
        <v>3275065.6098557021</v>
      </c>
      <c r="FQ9" s="1">
        <v>3287642.6870512664</v>
      </c>
      <c r="FR9" s="1">
        <v>3266300.9443835611</v>
      </c>
      <c r="FS9" s="1">
        <v>3252897.4298583167</v>
      </c>
      <c r="FT9" s="1">
        <v>3246388.5063521271</v>
      </c>
      <c r="FU9" s="1">
        <v>3247935.8426270923</v>
      </c>
      <c r="FV9" s="1">
        <v>3246789.7237652638</v>
      </c>
      <c r="FW9" s="1">
        <v>3277661.7461014884</v>
      </c>
      <c r="FX9" s="1">
        <v>3302797.8162565189</v>
      </c>
      <c r="FY9" s="1">
        <v>3301909.4348583673</v>
      </c>
      <c r="FZ9" s="1">
        <v>3313721.0508045605</v>
      </c>
      <c r="GA9" s="1">
        <v>3259811.2627553707</v>
      </c>
      <c r="GB9" s="1">
        <v>3267751.2237179545</v>
      </c>
      <c r="GC9" s="1">
        <v>3268633.1412849682</v>
      </c>
      <c r="GD9" s="1">
        <v>3255608.9129082123</v>
      </c>
      <c r="GE9" s="1">
        <v>3251508.7131322427</v>
      </c>
      <c r="GF9" s="1">
        <v>3236664.3379684733</v>
      </c>
      <c r="GG9" s="1">
        <v>3246040.7865744922</v>
      </c>
      <c r="GH9" s="1">
        <v>3254940.3932188745</v>
      </c>
      <c r="GI9" s="1">
        <v>3284567.2995427344</v>
      </c>
      <c r="GJ9" s="1">
        <v>3308742.363894104</v>
      </c>
      <c r="GK9" s="1">
        <v>3314424.1890197601</v>
      </c>
      <c r="GL9" s="1">
        <v>3302521.4299693927</v>
      </c>
      <c r="GM9" s="1">
        <v>3284817.2106431238</v>
      </c>
      <c r="GN9" s="1">
        <v>3289576.1409723167</v>
      </c>
      <c r="GO9" s="1">
        <v>3250789.4697254458</v>
      </c>
      <c r="GP9" s="1">
        <v>3151450.9578085644</v>
      </c>
      <c r="GQ9" s="1">
        <v>3162969.1734071327</v>
      </c>
      <c r="GR9" s="1">
        <v>3188935.2733591828</v>
      </c>
      <c r="GS9" s="1">
        <v>3280848.5413542017</v>
      </c>
      <c r="GT9" s="1">
        <v>3298719.2462298209</v>
      </c>
      <c r="GU9" s="1">
        <v>3265613.7852261271</v>
      </c>
      <c r="GV9" s="1">
        <v>3276523.5133555108</v>
      </c>
      <c r="GW9" s="1">
        <v>3302807.4232651098</v>
      </c>
      <c r="GX9" s="1">
        <v>3305481.0916373665</v>
      </c>
      <c r="GY9" s="1">
        <v>3295374.8735355595</v>
      </c>
      <c r="GZ9" s="1">
        <v>3294178.8592656502</v>
      </c>
      <c r="HA9" s="1" t="str">
        <f t="shared" si="1"/>
        <v/>
      </c>
      <c r="HB9" s="1" t="str">
        <f t="shared" si="1"/>
        <v/>
      </c>
      <c r="HC9" s="1" t="str">
        <f t="shared" si="1"/>
        <v/>
      </c>
      <c r="HD9" s="1" t="str">
        <f t="shared" si="1"/>
        <v/>
      </c>
      <c r="HE9" s="1" t="str">
        <f t="shared" si="1"/>
        <v/>
      </c>
      <c r="HF9" s="1" t="str">
        <f t="shared" si="1"/>
        <v/>
      </c>
      <c r="HG9" s="1" t="str">
        <f t="shared" si="1"/>
        <v/>
      </c>
      <c r="HH9" s="1" t="str">
        <f t="shared" si="1"/>
        <v/>
      </c>
      <c r="HI9" s="1" t="str">
        <f t="shared" si="1"/>
        <v/>
      </c>
      <c r="HJ9" s="1" t="str">
        <f t="shared" si="1"/>
        <v/>
      </c>
      <c r="HK9" s="1" t="str">
        <f t="shared" si="1"/>
        <v/>
      </c>
      <c r="HL9" s="1" t="str">
        <f t="shared" si="1"/>
        <v/>
      </c>
      <c r="HM9" s="1" t="str">
        <f t="shared" si="1"/>
        <v/>
      </c>
      <c r="HN9" s="1" t="str">
        <f t="shared" si="1"/>
        <v/>
      </c>
      <c r="HO9" s="1" t="str">
        <f t="shared" si="1"/>
        <v/>
      </c>
      <c r="HP9" s="1" t="str">
        <f t="shared" si="1"/>
        <v/>
      </c>
      <c r="HQ9" s="1" t="str">
        <f t="shared" si="1"/>
        <v/>
      </c>
      <c r="HR9" s="1" t="str">
        <f t="shared" si="1"/>
        <v/>
      </c>
      <c r="HS9" s="1" t="str">
        <f t="shared" si="1"/>
        <v/>
      </c>
      <c r="HT9" s="1" t="str">
        <f t="shared" si="1"/>
        <v/>
      </c>
      <c r="HU9" s="1" t="str">
        <f t="shared" si="1"/>
        <v/>
      </c>
      <c r="HV9" s="1" t="str">
        <f t="shared" si="1"/>
        <v/>
      </c>
      <c r="HW9" s="1" t="str">
        <f t="shared" si="1"/>
        <v/>
      </c>
      <c r="HX9" s="1" t="str">
        <f t="shared" si="1"/>
        <v/>
      </c>
      <c r="HY9" s="1" t="str">
        <f t="shared" si="1"/>
        <v/>
      </c>
      <c r="HZ9" s="1" t="str">
        <f t="shared" si="1"/>
        <v/>
      </c>
      <c r="IA9" s="1" t="str">
        <f t="shared" si="1"/>
        <v/>
      </c>
      <c r="IB9" s="1" t="str">
        <f t="shared" si="1"/>
        <v/>
      </c>
      <c r="IC9" s="1" t="str">
        <f t="shared" si="1"/>
        <v/>
      </c>
      <c r="ID9" s="1" t="str">
        <f t="shared" si="1"/>
        <v/>
      </c>
      <c r="IE9" s="1" t="str">
        <f t="shared" si="1"/>
        <v/>
      </c>
      <c r="IF9" s="1" t="str">
        <f t="shared" si="1"/>
        <v/>
      </c>
      <c r="IG9" s="1" t="str">
        <f t="shared" si="1"/>
        <v/>
      </c>
      <c r="IH9" s="1" t="str">
        <f t="shared" si="1"/>
        <v/>
      </c>
      <c r="II9" s="1" t="str">
        <f t="shared" si="1"/>
        <v/>
      </c>
      <c r="IJ9" s="1" t="str">
        <f t="shared" si="1"/>
        <v/>
      </c>
      <c r="IK9" s="1" t="str">
        <f t="shared" si="1"/>
        <v/>
      </c>
      <c r="IL9" s="1" t="str">
        <f t="shared" si="1"/>
        <v/>
      </c>
      <c r="IM9" s="1" t="str">
        <f t="shared" si="1"/>
        <v/>
      </c>
      <c r="IN9" s="1" t="str">
        <f t="shared" si="1"/>
        <v/>
      </c>
      <c r="IO9" s="1" t="str">
        <f t="shared" si="1"/>
        <v/>
      </c>
      <c r="IP9" s="1" t="str">
        <f t="shared" si="1"/>
        <v/>
      </c>
      <c r="IQ9" s="1" t="str">
        <f t="shared" si="1"/>
        <v/>
      </c>
      <c r="IR9" s="1" t="str">
        <f t="shared" si="1"/>
        <v/>
      </c>
      <c r="IS9" s="1" t="str">
        <f t="shared" si="1"/>
        <v/>
      </c>
      <c r="IT9" s="1" t="str">
        <f t="shared" si="1"/>
        <v/>
      </c>
      <c r="IU9" s="1" t="str">
        <f t="shared" si="1"/>
        <v/>
      </c>
      <c r="IV9" s="1" t="str">
        <f t="shared" si="1"/>
        <v/>
      </c>
      <c r="IW9" s="1" t="str">
        <f t="shared" si="1"/>
        <v/>
      </c>
      <c r="IX9" s="1" t="str">
        <f t="shared" si="1"/>
        <v/>
      </c>
      <c r="IY9" s="1" t="str">
        <f t="shared" si="1"/>
        <v/>
      </c>
      <c r="IZ9" s="1" t="str">
        <f t="shared" si="1"/>
        <v/>
      </c>
      <c r="JA9" s="1" t="str">
        <f t="shared" si="1"/>
        <v/>
      </c>
      <c r="JB9" s="1" t="str">
        <f t="shared" si="1"/>
        <v/>
      </c>
      <c r="JC9" s="1" t="str">
        <f t="shared" si="1"/>
        <v/>
      </c>
      <c r="JD9" s="1" t="str">
        <f t="shared" si="1"/>
        <v/>
      </c>
      <c r="JE9" s="1" t="str">
        <f t="shared" si="1"/>
        <v/>
      </c>
      <c r="JF9" s="1" t="str">
        <f t="shared" si="1"/>
        <v/>
      </c>
      <c r="JG9" s="1" t="str">
        <f t="shared" si="1"/>
        <v/>
      </c>
      <c r="JH9" s="1" t="str">
        <f t="shared" si="1"/>
        <v/>
      </c>
      <c r="LY9" s="1"/>
    </row>
    <row r="10" spans="1:337" x14ac:dyDescent="0.25">
      <c r="A10" s="4">
        <v>8</v>
      </c>
      <c r="B10" s="1">
        <v>3093884.0776193165</v>
      </c>
      <c r="C10" s="1">
        <v>3113415.7182853231</v>
      </c>
      <c r="D10" s="1">
        <v>3126508.9059578711</v>
      </c>
      <c r="E10" s="1">
        <v>3136871.0350356903</v>
      </c>
      <c r="F10" s="1">
        <v>3138789.0752591826</v>
      </c>
      <c r="G10" s="1">
        <v>3125811.5389553672</v>
      </c>
      <c r="H10" s="1">
        <v>3138451.1696904907</v>
      </c>
      <c r="I10" s="1">
        <v>3150131.365353398</v>
      </c>
      <c r="J10" s="1">
        <v>3160519.0139906434</v>
      </c>
      <c r="K10" s="1">
        <v>3174915.082007804</v>
      </c>
      <c r="L10" s="1">
        <v>3189556.2137922747</v>
      </c>
      <c r="M10" s="1">
        <v>3201965.211144194</v>
      </c>
      <c r="N10" s="1">
        <v>3215447.5583340786</v>
      </c>
      <c r="O10" s="1">
        <v>3220394.1646909765</v>
      </c>
      <c r="P10" s="1">
        <v>3219089.1495351549</v>
      </c>
      <c r="Q10" s="1">
        <v>3218514.8279512804</v>
      </c>
      <c r="R10" s="1">
        <v>3215413.5489615155</v>
      </c>
      <c r="S10" s="1">
        <v>3209452.3681977587</v>
      </c>
      <c r="T10" s="1">
        <v>3220053.5504083112</v>
      </c>
      <c r="U10" s="1">
        <v>3228486.3717445703</v>
      </c>
      <c r="V10" s="1">
        <v>3240635.9438955402</v>
      </c>
      <c r="W10" s="1">
        <v>3259307.0031779441</v>
      </c>
      <c r="X10" s="1">
        <v>3272072.3047295013</v>
      </c>
      <c r="Y10" s="1">
        <v>3281071.2254506443</v>
      </c>
      <c r="Z10" s="1">
        <v>3284178.2968841391</v>
      </c>
      <c r="AA10" s="1">
        <v>3286432.7182002598</v>
      </c>
      <c r="AB10" s="1">
        <v>3291522.7255654298</v>
      </c>
      <c r="AC10" s="1">
        <v>3286194.0690269731</v>
      </c>
      <c r="AD10" s="1">
        <v>3288600.8520513684</v>
      </c>
      <c r="AE10" s="1">
        <v>3290728.5572767891</v>
      </c>
      <c r="AF10" s="1">
        <v>3294065.7604483208</v>
      </c>
      <c r="AG10" s="1">
        <v>3303097.6447415994</v>
      </c>
      <c r="AH10" s="1">
        <v>3312031.0986528816</v>
      </c>
      <c r="AI10" s="1">
        <v>3337432.1130644633</v>
      </c>
      <c r="AJ10" s="1">
        <v>3356310.3051203215</v>
      </c>
      <c r="AK10" s="1">
        <v>3362664.1660551638</v>
      </c>
      <c r="AL10" s="1">
        <v>3367315.0662461016</v>
      </c>
      <c r="AM10" s="1">
        <v>3378999.4721663338</v>
      </c>
      <c r="AN10" s="1">
        <v>3390916.8396057589</v>
      </c>
      <c r="AO10" s="1">
        <v>3403014.0255340324</v>
      </c>
      <c r="AP10" s="1">
        <v>3406106.6149076368</v>
      </c>
      <c r="AQ10" s="1">
        <v>3403266.5288384147</v>
      </c>
      <c r="AR10" s="1">
        <v>3421376.1383193787</v>
      </c>
      <c r="AS10" s="1">
        <v>3441329.6122922478</v>
      </c>
      <c r="AT10" s="1">
        <v>3444461.4758625939</v>
      </c>
      <c r="AU10" s="1">
        <v>3472299.038887369</v>
      </c>
      <c r="AV10" s="1">
        <v>3487385.161961101</v>
      </c>
      <c r="AW10" s="1">
        <v>3485615.9723193068</v>
      </c>
      <c r="AX10" s="1">
        <v>3474060.8815774303</v>
      </c>
      <c r="AY10" s="1">
        <v>3471780.5861230791</v>
      </c>
      <c r="AZ10" s="1">
        <v>3465526.0079073729</v>
      </c>
      <c r="BA10" s="1">
        <v>3444876.2102406882</v>
      </c>
      <c r="BB10" s="1">
        <v>3399751.218949582</v>
      </c>
      <c r="BC10" s="1">
        <v>3326670.6257319273</v>
      </c>
      <c r="BD10" s="1">
        <v>3330858.9372959528</v>
      </c>
      <c r="BE10" s="1">
        <v>3312996.7064895341</v>
      </c>
      <c r="BF10" s="1">
        <v>3301297.0476144077</v>
      </c>
      <c r="BG10" s="1">
        <v>3326598.9595707506</v>
      </c>
      <c r="BH10" s="1">
        <v>3293568.6548333517</v>
      </c>
      <c r="BI10" s="1">
        <v>3257345.781615423</v>
      </c>
      <c r="BJ10" s="1">
        <v>3240111.2211942915</v>
      </c>
      <c r="BK10" s="1">
        <v>3137340.7319663344</v>
      </c>
      <c r="BL10" s="1">
        <v>3072011.6620507464</v>
      </c>
      <c r="BM10" s="1">
        <v>3065828.8864450594</v>
      </c>
      <c r="BN10" s="1">
        <v>3081846.1617606897</v>
      </c>
      <c r="BO10" s="1">
        <v>3084966.434296729</v>
      </c>
      <c r="BP10" s="1">
        <v>3090818.8191972766</v>
      </c>
      <c r="BQ10" s="1">
        <v>3079265.6907132054</v>
      </c>
      <c r="BR10" s="1">
        <v>3098513.880471562</v>
      </c>
      <c r="BS10" s="1">
        <v>3132690.1841694703</v>
      </c>
      <c r="BT10" s="1">
        <v>3109043.5242238124</v>
      </c>
      <c r="BU10" s="1">
        <v>3099178.0317941965</v>
      </c>
      <c r="BV10" s="1">
        <v>3104566.2791077821</v>
      </c>
      <c r="BW10" s="1">
        <v>3131412.614326885</v>
      </c>
      <c r="BX10" s="1">
        <v>3087270.5993018514</v>
      </c>
      <c r="BY10" s="1">
        <v>3088200.5226499774</v>
      </c>
      <c r="BZ10" s="1">
        <v>3092301.0193432542</v>
      </c>
      <c r="CA10" s="1">
        <v>3098603.7927527521</v>
      </c>
      <c r="CB10" s="1">
        <v>3099346.3968824586</v>
      </c>
      <c r="CC10" s="1">
        <v>3091529.0890952591</v>
      </c>
      <c r="CD10" s="1">
        <v>3071160.4789629336</v>
      </c>
      <c r="CE10" s="1">
        <v>3092189.2454935047</v>
      </c>
      <c r="CF10" s="1">
        <v>3103005.7018186059</v>
      </c>
      <c r="CG10" s="1">
        <v>3099525.8131088587</v>
      </c>
      <c r="CH10" s="1">
        <v>3078591.4247346437</v>
      </c>
      <c r="CI10" s="1">
        <v>3090493.9953962294</v>
      </c>
      <c r="CJ10" s="1">
        <v>3069985.5818877714</v>
      </c>
      <c r="CK10" s="1">
        <v>3104132.7397421314</v>
      </c>
      <c r="CL10" s="1">
        <v>3100099.6482792934</v>
      </c>
      <c r="CM10" s="1">
        <v>3086852.6787602226</v>
      </c>
      <c r="CN10" s="1">
        <v>3059824.0209614336</v>
      </c>
      <c r="CO10" s="1">
        <v>3061698.8158615003</v>
      </c>
      <c r="CP10" s="1">
        <v>3063404.0005907919</v>
      </c>
      <c r="CQ10" s="1">
        <v>3081830.8628511401</v>
      </c>
      <c r="CR10" s="1">
        <v>3078555.9251672234</v>
      </c>
      <c r="CS10" s="1">
        <v>3060310.1847098479</v>
      </c>
      <c r="CT10" s="1">
        <v>3050102.6303579593</v>
      </c>
      <c r="CU10" s="1">
        <v>3004175.0846844274</v>
      </c>
      <c r="CV10" s="1">
        <v>3037385.2813353897</v>
      </c>
      <c r="CW10" s="1">
        <v>3039047.5578917991</v>
      </c>
      <c r="CX10" s="1">
        <v>3036886.5281360885</v>
      </c>
      <c r="CY10" s="1">
        <v>3020258.3173341481</v>
      </c>
      <c r="CZ10" s="1">
        <v>3019706.3876540987</v>
      </c>
      <c r="DA10" s="1">
        <v>3021299.1983379722</v>
      </c>
      <c r="DB10" s="1">
        <v>2999372.4896770692</v>
      </c>
      <c r="DC10" s="1">
        <v>3004382.7938796738</v>
      </c>
      <c r="DD10" s="1">
        <v>3018892.9203722938</v>
      </c>
      <c r="DE10" s="1">
        <v>3000750.7317279358</v>
      </c>
      <c r="DF10" s="1">
        <v>3012793.4854953615</v>
      </c>
      <c r="DG10" s="1">
        <v>3000718.4254723843</v>
      </c>
      <c r="DH10" s="1">
        <v>2980241.3914831895</v>
      </c>
      <c r="DI10" s="1">
        <v>2996935.4905628432</v>
      </c>
      <c r="DJ10" s="1">
        <v>3024503.7391306646</v>
      </c>
      <c r="DK10" s="1">
        <v>3020249.3202332752</v>
      </c>
      <c r="DL10" s="1">
        <v>3038077.749622738</v>
      </c>
      <c r="DM10" s="1">
        <v>3055390.6042550839</v>
      </c>
      <c r="DN10" s="1">
        <v>3019486.5142403287</v>
      </c>
      <c r="DO10" s="1">
        <v>3051802.624633098</v>
      </c>
      <c r="DP10" s="1">
        <v>3070073.5507733542</v>
      </c>
      <c r="DQ10" s="1">
        <v>3102616.3607985233</v>
      </c>
      <c r="DR10" s="1">
        <v>3122577.1627541184</v>
      </c>
      <c r="DS10" s="1">
        <v>3091188.5431413064</v>
      </c>
      <c r="DT10" s="1">
        <v>3105190.7659288393</v>
      </c>
      <c r="DU10" s="1">
        <v>3120846.5532164285</v>
      </c>
      <c r="DV10" s="1">
        <v>3157205.79994014</v>
      </c>
      <c r="DW10" s="1">
        <v>3160037.2013149858</v>
      </c>
      <c r="DX10" s="1">
        <v>3143333.0651477966</v>
      </c>
      <c r="DY10" s="1">
        <v>3140624.9867596128</v>
      </c>
      <c r="DZ10" s="1">
        <v>3131882.8000179469</v>
      </c>
      <c r="EA10" s="1">
        <v>3158617.7523159268</v>
      </c>
      <c r="EB10" s="1">
        <v>3181606.185486957</v>
      </c>
      <c r="EC10" s="1">
        <v>3174521.8468800699</v>
      </c>
      <c r="ED10" s="1">
        <v>3181034.215445308</v>
      </c>
      <c r="EE10" s="1">
        <v>3159289.2662676005</v>
      </c>
      <c r="EF10" s="1">
        <v>3174775.3160870215</v>
      </c>
      <c r="EG10" s="1">
        <v>3194172.217178965</v>
      </c>
      <c r="EH10" s="1">
        <v>3203096.7451068675</v>
      </c>
      <c r="EI10" s="1">
        <v>3183284.409713055</v>
      </c>
      <c r="EJ10" s="1">
        <v>3180744.4850105392</v>
      </c>
      <c r="EK10" s="1">
        <v>3160187.5865405649</v>
      </c>
      <c r="EL10" s="1">
        <v>3172817.3490571487</v>
      </c>
      <c r="EM10" s="1">
        <v>3191513.2646387178</v>
      </c>
      <c r="EN10" s="1">
        <v>3194487.2426724182</v>
      </c>
      <c r="EO10" s="1">
        <v>3214569.146974544</v>
      </c>
      <c r="EP10" s="1">
        <v>3191196.3137896489</v>
      </c>
      <c r="EQ10" s="1">
        <v>3158846.3595608822</v>
      </c>
      <c r="ER10" s="1">
        <v>3193066.2274594563</v>
      </c>
      <c r="ES10" s="1">
        <v>3209586.2326476863</v>
      </c>
      <c r="ET10" s="1">
        <v>3201666.8993911282</v>
      </c>
      <c r="EU10" s="1">
        <v>3187795.8496054756</v>
      </c>
      <c r="EV10" s="1">
        <v>3186126.7010868993</v>
      </c>
      <c r="EW10" s="1">
        <v>3178118.855984401</v>
      </c>
      <c r="EX10" s="1">
        <v>3198010.602066067</v>
      </c>
      <c r="EY10" s="1">
        <v>3213626.0937224422</v>
      </c>
      <c r="EZ10" s="1">
        <v>3235272.5990919755</v>
      </c>
      <c r="FA10" s="1">
        <v>3228048.4745746842</v>
      </c>
      <c r="FB10" s="1">
        <v>3213087.8406497603</v>
      </c>
      <c r="FC10" s="1">
        <v>3197477.8452744125</v>
      </c>
      <c r="FD10" s="1">
        <v>3233101.2425497584</v>
      </c>
      <c r="FE10" s="1">
        <v>3225079.8127440521</v>
      </c>
      <c r="FF10" s="1">
        <v>3236980.7304144655</v>
      </c>
      <c r="FG10" s="1">
        <v>3219894.2856019158</v>
      </c>
      <c r="FH10" s="1">
        <v>3207609.7759285332</v>
      </c>
      <c r="FI10" s="1">
        <v>3191340.5547607779</v>
      </c>
      <c r="FJ10" s="1">
        <v>3208164.5784970075</v>
      </c>
      <c r="FK10" s="1">
        <v>3242534.6868132148</v>
      </c>
      <c r="FL10" s="1">
        <v>3258085.9918884765</v>
      </c>
      <c r="FM10" s="1">
        <v>3227200.5646223333</v>
      </c>
      <c r="FN10" s="1">
        <v>3191907.5711721452</v>
      </c>
      <c r="FO10" s="1">
        <v>3215638.8417913569</v>
      </c>
      <c r="FP10" s="1">
        <v>3275082.5649440065</v>
      </c>
      <c r="FQ10" s="1">
        <v>3286889.5233298047</v>
      </c>
      <c r="FR10" s="1">
        <v>3264862.837775344</v>
      </c>
      <c r="FS10" s="1">
        <v>3246062.4090166814</v>
      </c>
      <c r="FT10" s="1">
        <v>3255487.5604375694</v>
      </c>
      <c r="FU10" s="1">
        <v>3263036.4431107566</v>
      </c>
      <c r="FV10" s="1">
        <v>3258473.2714583883</v>
      </c>
      <c r="FW10" s="1">
        <v>3289696.9667157633</v>
      </c>
      <c r="FX10" s="1">
        <v>3315073.4933871045</v>
      </c>
      <c r="FY10" s="1">
        <v>3297742.8425530633</v>
      </c>
      <c r="FZ10" s="1">
        <v>3301554.2576943934</v>
      </c>
      <c r="GA10" s="1">
        <v>3256276.9096507812</v>
      </c>
      <c r="GB10" s="1">
        <v>3268056.2821579087</v>
      </c>
      <c r="GC10" s="1">
        <v>3264208.5762332738</v>
      </c>
      <c r="GD10" s="1">
        <v>3249273.0651664874</v>
      </c>
      <c r="GE10" s="1">
        <v>3234971.2147464659</v>
      </c>
      <c r="GF10" s="1">
        <v>3240446.9106822461</v>
      </c>
      <c r="GG10" s="1">
        <v>3259741.9460185799</v>
      </c>
      <c r="GH10" s="1">
        <v>3267232.6276542661</v>
      </c>
      <c r="GI10" s="1">
        <v>3297630.124516672</v>
      </c>
      <c r="GJ10" s="1">
        <v>3320104.198548614</v>
      </c>
      <c r="GK10" s="1">
        <v>3309665.408635864</v>
      </c>
      <c r="GL10" s="1">
        <v>3290637.0270976955</v>
      </c>
      <c r="GM10" s="1">
        <v>3287446.4951939541</v>
      </c>
      <c r="GN10" s="1">
        <v>3293506.6439229404</v>
      </c>
      <c r="GO10" s="1">
        <v>3246766.3709865389</v>
      </c>
      <c r="GP10" s="1">
        <v>3139913.4386089537</v>
      </c>
      <c r="GQ10" s="1">
        <v>3143529.1501546837</v>
      </c>
      <c r="GR10" s="1">
        <v>3188499.9785120301</v>
      </c>
      <c r="GS10" s="1">
        <v>3291634.4476735052</v>
      </c>
      <c r="GT10" s="1">
        <v>3298677.5217598001</v>
      </c>
      <c r="GU10" s="1">
        <v>3277183.7561068158</v>
      </c>
      <c r="GV10" s="1">
        <v>3286261.3661692496</v>
      </c>
      <c r="GW10" s="1">
        <v>3303024.896441008</v>
      </c>
      <c r="GX10" s="1">
        <v>3297309.6869131792</v>
      </c>
      <c r="GY10" s="1">
        <v>3298984.0619552163</v>
      </c>
      <c r="GZ10" s="1">
        <v>3296397.82653536</v>
      </c>
      <c r="HA10" s="1" t="str">
        <f t="shared" si="1"/>
        <v/>
      </c>
      <c r="HB10" s="1" t="str">
        <f t="shared" si="1"/>
        <v/>
      </c>
      <c r="HC10" s="1" t="str">
        <f t="shared" si="1"/>
        <v/>
      </c>
      <c r="HD10" s="1" t="str">
        <f t="shared" si="1"/>
        <v/>
      </c>
      <c r="HE10" s="1" t="str">
        <f t="shared" si="1"/>
        <v/>
      </c>
      <c r="HF10" s="1" t="str">
        <f t="shared" si="1"/>
        <v/>
      </c>
      <c r="HG10" s="1" t="str">
        <f t="shared" si="1"/>
        <v/>
      </c>
      <c r="HH10" s="1" t="str">
        <f t="shared" si="1"/>
        <v/>
      </c>
      <c r="HI10" s="1" t="str">
        <f t="shared" si="1"/>
        <v/>
      </c>
      <c r="HJ10" s="1" t="str">
        <f t="shared" si="1"/>
        <v/>
      </c>
      <c r="HK10" s="1" t="str">
        <f t="shared" si="1"/>
        <v/>
      </c>
      <c r="HL10" s="1" t="str">
        <f t="shared" si="1"/>
        <v/>
      </c>
      <c r="HM10" s="1" t="str">
        <f t="shared" si="1"/>
        <v/>
      </c>
      <c r="HN10" s="1" t="str">
        <f t="shared" si="1"/>
        <v/>
      </c>
      <c r="HO10" s="1" t="str">
        <f t="shared" si="1"/>
        <v/>
      </c>
      <c r="HP10" s="1" t="str">
        <f t="shared" si="1"/>
        <v/>
      </c>
      <c r="HQ10" s="1" t="str">
        <f t="shared" si="1"/>
        <v/>
      </c>
      <c r="HR10" s="1" t="str">
        <f t="shared" si="1"/>
        <v/>
      </c>
      <c r="HS10" s="1" t="str">
        <f t="shared" si="1"/>
        <v/>
      </c>
      <c r="HT10" s="1" t="str">
        <f t="shared" si="1"/>
        <v/>
      </c>
      <c r="HU10" s="1" t="str">
        <f t="shared" si="1"/>
        <v/>
      </c>
      <c r="HV10" s="1" t="str">
        <f t="shared" si="1"/>
        <v/>
      </c>
      <c r="HW10" s="1" t="str">
        <f t="shared" si="1"/>
        <v/>
      </c>
      <c r="HX10" s="1" t="str">
        <f t="shared" si="1"/>
        <v/>
      </c>
      <c r="HY10" s="1" t="str">
        <f t="shared" si="1"/>
        <v/>
      </c>
      <c r="HZ10" s="1" t="str">
        <f t="shared" si="1"/>
        <v/>
      </c>
      <c r="IA10" s="1" t="str">
        <f t="shared" si="1"/>
        <v/>
      </c>
      <c r="IB10" s="1" t="str">
        <f t="shared" si="1"/>
        <v/>
      </c>
      <c r="IC10" s="1" t="str">
        <f t="shared" si="1"/>
        <v/>
      </c>
      <c r="ID10" s="1" t="str">
        <f t="shared" si="1"/>
        <v/>
      </c>
      <c r="IE10" s="1" t="str">
        <f t="shared" si="1"/>
        <v/>
      </c>
      <c r="IF10" s="1" t="str">
        <f t="shared" si="1"/>
        <v/>
      </c>
      <c r="IG10" s="1" t="str">
        <f t="shared" si="1"/>
        <v/>
      </c>
      <c r="IH10" s="1" t="str">
        <f t="shared" si="1"/>
        <v/>
      </c>
      <c r="II10" s="1" t="str">
        <f t="shared" si="1"/>
        <v/>
      </c>
      <c r="IJ10" s="1" t="str">
        <f t="shared" si="1"/>
        <v/>
      </c>
      <c r="IK10" s="1" t="str">
        <f t="shared" si="1"/>
        <v/>
      </c>
      <c r="IL10" s="1" t="str">
        <f t="shared" si="1"/>
        <v/>
      </c>
      <c r="IM10" s="1" t="str">
        <f t="shared" si="1"/>
        <v/>
      </c>
      <c r="IN10" s="1" t="str">
        <f t="shared" si="1"/>
        <v/>
      </c>
      <c r="IO10" s="1" t="str">
        <f t="shared" si="1"/>
        <v/>
      </c>
      <c r="IP10" s="1" t="str">
        <f t="shared" si="1"/>
        <v/>
      </c>
      <c r="IQ10" s="1" t="str">
        <f t="shared" si="1"/>
        <v/>
      </c>
      <c r="IR10" s="1" t="str">
        <f t="shared" si="1"/>
        <v/>
      </c>
      <c r="IS10" s="1" t="str">
        <f t="shared" si="1"/>
        <v/>
      </c>
      <c r="IT10" s="1" t="str">
        <f t="shared" si="1"/>
        <v/>
      </c>
      <c r="IU10" s="1" t="str">
        <f t="shared" si="1"/>
        <v/>
      </c>
      <c r="IV10" s="1" t="str">
        <f t="shared" si="1"/>
        <v/>
      </c>
      <c r="IW10" s="1" t="str">
        <f t="shared" si="1"/>
        <v/>
      </c>
      <c r="IX10" s="1" t="str">
        <f t="shared" si="1"/>
        <v/>
      </c>
      <c r="IY10" s="1" t="str">
        <f t="shared" si="1"/>
        <v/>
      </c>
      <c r="IZ10" s="1" t="str">
        <f t="shared" si="1"/>
        <v/>
      </c>
      <c r="JA10" s="1" t="str">
        <f t="shared" si="1"/>
        <v/>
      </c>
      <c r="JB10" s="1" t="str">
        <f t="shared" si="1"/>
        <v/>
      </c>
      <c r="JC10" s="1" t="str">
        <f t="shared" si="1"/>
        <v/>
      </c>
      <c r="JD10" s="1" t="str">
        <f t="shared" si="1"/>
        <v/>
      </c>
      <c r="JE10" s="1" t="str">
        <f t="shared" si="1"/>
        <v/>
      </c>
      <c r="JF10" s="1" t="str">
        <f t="shared" si="1"/>
        <v/>
      </c>
      <c r="JG10" s="1" t="str">
        <f t="shared" si="1"/>
        <v/>
      </c>
      <c r="JH10" s="1" t="str">
        <f t="shared" si="1"/>
        <v/>
      </c>
      <c r="LY10" s="1"/>
    </row>
    <row r="11" spans="1:337" x14ac:dyDescent="0.25">
      <c r="A11" s="5">
        <v>9</v>
      </c>
      <c r="B11" s="1">
        <v>3097902.3992796759</v>
      </c>
      <c r="C11" s="1">
        <v>3121033.3601715234</v>
      </c>
      <c r="D11" s="1">
        <v>3134352.4048246173</v>
      </c>
      <c r="E11" s="1">
        <v>3142793.7972598327</v>
      </c>
      <c r="F11" s="1">
        <v>3137185.7090135133</v>
      </c>
      <c r="G11" s="1">
        <v>3137733.4727338357</v>
      </c>
      <c r="H11" s="1">
        <v>3157239.1674036607</v>
      </c>
      <c r="I11" s="1">
        <v>3168389.1475610211</v>
      </c>
      <c r="J11" s="1">
        <v>3177229.1133628041</v>
      </c>
      <c r="K11" s="1">
        <v>3188529.8976797201</v>
      </c>
      <c r="L11" s="1">
        <v>3198300.5025651241</v>
      </c>
      <c r="M11" s="1">
        <v>3205223.3652787898</v>
      </c>
      <c r="N11" s="1">
        <v>3218825.8980522947</v>
      </c>
      <c r="O11" s="1">
        <v>3227528.6925432184</v>
      </c>
      <c r="P11" s="1">
        <v>3225656.4931926904</v>
      </c>
      <c r="Q11" s="1">
        <v>3222137.8283211924</v>
      </c>
      <c r="R11" s="1">
        <v>3211262.0635805805</v>
      </c>
      <c r="S11" s="1">
        <v>3218829.1687670927</v>
      </c>
      <c r="T11" s="1">
        <v>3236649.5319987168</v>
      </c>
      <c r="U11" s="1">
        <v>3245110.2569253403</v>
      </c>
      <c r="V11" s="1">
        <v>3255338.5666101174</v>
      </c>
      <c r="W11" s="1">
        <v>3271666.4589556218</v>
      </c>
      <c r="X11" s="1">
        <v>3278687.825838103</v>
      </c>
      <c r="Y11" s="1">
        <v>3282103.6202214281</v>
      </c>
      <c r="Z11" s="1">
        <v>3285772.8285861141</v>
      </c>
      <c r="AA11" s="1">
        <v>3291314.5557721164</v>
      </c>
      <c r="AB11" s="1">
        <v>3296510.3163168831</v>
      </c>
      <c r="AC11" s="1">
        <v>3289732.4660752425</v>
      </c>
      <c r="AD11" s="1">
        <v>3284199.7109881197</v>
      </c>
      <c r="AE11" s="1">
        <v>3299093.3501774417</v>
      </c>
      <c r="AF11" s="1">
        <v>3308643.5440590968</v>
      </c>
      <c r="AG11" s="1">
        <v>3317567.2766324822</v>
      </c>
      <c r="AH11" s="1">
        <v>3325789.9039224172</v>
      </c>
      <c r="AI11" s="1">
        <v>3349026.5383908562</v>
      </c>
      <c r="AJ11" s="1">
        <v>3362189.5865083779</v>
      </c>
      <c r="AK11" s="1">
        <v>3362438.5126046962</v>
      </c>
      <c r="AL11" s="1">
        <v>3370432.83821576</v>
      </c>
      <c r="AM11" s="1">
        <v>3384793.5188306989</v>
      </c>
      <c r="AN11" s="1">
        <v>3397446.1232546628</v>
      </c>
      <c r="AO11" s="1">
        <v>3408991.9528991971</v>
      </c>
      <c r="AP11" s="1">
        <v>3404306.4711667085</v>
      </c>
      <c r="AQ11" s="1">
        <v>3414747.8420448154</v>
      </c>
      <c r="AR11" s="1">
        <v>3438046.8705002689</v>
      </c>
      <c r="AS11" s="1">
        <v>3459667.5568620833</v>
      </c>
      <c r="AT11" s="1">
        <v>3460949.3771350263</v>
      </c>
      <c r="AU11" s="1">
        <v>3486002.1681435565</v>
      </c>
      <c r="AV11" s="1">
        <v>3494750.4870505622</v>
      </c>
      <c r="AW11" s="1">
        <v>3486695.3836392472</v>
      </c>
      <c r="AX11" s="1">
        <v>3476915.2569798799</v>
      </c>
      <c r="AY11" s="1">
        <v>3477573.880826341</v>
      </c>
      <c r="AZ11" s="1">
        <v>3468431.2072929037</v>
      </c>
      <c r="BA11" s="1">
        <v>3446705.7630177662</v>
      </c>
      <c r="BB11" s="1">
        <v>3390679.8508524718</v>
      </c>
      <c r="BC11" s="1">
        <v>3318407.1921199244</v>
      </c>
      <c r="BD11" s="1">
        <v>3331049.7976143248</v>
      </c>
      <c r="BE11" s="1">
        <v>3308755.7585617192</v>
      </c>
      <c r="BF11" s="1">
        <v>3294653.5394429127</v>
      </c>
      <c r="BG11" s="1">
        <v>3324273.4834549986</v>
      </c>
      <c r="BH11" s="1">
        <v>3281936.5665835245</v>
      </c>
      <c r="BI11" s="1">
        <v>3240424.7603903245</v>
      </c>
      <c r="BJ11" s="1">
        <v>3223477.3317528348</v>
      </c>
      <c r="BK11" s="1">
        <v>3111254.8972780546</v>
      </c>
      <c r="BL11" s="1">
        <v>3039306.6232852312</v>
      </c>
      <c r="BM11" s="1">
        <v>3037538.8988811225</v>
      </c>
      <c r="BN11" s="1">
        <v>3055104.5696287705</v>
      </c>
      <c r="BO11" s="1">
        <v>3067720.3874959545</v>
      </c>
      <c r="BP11" s="1">
        <v>3081989.3746697707</v>
      </c>
      <c r="BQ11" s="1">
        <v>3070945.1784503381</v>
      </c>
      <c r="BR11" s="1">
        <v>3091680.6816798178</v>
      </c>
      <c r="BS11" s="1">
        <v>3130744.5922889044</v>
      </c>
      <c r="BT11" s="1">
        <v>3097778.3553069122</v>
      </c>
      <c r="BU11" s="1">
        <v>3082431.1238396433</v>
      </c>
      <c r="BV11" s="1">
        <v>3097191.9630117281</v>
      </c>
      <c r="BW11" s="1">
        <v>3126164.7712781695</v>
      </c>
      <c r="BX11" s="1">
        <v>3076227.1608148217</v>
      </c>
      <c r="BY11" s="1">
        <v>3079623.3803957608</v>
      </c>
      <c r="BZ11" s="1">
        <v>3078899.351119624</v>
      </c>
      <c r="CA11" s="1">
        <v>3094080.1512598163</v>
      </c>
      <c r="CB11" s="1">
        <v>3102841.2618038999</v>
      </c>
      <c r="CC11" s="1">
        <v>3095691.5090137208</v>
      </c>
      <c r="CD11" s="1">
        <v>3073111.0996577097</v>
      </c>
      <c r="CE11" s="1">
        <v>3094207.2014573812</v>
      </c>
      <c r="CF11" s="1">
        <v>3099417.2676901557</v>
      </c>
      <c r="CG11" s="1">
        <v>3090069.3035957944</v>
      </c>
      <c r="CH11" s="1">
        <v>3075681.0570833785</v>
      </c>
      <c r="CI11" s="1">
        <v>3085992.0741111599</v>
      </c>
      <c r="CJ11" s="1">
        <v>3063148.6339745279</v>
      </c>
      <c r="CK11" s="1">
        <v>3102367.7281797146</v>
      </c>
      <c r="CL11" s="1">
        <v>3089647.3844862124</v>
      </c>
      <c r="CM11" s="1">
        <v>3081994.6547612082</v>
      </c>
      <c r="CN11" s="1">
        <v>3066520.4485597513</v>
      </c>
      <c r="CO11" s="1">
        <v>3070027.720420613</v>
      </c>
      <c r="CP11" s="1">
        <v>3068391.2733827289</v>
      </c>
      <c r="CQ11" s="1">
        <v>3085606.8462877362</v>
      </c>
      <c r="CR11" s="1">
        <v>3075877.0285495734</v>
      </c>
      <c r="CS11" s="1">
        <v>3048155.9387106104</v>
      </c>
      <c r="CT11" s="1">
        <v>3045865.6699327612</v>
      </c>
      <c r="CU11" s="1">
        <v>2994623.8329900345</v>
      </c>
      <c r="CV11" s="1">
        <v>3031029.6590862805</v>
      </c>
      <c r="CW11" s="1">
        <v>3034094.2131915749</v>
      </c>
      <c r="CX11" s="1">
        <v>3021078.3925712854</v>
      </c>
      <c r="CY11" s="1">
        <v>3019871.1872042431</v>
      </c>
      <c r="CZ11" s="1">
        <v>3025713.514082626</v>
      </c>
      <c r="DA11" s="1">
        <v>3027748.2887973012</v>
      </c>
      <c r="DB11" s="1">
        <v>3003207.8870832743</v>
      </c>
      <c r="DC11" s="1">
        <v>3006102.5403067237</v>
      </c>
      <c r="DD11" s="1">
        <v>3014306.0893362914</v>
      </c>
      <c r="DE11" s="1">
        <v>2986961.9422477568</v>
      </c>
      <c r="DF11" s="1">
        <v>3008343.8249015342</v>
      </c>
      <c r="DG11" s="1">
        <v>2995143.527488715</v>
      </c>
      <c r="DH11" s="1">
        <v>2970093.2622349961</v>
      </c>
      <c r="DI11" s="1">
        <v>2993315.4099043002</v>
      </c>
      <c r="DJ11" s="1">
        <v>3013427.0784680834</v>
      </c>
      <c r="DK11" s="1">
        <v>3015809.7526139384</v>
      </c>
      <c r="DL11" s="1">
        <v>3049894.3465889795</v>
      </c>
      <c r="DM11" s="1">
        <v>3068844.9899990545</v>
      </c>
      <c r="DN11" s="1">
        <v>3028560.3506059479</v>
      </c>
      <c r="DO11" s="1">
        <v>3060376.7425733898</v>
      </c>
      <c r="DP11" s="1">
        <v>3071558.0083683468</v>
      </c>
      <c r="DQ11" s="1">
        <v>3097719.0948932543</v>
      </c>
      <c r="DR11" s="1">
        <v>3129590.3384131808</v>
      </c>
      <c r="DS11" s="1">
        <v>3094955.7986273626</v>
      </c>
      <c r="DT11" s="1">
        <v>3106135.6825143108</v>
      </c>
      <c r="DU11" s="1">
        <v>3125878.8790440019</v>
      </c>
      <c r="DV11" s="1">
        <v>3151980.8957554279</v>
      </c>
      <c r="DW11" s="1">
        <v>3165256.9365502121</v>
      </c>
      <c r="DX11" s="1">
        <v>3161917.3046321142</v>
      </c>
      <c r="DY11" s="1">
        <v>3157615.4982432174</v>
      </c>
      <c r="DZ11" s="1">
        <v>3145838.4936922919</v>
      </c>
      <c r="EA11" s="1">
        <v>3170450.2863043225</v>
      </c>
      <c r="EB11" s="1">
        <v>3186554.7922391519</v>
      </c>
      <c r="EC11" s="1">
        <v>3165025.6603626236</v>
      </c>
      <c r="ED11" s="1">
        <v>3185335.7409692556</v>
      </c>
      <c r="EE11" s="1">
        <v>3160862.4890857739</v>
      </c>
      <c r="EF11" s="1">
        <v>3175003.4980279682</v>
      </c>
      <c r="EG11" s="1">
        <v>3200538.2178837648</v>
      </c>
      <c r="EH11" s="1">
        <v>3196503.0693479879</v>
      </c>
      <c r="EI11" s="1">
        <v>3186568.4338435978</v>
      </c>
      <c r="EJ11" s="1">
        <v>3194948.0183001617</v>
      </c>
      <c r="EK11" s="1">
        <v>3174259.8889266136</v>
      </c>
      <c r="EL11" s="1">
        <v>3186722.1788155246</v>
      </c>
      <c r="EM11" s="1">
        <v>3201695.0567690926</v>
      </c>
      <c r="EN11" s="1">
        <v>3191750.5943759326</v>
      </c>
      <c r="EO11" s="1">
        <v>3204248.3281520959</v>
      </c>
      <c r="EP11" s="1">
        <v>3189624.2720800815</v>
      </c>
      <c r="EQ11" s="1">
        <v>3154974.1495254114</v>
      </c>
      <c r="ER11" s="1">
        <v>3192023.1206074385</v>
      </c>
      <c r="ES11" s="1">
        <v>3211987.9648098676</v>
      </c>
      <c r="ET11" s="1">
        <v>3188324.0297817746</v>
      </c>
      <c r="EU11" s="1">
        <v>3187907.8912298223</v>
      </c>
      <c r="EV11" s="1">
        <v>3199317.2969551454</v>
      </c>
      <c r="EW11" s="1">
        <v>3191850.9336472615</v>
      </c>
      <c r="EX11" s="1">
        <v>3210035.2716649063</v>
      </c>
      <c r="EY11" s="1">
        <v>3223157.6960466588</v>
      </c>
      <c r="EZ11" s="1">
        <v>3234116.2898799982</v>
      </c>
      <c r="FA11" s="1">
        <v>3216059.6744119991</v>
      </c>
      <c r="FB11" s="1">
        <v>3212730.1931907088</v>
      </c>
      <c r="FC11" s="1">
        <v>3196252.0278585199</v>
      </c>
      <c r="FD11" s="1">
        <v>3232928.5650962866</v>
      </c>
      <c r="FE11" s="1">
        <v>3225898.0502226353</v>
      </c>
      <c r="FF11" s="1">
        <v>3221917.1060300083</v>
      </c>
      <c r="FG11" s="1">
        <v>3222884.6050931779</v>
      </c>
      <c r="FH11" s="1">
        <v>3220810.7336153472</v>
      </c>
      <c r="FI11" s="1">
        <v>3204522.3972744225</v>
      </c>
      <c r="FJ11" s="1">
        <v>3214765.4191262838</v>
      </c>
      <c r="FK11" s="1">
        <v>3252504.7590461401</v>
      </c>
      <c r="FL11" s="1">
        <v>3253680.1845456287</v>
      </c>
      <c r="FM11" s="1">
        <v>3211499.9762542509</v>
      </c>
      <c r="FN11" s="1">
        <v>3189243.3333755182</v>
      </c>
      <c r="FO11" s="1">
        <v>3210129.7924253382</v>
      </c>
      <c r="FP11" s="1">
        <v>3275831.5665217396</v>
      </c>
      <c r="FQ11" s="1">
        <v>3287619.6243112097</v>
      </c>
      <c r="FR11" s="1">
        <v>3254620.633910276</v>
      </c>
      <c r="FS11" s="1">
        <v>3252405.7962662019</v>
      </c>
      <c r="FT11" s="1">
        <v>3273064.4988771034</v>
      </c>
      <c r="FU11" s="1">
        <v>3279183.5126128532</v>
      </c>
      <c r="FV11" s="1">
        <v>3270100.1091994131</v>
      </c>
      <c r="FW11" s="1">
        <v>3298422.537952329</v>
      </c>
      <c r="FX11" s="1">
        <v>3311701.1034046472</v>
      </c>
      <c r="FY11" s="1">
        <v>3288417.4846658306</v>
      </c>
      <c r="FZ11" s="1">
        <v>3305484.9476304529</v>
      </c>
      <c r="GA11" s="1">
        <v>3252066.2069087857</v>
      </c>
      <c r="GB11" s="1">
        <v>3263663.5614529187</v>
      </c>
      <c r="GC11" s="1">
        <v>3261262.4634765889</v>
      </c>
      <c r="GD11" s="1">
        <v>3236248.5700531164</v>
      </c>
      <c r="GE11" s="1">
        <v>3238031.0958022601</v>
      </c>
      <c r="GF11" s="1">
        <v>3254224.3627988398</v>
      </c>
      <c r="GG11" s="1">
        <v>3270293.5295028528</v>
      </c>
      <c r="GH11" s="1">
        <v>3278980.4770071832</v>
      </c>
      <c r="GI11" s="1">
        <v>3307835.721096721</v>
      </c>
      <c r="GJ11" s="1">
        <v>3315735.508456755</v>
      </c>
      <c r="GK11" s="1">
        <v>3297400.3889472578</v>
      </c>
      <c r="GL11" s="1">
        <v>3291574.2724643508</v>
      </c>
      <c r="GM11" s="1">
        <v>3289975.0191683667</v>
      </c>
      <c r="GN11" s="1">
        <v>3290355.884013806</v>
      </c>
      <c r="GO11" s="1">
        <v>3241579.0148077165</v>
      </c>
      <c r="GP11" s="1">
        <v>3119963.6819822039</v>
      </c>
      <c r="GQ11" s="1">
        <v>3140999.7628634516</v>
      </c>
      <c r="GR11" s="1">
        <v>3197043.0937043191</v>
      </c>
      <c r="GS11" s="1">
        <v>3287143.211635083</v>
      </c>
      <c r="GT11" s="1">
        <v>3312900.6032964792</v>
      </c>
      <c r="GU11" s="1">
        <v>3288536.3032075809</v>
      </c>
      <c r="GV11" s="1">
        <v>3285933.3030206985</v>
      </c>
      <c r="GW11" s="1">
        <v>3293968.6859420864</v>
      </c>
      <c r="GX11" s="1">
        <v>3299293.4026468508</v>
      </c>
      <c r="GY11" s="1">
        <v>3299982.7618811922</v>
      </c>
      <c r="GZ11" s="1">
        <v>3295465.7250245698</v>
      </c>
      <c r="HA11" s="1" t="str">
        <f t="shared" ref="GZ11:JH14" si="2">IF(GZ11="","","")</f>
        <v/>
      </c>
      <c r="HB11" s="1" t="str">
        <f t="shared" si="2"/>
        <v/>
      </c>
      <c r="HC11" s="1" t="str">
        <f t="shared" si="2"/>
        <v/>
      </c>
      <c r="HD11" s="1" t="str">
        <f t="shared" si="2"/>
        <v/>
      </c>
      <c r="HE11" s="1" t="str">
        <f t="shared" si="2"/>
        <v/>
      </c>
      <c r="HF11" s="1" t="str">
        <f t="shared" si="2"/>
        <v/>
      </c>
      <c r="HG11" s="1" t="str">
        <f t="shared" si="2"/>
        <v/>
      </c>
      <c r="HH11" s="1" t="str">
        <f t="shared" si="2"/>
        <v/>
      </c>
      <c r="HI11" s="1" t="str">
        <f t="shared" si="2"/>
        <v/>
      </c>
      <c r="HJ11" s="1" t="str">
        <f t="shared" si="2"/>
        <v/>
      </c>
      <c r="HK11" s="1" t="str">
        <f t="shared" si="2"/>
        <v/>
      </c>
      <c r="HL11" s="1" t="str">
        <f t="shared" si="2"/>
        <v/>
      </c>
      <c r="HM11" s="1" t="str">
        <f t="shared" si="2"/>
        <v/>
      </c>
      <c r="HN11" s="1" t="str">
        <f t="shared" si="2"/>
        <v/>
      </c>
      <c r="HO11" s="1" t="str">
        <f t="shared" si="2"/>
        <v/>
      </c>
      <c r="HP11" s="1" t="str">
        <f t="shared" si="2"/>
        <v/>
      </c>
      <c r="HQ11" s="1" t="str">
        <f t="shared" si="2"/>
        <v/>
      </c>
      <c r="HR11" s="1" t="str">
        <f t="shared" si="2"/>
        <v/>
      </c>
      <c r="HS11" s="1" t="str">
        <f t="shared" si="2"/>
        <v/>
      </c>
      <c r="HT11" s="1" t="str">
        <f t="shared" si="2"/>
        <v/>
      </c>
      <c r="HU11" s="1" t="str">
        <f t="shared" si="2"/>
        <v/>
      </c>
      <c r="HV11" s="1" t="str">
        <f t="shared" si="2"/>
        <v/>
      </c>
      <c r="HW11" s="1" t="str">
        <f t="shared" si="2"/>
        <v/>
      </c>
      <c r="HX11" s="1" t="str">
        <f t="shared" si="2"/>
        <v/>
      </c>
      <c r="HY11" s="1" t="str">
        <f t="shared" si="2"/>
        <v/>
      </c>
      <c r="HZ11" s="1" t="str">
        <f t="shared" si="2"/>
        <v/>
      </c>
      <c r="IA11" s="1" t="str">
        <f t="shared" si="2"/>
        <v/>
      </c>
      <c r="IB11" s="1" t="str">
        <f t="shared" si="2"/>
        <v/>
      </c>
      <c r="IC11" s="1" t="str">
        <f t="shared" si="2"/>
        <v/>
      </c>
      <c r="ID11" s="1" t="str">
        <f t="shared" si="2"/>
        <v/>
      </c>
      <c r="IE11" s="1" t="str">
        <f t="shared" si="2"/>
        <v/>
      </c>
      <c r="IF11" s="1" t="str">
        <f t="shared" si="2"/>
        <v/>
      </c>
      <c r="IG11" s="1" t="str">
        <f t="shared" si="2"/>
        <v/>
      </c>
      <c r="IH11" s="1" t="str">
        <f t="shared" si="2"/>
        <v/>
      </c>
      <c r="II11" s="1" t="str">
        <f t="shared" si="2"/>
        <v/>
      </c>
      <c r="IJ11" s="1" t="str">
        <f t="shared" si="2"/>
        <v/>
      </c>
      <c r="IK11" s="1" t="str">
        <f t="shared" si="2"/>
        <v/>
      </c>
      <c r="IL11" s="1" t="str">
        <f t="shared" si="2"/>
        <v/>
      </c>
      <c r="IM11" s="1" t="str">
        <f t="shared" si="2"/>
        <v/>
      </c>
      <c r="IN11" s="1" t="str">
        <f t="shared" si="2"/>
        <v/>
      </c>
      <c r="IO11" s="1" t="str">
        <f t="shared" si="2"/>
        <v/>
      </c>
      <c r="IP11" s="1" t="str">
        <f t="shared" si="2"/>
        <v/>
      </c>
      <c r="IQ11" s="1" t="str">
        <f t="shared" si="2"/>
        <v/>
      </c>
      <c r="IR11" s="1" t="str">
        <f t="shared" si="2"/>
        <v/>
      </c>
      <c r="IS11" s="1" t="str">
        <f t="shared" si="2"/>
        <v/>
      </c>
      <c r="IT11" s="1" t="str">
        <f t="shared" si="2"/>
        <v/>
      </c>
      <c r="IU11" s="1" t="str">
        <f t="shared" si="2"/>
        <v/>
      </c>
      <c r="IV11" s="1" t="str">
        <f t="shared" si="2"/>
        <v/>
      </c>
      <c r="IW11" s="1" t="str">
        <f t="shared" si="2"/>
        <v/>
      </c>
      <c r="IX11" s="1" t="str">
        <f t="shared" si="2"/>
        <v/>
      </c>
      <c r="IY11" s="1" t="str">
        <f t="shared" si="2"/>
        <v/>
      </c>
      <c r="IZ11" s="1" t="str">
        <f t="shared" si="2"/>
        <v/>
      </c>
      <c r="JA11" s="1" t="str">
        <f t="shared" si="2"/>
        <v/>
      </c>
      <c r="JB11" s="1" t="str">
        <f t="shared" si="2"/>
        <v/>
      </c>
      <c r="JC11" s="1" t="str">
        <f t="shared" si="2"/>
        <v/>
      </c>
      <c r="JD11" s="1" t="str">
        <f t="shared" si="2"/>
        <v/>
      </c>
      <c r="JE11" s="1" t="str">
        <f t="shared" si="2"/>
        <v/>
      </c>
      <c r="JF11" s="1" t="str">
        <f t="shared" si="2"/>
        <v/>
      </c>
      <c r="JG11" s="1" t="str">
        <f t="shared" si="2"/>
        <v/>
      </c>
      <c r="JH11" s="1" t="str">
        <f t="shared" si="2"/>
        <v/>
      </c>
      <c r="LY11" s="1"/>
    </row>
    <row r="12" spans="1:337" x14ac:dyDescent="0.25">
      <c r="A12" s="5">
        <v>10</v>
      </c>
      <c r="B12" s="1">
        <v>3103281.5559696397</v>
      </c>
      <c r="C12" s="1">
        <v>3128436.309955175</v>
      </c>
      <c r="D12" s="1">
        <v>3140191.8681494379</v>
      </c>
      <c r="E12" s="1">
        <v>3140507.3835444879</v>
      </c>
      <c r="F12" s="1">
        <v>3150515.3896927508</v>
      </c>
      <c r="G12" s="1">
        <v>3156459.7891376344</v>
      </c>
      <c r="H12" s="1">
        <v>3175543.3827189552</v>
      </c>
      <c r="I12" s="1">
        <v>3185637.3280930696</v>
      </c>
      <c r="J12" s="1">
        <v>3190944.3636067631</v>
      </c>
      <c r="K12" s="1">
        <v>3197203.0612991909</v>
      </c>
      <c r="L12" s="1">
        <v>3201038.3151540412</v>
      </c>
      <c r="M12" s="1">
        <v>3208571.9569468694</v>
      </c>
      <c r="N12" s="1">
        <v>3225649.9200776387</v>
      </c>
      <c r="O12" s="1">
        <v>3234509.0647646538</v>
      </c>
      <c r="P12" s="1">
        <v>3229308.4963935567</v>
      </c>
      <c r="Q12" s="1">
        <v>3220437.547734953</v>
      </c>
      <c r="R12" s="1">
        <v>3221584.3920247378</v>
      </c>
      <c r="S12" s="1">
        <v>3235308.3796654954</v>
      </c>
      <c r="T12" s="1">
        <v>3253326.279299459</v>
      </c>
      <c r="U12" s="1">
        <v>3259306.2332736906</v>
      </c>
      <c r="V12" s="1">
        <v>3267684.5733235222</v>
      </c>
      <c r="W12" s="1">
        <v>3278319.7951898738</v>
      </c>
      <c r="X12" s="1">
        <v>3279517.937009966</v>
      </c>
      <c r="Y12" s="1">
        <v>3283451.6073167198</v>
      </c>
      <c r="Z12" s="1">
        <v>3290064.78066384</v>
      </c>
      <c r="AA12" s="1">
        <v>3296623.0417734762</v>
      </c>
      <c r="AB12" s="1">
        <v>3300628.7391305007</v>
      </c>
      <c r="AC12" s="1">
        <v>3284836.8108505867</v>
      </c>
      <c r="AD12" s="1">
        <v>3292504.5964184683</v>
      </c>
      <c r="AE12" s="1">
        <v>3314476.5547436783</v>
      </c>
      <c r="AF12" s="1">
        <v>3323787.1311746482</v>
      </c>
      <c r="AG12" s="1">
        <v>3331900.8216565149</v>
      </c>
      <c r="AH12" s="1">
        <v>3336333.3328749165</v>
      </c>
      <c r="AI12" s="1">
        <v>3354575.8046999006</v>
      </c>
      <c r="AJ12" s="1">
        <v>3363324.657444315</v>
      </c>
      <c r="AK12" s="1">
        <v>3364854.6247482342</v>
      </c>
      <c r="AL12" s="1">
        <v>3376359.9747947799</v>
      </c>
      <c r="AM12" s="1">
        <v>3390091.6035871436</v>
      </c>
      <c r="AN12" s="1">
        <v>3403499.4376774551</v>
      </c>
      <c r="AO12" s="1">
        <v>3407902.0142138014</v>
      </c>
      <c r="AP12" s="1">
        <v>3415622.4469925147</v>
      </c>
      <c r="AQ12" s="1">
        <v>3432091.0144922547</v>
      </c>
      <c r="AR12" s="1">
        <v>3457292.0563513287</v>
      </c>
      <c r="AS12" s="1">
        <v>3476438.2331930152</v>
      </c>
      <c r="AT12" s="1">
        <v>3474524.2171210516</v>
      </c>
      <c r="AU12" s="1">
        <v>3493273.7539934078</v>
      </c>
      <c r="AV12" s="1">
        <v>3496759.7159141824</v>
      </c>
      <c r="AW12" s="1">
        <v>3490145.4079904342</v>
      </c>
      <c r="AX12" s="1">
        <v>3483529.2940049572</v>
      </c>
      <c r="AY12" s="1">
        <v>3481212.8060167376</v>
      </c>
      <c r="AZ12" s="1">
        <v>3469665.5287721315</v>
      </c>
      <c r="BA12" s="1">
        <v>3441174.7926171226</v>
      </c>
      <c r="BB12" s="1">
        <v>3389448.6810341962</v>
      </c>
      <c r="BC12" s="1">
        <v>3317753.2019421225</v>
      </c>
      <c r="BD12" s="1">
        <v>3328838.6847115532</v>
      </c>
      <c r="BE12" s="1">
        <v>3302912.9371000677</v>
      </c>
      <c r="BF12" s="1">
        <v>3286586.2618824719</v>
      </c>
      <c r="BG12" s="1">
        <v>3315763.2725910097</v>
      </c>
      <c r="BH12" s="1">
        <v>3266045.5272566047</v>
      </c>
      <c r="BI12" s="1">
        <v>3223592.8638258693</v>
      </c>
      <c r="BJ12" s="1">
        <v>3206855.7941339388</v>
      </c>
      <c r="BK12" s="1">
        <v>3082365.0312564727</v>
      </c>
      <c r="BL12" s="1">
        <v>3007522.8374186456</v>
      </c>
      <c r="BM12" s="1">
        <v>2996779.7552638506</v>
      </c>
      <c r="BN12" s="1">
        <v>3034526.6684692921</v>
      </c>
      <c r="BO12" s="1">
        <v>3056783.0363878049</v>
      </c>
      <c r="BP12" s="1">
        <v>3074043.3306648121</v>
      </c>
      <c r="BQ12" s="1">
        <v>3062897.058846931</v>
      </c>
      <c r="BR12" s="1">
        <v>3084402.8997229487</v>
      </c>
      <c r="BS12" s="1">
        <v>3123694.1588250203</v>
      </c>
      <c r="BT12" s="1">
        <v>3081645.0766502405</v>
      </c>
      <c r="BU12" s="1">
        <v>3068882.9990139231</v>
      </c>
      <c r="BV12" s="1">
        <v>3087237.3204370616</v>
      </c>
      <c r="BW12" s="1">
        <v>3120000.4945831774</v>
      </c>
      <c r="BX12" s="1">
        <v>3067799.3388806107</v>
      </c>
      <c r="BY12" s="1">
        <v>3067689.846742244</v>
      </c>
      <c r="BZ12" s="1">
        <v>3072657.886167136</v>
      </c>
      <c r="CA12" s="1">
        <v>3097941.3906004452</v>
      </c>
      <c r="CB12" s="1">
        <v>3107969.958067907</v>
      </c>
      <c r="CC12" s="1">
        <v>3100682.3877233863</v>
      </c>
      <c r="CD12" s="1">
        <v>3073436.4094020901</v>
      </c>
      <c r="CE12" s="1">
        <v>3089364.556548547</v>
      </c>
      <c r="CF12" s="1">
        <v>3089362.8803308145</v>
      </c>
      <c r="CG12" s="1">
        <v>3086352.4425396062</v>
      </c>
      <c r="CH12" s="1">
        <v>3070877.172399336</v>
      </c>
      <c r="CI12" s="1">
        <v>3080684.095670661</v>
      </c>
      <c r="CJ12" s="1">
        <v>3057022.9662634623</v>
      </c>
      <c r="CK12" s="1">
        <v>3093455.1512785116</v>
      </c>
      <c r="CL12" s="1">
        <v>3086424.2914375779</v>
      </c>
      <c r="CM12" s="1">
        <v>3089681.691849255</v>
      </c>
      <c r="CN12" s="1">
        <v>3073786.2851511147</v>
      </c>
      <c r="CO12" s="1">
        <v>3078211.6385178613</v>
      </c>
      <c r="CP12" s="1">
        <v>3071499.3701759549</v>
      </c>
      <c r="CQ12" s="1">
        <v>3084048.1365356999</v>
      </c>
      <c r="CR12" s="1">
        <v>3065420.0006572255</v>
      </c>
      <c r="CS12" s="1">
        <v>3044727.0999264885</v>
      </c>
      <c r="CT12" s="1">
        <v>3040113.2447547028</v>
      </c>
      <c r="CU12" s="1">
        <v>2983943.9453464341</v>
      </c>
      <c r="CV12" s="1">
        <v>3025185.9264601767</v>
      </c>
      <c r="CW12" s="1">
        <v>3019343.3734037708</v>
      </c>
      <c r="CX12" s="1">
        <v>3019929.9650540203</v>
      </c>
      <c r="CY12" s="1">
        <v>3025909.8053646544</v>
      </c>
      <c r="CZ12" s="1">
        <v>3032279.9625572152</v>
      </c>
      <c r="DA12" s="1">
        <v>3034927.6528393691</v>
      </c>
      <c r="DB12" s="1">
        <v>3004939.1361044338</v>
      </c>
      <c r="DC12" s="1">
        <v>2999785.8528724071</v>
      </c>
      <c r="DD12" s="1">
        <v>3000339.314068133</v>
      </c>
      <c r="DE12" s="1">
        <v>2980966.6927549453</v>
      </c>
      <c r="DF12" s="1">
        <v>3003813.7270304263</v>
      </c>
      <c r="DG12" s="1">
        <v>2987309.9849564061</v>
      </c>
      <c r="DH12" s="1">
        <v>2963647.5769849024</v>
      </c>
      <c r="DI12" s="1">
        <v>2979167.7647887403</v>
      </c>
      <c r="DJ12" s="1">
        <v>3009882.4159129634</v>
      </c>
      <c r="DK12" s="1">
        <v>3027190.0325018922</v>
      </c>
      <c r="DL12" s="1">
        <v>3062990.7678985791</v>
      </c>
      <c r="DM12" s="1">
        <v>3082555.2072368637</v>
      </c>
      <c r="DN12" s="1">
        <v>3036664.945176377</v>
      </c>
      <c r="DO12" s="1">
        <v>3063100.5135610858</v>
      </c>
      <c r="DP12" s="1">
        <v>3067049.8550163237</v>
      </c>
      <c r="DQ12" s="1">
        <v>3101935.3849033648</v>
      </c>
      <c r="DR12" s="1">
        <v>3135874.3927475601</v>
      </c>
      <c r="DS12" s="1">
        <v>3097588.8235306228</v>
      </c>
      <c r="DT12" s="1">
        <v>3109814.236061946</v>
      </c>
      <c r="DU12" s="1">
        <v>3117183.4735685303</v>
      </c>
      <c r="DV12" s="1">
        <v>3158177.1246138308</v>
      </c>
      <c r="DW12" s="1">
        <v>3185992.800579078</v>
      </c>
      <c r="DX12" s="1">
        <v>3178180.3530705562</v>
      </c>
      <c r="DY12" s="1">
        <v>3172735.610250744</v>
      </c>
      <c r="DZ12" s="1">
        <v>3157486.6315327017</v>
      </c>
      <c r="EA12" s="1">
        <v>3175788.9170913734</v>
      </c>
      <c r="EB12" s="1">
        <v>3180029.8543124693</v>
      </c>
      <c r="EC12" s="1">
        <v>3167032.582496488</v>
      </c>
      <c r="ED12" s="1">
        <v>3189714.3410676699</v>
      </c>
      <c r="EE12" s="1">
        <v>3159518.5028142468</v>
      </c>
      <c r="EF12" s="1">
        <v>3178684.896777615</v>
      </c>
      <c r="EG12" s="1">
        <v>3198353.9555668929</v>
      </c>
      <c r="EH12" s="1">
        <v>3198832.2684807666</v>
      </c>
      <c r="EI12" s="1">
        <v>3201079.7618261306</v>
      </c>
      <c r="EJ12" s="1">
        <v>3210802.047410002</v>
      </c>
      <c r="EK12" s="1">
        <v>3186635.2115345849</v>
      </c>
      <c r="EL12" s="1">
        <v>3196391.1125515178</v>
      </c>
      <c r="EM12" s="1">
        <v>3200045.3591007078</v>
      </c>
      <c r="EN12" s="1">
        <v>3178578.5399640789</v>
      </c>
      <c r="EO12" s="1">
        <v>3205025.2971460545</v>
      </c>
      <c r="EP12" s="1">
        <v>3189008.982829595</v>
      </c>
      <c r="EQ12" s="1">
        <v>3149698.2332131066</v>
      </c>
      <c r="ER12" s="1">
        <v>3192514.2076601973</v>
      </c>
      <c r="ES12" s="1">
        <v>3201302.8445394561</v>
      </c>
      <c r="ET12" s="1">
        <v>3189304.3227992682</v>
      </c>
      <c r="EU12" s="1">
        <v>3201259.5045917695</v>
      </c>
      <c r="EV12" s="1">
        <v>3214313.6712692827</v>
      </c>
      <c r="EW12" s="1">
        <v>3204476.0127421487</v>
      </c>
      <c r="EX12" s="1">
        <v>3218598.3350466182</v>
      </c>
      <c r="EY12" s="1">
        <v>3221660.2688538097</v>
      </c>
      <c r="EZ12" s="1">
        <v>3222298.5504932161</v>
      </c>
      <c r="FA12" s="1">
        <v>3215342.8136026631</v>
      </c>
      <c r="FB12" s="1">
        <v>3213573.6849959753</v>
      </c>
      <c r="FC12" s="1">
        <v>3192728.5544450525</v>
      </c>
      <c r="FD12" s="1">
        <v>3235014.1181247924</v>
      </c>
      <c r="FE12" s="1">
        <v>3213936.4466126515</v>
      </c>
      <c r="FF12" s="1">
        <v>3226922.4014153359</v>
      </c>
      <c r="FG12" s="1">
        <v>3236701.8949881671</v>
      </c>
      <c r="FH12" s="1">
        <v>3235710.6861495683</v>
      </c>
      <c r="FI12" s="1">
        <v>3212196.945311774</v>
      </c>
      <c r="FJ12" s="1">
        <v>3218943.1869172174</v>
      </c>
      <c r="FK12" s="1">
        <v>3248545.900915008</v>
      </c>
      <c r="FL12" s="1">
        <v>3239666.3784257644</v>
      </c>
      <c r="FM12" s="1">
        <v>3210428.7414402454</v>
      </c>
      <c r="FN12" s="1">
        <v>3186593.1128371353</v>
      </c>
      <c r="FO12" s="1">
        <v>3204073.4791985014</v>
      </c>
      <c r="FP12" s="1">
        <v>3277281.9581456017</v>
      </c>
      <c r="FQ12" s="1">
        <v>3277825.317135327</v>
      </c>
      <c r="FR12" s="1">
        <v>3264895.0302898223</v>
      </c>
      <c r="FS12" s="1">
        <v>3269631.4755397369</v>
      </c>
      <c r="FT12" s="1">
        <v>3287638.1917829141</v>
      </c>
      <c r="FU12" s="1">
        <v>3293807.6607664307</v>
      </c>
      <c r="FV12" s="1">
        <v>3278915.9555688044</v>
      </c>
      <c r="FW12" s="1">
        <v>3297019.0403932976</v>
      </c>
      <c r="FX12" s="1">
        <v>3297745.3897721954</v>
      </c>
      <c r="FY12" s="1">
        <v>3287426.0204872368</v>
      </c>
      <c r="FZ12" s="1">
        <v>3304947.4774705721</v>
      </c>
      <c r="GA12" s="1">
        <v>3245256.9080301085</v>
      </c>
      <c r="GB12" s="1">
        <v>3259842.3553093877</v>
      </c>
      <c r="GC12" s="1">
        <v>3246048.6244479078</v>
      </c>
      <c r="GD12" s="1">
        <v>3239773.3249627217</v>
      </c>
      <c r="GE12" s="1">
        <v>3251608.9590205024</v>
      </c>
      <c r="GF12" s="1">
        <v>3267547.9920954835</v>
      </c>
      <c r="GG12" s="1">
        <v>3280795.7425991031</v>
      </c>
      <c r="GH12" s="1">
        <v>3287759.1217063293</v>
      </c>
      <c r="GI12" s="1">
        <v>3302353.1747676199</v>
      </c>
      <c r="GJ12" s="1">
        <v>3301707.2377080508</v>
      </c>
      <c r="GK12" s="1">
        <v>3298909.1847090954</v>
      </c>
      <c r="GL12" s="1">
        <v>3292128.9538421929</v>
      </c>
      <c r="GM12" s="1">
        <v>3285613.3033028957</v>
      </c>
      <c r="GN12" s="1">
        <v>3289087.8181488952</v>
      </c>
      <c r="GO12" s="1">
        <v>3229974.037561934</v>
      </c>
      <c r="GP12" s="1">
        <v>3110593.8090744778</v>
      </c>
      <c r="GQ12" s="1">
        <v>3145221.2028803276</v>
      </c>
      <c r="GR12" s="1">
        <v>3203806.2909213221</v>
      </c>
      <c r="GS12" s="1">
        <v>3294269.5061801691</v>
      </c>
      <c r="GT12" s="1">
        <v>3329212.9033075031</v>
      </c>
      <c r="GU12" s="1">
        <v>3290174.5165090491</v>
      </c>
      <c r="GV12" s="1">
        <v>3272597.5300157778</v>
      </c>
      <c r="GW12" s="1">
        <v>3292576.3779451279</v>
      </c>
      <c r="GX12" s="1">
        <v>3302021.8327453518</v>
      </c>
      <c r="GY12" s="1">
        <v>3298368.7071097707</v>
      </c>
      <c r="GZ12" s="1">
        <v>3295628.6099544698</v>
      </c>
      <c r="HA12" s="1" t="str">
        <f t="shared" si="2"/>
        <v/>
      </c>
      <c r="HB12" s="1" t="str">
        <f t="shared" si="2"/>
        <v/>
      </c>
      <c r="HC12" s="1" t="str">
        <f t="shared" si="2"/>
        <v/>
      </c>
      <c r="HD12" s="1" t="str">
        <f t="shared" si="2"/>
        <v/>
      </c>
      <c r="HE12" s="1" t="str">
        <f t="shared" si="2"/>
        <v/>
      </c>
      <c r="HF12" s="1" t="str">
        <f t="shared" si="2"/>
        <v/>
      </c>
      <c r="HG12" s="1" t="str">
        <f t="shared" si="2"/>
        <v/>
      </c>
      <c r="HH12" s="1" t="str">
        <f t="shared" si="2"/>
        <v/>
      </c>
      <c r="HI12" s="1" t="str">
        <f t="shared" si="2"/>
        <v/>
      </c>
      <c r="HJ12" s="1" t="str">
        <f t="shared" si="2"/>
        <v/>
      </c>
      <c r="HK12" s="1" t="str">
        <f t="shared" si="2"/>
        <v/>
      </c>
      <c r="HL12" s="1" t="str">
        <f t="shared" si="2"/>
        <v/>
      </c>
      <c r="HM12" s="1" t="str">
        <f t="shared" si="2"/>
        <v/>
      </c>
      <c r="HN12" s="1" t="str">
        <f t="shared" si="2"/>
        <v/>
      </c>
      <c r="HO12" s="1" t="str">
        <f t="shared" si="2"/>
        <v/>
      </c>
      <c r="HP12" s="1" t="str">
        <f t="shared" si="2"/>
        <v/>
      </c>
      <c r="HQ12" s="1" t="str">
        <f t="shared" si="2"/>
        <v/>
      </c>
      <c r="HR12" s="1" t="str">
        <f t="shared" si="2"/>
        <v/>
      </c>
      <c r="HS12" s="1" t="str">
        <f t="shared" si="2"/>
        <v/>
      </c>
      <c r="HT12" s="1" t="str">
        <f t="shared" si="2"/>
        <v/>
      </c>
      <c r="HU12" s="1" t="str">
        <f t="shared" si="2"/>
        <v/>
      </c>
      <c r="HV12" s="1" t="str">
        <f t="shared" si="2"/>
        <v/>
      </c>
      <c r="HW12" s="1" t="str">
        <f t="shared" si="2"/>
        <v/>
      </c>
      <c r="HX12" s="1" t="str">
        <f t="shared" si="2"/>
        <v/>
      </c>
      <c r="HY12" s="1" t="str">
        <f t="shared" si="2"/>
        <v/>
      </c>
      <c r="HZ12" s="1" t="str">
        <f t="shared" si="2"/>
        <v/>
      </c>
      <c r="IA12" s="1" t="str">
        <f t="shared" si="2"/>
        <v/>
      </c>
      <c r="IB12" s="1" t="str">
        <f t="shared" si="2"/>
        <v/>
      </c>
      <c r="IC12" s="1" t="str">
        <f t="shared" si="2"/>
        <v/>
      </c>
      <c r="ID12" s="1" t="str">
        <f t="shared" si="2"/>
        <v/>
      </c>
      <c r="IE12" s="1" t="str">
        <f t="shared" si="2"/>
        <v/>
      </c>
      <c r="IF12" s="1" t="str">
        <f t="shared" si="2"/>
        <v/>
      </c>
      <c r="IG12" s="1" t="str">
        <f t="shared" si="2"/>
        <v/>
      </c>
      <c r="IH12" s="1" t="str">
        <f t="shared" si="2"/>
        <v/>
      </c>
      <c r="II12" s="1" t="str">
        <f t="shared" si="2"/>
        <v/>
      </c>
      <c r="IJ12" s="1" t="str">
        <f t="shared" si="2"/>
        <v/>
      </c>
      <c r="IK12" s="1" t="str">
        <f t="shared" si="2"/>
        <v/>
      </c>
      <c r="IL12" s="1" t="str">
        <f t="shared" si="2"/>
        <v/>
      </c>
      <c r="IM12" s="1" t="str">
        <f t="shared" si="2"/>
        <v/>
      </c>
      <c r="IN12" s="1" t="str">
        <f t="shared" si="2"/>
        <v/>
      </c>
      <c r="IO12" s="1" t="str">
        <f t="shared" si="2"/>
        <v/>
      </c>
      <c r="IP12" s="1" t="str">
        <f t="shared" si="2"/>
        <v/>
      </c>
      <c r="IQ12" s="1" t="str">
        <f t="shared" si="2"/>
        <v/>
      </c>
      <c r="IR12" s="1" t="str">
        <f t="shared" si="2"/>
        <v/>
      </c>
      <c r="IS12" s="1" t="str">
        <f t="shared" si="2"/>
        <v/>
      </c>
      <c r="IT12" s="1" t="str">
        <f t="shared" si="2"/>
        <v/>
      </c>
      <c r="IU12" s="1" t="str">
        <f t="shared" si="2"/>
        <v/>
      </c>
      <c r="IV12" s="1" t="str">
        <f t="shared" si="2"/>
        <v/>
      </c>
      <c r="IW12" s="1" t="str">
        <f t="shared" si="2"/>
        <v/>
      </c>
      <c r="IX12" s="1" t="str">
        <f t="shared" si="2"/>
        <v/>
      </c>
      <c r="IY12" s="1" t="str">
        <f t="shared" si="2"/>
        <v/>
      </c>
      <c r="IZ12" s="1" t="str">
        <f t="shared" si="2"/>
        <v/>
      </c>
      <c r="JA12" s="1" t="str">
        <f t="shared" si="2"/>
        <v/>
      </c>
      <c r="JB12" s="1" t="str">
        <f t="shared" si="2"/>
        <v/>
      </c>
      <c r="JC12" s="1" t="str">
        <f t="shared" si="2"/>
        <v/>
      </c>
      <c r="JD12" s="1" t="str">
        <f t="shared" si="2"/>
        <v/>
      </c>
      <c r="JE12" s="1" t="str">
        <f t="shared" si="2"/>
        <v/>
      </c>
      <c r="JF12" s="1" t="str">
        <f t="shared" si="2"/>
        <v/>
      </c>
      <c r="JG12" s="1" t="str">
        <f t="shared" si="2"/>
        <v/>
      </c>
      <c r="JH12" s="1" t="str">
        <f t="shared" si="2"/>
        <v/>
      </c>
      <c r="LY12" s="1"/>
    </row>
    <row r="13" spans="1:337" x14ac:dyDescent="0.25">
      <c r="A13" s="5">
        <v>11</v>
      </c>
      <c r="B13" s="1">
        <v>3109085.6568842414</v>
      </c>
      <c r="C13" s="1">
        <v>3134394.9446130786</v>
      </c>
      <c r="D13" s="1">
        <v>3138109.4588103788</v>
      </c>
      <c r="E13" s="1">
        <v>3154561.2251382344</v>
      </c>
      <c r="F13" s="1">
        <v>3170572.9646426411</v>
      </c>
      <c r="G13" s="1">
        <v>3174690.0629540877</v>
      </c>
      <c r="H13" s="1">
        <v>3193592.0240220395</v>
      </c>
      <c r="I13" s="1">
        <v>3200124.2499551876</v>
      </c>
      <c r="J13" s="1">
        <v>3199655.6970330183</v>
      </c>
      <c r="K13" s="1">
        <v>3199877.2460428001</v>
      </c>
      <c r="L13" s="1">
        <v>3203397.2632674221</v>
      </c>
      <c r="M13" s="1">
        <v>3214680.6643581605</v>
      </c>
      <c r="N13" s="1">
        <v>3232527.6253406629</v>
      </c>
      <c r="O13" s="1">
        <v>3240827.199248516</v>
      </c>
      <c r="P13" s="1">
        <v>3228691.0463502356</v>
      </c>
      <c r="Q13" s="1">
        <v>3229698.6371558504</v>
      </c>
      <c r="R13" s="1">
        <v>3238267.2379682045</v>
      </c>
      <c r="S13" s="1">
        <v>3251937.07624551</v>
      </c>
      <c r="T13" s="1">
        <v>3268686.07410526</v>
      </c>
      <c r="U13" s="1">
        <v>3271633.3204650218</v>
      </c>
      <c r="V13" s="1">
        <v>3274097.8060382372</v>
      </c>
      <c r="W13" s="1">
        <v>3279122.7398790661</v>
      </c>
      <c r="X13" s="1">
        <v>3281116.6314470014</v>
      </c>
      <c r="Y13" s="1">
        <v>3287907.3792841779</v>
      </c>
      <c r="Z13" s="1">
        <v>3294977.9740026314</v>
      </c>
      <c r="AA13" s="1">
        <v>3298735.3824530821</v>
      </c>
      <c r="AB13" s="1">
        <v>3296260.697430619</v>
      </c>
      <c r="AC13" s="1">
        <v>3293671.6641007266</v>
      </c>
      <c r="AD13" s="1">
        <v>3306659.2084685857</v>
      </c>
      <c r="AE13" s="1">
        <v>3330649.2145947465</v>
      </c>
      <c r="AF13" s="1">
        <v>3338778.7007502774</v>
      </c>
      <c r="AG13" s="1">
        <v>3343011.5031746235</v>
      </c>
      <c r="AH13" s="1">
        <v>3340696.4234287511</v>
      </c>
      <c r="AI13" s="1">
        <v>3353527.0233408203</v>
      </c>
      <c r="AJ13" s="1">
        <v>3364682.6853701193</v>
      </c>
      <c r="AK13" s="1">
        <v>3370606.865970118</v>
      </c>
      <c r="AL13" s="1">
        <v>3381099.9773183763</v>
      </c>
      <c r="AM13" s="1">
        <v>3394929.1396639375</v>
      </c>
      <c r="AN13" s="1">
        <v>3401895.2166126887</v>
      </c>
      <c r="AO13" s="1">
        <v>3419042.5067380052</v>
      </c>
      <c r="AP13" s="1">
        <v>3433177.1031695288</v>
      </c>
      <c r="AQ13" s="1">
        <v>3449829.1017601769</v>
      </c>
      <c r="AR13" s="1">
        <v>3475638.9046819108</v>
      </c>
      <c r="AS13" s="1">
        <v>3490531.7496313918</v>
      </c>
      <c r="AT13" s="1">
        <v>3482018.3857522327</v>
      </c>
      <c r="AU13" s="1">
        <v>3495181.2954677064</v>
      </c>
      <c r="AV13" s="1">
        <v>3501316.1277537765</v>
      </c>
      <c r="AW13" s="1">
        <v>3496744.5876856511</v>
      </c>
      <c r="AX13" s="1">
        <v>3487550.6436876226</v>
      </c>
      <c r="AY13" s="1">
        <v>3483201.1965339864</v>
      </c>
      <c r="AZ13" s="1">
        <v>3466632.2706168387</v>
      </c>
      <c r="BA13" s="1">
        <v>3445685.5804557265</v>
      </c>
      <c r="BB13" s="1">
        <v>3394109.6370546422</v>
      </c>
      <c r="BC13" s="1">
        <v>3315389.7673171377</v>
      </c>
      <c r="BD13" s="1">
        <v>3325061.7228168789</v>
      </c>
      <c r="BE13" s="1">
        <v>3295412.406110222</v>
      </c>
      <c r="BF13" s="1">
        <v>3271431.4044226557</v>
      </c>
      <c r="BG13" s="1">
        <v>3303023.1667401912</v>
      </c>
      <c r="BH13" s="1">
        <v>3252193.8829075745</v>
      </c>
      <c r="BI13" s="1">
        <v>3206808.3633247977</v>
      </c>
      <c r="BJ13" s="1">
        <v>3189885.7984327059</v>
      </c>
      <c r="BK13" s="1">
        <v>3053262.689842815</v>
      </c>
      <c r="BL13" s="1">
        <v>2964770.6737162946</v>
      </c>
      <c r="BM13" s="1">
        <v>2968456.3062687065</v>
      </c>
      <c r="BN13" s="1">
        <v>3020143.565757635</v>
      </c>
      <c r="BO13" s="1">
        <v>3046585.1020571967</v>
      </c>
      <c r="BP13" s="1">
        <v>3066400.0042363275</v>
      </c>
      <c r="BQ13" s="1">
        <v>3053897.4566696491</v>
      </c>
      <c r="BR13" s="1">
        <v>3070088.6488639317</v>
      </c>
      <c r="BS13" s="1">
        <v>3110312.2582949335</v>
      </c>
      <c r="BT13" s="1">
        <v>3071194.471838532</v>
      </c>
      <c r="BU13" s="1">
        <v>3056630.9738103338</v>
      </c>
      <c r="BV13" s="1">
        <v>3076506.4516256824</v>
      </c>
      <c r="BW13" s="1">
        <v>3115286.7093705554</v>
      </c>
      <c r="BX13" s="1">
        <v>3048672.3962025661</v>
      </c>
      <c r="BY13" s="1">
        <v>3060431.6656956971</v>
      </c>
      <c r="BZ13" s="1">
        <v>3074034.4089465737</v>
      </c>
      <c r="CA13" s="1">
        <v>3103410.1836225027</v>
      </c>
      <c r="CB13" s="1">
        <v>3113985.1631014803</v>
      </c>
      <c r="CC13" s="1">
        <v>3104623.3753433824</v>
      </c>
      <c r="CD13" s="1">
        <v>3068551.4094378073</v>
      </c>
      <c r="CE13" s="1">
        <v>3078923.5072592702</v>
      </c>
      <c r="CF13" s="1">
        <v>3086168.6438688771</v>
      </c>
      <c r="CG13" s="1">
        <v>3082362.4888711427</v>
      </c>
      <c r="CH13" s="1">
        <v>3064630.3712241789</v>
      </c>
      <c r="CI13" s="1">
        <v>3075868.0877357037</v>
      </c>
      <c r="CJ13" s="1">
        <v>3042690.9639100647</v>
      </c>
      <c r="CK13" s="1">
        <v>3087909.6441979595</v>
      </c>
      <c r="CL13" s="1">
        <v>3093093.674644772</v>
      </c>
      <c r="CM13" s="1">
        <v>3097785.5092378296</v>
      </c>
      <c r="CN13" s="1">
        <v>3081096.914993979</v>
      </c>
      <c r="CO13" s="1">
        <v>3082760.1771658063</v>
      </c>
      <c r="CP13" s="1">
        <v>3067629.6936498275</v>
      </c>
      <c r="CQ13" s="1">
        <v>3074650.4652200276</v>
      </c>
      <c r="CR13" s="1">
        <v>3063709.1146200923</v>
      </c>
      <c r="CS13" s="1">
        <v>3038808.1379480409</v>
      </c>
      <c r="CT13" s="1">
        <v>3032300.9908084823</v>
      </c>
      <c r="CU13" s="1">
        <v>2974708.961211605</v>
      </c>
      <c r="CV13" s="1">
        <v>3009036.0315748295</v>
      </c>
      <c r="CW13" s="1">
        <v>3016653.9274050901</v>
      </c>
      <c r="CX13" s="1">
        <v>3026165.9813947063</v>
      </c>
      <c r="CY13" s="1">
        <v>3032505.8848010255</v>
      </c>
      <c r="CZ13" s="1">
        <v>3039022.6609406807</v>
      </c>
      <c r="DA13" s="1">
        <v>3039623.6036537476</v>
      </c>
      <c r="DB13" s="1">
        <v>2999128.0941028288</v>
      </c>
      <c r="DC13" s="1">
        <v>2985444.790048046</v>
      </c>
      <c r="DD13" s="1">
        <v>2995569.1361555657</v>
      </c>
      <c r="DE13" s="1">
        <v>2973754.7305002175</v>
      </c>
      <c r="DF13" s="1">
        <v>2999346.8121429924</v>
      </c>
      <c r="DG13" s="1">
        <v>2981946.5872938577</v>
      </c>
      <c r="DH13" s="1">
        <v>2946056.3699283018</v>
      </c>
      <c r="DI13" s="1">
        <v>2973481.3800959936</v>
      </c>
      <c r="DJ13" s="1">
        <v>3020541.9820196154</v>
      </c>
      <c r="DK13" s="1">
        <v>3042924.2595272344</v>
      </c>
      <c r="DL13" s="1">
        <v>3076366.0271985359</v>
      </c>
      <c r="DM13" s="1">
        <v>3094237.3543683891</v>
      </c>
      <c r="DN13" s="1">
        <v>3036171.5200216244</v>
      </c>
      <c r="DO13" s="1">
        <v>3058015.3513324633</v>
      </c>
      <c r="DP13" s="1">
        <v>3066251.8074469655</v>
      </c>
      <c r="DQ13" s="1">
        <v>3105370.7465684814</v>
      </c>
      <c r="DR13" s="1">
        <v>3140103.3223817339</v>
      </c>
      <c r="DS13" s="1">
        <v>3103797.4740088042</v>
      </c>
      <c r="DT13" s="1">
        <v>3099804.9748050431</v>
      </c>
      <c r="DU13" s="1">
        <v>3119834.413677658</v>
      </c>
      <c r="DV13" s="1">
        <v>3176658.279565597</v>
      </c>
      <c r="DW13" s="1">
        <v>3207333.5677916007</v>
      </c>
      <c r="DX13" s="1">
        <v>3197684.5829299567</v>
      </c>
      <c r="DY13" s="1">
        <v>3185636.2190099945</v>
      </c>
      <c r="DZ13" s="1">
        <v>3160896.1244914136</v>
      </c>
      <c r="EA13" s="1">
        <v>3172844.0754224537</v>
      </c>
      <c r="EB13" s="1">
        <v>3184250.537194835</v>
      </c>
      <c r="EC13" s="1">
        <v>3169029.6104879482</v>
      </c>
      <c r="ED13" s="1">
        <v>3190957.1120300712</v>
      </c>
      <c r="EE13" s="1">
        <v>3161746.8433999829</v>
      </c>
      <c r="EF13" s="1">
        <v>3167379.2563028475</v>
      </c>
      <c r="EG13" s="1">
        <v>3201223.3437070176</v>
      </c>
      <c r="EH13" s="1">
        <v>3210289.5017310241</v>
      </c>
      <c r="EI13" s="1">
        <v>3219306.5619402947</v>
      </c>
      <c r="EJ13" s="1">
        <v>3224563.9980507386</v>
      </c>
      <c r="EK13" s="1">
        <v>3191372.333705035</v>
      </c>
      <c r="EL13" s="1">
        <v>3192356.4639559626</v>
      </c>
      <c r="EM13" s="1">
        <v>3187184.579293468</v>
      </c>
      <c r="EN13" s="1">
        <v>3176599.0198758151</v>
      </c>
      <c r="EO13" s="1">
        <v>3205961.2714373008</v>
      </c>
      <c r="EP13" s="1">
        <v>3187351.7857974209</v>
      </c>
      <c r="EQ13" s="1">
        <v>3146911.6605394632</v>
      </c>
      <c r="ER13" s="1">
        <v>3178828.026196016</v>
      </c>
      <c r="ES13" s="1">
        <v>3203017.4537020135</v>
      </c>
      <c r="ET13" s="1">
        <v>3202190.0683097122</v>
      </c>
      <c r="EU13" s="1">
        <v>3215588.8390855994</v>
      </c>
      <c r="EV13" s="1">
        <v>3228083.1753578358</v>
      </c>
      <c r="EW13" s="1">
        <v>3212063.1405370757</v>
      </c>
      <c r="EX13" s="1">
        <v>3215895.1185090728</v>
      </c>
      <c r="EY13" s="1">
        <v>3210818.1792577705</v>
      </c>
      <c r="EZ13" s="1">
        <v>3222979.6042988678</v>
      </c>
      <c r="FA13" s="1">
        <v>3215588.0458123772</v>
      </c>
      <c r="FB13" s="1">
        <v>3211496.1065624622</v>
      </c>
      <c r="FC13" s="1">
        <v>3191052.3838147754</v>
      </c>
      <c r="FD13" s="1">
        <v>3220282.1652675085</v>
      </c>
      <c r="FE13" s="1">
        <v>3216806.6894819597</v>
      </c>
      <c r="FF13" s="1">
        <v>3243897.2252863506</v>
      </c>
      <c r="FG13" s="1">
        <v>3252768.6790738655</v>
      </c>
      <c r="FH13" s="1">
        <v>3249200.0252947826</v>
      </c>
      <c r="FI13" s="1">
        <v>3215885.8730783933</v>
      </c>
      <c r="FJ13" s="1">
        <v>3212440.0803766488</v>
      </c>
      <c r="FK13" s="1">
        <v>3234867.6323162094</v>
      </c>
      <c r="FL13" s="1">
        <v>3241147.040635989</v>
      </c>
      <c r="FM13" s="1">
        <v>3209314.2430650052</v>
      </c>
      <c r="FN13" s="1">
        <v>3180106.5752821043</v>
      </c>
      <c r="FO13" s="1">
        <v>3199889.5570486011</v>
      </c>
      <c r="FP13" s="1">
        <v>3269322.9147384316</v>
      </c>
      <c r="FQ13" s="1">
        <v>3291844.7982295314</v>
      </c>
      <c r="FR13" s="1">
        <v>3280677.9176702178</v>
      </c>
      <c r="FS13" s="1">
        <v>3286198.2934024688</v>
      </c>
      <c r="FT13" s="1">
        <v>3301153.8649570257</v>
      </c>
      <c r="FU13" s="1">
        <v>3304439.9775604643</v>
      </c>
      <c r="FV13" s="1">
        <v>3274061.5290560722</v>
      </c>
      <c r="FW13" s="1">
        <v>3284760.8374480829</v>
      </c>
      <c r="FX13" s="1">
        <v>3300898.6539153801</v>
      </c>
      <c r="FY13" s="1">
        <v>3286269.553449891</v>
      </c>
      <c r="FZ13" s="1">
        <v>3300898.2220171746</v>
      </c>
      <c r="GA13" s="1">
        <v>3240492.8968923618</v>
      </c>
      <c r="GB13" s="1">
        <v>3245895.8919189284</v>
      </c>
      <c r="GC13" s="1">
        <v>3250609.8392254999</v>
      </c>
      <c r="GD13" s="1">
        <v>3252706.9266422545</v>
      </c>
      <c r="GE13" s="1">
        <v>3264740.2405757643</v>
      </c>
      <c r="GF13" s="1">
        <v>3279315.0667848391</v>
      </c>
      <c r="GG13" s="1">
        <v>3288715.4110271777</v>
      </c>
      <c r="GH13" s="1">
        <v>3281445.963977742</v>
      </c>
      <c r="GI13" s="1">
        <v>3286530.1258421461</v>
      </c>
      <c r="GJ13" s="1">
        <v>3305293.2548705805</v>
      </c>
      <c r="GK13" s="1">
        <v>3303017.4463997791</v>
      </c>
      <c r="GL13" s="1">
        <v>3288987.542390272</v>
      </c>
      <c r="GM13" s="1">
        <v>3284613.8583117193</v>
      </c>
      <c r="GN13" s="1">
        <v>3273023.0333992438</v>
      </c>
      <c r="GO13" s="1">
        <v>3227662.0286730593</v>
      </c>
      <c r="GP13" s="1">
        <v>3105210.6233280268</v>
      </c>
      <c r="GQ13" s="1">
        <v>3145145.3219044399</v>
      </c>
      <c r="GR13" s="1">
        <v>3213027.5844510156</v>
      </c>
      <c r="GS13" s="1">
        <v>3304014.2900796179</v>
      </c>
      <c r="GT13" s="1">
        <v>3332367.4549397635</v>
      </c>
      <c r="GU13" s="1">
        <v>3281228.986483817</v>
      </c>
      <c r="GV13" s="1">
        <v>3271639.8074380094</v>
      </c>
      <c r="GW13" s="1">
        <v>3292528.3742092717</v>
      </c>
      <c r="GX13" s="1">
        <v>3301322.0544882743</v>
      </c>
      <c r="GY13" s="1">
        <v>3298206.5820895582</v>
      </c>
      <c r="GZ13" s="1">
        <v>3282107.3132291501</v>
      </c>
      <c r="HA13" s="1" t="str">
        <f t="shared" si="2"/>
        <v/>
      </c>
      <c r="HB13" s="1" t="str">
        <f t="shared" si="2"/>
        <v/>
      </c>
      <c r="HC13" s="1" t="str">
        <f t="shared" si="2"/>
        <v/>
      </c>
      <c r="HD13" s="1" t="str">
        <f t="shared" si="2"/>
        <v/>
      </c>
      <c r="HE13" s="1" t="str">
        <f t="shared" si="2"/>
        <v/>
      </c>
      <c r="HF13" s="1" t="str">
        <f t="shared" si="2"/>
        <v/>
      </c>
      <c r="HG13" s="1" t="str">
        <f t="shared" si="2"/>
        <v/>
      </c>
      <c r="HH13" s="1" t="str">
        <f t="shared" si="2"/>
        <v/>
      </c>
      <c r="HI13" s="1" t="str">
        <f t="shared" si="2"/>
        <v/>
      </c>
      <c r="HJ13" s="1" t="str">
        <f t="shared" si="2"/>
        <v/>
      </c>
      <c r="HK13" s="1" t="str">
        <f t="shared" si="2"/>
        <v/>
      </c>
      <c r="HL13" s="1" t="str">
        <f t="shared" si="2"/>
        <v/>
      </c>
      <c r="HM13" s="1" t="str">
        <f t="shared" si="2"/>
        <v/>
      </c>
      <c r="HN13" s="1" t="str">
        <f t="shared" si="2"/>
        <v/>
      </c>
      <c r="HO13" s="1" t="str">
        <f t="shared" si="2"/>
        <v/>
      </c>
      <c r="HP13" s="1" t="str">
        <f t="shared" si="2"/>
        <v/>
      </c>
      <c r="HQ13" s="1" t="str">
        <f t="shared" si="2"/>
        <v/>
      </c>
      <c r="HR13" s="1" t="str">
        <f t="shared" si="2"/>
        <v/>
      </c>
      <c r="HS13" s="1" t="str">
        <f t="shared" si="2"/>
        <v/>
      </c>
      <c r="HT13" s="1" t="str">
        <f t="shared" si="2"/>
        <v/>
      </c>
      <c r="HU13" s="1" t="str">
        <f t="shared" si="2"/>
        <v/>
      </c>
      <c r="HV13" s="1" t="str">
        <f t="shared" si="2"/>
        <v/>
      </c>
      <c r="HW13" s="1" t="str">
        <f t="shared" si="2"/>
        <v/>
      </c>
      <c r="HX13" s="1" t="str">
        <f t="shared" si="2"/>
        <v/>
      </c>
      <c r="HY13" s="1" t="str">
        <f t="shared" si="2"/>
        <v/>
      </c>
      <c r="HZ13" s="1" t="str">
        <f t="shared" si="2"/>
        <v/>
      </c>
      <c r="IA13" s="1" t="str">
        <f t="shared" si="2"/>
        <v/>
      </c>
      <c r="IB13" s="1" t="str">
        <f t="shared" si="2"/>
        <v/>
      </c>
      <c r="IC13" s="1" t="str">
        <f t="shared" si="2"/>
        <v/>
      </c>
      <c r="ID13" s="1" t="str">
        <f t="shared" si="2"/>
        <v/>
      </c>
      <c r="IE13" s="1" t="str">
        <f t="shared" si="2"/>
        <v/>
      </c>
      <c r="IF13" s="1" t="str">
        <f t="shared" si="2"/>
        <v/>
      </c>
      <c r="IG13" s="1" t="str">
        <f t="shared" si="2"/>
        <v/>
      </c>
      <c r="IH13" s="1" t="str">
        <f t="shared" si="2"/>
        <v/>
      </c>
      <c r="II13" s="1" t="str">
        <f t="shared" si="2"/>
        <v/>
      </c>
      <c r="IJ13" s="1" t="str">
        <f t="shared" si="2"/>
        <v/>
      </c>
      <c r="IK13" s="1" t="str">
        <f t="shared" si="2"/>
        <v/>
      </c>
      <c r="IL13" s="1" t="str">
        <f t="shared" si="2"/>
        <v/>
      </c>
      <c r="IM13" s="1" t="str">
        <f t="shared" si="2"/>
        <v/>
      </c>
      <c r="IN13" s="1" t="str">
        <f t="shared" si="2"/>
        <v/>
      </c>
      <c r="IO13" s="1" t="str">
        <f t="shared" si="2"/>
        <v/>
      </c>
      <c r="IP13" s="1" t="str">
        <f t="shared" si="2"/>
        <v/>
      </c>
      <c r="IQ13" s="1" t="str">
        <f t="shared" si="2"/>
        <v/>
      </c>
      <c r="IR13" s="1" t="str">
        <f t="shared" si="2"/>
        <v/>
      </c>
      <c r="IS13" s="1" t="str">
        <f t="shared" si="2"/>
        <v/>
      </c>
      <c r="IT13" s="1" t="str">
        <f t="shared" si="2"/>
        <v/>
      </c>
      <c r="IU13" s="1" t="str">
        <f t="shared" si="2"/>
        <v/>
      </c>
      <c r="IV13" s="1" t="str">
        <f t="shared" si="2"/>
        <v/>
      </c>
      <c r="IW13" s="1" t="str">
        <f t="shared" si="2"/>
        <v/>
      </c>
      <c r="IX13" s="1" t="str">
        <f t="shared" si="2"/>
        <v/>
      </c>
      <c r="IY13" s="1" t="str">
        <f t="shared" si="2"/>
        <v/>
      </c>
      <c r="IZ13" s="1" t="str">
        <f t="shared" si="2"/>
        <v/>
      </c>
      <c r="JA13" s="1" t="str">
        <f t="shared" si="2"/>
        <v/>
      </c>
      <c r="JB13" s="1" t="str">
        <f t="shared" si="2"/>
        <v/>
      </c>
      <c r="JC13" s="1" t="str">
        <f t="shared" si="2"/>
        <v/>
      </c>
      <c r="JD13" s="1" t="str">
        <f t="shared" si="2"/>
        <v/>
      </c>
      <c r="JE13" s="1" t="str">
        <f t="shared" si="2"/>
        <v/>
      </c>
      <c r="JF13" s="1" t="str">
        <f t="shared" si="2"/>
        <v/>
      </c>
      <c r="JG13" s="1" t="str">
        <f t="shared" si="2"/>
        <v/>
      </c>
      <c r="JH13" s="1" t="str">
        <f t="shared" si="2"/>
        <v/>
      </c>
      <c r="LY13" s="1"/>
    </row>
    <row r="14" spans="1:337" x14ac:dyDescent="0.25">
      <c r="A14" s="5">
        <v>12</v>
      </c>
      <c r="B14" s="1">
        <v>3113441.0878284476</v>
      </c>
      <c r="C14" s="1">
        <v>3132436.3355639759</v>
      </c>
      <c r="D14" s="1">
        <v>3151926.4586534826</v>
      </c>
      <c r="E14" s="1">
        <v>3174752.7145000808</v>
      </c>
      <c r="F14" s="1">
        <v>3189157.4348834585</v>
      </c>
      <c r="G14" s="1">
        <v>3192662.7603039695</v>
      </c>
      <c r="H14" s="1">
        <v>3208136.3398127952</v>
      </c>
      <c r="I14" s="1">
        <v>3209487.185155849</v>
      </c>
      <c r="J14" s="1">
        <v>3202545.1492147311</v>
      </c>
      <c r="K14" s="1">
        <v>3202185.1147441547</v>
      </c>
      <c r="L14" s="1">
        <v>3209180.2603927348</v>
      </c>
      <c r="M14" s="1">
        <v>3220362.6622418086</v>
      </c>
      <c r="N14" s="1">
        <v>3236467.7242018431</v>
      </c>
      <c r="O14" s="1">
        <v>3238114.6448956793</v>
      </c>
      <c r="P14" s="1">
        <v>3238734.2956372555</v>
      </c>
      <c r="Q14" s="1">
        <v>3247038.3412712701</v>
      </c>
      <c r="R14" s="1">
        <v>3254775.1514278469</v>
      </c>
      <c r="S14" s="1">
        <v>3267180.6753580784</v>
      </c>
      <c r="T14" s="1">
        <v>3281639.5511955526</v>
      </c>
      <c r="U14" s="1">
        <v>3278321.6074026702</v>
      </c>
      <c r="V14" s="1">
        <v>3274560.0049304757</v>
      </c>
      <c r="W14" s="1">
        <v>3279983.3412588295</v>
      </c>
      <c r="X14" s="1">
        <v>3285762.3521922985</v>
      </c>
      <c r="Y14" s="1">
        <v>3292597.1527696475</v>
      </c>
      <c r="Z14" s="1">
        <v>3299108.9568196619</v>
      </c>
      <c r="AA14" s="1">
        <v>3296386.114052745</v>
      </c>
      <c r="AB14" s="1">
        <v>3305855.123673677</v>
      </c>
      <c r="AC14" s="1">
        <v>3308420.5286334204</v>
      </c>
      <c r="AD14" s="1">
        <v>3321510.1084346119</v>
      </c>
      <c r="AE14" s="1">
        <v>3345228.0710625425</v>
      </c>
      <c r="AF14" s="1">
        <v>3350593.3994760327</v>
      </c>
      <c r="AG14" s="1">
        <v>3348141.6305849911</v>
      </c>
      <c r="AH14" s="1">
        <v>3339282.2155695236</v>
      </c>
      <c r="AI14" s="1">
        <v>3355080.2312166877</v>
      </c>
      <c r="AJ14" s="1">
        <v>3369869.0167380655</v>
      </c>
      <c r="AK14" s="1">
        <v>3375751.7196698543</v>
      </c>
      <c r="AL14" s="1">
        <v>3386563.5355055742</v>
      </c>
      <c r="AM14" s="1">
        <v>3391720.5269454895</v>
      </c>
      <c r="AN14" s="1">
        <v>3412550.0982763767</v>
      </c>
      <c r="AO14" s="1">
        <v>3437194.1388075743</v>
      </c>
      <c r="AP14" s="1">
        <v>3450768.692319429</v>
      </c>
      <c r="AQ14" s="1">
        <v>3466959.6296292637</v>
      </c>
      <c r="AR14" s="1">
        <v>3489750.830792807</v>
      </c>
      <c r="AS14" s="1">
        <v>3499348.0568024931</v>
      </c>
      <c r="AT14" s="1">
        <v>3483187.5532629117</v>
      </c>
      <c r="AU14" s="1">
        <v>3499604.8665927844</v>
      </c>
      <c r="AV14" s="1">
        <v>3508417.2901392058</v>
      </c>
      <c r="AW14" s="1">
        <v>3501744.3534440296</v>
      </c>
      <c r="AX14" s="1">
        <v>3491163.9792582477</v>
      </c>
      <c r="AY14" s="1">
        <v>3481408.0633729254</v>
      </c>
      <c r="AZ14" s="1">
        <v>3473328.1963436073</v>
      </c>
      <c r="BA14" s="1">
        <v>3457430.3131728601</v>
      </c>
      <c r="BB14" s="1">
        <v>3400395.8207440567</v>
      </c>
      <c r="BC14" s="1">
        <v>3310634.7999798749</v>
      </c>
      <c r="BD14" s="1">
        <v>3319580.8961249813</v>
      </c>
      <c r="BE14" s="1">
        <v>3280715.6257696785</v>
      </c>
      <c r="BF14" s="1">
        <v>3249517.9813090176</v>
      </c>
      <c r="BG14" s="1">
        <v>3292431.7440561354</v>
      </c>
      <c r="BH14" s="1">
        <v>3239802.7018956533</v>
      </c>
      <c r="BI14" s="1">
        <v>3189712.1903614271</v>
      </c>
      <c r="BJ14" s="1">
        <v>3173884.8382858513</v>
      </c>
      <c r="BK14" s="1">
        <v>3015652.9091549101</v>
      </c>
      <c r="BL14" s="1">
        <v>2932454.065886871</v>
      </c>
      <c r="BM14" s="1">
        <v>2949221.1806201143</v>
      </c>
      <c r="BN14" s="1">
        <v>3006367.1464548241</v>
      </c>
      <c r="BO14" s="1">
        <v>3036500.7935844739</v>
      </c>
      <c r="BP14" s="1">
        <v>3057825.8279903335</v>
      </c>
      <c r="BQ14" s="1">
        <v>3039877.4978619916</v>
      </c>
      <c r="BR14" s="1">
        <v>3054242.7019240102</v>
      </c>
      <c r="BS14" s="1">
        <v>3103317.4526280393</v>
      </c>
      <c r="BT14" s="1">
        <v>3059334.687418852</v>
      </c>
      <c r="BU14" s="1">
        <v>3043640.868072805</v>
      </c>
      <c r="BV14" s="1">
        <v>3067718.7096183342</v>
      </c>
      <c r="BW14" s="1">
        <v>3101452.2559624985</v>
      </c>
      <c r="BX14" s="1">
        <v>3039551.4884682242</v>
      </c>
      <c r="BY14" s="1">
        <v>3060790.6634802041</v>
      </c>
      <c r="BZ14" s="1">
        <v>3076857.3377360497</v>
      </c>
      <c r="CA14" s="1">
        <v>3109787.3818752347</v>
      </c>
      <c r="CB14" s="1">
        <v>3119013.107465161</v>
      </c>
      <c r="CC14" s="1">
        <v>3102921.8998189201</v>
      </c>
      <c r="CD14" s="1">
        <v>3059075.5002743909</v>
      </c>
      <c r="CE14" s="1">
        <v>3072694.3323262115</v>
      </c>
      <c r="CF14" s="1">
        <v>3081627.7246571872</v>
      </c>
      <c r="CG14" s="1">
        <v>3077254.9509326862</v>
      </c>
      <c r="CH14" s="1">
        <v>3059624.8482716549</v>
      </c>
      <c r="CI14" s="1">
        <v>3061477.1133011999</v>
      </c>
      <c r="CJ14" s="1">
        <v>3038396.0900220298</v>
      </c>
      <c r="CK14" s="1">
        <v>3097576.6522823176</v>
      </c>
      <c r="CL14" s="1">
        <v>3101453.1714143623</v>
      </c>
      <c r="CM14" s="1">
        <v>3105867.5735650184</v>
      </c>
      <c r="CN14" s="1">
        <v>3085816.175461262</v>
      </c>
      <c r="CO14" s="1">
        <v>3079744.8270602296</v>
      </c>
      <c r="CP14" s="1">
        <v>3061066.4440929703</v>
      </c>
      <c r="CQ14" s="1">
        <v>3072648.548636124</v>
      </c>
      <c r="CR14" s="1">
        <v>3059498.1175827896</v>
      </c>
      <c r="CS14" s="1">
        <v>3030287.1241143323</v>
      </c>
      <c r="CT14" s="1">
        <v>3025697.5218874589</v>
      </c>
      <c r="CU14" s="1">
        <v>2962174.8403795911</v>
      </c>
      <c r="CV14" s="1">
        <v>3005953.7101119608</v>
      </c>
      <c r="CW14" s="1">
        <v>3022646.6125595029</v>
      </c>
      <c r="CX14" s="1">
        <v>3032602.2414266178</v>
      </c>
      <c r="CY14" s="1">
        <v>3039269.1121679135</v>
      </c>
      <c r="CZ14" s="1">
        <v>3043579.1171518937</v>
      </c>
      <c r="DA14" s="1">
        <v>3036290.7265979</v>
      </c>
      <c r="DB14" s="1">
        <v>2985138.9200021327</v>
      </c>
      <c r="DC14" s="1">
        <v>2979170.8445961173</v>
      </c>
      <c r="DD14" s="1">
        <v>2989527.6467006207</v>
      </c>
      <c r="DE14" s="1">
        <v>2963962.1573272478</v>
      </c>
      <c r="DF14" s="1">
        <v>2996263.9400981348</v>
      </c>
      <c r="DG14" s="1">
        <v>2970228.0317234928</v>
      </c>
      <c r="DH14" s="1">
        <v>2936209.1354552582</v>
      </c>
      <c r="DI14" s="1">
        <v>2981158.6916142572</v>
      </c>
      <c r="DJ14" s="1">
        <v>3033316.6623500157</v>
      </c>
      <c r="DK14" s="1">
        <v>3059267.9723185971</v>
      </c>
      <c r="DL14" s="1">
        <v>3087859.3508520671</v>
      </c>
      <c r="DM14" s="1">
        <v>3097571.8179130862</v>
      </c>
      <c r="DN14" s="1">
        <v>3029859.452274085</v>
      </c>
      <c r="DO14" s="1">
        <v>3056616.8099818625</v>
      </c>
      <c r="DP14" s="1">
        <v>3065191.2953803674</v>
      </c>
      <c r="DQ14" s="1">
        <v>3106700.3217197405</v>
      </c>
      <c r="DR14" s="1">
        <v>3147040.9965440463</v>
      </c>
      <c r="DS14" s="1">
        <v>3094219.2277482511</v>
      </c>
      <c r="DT14" s="1">
        <v>3101148.2254686449</v>
      </c>
      <c r="DU14" s="1">
        <v>3134675.9883741848</v>
      </c>
      <c r="DV14" s="1">
        <v>3197553.0223756311</v>
      </c>
      <c r="DW14" s="1">
        <v>3219747.708721139</v>
      </c>
      <c r="DX14" s="1">
        <v>3214286.7569712386</v>
      </c>
      <c r="DY14" s="1">
        <v>3192143.7362929271</v>
      </c>
      <c r="DZ14" s="1">
        <v>3154319.3763274685</v>
      </c>
      <c r="EA14" s="1">
        <v>3174495.3854951877</v>
      </c>
      <c r="EB14" s="1">
        <v>3188191.5857695369</v>
      </c>
      <c r="EC14" s="1">
        <v>3168555.5177259529</v>
      </c>
      <c r="ED14" s="1">
        <v>3195947.4589761226</v>
      </c>
      <c r="EE14" s="1">
        <v>3149417.5980107412</v>
      </c>
      <c r="EF14" s="1">
        <v>3167735.0314062694</v>
      </c>
      <c r="EG14" s="1">
        <v>3213161.7616140693</v>
      </c>
      <c r="EH14" s="1">
        <v>3230955.1624977556</v>
      </c>
      <c r="EI14" s="1">
        <v>3228429.1743246559</v>
      </c>
      <c r="EJ14" s="1">
        <v>3230607.676052927</v>
      </c>
      <c r="EK14" s="1">
        <v>3191236.0588953914</v>
      </c>
      <c r="EL14" s="1">
        <v>3176244.4608688611</v>
      </c>
      <c r="EM14" s="1">
        <v>3185055.1806938117</v>
      </c>
      <c r="EN14" s="1">
        <v>3175095.0521021485</v>
      </c>
      <c r="EO14" s="1">
        <v>3205381.9518590383</v>
      </c>
      <c r="EP14" s="1">
        <v>3186914.1610973268</v>
      </c>
      <c r="EQ14" s="1">
        <v>3127231.8870227966</v>
      </c>
      <c r="ER14" s="1">
        <v>3175181.5625683409</v>
      </c>
      <c r="ES14" s="1">
        <v>3214703.2618774343</v>
      </c>
      <c r="ET14" s="1">
        <v>3216141.3566052774</v>
      </c>
      <c r="EU14" s="1">
        <v>3228626.9112387197</v>
      </c>
      <c r="EV14" s="1">
        <v>3239036.9641396627</v>
      </c>
      <c r="EW14" s="1">
        <v>3209582.7514804867</v>
      </c>
      <c r="EX14" s="1">
        <v>3204384.3834006954</v>
      </c>
      <c r="EY14" s="1">
        <v>3209841.3154402422</v>
      </c>
      <c r="EZ14" s="1">
        <v>3223891.0904216785</v>
      </c>
      <c r="FA14" s="1">
        <v>3214449.1080572996</v>
      </c>
      <c r="FB14" s="1">
        <v>3211354.9260417866</v>
      </c>
      <c r="FC14" s="1">
        <v>3173253.9119444378</v>
      </c>
      <c r="FD14" s="1">
        <v>3222031.7239468116</v>
      </c>
      <c r="FE14" s="1">
        <v>3227649.9792097486</v>
      </c>
      <c r="FF14" s="1">
        <v>3257851.541082168</v>
      </c>
      <c r="FG14" s="1">
        <v>3268420.985253646</v>
      </c>
      <c r="FH14" s="1">
        <v>3259109.2341949893</v>
      </c>
      <c r="FI14" s="1">
        <v>3211793.7260489543</v>
      </c>
      <c r="FJ14" s="1">
        <v>3199709.7915941812</v>
      </c>
      <c r="FK14" s="1">
        <v>3235264.2592648054</v>
      </c>
      <c r="FL14" s="1">
        <v>3242131.2822061209</v>
      </c>
      <c r="FM14" s="1">
        <v>3204320.834160991</v>
      </c>
      <c r="FN14" s="1">
        <v>3175638.4070182582</v>
      </c>
      <c r="FO14" s="1">
        <v>3191721.5295991516</v>
      </c>
      <c r="FP14" s="1">
        <v>3277271.0419927407</v>
      </c>
      <c r="FQ14" s="1">
        <v>3313290.5725805508</v>
      </c>
      <c r="FR14" s="1">
        <v>3295992.9915970257</v>
      </c>
      <c r="FS14" s="1">
        <v>3300586.7243044884</v>
      </c>
      <c r="FT14" s="1">
        <v>3311772.0599769326</v>
      </c>
      <c r="FU14" s="1">
        <v>3298577.4026954202</v>
      </c>
      <c r="FV14" s="1">
        <v>3260012.1373330546</v>
      </c>
      <c r="FW14" s="1">
        <v>3288860.1798790856</v>
      </c>
      <c r="FX14" s="1">
        <v>3303946.8678657678</v>
      </c>
      <c r="FY14" s="1">
        <v>3282310.8675641557</v>
      </c>
      <c r="FZ14" s="1">
        <v>3299608.7064274638</v>
      </c>
      <c r="GA14" s="1">
        <v>3229978.5600860724</v>
      </c>
      <c r="GB14" s="1">
        <v>3250121.5131939794</v>
      </c>
      <c r="GC14" s="1">
        <v>3263781.071735546</v>
      </c>
      <c r="GD14" s="1">
        <v>3267242.5043294225</v>
      </c>
      <c r="GE14" s="1">
        <v>3276333.4302467434</v>
      </c>
      <c r="GF14" s="1">
        <v>3288124.6129147853</v>
      </c>
      <c r="GG14" s="1">
        <v>3283226.827954839</v>
      </c>
      <c r="GH14" s="1">
        <v>3267323.3192298869</v>
      </c>
      <c r="GI14" s="1">
        <v>3289774.08124083</v>
      </c>
      <c r="GJ14" s="1">
        <v>3310089.6533770878</v>
      </c>
      <c r="GK14" s="1">
        <v>3300865.9769487907</v>
      </c>
      <c r="GL14" s="1">
        <v>3288478.7149560153</v>
      </c>
      <c r="GM14" s="1">
        <v>3267746.7204530295</v>
      </c>
      <c r="GN14" s="1">
        <v>3279368.6746992627</v>
      </c>
      <c r="GO14" s="1">
        <v>3233722.9051911808</v>
      </c>
      <c r="GP14" s="1">
        <v>3099534.4053869173</v>
      </c>
      <c r="GQ14" s="1">
        <v>3143285.1206276817</v>
      </c>
      <c r="GR14" s="1">
        <v>3220635.2782073226</v>
      </c>
      <c r="GS14" s="1">
        <v>3307602.9223713605</v>
      </c>
      <c r="GT14" s="1">
        <v>3322895.7742502121</v>
      </c>
      <c r="GU14" s="1">
        <v>3282433.9079833999</v>
      </c>
      <c r="GV14" s="1">
        <v>3269622.7686008997</v>
      </c>
      <c r="GW14" s="1">
        <v>3290497.860014041</v>
      </c>
      <c r="GX14" s="1">
        <v>3300792.5115421652</v>
      </c>
      <c r="GY14" s="1">
        <v>3286024.7872739942</v>
      </c>
      <c r="GZ14" s="1">
        <v>3286773.6593440101</v>
      </c>
      <c r="HA14" s="1" t="str">
        <f t="shared" si="2"/>
        <v/>
      </c>
      <c r="HB14" s="1" t="str">
        <f t="shared" si="2"/>
        <v/>
      </c>
      <c r="HC14" s="1" t="str">
        <f t="shared" si="2"/>
        <v/>
      </c>
      <c r="HD14" s="1" t="str">
        <f t="shared" si="2"/>
        <v/>
      </c>
      <c r="HE14" s="1" t="str">
        <f t="shared" si="2"/>
        <v/>
      </c>
      <c r="HF14" s="1" t="str">
        <f t="shared" si="2"/>
        <v/>
      </c>
      <c r="HG14" s="1" t="str">
        <f t="shared" si="2"/>
        <v/>
      </c>
      <c r="HH14" s="1" t="str">
        <f t="shared" si="2"/>
        <v/>
      </c>
      <c r="HI14" s="1" t="str">
        <f t="shared" si="2"/>
        <v/>
      </c>
      <c r="HJ14" s="1" t="str">
        <f t="shared" si="2"/>
        <v/>
      </c>
      <c r="HK14" s="1" t="str">
        <f t="shared" si="2"/>
        <v/>
      </c>
      <c r="HL14" s="1" t="str">
        <f t="shared" si="2"/>
        <v/>
      </c>
      <c r="HM14" s="1" t="str">
        <f t="shared" si="2"/>
        <v/>
      </c>
      <c r="HN14" s="1" t="str">
        <f t="shared" si="2"/>
        <v/>
      </c>
      <c r="HO14" s="1" t="str">
        <f t="shared" si="2"/>
        <v/>
      </c>
      <c r="HP14" s="1" t="str">
        <f t="shared" si="2"/>
        <v/>
      </c>
      <c r="HQ14" s="1" t="str">
        <f t="shared" si="2"/>
        <v/>
      </c>
      <c r="HR14" s="1" t="str">
        <f t="shared" si="2"/>
        <v/>
      </c>
      <c r="HS14" s="1" t="str">
        <f t="shared" si="2"/>
        <v/>
      </c>
      <c r="HT14" s="1" t="str">
        <f t="shared" si="2"/>
        <v/>
      </c>
      <c r="HU14" s="1" t="str">
        <f t="shared" si="2"/>
        <v/>
      </c>
      <c r="HV14" s="1" t="str">
        <f t="shared" si="2"/>
        <v/>
      </c>
      <c r="HW14" s="1" t="str">
        <f t="shared" si="2"/>
        <v/>
      </c>
      <c r="HX14" s="1" t="str">
        <f t="shared" si="2"/>
        <v/>
      </c>
      <c r="HY14" s="1" t="str">
        <f t="shared" si="2"/>
        <v/>
      </c>
      <c r="HZ14" s="1" t="str">
        <f t="shared" si="2"/>
        <v/>
      </c>
      <c r="IA14" s="1" t="str">
        <f t="shared" si="2"/>
        <v/>
      </c>
      <c r="IB14" s="1" t="str">
        <f t="shared" si="2"/>
        <v/>
      </c>
      <c r="IC14" s="1" t="str">
        <f t="shared" si="2"/>
        <v/>
      </c>
      <c r="ID14" s="1" t="str">
        <f t="shared" si="2"/>
        <v/>
      </c>
      <c r="IE14" s="1" t="str">
        <f t="shared" si="2"/>
        <v/>
      </c>
      <c r="IF14" s="1" t="str">
        <f t="shared" si="2"/>
        <v/>
      </c>
      <c r="IG14" s="1" t="str">
        <f t="shared" si="2"/>
        <v/>
      </c>
      <c r="IH14" s="1" t="str">
        <f t="shared" si="2"/>
        <v/>
      </c>
      <c r="II14" s="1" t="str">
        <f t="shared" si="2"/>
        <v/>
      </c>
      <c r="IJ14" s="1" t="str">
        <f t="shared" si="2"/>
        <v/>
      </c>
      <c r="IK14" s="1" t="str">
        <f t="shared" si="2"/>
        <v/>
      </c>
      <c r="IL14" s="1" t="str">
        <f t="shared" si="2"/>
        <v/>
      </c>
      <c r="IM14" s="1" t="str">
        <f t="shared" si="2"/>
        <v/>
      </c>
      <c r="IN14" s="1" t="str">
        <f t="shared" si="2"/>
        <v/>
      </c>
      <c r="IO14" s="1" t="str">
        <f t="shared" si="2"/>
        <v/>
      </c>
      <c r="IP14" s="1" t="str">
        <f t="shared" si="2"/>
        <v/>
      </c>
      <c r="IQ14" s="1" t="str">
        <f t="shared" si="2"/>
        <v/>
      </c>
      <c r="IR14" s="1" t="str">
        <f t="shared" si="2"/>
        <v/>
      </c>
      <c r="IS14" s="1" t="str">
        <f t="shared" si="2"/>
        <v/>
      </c>
      <c r="IT14" s="1" t="str">
        <f t="shared" si="2"/>
        <v/>
      </c>
      <c r="IU14" s="1" t="str">
        <f t="shared" si="2"/>
        <v/>
      </c>
      <c r="IV14" s="1" t="str">
        <f t="shared" si="2"/>
        <v/>
      </c>
      <c r="IW14" s="1" t="str">
        <f t="shared" si="2"/>
        <v/>
      </c>
      <c r="IX14" s="1" t="str">
        <f t="shared" si="2"/>
        <v/>
      </c>
      <c r="IY14" s="1" t="str">
        <f t="shared" si="2"/>
        <v/>
      </c>
      <c r="IZ14" s="1" t="str">
        <f t="shared" si="2"/>
        <v/>
      </c>
      <c r="JA14" s="1" t="str">
        <f t="shared" si="2"/>
        <v/>
      </c>
      <c r="JB14" s="1" t="str">
        <f t="shared" si="2"/>
        <v/>
      </c>
      <c r="JC14" s="1" t="str">
        <f t="shared" si="2"/>
        <v/>
      </c>
      <c r="JD14" s="1" t="str">
        <f t="shared" si="2"/>
        <v/>
      </c>
      <c r="JE14" s="1" t="str">
        <f t="shared" si="2"/>
        <v/>
      </c>
      <c r="JF14" s="1" t="str">
        <f t="shared" si="2"/>
        <v/>
      </c>
      <c r="JG14" s="1" t="str">
        <f t="shared" si="2"/>
        <v/>
      </c>
      <c r="JH14" s="1" t="str">
        <f t="shared" si="2"/>
        <v/>
      </c>
      <c r="LY14" s="1"/>
    </row>
    <row r="15" spans="1:337" hidden="1" x14ac:dyDescent="0.25">
      <c r="A15" s="5"/>
      <c r="LY15" s="1"/>
    </row>
    <row r="16" spans="1:337" hidden="1" x14ac:dyDescent="0.25">
      <c r="A16" s="5"/>
      <c r="LY16" s="1"/>
    </row>
    <row r="17" spans="1:337" hidden="1" x14ac:dyDescent="0.25">
      <c r="A17" s="5"/>
      <c r="LY17" s="1"/>
    </row>
    <row r="18" spans="1:337" hidden="1" x14ac:dyDescent="0.25">
      <c r="A18" s="5"/>
      <c r="LY18" s="1"/>
    </row>
    <row r="19" spans="1:337" hidden="1" x14ac:dyDescent="0.25">
      <c r="A19" s="5"/>
      <c r="LY19" s="1"/>
    </row>
    <row r="20" spans="1:337" hidden="1" x14ac:dyDescent="0.25">
      <c r="A20" s="5"/>
      <c r="LY20" s="1"/>
    </row>
    <row r="21" spans="1:337" hidden="1" x14ac:dyDescent="0.25">
      <c r="A21" s="5"/>
      <c r="LY21" s="1"/>
    </row>
    <row r="22" spans="1:337" hidden="1" x14ac:dyDescent="0.25">
      <c r="A22" s="5"/>
      <c r="LY22" s="1"/>
    </row>
    <row r="23" spans="1:337" hidden="1" x14ac:dyDescent="0.25">
      <c r="A23" s="5"/>
      <c r="LY23" s="1"/>
    </row>
    <row r="24" spans="1:337" hidden="1" x14ac:dyDescent="0.25">
      <c r="A24" s="5"/>
      <c r="LY24" s="1"/>
    </row>
    <row r="25" spans="1:337" hidden="1" x14ac:dyDescent="0.25">
      <c r="A25" s="5"/>
      <c r="LY25" s="1"/>
    </row>
    <row r="26" spans="1:337" hidden="1" x14ac:dyDescent="0.25">
      <c r="A26" s="5"/>
      <c r="LY26" s="1"/>
    </row>
    <row r="27" spans="1:337" x14ac:dyDescent="0.25">
      <c r="A27" s="5"/>
      <c r="JN27" s="18"/>
      <c r="LY27" s="1"/>
    </row>
    <row r="28" spans="1:337" x14ac:dyDescent="0.25">
      <c r="A28" s="5"/>
      <c r="B28" s="1">
        <f t="shared" ref="B28:BM28" si="3">IF(OR(B3="",C3=""),0,MIN(24,C28+1))</f>
        <v>24</v>
      </c>
      <c r="C28" s="1">
        <f t="shared" si="3"/>
        <v>24</v>
      </c>
      <c r="D28" s="1">
        <f t="shared" si="3"/>
        <v>24</v>
      </c>
      <c r="E28" s="1">
        <f t="shared" si="3"/>
        <v>24</v>
      </c>
      <c r="F28" s="1">
        <f t="shared" si="3"/>
        <v>24</v>
      </c>
      <c r="G28" s="1">
        <f t="shared" si="3"/>
        <v>24</v>
      </c>
      <c r="H28" s="1">
        <f t="shared" si="3"/>
        <v>24</v>
      </c>
      <c r="I28" s="1">
        <f t="shared" si="3"/>
        <v>24</v>
      </c>
      <c r="J28" s="1">
        <f t="shared" si="3"/>
        <v>24</v>
      </c>
      <c r="K28" s="1">
        <f t="shared" si="3"/>
        <v>24</v>
      </c>
      <c r="L28" s="1">
        <f t="shared" si="3"/>
        <v>24</v>
      </c>
      <c r="M28" s="1">
        <f t="shared" si="3"/>
        <v>24</v>
      </c>
      <c r="N28" s="1">
        <f t="shared" si="3"/>
        <v>24</v>
      </c>
      <c r="O28" s="1">
        <f t="shared" si="3"/>
        <v>24</v>
      </c>
      <c r="P28" s="1">
        <f t="shared" si="3"/>
        <v>24</v>
      </c>
      <c r="Q28" s="1">
        <f t="shared" si="3"/>
        <v>24</v>
      </c>
      <c r="R28" s="1">
        <f t="shared" si="3"/>
        <v>24</v>
      </c>
      <c r="S28" s="1">
        <f t="shared" si="3"/>
        <v>24</v>
      </c>
      <c r="T28" s="1">
        <f t="shared" si="3"/>
        <v>24</v>
      </c>
      <c r="U28" s="1">
        <f t="shared" si="3"/>
        <v>24</v>
      </c>
      <c r="V28" s="1">
        <f t="shared" si="3"/>
        <v>24</v>
      </c>
      <c r="W28" s="1">
        <f t="shared" si="3"/>
        <v>24</v>
      </c>
      <c r="X28" s="1">
        <f t="shared" si="3"/>
        <v>24</v>
      </c>
      <c r="Y28" s="1">
        <f t="shared" si="3"/>
        <v>24</v>
      </c>
      <c r="Z28" s="1">
        <f t="shared" si="3"/>
        <v>24</v>
      </c>
      <c r="AA28" s="1">
        <f t="shared" si="3"/>
        <v>24</v>
      </c>
      <c r="AB28" s="1">
        <f t="shared" si="3"/>
        <v>24</v>
      </c>
      <c r="AC28" s="1">
        <f t="shared" si="3"/>
        <v>24</v>
      </c>
      <c r="AD28" s="1">
        <f t="shared" si="3"/>
        <v>24</v>
      </c>
      <c r="AE28" s="1">
        <f t="shared" si="3"/>
        <v>24</v>
      </c>
      <c r="AF28" s="1">
        <f t="shared" si="3"/>
        <v>24</v>
      </c>
      <c r="AG28" s="1">
        <f t="shared" si="3"/>
        <v>24</v>
      </c>
      <c r="AH28" s="1">
        <f t="shared" si="3"/>
        <v>24</v>
      </c>
      <c r="AI28" s="1">
        <f t="shared" si="3"/>
        <v>24</v>
      </c>
      <c r="AJ28" s="1">
        <f t="shared" si="3"/>
        <v>24</v>
      </c>
      <c r="AK28" s="1">
        <f t="shared" si="3"/>
        <v>24</v>
      </c>
      <c r="AL28" s="1">
        <f t="shared" si="3"/>
        <v>24</v>
      </c>
      <c r="AM28" s="1">
        <f t="shared" si="3"/>
        <v>24</v>
      </c>
      <c r="AN28" s="1">
        <f t="shared" si="3"/>
        <v>24</v>
      </c>
      <c r="AO28" s="1">
        <f t="shared" si="3"/>
        <v>24</v>
      </c>
      <c r="AP28" s="1">
        <f t="shared" si="3"/>
        <v>24</v>
      </c>
      <c r="AQ28" s="1">
        <f t="shared" si="3"/>
        <v>24</v>
      </c>
      <c r="AR28" s="1">
        <f t="shared" si="3"/>
        <v>24</v>
      </c>
      <c r="AS28" s="1">
        <f t="shared" si="3"/>
        <v>24</v>
      </c>
      <c r="AT28" s="1">
        <f t="shared" si="3"/>
        <v>24</v>
      </c>
      <c r="AU28" s="1">
        <f t="shared" si="3"/>
        <v>24</v>
      </c>
      <c r="AV28" s="1">
        <f t="shared" si="3"/>
        <v>24</v>
      </c>
      <c r="AW28" s="1">
        <f t="shared" si="3"/>
        <v>24</v>
      </c>
      <c r="AX28" s="1">
        <f t="shared" si="3"/>
        <v>24</v>
      </c>
      <c r="AY28" s="1">
        <f t="shared" si="3"/>
        <v>24</v>
      </c>
      <c r="AZ28" s="1">
        <f t="shared" si="3"/>
        <v>24</v>
      </c>
      <c r="BA28" s="1">
        <f t="shared" si="3"/>
        <v>24</v>
      </c>
      <c r="BB28" s="1">
        <f t="shared" si="3"/>
        <v>24</v>
      </c>
      <c r="BC28" s="1">
        <f t="shared" si="3"/>
        <v>24</v>
      </c>
      <c r="BD28" s="1">
        <f t="shared" si="3"/>
        <v>24</v>
      </c>
      <c r="BE28" s="1">
        <f t="shared" si="3"/>
        <v>24</v>
      </c>
      <c r="BF28" s="1">
        <f t="shared" si="3"/>
        <v>24</v>
      </c>
      <c r="BG28" s="1">
        <f t="shared" si="3"/>
        <v>24</v>
      </c>
      <c r="BH28" s="1">
        <f t="shared" si="3"/>
        <v>24</v>
      </c>
      <c r="BI28" s="1">
        <f t="shared" si="3"/>
        <v>24</v>
      </c>
      <c r="BJ28" s="1">
        <f t="shared" si="3"/>
        <v>24</v>
      </c>
      <c r="BK28" s="1">
        <f t="shared" si="3"/>
        <v>24</v>
      </c>
      <c r="BL28" s="1">
        <f t="shared" si="3"/>
        <v>24</v>
      </c>
      <c r="BM28" s="1">
        <f t="shared" si="3"/>
        <v>24</v>
      </c>
      <c r="BN28" s="1">
        <f t="shared" ref="BN28:DY28" si="4">IF(OR(BN3="",BO3=""),0,MIN(24,BO28+1))</f>
        <v>24</v>
      </c>
      <c r="BO28" s="1">
        <f t="shared" si="4"/>
        <v>24</v>
      </c>
      <c r="BP28" s="1">
        <f t="shared" si="4"/>
        <v>24</v>
      </c>
      <c r="BQ28" s="1">
        <f t="shared" si="4"/>
        <v>24</v>
      </c>
      <c r="BR28" s="1">
        <f t="shared" si="4"/>
        <v>24</v>
      </c>
      <c r="BS28" s="1">
        <f t="shared" si="4"/>
        <v>24</v>
      </c>
      <c r="BT28" s="1">
        <f t="shared" si="4"/>
        <v>24</v>
      </c>
      <c r="BU28" s="1">
        <f t="shared" si="4"/>
        <v>24</v>
      </c>
      <c r="BV28" s="1">
        <f t="shared" si="4"/>
        <v>24</v>
      </c>
      <c r="BW28" s="1">
        <f t="shared" si="4"/>
        <v>24</v>
      </c>
      <c r="BX28" s="1">
        <f t="shared" si="4"/>
        <v>24</v>
      </c>
      <c r="BY28" s="1">
        <f t="shared" si="4"/>
        <v>24</v>
      </c>
      <c r="BZ28" s="1">
        <f t="shared" si="4"/>
        <v>24</v>
      </c>
      <c r="CA28" s="1">
        <f t="shared" si="4"/>
        <v>24</v>
      </c>
      <c r="CB28" s="1">
        <f t="shared" si="4"/>
        <v>24</v>
      </c>
      <c r="CC28" s="1">
        <f t="shared" si="4"/>
        <v>24</v>
      </c>
      <c r="CD28" s="1">
        <f t="shared" si="4"/>
        <v>24</v>
      </c>
      <c r="CE28" s="1">
        <f t="shared" si="4"/>
        <v>24</v>
      </c>
      <c r="CF28" s="1">
        <f t="shared" si="4"/>
        <v>24</v>
      </c>
      <c r="CG28" s="1">
        <f t="shared" si="4"/>
        <v>24</v>
      </c>
      <c r="CH28" s="1">
        <f t="shared" si="4"/>
        <v>24</v>
      </c>
      <c r="CI28" s="1">
        <f t="shared" si="4"/>
        <v>24</v>
      </c>
      <c r="CJ28" s="1">
        <f t="shared" si="4"/>
        <v>24</v>
      </c>
      <c r="CK28" s="1">
        <f t="shared" si="4"/>
        <v>24</v>
      </c>
      <c r="CL28" s="1">
        <f t="shared" si="4"/>
        <v>24</v>
      </c>
      <c r="CM28" s="1">
        <f t="shared" si="4"/>
        <v>24</v>
      </c>
      <c r="CN28" s="1">
        <f t="shared" si="4"/>
        <v>24</v>
      </c>
      <c r="CO28" s="1">
        <f t="shared" si="4"/>
        <v>24</v>
      </c>
      <c r="CP28" s="1">
        <f t="shared" si="4"/>
        <v>24</v>
      </c>
      <c r="CQ28" s="1">
        <f t="shared" si="4"/>
        <v>24</v>
      </c>
      <c r="CR28" s="1">
        <f t="shared" si="4"/>
        <v>24</v>
      </c>
      <c r="CS28" s="1">
        <f t="shared" si="4"/>
        <v>24</v>
      </c>
      <c r="CT28" s="1">
        <f t="shared" si="4"/>
        <v>24</v>
      </c>
      <c r="CU28" s="1">
        <f t="shared" si="4"/>
        <v>24</v>
      </c>
      <c r="CV28" s="1">
        <f t="shared" si="4"/>
        <v>24</v>
      </c>
      <c r="CW28" s="1">
        <f t="shared" si="4"/>
        <v>24</v>
      </c>
      <c r="CX28" s="1">
        <f t="shared" si="4"/>
        <v>24</v>
      </c>
      <c r="CY28" s="1">
        <f t="shared" si="4"/>
        <v>24</v>
      </c>
      <c r="CZ28" s="1">
        <f t="shared" si="4"/>
        <v>24</v>
      </c>
      <c r="DA28" s="1">
        <f t="shared" si="4"/>
        <v>24</v>
      </c>
      <c r="DB28" s="1">
        <f t="shared" si="4"/>
        <v>24</v>
      </c>
      <c r="DC28" s="1">
        <f t="shared" si="4"/>
        <v>24</v>
      </c>
      <c r="DD28" s="1">
        <f t="shared" si="4"/>
        <v>24</v>
      </c>
      <c r="DE28" s="1">
        <f t="shared" si="4"/>
        <v>24</v>
      </c>
      <c r="DF28" s="1">
        <f t="shared" si="4"/>
        <v>24</v>
      </c>
      <c r="DG28" s="1">
        <f t="shared" si="4"/>
        <v>24</v>
      </c>
      <c r="DH28" s="1">
        <f t="shared" si="4"/>
        <v>24</v>
      </c>
      <c r="DI28" s="1">
        <f t="shared" si="4"/>
        <v>24</v>
      </c>
      <c r="DJ28" s="1">
        <f t="shared" si="4"/>
        <v>24</v>
      </c>
      <c r="DK28" s="1">
        <f t="shared" si="4"/>
        <v>24</v>
      </c>
      <c r="DL28" s="1">
        <f t="shared" si="4"/>
        <v>24</v>
      </c>
      <c r="DM28" s="1">
        <f t="shared" si="4"/>
        <v>24</v>
      </c>
      <c r="DN28" s="1">
        <f t="shared" si="4"/>
        <v>24</v>
      </c>
      <c r="DO28" s="1">
        <f t="shared" si="4"/>
        <v>24</v>
      </c>
      <c r="DP28" s="1">
        <f t="shared" si="4"/>
        <v>24</v>
      </c>
      <c r="DQ28" s="1">
        <f t="shared" si="4"/>
        <v>24</v>
      </c>
      <c r="DR28" s="1">
        <f t="shared" si="4"/>
        <v>24</v>
      </c>
      <c r="DS28" s="1">
        <f t="shared" si="4"/>
        <v>24</v>
      </c>
      <c r="DT28" s="1">
        <f t="shared" si="4"/>
        <v>24</v>
      </c>
      <c r="DU28" s="1">
        <f t="shared" si="4"/>
        <v>24</v>
      </c>
      <c r="DV28" s="1">
        <f t="shared" si="4"/>
        <v>24</v>
      </c>
      <c r="DW28" s="1">
        <f t="shared" si="4"/>
        <v>24</v>
      </c>
      <c r="DX28" s="1">
        <f t="shared" si="4"/>
        <v>24</v>
      </c>
      <c r="DY28" s="1">
        <f t="shared" si="4"/>
        <v>24</v>
      </c>
      <c r="DZ28" s="1">
        <f t="shared" ref="DZ28:GK28" si="5">IF(OR(DZ3="",EA3=""),0,MIN(24,EA28+1))</f>
        <v>24</v>
      </c>
      <c r="EA28" s="1">
        <f t="shared" si="5"/>
        <v>24</v>
      </c>
      <c r="EB28" s="1">
        <f t="shared" si="5"/>
        <v>24</v>
      </c>
      <c r="EC28" s="1">
        <f t="shared" si="5"/>
        <v>24</v>
      </c>
      <c r="ED28" s="1">
        <f t="shared" si="5"/>
        <v>24</v>
      </c>
      <c r="EE28" s="1">
        <f t="shared" si="5"/>
        <v>24</v>
      </c>
      <c r="EF28" s="1">
        <f t="shared" si="5"/>
        <v>24</v>
      </c>
      <c r="EG28" s="1">
        <f t="shared" si="5"/>
        <v>24</v>
      </c>
      <c r="EH28" s="1">
        <f t="shared" si="5"/>
        <v>24</v>
      </c>
      <c r="EI28" s="1">
        <f t="shared" si="5"/>
        <v>24</v>
      </c>
      <c r="EJ28" s="1">
        <f t="shared" si="5"/>
        <v>24</v>
      </c>
      <c r="EK28" s="1">
        <f t="shared" si="5"/>
        <v>24</v>
      </c>
      <c r="EL28" s="1">
        <f t="shared" si="5"/>
        <v>24</v>
      </c>
      <c r="EM28" s="1">
        <f t="shared" si="5"/>
        <v>24</v>
      </c>
      <c r="EN28" s="1">
        <f t="shared" si="5"/>
        <v>24</v>
      </c>
      <c r="EO28" s="1">
        <f t="shared" si="5"/>
        <v>24</v>
      </c>
      <c r="EP28" s="1">
        <f t="shared" si="5"/>
        <v>24</v>
      </c>
      <c r="EQ28" s="1">
        <f t="shared" si="5"/>
        <v>24</v>
      </c>
      <c r="ER28" s="1">
        <f t="shared" si="5"/>
        <v>24</v>
      </c>
      <c r="ES28" s="1">
        <f t="shared" si="5"/>
        <v>24</v>
      </c>
      <c r="ET28" s="1">
        <f t="shared" si="5"/>
        <v>24</v>
      </c>
      <c r="EU28" s="1">
        <f t="shared" si="5"/>
        <v>24</v>
      </c>
      <c r="EV28" s="1">
        <f t="shared" si="5"/>
        <v>24</v>
      </c>
      <c r="EW28" s="1">
        <f t="shared" si="5"/>
        <v>24</v>
      </c>
      <c r="EX28" s="1">
        <f t="shared" si="5"/>
        <v>24</v>
      </c>
      <c r="EY28" s="1">
        <f t="shared" si="5"/>
        <v>24</v>
      </c>
      <c r="EZ28" s="1">
        <f t="shared" si="5"/>
        <v>24</v>
      </c>
      <c r="FA28" s="1">
        <f t="shared" si="5"/>
        <v>24</v>
      </c>
      <c r="FB28" s="1">
        <f t="shared" si="5"/>
        <v>24</v>
      </c>
      <c r="FC28" s="1">
        <f t="shared" si="5"/>
        <v>24</v>
      </c>
      <c r="FD28" s="1">
        <f t="shared" si="5"/>
        <v>24</v>
      </c>
      <c r="FE28" s="1">
        <f t="shared" si="5"/>
        <v>24</v>
      </c>
      <c r="FF28" s="1">
        <f t="shared" si="5"/>
        <v>24</v>
      </c>
      <c r="FG28" s="1">
        <f t="shared" si="5"/>
        <v>24</v>
      </c>
      <c r="FH28" s="1">
        <f t="shared" si="5"/>
        <v>24</v>
      </c>
      <c r="FI28" s="1">
        <f t="shared" si="5"/>
        <v>24</v>
      </c>
      <c r="FJ28" s="1">
        <f t="shared" si="5"/>
        <v>24</v>
      </c>
      <c r="FK28" s="1">
        <f t="shared" si="5"/>
        <v>24</v>
      </c>
      <c r="FL28" s="1">
        <f t="shared" si="5"/>
        <v>24</v>
      </c>
      <c r="FM28" s="1">
        <f t="shared" si="5"/>
        <v>24</v>
      </c>
      <c r="FN28" s="1">
        <f t="shared" si="5"/>
        <v>24</v>
      </c>
      <c r="FO28" s="1">
        <f t="shared" si="5"/>
        <v>24</v>
      </c>
      <c r="FP28" s="1">
        <f t="shared" si="5"/>
        <v>24</v>
      </c>
      <c r="FQ28" s="1">
        <f t="shared" si="5"/>
        <v>24</v>
      </c>
      <c r="FR28" s="1">
        <f t="shared" si="5"/>
        <v>24</v>
      </c>
      <c r="FS28" s="1">
        <f t="shared" si="5"/>
        <v>24</v>
      </c>
      <c r="FT28" s="1">
        <f t="shared" si="5"/>
        <v>24</v>
      </c>
      <c r="FU28" s="1">
        <f t="shared" si="5"/>
        <v>24</v>
      </c>
      <c r="FV28" s="1">
        <f t="shared" si="5"/>
        <v>24</v>
      </c>
      <c r="FW28" s="1">
        <f t="shared" si="5"/>
        <v>24</v>
      </c>
      <c r="FX28" s="1">
        <f t="shared" si="5"/>
        <v>24</v>
      </c>
      <c r="FY28" s="1">
        <f t="shared" si="5"/>
        <v>24</v>
      </c>
      <c r="FZ28" s="1">
        <f t="shared" si="5"/>
        <v>24</v>
      </c>
      <c r="GA28" s="1">
        <f t="shared" si="5"/>
        <v>24</v>
      </c>
      <c r="GB28" s="1">
        <f t="shared" si="5"/>
        <v>23</v>
      </c>
      <c r="GC28" s="1">
        <f t="shared" si="5"/>
        <v>22</v>
      </c>
      <c r="GD28" s="1">
        <f t="shared" si="5"/>
        <v>21</v>
      </c>
      <c r="GE28" s="1">
        <f t="shared" si="5"/>
        <v>20</v>
      </c>
      <c r="GF28" s="1">
        <f t="shared" si="5"/>
        <v>19</v>
      </c>
      <c r="GG28" s="1">
        <f t="shared" si="5"/>
        <v>18</v>
      </c>
      <c r="GH28" s="1">
        <f t="shared" si="5"/>
        <v>17</v>
      </c>
      <c r="GI28" s="1">
        <f t="shared" si="5"/>
        <v>16</v>
      </c>
      <c r="GJ28" s="1">
        <f t="shared" si="5"/>
        <v>15</v>
      </c>
      <c r="GK28" s="1">
        <f t="shared" si="5"/>
        <v>14</v>
      </c>
      <c r="GL28" s="1">
        <f t="shared" ref="GL28:GX28" si="6">IF(OR(GL3="",GM3=""),0,MIN(24,GM28+1))</f>
        <v>13</v>
      </c>
      <c r="GM28" s="1">
        <f t="shared" si="6"/>
        <v>12</v>
      </c>
      <c r="GN28" s="1">
        <f t="shared" si="6"/>
        <v>11</v>
      </c>
      <c r="GO28" s="1">
        <f t="shared" si="6"/>
        <v>10</v>
      </c>
      <c r="GP28" s="1">
        <f t="shared" si="6"/>
        <v>9</v>
      </c>
      <c r="GQ28" s="1">
        <f t="shared" si="6"/>
        <v>8</v>
      </c>
      <c r="GR28" s="1">
        <f t="shared" si="6"/>
        <v>7</v>
      </c>
      <c r="GS28" s="1">
        <f t="shared" si="6"/>
        <v>6</v>
      </c>
      <c r="GT28" s="1">
        <f t="shared" si="6"/>
        <v>5</v>
      </c>
      <c r="GU28" s="1">
        <f t="shared" si="6"/>
        <v>4</v>
      </c>
      <c r="GV28" s="1">
        <f t="shared" si="6"/>
        <v>3</v>
      </c>
      <c r="GW28" s="1">
        <f t="shared" si="6"/>
        <v>2</v>
      </c>
      <c r="GX28" s="1">
        <f t="shared" si="6"/>
        <v>1</v>
      </c>
      <c r="GY28" s="1">
        <f>IF(OR(GY3="",JH3=""),0,MIN(24,JH28+1))</f>
        <v>0</v>
      </c>
      <c r="GZ28" s="1">
        <f t="shared" ref="GZ28:HH28" si="7">IF(OR(GZ3="",HA3=""),0,MIN(24,HA28+1))</f>
        <v>0</v>
      </c>
      <c r="HA28" s="1">
        <f t="shared" si="7"/>
        <v>0</v>
      </c>
      <c r="HB28" s="1">
        <f t="shared" si="7"/>
        <v>0</v>
      </c>
      <c r="HC28" s="1">
        <f t="shared" si="7"/>
        <v>0</v>
      </c>
      <c r="HD28" s="1">
        <f t="shared" si="7"/>
        <v>0</v>
      </c>
      <c r="HE28" s="1">
        <f t="shared" si="7"/>
        <v>0</v>
      </c>
      <c r="HF28" s="1">
        <f t="shared" si="7"/>
        <v>0</v>
      </c>
      <c r="HG28" s="1">
        <f t="shared" si="7"/>
        <v>0</v>
      </c>
      <c r="HH28" s="1">
        <f t="shared" si="7"/>
        <v>0</v>
      </c>
      <c r="HI28" s="1">
        <f>IF(OR(HI3="",JR3=""),0,MIN(24,JR28+1))</f>
        <v>0</v>
      </c>
      <c r="HJ28" s="1">
        <f t="shared" ref="HJ28:HR28" si="8">IF(OR(HJ3="",HK3=""),0,MIN(24,HK28+1))</f>
        <v>0</v>
      </c>
      <c r="HK28" s="1">
        <f t="shared" si="8"/>
        <v>0</v>
      </c>
      <c r="HL28" s="1">
        <f t="shared" si="8"/>
        <v>0</v>
      </c>
      <c r="HM28" s="1">
        <f t="shared" si="8"/>
        <v>0</v>
      </c>
      <c r="HN28" s="1">
        <f t="shared" si="8"/>
        <v>0</v>
      </c>
      <c r="HO28" s="1">
        <f t="shared" si="8"/>
        <v>0</v>
      </c>
      <c r="HP28" s="1">
        <f t="shared" si="8"/>
        <v>0</v>
      </c>
      <c r="HQ28" s="1">
        <f t="shared" si="8"/>
        <v>0</v>
      </c>
      <c r="HR28" s="1">
        <f t="shared" si="8"/>
        <v>0</v>
      </c>
      <c r="HS28" s="1">
        <f>IF(OR(HS3="",KB3=""),0,MIN(24,KB28+1))</f>
        <v>0</v>
      </c>
      <c r="HT28" s="1">
        <f t="shared" ref="HT28:IB28" si="9">IF(OR(HT3="",HU3=""),0,MIN(24,HU28+1))</f>
        <v>0</v>
      </c>
      <c r="HU28" s="1">
        <f t="shared" si="9"/>
        <v>0</v>
      </c>
      <c r="HV28" s="1">
        <f t="shared" si="9"/>
        <v>0</v>
      </c>
      <c r="HW28" s="1">
        <f t="shared" si="9"/>
        <v>0</v>
      </c>
      <c r="HX28" s="1">
        <f t="shared" si="9"/>
        <v>0</v>
      </c>
      <c r="HY28" s="1">
        <f t="shared" si="9"/>
        <v>0</v>
      </c>
      <c r="HZ28" s="1">
        <f t="shared" si="9"/>
        <v>0</v>
      </c>
      <c r="IA28" s="1">
        <f t="shared" si="9"/>
        <v>0</v>
      </c>
      <c r="IB28" s="1">
        <f t="shared" si="9"/>
        <v>0</v>
      </c>
      <c r="IC28" s="1">
        <f>IF(OR(IC3="",KL3=""),0,MIN(24,KL28+1))</f>
        <v>0</v>
      </c>
      <c r="ID28" s="1">
        <f t="shared" ref="ID28:IL28" si="10">IF(OR(ID3="",IE3=""),0,MIN(24,IE28+1))</f>
        <v>0</v>
      </c>
      <c r="IE28" s="1">
        <f t="shared" si="10"/>
        <v>0</v>
      </c>
      <c r="IF28" s="1">
        <f t="shared" si="10"/>
        <v>0</v>
      </c>
      <c r="IG28" s="1">
        <f t="shared" si="10"/>
        <v>0</v>
      </c>
      <c r="IH28" s="1">
        <f t="shared" si="10"/>
        <v>0</v>
      </c>
      <c r="II28" s="1">
        <f t="shared" si="10"/>
        <v>0</v>
      </c>
      <c r="IJ28" s="1">
        <f t="shared" si="10"/>
        <v>0</v>
      </c>
      <c r="IK28" s="1">
        <f t="shared" si="10"/>
        <v>0</v>
      </c>
      <c r="IL28" s="1">
        <f t="shared" si="10"/>
        <v>0</v>
      </c>
      <c r="IM28" s="1">
        <f>IF(OR(IM3="",KV3=""),0,MIN(24,KV28+1))</f>
        <v>0</v>
      </c>
      <c r="IN28" s="1">
        <f t="shared" ref="IN28:IV28" si="11">IF(OR(IN3="",IO3=""),0,MIN(24,IO28+1))</f>
        <v>0</v>
      </c>
      <c r="IO28" s="1">
        <f t="shared" si="11"/>
        <v>0</v>
      </c>
      <c r="IP28" s="1">
        <f t="shared" si="11"/>
        <v>0</v>
      </c>
      <c r="IQ28" s="1">
        <f t="shared" si="11"/>
        <v>0</v>
      </c>
      <c r="IR28" s="1">
        <f t="shared" si="11"/>
        <v>0</v>
      </c>
      <c r="IS28" s="1">
        <f t="shared" si="11"/>
        <v>0</v>
      </c>
      <c r="IT28" s="1">
        <f t="shared" si="11"/>
        <v>0</v>
      </c>
      <c r="IU28" s="1">
        <f t="shared" si="11"/>
        <v>0</v>
      </c>
      <c r="IV28" s="1">
        <f t="shared" si="11"/>
        <v>0</v>
      </c>
      <c r="IW28" s="1">
        <f>IF(OR(IW3="",LF3=""),0,MIN(24,LF28+1))</f>
        <v>0</v>
      </c>
      <c r="IX28" s="1">
        <f t="shared" ref="IX28:JF28" si="12">IF(OR(IX3="",IY3=""),0,MIN(24,IY28+1))</f>
        <v>0</v>
      </c>
      <c r="IY28" s="1">
        <f t="shared" si="12"/>
        <v>0</v>
      </c>
      <c r="IZ28" s="1">
        <f t="shared" si="12"/>
        <v>0</v>
      </c>
      <c r="JA28" s="1">
        <f t="shared" si="12"/>
        <v>0</v>
      </c>
      <c r="JB28" s="1">
        <f t="shared" si="12"/>
        <v>0</v>
      </c>
      <c r="JC28" s="1">
        <f t="shared" si="12"/>
        <v>0</v>
      </c>
      <c r="JD28" s="1">
        <f t="shared" si="12"/>
        <v>0</v>
      </c>
      <c r="JE28" s="1">
        <f t="shared" si="12"/>
        <v>0</v>
      </c>
      <c r="JF28" s="1">
        <f t="shared" si="12"/>
        <v>0</v>
      </c>
      <c r="JG28" s="1">
        <f>IF(OR(JG3="",LP3=""),0,MIN(24,LP28+1))</f>
        <v>0</v>
      </c>
      <c r="JH28" s="1">
        <f>IF(OR(JH3="",JI3=""),0,MIN(24,JI28+1))</f>
        <v>0</v>
      </c>
      <c r="LY28" s="1"/>
    </row>
    <row r="29" spans="1:337" ht="15.75" x14ac:dyDescent="0.25">
      <c r="A29" s="3" t="s">
        <v>1</v>
      </c>
      <c r="B29" s="7">
        <v>37986</v>
      </c>
      <c r="C29" s="7">
        <v>38017</v>
      </c>
      <c r="D29" s="7">
        <v>38046</v>
      </c>
      <c r="E29" s="7">
        <v>38077</v>
      </c>
      <c r="F29" s="7">
        <v>38107</v>
      </c>
      <c r="G29" s="7">
        <v>38138</v>
      </c>
      <c r="H29" s="7">
        <v>38168</v>
      </c>
      <c r="I29" s="7">
        <v>38199</v>
      </c>
      <c r="J29" s="7">
        <v>38230</v>
      </c>
      <c r="K29" s="7">
        <v>38260</v>
      </c>
      <c r="L29" s="7">
        <v>38291</v>
      </c>
      <c r="M29" s="7">
        <v>38321</v>
      </c>
      <c r="N29" s="7">
        <v>38352</v>
      </c>
      <c r="O29" s="7">
        <v>38383</v>
      </c>
      <c r="P29" s="7">
        <v>38411</v>
      </c>
      <c r="Q29" s="7">
        <v>38442</v>
      </c>
      <c r="R29" s="7">
        <v>38472</v>
      </c>
      <c r="S29" s="7">
        <v>38503</v>
      </c>
      <c r="T29" s="7">
        <v>38533</v>
      </c>
      <c r="U29" s="7">
        <v>38564</v>
      </c>
      <c r="V29" s="7">
        <v>38595</v>
      </c>
      <c r="W29" s="7">
        <v>38625</v>
      </c>
      <c r="X29" s="7">
        <v>38656</v>
      </c>
      <c r="Y29" s="7">
        <v>38686</v>
      </c>
      <c r="Z29" s="7">
        <v>38717</v>
      </c>
      <c r="AA29" s="7">
        <v>38748</v>
      </c>
      <c r="AB29" s="7">
        <v>38776</v>
      </c>
      <c r="AC29" s="7">
        <v>38807</v>
      </c>
      <c r="AD29" s="7">
        <v>38837</v>
      </c>
      <c r="AE29" s="7">
        <v>38868</v>
      </c>
      <c r="AF29" s="7">
        <v>38898</v>
      </c>
      <c r="AG29" s="7">
        <v>38929</v>
      </c>
      <c r="AH29" s="7">
        <v>38960</v>
      </c>
      <c r="AI29" s="7">
        <v>38990</v>
      </c>
      <c r="AJ29" s="7">
        <v>39021</v>
      </c>
      <c r="AK29" s="7">
        <v>39051</v>
      </c>
      <c r="AL29" s="7">
        <v>39082</v>
      </c>
      <c r="AM29" s="7">
        <v>39113</v>
      </c>
      <c r="AN29" s="7">
        <v>39141</v>
      </c>
      <c r="AO29" s="7">
        <v>39172</v>
      </c>
      <c r="AP29" s="7">
        <v>39202</v>
      </c>
      <c r="AQ29" s="7">
        <v>39233</v>
      </c>
      <c r="AR29" s="7">
        <v>39263</v>
      </c>
      <c r="AS29" s="7">
        <v>39294</v>
      </c>
      <c r="AT29" s="7">
        <v>39325</v>
      </c>
      <c r="AU29" s="7">
        <v>39355</v>
      </c>
      <c r="AV29" s="7">
        <v>39386</v>
      </c>
      <c r="AW29" s="7">
        <v>39416</v>
      </c>
      <c r="AX29" s="7">
        <v>39447</v>
      </c>
      <c r="AY29" s="7">
        <v>39478</v>
      </c>
      <c r="AZ29" s="7">
        <v>39507</v>
      </c>
      <c r="BA29" s="7">
        <v>39538</v>
      </c>
      <c r="BB29" s="7">
        <v>39568</v>
      </c>
      <c r="BC29" s="7">
        <v>39599</v>
      </c>
      <c r="BD29" s="7">
        <v>39629</v>
      </c>
      <c r="BE29" s="7">
        <v>39660</v>
      </c>
      <c r="BF29" s="7">
        <v>39691</v>
      </c>
      <c r="BG29" s="7">
        <v>39721</v>
      </c>
      <c r="BH29" s="7">
        <v>39752</v>
      </c>
      <c r="BI29" s="7">
        <v>39782</v>
      </c>
      <c r="BJ29" s="7">
        <v>39813</v>
      </c>
      <c r="BK29" s="7">
        <v>39844</v>
      </c>
      <c r="BL29" s="7">
        <v>39872</v>
      </c>
      <c r="BM29" s="7">
        <v>39903</v>
      </c>
      <c r="BN29" s="7">
        <v>39933</v>
      </c>
      <c r="BO29" s="7">
        <v>39964</v>
      </c>
      <c r="BP29" s="7">
        <v>39994</v>
      </c>
      <c r="BQ29" s="7">
        <v>40025</v>
      </c>
      <c r="BR29" s="7">
        <v>40056</v>
      </c>
      <c r="BS29" s="7">
        <v>40086</v>
      </c>
      <c r="BT29" s="7">
        <v>40117</v>
      </c>
      <c r="BU29" s="7">
        <v>40147</v>
      </c>
      <c r="BV29" s="7">
        <v>40178</v>
      </c>
      <c r="BW29" s="7">
        <v>40209</v>
      </c>
      <c r="BX29" s="7">
        <v>40237</v>
      </c>
      <c r="BY29" s="7">
        <v>40268</v>
      </c>
      <c r="BZ29" s="7">
        <v>40298</v>
      </c>
      <c r="CA29" s="7">
        <v>40329</v>
      </c>
      <c r="CB29" s="7">
        <v>40359</v>
      </c>
      <c r="CC29" s="7">
        <v>40390</v>
      </c>
      <c r="CD29" s="7">
        <v>40421</v>
      </c>
      <c r="CE29" s="7">
        <v>40451</v>
      </c>
      <c r="CF29" s="7">
        <v>40482</v>
      </c>
      <c r="CG29" s="7">
        <v>40512</v>
      </c>
      <c r="CH29" s="7">
        <v>40543</v>
      </c>
      <c r="CI29" s="7">
        <v>40574</v>
      </c>
      <c r="CJ29" s="7">
        <v>40602</v>
      </c>
      <c r="CK29" s="7">
        <v>40633</v>
      </c>
      <c r="CL29" s="7">
        <v>40663</v>
      </c>
      <c r="CM29" s="7">
        <v>40694</v>
      </c>
      <c r="CN29" s="7">
        <v>40724</v>
      </c>
      <c r="CO29" s="7">
        <v>40755</v>
      </c>
      <c r="CP29" s="7">
        <v>40786</v>
      </c>
      <c r="CQ29" s="7">
        <v>40816</v>
      </c>
      <c r="CR29" s="7">
        <v>40847</v>
      </c>
      <c r="CS29" s="7">
        <v>40877</v>
      </c>
      <c r="CT29" s="7">
        <v>40908</v>
      </c>
      <c r="CU29" s="7">
        <v>40939</v>
      </c>
      <c r="CV29" s="8">
        <v>40968</v>
      </c>
      <c r="CW29" s="7">
        <v>40999</v>
      </c>
      <c r="CX29" s="7">
        <v>41029</v>
      </c>
      <c r="CY29" s="7">
        <v>41060</v>
      </c>
      <c r="CZ29" s="7">
        <v>41090</v>
      </c>
      <c r="DA29" s="7">
        <v>41121</v>
      </c>
      <c r="DB29" s="7">
        <v>41152</v>
      </c>
      <c r="DC29" s="7">
        <v>41182</v>
      </c>
      <c r="DD29" s="7">
        <v>41213</v>
      </c>
      <c r="DE29" s="7">
        <v>41243</v>
      </c>
      <c r="DF29" s="7">
        <v>41274</v>
      </c>
      <c r="DG29" s="7">
        <v>41305</v>
      </c>
      <c r="DH29" s="7">
        <v>41333</v>
      </c>
      <c r="DI29" s="7">
        <v>41364</v>
      </c>
      <c r="DJ29" s="7">
        <v>41394</v>
      </c>
      <c r="DK29" s="7">
        <v>41425</v>
      </c>
      <c r="DL29" s="7">
        <v>41455</v>
      </c>
      <c r="DM29" s="7">
        <v>41486</v>
      </c>
      <c r="DN29" s="7">
        <v>41517</v>
      </c>
      <c r="DO29" s="7">
        <v>41547</v>
      </c>
      <c r="DP29" s="7">
        <v>41578</v>
      </c>
      <c r="DQ29" s="7">
        <v>41608</v>
      </c>
      <c r="DR29" s="7">
        <v>41639</v>
      </c>
      <c r="DS29" s="7">
        <v>41670</v>
      </c>
      <c r="DT29" s="7">
        <v>41698</v>
      </c>
      <c r="DU29" s="7">
        <v>41729</v>
      </c>
      <c r="DV29" s="7">
        <v>41759</v>
      </c>
      <c r="DW29" s="7">
        <v>41790</v>
      </c>
      <c r="DX29" s="7">
        <v>41820</v>
      </c>
      <c r="DY29" s="7">
        <v>41851</v>
      </c>
      <c r="DZ29" s="7">
        <v>41882</v>
      </c>
      <c r="EA29" s="7">
        <v>41912</v>
      </c>
      <c r="EB29" s="7">
        <v>41943</v>
      </c>
      <c r="EC29" s="7">
        <v>41973</v>
      </c>
      <c r="ED29" s="7">
        <v>42004</v>
      </c>
      <c r="EE29" s="7">
        <v>42035</v>
      </c>
      <c r="EF29" s="7">
        <v>42063</v>
      </c>
      <c r="EG29" s="7">
        <v>42094</v>
      </c>
      <c r="EH29" s="7">
        <v>42124</v>
      </c>
      <c r="EI29" s="7">
        <v>42155</v>
      </c>
      <c r="EJ29" s="7">
        <v>42185</v>
      </c>
      <c r="EK29" s="7">
        <v>42216</v>
      </c>
      <c r="EL29" s="7">
        <v>42247</v>
      </c>
      <c r="EM29" s="7">
        <v>42277</v>
      </c>
      <c r="EN29" s="7">
        <v>42308</v>
      </c>
      <c r="EO29" s="7">
        <v>42338</v>
      </c>
      <c r="EP29" s="7">
        <v>42369</v>
      </c>
      <c r="EQ29" s="7">
        <v>42400</v>
      </c>
      <c r="ER29" s="7">
        <v>42429</v>
      </c>
      <c r="ES29" s="7">
        <v>42460</v>
      </c>
      <c r="ET29" s="7">
        <v>42490</v>
      </c>
      <c r="EU29" s="7">
        <v>42521</v>
      </c>
      <c r="EV29" s="7">
        <v>42551</v>
      </c>
      <c r="EW29" s="7">
        <v>42582</v>
      </c>
      <c r="EX29" s="7">
        <v>42613</v>
      </c>
      <c r="EY29" s="7">
        <v>42643</v>
      </c>
      <c r="EZ29" s="7">
        <v>42674</v>
      </c>
      <c r="FA29" s="7">
        <v>42704</v>
      </c>
      <c r="FB29" s="7">
        <v>42735</v>
      </c>
      <c r="FC29" s="7">
        <v>42766</v>
      </c>
      <c r="FD29" s="7">
        <v>42794</v>
      </c>
      <c r="FE29" s="7">
        <v>42825</v>
      </c>
      <c r="FF29" s="7">
        <v>42855</v>
      </c>
      <c r="FG29" s="7">
        <v>42886</v>
      </c>
      <c r="FH29" s="7">
        <v>42916</v>
      </c>
      <c r="FI29" s="7">
        <v>42947</v>
      </c>
      <c r="FJ29" s="7">
        <v>42978</v>
      </c>
      <c r="FK29" s="7">
        <v>43008</v>
      </c>
      <c r="FL29" s="7">
        <v>43039</v>
      </c>
      <c r="FM29" s="7">
        <v>43069</v>
      </c>
      <c r="FN29" s="7">
        <v>43100</v>
      </c>
      <c r="FO29" s="7">
        <v>43131</v>
      </c>
      <c r="FP29" s="7">
        <v>43159</v>
      </c>
      <c r="FQ29" s="7">
        <v>43190</v>
      </c>
      <c r="FR29" s="7">
        <v>43220</v>
      </c>
      <c r="FS29" s="7">
        <v>43251</v>
      </c>
      <c r="FT29" s="7">
        <v>43281</v>
      </c>
      <c r="FU29" s="7">
        <v>43312</v>
      </c>
      <c r="FV29" s="7">
        <v>43343</v>
      </c>
      <c r="FW29" s="7">
        <v>43373</v>
      </c>
      <c r="FX29" s="7">
        <v>43404</v>
      </c>
      <c r="FY29" s="7">
        <v>43434</v>
      </c>
      <c r="FZ29" s="7">
        <v>43465</v>
      </c>
      <c r="GA29" s="7">
        <v>43496</v>
      </c>
      <c r="GB29" s="7">
        <v>43524</v>
      </c>
      <c r="GC29" s="7">
        <v>43555</v>
      </c>
      <c r="GD29" s="7">
        <v>43585</v>
      </c>
      <c r="GE29" s="7">
        <v>43616</v>
      </c>
      <c r="GF29" s="7">
        <v>43646</v>
      </c>
      <c r="GG29" s="7">
        <v>43677</v>
      </c>
      <c r="GH29" s="7">
        <v>43708</v>
      </c>
      <c r="GI29" s="7">
        <v>43738</v>
      </c>
      <c r="GJ29" s="7">
        <v>43769</v>
      </c>
      <c r="GK29" s="7">
        <v>43799</v>
      </c>
      <c r="GL29" s="7">
        <v>43830</v>
      </c>
      <c r="GM29" s="7">
        <v>43861</v>
      </c>
      <c r="GN29" s="7">
        <v>43890</v>
      </c>
      <c r="GO29" s="7">
        <v>43921</v>
      </c>
      <c r="GP29" s="7">
        <v>43951</v>
      </c>
      <c r="GQ29" s="7">
        <v>43982</v>
      </c>
      <c r="GR29" s="7">
        <v>44012</v>
      </c>
      <c r="GS29" s="7">
        <v>44043</v>
      </c>
      <c r="GT29" s="7">
        <v>44074</v>
      </c>
      <c r="GU29" s="7">
        <v>44104</v>
      </c>
      <c r="GV29" s="7">
        <v>44135</v>
      </c>
      <c r="GW29" s="7">
        <v>44165</v>
      </c>
      <c r="GX29" s="7">
        <v>44196</v>
      </c>
      <c r="GY29" s="7">
        <v>44227</v>
      </c>
      <c r="GZ29" s="7">
        <v>44255</v>
      </c>
      <c r="HA29" s="7">
        <v>44286</v>
      </c>
      <c r="HB29" s="7">
        <v>44316</v>
      </c>
      <c r="HC29" s="7">
        <v>44347</v>
      </c>
      <c r="HD29" s="7">
        <v>44377</v>
      </c>
      <c r="HE29" s="7">
        <v>44408</v>
      </c>
      <c r="HF29" s="7">
        <v>44439</v>
      </c>
      <c r="HG29" s="7">
        <v>44469</v>
      </c>
      <c r="HH29" s="7">
        <v>44500</v>
      </c>
      <c r="HI29" s="7">
        <v>44530</v>
      </c>
      <c r="HJ29" s="7">
        <v>44561</v>
      </c>
      <c r="HK29" s="7">
        <v>44592</v>
      </c>
      <c r="HL29" s="7">
        <v>44620</v>
      </c>
      <c r="HM29" s="7">
        <v>44651</v>
      </c>
      <c r="HN29" s="7">
        <v>44681</v>
      </c>
      <c r="HO29" s="7">
        <v>44712</v>
      </c>
      <c r="HP29" s="7">
        <v>44742</v>
      </c>
      <c r="HQ29" s="7">
        <v>44773</v>
      </c>
      <c r="HR29" s="7">
        <v>44804</v>
      </c>
      <c r="HS29" s="7">
        <v>44834</v>
      </c>
      <c r="HT29" s="7">
        <v>44865</v>
      </c>
      <c r="HU29" s="7">
        <v>44895</v>
      </c>
      <c r="HV29" s="7">
        <v>44926</v>
      </c>
      <c r="HW29" s="7">
        <v>44957</v>
      </c>
      <c r="HX29" s="7">
        <v>44985</v>
      </c>
      <c r="HY29" s="7">
        <v>45016</v>
      </c>
      <c r="HZ29" s="7">
        <v>45046</v>
      </c>
      <c r="IA29" s="7">
        <v>45077</v>
      </c>
      <c r="IB29" s="7">
        <v>45107</v>
      </c>
      <c r="IC29" s="7">
        <v>45138</v>
      </c>
      <c r="ID29" s="7">
        <v>45169</v>
      </c>
      <c r="IE29" s="7">
        <v>45199</v>
      </c>
      <c r="IF29" s="7">
        <v>45230</v>
      </c>
      <c r="IG29" s="7">
        <v>45260</v>
      </c>
      <c r="IH29" s="7">
        <v>45291</v>
      </c>
      <c r="II29" s="7">
        <v>45322</v>
      </c>
      <c r="IJ29" s="7">
        <v>45351</v>
      </c>
      <c r="IK29" s="7">
        <v>45382</v>
      </c>
      <c r="IL29" s="7">
        <v>45412</v>
      </c>
      <c r="IM29" s="7">
        <v>45443</v>
      </c>
      <c r="IN29" s="7">
        <v>45473</v>
      </c>
      <c r="IO29" s="7">
        <v>45504</v>
      </c>
      <c r="IP29" s="7">
        <v>45535</v>
      </c>
      <c r="IQ29" s="7">
        <v>45565</v>
      </c>
      <c r="IR29" s="7">
        <v>45596</v>
      </c>
      <c r="IS29" s="7">
        <v>45626</v>
      </c>
      <c r="IT29" s="7">
        <v>45657</v>
      </c>
      <c r="IU29" s="7">
        <v>45688</v>
      </c>
      <c r="IV29" s="7">
        <v>45716</v>
      </c>
      <c r="IW29" s="7">
        <v>45747</v>
      </c>
      <c r="IX29" s="7">
        <v>45777</v>
      </c>
      <c r="IY29" s="7">
        <v>45808</v>
      </c>
      <c r="IZ29" s="7">
        <v>45838</v>
      </c>
      <c r="JA29" s="7">
        <v>45869</v>
      </c>
      <c r="JB29" s="7">
        <v>45900</v>
      </c>
      <c r="JC29" s="7">
        <v>45930</v>
      </c>
      <c r="JD29" s="7">
        <v>45961</v>
      </c>
      <c r="JE29" s="7">
        <v>45991</v>
      </c>
      <c r="JF29" s="7">
        <v>46022</v>
      </c>
      <c r="JG29" s="7">
        <v>46053</v>
      </c>
      <c r="JH29" s="7">
        <v>46081</v>
      </c>
      <c r="JI29" s="10" t="s">
        <v>2</v>
      </c>
      <c r="JJ29" s="11" t="s">
        <v>3</v>
      </c>
      <c r="JK29" s="10" t="s">
        <v>4</v>
      </c>
      <c r="JL29" s="12" t="s">
        <v>5</v>
      </c>
      <c r="JM29" s="10" t="s">
        <v>6</v>
      </c>
      <c r="JN29" s="19">
        <v>1.28</v>
      </c>
      <c r="LY29" s="1"/>
    </row>
    <row r="30" spans="1:337" x14ac:dyDescent="0.25">
      <c r="A30" s="4">
        <v>1</v>
      </c>
      <c r="B30" s="9">
        <f ca="1">IF(OR(B3="",B$28&lt;$A30),"",B3/OFFSET(SSAutESP!$A$2,MATCH(B$29,SSAutESP!$A$2:$A$500)+$A30-1,1)-1)</f>
        <v>-1.1403496809411218E-3</v>
      </c>
      <c r="C30" s="9">
        <f ca="1">IF(OR(C3="",C$28&lt;$A30),"",C3/OFFSET(SSAutESP!$A$2,MATCH(C$29,SSAutESP!$A$2:$A$500)+$A30-1,1)-1)</f>
        <v>-8.1565986515874656E-4</v>
      </c>
      <c r="D30" s="9">
        <f ca="1">IF(OR(D3="",D$28&lt;$A30),"",D3/OFFSET(SSAutESP!$A$2,MATCH(D$29,SSAutESP!$A$2:$A$500)+$A30-1,1)-1)</f>
        <v>-6.4785672657297066E-4</v>
      </c>
      <c r="E30" s="9">
        <f ca="1">IF(OR(E3="",E$28&lt;$A30),"",E3/OFFSET(SSAutESP!$A$2,MATCH(E$29,SSAutESP!$A$2:$A$500)+$A30-1,1)-1)</f>
        <v>3.8908560454631314E-4</v>
      </c>
      <c r="F30" s="9">
        <f ca="1">IF(OR(F3="",F$28&lt;$A30),"",F3/OFFSET(SSAutESP!$A$2,MATCH(F$29,SSAutESP!$A$2:$A$500)+$A30-1,1)-1)</f>
        <v>4.7426167454145407E-4</v>
      </c>
      <c r="G30" s="9">
        <f ca="1">IF(OR(G3="",G$28&lt;$A30),"",G3/OFFSET(SSAutESP!$A$2,MATCH(G$29,SSAutESP!$A$2:$A$500)+$A30-1,1)-1)</f>
        <v>-6.4467376235333163E-5</v>
      </c>
      <c r="H30" s="9">
        <f ca="1">IF(OR(H3="",H$28&lt;$A30),"",H3/OFFSET(SSAutESP!$A$2,MATCH(H$29,SSAutESP!$A$2:$A$500)+$A30-1,1)-1)</f>
        <v>6.8368077328084809E-4</v>
      </c>
      <c r="I30" s="9">
        <f ca="1">IF(OR(I3="",I$28&lt;$A30),"",I3/OFFSET(SSAutESP!$A$2,MATCH(I$29,SSAutESP!$A$2:$A$500)+$A30-1,1)-1)</f>
        <v>6.9763433901726124E-4</v>
      </c>
      <c r="J30" s="9">
        <f ca="1">IF(OR(J3="",J$28&lt;$A30),"",J3/OFFSET(SSAutESP!$A$2,MATCH(J$29,SSAutESP!$A$2:$A$500)+$A30-1,1)-1)</f>
        <v>4.5712795334873491E-4</v>
      </c>
      <c r="K30" s="9">
        <f ca="1">IF(OR(K3="",K$28&lt;$A30),"",K3/OFFSET(SSAutESP!$A$2,MATCH(K$29,SSAutESP!$A$2:$A$500)+$A30-1,1)-1)</f>
        <v>-1.0133896829822575E-4</v>
      </c>
      <c r="L30" s="9">
        <f ca="1">IF(OR(L3="",L$28&lt;$A30),"",L3/OFFSET(SSAutESP!$A$2,MATCH(L$29,SSAutESP!$A$2:$A$500)+$A30-1,1)-1)</f>
        <v>-3.6826953115243199E-4</v>
      </c>
      <c r="M30" s="9">
        <f ca="1">IF(OR(M3="",M$28&lt;$A30),"",M3/OFFSET(SSAutESP!$A$2,MATCH(M$29,SSAutESP!$A$2:$A$500)+$A30-1,1)-1)</f>
        <v>-9.3362772635952052E-4</v>
      </c>
      <c r="N30" s="9">
        <f ca="1">IF(OR(N3="",N$28&lt;$A30),"",N3/OFFSET(SSAutESP!$A$2,MATCH(N$29,SSAutESP!$A$2:$A$500)+$A30-1,1)-1)</f>
        <v>1.94012192340276E-4</v>
      </c>
      <c r="O30" s="9">
        <f ca="1">IF(OR(O3="",O$28&lt;$A30),"",O3/OFFSET(SSAutESP!$A$2,MATCH(O$29,SSAutESP!$A$2:$A$500)+$A30-1,1)-1)</f>
        <v>1.2411553355515803E-3</v>
      </c>
      <c r="P30" s="9">
        <f ca="1">IF(OR(P3="",P$28&lt;$A30),"",P3/OFFSET(SSAutESP!$A$2,MATCH(P$29,SSAutESP!$A$2:$A$500)+$A30-1,1)-1)</f>
        <v>4.298533097863988E-4</v>
      </c>
      <c r="Q30" s="9">
        <f ca="1">IF(OR(Q3="",Q$28&lt;$A30),"",Q3/OFFSET(SSAutESP!$A$2,MATCH(Q$29,SSAutESP!$A$2:$A$500)+$A30-1,1)-1)</f>
        <v>6.8696678459589933E-4</v>
      </c>
      <c r="R30" s="9">
        <f ca="1">IF(OR(R3="",R$28&lt;$A30),"",R3/OFFSET(SSAutESP!$A$2,MATCH(R$29,SSAutESP!$A$2:$A$500)+$A30-1,1)-1)</f>
        <v>2.5017371035573888E-4</v>
      </c>
      <c r="S30" s="9">
        <f ca="1">IF(OR(S3="",S$28&lt;$A30),"",S3/OFFSET(SSAutESP!$A$2,MATCH(S$29,SSAutESP!$A$2:$A$500)+$A30-1,1)-1)</f>
        <v>-1.4501907701336414E-4</v>
      </c>
      <c r="T30" s="9">
        <f ca="1">IF(OR(T3="",T$28&lt;$A30),"",T3/OFFSET(SSAutESP!$A$2,MATCH(T$29,SSAutESP!$A$2:$A$500)+$A30-1,1)-1)</f>
        <v>7.4188483876147515E-4</v>
      </c>
      <c r="U30" s="9">
        <f ca="1">IF(OR(U3="",U$28&lt;$A30),"",U3/OFFSET(SSAutESP!$A$2,MATCH(U$29,SSAutESP!$A$2:$A$500)+$A30-1,1)-1)</f>
        <v>2.2763952383275665E-4</v>
      </c>
      <c r="V30" s="9">
        <f ca="1">IF(OR(V3="",V$28&lt;$A30),"",V3/OFFSET(SSAutESP!$A$2,MATCH(V$29,SSAutESP!$A$2:$A$500)+$A30-1,1)-1)</f>
        <v>-3.8105178066449863E-4</v>
      </c>
      <c r="W30" s="9">
        <f ca="1">IF(OR(W3="",W$28&lt;$A30),"",W3/OFFSET(SSAutESP!$A$2,MATCH(W$29,SSAutESP!$A$2:$A$500)+$A30-1,1)-1)</f>
        <v>-4.0047190287606504E-5</v>
      </c>
      <c r="X30" s="9">
        <f ca="1">IF(OR(X3="",X$28&lt;$A30),"",X3/OFFSET(SSAutESP!$A$2,MATCH(X$29,SSAutESP!$A$2:$A$500)+$A30-1,1)-1)</f>
        <v>-2.7954658113005237E-4</v>
      </c>
      <c r="Y30" s="9">
        <f ca="1">IF(OR(Y3="",Y$28&lt;$A30),"",Y3/OFFSET(SSAutESP!$A$2,MATCH(Y$29,SSAutESP!$A$2:$A$500)+$A30-1,1)-1)</f>
        <v>-2.2183276218867842E-4</v>
      </c>
      <c r="Z30" s="9">
        <f ca="1">IF(OR(Z3="",Z$28&lt;$A30),"",Z3/OFFSET(SSAutESP!$A$2,MATCH(Z$29,SSAutESP!$A$2:$A$500)+$A30-1,1)-1)</f>
        <v>3.0590204211788929E-4</v>
      </c>
      <c r="AA30" s="9">
        <f ca="1">IF(OR(AA3="",AA$28&lt;$A30),"",AA3/OFFSET(SSAutESP!$A$2,MATCH(AA$29,SSAutESP!$A$2:$A$500)+$A30-1,1)-1)</f>
        <v>-1.0982732182684973E-4</v>
      </c>
      <c r="AB30" s="9">
        <f ca="1">IF(OR(AB3="",AB$28&lt;$A30),"",AB3/OFFSET(SSAutESP!$A$2,MATCH(AB$29,SSAutESP!$A$2:$A$500)+$A30-1,1)-1)</f>
        <v>7.647823149430355E-4</v>
      </c>
      <c r="AC30" s="9">
        <f ca="1">IF(OR(AC3="",AC$28&lt;$A30),"",AC3/OFFSET(SSAutESP!$A$2,MATCH(AC$29,SSAutESP!$A$2:$A$500)+$A30-1,1)-1)</f>
        <v>-2.0894599926923885E-4</v>
      </c>
      <c r="AD30" s="9">
        <f ca="1">IF(OR(AD3="",AD$28&lt;$A30),"",AD3/OFFSET(SSAutESP!$A$2,MATCH(AD$29,SSAutESP!$A$2:$A$500)+$A30-1,1)-1)</f>
        <v>-5.8894011997101536E-4</v>
      </c>
      <c r="AE30" s="9">
        <f ca="1">IF(OR(AE3="",AE$28&lt;$A30),"",AE3/OFFSET(SSAutESP!$A$2,MATCH(AE$29,SSAutESP!$A$2:$A$500)+$A30-1,1)-1)</f>
        <v>4.0523860626517916E-4</v>
      </c>
      <c r="AF30" s="9">
        <f ca="1">IF(OR(AF3="",AF$28&lt;$A30),"",AF3/OFFSET(SSAutESP!$A$2,MATCH(AF$29,SSAutESP!$A$2:$A$500)+$A30-1,1)-1)</f>
        <v>2.0580655845514606E-4</v>
      </c>
      <c r="AG30" s="9">
        <f ca="1">IF(OR(AG3="",AG$28&lt;$A30),"",AG3/OFFSET(SSAutESP!$A$2,MATCH(AG$29,SSAutESP!$A$2:$A$500)+$A30-1,1)-1)</f>
        <v>3.5598031772821059E-4</v>
      </c>
      <c r="AH30" s="9">
        <f ca="1">IF(OR(AH3="",AH$28&lt;$A30),"",AH3/OFFSET(SSAutESP!$A$2,MATCH(AH$29,SSAutESP!$A$2:$A$500)+$A30-1,1)-1)</f>
        <v>-8.2331350950581861E-4</v>
      </c>
      <c r="AI30" s="9">
        <f ca="1">IF(OR(AI3="",AI$28&lt;$A30),"",AI3/OFFSET(SSAutESP!$A$2,MATCH(AI$29,SSAutESP!$A$2:$A$500)+$A30-1,1)-1)</f>
        <v>-9.8839479003254294E-4</v>
      </c>
      <c r="AJ30" s="9">
        <f ca="1">IF(OR(AJ3="",AJ$28&lt;$A30),"",AJ3/OFFSET(SSAutESP!$A$2,MATCH(AJ$29,SSAutESP!$A$2:$A$500)+$A30-1,1)-1)</f>
        <v>1.070671948797397E-4</v>
      </c>
      <c r="AK30" s="9">
        <f ca="1">IF(OR(AK3="",AK$28&lt;$A30),"",AK3/OFFSET(SSAutESP!$A$2,MATCH(AK$29,SSAutESP!$A$2:$A$500)+$A30-1,1)-1)</f>
        <v>-6.551393750746648E-4</v>
      </c>
      <c r="AL30" s="9">
        <f ca="1">IF(OR(AL3="",AL$28&lt;$A30),"",AL3/OFFSET(SSAutESP!$A$2,MATCH(AL$29,SSAutESP!$A$2:$A$500)+$A30-1,1)-1)</f>
        <v>-4.0768959358195023E-4</v>
      </c>
      <c r="AM30" s="9">
        <f ca="1">IF(OR(AM3="",AM$28&lt;$A30),"",AM3/OFFSET(SSAutESP!$A$2,MATCH(AM$29,SSAutESP!$A$2:$A$500)+$A30-1,1)-1)</f>
        <v>-6.7444719460652003E-4</v>
      </c>
      <c r="AN30" s="9">
        <f ca="1">IF(OR(AN3="",AN$28&lt;$A30),"",AN3/OFFSET(SSAutESP!$A$2,MATCH(AN$29,SSAutESP!$A$2:$A$500)+$A30-1,1)-1)</f>
        <v>-7.264650359445346E-4</v>
      </c>
      <c r="AO30" s="9">
        <f ca="1">IF(OR(AO3="",AO$28&lt;$A30),"",AO3/OFFSET(SSAutESP!$A$2,MATCH(AO$29,SSAutESP!$A$2:$A$500)+$A30-1,1)-1)</f>
        <v>-1.8334472502767873E-5</v>
      </c>
      <c r="AP30" s="9">
        <f ca="1">IF(OR(AP3="",AP$28&lt;$A30),"",AP3/OFFSET(SSAutESP!$A$2,MATCH(AP$29,SSAutESP!$A$2:$A$500)+$A30-1,1)-1)</f>
        <v>6.8394871582944106E-5</v>
      </c>
      <c r="AQ30" s="9">
        <f ca="1">IF(OR(AQ3="",AQ$28&lt;$A30),"",AQ3/OFFSET(SSAutESP!$A$2,MATCH(AQ$29,SSAutESP!$A$2:$A$500)+$A30-1,1)-1)</f>
        <v>-4.9733852856115313E-4</v>
      </c>
      <c r="AR30" s="9">
        <f ca="1">IF(OR(AR3="",AR$28&lt;$A30),"",AR3/OFFSET(SSAutESP!$A$2,MATCH(AR$29,SSAutESP!$A$2:$A$500)+$A30-1,1)-1)</f>
        <v>-2.2137595124083198E-4</v>
      </c>
      <c r="AS30" s="9">
        <f ca="1">IF(OR(AS3="",AS$28&lt;$A30),"",AS3/OFFSET(SSAutESP!$A$2,MATCH(AS$29,SSAutESP!$A$2:$A$500)+$A30-1,1)-1)</f>
        <v>8.6244666719248464E-4</v>
      </c>
      <c r="AT30" s="9">
        <f ca="1">IF(OR(AT3="",AT$28&lt;$A30),"",AT3/OFFSET(SSAutESP!$A$2,MATCH(AT$29,SSAutESP!$A$2:$A$500)+$A30-1,1)-1)</f>
        <v>-5.6468190160297027E-4</v>
      </c>
      <c r="AU30" s="9">
        <f ca="1">IF(OR(AU3="",AU$28&lt;$A30),"",AU3/OFFSET(SSAutESP!$A$2,MATCH(AU$29,SSAutESP!$A$2:$A$500)+$A30-1,1)-1)</f>
        <v>-1.509246144434373E-4</v>
      </c>
      <c r="AV30" s="9">
        <f ca="1">IF(OR(AV3="",AV$28&lt;$A30),"",AV3/OFFSET(SSAutESP!$A$2,MATCH(AV$29,SSAutESP!$A$2:$A$500)+$A30-1,1)-1)</f>
        <v>7.1849336405982456E-4</v>
      </c>
      <c r="AW30" s="9">
        <f ca="1">IF(OR(AW3="",AW$28&lt;$A30),"",AW3/OFFSET(SSAutESP!$A$2,MATCH(AW$29,SSAutESP!$A$2:$A$500)+$A30-1,1)-1)</f>
        <v>8.6438746888672924E-4</v>
      </c>
      <c r="AX30" s="9">
        <f ca="1">IF(OR(AX3="",AX$28&lt;$A30),"",AX3/OFFSET(SSAutESP!$A$2,MATCH(AX$29,SSAutESP!$A$2:$A$500)+$A30-1,1)-1)</f>
        <v>4.0760259474703631E-4</v>
      </c>
      <c r="AY30" s="9">
        <f ca="1">IF(OR(AY3="",AY$28&lt;$A30),"",AY3/OFFSET(SSAutESP!$A$2,MATCH(AY$29,SSAutESP!$A$2:$A$500)+$A30-1,1)-1)</f>
        <v>2.0527072271867564E-3</v>
      </c>
      <c r="AZ30" s="9">
        <f ca="1">IF(OR(AZ3="",AZ$28&lt;$A30),"",AZ3/OFFSET(SSAutESP!$A$2,MATCH(AZ$29,SSAutESP!$A$2:$A$500)+$A30-1,1)-1)</f>
        <v>1.6015173836387842E-3</v>
      </c>
      <c r="BA30" s="9">
        <f ca="1">IF(OR(BA3="",BA$28&lt;$A30),"",BA3/OFFSET(SSAutESP!$A$2,MATCH(BA$29,SSAutESP!$A$2:$A$500)+$A30-1,1)-1)</f>
        <v>2.1490623195090652E-3</v>
      </c>
      <c r="BB30" s="9">
        <f ca="1">IF(OR(BB3="",BB$28&lt;$A30),"",BB3/OFFSET(SSAutESP!$A$2,MATCH(BB$29,SSAutESP!$A$2:$A$500)+$A30-1,1)-1)</f>
        <v>2.24988079972821E-3</v>
      </c>
      <c r="BC30" s="9">
        <f ca="1">IF(OR(BC3="",BC$28&lt;$A30),"",BC3/OFFSET(SSAutESP!$A$2,MATCH(BC$29,SSAutESP!$A$2:$A$500)+$A30-1,1)-1)</f>
        <v>-1.3711988520370699E-4</v>
      </c>
      <c r="BD30" s="9">
        <f ca="1">IF(OR(BD3="",BD$28&lt;$A30),"",BD3/OFFSET(SSAutESP!$A$2,MATCH(BD$29,SSAutESP!$A$2:$A$500)+$A30-1,1)-1)</f>
        <v>9.83494401434859E-4</v>
      </c>
      <c r="BE30" s="9">
        <f ca="1">IF(OR(BE3="",BE$28&lt;$A30),"",BE3/OFFSET(SSAutESP!$A$2,MATCH(BE$29,SSAutESP!$A$2:$A$500)+$A30-1,1)-1)</f>
        <v>1.0394467199530411E-3</v>
      </c>
      <c r="BF30" s="9">
        <f ca="1">IF(OR(BF3="",BF$28&lt;$A30),"",BF3/OFFSET(SSAutESP!$A$2,MATCH(BF$29,SSAutESP!$A$2:$A$500)+$A30-1,1)-1)</f>
        <v>-6.4094421035121307E-4</v>
      </c>
      <c r="BG30" s="9">
        <f ca="1">IF(OR(BG3="",BG$28&lt;$A30),"",BG3/OFFSET(SSAutESP!$A$2,MATCH(BG$29,SSAutESP!$A$2:$A$500)+$A30-1,1)-1)</f>
        <v>2.6779710891546848E-3</v>
      </c>
      <c r="BH30" s="9">
        <f ca="1">IF(OR(BH3="",BH$28&lt;$A30),"",BH3/OFFSET(SSAutESP!$A$2,MATCH(BH$29,SSAutESP!$A$2:$A$500)+$A30-1,1)-1)</f>
        <v>2.5535408265229265E-3</v>
      </c>
      <c r="BI30" s="9">
        <f ca="1">IF(OR(BI3="",BI$28&lt;$A30),"",BI3/OFFSET(SSAutESP!$A$2,MATCH(BI$29,SSAutESP!$A$2:$A$500)+$A30-1,1)-1)</f>
        <v>6.7811762203318082E-4</v>
      </c>
      <c r="BJ30" s="9">
        <f ca="1">IF(OR(BJ3="",BJ$28&lt;$A30),"",BJ3/OFFSET(SSAutESP!$A$2,MATCH(BJ$29,SSAutESP!$A$2:$A$500)+$A30-1,1)-1)</f>
        <v>3.4021005852515884E-3</v>
      </c>
      <c r="BK30" s="9">
        <f ca="1">IF(OR(BK3="",BK$28&lt;$A30),"",BK3/OFFSET(SSAutESP!$A$2,MATCH(BK$29,SSAutESP!$A$2:$A$500)+$A30-1,1)-1)</f>
        <v>1.3065406510668343E-3</v>
      </c>
      <c r="BL30" s="9">
        <f ca="1">IF(OR(BL3="",BL$28&lt;$A30),"",BL3/OFFSET(SSAutESP!$A$2,MATCH(BL$29,SSAutESP!$A$2:$A$500)+$A30-1,1)-1)</f>
        <v>-9.7269589519399791E-4</v>
      </c>
      <c r="BM30" s="9">
        <f ca="1">IF(OR(BM3="",BM$28&lt;$A30),"",BM3/OFFSET(SSAutESP!$A$2,MATCH(BM$29,SSAutESP!$A$2:$A$500)+$A30-1,1)-1)</f>
        <v>-1.5780906387813376E-3</v>
      </c>
      <c r="BN30" s="9">
        <f ca="1">IF(OR(BN3="",BN$28&lt;$A30),"",BN3/OFFSET(SSAutESP!$A$2,MATCH(BN$29,SSAutESP!$A$2:$A$500)+$A30-1,1)-1)</f>
        <v>-1.3925392796566571E-3</v>
      </c>
      <c r="BO30" s="9">
        <f ca="1">IF(OR(BO3="",BO$28&lt;$A30),"",BO3/OFFSET(SSAutESP!$A$2,MATCH(BO$29,SSAutESP!$A$2:$A$500)+$A30-1,1)-1)</f>
        <v>-6.6384665639052098E-4</v>
      </c>
      <c r="BP30" s="9">
        <f ca="1">IF(OR(BP3="",BP$28&lt;$A30),"",BP3/OFFSET(SSAutESP!$A$2,MATCH(BP$29,SSAutESP!$A$2:$A$500)+$A30-1,1)-1)</f>
        <v>8.9081284209813205E-5</v>
      </c>
      <c r="BQ30" s="9">
        <f ca="1">IF(OR(BQ3="",BQ$28&lt;$A30),"",BQ3/OFFSET(SSAutESP!$A$2,MATCH(BQ$29,SSAutESP!$A$2:$A$500)+$A30-1,1)-1)</f>
        <v>-9.6606199432247575E-4</v>
      </c>
      <c r="BR30" s="9">
        <f ca="1">IF(OR(BR3="",BR$28&lt;$A30),"",BR3/OFFSET(SSAutESP!$A$2,MATCH(BR$29,SSAutESP!$A$2:$A$500)+$A30-1,1)-1)</f>
        <v>-2.12553798772952E-3</v>
      </c>
      <c r="BS30" s="9">
        <f ca="1">IF(OR(BS3="",BS$28&lt;$A30),"",BS3/OFFSET(SSAutESP!$A$2,MATCH(BS$29,SSAutESP!$A$2:$A$500)+$A30-1,1)-1)</f>
        <v>5.4586547598334256E-4</v>
      </c>
      <c r="BT30" s="9">
        <f ca="1">IF(OR(BT3="",BT$28&lt;$A30),"",BT3/OFFSET(SSAutESP!$A$2,MATCH(BT$29,SSAutESP!$A$2:$A$500)+$A30-1,1)-1)</f>
        <v>-3.8329127253799999E-4</v>
      </c>
      <c r="BU30" s="9">
        <f ca="1">IF(OR(BU3="",BU$28&lt;$A30),"",BU3/OFFSET(SSAutESP!$A$2,MATCH(BU$29,SSAutESP!$A$2:$A$500)+$A30-1,1)-1)</f>
        <v>-1.4567014496063013E-3</v>
      </c>
      <c r="BV30" s="9">
        <f ca="1">IF(OR(BV3="",BV$28&lt;$A30),"",BV3/OFFSET(SSAutESP!$A$2,MATCH(BV$29,SSAutESP!$A$2:$A$500)+$A30-1,1)-1)</f>
        <v>-1.7002939176924414E-3</v>
      </c>
      <c r="BW30" s="9">
        <f ca="1">IF(OR(BW3="",BW$28&lt;$A30),"",BW3/OFFSET(SSAutESP!$A$2,MATCH(BW$29,SSAutESP!$A$2:$A$500)+$A30-1,1)-1)</f>
        <v>1.5604652707588151E-3</v>
      </c>
      <c r="BX30" s="9">
        <f ca="1">IF(OR(BX3="",BX$28&lt;$A30),"",BX3/OFFSET(SSAutESP!$A$2,MATCH(BX$29,SSAutESP!$A$2:$A$500)+$A30-1,1)-1)</f>
        <v>-7.4175060478809396E-4</v>
      </c>
      <c r="BY30" s="9">
        <f ca="1">IF(OR(BY3="",BY$28&lt;$A30),"",BY3/OFFSET(SSAutESP!$A$2,MATCH(BY$29,SSAutESP!$A$2:$A$500)+$A30-1,1)-1)</f>
        <v>-6.7677214286554488E-4</v>
      </c>
      <c r="BZ30" s="9">
        <f ca="1">IF(OR(BZ3="",BZ$28&lt;$A30),"",BZ3/OFFSET(SSAutESP!$A$2,MATCH(BZ$29,SSAutESP!$A$2:$A$500)+$A30-1,1)-1)</f>
        <v>-1.1661615172796624E-3</v>
      </c>
      <c r="CA30" s="9">
        <f ca="1">IF(OR(CA3="",CA$28&lt;$A30),"",CA3/OFFSET(SSAutESP!$A$2,MATCH(CA$29,SSAutESP!$A$2:$A$500)+$A30-1,1)-1)</f>
        <v>-4.4443301317897976E-4</v>
      </c>
      <c r="CB30" s="9">
        <f ca="1">IF(OR(CB3="",CB$28&lt;$A30),"",CB3/OFFSET(SSAutESP!$A$2,MATCH(CB$29,SSAutESP!$A$2:$A$500)+$A30-1,1)-1)</f>
        <v>4.5744516010626235E-4</v>
      </c>
      <c r="CC30" s="9">
        <f ca="1">IF(OR(CC3="",CC$28&lt;$A30),"",CC3/OFFSET(SSAutESP!$A$2,MATCH(CC$29,SSAutESP!$A$2:$A$500)+$A30-1,1)-1)</f>
        <v>1.288159261107813E-3</v>
      </c>
      <c r="CD30" s="9">
        <f ca="1">IF(OR(CD3="",CD$28&lt;$A30),"",CD3/OFFSET(SSAutESP!$A$2,MATCH(CD$29,SSAutESP!$A$2:$A$500)+$A30-1,1)-1)</f>
        <v>-9.6146312261558009E-4</v>
      </c>
      <c r="CE30" s="9">
        <f ca="1">IF(OR(CE3="",CE$28&lt;$A30),"",CE3/OFFSET(SSAutESP!$A$2,MATCH(CE$29,SSAutESP!$A$2:$A$500)+$A30-1,1)-1)</f>
        <v>-8.0320244042109135E-4</v>
      </c>
      <c r="CF30" s="9">
        <f ca="1">IF(OR(CF3="",CF$28&lt;$A30),"",CF3/OFFSET(SSAutESP!$A$2,MATCH(CF$29,SSAutESP!$A$2:$A$500)+$A30-1,1)-1)</f>
        <v>-2.5582833194925936E-4</v>
      </c>
      <c r="CG30" s="9">
        <f ca="1">IF(OR(CG3="",CG$28&lt;$A30),"",CG3/OFFSET(SSAutESP!$A$2,MATCH(CG$29,SSAutESP!$A$2:$A$500)+$A30-1,1)-1)</f>
        <v>4.1008239622697396E-4</v>
      </c>
      <c r="CH30" s="9">
        <f ca="1">IF(OR(CH3="",CH$28&lt;$A30),"",CH3/OFFSET(SSAutESP!$A$2,MATCH(CH$29,SSAutESP!$A$2:$A$500)+$A30-1,1)-1)</f>
        <v>-8.5746006373399464E-4</v>
      </c>
      <c r="CI30" s="9">
        <f ca="1">IF(OR(CI3="",CI$28&lt;$A30),"",CI3/OFFSET(SSAutESP!$A$2,MATCH(CI$29,SSAutESP!$A$2:$A$500)+$A30-1,1)-1)</f>
        <v>9.165497681873358E-4</v>
      </c>
      <c r="CJ30" s="9">
        <f ca="1">IF(OR(CJ3="",CJ$28&lt;$A30),"",CJ3/OFFSET(SSAutESP!$A$2,MATCH(CJ$29,SSAutESP!$A$2:$A$500)+$A30-1,1)-1)</f>
        <v>-1.5140566227630492E-3</v>
      </c>
      <c r="CK30" s="9">
        <f ca="1">IF(OR(CK3="",CK$28&lt;$A30),"",CK3/OFFSET(SSAutESP!$A$2,MATCH(CK$29,SSAutESP!$A$2:$A$500)+$A30-1,1)-1)</f>
        <v>-9.4122209097147191E-4</v>
      </c>
      <c r="CL30" s="9">
        <f ca="1">IF(OR(CL3="",CL$28&lt;$A30),"",CL3/OFFSET(SSAutESP!$A$2,MATCH(CL$29,SSAutESP!$A$2:$A$500)+$A30-1,1)-1)</f>
        <v>1.0288833118043961E-4</v>
      </c>
      <c r="CM30" s="9">
        <f ca="1">IF(OR(CM3="",CM$28&lt;$A30),"",CM3/OFFSET(SSAutESP!$A$2,MATCH(CM$29,SSAutESP!$A$2:$A$500)+$A30-1,1)-1)</f>
        <v>1.1474866602907419E-3</v>
      </c>
      <c r="CN30" s="9">
        <f ca="1">IF(OR(CN3="",CN$28&lt;$A30),"",CN3/OFFSET(SSAutESP!$A$2,MATCH(CN$29,SSAutESP!$A$2:$A$500)+$A30-1,1)-1)</f>
        <v>6.1968252473287855E-4</v>
      </c>
      <c r="CO30" s="9">
        <f ca="1">IF(OR(CO3="",CO$28&lt;$A30),"",CO3/OFFSET(SSAutESP!$A$2,MATCH(CO$29,SSAutESP!$A$2:$A$500)+$A30-1,1)-1)</f>
        <v>2.3638600952158306E-4</v>
      </c>
      <c r="CP30" s="9">
        <f ca="1">IF(OR(CP3="",CP$28&lt;$A30),"",CP3/OFFSET(SSAutESP!$A$2,MATCH(CP$29,SSAutESP!$A$2:$A$500)+$A30-1,1)-1)</f>
        <v>-4.3677913637896193E-4</v>
      </c>
      <c r="CQ30" s="9">
        <f ca="1">IF(OR(CQ3="",CQ$28&lt;$A30),"",CQ3/OFFSET(SSAutESP!$A$2,MATCH(CQ$29,SSAutESP!$A$2:$A$500)+$A30-1,1)-1)</f>
        <v>3.4602632673563782E-4</v>
      </c>
      <c r="CR30" s="9">
        <f ca="1">IF(OR(CR3="",CR$28&lt;$A30),"",CR3/OFFSET(SSAutESP!$A$2,MATCH(CR$29,SSAutESP!$A$2:$A$500)+$A30-1,1)-1)</f>
        <v>5.6284637609516075E-4</v>
      </c>
      <c r="CS30" s="9">
        <f ca="1">IF(OR(CS3="",CS$28&lt;$A30),"",CS3/OFFSET(SSAutESP!$A$2,MATCH(CS$29,SSAutESP!$A$2:$A$500)+$A30-1,1)-1)</f>
        <v>-2.1621557141582315E-4</v>
      </c>
      <c r="CT30" s="9">
        <f ca="1">IF(OR(CT3="",CT$28&lt;$A30),"",CT3/OFFSET(SSAutESP!$A$2,MATCH(CT$29,SSAutESP!$A$2:$A$500)+$A30-1,1)-1)</f>
        <v>4.5354176837391069E-3</v>
      </c>
      <c r="CU30" s="9">
        <f ca="1">IF(OR(CU3="",CU$28&lt;$A30),"",CU3/OFFSET(SSAutESP!$A$2,MATCH(CU$29,SSAutESP!$A$2:$A$500)+$A30-1,1)-1)</f>
        <v>-2.6903500766304322E-3</v>
      </c>
      <c r="CV30" s="9">
        <f ca="1">IF(OR(CV3="",CV$28&lt;$A30),"",CV3/OFFSET(SSAutESP!$A$2,MATCH(CV$29,SSAutESP!$A$2:$A$500)+$A30-1,1)-1)</f>
        <v>-1.2630426415083384E-4</v>
      </c>
      <c r="CW30" s="9">
        <f ca="1">IF(OR(CW3="",CW$28&lt;$A30),"",CW3/OFFSET(SSAutESP!$A$2,MATCH(CW$29,SSAutESP!$A$2:$A$500)+$A30-1,1)-1)</f>
        <v>-2.6260143999312646E-6</v>
      </c>
      <c r="CX30" s="9">
        <f ca="1">IF(OR(CX3="",CX$28&lt;$A30),"",CX3/OFFSET(SSAutESP!$A$2,MATCH(CX$29,SSAutESP!$A$2:$A$500)+$A30-1,1)-1)</f>
        <v>-1.51471765470923E-4</v>
      </c>
      <c r="CY30" s="9">
        <f ca="1">IF(OR(CY3="",CY$28&lt;$A30),"",CY3/OFFSET(SSAutESP!$A$2,MATCH(CY$29,SSAutESP!$A$2:$A$500)+$A30-1,1)-1)</f>
        <v>1.0399284760453931E-4</v>
      </c>
      <c r="CZ30" s="9">
        <f ca="1">IF(OR(CZ3="",CZ$28&lt;$A30),"",CZ3/OFFSET(SSAutESP!$A$2,MATCH(CZ$29,SSAutESP!$A$2:$A$500)+$A30-1,1)-1)</f>
        <v>3.2708600234743201E-4</v>
      </c>
      <c r="DA30" s="9">
        <f ca="1">IF(OR(DA3="",DA$28&lt;$A30),"",DA3/OFFSET(SSAutESP!$A$2,MATCH(DA$29,SSAutESP!$A$2:$A$500)+$A30-1,1)-1)</f>
        <v>1.7366806834093751E-3</v>
      </c>
      <c r="DB30" s="9">
        <f ca="1">IF(OR(DB3="",DB$28&lt;$A30),"",DB3/OFFSET(SSAutESP!$A$2,MATCH(DB$29,SSAutESP!$A$2:$A$500)+$A30-1,1)-1)</f>
        <v>-2.3745733161828486E-4</v>
      </c>
      <c r="DC30" s="9">
        <f ca="1">IF(OR(DC3="",DC$28&lt;$A30),"",DC3/OFFSET(SSAutESP!$A$2,MATCH(DC$29,SSAutESP!$A$2:$A$500)+$A30-1,1)-1)</f>
        <v>-3.444707509504541E-4</v>
      </c>
      <c r="DD30" s="9">
        <f ca="1">IF(OR(DD3="",DD$28&lt;$A30),"",DD3/OFFSET(SSAutESP!$A$2,MATCH(DD$29,SSAutESP!$A$2:$A$500)+$A30-1,1)-1)</f>
        <v>7.2053810895900128E-4</v>
      </c>
      <c r="DE30" s="9">
        <f ca="1">IF(OR(DE3="",DE$28&lt;$A30),"",DE3/OFFSET(SSAutESP!$A$2,MATCH(DE$29,SSAutESP!$A$2:$A$500)+$A30-1,1)-1)</f>
        <v>-1.2208561791903216E-3</v>
      </c>
      <c r="DF30" s="9">
        <f ca="1">IF(OR(DF3="",DF$28&lt;$A30),"",DF3/OFFSET(SSAutESP!$A$2,MATCH(DF$29,SSAutESP!$A$2:$A$500)+$A30-1,1)-1)</f>
        <v>6.4656615589342437E-4</v>
      </c>
      <c r="DG30" s="9">
        <f ca="1">IF(OR(DG3="",DG$28&lt;$A30),"",DG3/OFFSET(SSAutESP!$A$2,MATCH(DG$29,SSAutESP!$A$2:$A$500)+$A30-1,1)-1)</f>
        <v>1.3431712189755363E-3</v>
      </c>
      <c r="DH30" s="9">
        <f ca="1">IF(OR(DH3="",DH$28&lt;$A30),"",DH3/OFFSET(SSAutESP!$A$2,MATCH(DH$29,SSAutESP!$A$2:$A$500)+$A30-1,1)-1)</f>
        <v>-1.1683366548618235E-3</v>
      </c>
      <c r="DI30" s="9">
        <f ca="1">IF(OR(DI3="",DI$28&lt;$A30),"",DI3/OFFSET(SSAutESP!$A$2,MATCH(DI$29,SSAutESP!$A$2:$A$500)+$A30-1,1)-1)</f>
        <v>-1.9530755853527371E-3</v>
      </c>
      <c r="DJ30" s="9">
        <f ca="1">IF(OR(DJ3="",DJ$28&lt;$A30),"",DJ3/OFFSET(SSAutESP!$A$2,MATCH(DJ$29,SSAutESP!$A$2:$A$500)+$A30-1,1)-1)</f>
        <v>-7.2929541640942563E-4</v>
      </c>
      <c r="DK30" s="9">
        <f ca="1">IF(OR(DK3="",DK$28&lt;$A30),"",DK3/OFFSET(SSAutESP!$A$2,MATCH(DK$29,SSAutESP!$A$2:$A$500)+$A30-1,1)-1)</f>
        <v>-1.0488363565810399E-3</v>
      </c>
      <c r="DL30" s="9">
        <f ca="1">IF(OR(DL3="",DL$28&lt;$A30),"",DL3/OFFSET(SSAutESP!$A$2,MATCH(DL$29,SSAutESP!$A$2:$A$500)+$A30-1,1)-1)</f>
        <v>-3.3858025196409347E-4</v>
      </c>
      <c r="DM30" s="9">
        <f ca="1">IF(OR(DM3="",DM$28&lt;$A30),"",DM3/OFFSET(SSAutESP!$A$2,MATCH(DM$29,SSAutESP!$A$2:$A$500)+$A30-1,1)-1)</f>
        <v>2.5321978961894143E-3</v>
      </c>
      <c r="DN30" s="9">
        <f ca="1">IF(OR(DN3="",DN$28&lt;$A30),"",DN3/OFFSET(SSAutESP!$A$2,MATCH(DN$29,SSAutESP!$A$2:$A$500)+$A30-1,1)-1)</f>
        <v>-1.3211126696274222E-3</v>
      </c>
      <c r="DO30" s="9">
        <f ca="1">IF(OR(DO3="",DO$28&lt;$A30),"",DO3/OFFSET(SSAutESP!$A$2,MATCH(DO$29,SSAutESP!$A$2:$A$500)+$A30-1,1)-1)</f>
        <v>-1.3466072438635956E-3</v>
      </c>
      <c r="DP30" s="9">
        <f ca="1">IF(OR(DP3="",DP$28&lt;$A30),"",DP3/OFFSET(SSAutESP!$A$2,MATCH(DP$29,SSAutESP!$A$2:$A$500)+$A30-1,1)-1)</f>
        <v>-2.1492556862336976E-3</v>
      </c>
      <c r="DQ30" s="9">
        <f ca="1">IF(OR(DQ3="",DQ$28&lt;$A30),"",DQ3/OFFSET(SSAutESP!$A$2,MATCH(DQ$29,SSAutESP!$A$2:$A$500)+$A30-1,1)-1)</f>
        <v>-1.4049841040670863E-3</v>
      </c>
      <c r="DR30" s="9">
        <f ca="1">IF(OR(DR3="",DR$28&lt;$A30),"",DR3/OFFSET(SSAutESP!$A$2,MATCH(DR$29,SSAutESP!$A$2:$A$500)+$A30-1,1)-1)</f>
        <v>2.1348431420236125E-3</v>
      </c>
      <c r="DS30" s="9">
        <f ca="1">IF(OR(DS3="",DS$28&lt;$A30),"",DS3/OFFSET(SSAutESP!$A$2,MATCH(DS$29,SSAutESP!$A$2:$A$500)+$A30-1,1)-1)</f>
        <v>-5.7384362319901072E-4</v>
      </c>
      <c r="DT30" s="9">
        <f ca="1">IF(OR(DT3="",DT$28&lt;$A30),"",DT3/OFFSET(SSAutESP!$A$2,MATCH(DT$29,SSAutESP!$A$2:$A$500)+$A30-1,1)-1)</f>
        <v>-1.0247307883957113E-3</v>
      </c>
      <c r="DU30" s="9">
        <f ca="1">IF(OR(DU3="",DU$28&lt;$A30),"",DU3/OFFSET(SSAutESP!$A$2,MATCH(DU$29,SSAutESP!$A$2:$A$500)+$A30-1,1)-1)</f>
        <v>-1.8723207484411253E-3</v>
      </c>
      <c r="DV30" s="9">
        <f ca="1">IF(OR(DV3="",DV$28&lt;$A30),"",DV3/OFFSET(SSAutESP!$A$2,MATCH(DV$29,SSAutESP!$A$2:$A$500)+$A30-1,1)-1)</f>
        <v>-9.6396955256650152E-5</v>
      </c>
      <c r="DW30" s="9">
        <f ca="1">IF(OR(DW3="",DW$28&lt;$A30),"",DW3/OFFSET(SSAutESP!$A$2,MATCH(DW$29,SSAutESP!$A$2:$A$500)+$A30-1,1)-1)</f>
        <v>5.5769679214545675E-4</v>
      </c>
      <c r="DX30" s="9">
        <f ca="1">IF(OR(DX3="",DX$28&lt;$A30),"",DX3/OFFSET(SSAutESP!$A$2,MATCH(DX$29,SSAutESP!$A$2:$A$500)+$A30-1,1)-1)</f>
        <v>1.1606962494861151E-3</v>
      </c>
      <c r="DY30" s="9">
        <f ca="1">IF(OR(DY3="",DY$28&lt;$A30),"",DY3/OFFSET(SSAutESP!$A$2,MATCH(DY$29,SSAutESP!$A$2:$A$500)+$A30-1,1)-1)</f>
        <v>1.4717752468498269E-3</v>
      </c>
      <c r="DZ30" s="9">
        <f ca="1">IF(OR(DZ3="",DZ$28&lt;$A30),"",DZ3/OFFSET(SSAutESP!$A$2,MATCH(DZ$29,SSAutESP!$A$2:$A$500)+$A30-1,1)-1)</f>
        <v>-6.6299272103165219E-4</v>
      </c>
      <c r="EA30" s="9">
        <f ca="1">IF(OR(EA3="",EA$28&lt;$A30),"",EA3/OFFSET(SSAutESP!$A$2,MATCH(EA$29,SSAutESP!$A$2:$A$500)+$A30-1,1)-1)</f>
        <v>-4.8271517820563936E-4</v>
      </c>
      <c r="EB30" s="9">
        <f ca="1">IF(OR(EB3="",EB$28&lt;$A30),"",EB3/OFFSET(SSAutESP!$A$2,MATCH(EB$29,SSAutESP!$A$2:$A$500)+$A30-1,1)-1)</f>
        <v>6.5422896943645448E-4</v>
      </c>
      <c r="EC30" s="9">
        <f ca="1">IF(OR(EC3="",EC$28&lt;$A30),"",EC3/OFFSET(SSAutESP!$A$2,MATCH(EC$29,SSAutESP!$A$2:$A$500)+$A30-1,1)-1)</f>
        <v>-4.0860991402180691E-4</v>
      </c>
      <c r="ED30" s="9">
        <f ca="1">IF(OR(ED3="",ED$28&lt;$A30),"",ED3/OFFSET(SSAutESP!$A$2,MATCH(ED$29,SSAutESP!$A$2:$A$500)+$A30-1,1)-1)</f>
        <v>1.6730021025241903E-3</v>
      </c>
      <c r="EE30" s="9">
        <f ca="1">IF(OR(EE3="",EE$28&lt;$A30),"",EE3/OFFSET(SSAutESP!$A$2,MATCH(EE$29,SSAutESP!$A$2:$A$500)+$A30-1,1)-1)</f>
        <v>-1.0476530200034251E-3</v>
      </c>
      <c r="EF30" s="9">
        <f ca="1">IF(OR(EF3="",EF$28&lt;$A30),"",EF3/OFFSET(SSAutESP!$A$2,MATCH(EF$29,SSAutESP!$A$2:$A$500)+$A30-1,1)-1)</f>
        <v>-8.593311751274868E-4</v>
      </c>
      <c r="EG30" s="9">
        <f ca="1">IF(OR(EG3="",EG$28&lt;$A30),"",EG3/OFFSET(SSAutESP!$A$2,MATCH(EG$29,SSAutESP!$A$2:$A$500)+$A30-1,1)-1)</f>
        <v>-6.362988428698646E-4</v>
      </c>
      <c r="EH30" s="9">
        <f ca="1">IF(OR(EH3="",EH$28&lt;$A30),"",EH3/OFFSET(SSAutESP!$A$2,MATCH(EH$29,SSAutESP!$A$2:$A$500)+$A30-1,1)-1)</f>
        <v>4.2399915921231823E-4</v>
      </c>
      <c r="EI30" s="9">
        <f ca="1">IF(OR(EI3="",EI$28&lt;$A30),"",EI3/OFFSET(SSAutESP!$A$2,MATCH(EI$29,SSAutESP!$A$2:$A$500)+$A30-1,1)-1)</f>
        <v>3.8468334417940397E-4</v>
      </c>
      <c r="EJ30" s="9">
        <f ca="1">IF(OR(EJ3="",EJ$28&lt;$A30),"",EJ3/OFFSET(SSAutESP!$A$2,MATCH(EJ$29,SSAutESP!$A$2:$A$500)+$A30-1,1)-1)</f>
        <v>2.0598137503771152E-3</v>
      </c>
      <c r="EK30" s="9">
        <f ca="1">IF(OR(EK3="",EK$28&lt;$A30),"",EK3/OFFSET(SSAutESP!$A$2,MATCH(EK$29,SSAutESP!$A$2:$A$500)+$A30-1,1)-1)</f>
        <v>1.01923889297173E-3</v>
      </c>
      <c r="EL30" s="9">
        <f ca="1">IF(OR(EL3="",EL$28&lt;$A30),"",EL3/OFFSET(SSAutESP!$A$2,MATCH(EL$29,SSAutESP!$A$2:$A$500)+$A30-1,1)-1)</f>
        <v>-4.2862326993975408E-4</v>
      </c>
      <c r="EM30" s="9">
        <f ca="1">IF(OR(EM3="",EM$28&lt;$A30),"",EM3/OFFSET(SSAutESP!$A$2,MATCH(EM$29,SSAutESP!$A$2:$A$500)+$A30-1,1)-1)</f>
        <v>1.2310116089087053E-4</v>
      </c>
      <c r="EN30" s="9">
        <f ca="1">IF(OR(EN3="",EN$28&lt;$A30),"",EN3/OFFSET(SSAutESP!$A$2,MATCH(EN$29,SSAutESP!$A$2:$A$500)+$A30-1,1)-1)</f>
        <v>-8.7840596508526048E-4</v>
      </c>
      <c r="EO30" s="9">
        <f ca="1">IF(OR(EO3="",EO$28&lt;$A30),"",EO3/OFFSET(SSAutESP!$A$2,MATCH(EO$29,SSAutESP!$A$2:$A$500)+$A30-1,1)-1)</f>
        <v>5.1871332007014104E-4</v>
      </c>
      <c r="EP30" s="9">
        <f ca="1">IF(OR(EP3="",EP$28&lt;$A30),"",EP3/OFFSET(SSAutESP!$A$2,MATCH(EP$29,SSAutESP!$A$2:$A$500)+$A30-1,1)-1)</f>
        <v>1.7232901911994336E-3</v>
      </c>
      <c r="EQ30" s="9">
        <f ca="1">IF(OR(EQ3="",EQ$28&lt;$A30),"",EQ3/OFFSET(SSAutESP!$A$2,MATCH(EQ$29,SSAutESP!$A$2:$A$500)+$A30-1,1)-1)</f>
        <v>-2.9148097244360294E-3</v>
      </c>
      <c r="ER30" s="9">
        <f ca="1">IF(OR(ER3="",ER$28&lt;$A30),"",ER3/OFFSET(SSAutESP!$A$2,MATCH(ER$29,SSAutESP!$A$2:$A$500)+$A30-1,1)-1)</f>
        <v>-8.1599647276608955E-4</v>
      </c>
      <c r="ES30" s="9">
        <f ca="1">IF(OR(ES3="",ES$28&lt;$A30),"",ES3/OFFSET(SSAutESP!$A$2,MATCH(ES$29,SSAutESP!$A$2:$A$500)+$A30-1,1)-1)</f>
        <v>9.8240912494174104E-4</v>
      </c>
      <c r="ET30" s="9">
        <f ca="1">IF(OR(ET3="",ET$28&lt;$A30),"",ET3/OFFSET(SSAutESP!$A$2,MATCH(ET$29,SSAutESP!$A$2:$A$500)+$A30-1,1)-1)</f>
        <v>-3.3200476373662635E-4</v>
      </c>
      <c r="EU30" s="9">
        <f ca="1">IF(OR(EU3="",EU$28&lt;$A30),"",EU3/OFFSET(SSAutESP!$A$2,MATCH(EU$29,SSAutESP!$A$2:$A$500)+$A30-1,1)-1)</f>
        <v>-1.8624282575019357E-4</v>
      </c>
      <c r="EV30" s="9">
        <f ca="1">IF(OR(EV3="",EV$28&lt;$A30),"",EV3/OFFSET(SSAutESP!$A$2,MATCH(EV$29,SSAutESP!$A$2:$A$500)+$A30-1,1)-1)</f>
        <v>1.3771013525283315E-3</v>
      </c>
      <c r="EW30" s="9">
        <f ca="1">IF(OR(EW3="",EW$28&lt;$A30),"",EW3/OFFSET(SSAutESP!$A$2,MATCH(EW$29,SSAutESP!$A$2:$A$500)+$A30-1,1)-1)</f>
        <v>1.1307480263011982E-4</v>
      </c>
      <c r="EX30" s="9">
        <f ca="1">IF(OR(EX3="",EX$28&lt;$A30),"",EX3/OFFSET(SSAutESP!$A$2,MATCH(EX$29,SSAutESP!$A$2:$A$500)+$A30-1,1)-1)</f>
        <v>-3.7047254722188949E-4</v>
      </c>
      <c r="EY30" s="9">
        <f ca="1">IF(OR(EY3="",EY$28&lt;$A30),"",EY3/OFFSET(SSAutESP!$A$2,MATCH(EY$29,SSAutESP!$A$2:$A$500)+$A30-1,1)-1)</f>
        <v>-7.5361194209244697E-4</v>
      </c>
      <c r="EZ30" s="9">
        <f ca="1">IF(OR(EZ3="",EZ$28&lt;$A30),"",EZ3/OFFSET(SSAutESP!$A$2,MATCH(EZ$29,SSAutESP!$A$2:$A$500)+$A30-1,1)-1)</f>
        <v>-9.9164539804408314E-5</v>
      </c>
      <c r="FA30" s="9">
        <f ca="1">IF(OR(FA3="",FA$28&lt;$A30),"",FA3/OFFSET(SSAutESP!$A$2,MATCH(FA$29,SSAutESP!$A$2:$A$500)+$A30-1,1)-1)</f>
        <v>2.178404033996717E-4</v>
      </c>
      <c r="FB30" s="9">
        <f ca="1">IF(OR(FB3="",FB$28&lt;$A30),"",FB3/OFFSET(SSAutESP!$A$2,MATCH(FB$29,SSAutESP!$A$2:$A$500)+$A30-1,1)-1)</f>
        <v>1.0192355287146349E-3</v>
      </c>
      <c r="FC30" s="9">
        <f ca="1">IF(OR(FC3="",FC$28&lt;$A30),"",FC3/OFFSET(SSAutESP!$A$2,MATCH(FC$29,SSAutESP!$A$2:$A$500)+$A30-1,1)-1)</f>
        <v>-2.2118111266605789E-3</v>
      </c>
      <c r="FD30" s="9">
        <f ca="1">IF(OR(FD3="",FD$28&lt;$A30),"",FD3/OFFSET(SSAutESP!$A$2,MATCH(FD$29,SSAutESP!$A$2:$A$500)+$A30-1,1)-1)</f>
        <v>-1.8312156633171206E-4</v>
      </c>
      <c r="FE30" s="9">
        <f ca="1">IF(OR(FE3="",FE$28&lt;$A30),"",FE3/OFFSET(SSAutESP!$A$2,MATCH(FE$29,SSAutESP!$A$2:$A$500)+$A30-1,1)-1)</f>
        <v>-4.594179622997574E-4</v>
      </c>
      <c r="FF30" s="9">
        <f ca="1">IF(OR(FF3="",FF$28&lt;$A30),"",FF3/OFFSET(SSAutESP!$A$2,MATCH(FF$29,SSAutESP!$A$2:$A$500)+$A30-1,1)-1)</f>
        <v>3.9717519572546323E-5</v>
      </c>
      <c r="FG30" s="9">
        <f ca="1">IF(OR(FG3="",FG$28&lt;$A30),"",FG3/OFFSET(SSAutESP!$A$2,MATCH(FG$29,SSAutESP!$A$2:$A$500)+$A30-1,1)-1)</f>
        <v>6.99689278441884E-4</v>
      </c>
      <c r="FH30" s="9">
        <f ca="1">IF(OR(FH3="",FH$28&lt;$A30),"",FH3/OFFSET(SSAutESP!$A$2,MATCH(FH$29,SSAutESP!$A$2:$A$500)+$A30-1,1)-1)</f>
        <v>1.9725676801287673E-3</v>
      </c>
      <c r="FI30" s="9">
        <f ca="1">IF(OR(FI3="",FI$28&lt;$A30),"",FI3/OFFSET(SSAutESP!$A$2,MATCH(FI$29,SSAutESP!$A$2:$A$500)+$A30-1,1)-1)</f>
        <v>4.0589707037352873E-4</v>
      </c>
      <c r="FJ30" s="9">
        <f ca="1">IF(OR(FJ3="",FJ$28&lt;$A30),"",FJ3/OFFSET(SSAutESP!$A$2,MATCH(FJ$29,SSAutESP!$A$2:$A$500)+$A30-1,1)-1)</f>
        <v>-1.9485884125297614E-3</v>
      </c>
      <c r="FK30" s="9">
        <f ca="1">IF(OR(FK3="",FK$28&lt;$A30),"",FK3/OFFSET(SSAutESP!$A$2,MATCH(FK$29,SSAutESP!$A$2:$A$500)+$A30-1,1)-1)</f>
        <v>-9.7626180247889494E-5</v>
      </c>
      <c r="FL30" s="9">
        <f ca="1">IF(OR(FL3="",FL$28&lt;$A30),"",FL3/OFFSET(SSAutESP!$A$2,MATCH(FL$29,SSAutESP!$A$2:$A$500)+$A30-1,1)-1)</f>
        <v>2.1153525681669727E-3</v>
      </c>
      <c r="FM30" s="9">
        <f ca="1">IF(OR(FM3="",FM$28&lt;$A30),"",FM3/OFFSET(SSAutESP!$A$2,MATCH(FM$29,SSAutESP!$A$2:$A$500)+$A30-1,1)-1)</f>
        <v>1.1172823885323702E-3</v>
      </c>
      <c r="FN30" s="9">
        <f ca="1">IF(OR(FN3="",FN$28&lt;$A30),"",FN3/OFFSET(SSAutESP!$A$2,MATCH(FN$29,SSAutESP!$A$2:$A$500)+$A30-1,1)-1)</f>
        <v>-2.8891759349204404E-3</v>
      </c>
      <c r="FO30" s="9">
        <f ca="1">IF(OR(FO3="",FO$28&lt;$A30),"",FO3/OFFSET(SSAutESP!$A$2,MATCH(FO$29,SSAutESP!$A$2:$A$500)+$A30-1,1)-1)</f>
        <v>-5.2253859417690229E-3</v>
      </c>
      <c r="FP30" s="9">
        <f ca="1">IF(OR(FP3="",FP$28&lt;$A30),"",FP3/OFFSET(SSAutESP!$A$2,MATCH(FP$29,SSAutESP!$A$2:$A$500)+$A30-1,1)-1)</f>
        <v>-8.2216310663074665E-4</v>
      </c>
      <c r="FQ30" s="9">
        <f ca="1">IF(OR(FQ3="",FQ$28&lt;$A30),"",FQ3/OFFSET(SSAutESP!$A$2,MATCH(FQ$29,SSAutESP!$A$2:$A$500)+$A30-1,1)-1)</f>
        <v>1.0993233672758063E-3</v>
      </c>
      <c r="FR30" s="9">
        <f ca="1">IF(OR(FR3="",FR$28&lt;$A30),"",FR3/OFFSET(SSAutESP!$A$2,MATCH(FR$29,SSAutESP!$A$2:$A$500)+$A30-1,1)-1)</f>
        <v>2.1540435095634969E-4</v>
      </c>
      <c r="FS30" s="9">
        <f ca="1">IF(OR(FS3="",FS$28&lt;$A30),"",FS3/OFFSET(SSAutESP!$A$2,MATCH(FS$29,SSAutESP!$A$2:$A$500)+$A30-1,1)-1)</f>
        <v>-4.0682599947650111E-4</v>
      </c>
      <c r="FT30" s="9">
        <f ca="1">IF(OR(FT3="",FT$28&lt;$A30),"",FT3/OFFSET(SSAutESP!$A$2,MATCH(FT$29,SSAutESP!$A$2:$A$500)+$A30-1,1)-1)</f>
        <v>1.3876268587600382E-3</v>
      </c>
      <c r="FU30" s="9">
        <f ca="1">IF(OR(FU3="",FU$28&lt;$A30),"",FU3/OFFSET(SSAutESP!$A$2,MATCH(FU$29,SSAutESP!$A$2:$A$500)+$A30-1,1)-1)</f>
        <v>9.7962792151728983E-4</v>
      </c>
      <c r="FV30" s="9">
        <f ca="1">IF(OR(FV3="",FV$28&lt;$A30),"",FV3/OFFSET(SSAutESP!$A$2,MATCH(FV$29,SSAutESP!$A$2:$A$500)+$A30-1,1)-1)</f>
        <v>-1.502287796559032E-3</v>
      </c>
      <c r="FW30" s="9">
        <f ca="1">IF(OR(FW3="",FW$28&lt;$A30),"",FW3/OFFSET(SSAutESP!$A$2,MATCH(FW$29,SSAutESP!$A$2:$A$500)+$A30-1,1)-1)</f>
        <v>-7.5929217048109621E-4</v>
      </c>
      <c r="FX30" s="9">
        <f ca="1">IF(OR(FX3="",FX$28&lt;$A30),"",FX3/OFFSET(SSAutESP!$A$2,MATCH(FX$29,SSAutESP!$A$2:$A$500)+$A30-1,1)-1)</f>
        <v>9.7281025097095686E-4</v>
      </c>
      <c r="FY30" s="9">
        <f ca="1">IF(OR(FY3="",FY$28&lt;$A30),"",FY3/OFFSET(SSAutESP!$A$2,MATCH(FY$29,SSAutESP!$A$2:$A$500)+$A30-1,1)-1)</f>
        <v>-1.9665830013959607E-4</v>
      </c>
      <c r="FZ30" s="9">
        <f ca="1">IF(OR(FZ3="",FZ$28&lt;$A30),"",FZ3/OFFSET(SSAutESP!$A$2,MATCH(FZ$29,SSAutESP!$A$2:$A$500)+$A30-1,1)-1)</f>
        <v>2.5625007548348844E-3</v>
      </c>
      <c r="GA30" s="9">
        <f ca="1">IF(OR(GA3="",GA$28&lt;$A30),"",GA3/OFFSET(SSAutESP!$A$2,MATCH(GA$29,SSAutESP!$A$2:$A$500)+$A30-1,1)-1)</f>
        <v>-1.3936916822290257E-3</v>
      </c>
      <c r="GB30" s="9">
        <f ca="1">IF(OR(GB3="",GB$28&lt;$A30),"",GB3/OFFSET(SSAutESP!$A$2,MATCH(GB$29,SSAutESP!$A$2:$A$500)+$A30-1,1)-1)</f>
        <v>-3.3926895400659962E-4</v>
      </c>
      <c r="GC30" s="9">
        <f ca="1">IF(OR(GC3="",GC$28&lt;$A30),"",GC3/OFFSET(SSAutESP!$A$2,MATCH(GC$29,SSAutESP!$A$2:$A$500)+$A30-1,1)-1)</f>
        <v>3.9905227886327665E-5</v>
      </c>
      <c r="GD30" s="9">
        <f ca="1">IF(OR(GD3="",GD$28&lt;$A30),"",GD3/OFFSET(SSAutESP!$A$2,MATCH(GD$29,SSAutESP!$A$2:$A$500)+$A30-1,1)-1)</f>
        <v>1.222782569265668E-4</v>
      </c>
      <c r="GE30" s="9">
        <f ca="1">IF(OR(GE3="",GE$28&lt;$A30),"",GE3/OFFSET(SSAutESP!$A$2,MATCH(GE$29,SSAutESP!$A$2:$A$500)+$A30-1,1)-1)</f>
        <v>-2.5609128930559333E-4</v>
      </c>
      <c r="GF30" s="9">
        <f ca="1">IF(OR(GF3="",GF$28&lt;$A30),"",GF3/OFFSET(SSAutESP!$A$2,MATCH(GF$29,SSAutESP!$A$2:$A$500)+$A30-1,1)-1)</f>
        <v>1.5419727268861649E-4</v>
      </c>
      <c r="GG30" s="9">
        <f ca="1">IF(OR(GG3="",GG$28&lt;$A30),"",GG3/OFFSET(SSAutESP!$A$2,MATCH(GG$29,SSAutESP!$A$2:$A$500)+$A30-1,1)-1)</f>
        <v>-5.1881498627226463E-5</v>
      </c>
      <c r="GH30" s="9">
        <f ca="1">IF(OR(GH3="",GH$28&lt;$A30),"",GH3/OFFSET(SSAutESP!$A$2,MATCH(GH$29,SSAutESP!$A$2:$A$500)+$A30-1,1)-1)</f>
        <v>-1.3427400222587593E-3</v>
      </c>
      <c r="GI30" s="9">
        <f ca="1">IF(OR(GI3="",GI$28&lt;$A30),"",GI3/OFFSET(SSAutESP!$A$2,MATCH(GI$29,SSAutESP!$A$2:$A$500)+$A30-1,1)-1)</f>
        <v>-7.2302805264867764E-4</v>
      </c>
      <c r="GJ30" s="9">
        <f ca="1">IF(OR(GJ3="",GJ$28&lt;$A30),"",GJ3/OFFSET(SSAutESP!$A$2,MATCH(GJ$29,SSAutESP!$A$2:$A$500)+$A30-1,1)-1)</f>
        <v>-3.1511745228751664E-6</v>
      </c>
      <c r="GK30" s="9">
        <f ca="1">IF(OR(GK3="",GK$28&lt;$A30),"",GK3/OFFSET(SSAutESP!$A$2,MATCH(GK$29,SSAutESP!$A$2:$A$500)+$A30-1,1)-1)</f>
        <v>-8.0101601294124691E-5</v>
      </c>
      <c r="GL30" s="9">
        <f ca="1">IF(OR(GL3="",GL$28&lt;$A30),"",GL3/OFFSET(SSAutESP!$A$2,MATCH(GL$29,SSAutESP!$A$2:$A$500)+$A30-1,1)-1)</f>
        <v>8.2056688432996516E-4</v>
      </c>
      <c r="GM30" s="9">
        <f ca="1">IF(OR(GM3="",GM$28&lt;$A30),"",GM3/OFFSET(SSAutESP!$A$2,MATCH(GM$29,SSAutESP!$A$2:$A$500)+$A30-1,1)-1)</f>
        <v>-2.2801527137239486E-4</v>
      </c>
      <c r="GN30" s="9">
        <f ca="1">IF(OR(GN3="",GN$28&lt;$A30),"",GN3/OFFSET(SSAutESP!$A$2,MATCH(GN$29,SSAutESP!$A$2:$A$500)+$A30-1,1)-1)</f>
        <v>6.0928678991798435E-3</v>
      </c>
      <c r="GO30" s="9">
        <f ca="1">IF(OR(GO3="",GO$28&lt;$A30),"",GO3/OFFSET(SSAutESP!$A$2,MATCH(GO$29,SSAutESP!$A$2:$A$500)+$A30-1,1)-1)</f>
        <v>1.6080731048724095E-2</v>
      </c>
      <c r="GP30" s="9">
        <f ca="1">IF(OR(GP3="",GP$28&lt;$A30),"",GP3/OFFSET(SSAutESP!$A$2,MATCH(GP$29,SSAutESP!$A$2:$A$500)+$A30-1,1)-1)</f>
        <v>-3.0819173548177758E-3</v>
      </c>
      <c r="GQ30" s="9">
        <f ca="1">IF(OR(GQ3="",GQ$28&lt;$A30),"",GQ3/OFFSET(SSAutESP!$A$2,MATCH(GQ$29,SSAutESP!$A$2:$A$500)+$A30-1,1)-1)</f>
        <v>-6.4817275706073874E-3</v>
      </c>
      <c r="GR30" s="9">
        <f ca="1">IF(OR(GR3="",GR$28&lt;$A30),"",GR3/OFFSET(SSAutESP!$A$2,MATCH(GR$29,SSAutESP!$A$2:$A$500)+$A30-1,1)-1)</f>
        <v>-7.3691770318257133E-3</v>
      </c>
      <c r="GS30" s="9">
        <f ca="1">IF(OR(GS3="",GS$28&lt;$A30),"",GS3/OFFSET(SSAutESP!$A$2,MATCH(GS$29,SSAutESP!$A$2:$A$500)+$A30-1,1)-1)</f>
        <v>-2.4407000838193582E-3</v>
      </c>
      <c r="GT30" s="9">
        <f ca="1">IF(OR(GT3="",GT$28&lt;$A30),"",GT3/OFFSET(SSAutESP!$A$2,MATCH(GT$29,SSAutESP!$A$2:$A$500)+$A30-1,1)-1)</f>
        <v>2.9615086037011462E-3</v>
      </c>
      <c r="GU30" s="9">
        <f ca="1">IF(OR(GU3="",GU$28&lt;$A30),"",GU3/OFFSET(SSAutESP!$A$2,MATCH(GU$29,SSAutESP!$A$2:$A$500)+$A30-1,1)-1)</f>
        <v>-1.3121179611985667E-4</v>
      </c>
      <c r="GV30" s="9">
        <f ca="1">IF(OR(GV3="",GV$28&lt;$A30),"",GV3/OFFSET(SSAutESP!$A$2,MATCH(GV$29,SSAutESP!$A$2:$A$500)+$A30-1,1)-1)</f>
        <v>-1.4101055717281596E-3</v>
      </c>
      <c r="GW30" s="9">
        <f ca="1">IF(OR(GW3="",GW$28&lt;$A30),"",GW3/OFFSET(SSAutESP!$A$2,MATCH(GW$29,SSAutESP!$A$2:$A$500)+$A30-1,1)-1)</f>
        <v>-6.4174172604358759E-4</v>
      </c>
      <c r="GX30" s="9">
        <f ca="1">IF(OR(GX3="",GX$28&lt;$A30),"",GX3/OFFSET(SSAutESP!$A$2,MATCH(GX$29,SSAutESP!$A$2:$A$500)+$A30-1,1)-1)</f>
        <v>-2.3668382934949328E-4</v>
      </c>
      <c r="GY30" s="9" t="str">
        <f ca="1">IF(OR(GY3="",GY$28&lt;$A30),"",GY3/OFFSET(SSAutESP!$A$2,MATCH(GY$29,SSAutESP!$A$2:$A$500)+$A30-1,1)-1)</f>
        <v/>
      </c>
      <c r="GZ30" s="9" t="str">
        <f ca="1">IF(OR(GZ3="",GZ$28&lt;$A30),"",GZ3/OFFSET(SSAutESP!$A$2,MATCH(GZ$29,SSAutESP!$A$2:$A$500)+$A30-1,1)-1)</f>
        <v/>
      </c>
      <c r="HA30" s="9" t="str">
        <f ca="1">IF(OR(HA3="",HA$28&lt;$A30),"",HA3/OFFSET(SSAutESP!$A$2,MATCH(HA$29,SSAutESP!$A$2:$A$500)+$A30-1,1)-1)</f>
        <v/>
      </c>
      <c r="HB30" s="9" t="str">
        <f ca="1">IF(OR(HB3="",HB$28&lt;$A30),"",HB3/OFFSET(SSAutESP!$A$2,MATCH(HB$29,SSAutESP!$A$2:$A$500)+$A30-1,1)-1)</f>
        <v/>
      </c>
      <c r="HC30" s="9" t="str">
        <f ca="1">IF(OR(HC3="",HC$28&lt;$A30),"",HC3/OFFSET(SSAutESP!$A$2,MATCH(HC$29,SSAutESP!$A$2:$A$500)+$A30-1,1)-1)</f>
        <v/>
      </c>
      <c r="HD30" s="9" t="str">
        <f ca="1">IF(OR(HD3="",HD$28&lt;$A30),"",HD3/OFFSET(SSAutESP!$A$2,MATCH(HD$29,SSAutESP!$A$2:$A$500)+$A30-1,1)-1)</f>
        <v/>
      </c>
      <c r="HE30" s="9" t="str">
        <f ca="1">IF(OR(HE3="",HE$28&lt;$A30),"",HE3/OFFSET(SSAutESP!$A$2,MATCH(HE$29,SSAutESP!$A$2:$A$500)+$A30-1,1)-1)</f>
        <v/>
      </c>
      <c r="HF30" s="9" t="str">
        <f ca="1">IF(OR(HF3="",HF$28&lt;$A30),"",HF3/OFFSET(SSAutESP!$A$2,MATCH(HF$29,SSAutESP!$A$2:$A$500)+$A30-1,1)-1)</f>
        <v/>
      </c>
      <c r="HG30" s="9" t="str">
        <f ca="1">IF(OR(HG3="",HG$28&lt;$A30),"",HG3/OFFSET(SSAutESP!$A$2,MATCH(HG$29,SSAutESP!$A$2:$A$500)+$A30-1,1)-1)</f>
        <v/>
      </c>
      <c r="HH30" s="9" t="str">
        <f ca="1">IF(OR(HH3="",HH$28&lt;$A30),"",HH3/OFFSET(SSAutESP!$A$2,MATCH(HH$29,SSAutESP!$A$2:$A$500)+$A30-1,1)-1)</f>
        <v/>
      </c>
      <c r="HI30" s="9" t="str">
        <f ca="1">IF(OR(HI3="",HI$28&lt;$A30),"",HI3/OFFSET(SSAutESP!$A$2,MATCH(HI$29,SSAutESP!$A$2:$A$500)+$A30-1,1)-1)</f>
        <v/>
      </c>
      <c r="HJ30" s="9" t="str">
        <f ca="1">IF(OR(HJ3="",HJ$28&lt;$A30),"",HJ3/OFFSET(SSAutESP!$A$2,MATCH(HJ$29,SSAutESP!$A$2:$A$500)+$A30-1,1)-1)</f>
        <v/>
      </c>
      <c r="HK30" s="9" t="str">
        <f ca="1">IF(OR(HK3="",HK$28&lt;$A30),"",HK3/OFFSET(SSAutESP!$A$2,MATCH(HK$29,SSAutESP!$A$2:$A$500)+$A30-1,1)-1)</f>
        <v/>
      </c>
      <c r="HL30" s="9" t="str">
        <f ca="1">IF(OR(HL3="",HL$28&lt;$A30),"",HL3/OFFSET(SSAutESP!$A$2,MATCH(HL$29,SSAutESP!$A$2:$A$500)+$A30-1,1)-1)</f>
        <v/>
      </c>
      <c r="HM30" s="9" t="str">
        <f ca="1">IF(OR(HM3="",HM$28&lt;$A30),"",HM3/OFFSET(SSAutESP!$A$2,MATCH(HM$29,SSAutESP!$A$2:$A$500)+$A30-1,1)-1)</f>
        <v/>
      </c>
      <c r="HN30" s="9" t="str">
        <f ca="1">IF(OR(HN3="",HN$28&lt;$A30),"",HN3/OFFSET(SSAutESP!$A$2,MATCH(HN$29,SSAutESP!$A$2:$A$500)+$A30-1,1)-1)</f>
        <v/>
      </c>
      <c r="HO30" s="9" t="str">
        <f ca="1">IF(OR(HO3="",HO$28&lt;$A30),"",HO3/OFFSET(SSAutESP!$A$2,MATCH(HO$29,SSAutESP!$A$2:$A$500)+$A30-1,1)-1)</f>
        <v/>
      </c>
      <c r="HP30" s="9" t="str">
        <f ca="1">IF(OR(HP3="",HP$28&lt;$A30),"",HP3/OFFSET(SSAutESP!$A$2,MATCH(HP$29,SSAutESP!$A$2:$A$500)+$A30-1,1)-1)</f>
        <v/>
      </c>
      <c r="HQ30" s="9" t="str">
        <f ca="1">IF(OR(HQ3="",HQ$28&lt;$A30),"",HQ3/OFFSET(SSAutESP!$A$2,MATCH(HQ$29,SSAutESP!$A$2:$A$500)+$A30-1,1)-1)</f>
        <v/>
      </c>
      <c r="HR30" s="9" t="str">
        <f ca="1">IF(OR(HR3="",HR$28&lt;$A30),"",HR3/OFFSET(SSAutESP!$A$2,MATCH(HR$29,SSAutESP!$A$2:$A$500)+$A30-1,1)-1)</f>
        <v/>
      </c>
      <c r="HS30" s="9" t="str">
        <f ca="1">IF(OR(HS3="",HS$28&lt;$A30),"",HS3/OFFSET(SSAutESP!$A$2,MATCH(HS$29,SSAutESP!$A$2:$A$500)+$A30-1,1)-1)</f>
        <v/>
      </c>
      <c r="HT30" s="9" t="str">
        <f ca="1">IF(OR(HT3="",HT$28&lt;$A30),"",HT3/OFFSET(SSAutESP!$A$2,MATCH(HT$29,SSAutESP!$A$2:$A$500)+$A30-1,1)-1)</f>
        <v/>
      </c>
      <c r="HU30" s="9" t="str">
        <f ca="1">IF(OR(HU3="",HU$28&lt;$A30),"",HU3/OFFSET(SSAutESP!$A$2,MATCH(HU$29,SSAutESP!$A$2:$A$500)+$A30-1,1)-1)</f>
        <v/>
      </c>
      <c r="HV30" s="9" t="str">
        <f ca="1">IF(OR(HV3="",HV$28&lt;$A30),"",HV3/OFFSET(SSAutESP!$A$2,MATCH(HV$29,SSAutESP!$A$2:$A$500)+$A30-1,1)-1)</f>
        <v/>
      </c>
      <c r="HW30" s="9" t="str">
        <f ca="1">IF(OR(HW3="",HW$28&lt;$A30),"",HW3/OFFSET(SSAutESP!$A$2,MATCH(HW$29,SSAutESP!$A$2:$A$500)+$A30-1,1)-1)</f>
        <v/>
      </c>
      <c r="HX30" s="9" t="str">
        <f ca="1">IF(OR(HX3="",HX$28&lt;$A30),"",HX3/OFFSET(SSAutESP!$A$2,MATCH(HX$29,SSAutESP!$A$2:$A$500)+$A30-1,1)-1)</f>
        <v/>
      </c>
      <c r="HY30" s="9" t="str">
        <f ca="1">IF(OR(HY3="",HY$28&lt;$A30),"",HY3/OFFSET(SSAutESP!$A$2,MATCH(HY$29,SSAutESP!$A$2:$A$500)+$A30-1,1)-1)</f>
        <v/>
      </c>
      <c r="HZ30" s="9" t="str">
        <f ca="1">IF(OR(HZ3="",HZ$28&lt;$A30),"",HZ3/OFFSET(SSAutESP!$A$2,MATCH(HZ$29,SSAutESP!$A$2:$A$500)+$A30-1,1)-1)</f>
        <v/>
      </c>
      <c r="IA30" s="9" t="str">
        <f ca="1">IF(OR(IA3="",IA$28&lt;$A30),"",IA3/OFFSET(SSAutESP!$A$2,MATCH(IA$29,SSAutESP!$A$2:$A$500)+$A30-1,1)-1)</f>
        <v/>
      </c>
      <c r="IB30" s="9" t="str">
        <f ca="1">IF(OR(IB3="",IB$28&lt;$A30),"",IB3/OFFSET(SSAutESP!$A$2,MATCH(IB$29,SSAutESP!$A$2:$A$500)+$A30-1,1)-1)</f>
        <v/>
      </c>
      <c r="IC30" s="9" t="str">
        <f ca="1">IF(OR(IC3="",IC$28&lt;$A30),"",IC3/OFFSET(SSAutESP!$A$2,MATCH(IC$29,SSAutESP!$A$2:$A$500)+$A30-1,1)-1)</f>
        <v/>
      </c>
      <c r="ID30" s="9" t="str">
        <f ca="1">IF(OR(ID3="",ID$28&lt;$A30),"",ID3/OFFSET(SSAutESP!$A$2,MATCH(ID$29,SSAutESP!$A$2:$A$500)+$A30-1,1)-1)</f>
        <v/>
      </c>
      <c r="IE30" s="9" t="str">
        <f ca="1">IF(OR(IE3="",IE$28&lt;$A30),"",IE3/OFFSET(SSAutESP!$A$2,MATCH(IE$29,SSAutESP!$A$2:$A$500)+$A30-1,1)-1)</f>
        <v/>
      </c>
      <c r="IF30" s="9" t="str">
        <f ca="1">IF(OR(IF3="",IF$28&lt;$A30),"",IF3/OFFSET(SSAutESP!$A$2,MATCH(IF$29,SSAutESP!$A$2:$A$500)+$A30-1,1)-1)</f>
        <v/>
      </c>
      <c r="IG30" s="9" t="str">
        <f ca="1">IF(OR(IG3="",IG$28&lt;$A30),"",IG3/OFFSET(SSAutESP!$A$2,MATCH(IG$29,SSAutESP!$A$2:$A$500)+$A30-1,1)-1)</f>
        <v/>
      </c>
      <c r="IH30" s="9" t="str">
        <f ca="1">IF(OR(IH3="",IH$28&lt;$A30),"",IH3/OFFSET(SSAutESP!$A$2,MATCH(IH$29,SSAutESP!$A$2:$A$500)+$A30-1,1)-1)</f>
        <v/>
      </c>
      <c r="II30" s="9" t="str">
        <f ca="1">IF(OR(II3="",II$28&lt;$A30),"",II3/OFFSET(SSAutESP!$A$2,MATCH(II$29,SSAutESP!$A$2:$A$500)+$A30-1,1)-1)</f>
        <v/>
      </c>
      <c r="IJ30" s="9" t="str">
        <f ca="1">IF(OR(IJ3="",IJ$28&lt;$A30),"",IJ3/OFFSET(SSAutESP!$A$2,MATCH(IJ$29,SSAutESP!$A$2:$A$500)+$A30-1,1)-1)</f>
        <v/>
      </c>
      <c r="IK30" s="9" t="str">
        <f ca="1">IF(OR(IK3="",IK$28&lt;$A30),"",IK3/OFFSET(SSAutESP!$A$2,MATCH(IK$29,SSAutESP!$A$2:$A$500)+$A30-1,1)-1)</f>
        <v/>
      </c>
      <c r="IL30" s="9" t="str">
        <f ca="1">IF(OR(IL3="",IL$28&lt;$A30),"",IL3/OFFSET(SSAutESP!$A$2,MATCH(IL$29,SSAutESP!$A$2:$A$500)+$A30-1,1)-1)</f>
        <v/>
      </c>
      <c r="IM30" s="9" t="str">
        <f ca="1">IF(OR(IM3="",IM$28&lt;$A30),"",IM3/OFFSET(SSAutESP!$A$2,MATCH(IM$29,SSAutESP!$A$2:$A$500)+$A30-1,1)-1)</f>
        <v/>
      </c>
      <c r="IN30" s="9" t="str">
        <f ca="1">IF(OR(IN3="",IN$28&lt;$A30),"",IN3/OFFSET(SSAutESP!$A$2,MATCH(IN$29,SSAutESP!$A$2:$A$500)+$A30-1,1)-1)</f>
        <v/>
      </c>
      <c r="IO30" s="9" t="str">
        <f ca="1">IF(OR(IO3="",IO$28&lt;$A30),"",IO3/OFFSET(SSAutESP!$A$2,MATCH(IO$29,SSAutESP!$A$2:$A$500)+$A30-1,1)-1)</f>
        <v/>
      </c>
      <c r="IP30" s="9" t="str">
        <f ca="1">IF(OR(IP3="",IP$28&lt;$A30),"",IP3/OFFSET(SSAutESP!$A$2,MATCH(IP$29,SSAutESP!$A$2:$A$500)+$A30-1,1)-1)</f>
        <v/>
      </c>
      <c r="IQ30" s="9" t="str">
        <f ca="1">IF(OR(IQ3="",IQ$28&lt;$A30),"",IQ3/OFFSET(SSAutESP!$A$2,MATCH(IQ$29,SSAutESP!$A$2:$A$500)+$A30-1,1)-1)</f>
        <v/>
      </c>
      <c r="IR30" s="9" t="str">
        <f ca="1">IF(OR(IR3="",IR$28&lt;$A30),"",IR3/OFFSET(SSAutESP!$A$2,MATCH(IR$29,SSAutESP!$A$2:$A$500)+$A30-1,1)-1)</f>
        <v/>
      </c>
      <c r="IS30" s="9" t="str">
        <f ca="1">IF(OR(IS3="",IS$28&lt;$A30),"",IS3/OFFSET(SSAutESP!$A$2,MATCH(IS$29,SSAutESP!$A$2:$A$500)+$A30-1,1)-1)</f>
        <v/>
      </c>
      <c r="IT30" s="9" t="str">
        <f ca="1">IF(OR(IT3="",IT$28&lt;$A30),"",IT3/OFFSET(SSAutESP!$A$2,MATCH(IT$29,SSAutESP!$A$2:$A$500)+$A30-1,1)-1)</f>
        <v/>
      </c>
      <c r="IU30" s="9" t="str">
        <f ca="1">IF(OR(IU3="",IU$28&lt;$A30),"",IU3/OFFSET(SSAutESP!$A$2,MATCH(IU$29,SSAutESP!$A$2:$A$500)+$A30-1,1)-1)</f>
        <v/>
      </c>
      <c r="IV30" s="9" t="str">
        <f ca="1">IF(OR(IV3="",IV$28&lt;$A30),"",IV3/OFFSET(SSAutESP!$A$2,MATCH(IV$29,SSAutESP!$A$2:$A$500)+$A30-1,1)-1)</f>
        <v/>
      </c>
      <c r="IW30" s="9" t="str">
        <f ca="1">IF(OR(IW3="",IW$28&lt;$A30),"",IW3/OFFSET(SSAutESP!$A$2,MATCH(IW$29,SSAutESP!$A$2:$A$500)+$A30-1,1)-1)</f>
        <v/>
      </c>
      <c r="IX30" s="9" t="str">
        <f ca="1">IF(OR(IX3="",IX$28&lt;$A30),"",IX3/OFFSET(SSAutESP!$A$2,MATCH(IX$29,SSAutESP!$A$2:$A$500)+$A30-1,1)-1)</f>
        <v/>
      </c>
      <c r="IY30" s="9" t="str">
        <f ca="1">IF(OR(IY3="",IY$28&lt;$A30),"",IY3/OFFSET(SSAutESP!$A$2,MATCH(IY$29,SSAutESP!$A$2:$A$500)+$A30-1,1)-1)</f>
        <v/>
      </c>
      <c r="IZ30" s="9" t="str">
        <f ca="1">IF(OR(IZ3="",IZ$28&lt;$A30),"",IZ3/OFFSET(SSAutESP!$A$2,MATCH(IZ$29,SSAutESP!$A$2:$A$500)+$A30-1,1)-1)</f>
        <v/>
      </c>
      <c r="JA30" s="9" t="str">
        <f ca="1">IF(OR(JA3="",JA$28&lt;$A30),"",JA3/OFFSET(SSAutESP!$A$2,MATCH(JA$29,SSAutESP!$A$2:$A$500)+$A30-1,1)-1)</f>
        <v/>
      </c>
      <c r="JB30" s="9" t="str">
        <f ca="1">IF(OR(JB3="",JB$28&lt;$A30),"",JB3/OFFSET(SSAutESP!$A$2,MATCH(JB$29,SSAutESP!$A$2:$A$500)+$A30-1,1)-1)</f>
        <v/>
      </c>
      <c r="JC30" s="9" t="str">
        <f ca="1">IF(OR(JC3="",JC$28&lt;$A30),"",JC3/OFFSET(SSAutESP!$A$2,MATCH(JC$29,SSAutESP!$A$2:$A$500)+$A30-1,1)-1)</f>
        <v/>
      </c>
      <c r="JD30" s="9" t="str">
        <f ca="1">IF(OR(JD3="",JD$28&lt;$A30),"",JD3/OFFSET(SSAutESP!$A$2,MATCH(JD$29,SSAutESP!$A$2:$A$500)+$A30-1,1)-1)</f>
        <v/>
      </c>
      <c r="JE30" s="9" t="str">
        <f ca="1">IF(OR(JE3="",JE$28&lt;$A30),"",JE3/OFFSET(SSAutESP!$A$2,MATCH(JE$29,SSAutESP!$A$2:$A$500)+$A30-1,1)-1)</f>
        <v/>
      </c>
      <c r="JF30" s="9" t="str">
        <f ca="1">IF(OR(JF3="",JF$28&lt;$A30),"",JF3/OFFSET(SSAutESP!$A$2,MATCH(JF$29,SSAutESP!$A$2:$A$500)+$A30-1,1)-1)</f>
        <v/>
      </c>
      <c r="JG30" s="9" t="str">
        <f ca="1">IF(OR(JG3="",JG$28&lt;$A30),"",JG3/OFFSET(SSAutESP!$A$2,MATCH(JG$29,SSAutESP!$A$2:$A$500)+$A30-1,1)-1)</f>
        <v/>
      </c>
      <c r="JH30" s="9" t="str">
        <f ca="1">IF(OR(JH3="",JH$28&lt;$A30),"",JH3/OFFSET(SSAutESP!$A$2,MATCH(JH$29,SSAutESP!$A$2:$A$500)+$A30-1,1)-1)</f>
        <v/>
      </c>
      <c r="JI30" s="13">
        <f t="shared" ref="JI30:JI41" ca="1" si="13">AVERAGE(OFFSET($B30,0,Inicio-1,1,Amplitud))</f>
        <v>1.2979558589761917E-4</v>
      </c>
      <c r="JJ30" s="13">
        <f t="shared" ref="JJ30:JJ41" ca="1" si="14">MEDIAN(OFFSET($B30,0,Inicio-1,1,Amplitud))</f>
        <v>-1.6393504812972637E-4</v>
      </c>
      <c r="JK30" s="14">
        <f t="shared" ref="JK30:JK41" ca="1" si="15">VARP(OFFSET($B30,0,Inicio-1,1,Amplitud))</f>
        <v>1.2884439032141622E-5</v>
      </c>
      <c r="JL30" s="17">
        <f ca="1">SQRT(JK30)</f>
        <v>3.5894900796828539E-3</v>
      </c>
      <c r="JM30" s="15" t="str">
        <f t="shared" ref="JM30:JM41" ca="1" si="16">CONCATENATE("[ ",TEXT(JI30-2*JL30,"0,00%")," ; ",TEXT(JI30+2*JL30,"0,00%")," ]")</f>
        <v>[ -0,70% ; 0,73% ]</v>
      </c>
      <c r="JN30" s="17">
        <f t="shared" ref="JN30:JN41" ca="1" si="17">JL30*JN$29</f>
        <v>4.5945473019940531E-3</v>
      </c>
      <c r="LY30" s="1"/>
    </row>
    <row r="31" spans="1:337" x14ac:dyDescent="0.25">
      <c r="A31" s="4">
        <v>2</v>
      </c>
      <c r="B31" s="9">
        <f ca="1">IF(OR(B4="",B$28&lt;$A31),"",B4/OFFSET(SSAutESP!$A$2,MATCH(B$29,SSAutESP!$A$2:$A$500)+$A31-1,1)-1)</f>
        <v>-1.6125573067308219E-3</v>
      </c>
      <c r="C31" s="9">
        <f ca="1">IF(OR(C4="",C$28&lt;$A31),"",C4/OFFSET(SSAutESP!$A$2,MATCH(C$29,SSAutESP!$A$2:$A$500)+$A31-1,1)-1)</f>
        <v>-1.3951487913309579E-3</v>
      </c>
      <c r="D31" s="9">
        <f ca="1">IF(OR(D4="",D$28&lt;$A31),"",D4/OFFSET(SSAutESP!$A$2,MATCH(D$29,SSAutESP!$A$2:$A$500)+$A31-1,1)-1)</f>
        <v>-7.5406694114432682E-5</v>
      </c>
      <c r="E31" s="9">
        <f ca="1">IF(OR(E4="",E$28&lt;$A31),"",E4/OFFSET(SSAutESP!$A$2,MATCH(E$29,SSAutESP!$A$2:$A$500)+$A31-1,1)-1)</f>
        <v>1.1762532194181663E-3</v>
      </c>
      <c r="F31" s="9">
        <f ca="1">IF(OR(F4="",F$28&lt;$A31),"",F4/OFFSET(SSAutESP!$A$2,MATCH(F$29,SSAutESP!$A$2:$A$500)+$A31-1,1)-1)</f>
        <v>6.78148418281177E-4</v>
      </c>
      <c r="G31" s="9">
        <f ca="1">IF(OR(G4="",G$28&lt;$A31),"",G4/OFFSET(SSAutESP!$A$2,MATCH(G$29,SSAutESP!$A$2:$A$500)+$A31-1,1)-1)</f>
        <v>6.1534211769509461E-4</v>
      </c>
      <c r="H31" s="9">
        <f ca="1">IF(OR(H4="",H$28&lt;$A31),"",H4/OFFSET(SSAutESP!$A$2,MATCH(H$29,SSAutESP!$A$2:$A$500)+$A31-1,1)-1)</f>
        <v>1.4204166762690207E-3</v>
      </c>
      <c r="I31" s="9">
        <f ca="1">IF(OR(I4="",I$28&lt;$A31),"",I4/OFFSET(SSAutESP!$A$2,MATCH(I$29,SSAutESP!$A$2:$A$500)+$A31-1,1)-1)</f>
        <v>1.3387717530390919E-3</v>
      </c>
      <c r="J31" s="9">
        <f ca="1">IF(OR(J4="",J$28&lt;$A31),"",J4/OFFSET(SSAutESP!$A$2,MATCH(J$29,SSAutESP!$A$2:$A$500)+$A31-1,1)-1)</f>
        <v>2.09019192886295E-4</v>
      </c>
      <c r="K31" s="9">
        <f ca="1">IF(OR(K4="",K$28&lt;$A31),"",K4/OFFSET(SSAutESP!$A$2,MATCH(K$29,SSAutESP!$A$2:$A$500)+$A31-1,1)-1)</f>
        <v>-4.735184953691407E-4</v>
      </c>
      <c r="L31" s="9">
        <f ca="1">IF(OR(L4="",L$28&lt;$A31),"",L4/OFFSET(SSAutESP!$A$2,MATCH(L$29,SSAutESP!$A$2:$A$500)+$A31-1,1)-1)</f>
        <v>-1.5238860323062431E-3</v>
      </c>
      <c r="M31" s="9">
        <f ca="1">IF(OR(M4="",M$28&lt;$A31),"",M4/OFFSET(SSAutESP!$A$2,MATCH(M$29,SSAutESP!$A$2:$A$500)+$A31-1,1)-1)</f>
        <v>-1.0347804705479469E-3</v>
      </c>
      <c r="N31" s="9">
        <f ca="1">IF(OR(N4="",N$28&lt;$A31),"",N4/OFFSET(SSAutESP!$A$2,MATCH(N$29,SSAutESP!$A$2:$A$500)+$A31-1,1)-1)</f>
        <v>1.0120918171532267E-3</v>
      </c>
      <c r="O31" s="9">
        <f ca="1">IF(OR(O4="",O$28&lt;$A31),"",O4/OFFSET(SSAutESP!$A$2,MATCH(O$29,SSAutESP!$A$2:$A$500)+$A31-1,1)-1)</f>
        <v>2.0759706850088655E-3</v>
      </c>
      <c r="P31" s="9">
        <f ca="1">IF(OR(P4="",P$28&lt;$A31),"",P4/OFFSET(SSAutESP!$A$2,MATCH(P$29,SSAutESP!$A$2:$A$500)+$A31-1,1)-1)</f>
        <v>1.2026132998745886E-3</v>
      </c>
      <c r="Q31" s="9">
        <f ca="1">IF(OR(Q4="",Q$28&lt;$A31),"",Q4/OFFSET(SSAutESP!$A$2,MATCH(Q$29,SSAutESP!$A$2:$A$500)+$A31-1,1)-1)</f>
        <v>1.1414280384378639E-3</v>
      </c>
      <c r="R31" s="9">
        <f ca="1">IF(OR(R4="",R$28&lt;$A31),"",R4/OFFSET(SSAutESP!$A$2,MATCH(R$29,SSAutESP!$A$2:$A$500)+$A31-1,1)-1)</f>
        <v>2.2501175811862062E-4</v>
      </c>
      <c r="S31" s="9">
        <f ca="1">IF(OR(S4="",S$28&lt;$A31),"",S4/OFFSET(SSAutESP!$A$2,MATCH(S$29,SSAutESP!$A$2:$A$500)+$A31-1,1)-1)</f>
        <v>5.6808441439004653E-4</v>
      </c>
      <c r="T31" s="9">
        <f ca="1">IF(OR(T4="",T$28&lt;$A31),"",T4/OFFSET(SSAutESP!$A$2,MATCH(T$29,SSAutESP!$A$2:$A$500)+$A31-1,1)-1)</f>
        <v>1.4043727462564881E-3</v>
      </c>
      <c r="U31" s="9">
        <f ca="1">IF(OR(U4="",U$28&lt;$A31),"",U4/OFFSET(SSAutESP!$A$2,MATCH(U$29,SSAutESP!$A$2:$A$500)+$A31-1,1)-1)</f>
        <v>-2.9142923784197805E-6</v>
      </c>
      <c r="V31" s="9">
        <f ca="1">IF(OR(V4="",V$28&lt;$A31),"",V4/OFFSET(SSAutESP!$A$2,MATCH(V$29,SSAutESP!$A$2:$A$500)+$A31-1,1)-1)</f>
        <v>-4.6348513269678371E-4</v>
      </c>
      <c r="W31" s="9">
        <f ca="1">IF(OR(W4="",W$28&lt;$A31),"",W4/OFFSET(SSAutESP!$A$2,MATCH(W$29,SSAutESP!$A$2:$A$500)+$A31-1,1)-1)</f>
        <v>-2.7639860914918657E-4</v>
      </c>
      <c r="X31" s="9">
        <f ca="1">IF(OR(X4="",X$28&lt;$A31),"",X4/OFFSET(SSAutESP!$A$2,MATCH(X$29,SSAutESP!$A$2:$A$500)+$A31-1,1)-1)</f>
        <v>-6.6141062474434076E-4</v>
      </c>
      <c r="Y31" s="9">
        <f ca="1">IF(OR(Y4="",Y$28&lt;$A31),"",Y4/OFFSET(SSAutESP!$A$2,MATCH(Y$29,SSAutESP!$A$2:$A$500)+$A31-1,1)-1)</f>
        <v>-2.4305122118750688E-4</v>
      </c>
      <c r="Z31" s="9">
        <f ca="1">IF(OR(Z4="",Z$28&lt;$A31),"",Z4/OFFSET(SSAutESP!$A$2,MATCH(Z$29,SSAutESP!$A$2:$A$500)+$A31-1,1)-1)</f>
        <v>4.1305401454705404E-4</v>
      </c>
      <c r="AA31" s="9">
        <f ca="1">IF(OR(AA4="",AA$28&lt;$A31),"",AA4/OFFSET(SSAutESP!$A$2,MATCH(AA$29,SSAutESP!$A$2:$A$500)+$A31-1,1)-1)</f>
        <v>6.6667100623774012E-4</v>
      </c>
      <c r="AB31" s="9">
        <f ca="1">IF(OR(AB4="",AB$28&lt;$A31),"",AB4/OFFSET(SSAutESP!$A$2,MATCH(AB$29,SSAutESP!$A$2:$A$500)+$A31-1,1)-1)</f>
        <v>1.0133831021339468E-3</v>
      </c>
      <c r="AC31" s="9">
        <f ca="1">IF(OR(AC4="",AC$28&lt;$A31),"",AC4/OFFSET(SSAutESP!$A$2,MATCH(AC$29,SSAutESP!$A$2:$A$500)+$A31-1,1)-1)</f>
        <v>-8.913521560511839E-4</v>
      </c>
      <c r="AD31" s="9">
        <f ca="1">IF(OR(AD4="",AD$28&lt;$A31),"",AD4/OFFSET(SSAutESP!$A$2,MATCH(AD$29,SSAutESP!$A$2:$A$500)+$A31-1,1)-1)</f>
        <v>-3.4356952503844518E-4</v>
      </c>
      <c r="AE31" s="9">
        <f ca="1">IF(OR(AE4="",AE$28&lt;$A31),"",AE4/OFFSET(SSAutESP!$A$2,MATCH(AE$29,SSAutESP!$A$2:$A$500)+$A31-1,1)-1)</f>
        <v>7.9620720893625041E-4</v>
      </c>
      <c r="AF31" s="9">
        <f ca="1">IF(OR(AF4="",AF$28&lt;$A31),"",AF4/OFFSET(SSAutESP!$A$2,MATCH(AF$29,SSAutESP!$A$2:$A$500)+$A31-1,1)-1)</f>
        <v>7.0172469787443958E-4</v>
      </c>
      <c r="AG31" s="9">
        <f ca="1">IF(OR(AG4="",AG$28&lt;$A31),"",AG4/OFFSET(SSAutESP!$A$2,MATCH(AG$29,SSAutESP!$A$2:$A$500)+$A31-1,1)-1)</f>
        <v>-2.6526624540745836E-4</v>
      </c>
      <c r="AH31" s="9">
        <f ca="1">IF(OR(AH4="",AH$28&lt;$A31),"",AH4/OFFSET(SSAutESP!$A$2,MATCH(AH$29,SSAutESP!$A$2:$A$500)+$A31-1,1)-1)</f>
        <v>-2.0803543956676718E-3</v>
      </c>
      <c r="AI31" s="9">
        <f ca="1">IF(OR(AI4="",AI$28&lt;$A31),"",AI4/OFFSET(SSAutESP!$A$2,MATCH(AI$29,SSAutESP!$A$2:$A$500)+$A31-1,1)-1)</f>
        <v>-1.2364598810101768E-3</v>
      </c>
      <c r="AJ31" s="9">
        <f ca="1">IF(OR(AJ4="",AJ$28&lt;$A31),"",AJ4/OFFSET(SSAutESP!$A$2,MATCH(AJ$29,SSAutESP!$A$2:$A$500)+$A31-1,1)-1)</f>
        <v>-7.7038599490764081E-4</v>
      </c>
      <c r="AK31" s="9">
        <f ca="1">IF(OR(AK4="",AK$28&lt;$A31),"",AK4/OFFSET(SSAutESP!$A$2,MATCH(AK$29,SSAutESP!$A$2:$A$500)+$A31-1,1)-1)</f>
        <v>-1.2703246203570329E-3</v>
      </c>
      <c r="AL31" s="9">
        <f ca="1">IF(OR(AL4="",AL$28&lt;$A31),"",AL4/OFFSET(SSAutESP!$A$2,MATCH(AL$29,SSAutESP!$A$2:$A$500)+$A31-1,1)-1)</f>
        <v>-1.3631874207636896E-3</v>
      </c>
      <c r="AM31" s="9">
        <f ca="1">IF(OR(AM4="",AM$28&lt;$A31),"",AM4/OFFSET(SSAutESP!$A$2,MATCH(AM$29,SSAutESP!$A$2:$A$500)+$A31-1,1)-1)</f>
        <v>-1.6117391544249182E-3</v>
      </c>
      <c r="AN31" s="9">
        <f ca="1">IF(OR(AN4="",AN$28&lt;$A31),"",AN4/OFFSET(SSAutESP!$A$2,MATCH(AN$29,SSAutESP!$A$2:$A$500)+$A31-1,1)-1)</f>
        <v>-9.4055314273400192E-4</v>
      </c>
      <c r="AO31" s="9">
        <f ca="1">IF(OR(AO4="",AO$28&lt;$A31),"",AO4/OFFSET(SSAutESP!$A$2,MATCH(AO$29,SSAutESP!$A$2:$A$500)+$A31-1,1)-1)</f>
        <v>5.2120123753551795E-5</v>
      </c>
      <c r="AP31" s="9">
        <f ca="1">IF(OR(AP4="",AP$28&lt;$A31),"",AP4/OFFSET(SSAutESP!$A$2,MATCH(AP$29,SSAutESP!$A$2:$A$500)+$A31-1,1)-1)</f>
        <v>-3.0075974668675176E-4</v>
      </c>
      <c r="AQ31" s="9">
        <f ca="1">IF(OR(AQ4="",AQ$28&lt;$A31),"",AQ4/OFFSET(SSAutESP!$A$2,MATCH(AQ$29,SSAutESP!$A$2:$A$500)+$A31-1,1)-1)</f>
        <v>-1.0591928955663299E-3</v>
      </c>
      <c r="AR31" s="9">
        <f ca="1">IF(OR(AR4="",AR$28&lt;$A31),"",AR4/OFFSET(SSAutESP!$A$2,MATCH(AR$29,SSAutESP!$A$2:$A$500)+$A31-1,1)-1)</f>
        <v>6.3221470790897349E-4</v>
      </c>
      <c r="AS31" s="9">
        <f ca="1">IF(OR(AS4="",AS$28&lt;$A31),"",AS4/OFFSET(SSAutESP!$A$2,MATCH(AS$29,SSAutESP!$A$2:$A$500)+$A31-1,1)-1)</f>
        <v>7.3859471903592322E-4</v>
      </c>
      <c r="AT31" s="9">
        <f ca="1">IF(OR(AT4="",AT$28&lt;$A31),"",AT4/OFFSET(SSAutESP!$A$2,MATCH(AT$29,SSAutESP!$A$2:$A$500)+$A31-1,1)-1)</f>
        <v>-1.1613275449239291E-3</v>
      </c>
      <c r="AU31" s="9">
        <f ca="1">IF(OR(AU4="",AU$28&lt;$A31),"",AU4/OFFSET(SSAutESP!$A$2,MATCH(AU$29,SSAutESP!$A$2:$A$500)+$A31-1,1)-1)</f>
        <v>5.4126229965056893E-4</v>
      </c>
      <c r="AV31" s="9">
        <f ca="1">IF(OR(AV4="",AV$28&lt;$A31),"",AV4/OFFSET(SSAutESP!$A$2,MATCH(AV$29,SSAutESP!$A$2:$A$500)+$A31-1,1)-1)</f>
        <v>1.8538998704766829E-3</v>
      </c>
      <c r="AW31" s="9">
        <f ca="1">IF(OR(AW4="",AW$28&lt;$A31),"",AW4/OFFSET(SSAutESP!$A$2,MATCH(AW$29,SSAutESP!$A$2:$A$500)+$A31-1,1)-1)</f>
        <v>1.9485734174082836E-3</v>
      </c>
      <c r="AX31" s="9">
        <f ca="1">IF(OR(AX4="",AX$28&lt;$A31),"",AX4/OFFSET(SSAutESP!$A$2,MATCH(AX$29,SSAutESP!$A$2:$A$500)+$A31-1,1)-1)</f>
        <v>2.8340043016987781E-3</v>
      </c>
      <c r="AY31" s="9">
        <f ca="1">IF(OR(AY4="",AY$28&lt;$A31),"",AY4/OFFSET(SSAutESP!$A$2,MATCH(AY$29,SSAutESP!$A$2:$A$500)+$A31-1,1)-1)</f>
        <v>3.624453373987091E-3</v>
      </c>
      <c r="AZ31" s="9">
        <f ca="1">IF(OR(AZ4="",AZ$28&lt;$A31),"",AZ4/OFFSET(SSAutESP!$A$2,MATCH(AZ$29,SSAutESP!$A$2:$A$500)+$A31-1,1)-1)</f>
        <v>5.6088827264395569E-3</v>
      </c>
      <c r="BA31" s="9">
        <f ca="1">IF(OR(BA4="",BA$28&lt;$A31),"",BA4/OFFSET(SSAutESP!$A$2,MATCH(BA$29,SSAutESP!$A$2:$A$500)+$A31-1,1)-1)</f>
        <v>5.4432026686352941E-3</v>
      </c>
      <c r="BB31" s="9">
        <f ca="1">IF(OR(BB4="",BB$28&lt;$A31),"",BB4/OFFSET(SSAutESP!$A$2,MATCH(BB$29,SSAutESP!$A$2:$A$500)+$A31-1,1)-1)</f>
        <v>3.6337123236815927E-3</v>
      </c>
      <c r="BC31" s="9">
        <f ca="1">IF(OR(BC4="",BC$28&lt;$A31),"",BC4/OFFSET(SSAutESP!$A$2,MATCH(BC$29,SSAutESP!$A$2:$A$500)+$A31-1,1)-1)</f>
        <v>4.4182736317344151E-4</v>
      </c>
      <c r="BD31" s="9">
        <f ca="1">IF(OR(BD4="",BD$28&lt;$A31),"",BD4/OFFSET(SSAutESP!$A$2,MATCH(BD$29,SSAutESP!$A$2:$A$500)+$A31-1,1)-1)</f>
        <v>2.4770344481530593E-3</v>
      </c>
      <c r="BE31" s="9">
        <f ca="1">IF(OR(BE4="",BE$28&lt;$A31),"",BE4/OFFSET(SSAutESP!$A$2,MATCH(BE$29,SSAutESP!$A$2:$A$500)+$A31-1,1)-1)</f>
        <v>5.5412398997978229E-4</v>
      </c>
      <c r="BF31" s="9">
        <f ca="1">IF(OR(BF4="",BF$28&lt;$A31),"",BF4/OFFSET(SSAutESP!$A$2,MATCH(BF$29,SSAutESP!$A$2:$A$500)+$A31-1,1)-1)</f>
        <v>1.1790089334895448E-3</v>
      </c>
      <c r="BG31" s="9">
        <f ca="1">IF(OR(BG4="",BG$28&lt;$A31),"",BG4/OFFSET(SSAutESP!$A$2,MATCH(BG$29,SSAutESP!$A$2:$A$500)+$A31-1,1)-1)</f>
        <v>5.6201701703308959E-3</v>
      </c>
      <c r="BH31" s="9">
        <f ca="1">IF(OR(BH4="",BH$28&lt;$A31),"",BH4/OFFSET(SSAutESP!$A$2,MATCH(BH$29,SSAutESP!$A$2:$A$500)+$A31-1,1)-1)</f>
        <v>3.4650706110086471E-3</v>
      </c>
      <c r="BI31" s="9">
        <f ca="1">IF(OR(BI4="",BI$28&lt;$A31),"",BI4/OFFSET(SSAutESP!$A$2,MATCH(BI$29,SSAutESP!$A$2:$A$500)+$A31-1,1)-1)</f>
        <v>4.6268799577542374E-3</v>
      </c>
      <c r="BJ31" s="9">
        <f ca="1">IF(OR(BJ4="",BJ$28&lt;$A31),"",BJ4/OFFSET(SSAutESP!$A$2,MATCH(BJ$29,SSAutESP!$A$2:$A$500)+$A31-1,1)-1)</f>
        <v>8.2004193174525231E-3</v>
      </c>
      <c r="BK31" s="9">
        <f ca="1">IF(OR(BK4="",BK$28&lt;$A31),"",BK4/OFFSET(SSAutESP!$A$2,MATCH(BK$29,SSAutESP!$A$2:$A$500)+$A31-1,1)-1)</f>
        <v>1.3352346772061985E-3</v>
      </c>
      <c r="BL31" s="9">
        <f ca="1">IF(OR(BL4="",BL$28&lt;$A31),"",BL4/OFFSET(SSAutESP!$A$2,MATCH(BL$29,SSAutESP!$A$2:$A$500)+$A31-1,1)-1)</f>
        <v>-3.0864303235188517E-3</v>
      </c>
      <c r="BM31" s="9">
        <f ca="1">IF(OR(BM4="",BM$28&lt;$A31),"",BM4/OFFSET(SSAutESP!$A$2,MATCH(BM$29,SSAutESP!$A$2:$A$500)+$A31-1,1)-1)</f>
        <v>-4.4833667648425113E-3</v>
      </c>
      <c r="BN31" s="9">
        <f ca="1">IF(OR(BN4="",BN$28&lt;$A31),"",BN4/OFFSET(SSAutESP!$A$2,MATCH(BN$29,SSAutESP!$A$2:$A$500)+$A31-1,1)-1)</f>
        <v>-3.7561896498811143E-3</v>
      </c>
      <c r="BO31" s="9">
        <f ca="1">IF(OR(BO4="",BO$28&lt;$A31),"",BO4/OFFSET(SSAutESP!$A$2,MATCH(BO$29,SSAutESP!$A$2:$A$500)+$A31-1,1)-1)</f>
        <v>-1.2957347017912291E-3</v>
      </c>
      <c r="BP31" s="9">
        <f ca="1">IF(OR(BP4="",BP$28&lt;$A31),"",BP4/OFFSET(SSAutESP!$A$2,MATCH(BP$29,SSAutESP!$A$2:$A$500)+$A31-1,1)-1)</f>
        <v>-7.9433262580108632E-4</v>
      </c>
      <c r="BQ31" s="9">
        <f ca="1">IF(OR(BQ4="",BQ$28&lt;$A31),"",BQ4/OFFSET(SSAutESP!$A$2,MATCH(BQ$29,SSAutESP!$A$2:$A$500)+$A31-1,1)-1)</f>
        <v>-4.3596653017310416E-3</v>
      </c>
      <c r="BR31" s="9">
        <f ca="1">IF(OR(BR4="",BR$28&lt;$A31),"",BR4/OFFSET(SSAutESP!$A$2,MATCH(BR$29,SSAutESP!$A$2:$A$500)+$A31-1,1)-1)</f>
        <v>-2.0735371456049867E-3</v>
      </c>
      <c r="BS31" s="9">
        <f ca="1">IF(OR(BS4="",BS$28&lt;$A31),"",BS4/OFFSET(SSAutESP!$A$2,MATCH(BS$29,SSAutESP!$A$2:$A$500)+$A31-1,1)-1)</f>
        <v>1.2369237595808436E-3</v>
      </c>
      <c r="BT31" s="9">
        <f ca="1">IF(OR(BT4="",BT$28&lt;$A31),"",BT4/OFFSET(SSAutESP!$A$2,MATCH(BT$29,SSAutESP!$A$2:$A$500)+$A31-1,1)-1)</f>
        <v>-1.7676599266764903E-3</v>
      </c>
      <c r="BU31" s="9">
        <f ca="1">IF(OR(BU4="",BU$28&lt;$A31),"",BU4/OFFSET(SSAutESP!$A$2,MATCH(BU$29,SSAutESP!$A$2:$A$500)+$A31-1,1)-1)</f>
        <v>-3.7824605976367609E-3</v>
      </c>
      <c r="BV31" s="9">
        <f ca="1">IF(OR(BV4="",BV$28&lt;$A31),"",BV4/OFFSET(SSAutESP!$A$2,MATCH(BV$29,SSAutESP!$A$2:$A$500)+$A31-1,1)-1)</f>
        <v>-1.0363751188220416E-3</v>
      </c>
      <c r="BW31" s="9">
        <f ca="1">IF(OR(BW4="",BW$28&lt;$A31),"",BW4/OFFSET(SSAutESP!$A$2,MATCH(BW$29,SSAutESP!$A$2:$A$500)+$A31-1,1)-1)</f>
        <v>2.2187083154803222E-3</v>
      </c>
      <c r="BX31" s="9">
        <f ca="1">IF(OR(BX4="",BX$28&lt;$A31),"",BX4/OFFSET(SSAutESP!$A$2,MATCH(BX$29,SSAutESP!$A$2:$A$500)+$A31-1,1)-1)</f>
        <v>-2.3523990145489782E-3</v>
      </c>
      <c r="BY31" s="9">
        <f ca="1">IF(OR(BY4="",BY$28&lt;$A31),"",BY4/OFFSET(SSAutESP!$A$2,MATCH(BY$29,SSAutESP!$A$2:$A$500)+$A31-1,1)-1)</f>
        <v>-2.2066496898613952E-3</v>
      </c>
      <c r="BZ31" s="9">
        <f ca="1">IF(OR(BZ4="",BZ$28&lt;$A31),"",BZ4/OFFSET(SSAutESP!$A$2,MATCH(BZ$29,SSAutESP!$A$2:$A$500)+$A31-1,1)-1)</f>
        <v>-2.3791541157596185E-3</v>
      </c>
      <c r="CA31" s="9">
        <f ca="1">IF(OR(CA4="",CA$28&lt;$A31),"",CA4/OFFSET(SSAutESP!$A$2,MATCH(CA$29,SSAutESP!$A$2:$A$500)+$A31-1,1)-1)</f>
        <v>-1.2207145212894677E-4</v>
      </c>
      <c r="CB31" s="9">
        <f ca="1">IF(OR(CB4="",CB$28&lt;$A31),"",CB4/OFFSET(SSAutESP!$A$2,MATCH(CB$29,SSAutESP!$A$2:$A$500)+$A31-1,1)-1)</f>
        <v>2.1531349734873473E-3</v>
      </c>
      <c r="CC31" s="9">
        <f ca="1">IF(OR(CC4="",CC$28&lt;$A31),"",CC4/OFFSET(SSAutESP!$A$2,MATCH(CC$29,SSAutESP!$A$2:$A$500)+$A31-1,1)-1)</f>
        <v>1.192723816256791E-3</v>
      </c>
      <c r="CD31" s="9">
        <f ca="1">IF(OR(CD4="",CD$28&lt;$A31),"",CD4/OFFSET(SSAutESP!$A$2,MATCH(CD$29,SSAutESP!$A$2:$A$500)+$A31-1,1)-1)</f>
        <v>-2.1312009987988212E-3</v>
      </c>
      <c r="CE31" s="9">
        <f ca="1">IF(OR(CE4="",CE$28&lt;$A31),"",CE4/OFFSET(SSAutESP!$A$2,MATCH(CE$29,SSAutESP!$A$2:$A$500)+$A31-1,1)-1)</f>
        <v>-1.1306492767502174E-3</v>
      </c>
      <c r="CF31" s="9">
        <f ca="1">IF(OR(CF4="",CF$28&lt;$A31),"",CF4/OFFSET(SSAutESP!$A$2,MATCH(CF$29,SSAutESP!$A$2:$A$500)+$A31-1,1)-1)</f>
        <v>1.6742907475153501E-4</v>
      </c>
      <c r="CG31" s="9">
        <f ca="1">IF(OR(CG4="",CG$28&lt;$A31),"",CG4/OFFSET(SSAutESP!$A$2,MATCH(CG$29,SSAutESP!$A$2:$A$500)+$A31-1,1)-1)</f>
        <v>2.7501275533192704E-4</v>
      </c>
      <c r="CH31" s="9">
        <f ca="1">IF(OR(CH4="",CH$28&lt;$A31),"",CH4/OFFSET(SSAutESP!$A$2,MATCH(CH$29,SSAutESP!$A$2:$A$500)+$A31-1,1)-1)</f>
        <v>-2.0900533385559417E-4</v>
      </c>
      <c r="CI31" s="9">
        <f ca="1">IF(OR(CI4="",CI$28&lt;$A31),"",CI4/OFFSET(SSAutESP!$A$2,MATCH(CI$29,SSAutESP!$A$2:$A$500)+$A31-1,1)-1)</f>
        <v>-3.0542403371114357E-4</v>
      </c>
      <c r="CJ31" s="9">
        <f ca="1">IF(OR(CJ4="",CJ$28&lt;$A31),"",CJ4/OFFSET(SSAutESP!$A$2,MATCH(CJ$29,SSAutESP!$A$2:$A$500)+$A31-1,1)-1)</f>
        <v>-3.2023197816791749E-3</v>
      </c>
      <c r="CK31" s="9">
        <f ca="1">IF(OR(CK4="",CK$28&lt;$A31),"",CK4/OFFSET(SSAutESP!$A$2,MATCH(CK$29,SSAutESP!$A$2:$A$500)+$A31-1,1)-1)</f>
        <v>-1.6953870761149403E-3</v>
      </c>
      <c r="CL31" s="9">
        <f ca="1">IF(OR(CL4="",CL$28&lt;$A31),"",CL4/OFFSET(SSAutESP!$A$2,MATCH(CL$29,SSAutESP!$A$2:$A$500)+$A31-1,1)-1)</f>
        <v>1.3345958355577281E-3</v>
      </c>
      <c r="CM31" s="9">
        <f ca="1">IF(OR(CM4="",CM$28&lt;$A31),"",CM4/OFFSET(SSAutESP!$A$2,MATCH(CM$29,SSAutESP!$A$2:$A$500)+$A31-1,1)-1)</f>
        <v>2.4674267034068276E-3</v>
      </c>
      <c r="CN31" s="9">
        <f ca="1">IF(OR(CN4="",CN$28&lt;$A31),"",CN4/OFFSET(SSAutESP!$A$2,MATCH(CN$29,SSAutESP!$A$2:$A$500)+$A31-1,1)-1)</f>
        <v>8.8014115645740354E-4</v>
      </c>
      <c r="CO31" s="9">
        <f ca="1">IF(OR(CO4="",CO$28&lt;$A31),"",CO4/OFFSET(SSAutESP!$A$2,MATCH(CO$29,SSAutESP!$A$2:$A$500)+$A31-1,1)-1)</f>
        <v>-2.7855016681654909E-4</v>
      </c>
      <c r="CP31" s="9">
        <f ca="1">IF(OR(CP4="",CP$28&lt;$A31),"",CP4/OFFSET(SSAutESP!$A$2,MATCH(CP$29,SSAutESP!$A$2:$A$500)+$A31-1,1)-1)</f>
        <v>-5.5916858889082377E-4</v>
      </c>
      <c r="CQ31" s="9">
        <f ca="1">IF(OR(CQ4="",CQ$28&lt;$A31),"",CQ4/OFFSET(SSAutESP!$A$2,MATCH(CQ$29,SSAutESP!$A$2:$A$500)+$A31-1,1)-1)</f>
        <v>1.2926735441425308E-3</v>
      </c>
      <c r="CR31" s="9">
        <f ca="1">IF(OR(CR4="",CR$28&lt;$A31),"",CR4/OFFSET(SSAutESP!$A$2,MATCH(CR$29,SSAutESP!$A$2:$A$500)+$A31-1,1)-1)</f>
        <v>8.8852668023364778E-4</v>
      </c>
      <c r="CS31" s="9">
        <f ca="1">IF(OR(CS4="",CS$28&lt;$A31),"",CS4/OFFSET(SSAutESP!$A$2,MATCH(CS$29,SSAutESP!$A$2:$A$500)+$A31-1,1)-1)</f>
        <v>4.2717947233350539E-3</v>
      </c>
      <c r="CT31" s="9">
        <f ca="1">IF(OR(CT4="",CT$28&lt;$A31),"",CT4/OFFSET(SSAutESP!$A$2,MATCH(CT$29,SSAutESP!$A$2:$A$500)+$A31-1,1)-1)</f>
        <v>1.2201791877539669E-3</v>
      </c>
      <c r="CU31" s="9">
        <f ca="1">IF(OR(CU4="",CU$28&lt;$A31),"",CU4/OFFSET(SSAutESP!$A$2,MATCH(CU$29,SSAutESP!$A$2:$A$500)+$A31-1,1)-1)</f>
        <v>-4.2327432049994451E-3</v>
      </c>
      <c r="CV31" s="9">
        <f ca="1">IF(OR(CV4="",CV$28&lt;$A31),"",CV4/OFFSET(SSAutESP!$A$2,MATCH(CV$29,SSAutESP!$A$2:$A$500)+$A31-1,1)-1)</f>
        <v>-5.4254326810176945E-4</v>
      </c>
      <c r="CW31" s="9">
        <f ca="1">IF(OR(CW4="",CW$28&lt;$A31),"",CW4/OFFSET(SSAutESP!$A$2,MATCH(CW$29,SSAutESP!$A$2:$A$500)+$A31-1,1)-1)</f>
        <v>-3.1482297124063585E-4</v>
      </c>
      <c r="CX31" s="9">
        <f ca="1">IF(OR(CX4="",CX$28&lt;$A31),"",CX4/OFFSET(SSAutESP!$A$2,MATCH(CX$29,SSAutESP!$A$2:$A$500)+$A31-1,1)-1)</f>
        <v>-4.3897702414974482E-4</v>
      </c>
      <c r="CY31" s="9">
        <f ca="1">IF(OR(CY4="",CY$28&lt;$A31),"",CY4/OFFSET(SSAutESP!$A$2,MATCH(CY$29,SSAutESP!$A$2:$A$500)+$A31-1,1)-1)</f>
        <v>2.6086576506156867E-4</v>
      </c>
      <c r="CZ31" s="9">
        <f ca="1">IF(OR(CZ4="",CZ$28&lt;$A31),"",CZ4/OFFSET(SSAutESP!$A$2,MATCH(CZ$29,SSAutESP!$A$2:$A$500)+$A31-1,1)-1)</f>
        <v>2.1142505047326843E-3</v>
      </c>
      <c r="DA31" s="9">
        <f ca="1">IF(OR(DA4="",DA$28&lt;$A31),"",DA4/OFFSET(SSAutESP!$A$2,MATCH(DA$29,SSAutESP!$A$2:$A$500)+$A31-1,1)-1)</f>
        <v>2.4210117708594048E-3</v>
      </c>
      <c r="DB31" s="9">
        <f ca="1">IF(OR(DB4="",DB$28&lt;$A31),"",DB4/OFFSET(SSAutESP!$A$2,MATCH(DB$29,SSAutESP!$A$2:$A$500)+$A31-1,1)-1)</f>
        <v>-7.2008738571538444E-4</v>
      </c>
      <c r="DC31" s="9">
        <f ca="1">IF(OR(DC4="",DC$28&lt;$A31),"",DC4/OFFSET(SSAutESP!$A$2,MATCH(DC$29,SSAutESP!$A$2:$A$500)+$A31-1,1)-1)</f>
        <v>-1.0038017186009274E-4</v>
      </c>
      <c r="DD31" s="9">
        <f ca="1">IF(OR(DD4="",DD$28&lt;$A31),"",DD4/OFFSET(SSAutESP!$A$2,MATCH(DD$29,SSAutESP!$A$2:$A$500)+$A31-1,1)-1)</f>
        <v>-4.3885310801317079E-4</v>
      </c>
      <c r="DE31" s="9">
        <f ca="1">IF(OR(DE4="",DE$28&lt;$A31),"",DE4/OFFSET(SSAutESP!$A$2,MATCH(DE$29,SSAutESP!$A$2:$A$500)+$A31-1,1)-1)</f>
        <v>-1.5516653575359252E-3</v>
      </c>
      <c r="DF31" s="9">
        <f ca="1">IF(OR(DF4="",DF$28&lt;$A31),"",DF4/OFFSET(SSAutESP!$A$2,MATCH(DF$29,SSAutESP!$A$2:$A$500)+$A31-1,1)-1)</f>
        <v>2.3132062070412296E-3</v>
      </c>
      <c r="DG31" s="9">
        <f ca="1">IF(OR(DG4="",DG$28&lt;$A31),"",DG4/OFFSET(SSAutESP!$A$2,MATCH(DG$29,SSAutESP!$A$2:$A$500)+$A31-1,1)-1)</f>
        <v>3.9921087459249271E-4</v>
      </c>
      <c r="DH31" s="9">
        <f ca="1">IF(OR(DH4="",DH$28&lt;$A31),"",DH4/OFFSET(SSAutESP!$A$2,MATCH(DH$29,SSAutESP!$A$2:$A$500)+$A31-1,1)-1)</f>
        <v>-3.5523730573082668E-3</v>
      </c>
      <c r="DI31" s="9">
        <f ca="1">IF(OR(DI4="",DI$28&lt;$A31),"",DI4/OFFSET(SSAutESP!$A$2,MATCH(DI$29,SSAutESP!$A$2:$A$500)+$A31-1,1)-1)</f>
        <v>-4.4953131921831035E-3</v>
      </c>
      <c r="DJ31" s="9">
        <f ca="1">IF(OR(DJ4="",DJ$28&lt;$A31),"",DJ4/OFFSET(SSAutESP!$A$2,MATCH(DJ$29,SSAutESP!$A$2:$A$500)+$A31-1,1)-1)</f>
        <v>-1.9564289359584874E-3</v>
      </c>
      <c r="DK31" s="9">
        <f ca="1">IF(OR(DK4="",DK$28&lt;$A31),"",DK4/OFFSET(SSAutESP!$A$2,MATCH(DK$29,SSAutESP!$A$2:$A$500)+$A31-1,1)-1)</f>
        <v>-1.9973950089655634E-3</v>
      </c>
      <c r="DL31" s="9">
        <f ca="1">IF(OR(DL4="",DL$28&lt;$A31),"",DL4/OFFSET(SSAutESP!$A$2,MATCH(DL$29,SSAutESP!$A$2:$A$500)+$A31-1,1)-1)</f>
        <v>2.3475430931036989E-3</v>
      </c>
      <c r="DM31" s="9">
        <f ca="1">IF(OR(DM4="",DM$28&lt;$A31),"",DM4/OFFSET(SSAutESP!$A$2,MATCH(DM$29,SSAutESP!$A$2:$A$500)+$A31-1,1)-1)</f>
        <v>3.2909087225803102E-3</v>
      </c>
      <c r="DN31" s="9">
        <f ca="1">IF(OR(DN4="",DN$28&lt;$A31),"",DN4/OFFSET(SSAutESP!$A$2,MATCH(DN$29,SSAutESP!$A$2:$A$500)+$A31-1,1)-1)</f>
        <v>-3.2981183207052567E-3</v>
      </c>
      <c r="DO31" s="9">
        <f ca="1">IF(OR(DO4="",DO$28&lt;$A31),"",DO4/OFFSET(SSAutESP!$A$2,MATCH(DO$29,SSAutESP!$A$2:$A$500)+$A31-1,1)-1)</f>
        <v>-3.8590559641654698E-3</v>
      </c>
      <c r="DP31" s="9">
        <f ca="1">IF(OR(DP4="",DP$28&lt;$A31),"",DP4/OFFSET(SSAutESP!$A$2,MATCH(DP$29,SSAutESP!$A$2:$A$500)+$A31-1,1)-1)</f>
        <v>-4.3922959380964244E-3</v>
      </c>
      <c r="DQ31" s="9">
        <f ca="1">IF(OR(DQ4="",DQ$28&lt;$A31),"",DQ4/OFFSET(SSAutESP!$A$2,MATCH(DQ$29,SSAutESP!$A$2:$A$500)+$A31-1,1)-1)</f>
        <v>7.6873689129075551E-4</v>
      </c>
      <c r="DR31" s="9">
        <f ca="1">IF(OR(DR4="",DR$28&lt;$A31),"",DR4/OFFSET(SSAutESP!$A$2,MATCH(DR$29,SSAutESP!$A$2:$A$500)+$A31-1,1)-1)</f>
        <v>2.1446362447705702E-3</v>
      </c>
      <c r="DS31" s="9">
        <f ca="1">IF(OR(DS4="",DS$28&lt;$A31),"",DS4/OFFSET(SSAutESP!$A$2,MATCH(DS$29,SSAutESP!$A$2:$A$500)+$A31-1,1)-1)</f>
        <v>-2.3040616741126785E-3</v>
      </c>
      <c r="DT31" s="9">
        <f ca="1">IF(OR(DT4="",DT$28&lt;$A31),"",DT4/OFFSET(SSAutESP!$A$2,MATCH(DT$29,SSAutESP!$A$2:$A$500)+$A31-1,1)-1)</f>
        <v>-3.2676810960180491E-3</v>
      </c>
      <c r="DU31" s="9">
        <f ca="1">IF(OR(DU4="",DU$28&lt;$A31),"",DU4/OFFSET(SSAutESP!$A$2,MATCH(DU$29,SSAutESP!$A$2:$A$500)+$A31-1,1)-1)</f>
        <v>-2.7254704913403094E-3</v>
      </c>
      <c r="DV31" s="9">
        <f ca="1">IF(OR(DV4="",DV$28&lt;$A31),"",DV4/OFFSET(SSAutESP!$A$2,MATCH(DV$29,SSAutESP!$A$2:$A$500)+$A31-1,1)-1)</f>
        <v>6.519436068044282E-4</v>
      </c>
      <c r="DW31" s="9">
        <f ca="1">IF(OR(DW4="",DW$28&lt;$A31),"",DW4/OFFSET(SSAutESP!$A$2,MATCH(DW$29,SSAutESP!$A$2:$A$500)+$A31-1,1)-1)</f>
        <v>2.7346283154412454E-3</v>
      </c>
      <c r="DX31" s="9">
        <f ca="1">IF(OR(DX4="",DX$28&lt;$A31),"",DX4/OFFSET(SSAutESP!$A$2,MATCH(DX$29,SSAutESP!$A$2:$A$500)+$A31-1,1)-1)</f>
        <v>3.1720804072106201E-3</v>
      </c>
      <c r="DY31" s="9">
        <f ca="1">IF(OR(DY4="",DY$28&lt;$A31),"",DY4/OFFSET(SSAutESP!$A$2,MATCH(DY$29,SSAutESP!$A$2:$A$500)+$A31-1,1)-1)</f>
        <v>1.0735101065733055E-3</v>
      </c>
      <c r="DZ31" s="9">
        <f ca="1">IF(OR(DZ4="",DZ$28&lt;$A31),"",DZ4/OFFSET(SSAutESP!$A$2,MATCH(DZ$29,SSAutESP!$A$2:$A$500)+$A31-1,1)-1)</f>
        <v>-2.0660217931853797E-3</v>
      </c>
      <c r="EA31" s="9">
        <f ca="1">IF(OR(EA4="",EA$28&lt;$A31),"",EA4/OFFSET(SSAutESP!$A$2,MATCH(EA$29,SSAutESP!$A$2:$A$500)+$A31-1,1)-1)</f>
        <v>-1.936066362985267E-4</v>
      </c>
      <c r="EB31" s="9">
        <f ca="1">IF(OR(EB4="",EB$28&lt;$A31),"",EB4/OFFSET(SSAutESP!$A$2,MATCH(EB$29,SSAutESP!$A$2:$A$500)+$A31-1,1)-1)</f>
        <v>1.9090681214373184E-4</v>
      </c>
      <c r="EC31" s="9">
        <f ca="1">IF(OR(EC4="",EC$28&lt;$A31),"",EC4/OFFSET(SSAutESP!$A$2,MATCH(EC$29,SSAutESP!$A$2:$A$500)+$A31-1,1)-1)</f>
        <v>4.920398369785417E-4</v>
      </c>
      <c r="ED31" s="9">
        <f ca="1">IF(OR(ED4="",ED$28&lt;$A31),"",ED4/OFFSET(SSAutESP!$A$2,MATCH(ED$29,SSAutESP!$A$2:$A$500)+$A31-1,1)-1)</f>
        <v>1.5865145981019957E-3</v>
      </c>
      <c r="EE31" s="9">
        <f ca="1">IF(OR(EE4="",EE$28&lt;$A31),"",EE4/OFFSET(SSAutESP!$A$2,MATCH(EE$29,SSAutESP!$A$2:$A$500)+$A31-1,1)-1)</f>
        <v>-2.2650495382655622E-3</v>
      </c>
      <c r="EF31" s="9">
        <f ca="1">IF(OR(EF4="",EF$28&lt;$A31),"",EF4/OFFSET(SSAutESP!$A$2,MATCH(EF$29,SSAutESP!$A$2:$A$500)+$A31-1,1)-1)</f>
        <v>-2.2098498585532145E-3</v>
      </c>
      <c r="EG31" s="9">
        <f ca="1">IF(OR(EG4="",EG$28&lt;$A31),"",EG4/OFFSET(SSAutESP!$A$2,MATCH(EG$29,SSAutESP!$A$2:$A$500)+$A31-1,1)-1)</f>
        <v>-5.2658488082313326E-4</v>
      </c>
      <c r="EH31" s="9">
        <f ca="1">IF(OR(EH4="",EH$28&lt;$A31),"",EH4/OFFSET(SSAutESP!$A$2,MATCH(EH$29,SSAutESP!$A$2:$A$500)+$A31-1,1)-1)</f>
        <v>1.3428461018409887E-3</v>
      </c>
      <c r="EI31" s="9">
        <f ca="1">IF(OR(EI4="",EI$28&lt;$A31),"",EI4/OFFSET(SSAutESP!$A$2,MATCH(EI$29,SSAutESP!$A$2:$A$500)+$A31-1,1)-1)</f>
        <v>2.8637078780493486E-3</v>
      </c>
      <c r="EJ31" s="9">
        <f ca="1">IF(OR(EJ4="",EJ$28&lt;$A31),"",EJ4/OFFSET(SSAutESP!$A$2,MATCH(EJ$29,SSAutESP!$A$2:$A$500)+$A31-1,1)-1)</f>
        <v>4.317579038811914E-3</v>
      </c>
      <c r="EK31" s="9">
        <f ca="1">IF(OR(EK4="",EK$28&lt;$A31),"",EK4/OFFSET(SSAutESP!$A$2,MATCH(EK$29,SSAutESP!$A$2:$A$500)+$A31-1,1)-1)</f>
        <v>7.3233660084737195E-4</v>
      </c>
      <c r="EL31" s="9">
        <f ca="1">IF(OR(EL4="",EL$28&lt;$A31),"",EL4/OFFSET(SSAutESP!$A$2,MATCH(EL$29,SSAutESP!$A$2:$A$500)+$A31-1,1)-1)</f>
        <v>-5.9136961837702451E-4</v>
      </c>
      <c r="EM31" s="9">
        <f ca="1">IF(OR(EM4="",EM$28&lt;$A31),"",EM4/OFFSET(SSAutESP!$A$2,MATCH(EM$29,SSAutESP!$A$2:$A$500)+$A31-1,1)-1)</f>
        <v>-7.0337576744661234E-4</v>
      </c>
      <c r="EN31" s="9">
        <f ca="1">IF(OR(EN4="",EN$28&lt;$A31),"",EN4/OFFSET(SSAutESP!$A$2,MATCH(EN$29,SSAutESP!$A$2:$A$500)+$A31-1,1)-1)</f>
        <v>-1.2294361860435421E-3</v>
      </c>
      <c r="EO31" s="9">
        <f ca="1">IF(OR(EO4="",EO$28&lt;$A31),"",EO4/OFFSET(SSAutESP!$A$2,MATCH(EO$29,SSAutESP!$A$2:$A$500)+$A31-1,1)-1)</f>
        <v>2.9761563530386059E-3</v>
      </c>
      <c r="EP31" s="9">
        <f ca="1">IF(OR(EP4="",EP$28&lt;$A31),"",EP4/OFFSET(SSAutESP!$A$2,MATCH(EP$29,SSAutESP!$A$2:$A$500)+$A31-1,1)-1)</f>
        <v>6.4764056731037023E-4</v>
      </c>
      <c r="EQ31" s="9">
        <f ca="1">IF(OR(EQ4="",EQ$28&lt;$A31),"",EQ4/OFFSET(SSAutESP!$A$2,MATCH(EQ$29,SSAutESP!$A$2:$A$500)+$A31-1,1)-1)</f>
        <v>-4.8304562159702247E-3</v>
      </c>
      <c r="ER31" s="9">
        <f ca="1">IF(OR(ER4="",ER$28&lt;$A31),"",ER4/OFFSET(SSAutESP!$A$2,MATCH(ER$29,SSAutESP!$A$2:$A$500)+$A31-1,1)-1)</f>
        <v>-4.0757656519296859E-4</v>
      </c>
      <c r="ES31" s="9">
        <f ca="1">IF(OR(ES4="",ES$28&lt;$A31),"",ES4/OFFSET(SSAutESP!$A$2,MATCH(ES$29,SSAutESP!$A$2:$A$500)+$A31-1,1)-1)</f>
        <v>1.7652872539837272E-3</v>
      </c>
      <c r="ET31" s="9">
        <f ca="1">IF(OR(ET4="",ET$28&lt;$A31),"",ET4/OFFSET(SSAutESP!$A$2,MATCH(ET$29,SSAutESP!$A$2:$A$500)+$A31-1,1)-1)</f>
        <v>-1.0668380701353009E-3</v>
      </c>
      <c r="EU31" s="9">
        <f ca="1">IF(OR(EU4="",EU$28&lt;$A31),"",EU4/OFFSET(SSAutESP!$A$2,MATCH(EU$29,SSAutESP!$A$2:$A$500)+$A31-1,1)-1)</f>
        <v>1.3374143180255871E-3</v>
      </c>
      <c r="EV31" s="9">
        <f ca="1">IF(OR(EV4="",EV$28&lt;$A31),"",EV4/OFFSET(SSAutESP!$A$2,MATCH(EV$29,SSAutESP!$A$2:$A$500)+$A31-1,1)-1)</f>
        <v>2.1479708792624397E-3</v>
      </c>
      <c r="EW31" s="9">
        <f ca="1">IF(OR(EW4="",EW$28&lt;$A31),"",EW4/OFFSET(SSAutESP!$A$2,MATCH(EW$29,SSAutESP!$A$2:$A$500)+$A31-1,1)-1)</f>
        <v>-3.6516601742220267E-4</v>
      </c>
      <c r="EX31" s="9">
        <f ca="1">IF(OR(EX4="",EX$28&lt;$A31),"",EX4/OFFSET(SSAutESP!$A$2,MATCH(EX$29,SSAutESP!$A$2:$A$500)+$A31-1,1)-1)</f>
        <v>-1.4067172540451756E-3</v>
      </c>
      <c r="EY31" s="9">
        <f ca="1">IF(OR(EY4="",EY$28&lt;$A31),"",EY4/OFFSET(SSAutESP!$A$2,MATCH(EY$29,SSAutESP!$A$2:$A$500)+$A31-1,1)-1)</f>
        <v>-1.126195219364412E-3</v>
      </c>
      <c r="EZ31" s="9">
        <f ca="1">IF(OR(EZ4="",EZ$28&lt;$A31),"",EZ4/OFFSET(SSAutESP!$A$2,MATCH(EZ$29,SSAutESP!$A$2:$A$500)+$A31-1,1)-1)</f>
        <v>4.3060414542384073E-4</v>
      </c>
      <c r="FA31" s="9">
        <f ca="1">IF(OR(FA4="",FA$28&lt;$A31),"",FA4/OFFSET(SSAutESP!$A$2,MATCH(FA$29,SSAutESP!$A$2:$A$500)+$A31-1,1)-1)</f>
        <v>1.3974654060937564E-3</v>
      </c>
      <c r="FB31" s="9">
        <f ca="1">IF(OR(FB4="",FB$28&lt;$A31),"",FB4/OFFSET(SSAutESP!$A$2,MATCH(FB$29,SSAutESP!$A$2:$A$500)+$A31-1,1)-1)</f>
        <v>-7.6860998566596894E-4</v>
      </c>
      <c r="FC31" s="9">
        <f ca="1">IF(OR(FC4="",FC$28&lt;$A31),"",FC4/OFFSET(SSAutESP!$A$2,MATCH(FC$29,SSAutESP!$A$2:$A$500)+$A31-1,1)-1)</f>
        <v>-3.3473446821619124E-3</v>
      </c>
      <c r="FD31" s="9">
        <f ca="1">IF(OR(FD4="",FD$28&lt;$A31),"",FD4/OFFSET(SSAutESP!$A$2,MATCH(FD$29,SSAutESP!$A$2:$A$500)+$A31-1,1)-1)</f>
        <v>-4.6065284231378012E-4</v>
      </c>
      <c r="FE31" s="9">
        <f ca="1">IF(OR(FE4="",FE$28&lt;$A31),"",FE4/OFFSET(SSAutESP!$A$2,MATCH(FE$29,SSAutESP!$A$2:$A$500)+$A31-1,1)-1)</f>
        <v>-6.0294473166822016E-4</v>
      </c>
      <c r="FF31" s="9">
        <f ca="1">IF(OR(FF4="",FF$28&lt;$A31),"",FF4/OFFSET(SSAutESP!$A$2,MATCH(FF$29,SSAutESP!$A$2:$A$500)+$A31-1,1)-1)</f>
        <v>1.1052152719246422E-3</v>
      </c>
      <c r="FG31" s="9">
        <f ca="1">IF(OR(FG4="",FG$28&lt;$A31),"",FG4/OFFSET(SSAutESP!$A$2,MATCH(FG$29,SSAutESP!$A$2:$A$500)+$A31-1,1)-1)</f>
        <v>3.1159663436919338E-3</v>
      </c>
      <c r="FH31" s="9">
        <f ca="1">IF(OR(FH4="",FH$28&lt;$A31),"",FH4/OFFSET(SSAutESP!$A$2,MATCH(FH$29,SSAutESP!$A$2:$A$500)+$A31-1,1)-1)</f>
        <v>3.3577571185707811E-3</v>
      </c>
      <c r="FI31" s="9">
        <f ca="1">IF(OR(FI4="",FI$28&lt;$A31),"",FI4/OFFSET(SSAutESP!$A$2,MATCH(FI$29,SSAutESP!$A$2:$A$500)+$A31-1,1)-1)</f>
        <v>-1.5337188600474949E-3</v>
      </c>
      <c r="FJ31" s="9">
        <f ca="1">IF(OR(FJ4="",FJ$28&lt;$A31),"",FJ4/OFFSET(SSAutESP!$A$2,MATCH(FJ$29,SSAutESP!$A$2:$A$500)+$A31-1,1)-1)</f>
        <v>-3.0567003037863527E-3</v>
      </c>
      <c r="FK31" s="9">
        <f ca="1">IF(OR(FK4="",FK$28&lt;$A31),"",FK4/OFFSET(SSAutESP!$A$2,MATCH(FK$29,SSAutESP!$A$2:$A$500)+$A31-1,1)-1)</f>
        <v>1.5552496399329208E-3</v>
      </c>
      <c r="FL31" s="9">
        <f ca="1">IF(OR(FL4="",FL$28&lt;$A31),"",FL4/OFFSET(SSAutESP!$A$2,MATCH(FL$29,SSAutESP!$A$2:$A$500)+$A31-1,1)-1)</f>
        <v>4.2931881847476649E-3</v>
      </c>
      <c r="FM31" s="9">
        <f ca="1">IF(OR(FM4="",FM$28&lt;$A31),"",FM4/OFFSET(SSAutESP!$A$2,MATCH(FM$29,SSAutESP!$A$2:$A$500)+$A31-1,1)-1)</f>
        <v>-8.5881079723193476E-4</v>
      </c>
      <c r="FN31" s="9">
        <f ca="1">IF(OR(FN4="",FN$28&lt;$A31),"",FN4/OFFSET(SSAutESP!$A$2,MATCH(FN$29,SSAutESP!$A$2:$A$500)+$A31-1,1)-1)</f>
        <v>-9.0713387374223853E-3</v>
      </c>
      <c r="FO31" s="9">
        <f ca="1">IF(OR(FO4="",FO$28&lt;$A31),"",FO4/OFFSET(SSAutESP!$A$2,MATCH(FO$29,SSAutESP!$A$2:$A$500)+$A31-1,1)-1)</f>
        <v>-9.0385438518394423E-3</v>
      </c>
      <c r="FP31" s="9">
        <f ca="1">IF(OR(FP4="",FP$28&lt;$A31),"",FP4/OFFSET(SSAutESP!$A$2,MATCH(FP$29,SSAutESP!$A$2:$A$500)+$A31-1,1)-1)</f>
        <v>-6.4571655332734679E-4</v>
      </c>
      <c r="FQ31" s="9">
        <f ca="1">IF(OR(FQ4="",FQ$28&lt;$A31),"",FQ4/OFFSET(SSAutESP!$A$2,MATCH(FQ$29,SSAutESP!$A$2:$A$500)+$A31-1,1)-1)</f>
        <v>2.8338892675159322E-3</v>
      </c>
      <c r="FR31" s="9">
        <f ca="1">IF(OR(FR4="",FR$28&lt;$A31),"",FR4/OFFSET(SSAutESP!$A$2,MATCH(FR$29,SSAutESP!$A$2:$A$500)+$A31-1,1)-1)</f>
        <v>5.0927131991951313E-5</v>
      </c>
      <c r="FS31" s="9">
        <f ca="1">IF(OR(FS4="",FS$28&lt;$A31),"",FS4/OFFSET(SSAutESP!$A$2,MATCH(FS$29,SSAutESP!$A$2:$A$500)+$A31-1,1)-1)</f>
        <v>3.2983611963022241E-4</v>
      </c>
      <c r="FT31" s="9">
        <f ca="1">IF(OR(FT4="",FT$28&lt;$A31),"",FT4/OFFSET(SSAutESP!$A$2,MATCH(FT$29,SSAutESP!$A$2:$A$500)+$A31-1,1)-1)</f>
        <v>3.2454602197233839E-3</v>
      </c>
      <c r="FU31" s="9">
        <f ca="1">IF(OR(FU4="",FU$28&lt;$A31),"",FU4/OFFSET(SSAutESP!$A$2,MATCH(FU$29,SSAutESP!$A$2:$A$500)+$A31-1,1)-1)</f>
        <v>3.7086723678991795E-4</v>
      </c>
      <c r="FV31" s="9">
        <f ca="1">IF(OR(FV4="",FV$28&lt;$A31),"",FV4/OFFSET(SSAutESP!$A$2,MATCH(FV$29,SSAutESP!$A$2:$A$500)+$A31-1,1)-1)</f>
        <v>-3.0553251211800081E-3</v>
      </c>
      <c r="FW31" s="9">
        <f ca="1">IF(OR(FW4="",FW$28&lt;$A31),"",FW4/OFFSET(SSAutESP!$A$2,MATCH(FW$29,SSAutESP!$A$2:$A$500)+$A31-1,1)-1)</f>
        <v>-4.4956028994524999E-4</v>
      </c>
      <c r="FX31" s="9">
        <f ca="1">IF(OR(FX4="",FX$28&lt;$A31),"",FX4/OFFSET(SSAutESP!$A$2,MATCH(FX$29,SSAutESP!$A$2:$A$500)+$A31-1,1)-1)</f>
        <v>8.7674500265189081E-4</v>
      </c>
      <c r="FY31" s="9">
        <f ca="1">IF(OR(FY4="",FY$28&lt;$A31),"",FY4/OFFSET(SSAutESP!$A$2,MATCH(FY$29,SSAutESP!$A$2:$A$500)+$A31-1,1)-1)</f>
        <v>2.0060481108721273E-3</v>
      </c>
      <c r="FZ31" s="9">
        <f ca="1">IF(OR(FZ4="",FZ$28&lt;$A31),"",FZ4/OFFSET(SSAutESP!$A$2,MATCH(FZ$29,SSAutESP!$A$2:$A$500)+$A31-1,1)-1)</f>
        <v>3.6621808899646169E-3</v>
      </c>
      <c r="GA31" s="9">
        <f ca="1">IF(OR(GA4="",GA$28&lt;$A31),"",GA4/OFFSET(SSAutESP!$A$2,MATCH(GA$29,SSAutESP!$A$2:$A$500)+$A31-1,1)-1)</f>
        <v>-2.009695395382205E-3</v>
      </c>
      <c r="GB31" s="9">
        <f ca="1">IF(OR(GB4="",GB$28&lt;$A31),"",GB4/OFFSET(SSAutESP!$A$2,MATCH(GB$29,SSAutESP!$A$2:$A$500)+$A31-1,1)-1)</f>
        <v>6.6016914732869303E-4</v>
      </c>
      <c r="GC31" s="9">
        <f ca="1">IF(OR(GC4="",GC$28&lt;$A31),"",GC4/OFFSET(SSAutESP!$A$2,MATCH(GC$29,SSAutESP!$A$2:$A$500)+$A31-1,1)-1)</f>
        <v>2.0531835277015631E-4</v>
      </c>
      <c r="GD31" s="9">
        <f ca="1">IF(OR(GD4="",GD$28&lt;$A31),"",GD4/OFFSET(SSAutESP!$A$2,MATCH(GD$29,SSAutESP!$A$2:$A$500)+$A31-1,1)-1)</f>
        <v>-3.2382973613176436E-4</v>
      </c>
      <c r="GE31" s="9">
        <f ca="1">IF(OR(GE4="",GE$28&lt;$A31),"",GE4/OFFSET(SSAutESP!$A$2,MATCH(GE$29,SSAutESP!$A$2:$A$500)+$A31-1,1)-1)</f>
        <v>-4.7942581676840845E-6</v>
      </c>
      <c r="GF31" s="9">
        <f ca="1">IF(OR(GF4="",GF$28&lt;$A31),"",GF4/OFFSET(SSAutESP!$A$2,MATCH(GF$29,SSAutESP!$A$2:$A$500)+$A31-1,1)-1)</f>
        <v>2.0931257482548205E-4</v>
      </c>
      <c r="GG31" s="9">
        <f ca="1">IF(OR(GG4="",GG$28&lt;$A31),"",GG4/OFFSET(SSAutESP!$A$2,MATCH(GG$29,SSAutESP!$A$2:$A$500)+$A31-1,1)-1)</f>
        <v>-1.1856989943443974E-3</v>
      </c>
      <c r="GH31" s="9">
        <f ca="1">IF(OR(GH4="",GH$28&lt;$A31),"",GH4/OFFSET(SSAutESP!$A$2,MATCH(GH$29,SSAutESP!$A$2:$A$500)+$A31-1,1)-1)</f>
        <v>-3.0504805246491795E-3</v>
      </c>
      <c r="GI31" s="9">
        <f ca="1">IF(OR(GI4="",GI$28&lt;$A31),"",GI4/OFFSET(SSAutESP!$A$2,MATCH(GI$29,SSAutESP!$A$2:$A$500)+$A31-1,1)-1)</f>
        <v>-8.4589824427672156E-4</v>
      </c>
      <c r="GJ31" s="9">
        <f ca="1">IF(OR(GJ4="",GJ$28&lt;$A31),"",GJ4/OFFSET(SSAutESP!$A$2,MATCH(GJ$29,SSAutESP!$A$2:$A$500)+$A31-1,1)-1)</f>
        <v>2.761597214291367E-4</v>
      </c>
      <c r="GK31" s="9">
        <f ca="1">IF(OR(GK4="",GK$28&lt;$A31),"",GK4/OFFSET(SSAutESP!$A$2,MATCH(GK$29,SSAutESP!$A$2:$A$500)+$A31-1,1)-1)</f>
        <v>1.0800011682536859E-3</v>
      </c>
      <c r="GL31" s="9">
        <f ca="1">IF(OR(GL4="",GL$28&lt;$A31),"",GL4/OFFSET(SSAutESP!$A$2,MATCH(GL$29,SSAutESP!$A$2:$A$500)+$A31-1,1)-1)</f>
        <v>-1.9547064537095427E-4</v>
      </c>
      <c r="GM31" s="9">
        <f ca="1">IF(OR(GM4="",GM$28&lt;$A31),"",GM4/OFFSET(SSAutESP!$A$2,MATCH(GM$29,SSAutESP!$A$2:$A$500)+$A31-1,1)-1)</f>
        <v>5.7558463906508539E-3</v>
      </c>
      <c r="GN31" s="9">
        <f ca="1">IF(OR(GN4="",GN$28&lt;$A31),"",GN4/OFFSET(SSAutESP!$A$2,MATCH(GN$29,SSAutESP!$A$2:$A$500)+$A31-1,1)-1)</f>
        <v>2.3705097386260476E-2</v>
      </c>
      <c r="GO31" s="9">
        <f ca="1">IF(OR(GO4="",GO$28&lt;$A31),"",GO4/OFFSET(SSAutESP!$A$2,MATCH(GO$29,SSAutESP!$A$2:$A$500)+$A31-1,1)-1)</f>
        <v>1.6981010345342495E-2</v>
      </c>
      <c r="GP31" s="9">
        <f ca="1">IF(OR(GP4="",GP$28&lt;$A31),"",GP4/OFFSET(SSAutESP!$A$2,MATCH(GP$29,SSAutESP!$A$2:$A$500)+$A31-1,1)-1)</f>
        <v>-9.4021896032621122E-3</v>
      </c>
      <c r="GQ31" s="9">
        <f ca="1">IF(OR(GQ4="",GQ$28&lt;$A31),"",GQ4/OFFSET(SSAutESP!$A$2,MATCH(GQ$29,SSAutESP!$A$2:$A$500)+$A31-1,1)-1)</f>
        <v>-1.513854329947506E-2</v>
      </c>
      <c r="GR31" s="9">
        <f ca="1">IF(OR(GR4="",GR$28&lt;$A31),"",GR4/OFFSET(SSAutESP!$A$2,MATCH(GR$29,SSAutESP!$A$2:$A$500)+$A31-1,1)-1)</f>
        <v>-1.2348536238028562E-2</v>
      </c>
      <c r="GS31" s="9">
        <f ca="1">IF(OR(GS4="",GS$28&lt;$A31),"",GS4/OFFSET(SSAutESP!$A$2,MATCH(GS$29,SSAutESP!$A$2:$A$500)+$A31-1,1)-1)</f>
        <v>7.4179842272004137E-4</v>
      </c>
      <c r="GT31" s="9">
        <f ca="1">IF(OR(GT4="",GT$28&lt;$A31),"",GT4/OFFSET(SSAutESP!$A$2,MATCH(GT$29,SSAutESP!$A$2:$A$500)+$A31-1,1)-1)</f>
        <v>5.5249066081792808E-3</v>
      </c>
      <c r="GU31" s="9">
        <f ca="1">IF(OR(GU4="",GU$28&lt;$A31),"",GU4/OFFSET(SSAutESP!$A$2,MATCH(GU$29,SSAutESP!$A$2:$A$500)+$A31-1,1)-1)</f>
        <v>-1.5209284814236002E-3</v>
      </c>
      <c r="GV31" s="9">
        <f ca="1">IF(OR(GV4="",GV$28&lt;$A31),"",GV4/OFFSET(SSAutESP!$A$2,MATCH(GV$29,SSAutESP!$A$2:$A$500)+$A31-1,1)-1)</f>
        <v>-2.6368222261166085E-3</v>
      </c>
      <c r="GW31" s="9">
        <f ca="1">IF(OR(GW4="",GW$28&lt;$A31),"",GW4/OFFSET(SSAutESP!$A$2,MATCH(GW$29,SSAutESP!$A$2:$A$500)+$A31-1,1)-1)</f>
        <v>-7.5194844772108471E-4</v>
      </c>
      <c r="GX31" s="9" t="str">
        <f ca="1">IF(OR(GX4="",GX$28&lt;$A31),"",GX4/OFFSET(SSAutESP!$A$2,MATCH(GX$29,SSAutESP!$A$2:$A$500)+$A31-1,1)-1)</f>
        <v/>
      </c>
      <c r="GY31" s="9" t="str">
        <f ca="1">IF(OR(GY4="",GY$28&lt;$A31),"",GY4/OFFSET(SSAutESP!$A$2,MATCH(GY$29,SSAutESP!$A$2:$A$500)+$A31-1,1)-1)</f>
        <v/>
      </c>
      <c r="GZ31" s="9" t="str">
        <f ca="1">IF(OR(GZ4="",GZ$28&lt;$A31),"",GZ4/OFFSET(SSAutESP!$A$2,MATCH(GZ$29,SSAutESP!$A$2:$A$500)+$A31-1,1)-1)</f>
        <v/>
      </c>
      <c r="HA31" s="9" t="str">
        <f ca="1">IF(OR(HA4="",HA$28&lt;$A31),"",HA4/OFFSET(SSAutESP!$A$2,MATCH(HA$29,SSAutESP!$A$2:$A$500)+$A31-1,1)-1)</f>
        <v/>
      </c>
      <c r="HB31" s="9" t="str">
        <f ca="1">IF(OR(HB4="",HB$28&lt;$A31),"",HB4/OFFSET(SSAutESP!$A$2,MATCH(HB$29,SSAutESP!$A$2:$A$500)+$A31-1,1)-1)</f>
        <v/>
      </c>
      <c r="HC31" s="9" t="str">
        <f ca="1">IF(OR(HC4="",HC$28&lt;$A31),"",HC4/OFFSET(SSAutESP!$A$2,MATCH(HC$29,SSAutESP!$A$2:$A$500)+$A31-1,1)-1)</f>
        <v/>
      </c>
      <c r="HD31" s="9" t="str">
        <f ca="1">IF(OR(HD4="",HD$28&lt;$A31),"",HD4/OFFSET(SSAutESP!$A$2,MATCH(HD$29,SSAutESP!$A$2:$A$500)+$A31-1,1)-1)</f>
        <v/>
      </c>
      <c r="HE31" s="9" t="str">
        <f ca="1">IF(OR(HE4="",HE$28&lt;$A31),"",HE4/OFFSET(SSAutESP!$A$2,MATCH(HE$29,SSAutESP!$A$2:$A$500)+$A31-1,1)-1)</f>
        <v/>
      </c>
      <c r="HF31" s="9" t="str">
        <f ca="1">IF(OR(HF4="",HF$28&lt;$A31),"",HF4/OFFSET(SSAutESP!$A$2,MATCH(HF$29,SSAutESP!$A$2:$A$500)+$A31-1,1)-1)</f>
        <v/>
      </c>
      <c r="HG31" s="9" t="str">
        <f ca="1">IF(OR(HG4="",HG$28&lt;$A31),"",HG4/OFFSET(SSAutESP!$A$2,MATCH(HG$29,SSAutESP!$A$2:$A$500)+$A31-1,1)-1)</f>
        <v/>
      </c>
      <c r="HH31" s="9" t="str">
        <f ca="1">IF(OR(HH4="",HH$28&lt;$A31),"",HH4/OFFSET(SSAutESP!$A$2,MATCH(HH$29,SSAutESP!$A$2:$A$500)+$A31-1,1)-1)</f>
        <v/>
      </c>
      <c r="HI31" s="9" t="str">
        <f ca="1">IF(OR(HI4="",HI$28&lt;$A31),"",HI4/OFFSET(SSAutESP!$A$2,MATCH(HI$29,SSAutESP!$A$2:$A$500)+$A31-1,1)-1)</f>
        <v/>
      </c>
      <c r="HJ31" s="9" t="str">
        <f ca="1">IF(OR(HJ4="",HJ$28&lt;$A31),"",HJ4/OFFSET(SSAutESP!$A$2,MATCH(HJ$29,SSAutESP!$A$2:$A$500)+$A31-1,1)-1)</f>
        <v/>
      </c>
      <c r="HK31" s="9" t="str">
        <f ca="1">IF(OR(HK4="",HK$28&lt;$A31),"",HK4/OFFSET(SSAutESP!$A$2,MATCH(HK$29,SSAutESP!$A$2:$A$500)+$A31-1,1)-1)</f>
        <v/>
      </c>
      <c r="HL31" s="9" t="str">
        <f ca="1">IF(OR(HL4="",HL$28&lt;$A31),"",HL4/OFFSET(SSAutESP!$A$2,MATCH(HL$29,SSAutESP!$A$2:$A$500)+$A31-1,1)-1)</f>
        <v/>
      </c>
      <c r="HM31" s="9" t="str">
        <f ca="1">IF(OR(HM4="",HM$28&lt;$A31),"",HM4/OFFSET(SSAutESP!$A$2,MATCH(HM$29,SSAutESP!$A$2:$A$500)+$A31-1,1)-1)</f>
        <v/>
      </c>
      <c r="HN31" s="9" t="str">
        <f ca="1">IF(OR(HN4="",HN$28&lt;$A31),"",HN4/OFFSET(SSAutESP!$A$2,MATCH(HN$29,SSAutESP!$A$2:$A$500)+$A31-1,1)-1)</f>
        <v/>
      </c>
      <c r="HO31" s="9" t="str">
        <f ca="1">IF(OR(HO4="",HO$28&lt;$A31),"",HO4/OFFSET(SSAutESP!$A$2,MATCH(HO$29,SSAutESP!$A$2:$A$500)+$A31-1,1)-1)</f>
        <v/>
      </c>
      <c r="HP31" s="9" t="str">
        <f ca="1">IF(OR(HP4="",HP$28&lt;$A31),"",HP4/OFFSET(SSAutESP!$A$2,MATCH(HP$29,SSAutESP!$A$2:$A$500)+$A31-1,1)-1)</f>
        <v/>
      </c>
      <c r="HQ31" s="9" t="str">
        <f ca="1">IF(OR(HQ4="",HQ$28&lt;$A31),"",HQ4/OFFSET(SSAutESP!$A$2,MATCH(HQ$29,SSAutESP!$A$2:$A$500)+$A31-1,1)-1)</f>
        <v/>
      </c>
      <c r="HR31" s="9" t="str">
        <f ca="1">IF(OR(HR4="",HR$28&lt;$A31),"",HR4/OFFSET(SSAutESP!$A$2,MATCH(HR$29,SSAutESP!$A$2:$A$500)+$A31-1,1)-1)</f>
        <v/>
      </c>
      <c r="HS31" s="9" t="str">
        <f ca="1">IF(OR(HS4="",HS$28&lt;$A31),"",HS4/OFFSET(SSAutESP!$A$2,MATCH(HS$29,SSAutESP!$A$2:$A$500)+$A31-1,1)-1)</f>
        <v/>
      </c>
      <c r="HT31" s="9" t="str">
        <f ca="1">IF(OR(HT4="",HT$28&lt;$A31),"",HT4/OFFSET(SSAutESP!$A$2,MATCH(HT$29,SSAutESP!$A$2:$A$500)+$A31-1,1)-1)</f>
        <v/>
      </c>
      <c r="HU31" s="9" t="str">
        <f ca="1">IF(OR(HU4="",HU$28&lt;$A31),"",HU4/OFFSET(SSAutESP!$A$2,MATCH(HU$29,SSAutESP!$A$2:$A$500)+$A31-1,1)-1)</f>
        <v/>
      </c>
      <c r="HV31" s="9" t="str">
        <f ca="1">IF(OR(HV4="",HV$28&lt;$A31),"",HV4/OFFSET(SSAutESP!$A$2,MATCH(HV$29,SSAutESP!$A$2:$A$500)+$A31-1,1)-1)</f>
        <v/>
      </c>
      <c r="HW31" s="9" t="str">
        <f ca="1">IF(OR(HW4="",HW$28&lt;$A31),"",HW4/OFFSET(SSAutESP!$A$2,MATCH(HW$29,SSAutESP!$A$2:$A$500)+$A31-1,1)-1)</f>
        <v/>
      </c>
      <c r="HX31" s="9" t="str">
        <f ca="1">IF(OR(HX4="",HX$28&lt;$A31),"",HX4/OFFSET(SSAutESP!$A$2,MATCH(HX$29,SSAutESP!$A$2:$A$500)+$A31-1,1)-1)</f>
        <v/>
      </c>
      <c r="HY31" s="9" t="str">
        <f ca="1">IF(OR(HY4="",HY$28&lt;$A31),"",HY4/OFFSET(SSAutESP!$A$2,MATCH(HY$29,SSAutESP!$A$2:$A$500)+$A31-1,1)-1)</f>
        <v/>
      </c>
      <c r="HZ31" s="9" t="str">
        <f ca="1">IF(OR(HZ4="",HZ$28&lt;$A31),"",HZ4/OFFSET(SSAutESP!$A$2,MATCH(HZ$29,SSAutESP!$A$2:$A$500)+$A31-1,1)-1)</f>
        <v/>
      </c>
      <c r="IA31" s="9" t="str">
        <f ca="1">IF(OR(IA4="",IA$28&lt;$A31),"",IA4/OFFSET(SSAutESP!$A$2,MATCH(IA$29,SSAutESP!$A$2:$A$500)+$A31-1,1)-1)</f>
        <v/>
      </c>
      <c r="IB31" s="9" t="str">
        <f ca="1">IF(OR(IB4="",IB$28&lt;$A31),"",IB4/OFFSET(SSAutESP!$A$2,MATCH(IB$29,SSAutESP!$A$2:$A$500)+$A31-1,1)-1)</f>
        <v/>
      </c>
      <c r="IC31" s="9" t="str">
        <f ca="1">IF(OR(IC4="",IC$28&lt;$A31),"",IC4/OFFSET(SSAutESP!$A$2,MATCH(IC$29,SSAutESP!$A$2:$A$500)+$A31-1,1)-1)</f>
        <v/>
      </c>
      <c r="ID31" s="9" t="str">
        <f ca="1">IF(OR(ID4="",ID$28&lt;$A31),"",ID4/OFFSET(SSAutESP!$A$2,MATCH(ID$29,SSAutESP!$A$2:$A$500)+$A31-1,1)-1)</f>
        <v/>
      </c>
      <c r="IE31" s="9" t="str">
        <f ca="1">IF(OR(IE4="",IE$28&lt;$A31),"",IE4/OFFSET(SSAutESP!$A$2,MATCH(IE$29,SSAutESP!$A$2:$A$500)+$A31-1,1)-1)</f>
        <v/>
      </c>
      <c r="IF31" s="9" t="str">
        <f ca="1">IF(OR(IF4="",IF$28&lt;$A31),"",IF4/OFFSET(SSAutESP!$A$2,MATCH(IF$29,SSAutESP!$A$2:$A$500)+$A31-1,1)-1)</f>
        <v/>
      </c>
      <c r="IG31" s="9" t="str">
        <f ca="1">IF(OR(IG4="",IG$28&lt;$A31),"",IG4/OFFSET(SSAutESP!$A$2,MATCH(IG$29,SSAutESP!$A$2:$A$500)+$A31-1,1)-1)</f>
        <v/>
      </c>
      <c r="IH31" s="9" t="str">
        <f ca="1">IF(OR(IH4="",IH$28&lt;$A31),"",IH4/OFFSET(SSAutESP!$A$2,MATCH(IH$29,SSAutESP!$A$2:$A$500)+$A31-1,1)-1)</f>
        <v/>
      </c>
      <c r="II31" s="9" t="str">
        <f ca="1">IF(OR(II4="",II$28&lt;$A31),"",II4/OFFSET(SSAutESP!$A$2,MATCH(II$29,SSAutESP!$A$2:$A$500)+$A31-1,1)-1)</f>
        <v/>
      </c>
      <c r="IJ31" s="9" t="str">
        <f ca="1">IF(OR(IJ4="",IJ$28&lt;$A31),"",IJ4/OFFSET(SSAutESP!$A$2,MATCH(IJ$29,SSAutESP!$A$2:$A$500)+$A31-1,1)-1)</f>
        <v/>
      </c>
      <c r="IK31" s="9" t="str">
        <f ca="1">IF(OR(IK4="",IK$28&lt;$A31),"",IK4/OFFSET(SSAutESP!$A$2,MATCH(IK$29,SSAutESP!$A$2:$A$500)+$A31-1,1)-1)</f>
        <v/>
      </c>
      <c r="IL31" s="9" t="str">
        <f ca="1">IF(OR(IL4="",IL$28&lt;$A31),"",IL4/OFFSET(SSAutESP!$A$2,MATCH(IL$29,SSAutESP!$A$2:$A$500)+$A31-1,1)-1)</f>
        <v/>
      </c>
      <c r="IM31" s="9" t="str">
        <f ca="1">IF(OR(IM4="",IM$28&lt;$A31),"",IM4/OFFSET(SSAutESP!$A$2,MATCH(IM$29,SSAutESP!$A$2:$A$500)+$A31-1,1)-1)</f>
        <v/>
      </c>
      <c r="IN31" s="9" t="str">
        <f ca="1">IF(OR(IN4="",IN$28&lt;$A31),"",IN4/OFFSET(SSAutESP!$A$2,MATCH(IN$29,SSAutESP!$A$2:$A$500)+$A31-1,1)-1)</f>
        <v/>
      </c>
      <c r="IO31" s="9" t="str">
        <f ca="1">IF(OR(IO4="",IO$28&lt;$A31),"",IO4/OFFSET(SSAutESP!$A$2,MATCH(IO$29,SSAutESP!$A$2:$A$500)+$A31-1,1)-1)</f>
        <v/>
      </c>
      <c r="IP31" s="9" t="str">
        <f ca="1">IF(OR(IP4="",IP$28&lt;$A31),"",IP4/OFFSET(SSAutESP!$A$2,MATCH(IP$29,SSAutESP!$A$2:$A$500)+$A31-1,1)-1)</f>
        <v/>
      </c>
      <c r="IQ31" s="9" t="str">
        <f ca="1">IF(OR(IQ4="",IQ$28&lt;$A31),"",IQ4/OFFSET(SSAutESP!$A$2,MATCH(IQ$29,SSAutESP!$A$2:$A$500)+$A31-1,1)-1)</f>
        <v/>
      </c>
      <c r="IR31" s="9" t="str">
        <f ca="1">IF(OR(IR4="",IR$28&lt;$A31),"",IR4/OFFSET(SSAutESP!$A$2,MATCH(IR$29,SSAutESP!$A$2:$A$500)+$A31-1,1)-1)</f>
        <v/>
      </c>
      <c r="IS31" s="9" t="str">
        <f ca="1">IF(OR(IS4="",IS$28&lt;$A31),"",IS4/OFFSET(SSAutESP!$A$2,MATCH(IS$29,SSAutESP!$A$2:$A$500)+$A31-1,1)-1)</f>
        <v/>
      </c>
      <c r="IT31" s="9" t="str">
        <f ca="1">IF(OR(IT4="",IT$28&lt;$A31),"",IT4/OFFSET(SSAutESP!$A$2,MATCH(IT$29,SSAutESP!$A$2:$A$500)+$A31-1,1)-1)</f>
        <v/>
      </c>
      <c r="IU31" s="9" t="str">
        <f ca="1">IF(OR(IU4="",IU$28&lt;$A31),"",IU4/OFFSET(SSAutESP!$A$2,MATCH(IU$29,SSAutESP!$A$2:$A$500)+$A31-1,1)-1)</f>
        <v/>
      </c>
      <c r="IV31" s="9" t="str">
        <f ca="1">IF(OR(IV4="",IV$28&lt;$A31),"",IV4/OFFSET(SSAutESP!$A$2,MATCH(IV$29,SSAutESP!$A$2:$A$500)+$A31-1,1)-1)</f>
        <v/>
      </c>
      <c r="IW31" s="9" t="str">
        <f ca="1">IF(OR(IW4="",IW$28&lt;$A31),"",IW4/OFFSET(SSAutESP!$A$2,MATCH(IW$29,SSAutESP!$A$2:$A$500)+$A31-1,1)-1)</f>
        <v/>
      </c>
      <c r="IX31" s="9" t="str">
        <f ca="1">IF(OR(IX4="",IX$28&lt;$A31),"",IX4/OFFSET(SSAutESP!$A$2,MATCH(IX$29,SSAutESP!$A$2:$A$500)+$A31-1,1)-1)</f>
        <v/>
      </c>
      <c r="IY31" s="9" t="str">
        <f ca="1">IF(OR(IY4="",IY$28&lt;$A31),"",IY4/OFFSET(SSAutESP!$A$2,MATCH(IY$29,SSAutESP!$A$2:$A$500)+$A31-1,1)-1)</f>
        <v/>
      </c>
      <c r="IZ31" s="9" t="str">
        <f ca="1">IF(OR(IZ4="",IZ$28&lt;$A31),"",IZ4/OFFSET(SSAutESP!$A$2,MATCH(IZ$29,SSAutESP!$A$2:$A$500)+$A31-1,1)-1)</f>
        <v/>
      </c>
      <c r="JA31" s="9" t="str">
        <f ca="1">IF(OR(JA4="",JA$28&lt;$A31),"",JA4/OFFSET(SSAutESP!$A$2,MATCH(JA$29,SSAutESP!$A$2:$A$500)+$A31-1,1)-1)</f>
        <v/>
      </c>
      <c r="JB31" s="9" t="str">
        <f ca="1">IF(OR(JB4="",JB$28&lt;$A31),"",JB4/OFFSET(SSAutESP!$A$2,MATCH(JB$29,SSAutESP!$A$2:$A$500)+$A31-1,1)-1)</f>
        <v/>
      </c>
      <c r="JC31" s="9" t="str">
        <f ca="1">IF(OR(JC4="",JC$28&lt;$A31),"",JC4/OFFSET(SSAutESP!$A$2,MATCH(JC$29,SSAutESP!$A$2:$A$500)+$A31-1,1)-1)</f>
        <v/>
      </c>
      <c r="JD31" s="9" t="str">
        <f ca="1">IF(OR(JD4="",JD$28&lt;$A31),"",JD4/OFFSET(SSAutESP!$A$2,MATCH(JD$29,SSAutESP!$A$2:$A$500)+$A31-1,1)-1)</f>
        <v/>
      </c>
      <c r="JE31" s="9" t="str">
        <f ca="1">IF(OR(JE4="",JE$28&lt;$A31),"",JE4/OFFSET(SSAutESP!$A$2,MATCH(JE$29,SSAutESP!$A$2:$A$500)+$A31-1,1)-1)</f>
        <v/>
      </c>
      <c r="JF31" s="9" t="str">
        <f ca="1">IF(OR(JF4="",JF$28&lt;$A31),"",JF4/OFFSET(SSAutESP!$A$2,MATCH(JF$29,SSAutESP!$A$2:$A$500)+$A31-1,1)-1)</f>
        <v/>
      </c>
      <c r="JG31" s="9" t="str">
        <f ca="1">IF(OR(JG4="",JG$28&lt;$A31),"",JG4/OFFSET(SSAutESP!$A$2,MATCH(JG$29,SSAutESP!$A$2:$A$500)+$A31-1,1)-1)</f>
        <v/>
      </c>
      <c r="JH31" s="9" t="str">
        <f ca="1">IF(OR(JH4="",JH$28&lt;$A31),"",JH4/OFFSET(SSAutESP!$A$2,MATCH(JH$29,SSAutESP!$A$2:$A$500)+$A31-1,1)-1)</f>
        <v/>
      </c>
      <c r="JI31" s="13">
        <f t="shared" ca="1" si="13"/>
        <v>4.7260159367955008E-4</v>
      </c>
      <c r="JJ31" s="13">
        <f t="shared" ca="1" si="14"/>
        <v>2.0531835277015631E-4</v>
      </c>
      <c r="JK31" s="14">
        <f t="shared" ca="1" si="15"/>
        <v>4.3967957525075025E-5</v>
      </c>
      <c r="JL31" s="17">
        <f t="shared" ref="JL31:JL41" ca="1" si="18">SQRT(JK31)</f>
        <v>6.6308338483990854E-3</v>
      </c>
      <c r="JM31" s="15" t="str">
        <f t="shared" ca="1" si="16"/>
        <v>[ -1,28% ; 1,37% ]</v>
      </c>
      <c r="JN31" s="17">
        <f t="shared" ca="1" si="17"/>
        <v>8.4874673259508291E-3</v>
      </c>
      <c r="LY31" s="1"/>
    </row>
    <row r="32" spans="1:337" x14ac:dyDescent="0.25">
      <c r="A32" s="4">
        <v>3</v>
      </c>
      <c r="B32" s="9">
        <f ca="1">IF(OR(B5="",B$28&lt;$A32),"",B5/OFFSET(SSAutESP!$A$2,MATCH(B$29,SSAutESP!$A$2:$A$500)+$A32-1,1)-1)</f>
        <v>-3.3837995278418465E-3</v>
      </c>
      <c r="C32" s="9">
        <f ca="1">IF(OR(C5="",C$28&lt;$A32),"",C5/OFFSET(SSAutESP!$A$2,MATCH(C$29,SSAutESP!$A$2:$A$500)+$A32-1,1)-1)</f>
        <v>-9.974919140766092E-4</v>
      </c>
      <c r="D32" s="9">
        <f ca="1">IF(OR(D5="",D$28&lt;$A32),"",D5/OFFSET(SSAutESP!$A$2,MATCH(D$29,SSAutESP!$A$2:$A$500)+$A32-1,1)-1)</f>
        <v>5.5492458276451551E-4</v>
      </c>
      <c r="E32" s="9">
        <f ca="1">IF(OR(E5="",E$28&lt;$A32),"",E5/OFFSET(SSAutESP!$A$2,MATCH(E$29,SSAutESP!$A$2:$A$500)+$A32-1,1)-1)</f>
        <v>1.3292067422725484E-3</v>
      </c>
      <c r="F32" s="9">
        <f ca="1">IF(OR(F5="",F$28&lt;$A32),"",F5/OFFSET(SSAutESP!$A$2,MATCH(F$29,SSAutESP!$A$2:$A$500)+$A32-1,1)-1)</f>
        <v>1.773970809613834E-3</v>
      </c>
      <c r="G32" s="9">
        <f ca="1">IF(OR(G5="",G$28&lt;$A32),"",G5/OFFSET(SSAutESP!$A$2,MATCH(G$29,SSAutESP!$A$2:$A$500)+$A32-1,1)-1)</f>
        <v>1.3260045892815597E-3</v>
      </c>
      <c r="H32" s="9">
        <f ca="1">IF(OR(H5="",H$28&lt;$A32),"",H5/OFFSET(SSAutESP!$A$2,MATCH(H$29,SSAutESP!$A$2:$A$500)+$A32-1,1)-1)</f>
        <v>2.188393535097477E-3</v>
      </c>
      <c r="I32" s="9">
        <f ca="1">IF(OR(I5="",I$28&lt;$A32),"",I5/OFFSET(SSAutESP!$A$2,MATCH(I$29,SSAutESP!$A$2:$A$500)+$A32-1,1)-1)</f>
        <v>1.1851700922118624E-3</v>
      </c>
      <c r="J32" s="9">
        <f ca="1">IF(OR(J5="",J$28&lt;$A32),"",J5/OFFSET(SSAutESP!$A$2,MATCH(J$29,SSAutESP!$A$2:$A$500)+$A32-1,1)-1)</f>
        <v>-2.9600560424503097E-4</v>
      </c>
      <c r="K32" s="9">
        <f ca="1">IF(OR(K5="",K$28&lt;$A32),"",K5/OFFSET(SSAutESP!$A$2,MATCH(K$29,SSAutESP!$A$2:$A$500)+$A32-1,1)-1)</f>
        <v>-1.7640434400609806E-3</v>
      </c>
      <c r="L32" s="9">
        <f ca="1">IF(OR(L5="",L$28&lt;$A32),"",L5/OFFSET(SSAutESP!$A$2,MATCH(L$29,SSAutESP!$A$2:$A$500)+$A32-1,1)-1)</f>
        <v>-1.5478555025130181E-3</v>
      </c>
      <c r="M32" s="9">
        <f ca="1">IF(OR(M5="",M$28&lt;$A32),"",M5/OFFSET(SSAutESP!$A$2,MATCH(M$29,SSAutESP!$A$2:$A$500)+$A32-1,1)-1)</f>
        <v>-5.177982233888212E-4</v>
      </c>
      <c r="N32" s="9">
        <f ca="1">IF(OR(N5="",N$28&lt;$A32),"",N5/OFFSET(SSAutESP!$A$2,MATCH(N$29,SSAutESP!$A$2:$A$500)+$A32-1,1)-1)</f>
        <v>1.916998289118732E-3</v>
      </c>
      <c r="O32" s="9">
        <f ca="1">IF(OR(O5="",O$28&lt;$A32),"",O5/OFFSET(SSAutESP!$A$2,MATCH(O$29,SSAutESP!$A$2:$A$500)+$A32-1,1)-1)</f>
        <v>3.1338663057163263E-3</v>
      </c>
      <c r="P32" s="9">
        <f ca="1">IF(OR(P5="",P$28&lt;$A32),"",P5/OFFSET(SSAutESP!$A$2,MATCH(P$29,SSAutESP!$A$2:$A$500)+$A32-1,1)-1)</f>
        <v>1.9598106956761896E-3</v>
      </c>
      <c r="Q32" s="9">
        <f ca="1">IF(OR(Q5="",Q$28&lt;$A32),"",Q5/OFFSET(SSAutESP!$A$2,MATCH(Q$29,SSAutESP!$A$2:$A$500)+$A32-1,1)-1)</f>
        <v>1.2414461513887698E-3</v>
      </c>
      <c r="R32" s="9">
        <f ca="1">IF(OR(R5="",R$28&lt;$A32),"",R5/OFFSET(SSAutESP!$A$2,MATCH(R$29,SSAutESP!$A$2:$A$500)+$A32-1,1)-1)</f>
        <v>8.9020796634375898E-4</v>
      </c>
      <c r="S32" s="9">
        <f ca="1">IF(OR(S5="",S$28&lt;$A32),"",S5/OFFSET(SSAutESP!$A$2,MATCH(S$29,SSAutESP!$A$2:$A$500)+$A32-1,1)-1)</f>
        <v>1.2037254880035153E-3</v>
      </c>
      <c r="T32" s="9">
        <f ca="1">IF(OR(T5="",T$28&lt;$A32),"",T5/OFFSET(SSAutESP!$A$2,MATCH(T$29,SSAutESP!$A$2:$A$500)+$A32-1,1)-1)</f>
        <v>1.3038070506801169E-3</v>
      </c>
      <c r="U32" s="9">
        <f ca="1">IF(OR(U5="",U$28&lt;$A32),"",U5/OFFSET(SSAutESP!$A$2,MATCH(U$29,SSAutESP!$A$2:$A$500)+$A32-1,1)-1)</f>
        <v>-5.0940568734447744E-5</v>
      </c>
      <c r="V32" s="9">
        <f ca="1">IF(OR(V5="",V$28&lt;$A32),"",V5/OFFSET(SSAutESP!$A$2,MATCH(V$29,SSAutESP!$A$2:$A$500)+$A32-1,1)-1)</f>
        <v>-8.4126383636284885E-4</v>
      </c>
      <c r="W32" s="9">
        <f ca="1">IF(OR(W5="",W$28&lt;$A32),"",W5/OFFSET(SSAutESP!$A$2,MATCH(W$29,SSAutESP!$A$2:$A$500)+$A32-1,1)-1)</f>
        <v>-1.109909125433628E-3</v>
      </c>
      <c r="X32" s="9">
        <f ca="1">IF(OR(X5="",X$28&lt;$A32),"",X5/OFFSET(SSAutESP!$A$2,MATCH(X$29,SSAutESP!$A$2:$A$500)+$A32-1,1)-1)</f>
        <v>-6.431970012014121E-4</v>
      </c>
      <c r="Y32" s="9">
        <f ca="1">IF(OR(Y5="",Y$28&lt;$A32),"",Y5/OFFSET(SSAutESP!$A$2,MATCH(Y$29,SSAutESP!$A$2:$A$500)+$A32-1,1)-1)</f>
        <v>-9.636028226633897E-5</v>
      </c>
      <c r="Z32" s="9">
        <f ca="1">IF(OR(Z5="",Z$28&lt;$A32),"",Z5/OFFSET(SSAutESP!$A$2,MATCH(Z$29,SSAutESP!$A$2:$A$500)+$A32-1,1)-1)</f>
        <v>1.2904576716619154E-3</v>
      </c>
      <c r="AA32" s="9">
        <f ca="1">IF(OR(AA5="",AA$28&lt;$A32),"",AA5/OFFSET(SSAutESP!$A$2,MATCH(AA$29,SSAutESP!$A$2:$A$500)+$A32-1,1)-1)</f>
        <v>8.0439370111151653E-4</v>
      </c>
      <c r="AB32" s="9">
        <f ca="1">IF(OR(AB5="",AB$28&lt;$A32),"",AB5/OFFSET(SSAutESP!$A$2,MATCH(AB$29,SSAutESP!$A$2:$A$500)+$A32-1,1)-1)</f>
        <v>7.8940071506550247E-4</v>
      </c>
      <c r="AC32" s="9">
        <f ca="1">IF(OR(AC5="",AC$28&lt;$A32),"",AC5/OFFSET(SSAutESP!$A$2,MATCH(AC$29,SSAutESP!$A$2:$A$500)+$A32-1,1)-1)</f>
        <v>-7.3665785396670458E-4</v>
      </c>
      <c r="AD32" s="9">
        <f ca="1">IF(OR(AD5="",AD$28&lt;$A32),"",AD5/OFFSET(SSAutESP!$A$2,MATCH(AD$29,SSAutESP!$A$2:$A$500)+$A32-1,1)-1)</f>
        <v>-2.003812107417291E-4</v>
      </c>
      <c r="AE32" s="9">
        <f ca="1">IF(OR(AE5="",AE$28&lt;$A32),"",AE5/OFFSET(SSAutESP!$A$2,MATCH(AE$29,SSAutESP!$A$2:$A$500)+$A32-1,1)-1)</f>
        <v>1.5917282893394002E-3</v>
      </c>
      <c r="AF32" s="9">
        <f ca="1">IF(OR(AF5="",AF$28&lt;$A32),"",AF5/OFFSET(SSAutESP!$A$2,MATCH(AF$29,SSAutESP!$A$2:$A$500)+$A32-1,1)-1)</f>
        <v>2.5035483156377047E-4</v>
      </c>
      <c r="AG32" s="9">
        <f ca="1">IF(OR(AG5="",AG$28&lt;$A32),"",AG5/OFFSET(SSAutESP!$A$2,MATCH(AG$29,SSAutESP!$A$2:$A$500)+$A32-1,1)-1)</f>
        <v>-1.457899670952667E-3</v>
      </c>
      <c r="AH32" s="9">
        <f ca="1">IF(OR(AH5="",AH$28&lt;$A32),"",AH5/OFFSET(SSAutESP!$A$2,MATCH(AH$29,SSAutESP!$A$2:$A$500)+$A32-1,1)-1)</f>
        <v>-2.6444134315876111E-3</v>
      </c>
      <c r="AI32" s="9">
        <f ca="1">IF(OR(AI5="",AI$28&lt;$A32),"",AI5/OFFSET(SSAutESP!$A$2,MATCH(AI$29,SSAutESP!$A$2:$A$500)+$A32-1,1)-1)</f>
        <v>-2.2440445893525673E-3</v>
      </c>
      <c r="AJ32" s="9">
        <f ca="1">IF(OR(AJ5="",AJ$28&lt;$A32),"",AJ5/OFFSET(SSAutESP!$A$2,MATCH(AJ$29,SSAutESP!$A$2:$A$500)+$A32-1,1)-1)</f>
        <v>-1.1354079983706411E-3</v>
      </c>
      <c r="AK32" s="9">
        <f ca="1">IF(OR(AK5="",AK$28&lt;$A32),"",AK5/OFFSET(SSAutESP!$A$2,MATCH(AK$29,SSAutESP!$A$2:$A$500)+$A32-1,1)-1)</f>
        <v>-2.4600118232005475E-3</v>
      </c>
      <c r="AL32" s="9">
        <f ca="1">IF(OR(AL5="",AL$28&lt;$A32),"",AL5/OFFSET(SSAutESP!$A$2,MATCH(AL$29,SSAutESP!$A$2:$A$500)+$A32-1,1)-1)</f>
        <v>-2.4796824721404764E-3</v>
      </c>
      <c r="AM32" s="9">
        <f ca="1">IF(OR(AM5="",AM$28&lt;$A32),"",AM5/OFFSET(SSAutESP!$A$2,MATCH(AM$29,SSAutESP!$A$2:$A$500)+$A32-1,1)-1)</f>
        <v>-2.0519399283686068E-3</v>
      </c>
      <c r="AN32" s="9">
        <f ca="1">IF(OR(AN5="",AN$28&lt;$A32),"",AN5/OFFSET(SSAutESP!$A$2,MATCH(AN$29,SSAutESP!$A$2:$A$500)+$A32-1,1)-1)</f>
        <v>-1.0421900441327514E-3</v>
      </c>
      <c r="AO32" s="9">
        <f ca="1">IF(OR(AO5="",AO$28&lt;$A32),"",AO5/OFFSET(SSAutESP!$A$2,MATCH(AO$29,SSAutESP!$A$2:$A$500)+$A32-1,1)-1)</f>
        <v>-1.8439772111211727E-4</v>
      </c>
      <c r="AP32" s="9">
        <f ca="1">IF(OR(AP5="",AP$28&lt;$A32),"",AP5/OFFSET(SSAutESP!$A$2,MATCH(AP$29,SSAutESP!$A$2:$A$500)+$A32-1,1)-1)</f>
        <v>-6.5194469716123304E-4</v>
      </c>
      <c r="AQ32" s="9">
        <f ca="1">IF(OR(AQ5="",AQ$28&lt;$A32),"",AQ5/OFFSET(SSAutESP!$A$2,MATCH(AQ$29,SSAutESP!$A$2:$A$500)+$A32-1,1)-1)</f>
        <v>-2.0287453325762428E-4</v>
      </c>
      <c r="AR32" s="9">
        <f ca="1">IF(OR(AR5="",AR$28&lt;$A32),"",AR5/OFFSET(SSAutESP!$A$2,MATCH(AR$29,SSAutESP!$A$2:$A$500)+$A32-1,1)-1)</f>
        <v>5.4086617512094648E-4</v>
      </c>
      <c r="AS32" s="9">
        <f ca="1">IF(OR(AS5="",AS$28&lt;$A32),"",AS5/OFFSET(SSAutESP!$A$2,MATCH(AS$29,SSAutESP!$A$2:$A$500)+$A32-1,1)-1)</f>
        <v>6.8961156306079907E-4</v>
      </c>
      <c r="AT32" s="9">
        <f ca="1">IF(OR(AT5="",AT$28&lt;$A32),"",AT5/OFFSET(SSAutESP!$A$2,MATCH(AT$29,SSAutESP!$A$2:$A$500)+$A32-1,1)-1)</f>
        <v>-7.3488956779743653E-4</v>
      </c>
      <c r="AU32" s="9">
        <f ca="1">IF(OR(AU5="",AU$28&lt;$A32),"",AU5/OFFSET(SSAutESP!$A$2,MATCH(AU$29,SSAutESP!$A$2:$A$500)+$A32-1,1)-1)</f>
        <v>1.4493204900674073E-3</v>
      </c>
      <c r="AV32" s="9">
        <f ca="1">IF(OR(AV5="",AV$28&lt;$A32),"",AV5/OFFSET(SSAutESP!$A$2,MATCH(AV$29,SSAutESP!$A$2:$A$500)+$A32-1,1)-1)</f>
        <v>3.7259532770239634E-3</v>
      </c>
      <c r="AW32" s="9">
        <f ca="1">IF(OR(AW5="",AW$28&lt;$A32),"",AW5/OFFSET(SSAutESP!$A$2,MATCH(AW$29,SSAutESP!$A$2:$A$500)+$A32-1,1)-1)</f>
        <v>4.6067145354817818E-3</v>
      </c>
      <c r="AX32" s="9">
        <f ca="1">IF(OR(AX5="",AX$28&lt;$A32),"",AX5/OFFSET(SSAutESP!$A$2,MATCH(AX$29,SSAutESP!$A$2:$A$500)+$A32-1,1)-1)</f>
        <v>4.7392365435654504E-3</v>
      </c>
      <c r="AY32" s="9">
        <f ca="1">IF(OR(AY5="",AY$28&lt;$A32),"",AY5/OFFSET(SSAutESP!$A$2,MATCH(AY$29,SSAutESP!$A$2:$A$500)+$A32-1,1)-1)</f>
        <v>7.2722652945331756E-3</v>
      </c>
      <c r="AZ32" s="9">
        <f ca="1">IF(OR(AZ5="",AZ$28&lt;$A32),"",AZ5/OFFSET(SSAutESP!$A$2,MATCH(AZ$29,SSAutESP!$A$2:$A$500)+$A32-1,1)-1)</f>
        <v>1.0187662201492698E-2</v>
      </c>
      <c r="BA32" s="9">
        <f ca="1">IF(OR(BA5="",BA$28&lt;$A32),"",BA5/OFFSET(SSAutESP!$A$2,MATCH(BA$29,SSAutESP!$A$2:$A$500)+$A32-1,1)-1)</f>
        <v>8.2389171530250493E-3</v>
      </c>
      <c r="BB32" s="9">
        <f ca="1">IF(OR(BB5="",BB$28&lt;$A32),"",BB5/OFFSET(SSAutESP!$A$2,MATCH(BB$29,SSAutESP!$A$2:$A$500)+$A32-1,1)-1)</f>
        <v>6.3850634695041819E-3</v>
      </c>
      <c r="BC32" s="9">
        <f ca="1">IF(OR(BC5="",BC$28&lt;$A32),"",BC5/OFFSET(SSAutESP!$A$2,MATCH(BC$29,SSAutESP!$A$2:$A$500)+$A32-1,1)-1)</f>
        <v>1.3059098264309732E-3</v>
      </c>
      <c r="BD32" s="9">
        <f ca="1">IF(OR(BD5="",BD$28&lt;$A32),"",BD5/OFFSET(SSAutESP!$A$2,MATCH(BD$29,SSAutESP!$A$2:$A$500)+$A32-1,1)-1)</f>
        <v>2.5709049826627695E-3</v>
      </c>
      <c r="BE32" s="9">
        <f ca="1">IF(OR(BE5="",BE$28&lt;$A32),"",BE5/OFFSET(SSAutESP!$A$2,MATCH(BE$29,SSAutESP!$A$2:$A$500)+$A32-1,1)-1)</f>
        <v>2.7196195823657732E-3</v>
      </c>
      <c r="BF32" s="9">
        <f ca="1">IF(OR(BF5="",BF$28&lt;$A32),"",BF5/OFFSET(SSAutESP!$A$2,MATCH(BF$29,SSAutESP!$A$2:$A$500)+$A32-1,1)-1)</f>
        <v>3.2946653262604375E-3</v>
      </c>
      <c r="BG32" s="9">
        <f ca="1">IF(OR(BG5="",BG$28&lt;$A32),"",BG5/OFFSET(SSAutESP!$A$2,MATCH(BG$29,SSAutESP!$A$2:$A$500)+$A32-1,1)-1)</f>
        <v>7.7916410084417631E-3</v>
      </c>
      <c r="BH32" s="9">
        <f ca="1">IF(OR(BH5="",BH$28&lt;$A32),"",BH5/OFFSET(SSAutESP!$A$2,MATCH(BH$29,SSAutESP!$A$2:$A$500)+$A32-1,1)-1)</f>
        <v>7.6759650976723215E-3</v>
      </c>
      <c r="BI32" s="9">
        <f ca="1">IF(OR(BI5="",BI$28&lt;$A32),"",BI5/OFFSET(SSAutESP!$A$2,MATCH(BI$29,SSAutESP!$A$2:$A$500)+$A32-1,1)-1)</f>
        <v>8.8365235334588732E-3</v>
      </c>
      <c r="BJ32" s="9">
        <f ca="1">IF(OR(BJ5="",BJ$28&lt;$A32),"",BJ5/OFFSET(SSAutESP!$A$2,MATCH(BJ$29,SSAutESP!$A$2:$A$500)+$A32-1,1)-1)</f>
        <v>1.0200666108607148E-2</v>
      </c>
      <c r="BK32" s="9">
        <f ca="1">IF(OR(BK5="",BK$28&lt;$A32),"",BK5/OFFSET(SSAutESP!$A$2,MATCH(BK$29,SSAutESP!$A$2:$A$500)+$A32-1,1)-1)</f>
        <v>6.212730414039136E-4</v>
      </c>
      <c r="BL32" s="9">
        <f ca="1">IF(OR(BL5="",BL$28&lt;$A32),"",BL5/OFFSET(SSAutESP!$A$2,MATCH(BL$29,SSAutESP!$A$2:$A$500)+$A32-1,1)-1)</f>
        <v>-6.9974110830672842E-3</v>
      </c>
      <c r="BM32" s="9">
        <f ca="1">IF(OR(BM5="",BM$28&lt;$A32),"",BM5/OFFSET(SSAutESP!$A$2,MATCH(BM$29,SSAutESP!$A$2:$A$500)+$A32-1,1)-1)</f>
        <v>-7.7196226465271467E-3</v>
      </c>
      <c r="BN32" s="9">
        <f ca="1">IF(OR(BN5="",BN$28&lt;$A32),"",BN5/OFFSET(SSAutESP!$A$2,MATCH(BN$29,SSAutESP!$A$2:$A$500)+$A32-1,1)-1)</f>
        <v>-5.7388506927414928E-3</v>
      </c>
      <c r="BO32" s="9">
        <f ca="1">IF(OR(BO5="",BO$28&lt;$A32),"",BO5/OFFSET(SSAutESP!$A$2,MATCH(BO$29,SSAutESP!$A$2:$A$500)+$A32-1,1)-1)</f>
        <v>-3.3029603338046165E-3</v>
      </c>
      <c r="BP32" s="9">
        <f ca="1">IF(OR(BP5="",BP$28&lt;$A32),"",BP5/OFFSET(SSAutESP!$A$2,MATCH(BP$29,SSAutESP!$A$2:$A$500)+$A32-1,1)-1)</f>
        <v>-4.3289008554173725E-3</v>
      </c>
      <c r="BQ32" s="9">
        <f ca="1">IF(OR(BQ5="",BQ$28&lt;$A32),"",BQ5/OFFSET(SSAutESP!$A$2,MATCH(BQ$29,SSAutESP!$A$2:$A$500)+$A32-1,1)-1)</f>
        <v>-5.7127299684598398E-3</v>
      </c>
      <c r="BR32" s="9">
        <f ca="1">IF(OR(BR5="",BR$28&lt;$A32),"",BR5/OFFSET(SSAutESP!$A$2,MATCH(BR$29,SSAutESP!$A$2:$A$500)+$A32-1,1)-1)</f>
        <v>-2.573023916629058E-3</v>
      </c>
      <c r="BS32" s="9">
        <f ca="1">IF(OR(BS5="",BS$28&lt;$A32),"",BS5/OFFSET(SSAutESP!$A$2,MATCH(BS$29,SSAutESP!$A$2:$A$500)+$A32-1,1)-1)</f>
        <v>7.192342533686169E-4</v>
      </c>
      <c r="BT32" s="9">
        <f ca="1">IF(OR(BT5="",BT$28&lt;$A32),"",BT5/OFFSET(SSAutESP!$A$2,MATCH(BT$29,SSAutESP!$A$2:$A$500)+$A32-1,1)-1)</f>
        <v>-3.6467968740241385E-3</v>
      </c>
      <c r="BU32" s="9">
        <f ca="1">IF(OR(BU5="",BU$28&lt;$A32),"",BU5/OFFSET(SSAutESP!$A$2,MATCH(BU$29,SSAutESP!$A$2:$A$500)+$A32-1,1)-1)</f>
        <v>-3.3315183988266162E-3</v>
      </c>
      <c r="BV32" s="9">
        <f ca="1">IF(OR(BV5="",BV$28&lt;$A32),"",BV5/OFFSET(SSAutESP!$A$2,MATCH(BV$29,SSAutESP!$A$2:$A$500)+$A32-1,1)-1)</f>
        <v>-1.4099100146380827E-3</v>
      </c>
      <c r="BW32" s="9">
        <f ca="1">IF(OR(BW5="",BW$28&lt;$A32),"",BW5/OFFSET(SSAutESP!$A$2,MATCH(BW$29,SSAutESP!$A$2:$A$500)+$A32-1,1)-1)</f>
        <v>2.1561076110059307E-3</v>
      </c>
      <c r="BX32" s="9">
        <f ca="1">IF(OR(BX5="",BX$28&lt;$A32),"",BX5/OFFSET(SSAutESP!$A$2,MATCH(BX$29,SSAutESP!$A$2:$A$500)+$A32-1,1)-1)</f>
        <v>-4.3291893494835643E-3</v>
      </c>
      <c r="BY32" s="9">
        <f ca="1">IF(OR(BY5="",BY$28&lt;$A32),"",BY5/OFFSET(SSAutESP!$A$2,MATCH(BY$29,SSAutESP!$A$2:$A$500)+$A32-1,1)-1)</f>
        <v>-3.7505699850126639E-3</v>
      </c>
      <c r="BZ32" s="9">
        <f ca="1">IF(OR(BZ5="",BZ$28&lt;$A32),"",BZ5/OFFSET(SSAutESP!$A$2,MATCH(BZ$29,SSAutESP!$A$2:$A$500)+$A32-1,1)-1)</f>
        <v>-2.6676994942463894E-3</v>
      </c>
      <c r="CA32" s="9">
        <f ca="1">IF(OR(CA5="",CA$28&lt;$A32),"",CA5/OFFSET(SSAutESP!$A$2,MATCH(CA$29,SSAutESP!$A$2:$A$500)+$A32-1,1)-1)</f>
        <v>1.7745978828727083E-3</v>
      </c>
      <c r="CB32" s="9">
        <f ca="1">IF(OR(CB5="",CB$28&lt;$A32),"",CB5/OFFSET(SSAutESP!$A$2,MATCH(CB$29,SSAutESP!$A$2:$A$500)+$A32-1,1)-1)</f>
        <v>2.7778857182774175E-3</v>
      </c>
      <c r="CC32" s="9">
        <f ca="1">IF(OR(CC5="",CC$28&lt;$A32),"",CC5/OFFSET(SSAutESP!$A$2,MATCH(CC$29,SSAutESP!$A$2:$A$500)+$A32-1,1)-1)</f>
        <v>5.0555210891789493E-4</v>
      </c>
      <c r="CD32" s="9">
        <f ca="1">IF(OR(CD5="",CD$28&lt;$A32),"",CD5/OFFSET(SSAutESP!$A$2,MATCH(CD$29,SSAutESP!$A$2:$A$500)+$A32-1,1)-1)</f>
        <v>-3.1040173727953091E-3</v>
      </c>
      <c r="CE32" s="9">
        <f ca="1">IF(OR(CE5="",CE$28&lt;$A32),"",CE5/OFFSET(SSAutESP!$A$2,MATCH(CE$29,SSAutESP!$A$2:$A$500)+$A32-1,1)-1)</f>
        <v>-1.382616902928735E-3</v>
      </c>
      <c r="CF32" s="9">
        <f ca="1">IF(OR(CF5="",CF$28&lt;$A32),"",CF5/OFFSET(SSAutESP!$A$2,MATCH(CF$29,SSAutESP!$A$2:$A$500)+$A32-1,1)-1)</f>
        <v>-2.7697265027637474E-4</v>
      </c>
      <c r="CG32" s="9">
        <f ca="1">IF(OR(CG5="",CG$28&lt;$A32),"",CG5/OFFSET(SSAutESP!$A$2,MATCH(CG$29,SSAutESP!$A$2:$A$500)+$A32-1,1)-1)</f>
        <v>8.5712176246799388E-4</v>
      </c>
      <c r="CH32" s="9">
        <f ca="1">IF(OR(CH5="",CH$28&lt;$A32),"",CH5/OFFSET(SSAutESP!$A$2,MATCH(CH$29,SSAutESP!$A$2:$A$500)+$A32-1,1)-1)</f>
        <v>-1.6364466492235774E-3</v>
      </c>
      <c r="CI32" s="9">
        <f ca="1">IF(OR(CI5="",CI$28&lt;$A32),"",CI5/OFFSET(SSAutESP!$A$2,MATCH(CI$29,SSAutESP!$A$2:$A$500)+$A32-1,1)-1)</f>
        <v>-1.2656949534853856E-3</v>
      </c>
      <c r="CJ32" s="9">
        <f ca="1">IF(OR(CJ5="",CJ$28&lt;$A32),"",CJ5/OFFSET(SSAutESP!$A$2,MATCH(CJ$29,SSAutESP!$A$2:$A$500)+$A32-1,1)-1)</f>
        <v>-4.4909847488203702E-3</v>
      </c>
      <c r="CK32" s="9">
        <f ca="1">IF(OR(CK5="",CK$28&lt;$A32),"",CK5/OFFSET(SSAutESP!$A$2,MATCH(CK$29,SSAutESP!$A$2:$A$500)+$A32-1,1)-1)</f>
        <v>-1.0857229744359875E-3</v>
      </c>
      <c r="CL32" s="9">
        <f ca="1">IF(OR(CL5="",CL$28&lt;$A32),"",CL5/OFFSET(SSAutESP!$A$2,MATCH(CL$29,SSAutESP!$A$2:$A$500)+$A32-1,1)-1)</f>
        <v>2.7091913590875372E-3</v>
      </c>
      <c r="CM32" s="9">
        <f ca="1">IF(OR(CM5="",CM$28&lt;$A32),"",CM5/OFFSET(SSAutESP!$A$2,MATCH(CM$29,SSAutESP!$A$2:$A$500)+$A32-1,1)-1)</f>
        <v>3.6644702109056571E-3</v>
      </c>
      <c r="CN32" s="9">
        <f ca="1">IF(OR(CN5="",CN$28&lt;$A32),"",CN5/OFFSET(SSAutESP!$A$2,MATCH(CN$29,SSAutESP!$A$2:$A$500)+$A32-1,1)-1)</f>
        <v>2.705380315455308E-4</v>
      </c>
      <c r="CO32" s="9">
        <f ca="1">IF(OR(CO5="",CO$28&lt;$A32),"",CO5/OFFSET(SSAutESP!$A$2,MATCH(CO$29,SSAutESP!$A$2:$A$500)+$A32-1,1)-1)</f>
        <v>-8.5546888943133226E-5</v>
      </c>
      <c r="CP32" s="9">
        <f ca="1">IF(OR(CP5="",CP$28&lt;$A32),"",CP5/OFFSET(SSAutESP!$A$2,MATCH(CP$29,SSAutESP!$A$2:$A$500)+$A32-1,1)-1)</f>
        <v>-1.0431376906838707E-4</v>
      </c>
      <c r="CQ32" s="9">
        <f ca="1">IF(OR(CQ5="",CQ$28&lt;$A32),"",CQ5/OFFSET(SSAutESP!$A$2,MATCH(CQ$29,SSAutESP!$A$2:$A$500)+$A32-1,1)-1)</f>
        <v>1.8566585910371192E-3</v>
      </c>
      <c r="CR32" s="9">
        <f ca="1">IF(OR(CR5="",CR$28&lt;$A32),"",CR5/OFFSET(SSAutESP!$A$2,MATCH(CR$29,SSAutESP!$A$2:$A$500)+$A32-1,1)-1)</f>
        <v>5.957527807732399E-3</v>
      </c>
      <c r="CS32" s="9">
        <f ca="1">IF(OR(CS5="",CS$28&lt;$A32),"",CS5/OFFSET(SSAutESP!$A$2,MATCH(CS$29,SSAutESP!$A$2:$A$500)+$A32-1,1)-1)</f>
        <v>8.1694518562991369E-4</v>
      </c>
      <c r="CT32" s="9">
        <f ca="1">IF(OR(CT5="",CT$28&lt;$A32),"",CT5/OFFSET(SSAutESP!$A$2,MATCH(CT$29,SSAutESP!$A$2:$A$500)+$A32-1,1)-1)</f>
        <v>1.0039289807757257E-3</v>
      </c>
      <c r="CU32" s="9">
        <f ca="1">IF(OR(CU5="",CU$28&lt;$A32),"",CU5/OFFSET(SSAutESP!$A$2,MATCH(CU$29,SSAutESP!$A$2:$A$500)+$A32-1,1)-1)</f>
        <v>-6.2635841256066804E-3</v>
      </c>
      <c r="CV32" s="9">
        <f ca="1">IF(OR(CV5="",CV$28&lt;$A32),"",CV5/OFFSET(SSAutESP!$A$2,MATCH(CV$29,SSAutESP!$A$2:$A$500)+$A32-1,1)-1)</f>
        <v>-1.1736889583988663E-3</v>
      </c>
      <c r="CW32" s="9">
        <f ca="1">IF(OR(CW5="",CW$28&lt;$A32),"",CW5/OFFSET(SSAutESP!$A$2,MATCH(CW$29,SSAutESP!$A$2:$A$500)+$A32-1,1)-1)</f>
        <v>-6.8355786863938395E-4</v>
      </c>
      <c r="CX32" s="9">
        <f ca="1">IF(OR(CX5="",CX$28&lt;$A32),"",CX5/OFFSET(SSAutESP!$A$2,MATCH(CX$29,SSAutESP!$A$2:$A$500)+$A32-1,1)-1)</f>
        <v>-2.05826994881253E-6</v>
      </c>
      <c r="CY32" s="9">
        <f ca="1">IF(OR(CY5="",CY$28&lt;$A32),"",CY5/OFFSET(SSAutESP!$A$2,MATCH(CY$29,SSAutESP!$A$2:$A$500)+$A32-1,1)-1)</f>
        <v>2.0560593634295632E-3</v>
      </c>
      <c r="CZ32" s="9">
        <f ca="1">IF(OR(CZ5="",CZ$28&lt;$A32),"",CZ5/OFFSET(SSAutESP!$A$2,MATCH(CZ$29,SSAutESP!$A$2:$A$500)+$A32-1,1)-1)</f>
        <v>2.5765735425764547E-3</v>
      </c>
      <c r="DA32" s="9">
        <f ca="1">IF(OR(DA5="",DA$28&lt;$A32),"",DA5/OFFSET(SSAutESP!$A$2,MATCH(DA$29,SSAutESP!$A$2:$A$500)+$A32-1,1)-1)</f>
        <v>2.8416141948033324E-3</v>
      </c>
      <c r="DB32" s="9">
        <f ca="1">IF(OR(DB5="",DB$28&lt;$A32),"",DB5/OFFSET(SSAutESP!$A$2,MATCH(DB$29,SSAutESP!$A$2:$A$500)+$A32-1,1)-1)</f>
        <v>-9.3562555062287611E-4</v>
      </c>
      <c r="DC32" s="9">
        <f ca="1">IF(OR(DC5="",DC$28&lt;$A32),"",DC5/OFFSET(SSAutESP!$A$2,MATCH(DC$29,SSAutESP!$A$2:$A$500)+$A32-1,1)-1)</f>
        <v>-1.4260071469321955E-3</v>
      </c>
      <c r="DD32" s="9">
        <f ca="1">IF(OR(DD5="",DD$28&lt;$A32),"",DD5/OFFSET(SSAutESP!$A$2,MATCH(DD$29,SSAutESP!$A$2:$A$500)+$A32-1,1)-1)</f>
        <v>-2.5921440886089719E-5</v>
      </c>
      <c r="DE32" s="9">
        <f ca="1">IF(OR(DE5="",DE$28&lt;$A32),"",DE5/OFFSET(SSAutESP!$A$2,MATCH(DE$29,SSAutESP!$A$2:$A$500)+$A32-1,1)-1)</f>
        <v>-8.8380301622215107E-4</v>
      </c>
      <c r="DF32" s="9">
        <f ca="1">IF(OR(DF5="",DF$28&lt;$A32),"",DF5/OFFSET(SSAutESP!$A$2,MATCH(DF$29,SSAutESP!$A$2:$A$500)+$A32-1,1)-1)</f>
        <v>2.126713479616793E-3</v>
      </c>
      <c r="DG32" s="9">
        <f ca="1">IF(OR(DG5="",DG$28&lt;$A32),"",DG5/OFFSET(SSAutESP!$A$2,MATCH(DG$29,SSAutESP!$A$2:$A$500)+$A32-1,1)-1)</f>
        <v>-1.6850202143492421E-3</v>
      </c>
      <c r="DH32" s="9">
        <f ca="1">IF(OR(DH5="",DH$28&lt;$A32),"",DH5/OFFSET(SSAutESP!$A$2,MATCH(DH$29,SSAutESP!$A$2:$A$500)+$A32-1,1)-1)</f>
        <v>-6.243807055944961E-3</v>
      </c>
      <c r="DI32" s="9">
        <f ca="1">IF(OR(DI5="",DI$28&lt;$A32),"",DI5/OFFSET(SSAutESP!$A$2,MATCH(DI$29,SSAutESP!$A$2:$A$500)+$A32-1,1)-1)</f>
        <v>-7.4377430598564498E-3</v>
      </c>
      <c r="DJ32" s="9">
        <f ca="1">IF(OR(DJ5="",DJ$28&lt;$A32),"",DJ5/OFFSET(SSAutESP!$A$2,MATCH(DJ$29,SSAutESP!$A$2:$A$500)+$A32-1,1)-1)</f>
        <v>-3.250639017096435E-3</v>
      </c>
      <c r="DK32" s="9">
        <f ca="1">IF(OR(DK5="",DK$28&lt;$A32),"",DK5/OFFSET(SSAutESP!$A$2,MATCH(DK$29,SSAutESP!$A$2:$A$500)+$A32-1,1)-1)</f>
        <v>-3.0006090272949315E-4</v>
      </c>
      <c r="DL32" s="9">
        <f ca="1">IF(OR(DL5="",DL$28&lt;$A32),"",DL5/OFFSET(SSAutESP!$A$2,MATCH(DL$29,SSAutESP!$A$2:$A$500)+$A32-1,1)-1)</f>
        <v>2.8721952443391263E-3</v>
      </c>
      <c r="DM32" s="9">
        <f ca="1">IF(OR(DM5="",DM$28&lt;$A32),"",DM5/OFFSET(SSAutESP!$A$2,MATCH(DM$29,SSAutESP!$A$2:$A$500)+$A32-1,1)-1)</f>
        <v>3.0703508290217396E-3</v>
      </c>
      <c r="DN32" s="9">
        <f ca="1">IF(OR(DN5="",DN$28&lt;$A32),"",DN5/OFFSET(SSAutESP!$A$2,MATCH(DN$29,SSAutESP!$A$2:$A$500)+$A32-1,1)-1)</f>
        <v>-6.5338511357703188E-3</v>
      </c>
      <c r="DO32" s="9">
        <f ca="1">IF(OR(DO5="",DO$28&lt;$A32),"",DO5/OFFSET(SSAutESP!$A$2,MATCH(DO$29,SSAutESP!$A$2:$A$500)+$A32-1,1)-1)</f>
        <v>-6.5856032501153683E-3</v>
      </c>
      <c r="DP32" s="9">
        <f ca="1">IF(OR(DP5="",DP$28&lt;$A32),"",DP5/OFFSET(SSAutESP!$A$2,MATCH(DP$29,SSAutESP!$A$2:$A$500)+$A32-1,1)-1)</f>
        <v>-3.7746490639822827E-3</v>
      </c>
      <c r="DQ32" s="9">
        <f ca="1">IF(OR(DQ5="",DQ$28&lt;$A32),"",DQ5/OFFSET(SSAutESP!$A$2,MATCH(DQ$29,SSAutESP!$A$2:$A$500)+$A32-1,1)-1)</f>
        <v>1.2510290431966276E-4</v>
      </c>
      <c r="DR32" s="9">
        <f ca="1">IF(OR(DR5="",DR$28&lt;$A32),"",DR5/OFFSET(SSAutESP!$A$2,MATCH(DR$29,SSAutESP!$A$2:$A$500)+$A32-1,1)-1)</f>
        <v>2.0430009235792301E-3</v>
      </c>
      <c r="DS32" s="9">
        <f ca="1">IF(OR(DS5="",DS$28&lt;$A32),"",DS5/OFFSET(SSAutESP!$A$2,MATCH(DS$29,SSAutESP!$A$2:$A$500)+$A32-1,1)-1)</f>
        <v>-5.5120156684619337E-3</v>
      </c>
      <c r="DT32" s="9">
        <f ca="1">IF(OR(DT5="",DT$28&lt;$A32),"",DT5/OFFSET(SSAutESP!$A$2,MATCH(DT$29,SSAutESP!$A$2:$A$500)+$A32-1,1)-1)</f>
        <v>-4.6247646738124537E-3</v>
      </c>
      <c r="DU32" s="9">
        <f ca="1">IF(OR(DU5="",DU$28&lt;$A32),"",DU5/OFFSET(SSAutESP!$A$2,MATCH(DU$29,SSAutESP!$A$2:$A$500)+$A32-1,1)-1)</f>
        <v>-2.9929496889793406E-3</v>
      </c>
      <c r="DV32" s="9">
        <f ca="1">IF(OR(DV5="",DV$28&lt;$A32),"",DV5/OFFSET(SSAutESP!$A$2,MATCH(DV$29,SSAutESP!$A$2:$A$500)+$A32-1,1)-1)</f>
        <v>2.5155147517788023E-3</v>
      </c>
      <c r="DW32" s="9">
        <f ca="1">IF(OR(DW5="",DW$28&lt;$A32),"",DW5/OFFSET(SSAutESP!$A$2,MATCH(DW$29,SSAutESP!$A$2:$A$500)+$A32-1,1)-1)</f>
        <v>5.2533083066186315E-3</v>
      </c>
      <c r="DX32" s="9">
        <f ca="1">IF(OR(DX5="",DX$28&lt;$A32),"",DX5/OFFSET(SSAutESP!$A$2,MATCH(DX$29,SSAutESP!$A$2:$A$500)+$A32-1,1)-1)</f>
        <v>3.6206677142720523E-3</v>
      </c>
      <c r="DY32" s="9">
        <f ca="1">IF(OR(DY5="",DY$28&lt;$A32),"",DY5/OFFSET(SSAutESP!$A$2,MATCH(DY$29,SSAutESP!$A$2:$A$500)+$A32-1,1)-1)</f>
        <v>6.2005494847983122E-4</v>
      </c>
      <c r="DZ32" s="9">
        <f ca="1">IF(OR(DZ5="",DZ$28&lt;$A32),"",DZ5/OFFSET(SSAutESP!$A$2,MATCH(DZ$29,SSAutESP!$A$2:$A$500)+$A32-1,1)-1)</f>
        <v>-2.4004180725422097E-3</v>
      </c>
      <c r="EA32" s="9">
        <f ca="1">IF(OR(EA5="",EA$28&lt;$A32),"",EA5/OFFSET(SSAutESP!$A$2,MATCH(EA$29,SSAutESP!$A$2:$A$500)+$A32-1,1)-1)</f>
        <v>-1.6687965869482957E-3</v>
      </c>
      <c r="EB32" s="9">
        <f ca="1">IF(OR(EB5="",EB$28&lt;$A32),"",EB5/OFFSET(SSAutESP!$A$2,MATCH(EB$29,SSAutESP!$A$2:$A$500)+$A32-1,1)-1)</f>
        <v>2.4731833102515921E-3</v>
      </c>
      <c r="EC32" s="9">
        <f ca="1">IF(OR(EC5="",EC$28&lt;$A32),"",EC5/OFFSET(SSAutESP!$A$2,MATCH(EC$29,SSAutESP!$A$2:$A$500)+$A32-1,1)-1)</f>
        <v>4.2771185716339311E-4</v>
      </c>
      <c r="ED32" s="9">
        <f ca="1">IF(OR(ED5="",ED$28&lt;$A32),"",ED5/OFFSET(SSAutESP!$A$2,MATCH(ED$29,SSAutESP!$A$2:$A$500)+$A32-1,1)-1)</f>
        <v>8.4952375831415239E-4</v>
      </c>
      <c r="EE32" s="9">
        <f ca="1">IF(OR(EE5="",EE$28&lt;$A32),"",EE5/OFFSET(SSAutESP!$A$2,MATCH(EE$29,SSAutESP!$A$2:$A$500)+$A32-1,1)-1)</f>
        <v>-3.7029736220215437E-3</v>
      </c>
      <c r="EF32" s="9">
        <f ca="1">IF(OR(EF5="",EF$28&lt;$A32),"",EF5/OFFSET(SSAutESP!$A$2,MATCH(EF$29,SSAutESP!$A$2:$A$500)+$A32-1,1)-1)</f>
        <v>-2.7030429975968273E-3</v>
      </c>
      <c r="EG32" s="9">
        <f ca="1">IF(OR(EG5="",EG$28&lt;$A32),"",EG5/OFFSET(SSAutESP!$A$2,MATCH(EG$29,SSAutESP!$A$2:$A$500)+$A32-1,1)-1)</f>
        <v>1.2959777906140779E-4</v>
      </c>
      <c r="EH32" s="9">
        <f ca="1">IF(OR(EH5="",EH$28&lt;$A32),"",EH5/OFFSET(SSAutESP!$A$2,MATCH(EH$29,SSAutESP!$A$2:$A$500)+$A32-1,1)-1)</f>
        <v>3.763021524922916E-3</v>
      </c>
      <c r="EI32" s="9">
        <f ca="1">IF(OR(EI5="",EI$28&lt;$A32),"",EI5/OFFSET(SSAutESP!$A$2,MATCH(EI$29,SSAutESP!$A$2:$A$500)+$A32-1,1)-1)</f>
        <v>5.0528043287252355E-3</v>
      </c>
      <c r="EJ32" s="9">
        <f ca="1">IF(OR(EJ5="",EJ$28&lt;$A32),"",EJ5/OFFSET(SSAutESP!$A$2,MATCH(EJ$29,SSAutESP!$A$2:$A$500)+$A32-1,1)-1)</f>
        <v>5.0224462194059516E-3</v>
      </c>
      <c r="EK32" s="9">
        <f ca="1">IF(OR(EK5="",EK$28&lt;$A32),"",EK5/OFFSET(SSAutESP!$A$2,MATCH(EK$29,SSAutESP!$A$2:$A$500)+$A32-1,1)-1)</f>
        <v>6.0462102605307599E-4</v>
      </c>
      <c r="EL32" s="9">
        <f ca="1">IF(OR(EL5="",EL$28&lt;$A32),"",EL5/OFFSET(SSAutESP!$A$2,MATCH(EL$29,SSAutESP!$A$2:$A$500)+$A32-1,1)-1)</f>
        <v>-1.6252241496471642E-3</v>
      </c>
      <c r="EM32" s="9">
        <f ca="1">IF(OR(EM5="",EM$28&lt;$A32),"",EM5/OFFSET(SSAutESP!$A$2,MATCH(EM$29,SSAutESP!$A$2:$A$500)+$A32-1,1)-1)</f>
        <v>-9.0293493250392931E-4</v>
      </c>
      <c r="EN32" s="9">
        <f ca="1">IF(OR(EN5="",EN$28&lt;$A32),"",EN5/OFFSET(SSAutESP!$A$2,MATCH(EN$29,SSAutESP!$A$2:$A$500)+$A32-1,1)-1)</f>
        <v>5.1313329660196416E-4</v>
      </c>
      <c r="EO32" s="9">
        <f ca="1">IF(OR(EO5="",EO$28&lt;$A32),"",EO5/OFFSET(SSAutESP!$A$2,MATCH(EO$29,SSAutESP!$A$2:$A$500)+$A32-1,1)-1)</f>
        <v>1.6696576217916093E-3</v>
      </c>
      <c r="EP32" s="9">
        <f ca="1">IF(OR(EP5="",EP$28&lt;$A32),"",EP5/OFFSET(SSAutESP!$A$2,MATCH(EP$29,SSAutESP!$A$2:$A$500)+$A32-1,1)-1)</f>
        <v>-5.3762599799433985E-4</v>
      </c>
      <c r="EQ32" s="9">
        <f ca="1">IF(OR(EQ5="",EQ$28&lt;$A32),"",EQ5/OFFSET(SSAutESP!$A$2,MATCH(EQ$29,SSAutESP!$A$2:$A$500)+$A32-1,1)-1)</f>
        <v>-5.7326365284053882E-3</v>
      </c>
      <c r="ER32" s="9">
        <f ca="1">IF(OR(ER5="",ER$28&lt;$A32),"",ER5/OFFSET(SSAutESP!$A$2,MATCH(ER$29,SSAutESP!$A$2:$A$500)+$A32-1,1)-1)</f>
        <v>-2.704815184044751E-4</v>
      </c>
      <c r="ES32" s="9">
        <f ca="1">IF(OR(ES5="",ES$28&lt;$A32),"",ES5/OFFSET(SSAutESP!$A$2,MATCH(ES$29,SSAutESP!$A$2:$A$500)+$A32-1,1)-1)</f>
        <v>2.2061468078637958E-3</v>
      </c>
      <c r="ET32" s="9">
        <f ca="1">IF(OR(ET5="",ET$28&lt;$A32),"",ET5/OFFSET(SSAutESP!$A$2,MATCH(ET$29,SSAutESP!$A$2:$A$500)+$A32-1,1)-1)</f>
        <v>5.6567127042406185E-4</v>
      </c>
      <c r="EU32" s="9">
        <f ca="1">IF(OR(EU5="",EU$28&lt;$A32),"",EU5/OFFSET(SSAutESP!$A$2,MATCH(EU$29,SSAutESP!$A$2:$A$500)+$A32-1,1)-1)</f>
        <v>2.3732469453281446E-3</v>
      </c>
      <c r="EV32" s="9">
        <f ca="1">IF(OR(EV5="",EV$28&lt;$A32),"",EV5/OFFSET(SSAutESP!$A$2,MATCH(EV$29,SSAutESP!$A$2:$A$500)+$A32-1,1)-1)</f>
        <v>2.4451407053445173E-3</v>
      </c>
      <c r="EW32" s="9">
        <f ca="1">IF(OR(EW5="",EW$28&lt;$A32),"",EW5/OFFSET(SSAutESP!$A$2,MATCH(EW$29,SSAutESP!$A$2:$A$500)+$A32-1,1)-1)</f>
        <v>-1.5757400261011689E-3</v>
      </c>
      <c r="EX32" s="9">
        <f ca="1">IF(OR(EX5="",EX$28&lt;$A32),"",EX5/OFFSET(SSAutESP!$A$2,MATCH(EX$29,SSAutESP!$A$2:$A$500)+$A32-1,1)-1)</f>
        <v>-1.8134767340478586E-3</v>
      </c>
      <c r="EY32" s="9">
        <f ca="1">IF(OR(EY5="",EY$28&lt;$A32),"",EY5/OFFSET(SSAutESP!$A$2,MATCH(EY$29,SSAutESP!$A$2:$A$500)+$A32-1,1)-1)</f>
        <v>-1.0668091982038996E-3</v>
      </c>
      <c r="EZ32" s="9">
        <f ca="1">IF(OR(EZ5="",EZ$28&lt;$A32),"",EZ5/OFFSET(SSAutESP!$A$2,MATCH(EZ$29,SSAutESP!$A$2:$A$500)+$A32-1,1)-1)</f>
        <v>2.1213883305450931E-3</v>
      </c>
      <c r="FA32" s="9">
        <f ca="1">IF(OR(FA5="",FA$28&lt;$A32),"",FA5/OFFSET(SSAutESP!$A$2,MATCH(FA$29,SSAutESP!$A$2:$A$500)+$A32-1,1)-1)</f>
        <v>8.4704984379957438E-5</v>
      </c>
      <c r="FB32" s="9">
        <f ca="1">IF(OR(FB5="",FB$28&lt;$A32),"",FB5/OFFSET(SSAutESP!$A$2,MATCH(FB$29,SSAutESP!$A$2:$A$500)+$A32-1,1)-1)</f>
        <v>-1.4531504384270866E-3</v>
      </c>
      <c r="FC32" s="9">
        <f ca="1">IF(OR(FC5="",FC$28&lt;$A32),"",FC5/OFFSET(SSAutESP!$A$2,MATCH(FC$29,SSAutESP!$A$2:$A$500)+$A32-1,1)-1)</f>
        <v>-4.8465430853829039E-3</v>
      </c>
      <c r="FD32" s="9">
        <f ca="1">IF(OR(FD5="",FD$28&lt;$A32),"",FD5/OFFSET(SSAutESP!$A$2,MATCH(FD$29,SSAutESP!$A$2:$A$500)+$A32-1,1)-1)</f>
        <v>-3.8692458577727074E-4</v>
      </c>
      <c r="FE32" s="9">
        <f ca="1">IF(OR(FE5="",FE$28&lt;$A32),"",FE5/OFFSET(SSAutESP!$A$2,MATCH(FE$29,SSAutESP!$A$2:$A$500)+$A32-1,1)-1)</f>
        <v>3.4682968082844212E-5</v>
      </c>
      <c r="FF32" s="9">
        <f ca="1">IF(OR(FF5="",FF$28&lt;$A32),"",FF5/OFFSET(SSAutESP!$A$2,MATCH(FF$29,SSAutESP!$A$2:$A$500)+$A32-1,1)-1)</f>
        <v>3.213093784862231E-3</v>
      </c>
      <c r="FG32" s="9">
        <f ca="1">IF(OR(FG5="",FG$28&lt;$A32),"",FG5/OFFSET(SSAutESP!$A$2,MATCH(FG$29,SSAutESP!$A$2:$A$500)+$A32-1,1)-1)</f>
        <v>5.1861334576486229E-3</v>
      </c>
      <c r="FH32" s="9">
        <f ca="1">IF(OR(FH5="",FH$28&lt;$A32),"",FH5/OFFSET(SSAutESP!$A$2,MATCH(FH$29,SSAutESP!$A$2:$A$500)+$A32-1,1)-1)</f>
        <v>2.3995199056907612E-3</v>
      </c>
      <c r="FI32" s="9">
        <f ca="1">IF(OR(FI5="",FI$28&lt;$A32),"",FI5/OFFSET(SSAutESP!$A$2,MATCH(FI$29,SSAutESP!$A$2:$A$500)+$A32-1,1)-1)</f>
        <v>-2.8794472613431488E-3</v>
      </c>
      <c r="FJ32" s="9">
        <f ca="1">IF(OR(FJ5="",FJ$28&lt;$A32),"",FJ5/OFFSET(SSAutESP!$A$2,MATCH(FJ$29,SSAutESP!$A$2:$A$500)+$A32-1,1)-1)</f>
        <v>-2.0083189335788898E-3</v>
      </c>
      <c r="FK32" s="9">
        <f ca="1">IF(OR(FK5="",FK$28&lt;$A32),"",FK5/OFFSET(SSAutESP!$A$2,MATCH(FK$29,SSAutESP!$A$2:$A$500)+$A32-1,1)-1)</f>
        <v>3.607231204666661E-3</v>
      </c>
      <c r="FL32" s="9">
        <f ca="1">IF(OR(FL5="",FL$28&lt;$A32),"",FL5/OFFSET(SSAutESP!$A$2,MATCH(FL$29,SSAutESP!$A$2:$A$500)+$A32-1,1)-1)</f>
        <v>2.660139194659461E-3</v>
      </c>
      <c r="FM32" s="9">
        <f ca="1">IF(OR(FM5="",FM$28&lt;$A32),"",FM5/OFFSET(SSAutESP!$A$2,MATCH(FM$29,SSAutESP!$A$2:$A$500)+$A32-1,1)-1)</f>
        <v>-6.4003776780899857E-3</v>
      </c>
      <c r="FN32" s="9">
        <f ca="1">IF(OR(FN5="",FN$28&lt;$A32),"",FN5/OFFSET(SSAutESP!$A$2,MATCH(FN$29,SSAutESP!$A$2:$A$500)+$A32-1,1)-1)</f>
        <v>-1.2531975777330673E-2</v>
      </c>
      <c r="FO32" s="9">
        <f ca="1">IF(OR(FO5="",FO$28&lt;$A32),"",FO5/OFFSET(SSAutESP!$A$2,MATCH(FO$29,SSAutESP!$A$2:$A$500)+$A32-1,1)-1)</f>
        <v>-1.0890048093107896E-2</v>
      </c>
      <c r="FP32" s="9">
        <f ca="1">IF(OR(FP5="",FP$28&lt;$A32),"",FP5/OFFSET(SSAutESP!$A$2,MATCH(FP$29,SSAutESP!$A$2:$A$500)+$A32-1,1)-1)</f>
        <v>-7.9743121555975183E-4</v>
      </c>
      <c r="FQ32" s="9">
        <f ca="1">IF(OR(FQ5="",FQ$28&lt;$A32),"",FQ5/OFFSET(SSAutESP!$A$2,MATCH(FQ$29,SSAutESP!$A$2:$A$500)+$A32-1,1)-1)</f>
        <v>3.9581179303156411E-3</v>
      </c>
      <c r="FR32" s="9">
        <f ca="1">IF(OR(FR5="",FR$28&lt;$A32),"",FR5/OFFSET(SSAutESP!$A$2,MATCH(FR$29,SSAutESP!$A$2:$A$500)+$A32-1,1)-1)</f>
        <v>1.5982865133956636E-3</v>
      </c>
      <c r="FS32" s="9">
        <f ca="1">IF(OR(FS5="",FS$28&lt;$A32),"",FS5/OFFSET(SSAutESP!$A$2,MATCH(FS$29,SSAutESP!$A$2:$A$500)+$A32-1,1)-1)</f>
        <v>2.5431004546088154E-3</v>
      </c>
      <c r="FT32" s="9">
        <f ca="1">IF(OR(FT5="",FT$28&lt;$A32),"",FT5/OFFSET(SSAutESP!$A$2,MATCH(FT$29,SSAutESP!$A$2:$A$500)+$A32-1,1)-1)</f>
        <v>2.1995798878697848E-3</v>
      </c>
      <c r="FU32" s="9">
        <f ca="1">IF(OR(FU5="",FU$28&lt;$A32),"",FU5/OFFSET(SSAutESP!$A$2,MATCH(FU$29,SSAutESP!$A$2:$A$500)+$A32-1,1)-1)</f>
        <v>-3.4541277450261809E-4</v>
      </c>
      <c r="FV32" s="9">
        <f ca="1">IF(OR(FV5="",FV$28&lt;$A32),"",FV5/OFFSET(SSAutESP!$A$2,MATCH(FV$29,SSAutESP!$A$2:$A$500)+$A32-1,1)-1)</f>
        <v>-2.8831466188586896E-3</v>
      </c>
      <c r="FW32" s="9">
        <f ca="1">IF(OR(FW5="",FW$28&lt;$A32),"",FW5/OFFSET(SSAutESP!$A$2,MATCH(FW$29,SSAutESP!$A$2:$A$500)+$A32-1,1)-1)</f>
        <v>-9.0975169411844359E-4</v>
      </c>
      <c r="FX32" s="9">
        <f ca="1">IF(OR(FX5="",FX$28&lt;$A32),"",FX5/OFFSET(SSAutESP!$A$2,MATCH(FX$29,SSAutESP!$A$2:$A$500)+$A32-1,1)-1)</f>
        <v>3.4272997213928846E-3</v>
      </c>
      <c r="FY32" s="9">
        <f ca="1">IF(OR(FY5="",FY$28&lt;$A32),"",FY5/OFFSET(SSAutESP!$A$2,MATCH(FY$29,SSAutESP!$A$2:$A$500)+$A32-1,1)-1)</f>
        <v>2.3135323559302368E-3</v>
      </c>
      <c r="FZ32" s="9">
        <f ca="1">IF(OR(FZ5="",FZ$28&lt;$A32),"",FZ5/OFFSET(SSAutESP!$A$2,MATCH(FZ$29,SSAutESP!$A$2:$A$500)+$A32-1,1)-1)</f>
        <v>5.6980974702949272E-3</v>
      </c>
      <c r="GA32" s="9">
        <f ca="1">IF(OR(GA5="",GA$28&lt;$A32),"",GA5/OFFSET(SSAutESP!$A$2,MATCH(GA$29,SSAutESP!$A$2:$A$500)+$A32-1,1)-1)</f>
        <v>-2.1899791314723416E-3</v>
      </c>
      <c r="GB32" s="9">
        <f ca="1">IF(OR(GB5="",GB$28&lt;$A32),"",GB5/OFFSET(SSAutESP!$A$2,MATCH(GB$29,SSAutESP!$A$2:$A$500)+$A32-1,1)-1)</f>
        <v>1.0164106943657547E-3</v>
      </c>
      <c r="GC32" s="9">
        <f ca="1">IF(OR(GC5="",GC$28&lt;$A32),"",GC5/OFFSET(SSAutESP!$A$2,MATCH(GC$29,SSAutESP!$A$2:$A$500)+$A32-1,1)-1)</f>
        <v>1.533974115308645E-4</v>
      </c>
      <c r="GD32" s="9">
        <f ca="1">IF(OR(GD5="",GD$28&lt;$A32),"",GD5/OFFSET(SSAutESP!$A$2,MATCH(GD$29,SSAutESP!$A$2:$A$500)+$A32-1,1)-1)</f>
        <v>-9.5169563038033367E-4</v>
      </c>
      <c r="GE32" s="9">
        <f ca="1">IF(OR(GE5="",GE$28&lt;$A32),"",GE5/OFFSET(SSAutESP!$A$2,MATCH(GE$29,SSAutESP!$A$2:$A$500)+$A32-1,1)-1)</f>
        <v>-8.5421686511710782E-5</v>
      </c>
      <c r="GF32" s="9">
        <f ca="1">IF(OR(GF5="",GF$28&lt;$A32),"",GF5/OFFSET(SSAutESP!$A$2,MATCH(GF$29,SSAutESP!$A$2:$A$500)+$A32-1,1)-1)</f>
        <v>-1.1878914223015791E-3</v>
      </c>
      <c r="GG32" s="9">
        <f ca="1">IF(OR(GG5="",GG$28&lt;$A32),"",GG5/OFFSET(SSAutESP!$A$2,MATCH(GG$29,SSAutESP!$A$2:$A$500)+$A32-1,1)-1)</f>
        <v>-2.0574549661424024E-3</v>
      </c>
      <c r="GH32" s="9">
        <f ca="1">IF(OR(GH5="",GH$28&lt;$A32),"",GH5/OFFSET(SSAutESP!$A$2,MATCH(GH$29,SSAutESP!$A$2:$A$500)+$A32-1,1)-1)</f>
        <v>-3.7974370668111268E-3</v>
      </c>
      <c r="GI32" s="9">
        <f ca="1">IF(OR(GI5="",GI$28&lt;$A32),"",GI5/OFFSET(SSAutESP!$A$2,MATCH(GI$29,SSAutESP!$A$2:$A$500)+$A32-1,1)-1)</f>
        <v>-7.6352669638635184E-4</v>
      </c>
      <c r="GJ32" s="9">
        <f ca="1">IF(OR(GJ5="",GJ$28&lt;$A32),"",GJ5/OFFSET(SSAutESP!$A$2,MATCH(GJ$29,SSAutESP!$A$2:$A$500)+$A32-1,1)-1)</f>
        <v>1.0785016460512775E-3</v>
      </c>
      <c r="GK32" s="9">
        <f ca="1">IF(OR(GK5="",GK$28&lt;$A32),"",GK5/OFFSET(SSAutESP!$A$2,MATCH(GK$29,SSAutESP!$A$2:$A$500)+$A32-1,1)-1)</f>
        <v>9.2403473090074684E-4</v>
      </c>
      <c r="GL32" s="9">
        <f ca="1">IF(OR(GL5="",GL$28&lt;$A32),"",GL5/OFFSET(SSAutESP!$A$2,MATCH(GL$29,SSAutESP!$A$2:$A$500)+$A32-1,1)-1)</f>
        <v>5.81515868822291E-3</v>
      </c>
      <c r="GM32" s="9">
        <f ca="1">IF(OR(GM5="",GM$28&lt;$A32),"",GM5/OFFSET(SSAutESP!$A$2,MATCH(GM$29,SSAutESP!$A$2:$A$500)+$A32-1,1)-1)</f>
        <v>2.2772780903473233E-2</v>
      </c>
      <c r="GN32" s="9">
        <f ca="1">IF(OR(GN5="",GN$28&lt;$A32),"",GN5/OFFSET(SSAutESP!$A$2,MATCH(GN$29,SSAutESP!$A$2:$A$500)+$A32-1,1)-1)</f>
        <v>2.4393107345769716E-2</v>
      </c>
      <c r="GO32" s="9">
        <f ca="1">IF(OR(GO5="",GO$28&lt;$A32),"",GO5/OFFSET(SSAutESP!$A$2,MATCH(GO$29,SSAutESP!$A$2:$A$500)+$A32-1,1)-1)</f>
        <v>9.8728950966062712E-3</v>
      </c>
      <c r="GP32" s="9">
        <f ca="1">IF(OR(GP5="",GP$28&lt;$A32),"",GP5/OFFSET(SSAutESP!$A$2,MATCH(GP$29,SSAutESP!$A$2:$A$500)+$A32-1,1)-1)</f>
        <v>-1.7754271272637179E-2</v>
      </c>
      <c r="GQ32" s="9">
        <f ca="1">IF(OR(GQ5="",GQ$28&lt;$A32),"",GQ5/OFFSET(SSAutESP!$A$2,MATCH(GQ$29,SSAutESP!$A$2:$A$500)+$A32-1,1)-1)</f>
        <v>-2.149189870251178E-2</v>
      </c>
      <c r="GR32" s="9">
        <f ca="1">IF(OR(GR5="",GR$28&lt;$A32),"",GR5/OFFSET(SSAutESP!$A$2,MATCH(GR$29,SSAutESP!$A$2:$A$500)+$A32-1,1)-1)</f>
        <v>-1.341407398651584E-2</v>
      </c>
      <c r="GS32" s="9">
        <f ca="1">IF(OR(GS5="",GS$28&lt;$A32),"",GS5/OFFSET(SSAutESP!$A$2,MATCH(GS$29,SSAutESP!$A$2:$A$500)+$A32-1,1)-1)</f>
        <v>4.2454894920129771E-3</v>
      </c>
      <c r="GT32" s="9">
        <f ca="1">IF(OR(GT5="",GT$28&lt;$A32),"",GT5/OFFSET(SSAutESP!$A$2,MATCH(GT$29,SSAutESP!$A$2:$A$500)+$A32-1,1)-1)</f>
        <v>5.6014201638305838E-3</v>
      </c>
      <c r="GU32" s="9">
        <f ca="1">IF(OR(GU5="",GU$28&lt;$A32),"",GU5/OFFSET(SSAutESP!$A$2,MATCH(GU$29,SSAutESP!$A$2:$A$500)+$A32-1,1)-1)</f>
        <v>-2.57032796416512E-3</v>
      </c>
      <c r="GV32" s="9">
        <f ca="1">IF(OR(GV5="",GV$28&lt;$A32),"",GV5/OFFSET(SSAutESP!$A$2,MATCH(GV$29,SSAutESP!$A$2:$A$500)+$A32-1,1)-1)</f>
        <v>-3.6670206433675467E-3</v>
      </c>
      <c r="GW32" s="9" t="str">
        <f ca="1">IF(OR(GW5="",GW$28&lt;$A32),"",GW5/OFFSET(SSAutESP!$A$2,MATCH(GW$29,SSAutESP!$A$2:$A$500)+$A32-1,1)-1)</f>
        <v/>
      </c>
      <c r="GX32" s="9" t="str">
        <f ca="1">IF(OR(GX5="",GX$28&lt;$A32),"",GX5/OFFSET(SSAutESP!$A$2,MATCH(GX$29,SSAutESP!$A$2:$A$500)+$A32-1,1)-1)</f>
        <v/>
      </c>
      <c r="GY32" s="9" t="str">
        <f ca="1">IF(OR(GY5="",GY$28&lt;$A32),"",GY5/OFFSET(SSAutESP!$A$2,MATCH(GY$29,SSAutESP!$A$2:$A$500)+$A32-1,1)-1)</f>
        <v/>
      </c>
      <c r="GZ32" s="9" t="str">
        <f ca="1">IF(OR(GZ5="",GZ$28&lt;$A32),"",GZ5/OFFSET(SSAutESP!$A$2,MATCH(GZ$29,SSAutESP!$A$2:$A$500)+$A32-1,1)-1)</f>
        <v/>
      </c>
      <c r="HA32" s="9" t="str">
        <f ca="1">IF(OR(HA5="",HA$28&lt;$A32),"",HA5/OFFSET(SSAutESP!$A$2,MATCH(HA$29,SSAutESP!$A$2:$A$500)+$A32-1,1)-1)</f>
        <v/>
      </c>
      <c r="HB32" s="9" t="str">
        <f ca="1">IF(OR(HB5="",HB$28&lt;$A32),"",HB5/OFFSET(SSAutESP!$A$2,MATCH(HB$29,SSAutESP!$A$2:$A$500)+$A32-1,1)-1)</f>
        <v/>
      </c>
      <c r="HC32" s="9" t="str">
        <f ca="1">IF(OR(HC5="",HC$28&lt;$A32),"",HC5/OFFSET(SSAutESP!$A$2,MATCH(HC$29,SSAutESP!$A$2:$A$500)+$A32-1,1)-1)</f>
        <v/>
      </c>
      <c r="HD32" s="9" t="str">
        <f ca="1">IF(OR(HD5="",HD$28&lt;$A32),"",HD5/OFFSET(SSAutESP!$A$2,MATCH(HD$29,SSAutESP!$A$2:$A$500)+$A32-1,1)-1)</f>
        <v/>
      </c>
      <c r="HE32" s="9" t="str">
        <f ca="1">IF(OR(HE5="",HE$28&lt;$A32),"",HE5/OFFSET(SSAutESP!$A$2,MATCH(HE$29,SSAutESP!$A$2:$A$500)+$A32-1,1)-1)</f>
        <v/>
      </c>
      <c r="HF32" s="9" t="str">
        <f ca="1">IF(OR(HF5="",HF$28&lt;$A32),"",HF5/OFFSET(SSAutESP!$A$2,MATCH(HF$29,SSAutESP!$A$2:$A$500)+$A32-1,1)-1)</f>
        <v/>
      </c>
      <c r="HG32" s="9" t="str">
        <f ca="1">IF(OR(HG5="",HG$28&lt;$A32),"",HG5/OFFSET(SSAutESP!$A$2,MATCH(HG$29,SSAutESP!$A$2:$A$500)+$A32-1,1)-1)</f>
        <v/>
      </c>
      <c r="HH32" s="9" t="str">
        <f ca="1">IF(OR(HH5="",HH$28&lt;$A32),"",HH5/OFFSET(SSAutESP!$A$2,MATCH(HH$29,SSAutESP!$A$2:$A$500)+$A32-1,1)-1)</f>
        <v/>
      </c>
      <c r="HI32" s="9" t="str">
        <f ca="1">IF(OR(HI5="",HI$28&lt;$A32),"",HI5/OFFSET(SSAutESP!$A$2,MATCH(HI$29,SSAutESP!$A$2:$A$500)+$A32-1,1)-1)</f>
        <v/>
      </c>
      <c r="HJ32" s="9" t="str">
        <f ca="1">IF(OR(HJ5="",HJ$28&lt;$A32),"",HJ5/OFFSET(SSAutESP!$A$2,MATCH(HJ$29,SSAutESP!$A$2:$A$500)+$A32-1,1)-1)</f>
        <v/>
      </c>
      <c r="HK32" s="9" t="str">
        <f ca="1">IF(OR(HK5="",HK$28&lt;$A32),"",HK5/OFFSET(SSAutESP!$A$2,MATCH(HK$29,SSAutESP!$A$2:$A$500)+$A32-1,1)-1)</f>
        <v/>
      </c>
      <c r="HL32" s="9" t="str">
        <f ca="1">IF(OR(HL5="",HL$28&lt;$A32),"",HL5/OFFSET(SSAutESP!$A$2,MATCH(HL$29,SSAutESP!$A$2:$A$500)+$A32-1,1)-1)</f>
        <v/>
      </c>
      <c r="HM32" s="9" t="str">
        <f ca="1">IF(OR(HM5="",HM$28&lt;$A32),"",HM5/OFFSET(SSAutESP!$A$2,MATCH(HM$29,SSAutESP!$A$2:$A$500)+$A32-1,1)-1)</f>
        <v/>
      </c>
      <c r="HN32" s="9" t="str">
        <f ca="1">IF(OR(HN5="",HN$28&lt;$A32),"",HN5/OFFSET(SSAutESP!$A$2,MATCH(HN$29,SSAutESP!$A$2:$A$500)+$A32-1,1)-1)</f>
        <v/>
      </c>
      <c r="HO32" s="9" t="str">
        <f ca="1">IF(OR(HO5="",HO$28&lt;$A32),"",HO5/OFFSET(SSAutESP!$A$2,MATCH(HO$29,SSAutESP!$A$2:$A$500)+$A32-1,1)-1)</f>
        <v/>
      </c>
      <c r="HP32" s="9" t="str">
        <f ca="1">IF(OR(HP5="",HP$28&lt;$A32),"",HP5/OFFSET(SSAutESP!$A$2,MATCH(HP$29,SSAutESP!$A$2:$A$500)+$A32-1,1)-1)</f>
        <v/>
      </c>
      <c r="HQ32" s="9" t="str">
        <f ca="1">IF(OR(HQ5="",HQ$28&lt;$A32),"",HQ5/OFFSET(SSAutESP!$A$2,MATCH(HQ$29,SSAutESP!$A$2:$A$500)+$A32-1,1)-1)</f>
        <v/>
      </c>
      <c r="HR32" s="9" t="str">
        <f ca="1">IF(OR(HR5="",HR$28&lt;$A32),"",HR5/OFFSET(SSAutESP!$A$2,MATCH(HR$29,SSAutESP!$A$2:$A$500)+$A32-1,1)-1)</f>
        <v/>
      </c>
      <c r="HS32" s="9" t="str">
        <f ca="1">IF(OR(HS5="",HS$28&lt;$A32),"",HS5/OFFSET(SSAutESP!$A$2,MATCH(HS$29,SSAutESP!$A$2:$A$500)+$A32-1,1)-1)</f>
        <v/>
      </c>
      <c r="HT32" s="9" t="str">
        <f ca="1">IF(OR(HT5="",HT$28&lt;$A32),"",HT5/OFFSET(SSAutESP!$A$2,MATCH(HT$29,SSAutESP!$A$2:$A$500)+$A32-1,1)-1)</f>
        <v/>
      </c>
      <c r="HU32" s="9" t="str">
        <f ca="1">IF(OR(HU5="",HU$28&lt;$A32),"",HU5/OFFSET(SSAutESP!$A$2,MATCH(HU$29,SSAutESP!$A$2:$A$500)+$A32-1,1)-1)</f>
        <v/>
      </c>
      <c r="HV32" s="9" t="str">
        <f ca="1">IF(OR(HV5="",HV$28&lt;$A32),"",HV5/OFFSET(SSAutESP!$A$2,MATCH(HV$29,SSAutESP!$A$2:$A$500)+$A32-1,1)-1)</f>
        <v/>
      </c>
      <c r="HW32" s="9" t="str">
        <f ca="1">IF(OR(HW5="",HW$28&lt;$A32),"",HW5/OFFSET(SSAutESP!$A$2,MATCH(HW$29,SSAutESP!$A$2:$A$500)+$A32-1,1)-1)</f>
        <v/>
      </c>
      <c r="HX32" s="9" t="str">
        <f ca="1">IF(OR(HX5="",HX$28&lt;$A32),"",HX5/OFFSET(SSAutESP!$A$2,MATCH(HX$29,SSAutESP!$A$2:$A$500)+$A32-1,1)-1)</f>
        <v/>
      </c>
      <c r="HY32" s="9" t="str">
        <f ca="1">IF(OR(HY5="",HY$28&lt;$A32),"",HY5/OFFSET(SSAutESP!$A$2,MATCH(HY$29,SSAutESP!$A$2:$A$500)+$A32-1,1)-1)</f>
        <v/>
      </c>
      <c r="HZ32" s="9" t="str">
        <f ca="1">IF(OR(HZ5="",HZ$28&lt;$A32),"",HZ5/OFFSET(SSAutESP!$A$2,MATCH(HZ$29,SSAutESP!$A$2:$A$500)+$A32-1,1)-1)</f>
        <v/>
      </c>
      <c r="IA32" s="9" t="str">
        <f ca="1">IF(OR(IA5="",IA$28&lt;$A32),"",IA5/OFFSET(SSAutESP!$A$2,MATCH(IA$29,SSAutESP!$A$2:$A$500)+$A32-1,1)-1)</f>
        <v/>
      </c>
      <c r="IB32" s="9" t="str">
        <f ca="1">IF(OR(IB5="",IB$28&lt;$A32),"",IB5/OFFSET(SSAutESP!$A$2,MATCH(IB$29,SSAutESP!$A$2:$A$500)+$A32-1,1)-1)</f>
        <v/>
      </c>
      <c r="IC32" s="9" t="str">
        <f ca="1">IF(OR(IC5="",IC$28&lt;$A32),"",IC5/OFFSET(SSAutESP!$A$2,MATCH(IC$29,SSAutESP!$A$2:$A$500)+$A32-1,1)-1)</f>
        <v/>
      </c>
      <c r="ID32" s="9" t="str">
        <f ca="1">IF(OR(ID5="",ID$28&lt;$A32),"",ID5/OFFSET(SSAutESP!$A$2,MATCH(ID$29,SSAutESP!$A$2:$A$500)+$A32-1,1)-1)</f>
        <v/>
      </c>
      <c r="IE32" s="9" t="str">
        <f ca="1">IF(OR(IE5="",IE$28&lt;$A32),"",IE5/OFFSET(SSAutESP!$A$2,MATCH(IE$29,SSAutESP!$A$2:$A$500)+$A32-1,1)-1)</f>
        <v/>
      </c>
      <c r="IF32" s="9" t="str">
        <f ca="1">IF(OR(IF5="",IF$28&lt;$A32),"",IF5/OFFSET(SSAutESP!$A$2,MATCH(IF$29,SSAutESP!$A$2:$A$500)+$A32-1,1)-1)</f>
        <v/>
      </c>
      <c r="IG32" s="9" t="str">
        <f ca="1">IF(OR(IG5="",IG$28&lt;$A32),"",IG5/OFFSET(SSAutESP!$A$2,MATCH(IG$29,SSAutESP!$A$2:$A$500)+$A32-1,1)-1)</f>
        <v/>
      </c>
      <c r="IH32" s="9" t="str">
        <f ca="1">IF(OR(IH5="",IH$28&lt;$A32),"",IH5/OFFSET(SSAutESP!$A$2,MATCH(IH$29,SSAutESP!$A$2:$A$500)+$A32-1,1)-1)</f>
        <v/>
      </c>
      <c r="II32" s="9" t="str">
        <f ca="1">IF(OR(II5="",II$28&lt;$A32),"",II5/OFFSET(SSAutESP!$A$2,MATCH(II$29,SSAutESP!$A$2:$A$500)+$A32-1,1)-1)</f>
        <v/>
      </c>
      <c r="IJ32" s="9" t="str">
        <f ca="1">IF(OR(IJ5="",IJ$28&lt;$A32),"",IJ5/OFFSET(SSAutESP!$A$2,MATCH(IJ$29,SSAutESP!$A$2:$A$500)+$A32-1,1)-1)</f>
        <v/>
      </c>
      <c r="IK32" s="9" t="str">
        <f ca="1">IF(OR(IK5="",IK$28&lt;$A32),"",IK5/OFFSET(SSAutESP!$A$2,MATCH(IK$29,SSAutESP!$A$2:$A$500)+$A32-1,1)-1)</f>
        <v/>
      </c>
      <c r="IL32" s="9" t="str">
        <f ca="1">IF(OR(IL5="",IL$28&lt;$A32),"",IL5/OFFSET(SSAutESP!$A$2,MATCH(IL$29,SSAutESP!$A$2:$A$500)+$A32-1,1)-1)</f>
        <v/>
      </c>
      <c r="IM32" s="9" t="str">
        <f ca="1">IF(OR(IM5="",IM$28&lt;$A32),"",IM5/OFFSET(SSAutESP!$A$2,MATCH(IM$29,SSAutESP!$A$2:$A$500)+$A32-1,1)-1)</f>
        <v/>
      </c>
      <c r="IN32" s="9" t="str">
        <f ca="1">IF(OR(IN5="",IN$28&lt;$A32),"",IN5/OFFSET(SSAutESP!$A$2,MATCH(IN$29,SSAutESP!$A$2:$A$500)+$A32-1,1)-1)</f>
        <v/>
      </c>
      <c r="IO32" s="9" t="str">
        <f ca="1">IF(OR(IO5="",IO$28&lt;$A32),"",IO5/OFFSET(SSAutESP!$A$2,MATCH(IO$29,SSAutESP!$A$2:$A$500)+$A32-1,1)-1)</f>
        <v/>
      </c>
      <c r="IP32" s="9" t="str">
        <f ca="1">IF(OR(IP5="",IP$28&lt;$A32),"",IP5/OFFSET(SSAutESP!$A$2,MATCH(IP$29,SSAutESP!$A$2:$A$500)+$A32-1,1)-1)</f>
        <v/>
      </c>
      <c r="IQ32" s="9" t="str">
        <f ca="1">IF(OR(IQ5="",IQ$28&lt;$A32),"",IQ5/OFFSET(SSAutESP!$A$2,MATCH(IQ$29,SSAutESP!$A$2:$A$500)+$A32-1,1)-1)</f>
        <v/>
      </c>
      <c r="IR32" s="9" t="str">
        <f ca="1">IF(OR(IR5="",IR$28&lt;$A32),"",IR5/OFFSET(SSAutESP!$A$2,MATCH(IR$29,SSAutESP!$A$2:$A$500)+$A32-1,1)-1)</f>
        <v/>
      </c>
      <c r="IS32" s="9" t="str">
        <f ca="1">IF(OR(IS5="",IS$28&lt;$A32),"",IS5/OFFSET(SSAutESP!$A$2,MATCH(IS$29,SSAutESP!$A$2:$A$500)+$A32-1,1)-1)</f>
        <v/>
      </c>
      <c r="IT32" s="9" t="str">
        <f ca="1">IF(OR(IT5="",IT$28&lt;$A32),"",IT5/OFFSET(SSAutESP!$A$2,MATCH(IT$29,SSAutESP!$A$2:$A$500)+$A32-1,1)-1)</f>
        <v/>
      </c>
      <c r="IU32" s="9" t="str">
        <f ca="1">IF(OR(IU5="",IU$28&lt;$A32),"",IU5/OFFSET(SSAutESP!$A$2,MATCH(IU$29,SSAutESP!$A$2:$A$500)+$A32-1,1)-1)</f>
        <v/>
      </c>
      <c r="IV32" s="9" t="str">
        <f ca="1">IF(OR(IV5="",IV$28&lt;$A32),"",IV5/OFFSET(SSAutESP!$A$2,MATCH(IV$29,SSAutESP!$A$2:$A$500)+$A32-1,1)-1)</f>
        <v/>
      </c>
      <c r="IW32" s="9" t="str">
        <f ca="1">IF(OR(IW5="",IW$28&lt;$A32),"",IW5/OFFSET(SSAutESP!$A$2,MATCH(IW$29,SSAutESP!$A$2:$A$500)+$A32-1,1)-1)</f>
        <v/>
      </c>
      <c r="IX32" s="9" t="str">
        <f ca="1">IF(OR(IX5="",IX$28&lt;$A32),"",IX5/OFFSET(SSAutESP!$A$2,MATCH(IX$29,SSAutESP!$A$2:$A$500)+$A32-1,1)-1)</f>
        <v/>
      </c>
      <c r="IY32" s="9" t="str">
        <f ca="1">IF(OR(IY5="",IY$28&lt;$A32),"",IY5/OFFSET(SSAutESP!$A$2,MATCH(IY$29,SSAutESP!$A$2:$A$500)+$A32-1,1)-1)</f>
        <v/>
      </c>
      <c r="IZ32" s="9" t="str">
        <f ca="1">IF(OR(IZ5="",IZ$28&lt;$A32),"",IZ5/OFFSET(SSAutESP!$A$2,MATCH(IZ$29,SSAutESP!$A$2:$A$500)+$A32-1,1)-1)</f>
        <v/>
      </c>
      <c r="JA32" s="9" t="str">
        <f ca="1">IF(OR(JA5="",JA$28&lt;$A32),"",JA5/OFFSET(SSAutESP!$A$2,MATCH(JA$29,SSAutESP!$A$2:$A$500)+$A32-1,1)-1)</f>
        <v/>
      </c>
      <c r="JB32" s="9" t="str">
        <f ca="1">IF(OR(JB5="",JB$28&lt;$A32),"",JB5/OFFSET(SSAutESP!$A$2,MATCH(JB$29,SSAutESP!$A$2:$A$500)+$A32-1,1)-1)</f>
        <v/>
      </c>
      <c r="JC32" s="9" t="str">
        <f ca="1">IF(OR(JC5="",JC$28&lt;$A32),"",JC5/OFFSET(SSAutESP!$A$2,MATCH(JC$29,SSAutESP!$A$2:$A$500)+$A32-1,1)-1)</f>
        <v/>
      </c>
      <c r="JD32" s="9" t="str">
        <f ca="1">IF(OR(JD5="",JD$28&lt;$A32),"",JD5/OFFSET(SSAutESP!$A$2,MATCH(JD$29,SSAutESP!$A$2:$A$500)+$A32-1,1)-1)</f>
        <v/>
      </c>
      <c r="JE32" s="9" t="str">
        <f ca="1">IF(OR(JE5="",JE$28&lt;$A32),"",JE5/OFFSET(SSAutESP!$A$2,MATCH(JE$29,SSAutESP!$A$2:$A$500)+$A32-1,1)-1)</f>
        <v/>
      </c>
      <c r="JF32" s="9" t="str">
        <f ca="1">IF(OR(JF5="",JF$28&lt;$A32),"",JF5/OFFSET(SSAutESP!$A$2,MATCH(JF$29,SSAutESP!$A$2:$A$500)+$A32-1,1)-1)</f>
        <v/>
      </c>
      <c r="JG32" s="9" t="str">
        <f ca="1">IF(OR(JG5="",JG$28&lt;$A32),"",JG5/OFFSET(SSAutESP!$A$2,MATCH(JG$29,SSAutESP!$A$2:$A$500)+$A32-1,1)-1)</f>
        <v/>
      </c>
      <c r="JH32" s="9" t="str">
        <f ca="1">IF(OR(JH5="",JH$28&lt;$A32),"",JH5/OFFSET(SSAutESP!$A$2,MATCH(JH$29,SSAutESP!$A$2:$A$500)+$A32-1,1)-1)</f>
        <v/>
      </c>
      <c r="JI32" s="13">
        <f t="shared" ca="1" si="13"/>
        <v>7.3568438280903828E-4</v>
      </c>
      <c r="JJ32" s="13">
        <f t="shared" ca="1" si="14"/>
        <v>5.3871607121580567E-4</v>
      </c>
      <c r="JK32" s="14">
        <f t="shared" ca="1" si="15"/>
        <v>7.4121394609949904E-5</v>
      </c>
      <c r="JL32" s="17">
        <f t="shared" ca="1" si="18"/>
        <v>8.6093782940436479E-3</v>
      </c>
      <c r="JM32" s="15" t="str">
        <f t="shared" ca="1" si="16"/>
        <v>[ -1,65% ; 1,80% ]</v>
      </c>
      <c r="JN32" s="17">
        <f t="shared" ca="1" si="17"/>
        <v>1.102000421637587E-2</v>
      </c>
      <c r="LY32" s="1"/>
    </row>
    <row r="33" spans="1:337" x14ac:dyDescent="0.25">
      <c r="A33" s="4">
        <v>4</v>
      </c>
      <c r="B33" s="9">
        <f ca="1">IF(OR(B6="",B$28&lt;$A33),"",B6/OFFSET(SSAutESP!$A$2,MATCH(B$29,SSAutESP!$A$2:$A$500)+$A33-1,1)-1)</f>
        <v>-3.4916512991749471E-3</v>
      </c>
      <c r="C33" s="9">
        <f ca="1">IF(OR(C6="",C$28&lt;$A33),"",C6/OFFSET(SSAutESP!$A$2,MATCH(C$29,SSAutESP!$A$2:$A$500)+$A33-1,1)-1)</f>
        <v>-5.7790867670393098E-4</v>
      </c>
      <c r="D33" s="9">
        <f ca="1">IF(OR(D6="",D$28&lt;$A33),"",D6/OFFSET(SSAutESP!$A$2,MATCH(D$29,SSAutESP!$A$2:$A$500)+$A33-1,1)-1)</f>
        <v>7.8930479378946927E-4</v>
      </c>
      <c r="E33" s="9">
        <f ca="1">IF(OR(E6="",E$28&lt;$A33),"",E6/OFFSET(SSAutESP!$A$2,MATCH(E$29,SSAutESP!$A$2:$A$500)+$A33-1,1)-1)</f>
        <v>2.6166517416004176E-3</v>
      </c>
      <c r="F33" s="9">
        <f ca="1">IF(OR(F6="",F$28&lt;$A33),"",F6/OFFSET(SSAutESP!$A$2,MATCH(F$29,SSAutESP!$A$2:$A$500)+$A33-1,1)-1)</f>
        <v>3.1619359611336773E-3</v>
      </c>
      <c r="G33" s="9">
        <f ca="1">IF(OR(G6="",G$28&lt;$A33),"",G6/OFFSET(SSAutESP!$A$2,MATCH(G$29,SSAutESP!$A$2:$A$500)+$A33-1,1)-1)</f>
        <v>2.0655505129125729E-3</v>
      </c>
      <c r="H33" s="9">
        <f ca="1">IF(OR(H6="",H$28&lt;$A33),"",H6/OFFSET(SSAutESP!$A$2,MATCH(H$29,SSAutESP!$A$2:$A$500)+$A33-1,1)-1)</f>
        <v>2.2684650445952137E-3</v>
      </c>
      <c r="I33" s="9">
        <f ca="1">IF(OR(I6="",I$28&lt;$A33),"",I6/OFFSET(SSAutESP!$A$2,MATCH(I$29,SSAutESP!$A$2:$A$500)+$A33-1,1)-1)</f>
        <v>1.0046787068000995E-3</v>
      </c>
      <c r="J33" s="9">
        <f ca="1">IF(OR(J6="",J$28&lt;$A33),"",J6/OFFSET(SSAutESP!$A$2,MATCH(J$29,SSAutESP!$A$2:$A$500)+$A33-1,1)-1)</f>
        <v>-1.0554586667231858E-3</v>
      </c>
      <c r="K33" s="9">
        <f ca="1">IF(OR(K6="",K$28&lt;$A33),"",K6/OFFSET(SSAutESP!$A$2,MATCH(K$29,SSAutESP!$A$2:$A$500)+$A33-1,1)-1)</f>
        <v>-1.7465082935119725E-3</v>
      </c>
      <c r="L33" s="9">
        <f ca="1">IF(OR(L6="",L$28&lt;$A33),"",L6/OFFSET(SSAutESP!$A$2,MATCH(L$29,SSAutESP!$A$2:$A$500)+$A33-1,1)-1)</f>
        <v>-1.1803113620308947E-3</v>
      </c>
      <c r="M33" s="9">
        <f ca="1">IF(OR(M6="",M$28&lt;$A33),"",M6/OFFSET(SSAutESP!$A$2,MATCH(M$29,SSAutESP!$A$2:$A$500)+$A33-1,1)-1)</f>
        <v>5.4242729973896786E-5</v>
      </c>
      <c r="N33" s="9">
        <f ca="1">IF(OR(N6="",N$28&lt;$A33),"",N6/OFFSET(SSAutESP!$A$2,MATCH(N$29,SSAutESP!$A$2:$A$500)+$A33-1,1)-1)</f>
        <v>3.0313049672177073E-3</v>
      </c>
      <c r="O33" s="9">
        <f ca="1">IF(OR(O6="",O$28&lt;$A33),"",O6/OFFSET(SSAutESP!$A$2,MATCH(O$29,SSAutESP!$A$2:$A$500)+$A33-1,1)-1)</f>
        <v>3.9763787184217136E-3</v>
      </c>
      <c r="P33" s="9">
        <f ca="1">IF(OR(P6="",P$28&lt;$A33),"",P6/OFFSET(SSAutESP!$A$2,MATCH(P$29,SSAutESP!$A$2:$A$500)+$A33-1,1)-1)</f>
        <v>2.1905478293395841E-3</v>
      </c>
      <c r="Q33" s="9">
        <f ca="1">IF(OR(Q6="",Q$28&lt;$A33),"",Q6/OFFSET(SSAutESP!$A$2,MATCH(Q$29,SSAutESP!$A$2:$A$500)+$A33-1,1)-1)</f>
        <v>2.1689590374045498E-3</v>
      </c>
      <c r="R33" s="9">
        <f ca="1">IF(OR(R6="",R$28&lt;$A33),"",R6/OFFSET(SSAutESP!$A$2,MATCH(R$29,SSAutESP!$A$2:$A$500)+$A33-1,1)-1)</f>
        <v>1.5665968951499298E-3</v>
      </c>
      <c r="S33" s="9">
        <f ca="1">IF(OR(S6="",S$28&lt;$A33),"",S6/OFFSET(SSAutESP!$A$2,MATCH(S$29,SSAutESP!$A$2:$A$500)+$A33-1,1)-1)</f>
        <v>1.0731742428229385E-3</v>
      </c>
      <c r="T33" s="9">
        <f ca="1">IF(OR(T6="",T$28&lt;$A33),"",T6/OFFSET(SSAutESP!$A$2,MATCH(T$29,SSAutESP!$A$2:$A$500)+$A33-1,1)-1)</f>
        <v>1.5242572451559244E-3</v>
      </c>
      <c r="U33" s="9">
        <f ca="1">IF(OR(U6="",U$28&lt;$A33),"",U6/OFFSET(SSAutESP!$A$2,MATCH(U$29,SSAutESP!$A$2:$A$500)+$A33-1,1)-1)</f>
        <v>-3.846678016712346E-4</v>
      </c>
      <c r="V33" s="9">
        <f ca="1">IF(OR(V6="",V$28&lt;$A33),"",V6/OFFSET(SSAutESP!$A$2,MATCH(V$29,SSAutESP!$A$2:$A$500)+$A33-1,1)-1)</f>
        <v>-1.6114194370140389E-3</v>
      </c>
      <c r="W33" s="9">
        <f ca="1">IF(OR(W6="",W$28&lt;$A33),"",W6/OFFSET(SSAutESP!$A$2,MATCH(W$29,SSAutESP!$A$2:$A$500)+$A33-1,1)-1)</f>
        <v>-6.6389929698340566E-4</v>
      </c>
      <c r="X33" s="9">
        <f ca="1">IF(OR(X6="",X$28&lt;$A33),"",X6/OFFSET(SSAutESP!$A$2,MATCH(X$29,SSAutESP!$A$2:$A$500)+$A33-1,1)-1)</f>
        <v>-9.4414831991107562E-4</v>
      </c>
      <c r="Y33" s="9">
        <f ca="1">IF(OR(Y6="",Y$28&lt;$A33),"",Y6/OFFSET(SSAutESP!$A$2,MATCH(Y$29,SSAutESP!$A$2:$A$500)+$A33-1,1)-1)</f>
        <v>7.3125587351796639E-4</v>
      </c>
      <c r="Z33" s="9">
        <f ca="1">IF(OR(Z6="",Z$28&lt;$A33),"",Z6/OFFSET(SSAutESP!$A$2,MATCH(Z$29,SSAutESP!$A$2:$A$500)+$A33-1,1)-1)</f>
        <v>1.4589399522904056E-3</v>
      </c>
      <c r="AA33" s="9">
        <f ca="1">IF(OR(AA6="",AA$28&lt;$A33),"",AA6/OFFSET(SSAutESP!$A$2,MATCH(AA$29,SSAutESP!$A$2:$A$500)+$A33-1,1)-1)</f>
        <v>6.2310047476965558E-4</v>
      </c>
      <c r="AB33" s="9">
        <f ca="1">IF(OR(AB6="",AB$28&lt;$A33),"",AB6/OFFSET(SSAutESP!$A$2,MATCH(AB$29,SSAutESP!$A$2:$A$500)+$A33-1,1)-1)</f>
        <v>1.321594652716529E-3</v>
      </c>
      <c r="AC33" s="9">
        <f ca="1">IF(OR(AC6="",AC$28&lt;$A33),"",AC6/OFFSET(SSAutESP!$A$2,MATCH(AC$29,SSAutESP!$A$2:$A$500)+$A33-1,1)-1)</f>
        <v>-4.3749641401469308E-4</v>
      </c>
      <c r="AD33" s="9">
        <f ca="1">IF(OR(AD6="",AD$28&lt;$A33),"",AD6/OFFSET(SSAutESP!$A$2,MATCH(AD$29,SSAutESP!$A$2:$A$500)+$A33-1,1)-1)</f>
        <v>2.841062939118455E-4</v>
      </c>
      <c r="AE33" s="9">
        <f ca="1">IF(OR(AE6="",AE$28&lt;$A33),"",AE6/OFFSET(SSAutESP!$A$2,MATCH(AE$29,SSAutESP!$A$2:$A$500)+$A33-1,1)-1)</f>
        <v>1.1240017884892595E-3</v>
      </c>
      <c r="AF33" s="9">
        <f ca="1">IF(OR(AF6="",AF$28&lt;$A33),"",AF6/OFFSET(SSAutESP!$A$2,MATCH(AF$29,SSAutESP!$A$2:$A$500)+$A33-1,1)-1)</f>
        <v>-7.1056089732823846E-4</v>
      </c>
      <c r="AG33" s="9">
        <f ca="1">IF(OR(AG6="",AG$28&lt;$A33),"",AG6/OFFSET(SSAutESP!$A$2,MATCH(AG$29,SSAutESP!$A$2:$A$500)+$A33-1,1)-1)</f>
        <v>-1.9233898242797531E-3</v>
      </c>
      <c r="AH33" s="9">
        <f ca="1">IF(OR(AH6="",AH$28&lt;$A33),"",AH6/OFFSET(SSAutESP!$A$2,MATCH(AH$29,SSAutESP!$A$2:$A$500)+$A33-1,1)-1)</f>
        <v>-3.7243686147169219E-3</v>
      </c>
      <c r="AI33" s="9">
        <f ca="1">IF(OR(AI6="",AI$28&lt;$A33),"",AI6/OFFSET(SSAutESP!$A$2,MATCH(AI$29,SSAutESP!$A$2:$A$500)+$A33-1,1)-1)</f>
        <v>-2.8705589181736713E-3</v>
      </c>
      <c r="AJ33" s="9">
        <f ca="1">IF(OR(AJ6="",AJ$28&lt;$A33),"",AJ6/OFFSET(SSAutESP!$A$2,MATCH(AJ$29,SSAutESP!$A$2:$A$500)+$A33-1,1)-1)</f>
        <v>-2.4843588093853564E-3</v>
      </c>
      <c r="AK33" s="9">
        <f ca="1">IF(OR(AK6="",AK$28&lt;$A33),"",AK6/OFFSET(SSAutESP!$A$2,MATCH(AK$29,SSAutESP!$A$2:$A$500)+$A33-1,1)-1)</f>
        <v>-3.621568026769495E-3</v>
      </c>
      <c r="AL33" s="9">
        <f ca="1">IF(OR(AL6="",AL$28&lt;$A33),"",AL6/OFFSET(SSAutESP!$A$2,MATCH(AL$29,SSAutESP!$A$2:$A$500)+$A33-1,1)-1)</f>
        <v>-3.1865371097207218E-3</v>
      </c>
      <c r="AM33" s="9">
        <f ca="1">IF(OR(AM6="",AM$28&lt;$A33),"",AM6/OFFSET(SSAutESP!$A$2,MATCH(AM$29,SSAutESP!$A$2:$A$500)+$A33-1,1)-1)</f>
        <v>-2.0878218861569708E-3</v>
      </c>
      <c r="AN33" s="9">
        <f ca="1">IF(OR(AN6="",AN$28&lt;$A33),"",AN6/OFFSET(SSAutESP!$A$2,MATCH(AN$29,SSAutESP!$A$2:$A$500)+$A33-1,1)-1)</f>
        <v>-1.4687573969508483E-3</v>
      </c>
      <c r="AO33" s="9">
        <f ca="1">IF(OR(AO6="",AO$28&lt;$A33),"",AO6/OFFSET(SSAutESP!$A$2,MATCH(AO$29,SSAutESP!$A$2:$A$500)+$A33-1,1)-1)</f>
        <v>-4.3450792432753182E-4</v>
      </c>
      <c r="AP33" s="9">
        <f ca="1">IF(OR(AP6="",AP$28&lt;$A33),"",AP6/OFFSET(SSAutESP!$A$2,MATCH(AP$29,SSAutESP!$A$2:$A$500)+$A33-1,1)-1)</f>
        <v>-5.8470072679672747E-5</v>
      </c>
      <c r="AQ33" s="9">
        <f ca="1">IF(OR(AQ6="",AQ$28&lt;$A33),"",AQ6/OFFSET(SSAutESP!$A$2,MATCH(AQ$29,SSAutESP!$A$2:$A$500)+$A33-1,1)-1)</f>
        <v>-1.9913669851490123E-4</v>
      </c>
      <c r="AR33" s="9">
        <f ca="1">IF(OR(AR6="",AR$28&lt;$A33),"",AR6/OFFSET(SSAutESP!$A$2,MATCH(AR$29,SSAutESP!$A$2:$A$500)+$A33-1,1)-1)</f>
        <v>4.3268965418463701E-4</v>
      </c>
      <c r="AS33" s="9">
        <f ca="1">IF(OR(AS6="",AS$28&lt;$A33),"",AS6/OFFSET(SSAutESP!$A$2,MATCH(AS$29,SSAutESP!$A$2:$A$500)+$A33-1,1)-1)</f>
        <v>1.8589931209254118E-3</v>
      </c>
      <c r="AT33" s="9">
        <f ca="1">IF(OR(AT6="",AT$28&lt;$A33),"",AT6/OFFSET(SSAutESP!$A$2,MATCH(AT$29,SSAutESP!$A$2:$A$500)+$A33-1,1)-1)</f>
        <v>9.5869361116607266E-5</v>
      </c>
      <c r="AU33" s="9">
        <f ca="1">IF(OR(AU6="",AU$28&lt;$A33),"",AU6/OFFSET(SSAutESP!$A$2,MATCH(AU$29,SSAutESP!$A$2:$A$500)+$A33-1,1)-1)</f>
        <v>3.4954692175039881E-3</v>
      </c>
      <c r="AV33" s="9">
        <f ca="1">IF(OR(AV6="",AV$28&lt;$A33),"",AV6/OFFSET(SSAutESP!$A$2,MATCH(AV$29,SSAutESP!$A$2:$A$500)+$A33-1,1)-1)</f>
        <v>6.26694067794209E-3</v>
      </c>
      <c r="AW33" s="9">
        <f ca="1">IF(OR(AW6="",AW$28&lt;$A33),"",AW6/OFFSET(SSAutESP!$A$2,MATCH(AW$29,SSAutESP!$A$2:$A$500)+$A33-1,1)-1)</f>
        <v>6.7477995659115386E-3</v>
      </c>
      <c r="AX33" s="9">
        <f ca="1">IF(OR(AX6="",AX$28&lt;$A33),"",AX6/OFFSET(SSAutESP!$A$2,MATCH(AX$29,SSAutESP!$A$2:$A$500)+$A33-1,1)-1)</f>
        <v>8.5330098558320522E-3</v>
      </c>
      <c r="AY33" s="9">
        <f ca="1">IF(OR(AY6="",AY$28&lt;$A33),"",AY6/OFFSET(SSAutESP!$A$2,MATCH(AY$29,SSAutESP!$A$2:$A$500)+$A33-1,1)-1)</f>
        <v>1.1801037554352689E-2</v>
      </c>
      <c r="AZ33" s="9">
        <f ca="1">IF(OR(AZ6="",AZ$28&lt;$A33),"",AZ6/OFFSET(SSAutESP!$A$2,MATCH(AZ$29,SSAutESP!$A$2:$A$500)+$A33-1,1)-1)</f>
        <v>1.347166441365566E-2</v>
      </c>
      <c r="BA33" s="9">
        <f ca="1">IF(OR(BA6="",BA$28&lt;$A33),"",BA6/OFFSET(SSAutESP!$A$2,MATCH(BA$29,SSAutESP!$A$2:$A$500)+$A33-1,1)-1)</f>
        <v>1.2156673677180541E-2</v>
      </c>
      <c r="BB33" s="9">
        <f ca="1">IF(OR(BB6="",BB$28&lt;$A33),"",BB6/OFFSET(SSAutESP!$A$2,MATCH(BB$29,SSAutESP!$A$2:$A$500)+$A33-1,1)-1)</f>
        <v>9.871415530073202E-3</v>
      </c>
      <c r="BC33" s="9">
        <f ca="1">IF(OR(BC6="",BC$28&lt;$A33),"",BC6/OFFSET(SSAutESP!$A$2,MATCH(BC$29,SSAutESP!$A$2:$A$500)+$A33-1,1)-1)</f>
        <v>7.3639498687216864E-4</v>
      </c>
      <c r="BD33" s="9">
        <f ca="1">IF(OR(BD6="",BD$28&lt;$A33),"",BD6/OFFSET(SSAutESP!$A$2,MATCH(BD$29,SSAutESP!$A$2:$A$500)+$A33-1,1)-1)</f>
        <v>5.3252339343543564E-3</v>
      </c>
      <c r="BE33" s="9">
        <f ca="1">IF(OR(BE6="",BE$28&lt;$A33),"",BE6/OFFSET(SSAutESP!$A$2,MATCH(BE$29,SSAutESP!$A$2:$A$500)+$A33-1,1)-1)</f>
        <v>5.2832908072208973E-3</v>
      </c>
      <c r="BF33" s="9">
        <f ca="1">IF(OR(BF6="",BF$28&lt;$A33),"",BF6/OFFSET(SSAutESP!$A$2,MATCH(BF$29,SSAutESP!$A$2:$A$500)+$A33-1,1)-1)</f>
        <v>4.4876838672862629E-3</v>
      </c>
      <c r="BG33" s="9">
        <f ca="1">IF(OR(BG6="",BG$28&lt;$A33),"",BG6/OFFSET(SSAutESP!$A$2,MATCH(BG$29,SSAutESP!$A$2:$A$500)+$A33-1,1)-1)</f>
        <v>1.2295316558172509E-2</v>
      </c>
      <c r="BH33" s="9">
        <f ca="1">IF(OR(BH6="",BH$28&lt;$A33),"",BH6/OFFSET(SSAutESP!$A$2,MATCH(BH$29,SSAutESP!$A$2:$A$500)+$A33-1,1)-1)</f>
        <v>1.2143382853304185E-2</v>
      </c>
      <c r="BI33" s="9">
        <f ca="1">IF(OR(BI6="",BI$28&lt;$A33),"",BI6/OFFSET(SSAutESP!$A$2,MATCH(BI$29,SSAutESP!$A$2:$A$500)+$A33-1,1)-1)</f>
        <v>1.0534234551719424E-2</v>
      </c>
      <c r="BJ33" s="9">
        <f ca="1">IF(OR(BJ6="",BJ$28&lt;$A33),"",BJ6/OFFSET(SSAutESP!$A$2,MATCH(BJ$29,SSAutESP!$A$2:$A$500)+$A33-1,1)-1)</f>
        <v>1.1390063126445638E-2</v>
      </c>
      <c r="BK33" s="9">
        <f ca="1">IF(OR(BK6="",BK$28&lt;$A33),"",BK6/OFFSET(SSAutESP!$A$2,MATCH(BK$29,SSAutESP!$A$2:$A$500)+$A33-1,1)-1)</f>
        <v>-1.6829716176044451E-3</v>
      </c>
      <c r="BL33" s="9">
        <f ca="1">IF(OR(BL6="",BL$28&lt;$A33),"",BL6/OFFSET(SSAutESP!$A$2,MATCH(BL$29,SSAutESP!$A$2:$A$500)+$A33-1,1)-1)</f>
        <v>-1.1518035666355342E-2</v>
      </c>
      <c r="BM33" s="9">
        <f ca="1">IF(OR(BM6="",BM$28&lt;$A33),"",BM6/OFFSET(SSAutESP!$A$2,MATCH(BM$29,SSAutESP!$A$2:$A$500)+$A33-1,1)-1)</f>
        <v>-1.1611531832157018E-2</v>
      </c>
      <c r="BN33" s="9">
        <f ca="1">IF(OR(BN6="",BN$28&lt;$A33),"",BN6/OFFSET(SSAutESP!$A$2,MATCH(BN$29,SSAutESP!$A$2:$A$500)+$A33-1,1)-1)</f>
        <v>-8.0470509395142997E-3</v>
      </c>
      <c r="BO33" s="9">
        <f ca="1">IF(OR(BO6="",BO$28&lt;$A33),"",BO6/OFFSET(SSAutESP!$A$2,MATCH(BO$29,SSAutESP!$A$2:$A$500)+$A33-1,1)-1)</f>
        <v>-7.3088599843325053E-3</v>
      </c>
      <c r="BP33" s="9">
        <f ca="1">IF(OR(BP6="",BP$28&lt;$A33),"",BP6/OFFSET(SSAutESP!$A$2,MATCH(BP$29,SSAutESP!$A$2:$A$500)+$A33-1,1)-1)</f>
        <v>-5.7763593743703767E-3</v>
      </c>
      <c r="BQ33" s="9">
        <f ca="1">IF(OR(BQ6="",BQ$28&lt;$A33),"",BQ6/OFFSET(SSAutESP!$A$2,MATCH(BQ$29,SSAutESP!$A$2:$A$500)+$A33-1,1)-1)</f>
        <v>-7.843849551884885E-3</v>
      </c>
      <c r="BR33" s="9">
        <f ca="1">IF(OR(BR6="",BR$28&lt;$A33),"",BR6/OFFSET(SSAutESP!$A$2,MATCH(BR$29,SSAutESP!$A$2:$A$500)+$A33-1,1)-1)</f>
        <v>-4.3873647365819668E-3</v>
      </c>
      <c r="BS33" s="9">
        <f ca="1">IF(OR(BS6="",BS$28&lt;$A33),"",BS6/OFFSET(SSAutESP!$A$2,MATCH(BS$29,SSAutESP!$A$2:$A$500)+$A33-1,1)-1)</f>
        <v>-3.3043702156221322E-4</v>
      </c>
      <c r="BT33" s="9">
        <f ca="1">IF(OR(BT6="",BT$28&lt;$A33),"",BT6/OFFSET(SSAutESP!$A$2,MATCH(BT$29,SSAutESP!$A$2:$A$500)+$A33-1,1)-1)</f>
        <v>-3.4795249227279612E-3</v>
      </c>
      <c r="BU33" s="9">
        <f ca="1">IF(OR(BU6="",BU$28&lt;$A33),"",BU6/OFFSET(SSAutESP!$A$2,MATCH(BU$29,SSAutESP!$A$2:$A$500)+$A33-1,1)-1)</f>
        <v>-4.4845391041233862E-3</v>
      </c>
      <c r="BV33" s="9">
        <f ca="1">IF(OR(BV6="",BV$28&lt;$A33),"",BV6/OFFSET(SSAutESP!$A$2,MATCH(BV$29,SSAutESP!$A$2:$A$500)+$A33-1,1)-1)</f>
        <v>-2.8475946497483751E-3</v>
      </c>
      <c r="BW33" s="9">
        <f ca="1">IF(OR(BW6="",BW$28&lt;$A33),"",BW6/OFFSET(SSAutESP!$A$2,MATCH(BW$29,SSAutESP!$A$2:$A$500)+$A33-1,1)-1)</f>
        <v>1.6895550821067751E-3</v>
      </c>
      <c r="BX33" s="9">
        <f ca="1">IF(OR(BX6="",BX$28&lt;$A33),"",BX6/OFFSET(SSAutESP!$A$2,MATCH(BX$29,SSAutESP!$A$2:$A$500)+$A33-1,1)-1)</f>
        <v>-5.9107462974320457E-3</v>
      </c>
      <c r="BY33" s="9">
        <f ca="1">IF(OR(BY6="",BY$28&lt;$A33),"",BY6/OFFSET(SSAutESP!$A$2,MATCH(BY$29,SSAutESP!$A$2:$A$500)+$A33-1,1)-1)</f>
        <v>-4.3021766348320112E-3</v>
      </c>
      <c r="BZ33" s="9">
        <f ca="1">IF(OR(BZ6="",BZ$28&lt;$A33),"",BZ6/OFFSET(SSAutESP!$A$2,MATCH(BZ$29,SSAutESP!$A$2:$A$500)+$A33-1,1)-1)</f>
        <v>-1.3317248469428833E-3</v>
      </c>
      <c r="CA33" s="9">
        <f ca="1">IF(OR(CA6="",CA$28&lt;$A33),"",CA6/OFFSET(SSAutESP!$A$2,MATCH(CA$29,SSAutESP!$A$2:$A$500)+$A33-1,1)-1)</f>
        <v>1.7569323986632579E-3</v>
      </c>
      <c r="CB33" s="9">
        <f ca="1">IF(OR(CB6="",CB$28&lt;$A33),"",CB6/OFFSET(SSAutESP!$A$2,MATCH(CB$29,SSAutESP!$A$2:$A$500)+$A33-1,1)-1)</f>
        <v>2.3036848427659962E-3</v>
      </c>
      <c r="CC33" s="9">
        <f ca="1">IF(OR(CC6="",CC$28&lt;$A33),"",CC6/OFFSET(SSAutESP!$A$2,MATCH(CC$29,SSAutESP!$A$2:$A$500)+$A33-1,1)-1)</f>
        <v>4.2811209857207544E-4</v>
      </c>
      <c r="CD33" s="9">
        <f ca="1">IF(OR(CD6="",CD$28&lt;$A33),"",CD6/OFFSET(SSAutESP!$A$2,MATCH(CD$29,SSAutESP!$A$2:$A$500)+$A33-1,1)-1)</f>
        <v>-3.8179521465374622E-3</v>
      </c>
      <c r="CE33" s="9">
        <f ca="1">IF(OR(CE6="",CE$28&lt;$A33),"",CE6/OFFSET(SSAutESP!$A$2,MATCH(CE$29,SSAutESP!$A$2:$A$500)+$A33-1,1)-1)</f>
        <v>-2.1673450990495891E-3</v>
      </c>
      <c r="CF33" s="9">
        <f ca="1">IF(OR(CF6="",CF$28&lt;$A33),"",CF6/OFFSET(SSAutESP!$A$2,MATCH(CF$29,SSAutESP!$A$2:$A$500)+$A33-1,1)-1)</f>
        <v>8.1829728595628204E-4</v>
      </c>
      <c r="CG33" s="9">
        <f ca="1">IF(OR(CG6="",CG$28&lt;$A33),"",CG6/OFFSET(SSAutESP!$A$2,MATCH(CG$29,SSAutESP!$A$2:$A$500)+$A33-1,1)-1)</f>
        <v>-2.3482621099035761E-4</v>
      </c>
      <c r="CH33" s="9">
        <f ca="1">IF(OR(CH6="",CH$28&lt;$A33),"",CH6/OFFSET(SSAutESP!$A$2,MATCH(CH$29,SSAutESP!$A$2:$A$500)+$A33-1,1)-1)</f>
        <v>-3.4031161236496299E-3</v>
      </c>
      <c r="CI33" s="9">
        <f ca="1">IF(OR(CI6="",CI$28&lt;$A33),"",CI6/OFFSET(SSAutESP!$A$2,MATCH(CI$29,SSAutESP!$A$2:$A$500)+$A33-1,1)-1)</f>
        <v>-1.6763197430942345E-3</v>
      </c>
      <c r="CJ33" s="9">
        <f ca="1">IF(OR(CJ6="",CJ$28&lt;$A33),"",CJ6/OFFSET(SSAutESP!$A$2,MATCH(CJ$29,SSAutESP!$A$2:$A$500)+$A33-1,1)-1)</f>
        <v>-4.6083715098600431E-3</v>
      </c>
      <c r="CK33" s="9">
        <f ca="1">IF(OR(CK6="",CK$28&lt;$A33),"",CK6/OFFSET(SSAutESP!$A$2,MATCH(CK$29,SSAutESP!$A$2:$A$500)+$A33-1,1)-1)</f>
        <v>8.4307352772583499E-4</v>
      </c>
      <c r="CL33" s="9">
        <f ca="1">IF(OR(CL6="",CL$28&lt;$A33),"",CL6/OFFSET(SSAutESP!$A$2,MATCH(CL$29,SSAutESP!$A$2:$A$500)+$A33-1,1)-1)</f>
        <v>4.9253079141891032E-3</v>
      </c>
      <c r="CM33" s="9">
        <f ca="1">IF(OR(CM6="",CM$28&lt;$A33),"",CM6/OFFSET(SSAutESP!$A$2,MATCH(CM$29,SSAutESP!$A$2:$A$500)+$A33-1,1)-1)</f>
        <v>4.3392095362024818E-3</v>
      </c>
      <c r="CN33" s="9">
        <f ca="1">IF(OR(CN6="",CN$28&lt;$A33),"",CN6/OFFSET(SSAutESP!$A$2,MATCH(CN$29,SSAutESP!$A$2:$A$500)+$A33-1,1)-1)</f>
        <v>4.4325367203179589E-4</v>
      </c>
      <c r="CO33" s="9">
        <f ca="1">IF(OR(CO6="",CO$28&lt;$A33),"",CO6/OFFSET(SSAutESP!$A$2,MATCH(CO$29,SSAutESP!$A$2:$A$500)+$A33-1,1)-1)</f>
        <v>6.4757279015603686E-4</v>
      </c>
      <c r="CP33" s="9">
        <f ca="1">IF(OR(CP6="",CP$28&lt;$A33),"",CP6/OFFSET(SSAutESP!$A$2,MATCH(CP$29,SSAutESP!$A$2:$A$500)+$A33-1,1)-1)</f>
        <v>1.4982811549435482E-4</v>
      </c>
      <c r="CQ33" s="9">
        <f ca="1">IF(OR(CQ6="",CQ$28&lt;$A33),"",CQ6/OFFSET(SSAutESP!$A$2,MATCH(CQ$29,SSAutESP!$A$2:$A$500)+$A33-1,1)-1)</f>
        <v>7.2985193411365668E-3</v>
      </c>
      <c r="CR33" s="9">
        <f ca="1">IF(OR(CR6="",CR$28&lt;$A33),"",CR6/OFFSET(SSAutESP!$A$2,MATCH(CR$29,SSAutESP!$A$2:$A$500)+$A33-1,1)-1)</f>
        <v>3.1142099429344317E-3</v>
      </c>
      <c r="CS33" s="9">
        <f ca="1">IF(OR(CS6="",CS$28&lt;$A33),"",CS6/OFFSET(SSAutESP!$A$2,MATCH(CS$29,SSAutESP!$A$2:$A$500)+$A33-1,1)-1)</f>
        <v>5.635040562435023E-4</v>
      </c>
      <c r="CT33" s="9">
        <f ca="1">IF(OR(CT6="",CT$28&lt;$A33),"",CT6/OFFSET(SSAutESP!$A$2,MATCH(CT$29,SSAutESP!$A$2:$A$500)+$A33-1,1)-1)</f>
        <v>5.3983228431309094E-4</v>
      </c>
      <c r="CU33" s="9">
        <f ca="1">IF(OR(CU6="",CU$28&lt;$A33),"",CU6/OFFSET(SSAutESP!$A$2,MATCH(CU$29,SSAutESP!$A$2:$A$500)+$A33-1,1)-1)</f>
        <v>-8.4523791385227032E-3</v>
      </c>
      <c r="CV33" s="9">
        <f ca="1">IF(OR(CV6="",CV$28&lt;$A33),"",CV6/OFFSET(SSAutESP!$A$2,MATCH(CV$29,SSAutESP!$A$2:$A$500)+$A33-1,1)-1)</f>
        <v>-1.7429390431639158E-3</v>
      </c>
      <c r="CW33" s="9">
        <f ca="1">IF(OR(CW6="",CW$28&lt;$A33),"",CW6/OFFSET(SSAutESP!$A$2,MATCH(CW$29,SSAutESP!$A$2:$A$500)+$A33-1,1)-1)</f>
        <v>-1.133735611547837E-3</v>
      </c>
      <c r="CX33" s="9">
        <f ca="1">IF(OR(CX6="",CX$28&lt;$A33),"",CX6/OFFSET(SSAutESP!$A$2,MATCH(CX$29,SSAutESP!$A$2:$A$500)+$A33-1,1)-1)</f>
        <v>1.6683103369503627E-3</v>
      </c>
      <c r="CY33" s="9">
        <f ca="1">IF(OR(CY6="",CY$28&lt;$A33),"",CY6/OFFSET(SSAutESP!$A$2,MATCH(CY$29,SSAutESP!$A$2:$A$500)+$A33-1,1)-1)</f>
        <v>2.7471154473270865E-3</v>
      </c>
      <c r="CZ33" s="9">
        <f ca="1">IF(OR(CZ6="",CZ$28&lt;$A33),"",CZ6/OFFSET(SSAutESP!$A$2,MATCH(CZ$29,SSAutESP!$A$2:$A$500)+$A33-1,1)-1)</f>
        <v>3.1736681290535085E-3</v>
      </c>
      <c r="DA33" s="9">
        <f ca="1">IF(OR(DA6="",DA$28&lt;$A33),"",DA6/OFFSET(SSAutESP!$A$2,MATCH(DA$29,SSAutESP!$A$2:$A$500)+$A33-1,1)-1)</f>
        <v>4.0450064160240107E-3</v>
      </c>
      <c r="DB33" s="9">
        <f ca="1">IF(OR(DB6="",DB$28&lt;$A33),"",DB6/OFFSET(SSAutESP!$A$2,MATCH(DB$29,SSAutESP!$A$2:$A$500)+$A33-1,1)-1)</f>
        <v>-2.6128054134879619E-3</v>
      </c>
      <c r="DC33" s="9">
        <f ca="1">IF(OR(DC6="",DC$28&lt;$A33),"",DC6/OFFSET(SSAutESP!$A$2,MATCH(DC$29,SSAutESP!$A$2:$A$500)+$A33-1,1)-1)</f>
        <v>-1.8753945013242346E-3</v>
      </c>
      <c r="DD33" s="9">
        <f ca="1">IF(OR(DD6="",DD$28&lt;$A33),"",DD6/OFFSET(SSAutESP!$A$2,MATCH(DD$29,SSAutESP!$A$2:$A$500)+$A33-1,1)-1)</f>
        <v>6.9966273958077529E-4</v>
      </c>
      <c r="DE33" s="9">
        <f ca="1">IF(OR(DE6="",DE$28&lt;$A33),"",DE6/OFFSET(SSAutESP!$A$2,MATCH(DE$29,SSAutESP!$A$2:$A$500)+$A33-1,1)-1)</f>
        <v>-2.460226011398392E-3</v>
      </c>
      <c r="DF33" s="9">
        <f ca="1">IF(OR(DF6="",DF$28&lt;$A33),"",DF6/OFFSET(SSAutESP!$A$2,MATCH(DF$29,SSAutESP!$A$2:$A$500)+$A33-1,1)-1)</f>
        <v>-4.6097215881335529E-4</v>
      </c>
      <c r="DG33" s="9">
        <f ca="1">IF(OR(DG6="",DG$28&lt;$A33),"",DG6/OFFSET(SSAutESP!$A$2,MATCH(DG$29,SSAutESP!$A$2:$A$500)+$A33-1,1)-1)</f>
        <v>-3.7785396742264776E-3</v>
      </c>
      <c r="DH33" s="9">
        <f ca="1">IF(OR(DH6="",DH$28&lt;$A33),"",DH6/OFFSET(SSAutESP!$A$2,MATCH(DH$29,SSAutESP!$A$2:$A$500)+$A33-1,1)-1)</f>
        <v>-9.6989288336464252E-3</v>
      </c>
      <c r="DI33" s="9">
        <f ca="1">IF(OR(DI6="",DI$28&lt;$A33),"",DI6/OFFSET(SSAutESP!$A$2,MATCH(DI$29,SSAutESP!$A$2:$A$500)+$A33-1,1)-1)</f>
        <v>-1.0369409853814071E-2</v>
      </c>
      <c r="DJ33" s="9">
        <f ca="1">IF(OR(DJ6="",DJ$28&lt;$A33),"",DJ6/OFFSET(SSAutESP!$A$2,MATCH(DJ$29,SSAutESP!$A$2:$A$500)+$A33-1,1)-1)</f>
        <v>-1.6533986703126669E-3</v>
      </c>
      <c r="DK33" s="9">
        <f ca="1">IF(OR(DK6="",DK$28&lt;$A33),"",DK6/OFFSET(SSAutESP!$A$2,MATCH(DK$29,SSAutESP!$A$2:$A$500)+$A33-1,1)-1)</f>
        <v>-2.9471548022519389E-4</v>
      </c>
      <c r="DL33" s="9">
        <f ca="1">IF(OR(DL6="",DL$28&lt;$A33),"",DL6/OFFSET(SSAutESP!$A$2,MATCH(DL$29,SSAutESP!$A$2:$A$500)+$A33-1,1)-1)</f>
        <v>2.549047469092347E-3</v>
      </c>
      <c r="DM33" s="9">
        <f ca="1">IF(OR(DM6="",DM$28&lt;$A33),"",DM6/OFFSET(SSAutESP!$A$2,MATCH(DM$29,SSAutESP!$A$2:$A$500)+$A33-1,1)-1)</f>
        <v>1.6752696445840876E-3</v>
      </c>
      <c r="DN33" s="9">
        <f ca="1">IF(OR(DN6="",DN$28&lt;$A33),"",DN6/OFFSET(SSAutESP!$A$2,MATCH(DN$29,SSAutESP!$A$2:$A$500)+$A33-1,1)-1)</f>
        <v>-1.011477911512626E-2</v>
      </c>
      <c r="DO33" s="9">
        <f ca="1">IF(OR(DO6="",DO$28&lt;$A33),"",DO6/OFFSET(SSAutESP!$A$2,MATCH(DO$29,SSAutESP!$A$2:$A$500)+$A33-1,1)-1)</f>
        <v>-6.6821692207670313E-3</v>
      </c>
      <c r="DP33" s="9">
        <f ca="1">IF(OR(DP6="",DP$28&lt;$A33),"",DP6/OFFSET(SSAutESP!$A$2,MATCH(DP$29,SSAutESP!$A$2:$A$500)+$A33-1,1)-1)</f>
        <v>-5.7123453406365821E-3</v>
      </c>
      <c r="DQ33" s="9">
        <f ca="1">IF(OR(DQ6="",DQ$28&lt;$A33),"",DQ6/OFFSET(SSAutESP!$A$2,MATCH(DQ$29,SSAutESP!$A$2:$A$500)+$A33-1,1)-1)</f>
        <v>-1.696722210732915E-3</v>
      </c>
      <c r="DR33" s="9">
        <f ca="1">IF(OR(DR6="",DR$28&lt;$A33),"",DR6/OFFSET(SSAutESP!$A$2,MATCH(DR$29,SSAutESP!$A$2:$A$500)+$A33-1,1)-1)</f>
        <v>6.6524813827562035E-4</v>
      </c>
      <c r="DS33" s="9">
        <f ca="1">IF(OR(DS6="",DS$28&lt;$A33),"",DS6/OFFSET(SSAutESP!$A$2,MATCH(DS$29,SSAutESP!$A$2:$A$500)+$A33-1,1)-1)</f>
        <v>-7.7392282512487309E-3</v>
      </c>
      <c r="DT33" s="9">
        <f ca="1">IF(OR(DT6="",DT$28&lt;$A33),"",DT6/OFFSET(SSAutESP!$A$2,MATCH(DT$29,SSAutESP!$A$2:$A$500)+$A33-1,1)-1)</f>
        <v>-5.4042326446391842E-3</v>
      </c>
      <c r="DU33" s="9">
        <f ca="1">IF(OR(DU6="",DU$28&lt;$A33),"",DU6/OFFSET(SSAutESP!$A$2,MATCH(DU$29,SSAutESP!$A$2:$A$500)+$A33-1,1)-1)</f>
        <v>-2.1803413980412412E-3</v>
      </c>
      <c r="DV33" s="9">
        <f ca="1">IF(OR(DV6="",DV$28&lt;$A33),"",DV6/OFFSET(SSAutESP!$A$2,MATCH(DV$29,SSAutESP!$A$2:$A$500)+$A33-1,1)-1)</f>
        <v>5.514533968333124E-3</v>
      </c>
      <c r="DW33" s="9">
        <f ca="1">IF(OR(DW6="",DW$28&lt;$A33),"",DW6/OFFSET(SSAutESP!$A$2,MATCH(DW$29,SSAutESP!$A$2:$A$500)+$A33-1,1)-1)</f>
        <v>6.7007673218069108E-3</v>
      </c>
      <c r="DX33" s="9">
        <f ca="1">IF(OR(DX6="",DX$28&lt;$A33),"",DX6/OFFSET(SSAutESP!$A$2,MATCH(DX$29,SSAutESP!$A$2:$A$500)+$A33-1,1)-1)</f>
        <v>3.7945318903676029E-3</v>
      </c>
      <c r="DY33" s="9">
        <f ca="1">IF(OR(DY6="",DY$28&lt;$A33),"",DY6/OFFSET(SSAutESP!$A$2,MATCH(DY$29,SSAutESP!$A$2:$A$500)+$A33-1,1)-1)</f>
        <v>1.5514938350795759E-3</v>
      </c>
      <c r="DZ33" s="9">
        <f ca="1">IF(OR(DZ6="",DZ$28&lt;$A33),"",DZ6/OFFSET(SSAutESP!$A$2,MATCH(DZ$29,SSAutESP!$A$2:$A$500)+$A33-1,1)-1)</f>
        <v>-3.5832483306659224E-3</v>
      </c>
      <c r="EA33" s="9">
        <f ca="1">IF(OR(EA6="",EA$28&lt;$A33),"",EA6/OFFSET(SSAutESP!$A$2,MATCH(EA$29,SSAutESP!$A$2:$A$500)+$A33-1,1)-1)</f>
        <v>8.5817206414429137E-5</v>
      </c>
      <c r="EB33" s="9">
        <f ca="1">IF(OR(EB6="",EB$28&lt;$A33),"",EB6/OFFSET(SSAutESP!$A$2,MATCH(EB$29,SSAutESP!$A$2:$A$500)+$A33-1,1)-1)</f>
        <v>2.9253399763951027E-3</v>
      </c>
      <c r="EC33" s="9">
        <f ca="1">IF(OR(EC6="",EC$28&lt;$A33),"",EC6/OFFSET(SSAutESP!$A$2,MATCH(EC$29,SSAutESP!$A$2:$A$500)+$A33-1,1)-1)</f>
        <v>-9.7181353748687638E-4</v>
      </c>
      <c r="ED33" s="9">
        <f ca="1">IF(OR(ED6="",ED$28&lt;$A33),"",ED6/OFFSET(SSAutESP!$A$2,MATCH(ED$29,SSAutESP!$A$2:$A$500)+$A33-1,1)-1)</f>
        <v>-5.09370636792017E-6</v>
      </c>
      <c r="EE33" s="9">
        <f ca="1">IF(OR(EE6="",EE$28&lt;$A33),"",EE6/OFFSET(SSAutESP!$A$2,MATCH(EE$29,SSAutESP!$A$2:$A$500)+$A33-1,1)-1)</f>
        <v>-4.5079670665423288E-3</v>
      </c>
      <c r="EF33" s="9">
        <f ca="1">IF(OR(EF6="",EF$28&lt;$A33),"",EF6/OFFSET(SSAutESP!$A$2,MATCH(EF$29,SSAutESP!$A$2:$A$500)+$A33-1,1)-1)</f>
        <v>-2.6258452105941688E-3</v>
      </c>
      <c r="EG33" s="9">
        <f ca="1">IF(OR(EG6="",EG$28&lt;$A33),"",EG6/OFFSET(SSAutESP!$A$2,MATCH(EG$29,SSAutESP!$A$2:$A$500)+$A33-1,1)-1)</f>
        <v>2.7393026226165684E-3</v>
      </c>
      <c r="EH33" s="9">
        <f ca="1">IF(OR(EH6="",EH$28&lt;$A33),"",EH6/OFFSET(SSAutESP!$A$2,MATCH(EH$29,SSAutESP!$A$2:$A$500)+$A33-1,1)-1)</f>
        <v>6.2676993203443221E-3</v>
      </c>
      <c r="EI33" s="9">
        <f ca="1">IF(OR(EI6="",EI$28&lt;$A33),"",EI6/OFFSET(SSAutESP!$A$2,MATCH(EI$29,SSAutESP!$A$2:$A$500)+$A33-1,1)-1)</f>
        <v>5.891218241447671E-3</v>
      </c>
      <c r="EJ33" s="9">
        <f ca="1">IF(OR(EJ6="",EJ$28&lt;$A33),"",EJ6/OFFSET(SSAutESP!$A$2,MATCH(EJ$29,SSAutESP!$A$2:$A$500)+$A33-1,1)-1)</f>
        <v>5.9583444011608311E-3</v>
      </c>
      <c r="EK33" s="9">
        <f ca="1">IF(OR(EK6="",EK$28&lt;$A33),"",EK6/OFFSET(SSAutESP!$A$2,MATCH(EK$29,SSAutESP!$A$2:$A$500)+$A33-1,1)-1)</f>
        <v>-4.8117816293968829E-4</v>
      </c>
      <c r="EL33" s="9">
        <f ca="1">IF(OR(EL6="",EL$28&lt;$A33),"",EL6/OFFSET(SSAutESP!$A$2,MATCH(EL$29,SSAutESP!$A$2:$A$500)+$A33-1,1)-1)</f>
        <v>-1.7866237550421271E-3</v>
      </c>
      <c r="EM33" s="9">
        <f ca="1">IF(OR(EM6="",EM$28&lt;$A33),"",EM6/OFFSET(SSAutESP!$A$2,MATCH(EM$29,SSAutESP!$A$2:$A$500)+$A33-1,1)-1)</f>
        <v>1.0786439647074708E-3</v>
      </c>
      <c r="EN33" s="9">
        <f ca="1">IF(OR(EN6="",EN$28&lt;$A33),"",EN6/OFFSET(SSAutESP!$A$2,MATCH(EN$29,SSAutESP!$A$2:$A$500)+$A33-1,1)-1)</f>
        <v>-1.0953334845423823E-3</v>
      </c>
      <c r="EO33" s="9">
        <f ca="1">IF(OR(EO6="",EO$28&lt;$A33),"",EO6/OFFSET(SSAutESP!$A$2,MATCH(EO$29,SSAutESP!$A$2:$A$500)+$A33-1,1)-1)</f>
        <v>4.6067425138973661E-4</v>
      </c>
      <c r="EP33" s="9">
        <f ca="1">IF(OR(EP6="",EP$28&lt;$A33),"",EP6/OFFSET(SSAutESP!$A$2,MATCH(EP$29,SSAutESP!$A$2:$A$500)+$A33-1,1)-1)</f>
        <v>-9.2580838017597422E-4</v>
      </c>
      <c r="EQ33" s="9">
        <f ca="1">IF(OR(EQ6="",EQ$28&lt;$A33),"",EQ6/OFFSET(SSAutESP!$A$2,MATCH(EQ$29,SSAutESP!$A$2:$A$500)+$A33-1,1)-1)</f>
        <v>-6.9177746018422859E-3</v>
      </c>
      <c r="ER33" s="9">
        <f ca="1">IF(OR(ER6="",ER$28&lt;$A33),"",ER6/OFFSET(SSAutESP!$A$2,MATCH(ER$29,SSAutESP!$A$2:$A$500)+$A33-1,1)-1)</f>
        <v>-2.6788154936063791E-4</v>
      </c>
      <c r="ES33" s="9">
        <f ca="1">IF(OR(ES6="",ES$28&lt;$A33),"",ES6/OFFSET(SSAutESP!$A$2,MATCH(ES$29,SSAutESP!$A$2:$A$500)+$A33-1,1)-1)</f>
        <v>3.8785926257127734E-3</v>
      </c>
      <c r="ET33" s="9">
        <f ca="1">IF(OR(ET6="",ET$28&lt;$A33),"",ET6/OFFSET(SSAutESP!$A$2,MATCH(ET$29,SSAutESP!$A$2:$A$500)+$A33-1,1)-1)</f>
        <v>2.5421473885809398E-3</v>
      </c>
      <c r="EU33" s="9">
        <f ca="1">IF(OR(EU6="",EU$28&lt;$A33),"",EU6/OFFSET(SSAutESP!$A$2,MATCH(EU$29,SSAutESP!$A$2:$A$500)+$A33-1,1)-1)</f>
        <v>2.6222864313225624E-3</v>
      </c>
      <c r="EV33" s="9">
        <f ca="1">IF(OR(EV6="",EV$28&lt;$A33),"",EV6/OFFSET(SSAutESP!$A$2,MATCH(EV$29,SSAutESP!$A$2:$A$500)+$A33-1,1)-1)</f>
        <v>1.9316758701339865E-3</v>
      </c>
      <c r="EW33" s="9">
        <f ca="1">IF(OR(EW6="",EW$28&lt;$A33),"",EW6/OFFSET(SSAutESP!$A$2,MATCH(EW$29,SSAutESP!$A$2:$A$500)+$A33-1,1)-1)</f>
        <v>-2.5259627382657746E-3</v>
      </c>
      <c r="EX33" s="9">
        <f ca="1">IF(OR(EX6="",EX$28&lt;$A33),"",EX6/OFFSET(SSAutESP!$A$2,MATCH(EX$29,SSAutESP!$A$2:$A$500)+$A33-1,1)-1)</f>
        <v>-1.989147464515395E-3</v>
      </c>
      <c r="EY33" s="9">
        <f ca="1">IF(OR(EY6="",EY$28&lt;$A33),"",EY6/OFFSET(SSAutESP!$A$2,MATCH(EY$29,SSAutESP!$A$2:$A$500)+$A33-1,1)-1)</f>
        <v>-1.4213751782010675E-5</v>
      </c>
      <c r="EZ33" s="9">
        <f ca="1">IF(OR(EZ6="",EZ$28&lt;$A33),"",EZ6/OFFSET(SSAutESP!$A$2,MATCH(EZ$29,SSAutESP!$A$2:$A$500)+$A33-1,1)-1)</f>
        <v>8.3746293562425578E-4</v>
      </c>
      <c r="FA33" s="9">
        <f ca="1">IF(OR(FA6="",FA$28&lt;$A33),"",FA6/OFFSET(SSAutESP!$A$2,MATCH(FA$29,SSAutESP!$A$2:$A$500)+$A33-1,1)-1)</f>
        <v>-7.2640271899160336E-4</v>
      </c>
      <c r="FB33" s="9">
        <f ca="1">IF(OR(FB6="",FB$28&lt;$A33),"",FB6/OFFSET(SSAutESP!$A$2,MATCH(FB$29,SSAutESP!$A$2:$A$500)+$A33-1,1)-1)</f>
        <v>-2.8624584562718658E-3</v>
      </c>
      <c r="FC33" s="9">
        <f ca="1">IF(OR(FC6="",FC$28&lt;$A33),"",FC6/OFFSET(SSAutESP!$A$2,MATCH(FC$29,SSAutESP!$A$2:$A$500)+$A33-1,1)-1)</f>
        <v>-5.9954850333605592E-3</v>
      </c>
      <c r="FD33" s="9">
        <f ca="1">IF(OR(FD6="",FD$28&lt;$A33),"",FD6/OFFSET(SSAutESP!$A$2,MATCH(FD$29,SSAutESP!$A$2:$A$500)+$A33-1,1)-1)</f>
        <v>5.4660462426614487E-4</v>
      </c>
      <c r="FE33" s="9">
        <f ca="1">IF(OR(FE6="",FE$28&lt;$A33),"",FE6/OFFSET(SSAutESP!$A$2,MATCH(FE$29,SSAutESP!$A$2:$A$500)+$A33-1,1)-1)</f>
        <v>1.4544383753678503E-3</v>
      </c>
      <c r="FF33" s="9">
        <f ca="1">IF(OR(FF6="",FF$28&lt;$A33),"",FF6/OFFSET(SSAutESP!$A$2,MATCH(FF$29,SSAutESP!$A$2:$A$500)+$A33-1,1)-1)</f>
        <v>5.1984625072956092E-3</v>
      </c>
      <c r="FG33" s="9">
        <f ca="1">IF(OR(FG6="",FG$28&lt;$A33),"",FG6/OFFSET(SSAutESP!$A$2,MATCH(FG$29,SSAutESP!$A$2:$A$500)+$A33-1,1)-1)</f>
        <v>4.5999414366335589E-3</v>
      </c>
      <c r="FH33" s="9">
        <f ca="1">IF(OR(FH6="",FH$28&lt;$A33),"",FH6/OFFSET(SSAutESP!$A$2,MATCH(FH$29,SSAutESP!$A$2:$A$500)+$A33-1,1)-1)</f>
        <v>2.0237678741070741E-3</v>
      </c>
      <c r="FI33" s="9">
        <f ca="1">IF(OR(FI6="",FI$28&lt;$A33),"",FI6/OFFSET(SSAutESP!$A$2,MATCH(FI$29,SSAutESP!$A$2:$A$500)+$A33-1,1)-1)</f>
        <v>-2.1495306850649598E-3</v>
      </c>
      <c r="FJ33" s="9">
        <f ca="1">IF(OR(FJ6="",FJ$28&lt;$A33),"",FJ6/OFFSET(SSAutESP!$A$2,MATCH(FJ$29,SSAutESP!$A$2:$A$500)+$A33-1,1)-1)</f>
        <v>-7.5831971610518245E-4</v>
      </c>
      <c r="FK33" s="9">
        <f ca="1">IF(OR(FK6="",FK$28&lt;$A33),"",FK6/OFFSET(SSAutESP!$A$2,MATCH(FK$29,SSAutESP!$A$2:$A$500)+$A33-1,1)-1)</f>
        <v>3.1169795877659112E-3</v>
      </c>
      <c r="FL33" s="9">
        <f ca="1">IF(OR(FL6="",FL$28&lt;$A33),"",FL6/OFFSET(SSAutESP!$A$2,MATCH(FL$29,SSAutESP!$A$2:$A$500)+$A33-1,1)-1)</f>
        <v>-1.4413710420223547E-3</v>
      </c>
      <c r="FM33" s="9">
        <f ca="1">IF(OR(FM6="",FM$28&lt;$A33),"",FM6/OFFSET(SSAutESP!$A$2,MATCH(FM$29,SSAutESP!$A$2:$A$500)+$A33-1,1)-1)</f>
        <v>-9.2535520169175767E-3</v>
      </c>
      <c r="FN33" s="9">
        <f ca="1">IF(OR(FN6="",FN$28&lt;$A33),"",FN6/OFFSET(SSAutESP!$A$2,MATCH(FN$29,SSAutESP!$A$2:$A$500)+$A33-1,1)-1)</f>
        <v>-1.4166980958893904E-2</v>
      </c>
      <c r="FO33" s="9">
        <f ca="1">IF(OR(FO6="",FO$28&lt;$A33),"",FO6/OFFSET(SSAutESP!$A$2,MATCH(FO$29,SSAutESP!$A$2:$A$500)+$A33-1,1)-1)</f>
        <v>-1.2348923028886905E-2</v>
      </c>
      <c r="FP33" s="9">
        <f ca="1">IF(OR(FP6="",FP$28&lt;$A33),"",FP6/OFFSET(SSAutESP!$A$2,MATCH(FP$29,SSAutESP!$A$2:$A$500)+$A33-1,1)-1)</f>
        <v>-4.2205768789016496E-4</v>
      </c>
      <c r="FQ33" s="9">
        <f ca="1">IF(OR(FQ6="",FQ$28&lt;$A33),"",FQ6/OFFSET(SSAutESP!$A$2,MATCH(FQ$29,SSAutESP!$A$2:$A$500)+$A33-1,1)-1)</f>
        <v>5.7238472557437081E-3</v>
      </c>
      <c r="FR33" s="9">
        <f ca="1">IF(OR(FR6="",FR$28&lt;$A33),"",FR6/OFFSET(SSAutESP!$A$2,MATCH(FR$29,SSAutESP!$A$2:$A$500)+$A33-1,1)-1)</f>
        <v>4.2922736439812148E-3</v>
      </c>
      <c r="FS33" s="9">
        <f ca="1">IF(OR(FS6="",FS$28&lt;$A33),"",FS6/OFFSET(SSAutESP!$A$2,MATCH(FS$29,SSAutESP!$A$2:$A$500)+$A33-1,1)-1)</f>
        <v>1.8920784166733817E-3</v>
      </c>
      <c r="FT33" s="9">
        <f ca="1">IF(OR(FT6="",FT$28&lt;$A33),"",FT6/OFFSET(SSAutESP!$A$2,MATCH(FT$29,SSAutESP!$A$2:$A$500)+$A33-1,1)-1)</f>
        <v>1.2399978508124132E-3</v>
      </c>
      <c r="FU33" s="9">
        <f ca="1">IF(OR(FU6="",FU$28&lt;$A33),"",FU6/OFFSET(SSAutESP!$A$2,MATCH(FU$29,SSAutESP!$A$2:$A$500)+$A33-1,1)-1)</f>
        <v>-4.4068741564873282E-4</v>
      </c>
      <c r="FV33" s="9">
        <f ca="1">IF(OR(FV6="",FV$28&lt;$A33),"",FV6/OFFSET(SSAutESP!$A$2,MATCH(FV$29,SSAutESP!$A$2:$A$500)+$A33-1,1)-1)</f>
        <v>-3.7402088514153498E-3</v>
      </c>
      <c r="FW33" s="9">
        <f ca="1">IF(OR(FW6="",FW$28&lt;$A33),"",FW6/OFFSET(SSAutESP!$A$2,MATCH(FW$29,SSAutESP!$A$2:$A$500)+$A33-1,1)-1)</f>
        <v>1.3889998841074558E-3</v>
      </c>
      <c r="FX33" s="9">
        <f ca="1">IF(OR(FX6="",FX$28&lt;$A33),"",FX6/OFFSET(SSAutESP!$A$2,MATCH(FX$29,SSAutESP!$A$2:$A$500)+$A33-1,1)-1)</f>
        <v>3.2438384106960871E-3</v>
      </c>
      <c r="FY33" s="9">
        <f ca="1">IF(OR(FY6="",FY$28&lt;$A33),"",FY6/OFFSET(SSAutESP!$A$2,MATCH(FY$29,SSAutESP!$A$2:$A$500)+$A33-1,1)-1)</f>
        <v>2.9737851598452547E-3</v>
      </c>
      <c r="FZ33" s="9">
        <f ca="1">IF(OR(FZ6="",FZ$28&lt;$A33),"",FZ6/OFFSET(SSAutESP!$A$2,MATCH(FZ$29,SSAutESP!$A$2:$A$500)+$A33-1,1)-1)</f>
        <v>7.0574612096903078E-3</v>
      </c>
      <c r="GA33" s="9">
        <f ca="1">IF(OR(GA6="",GA$28&lt;$A33),"",GA6/OFFSET(SSAutESP!$A$2,MATCH(GA$29,SSAutESP!$A$2:$A$500)+$A33-1,1)-1)</f>
        <v>-2.6479808228931923E-3</v>
      </c>
      <c r="GB33" s="9">
        <f ca="1">IF(OR(GB6="",GB$28&lt;$A33),"",GB6/OFFSET(SSAutESP!$A$2,MATCH(GB$29,SSAutESP!$A$2:$A$500)+$A33-1,1)-1)</f>
        <v>8.0200031414778827E-4</v>
      </c>
      <c r="GC33" s="9">
        <f ca="1">IF(OR(GC6="",GC$28&lt;$A33),"",GC6/OFFSET(SSAutESP!$A$2,MATCH(GC$29,SSAutESP!$A$2:$A$500)+$A33-1,1)-1)</f>
        <v>9.8895205354554427E-4</v>
      </c>
      <c r="GD33" s="9">
        <f ca="1">IF(OR(GD6="",GD$28&lt;$A33),"",GD6/OFFSET(SSAutESP!$A$2,MATCH(GD$29,SSAutESP!$A$2:$A$500)+$A33-1,1)-1)</f>
        <v>3.4175382464418647E-4</v>
      </c>
      <c r="GE33" s="9">
        <f ca="1">IF(OR(GE6="",GE$28&lt;$A33),"",GE6/OFFSET(SSAutESP!$A$2,MATCH(GE$29,SSAutESP!$A$2:$A$500)+$A33-1,1)-1)</f>
        <v>-1.4981910455558189E-3</v>
      </c>
      <c r="GF33" s="9">
        <f ca="1">IF(OR(GF6="",GF$28&lt;$A33),"",GF6/OFFSET(SSAutESP!$A$2,MATCH(GF$29,SSAutESP!$A$2:$A$500)+$A33-1,1)-1)</f>
        <v>-2.8297631677339785E-3</v>
      </c>
      <c r="GG33" s="9">
        <f ca="1">IF(OR(GG6="",GG$28&lt;$A33),"",GG6/OFFSET(SSAutESP!$A$2,MATCH(GG$29,SSAutESP!$A$2:$A$500)+$A33-1,1)-1)</f>
        <v>-2.7660563431405327E-3</v>
      </c>
      <c r="GH33" s="9">
        <f ca="1">IF(OR(GH6="",GH$28&lt;$A33),"",GH6/OFFSET(SSAutESP!$A$2,MATCH(GH$29,SSAutESP!$A$2:$A$500)+$A33-1,1)-1)</f>
        <v>-4.6230673926825894E-3</v>
      </c>
      <c r="GI33" s="9">
        <f ca="1">IF(OR(GI6="",GI$28&lt;$A33),"",GI6/OFFSET(SSAutESP!$A$2,MATCH(GI$29,SSAutESP!$A$2:$A$500)+$A33-1,1)-1)</f>
        <v>-4.1575027957019284E-4</v>
      </c>
      <c r="GJ33" s="9">
        <f ca="1">IF(OR(GJ6="",GJ$28&lt;$A33),"",GJ6/OFFSET(SSAutESP!$A$2,MATCH(GJ$29,SSAutESP!$A$2:$A$500)+$A33-1,1)-1)</f>
        <v>1.327950945882117E-3</v>
      </c>
      <c r="GK33" s="9">
        <f ca="1">IF(OR(GK6="",GK$28&lt;$A33),"",GK6/OFFSET(SSAutESP!$A$2,MATCH(GK$29,SSAutESP!$A$2:$A$500)+$A33-1,1)-1)</f>
        <v>7.1372417717150416E-3</v>
      </c>
      <c r="GL33" s="9">
        <f ca="1">IF(OR(GL6="",GL$28&lt;$A33),"",GL6/OFFSET(SSAutESP!$A$2,MATCH(GL$29,SSAutESP!$A$2:$A$500)+$A33-1,1)-1)</f>
        <v>2.307465286657373E-2</v>
      </c>
      <c r="GM33" s="9">
        <f ca="1">IF(OR(GM6="",GM$28&lt;$A33),"",GM6/OFFSET(SSAutESP!$A$2,MATCH(GM$29,SSAutESP!$A$2:$A$500)+$A33-1,1)-1)</f>
        <v>2.3589858396952934E-2</v>
      </c>
      <c r="GN33" s="9">
        <f ca="1">IF(OR(GN6="",GN$28&lt;$A33),"",GN6/OFFSET(SSAutESP!$A$2,MATCH(GN$29,SSAutESP!$A$2:$A$500)+$A33-1,1)-1)</f>
        <v>1.9472604166288932E-2</v>
      </c>
      <c r="GO33" s="9">
        <f ca="1">IF(OR(GO6="",GO$28&lt;$A33),"",GO6/OFFSET(SSAutESP!$A$2,MATCH(GO$29,SSAutESP!$A$2:$A$500)+$A33-1,1)-1)</f>
        <v>2.713943929816276E-3</v>
      </c>
      <c r="GP33" s="9">
        <f ca="1">IF(OR(GP6="",GP$28&lt;$A33),"",GP6/OFFSET(SSAutESP!$A$2,MATCH(GP$29,SSAutESP!$A$2:$A$500)+$A33-1,1)-1)</f>
        <v>-2.2586073085151703E-2</v>
      </c>
      <c r="GQ33" s="9">
        <f ca="1">IF(OR(GQ6="",GQ$28&lt;$A33),"",GQ6/OFFSET(SSAutESP!$A$2,MATCH(GQ$29,SSAutESP!$A$2:$A$500)+$A33-1,1)-1)</f>
        <v>-2.313233058064379E-2</v>
      </c>
      <c r="GR33" s="9">
        <f ca="1">IF(OR(GR6="",GR$28&lt;$A33),"",GR6/OFFSET(SSAutESP!$A$2,MATCH(GR$29,SSAutESP!$A$2:$A$500)+$A33-1,1)-1)</f>
        <v>-1.473665934671653E-2</v>
      </c>
      <c r="GS33" s="9">
        <f ca="1">IF(OR(GS6="",GS$28&lt;$A33),"",GS6/OFFSET(SSAutESP!$A$2,MATCH(GS$29,SSAutESP!$A$2:$A$500)+$A33-1,1)-1)</f>
        <v>4.141792533771671E-3</v>
      </c>
      <c r="GT33" s="9">
        <f ca="1">IF(OR(GT6="",GT$28&lt;$A33),"",GT6/OFFSET(SSAutESP!$A$2,MATCH(GT$29,SSAutESP!$A$2:$A$500)+$A33-1,1)-1)</f>
        <v>5.9481695192318274E-3</v>
      </c>
      <c r="GU33" s="9">
        <f ca="1">IF(OR(GU6="",GU$28&lt;$A33),"",GU6/OFFSET(SSAutESP!$A$2,MATCH(GU$29,SSAutESP!$A$2:$A$500)+$A33-1,1)-1)</f>
        <v>-1.9570802637169926E-3</v>
      </c>
      <c r="GV33" s="9" t="str">
        <f ca="1">IF(OR(GV6="",GV$28&lt;$A33),"",GV6/OFFSET(SSAutESP!$A$2,MATCH(GV$29,SSAutESP!$A$2:$A$500)+$A33-1,1)-1)</f>
        <v/>
      </c>
      <c r="GW33" s="9" t="str">
        <f ca="1">IF(OR(GW6="",GW$28&lt;$A33),"",GW6/OFFSET(SSAutESP!$A$2,MATCH(GW$29,SSAutESP!$A$2:$A$500)+$A33-1,1)-1)</f>
        <v/>
      </c>
      <c r="GX33" s="9" t="str">
        <f ca="1">IF(OR(GX6="",GX$28&lt;$A33),"",GX6/OFFSET(SSAutESP!$A$2,MATCH(GX$29,SSAutESP!$A$2:$A$500)+$A33-1,1)-1)</f>
        <v/>
      </c>
      <c r="GY33" s="9" t="str">
        <f ca="1">IF(OR(GY6="",GY$28&lt;$A33),"",GY6/OFFSET(SSAutESP!$A$2,MATCH(GY$29,SSAutESP!$A$2:$A$500)+$A33-1,1)-1)</f>
        <v/>
      </c>
      <c r="GZ33" s="9" t="str">
        <f ca="1">IF(OR(GZ6="",GZ$28&lt;$A33),"",GZ6/OFFSET(SSAutESP!$A$2,MATCH(GZ$29,SSAutESP!$A$2:$A$500)+$A33-1,1)-1)</f>
        <v/>
      </c>
      <c r="HA33" s="9" t="str">
        <f ca="1">IF(OR(HA6="",HA$28&lt;$A33),"",HA6/OFFSET(SSAutESP!$A$2,MATCH(HA$29,SSAutESP!$A$2:$A$500)+$A33-1,1)-1)</f>
        <v/>
      </c>
      <c r="HB33" s="9" t="str">
        <f ca="1">IF(OR(HB6="",HB$28&lt;$A33),"",HB6/OFFSET(SSAutESP!$A$2,MATCH(HB$29,SSAutESP!$A$2:$A$500)+$A33-1,1)-1)</f>
        <v/>
      </c>
      <c r="HC33" s="9" t="str">
        <f ca="1">IF(OR(HC6="",HC$28&lt;$A33),"",HC6/OFFSET(SSAutESP!$A$2,MATCH(HC$29,SSAutESP!$A$2:$A$500)+$A33-1,1)-1)</f>
        <v/>
      </c>
      <c r="HD33" s="9" t="str">
        <f ca="1">IF(OR(HD6="",HD$28&lt;$A33),"",HD6/OFFSET(SSAutESP!$A$2,MATCH(HD$29,SSAutESP!$A$2:$A$500)+$A33-1,1)-1)</f>
        <v/>
      </c>
      <c r="HE33" s="9" t="str">
        <f ca="1">IF(OR(HE6="",HE$28&lt;$A33),"",HE6/OFFSET(SSAutESP!$A$2,MATCH(HE$29,SSAutESP!$A$2:$A$500)+$A33-1,1)-1)</f>
        <v/>
      </c>
      <c r="HF33" s="9" t="str">
        <f ca="1">IF(OR(HF6="",HF$28&lt;$A33),"",HF6/OFFSET(SSAutESP!$A$2,MATCH(HF$29,SSAutESP!$A$2:$A$500)+$A33-1,1)-1)</f>
        <v/>
      </c>
      <c r="HG33" s="9" t="str">
        <f ca="1">IF(OR(HG6="",HG$28&lt;$A33),"",HG6/OFFSET(SSAutESP!$A$2,MATCH(HG$29,SSAutESP!$A$2:$A$500)+$A33-1,1)-1)</f>
        <v/>
      </c>
      <c r="HH33" s="9" t="str">
        <f ca="1">IF(OR(HH6="",HH$28&lt;$A33),"",HH6/OFFSET(SSAutESP!$A$2,MATCH(HH$29,SSAutESP!$A$2:$A$500)+$A33-1,1)-1)</f>
        <v/>
      </c>
      <c r="HI33" s="9" t="str">
        <f ca="1">IF(OR(HI6="",HI$28&lt;$A33),"",HI6/OFFSET(SSAutESP!$A$2,MATCH(HI$29,SSAutESP!$A$2:$A$500)+$A33-1,1)-1)</f>
        <v/>
      </c>
      <c r="HJ33" s="9" t="str">
        <f ca="1">IF(OR(HJ6="",HJ$28&lt;$A33),"",HJ6/OFFSET(SSAutESP!$A$2,MATCH(HJ$29,SSAutESP!$A$2:$A$500)+$A33-1,1)-1)</f>
        <v/>
      </c>
      <c r="HK33" s="9" t="str">
        <f ca="1">IF(OR(HK6="",HK$28&lt;$A33),"",HK6/OFFSET(SSAutESP!$A$2,MATCH(HK$29,SSAutESP!$A$2:$A$500)+$A33-1,1)-1)</f>
        <v/>
      </c>
      <c r="HL33" s="9" t="str">
        <f ca="1">IF(OR(HL6="",HL$28&lt;$A33),"",HL6/OFFSET(SSAutESP!$A$2,MATCH(HL$29,SSAutESP!$A$2:$A$500)+$A33-1,1)-1)</f>
        <v/>
      </c>
      <c r="HM33" s="9" t="str">
        <f ca="1">IF(OR(HM6="",HM$28&lt;$A33),"",HM6/OFFSET(SSAutESP!$A$2,MATCH(HM$29,SSAutESP!$A$2:$A$500)+$A33-1,1)-1)</f>
        <v/>
      </c>
      <c r="HN33" s="9" t="str">
        <f ca="1">IF(OR(HN6="",HN$28&lt;$A33),"",HN6/OFFSET(SSAutESP!$A$2,MATCH(HN$29,SSAutESP!$A$2:$A$500)+$A33-1,1)-1)</f>
        <v/>
      </c>
      <c r="HO33" s="9" t="str">
        <f ca="1">IF(OR(HO6="",HO$28&lt;$A33),"",HO6/OFFSET(SSAutESP!$A$2,MATCH(HO$29,SSAutESP!$A$2:$A$500)+$A33-1,1)-1)</f>
        <v/>
      </c>
      <c r="HP33" s="9" t="str">
        <f ca="1">IF(OR(HP6="",HP$28&lt;$A33),"",HP6/OFFSET(SSAutESP!$A$2,MATCH(HP$29,SSAutESP!$A$2:$A$500)+$A33-1,1)-1)</f>
        <v/>
      </c>
      <c r="HQ33" s="9" t="str">
        <f ca="1">IF(OR(HQ6="",HQ$28&lt;$A33),"",HQ6/OFFSET(SSAutESP!$A$2,MATCH(HQ$29,SSAutESP!$A$2:$A$500)+$A33-1,1)-1)</f>
        <v/>
      </c>
      <c r="HR33" s="9" t="str">
        <f ca="1">IF(OR(HR6="",HR$28&lt;$A33),"",HR6/OFFSET(SSAutESP!$A$2,MATCH(HR$29,SSAutESP!$A$2:$A$500)+$A33-1,1)-1)</f>
        <v/>
      </c>
      <c r="HS33" s="9" t="str">
        <f ca="1">IF(OR(HS6="",HS$28&lt;$A33),"",HS6/OFFSET(SSAutESP!$A$2,MATCH(HS$29,SSAutESP!$A$2:$A$500)+$A33-1,1)-1)</f>
        <v/>
      </c>
      <c r="HT33" s="9" t="str">
        <f ca="1">IF(OR(HT6="",HT$28&lt;$A33),"",HT6/OFFSET(SSAutESP!$A$2,MATCH(HT$29,SSAutESP!$A$2:$A$500)+$A33-1,1)-1)</f>
        <v/>
      </c>
      <c r="HU33" s="9" t="str">
        <f ca="1">IF(OR(HU6="",HU$28&lt;$A33),"",HU6/OFFSET(SSAutESP!$A$2,MATCH(HU$29,SSAutESP!$A$2:$A$500)+$A33-1,1)-1)</f>
        <v/>
      </c>
      <c r="HV33" s="9" t="str">
        <f ca="1">IF(OR(HV6="",HV$28&lt;$A33),"",HV6/OFFSET(SSAutESP!$A$2,MATCH(HV$29,SSAutESP!$A$2:$A$500)+$A33-1,1)-1)</f>
        <v/>
      </c>
      <c r="HW33" s="9" t="str">
        <f ca="1">IF(OR(HW6="",HW$28&lt;$A33),"",HW6/OFFSET(SSAutESP!$A$2,MATCH(HW$29,SSAutESP!$A$2:$A$500)+$A33-1,1)-1)</f>
        <v/>
      </c>
      <c r="HX33" s="9" t="str">
        <f ca="1">IF(OR(HX6="",HX$28&lt;$A33),"",HX6/OFFSET(SSAutESP!$A$2,MATCH(HX$29,SSAutESP!$A$2:$A$500)+$A33-1,1)-1)</f>
        <v/>
      </c>
      <c r="HY33" s="9" t="str">
        <f ca="1">IF(OR(HY6="",HY$28&lt;$A33),"",HY6/OFFSET(SSAutESP!$A$2,MATCH(HY$29,SSAutESP!$A$2:$A$500)+$A33-1,1)-1)</f>
        <v/>
      </c>
      <c r="HZ33" s="9" t="str">
        <f ca="1">IF(OR(HZ6="",HZ$28&lt;$A33),"",HZ6/OFFSET(SSAutESP!$A$2,MATCH(HZ$29,SSAutESP!$A$2:$A$500)+$A33-1,1)-1)</f>
        <v/>
      </c>
      <c r="IA33" s="9" t="str">
        <f ca="1">IF(OR(IA6="",IA$28&lt;$A33),"",IA6/OFFSET(SSAutESP!$A$2,MATCH(IA$29,SSAutESP!$A$2:$A$500)+$A33-1,1)-1)</f>
        <v/>
      </c>
      <c r="IB33" s="9" t="str">
        <f ca="1">IF(OR(IB6="",IB$28&lt;$A33),"",IB6/OFFSET(SSAutESP!$A$2,MATCH(IB$29,SSAutESP!$A$2:$A$500)+$A33-1,1)-1)</f>
        <v/>
      </c>
      <c r="IC33" s="9" t="str">
        <f ca="1">IF(OR(IC6="",IC$28&lt;$A33),"",IC6/OFFSET(SSAutESP!$A$2,MATCH(IC$29,SSAutESP!$A$2:$A$500)+$A33-1,1)-1)</f>
        <v/>
      </c>
      <c r="ID33" s="9" t="str">
        <f ca="1">IF(OR(ID6="",ID$28&lt;$A33),"",ID6/OFFSET(SSAutESP!$A$2,MATCH(ID$29,SSAutESP!$A$2:$A$500)+$A33-1,1)-1)</f>
        <v/>
      </c>
      <c r="IE33" s="9" t="str">
        <f ca="1">IF(OR(IE6="",IE$28&lt;$A33),"",IE6/OFFSET(SSAutESP!$A$2,MATCH(IE$29,SSAutESP!$A$2:$A$500)+$A33-1,1)-1)</f>
        <v/>
      </c>
      <c r="IF33" s="9" t="str">
        <f ca="1">IF(OR(IF6="",IF$28&lt;$A33),"",IF6/OFFSET(SSAutESP!$A$2,MATCH(IF$29,SSAutESP!$A$2:$A$500)+$A33-1,1)-1)</f>
        <v/>
      </c>
      <c r="IG33" s="9" t="str">
        <f ca="1">IF(OR(IG6="",IG$28&lt;$A33),"",IG6/OFFSET(SSAutESP!$A$2,MATCH(IG$29,SSAutESP!$A$2:$A$500)+$A33-1,1)-1)</f>
        <v/>
      </c>
      <c r="IH33" s="9" t="str">
        <f ca="1">IF(OR(IH6="",IH$28&lt;$A33),"",IH6/OFFSET(SSAutESP!$A$2,MATCH(IH$29,SSAutESP!$A$2:$A$500)+$A33-1,1)-1)</f>
        <v/>
      </c>
      <c r="II33" s="9" t="str">
        <f ca="1">IF(OR(II6="",II$28&lt;$A33),"",II6/OFFSET(SSAutESP!$A$2,MATCH(II$29,SSAutESP!$A$2:$A$500)+$A33-1,1)-1)</f>
        <v/>
      </c>
      <c r="IJ33" s="9" t="str">
        <f ca="1">IF(OR(IJ6="",IJ$28&lt;$A33),"",IJ6/OFFSET(SSAutESP!$A$2,MATCH(IJ$29,SSAutESP!$A$2:$A$500)+$A33-1,1)-1)</f>
        <v/>
      </c>
      <c r="IK33" s="9" t="str">
        <f ca="1">IF(OR(IK6="",IK$28&lt;$A33),"",IK6/OFFSET(SSAutESP!$A$2,MATCH(IK$29,SSAutESP!$A$2:$A$500)+$A33-1,1)-1)</f>
        <v/>
      </c>
      <c r="IL33" s="9" t="str">
        <f ca="1">IF(OR(IL6="",IL$28&lt;$A33),"",IL6/OFFSET(SSAutESP!$A$2,MATCH(IL$29,SSAutESP!$A$2:$A$500)+$A33-1,1)-1)</f>
        <v/>
      </c>
      <c r="IM33" s="9" t="str">
        <f ca="1">IF(OR(IM6="",IM$28&lt;$A33),"",IM6/OFFSET(SSAutESP!$A$2,MATCH(IM$29,SSAutESP!$A$2:$A$500)+$A33-1,1)-1)</f>
        <v/>
      </c>
      <c r="IN33" s="9" t="str">
        <f ca="1">IF(OR(IN6="",IN$28&lt;$A33),"",IN6/OFFSET(SSAutESP!$A$2,MATCH(IN$29,SSAutESP!$A$2:$A$500)+$A33-1,1)-1)</f>
        <v/>
      </c>
      <c r="IO33" s="9" t="str">
        <f ca="1">IF(OR(IO6="",IO$28&lt;$A33),"",IO6/OFFSET(SSAutESP!$A$2,MATCH(IO$29,SSAutESP!$A$2:$A$500)+$A33-1,1)-1)</f>
        <v/>
      </c>
      <c r="IP33" s="9" t="str">
        <f ca="1">IF(OR(IP6="",IP$28&lt;$A33),"",IP6/OFFSET(SSAutESP!$A$2,MATCH(IP$29,SSAutESP!$A$2:$A$500)+$A33-1,1)-1)</f>
        <v/>
      </c>
      <c r="IQ33" s="9" t="str">
        <f ca="1">IF(OR(IQ6="",IQ$28&lt;$A33),"",IQ6/OFFSET(SSAutESP!$A$2,MATCH(IQ$29,SSAutESP!$A$2:$A$500)+$A33-1,1)-1)</f>
        <v/>
      </c>
      <c r="IR33" s="9" t="str">
        <f ca="1">IF(OR(IR6="",IR$28&lt;$A33),"",IR6/OFFSET(SSAutESP!$A$2,MATCH(IR$29,SSAutESP!$A$2:$A$500)+$A33-1,1)-1)</f>
        <v/>
      </c>
      <c r="IS33" s="9" t="str">
        <f ca="1">IF(OR(IS6="",IS$28&lt;$A33),"",IS6/OFFSET(SSAutESP!$A$2,MATCH(IS$29,SSAutESP!$A$2:$A$500)+$A33-1,1)-1)</f>
        <v/>
      </c>
      <c r="IT33" s="9" t="str">
        <f ca="1">IF(OR(IT6="",IT$28&lt;$A33),"",IT6/OFFSET(SSAutESP!$A$2,MATCH(IT$29,SSAutESP!$A$2:$A$500)+$A33-1,1)-1)</f>
        <v/>
      </c>
      <c r="IU33" s="9" t="str">
        <f ca="1">IF(OR(IU6="",IU$28&lt;$A33),"",IU6/OFFSET(SSAutESP!$A$2,MATCH(IU$29,SSAutESP!$A$2:$A$500)+$A33-1,1)-1)</f>
        <v/>
      </c>
      <c r="IV33" s="9" t="str">
        <f ca="1">IF(OR(IV6="",IV$28&lt;$A33),"",IV6/OFFSET(SSAutESP!$A$2,MATCH(IV$29,SSAutESP!$A$2:$A$500)+$A33-1,1)-1)</f>
        <v/>
      </c>
      <c r="IW33" s="9" t="str">
        <f ca="1">IF(OR(IW6="",IW$28&lt;$A33),"",IW6/OFFSET(SSAutESP!$A$2,MATCH(IW$29,SSAutESP!$A$2:$A$500)+$A33-1,1)-1)</f>
        <v/>
      </c>
      <c r="IX33" s="9" t="str">
        <f ca="1">IF(OR(IX6="",IX$28&lt;$A33),"",IX6/OFFSET(SSAutESP!$A$2,MATCH(IX$29,SSAutESP!$A$2:$A$500)+$A33-1,1)-1)</f>
        <v/>
      </c>
      <c r="IY33" s="9" t="str">
        <f ca="1">IF(OR(IY6="",IY$28&lt;$A33),"",IY6/OFFSET(SSAutESP!$A$2,MATCH(IY$29,SSAutESP!$A$2:$A$500)+$A33-1,1)-1)</f>
        <v/>
      </c>
      <c r="IZ33" s="9" t="str">
        <f ca="1">IF(OR(IZ6="",IZ$28&lt;$A33),"",IZ6/OFFSET(SSAutESP!$A$2,MATCH(IZ$29,SSAutESP!$A$2:$A$500)+$A33-1,1)-1)</f>
        <v/>
      </c>
      <c r="JA33" s="9" t="str">
        <f ca="1">IF(OR(JA6="",JA$28&lt;$A33),"",JA6/OFFSET(SSAutESP!$A$2,MATCH(JA$29,SSAutESP!$A$2:$A$500)+$A33-1,1)-1)</f>
        <v/>
      </c>
      <c r="JB33" s="9" t="str">
        <f ca="1">IF(OR(JB6="",JB$28&lt;$A33),"",JB6/OFFSET(SSAutESP!$A$2,MATCH(JB$29,SSAutESP!$A$2:$A$500)+$A33-1,1)-1)</f>
        <v/>
      </c>
      <c r="JC33" s="9" t="str">
        <f ca="1">IF(OR(JC6="",JC$28&lt;$A33),"",JC6/OFFSET(SSAutESP!$A$2,MATCH(JC$29,SSAutESP!$A$2:$A$500)+$A33-1,1)-1)</f>
        <v/>
      </c>
      <c r="JD33" s="9" t="str">
        <f ca="1">IF(OR(JD6="",JD$28&lt;$A33),"",JD6/OFFSET(SSAutESP!$A$2,MATCH(JD$29,SSAutESP!$A$2:$A$500)+$A33-1,1)-1)</f>
        <v/>
      </c>
      <c r="JE33" s="9" t="str">
        <f ca="1">IF(OR(JE6="",JE$28&lt;$A33),"",JE6/OFFSET(SSAutESP!$A$2,MATCH(JE$29,SSAutESP!$A$2:$A$500)+$A33-1,1)-1)</f>
        <v/>
      </c>
      <c r="JF33" s="9" t="str">
        <f ca="1">IF(OR(JF6="",JF$28&lt;$A33),"",JF6/OFFSET(SSAutESP!$A$2,MATCH(JF$29,SSAutESP!$A$2:$A$500)+$A33-1,1)-1)</f>
        <v/>
      </c>
      <c r="JG33" s="9" t="str">
        <f ca="1">IF(OR(JG6="",JG$28&lt;$A33),"",JG6/OFFSET(SSAutESP!$A$2,MATCH(JG$29,SSAutESP!$A$2:$A$500)+$A33-1,1)-1)</f>
        <v/>
      </c>
      <c r="JH33" s="9" t="str">
        <f ca="1">IF(OR(JH6="",JH$28&lt;$A33),"",JH6/OFFSET(SSAutESP!$A$2,MATCH(JH$29,SSAutESP!$A$2:$A$500)+$A33-1,1)-1)</f>
        <v/>
      </c>
      <c r="JI33" s="13">
        <f t="shared" ca="1" si="13"/>
        <v>1.1605597922338862E-3</v>
      </c>
      <c r="JJ33" s="13">
        <f t="shared" ca="1" si="14"/>
        <v>1.2399978508124132E-3</v>
      </c>
      <c r="JK33" s="14">
        <f t="shared" ca="1" si="15"/>
        <v>9.6612163471023301E-5</v>
      </c>
      <c r="JL33" s="17">
        <f t="shared" ca="1" si="18"/>
        <v>9.8291486646109542E-3</v>
      </c>
      <c r="JM33" s="15" t="str">
        <f t="shared" ca="1" si="16"/>
        <v>[ -1,85% ; 2,08% ]</v>
      </c>
      <c r="JN33" s="17">
        <f t="shared" ca="1" si="17"/>
        <v>1.2581310290702022E-2</v>
      </c>
      <c r="LY33" s="1"/>
    </row>
    <row r="34" spans="1:337" x14ac:dyDescent="0.25">
      <c r="A34" s="4">
        <v>5</v>
      </c>
      <c r="B34" s="9">
        <f ca="1">IF(OR(B7="",B$28&lt;$A34),"",B7/OFFSET(SSAutESP!$A$2,MATCH(B$29,SSAutESP!$A$2:$A$500)+$A34-1,1)-1)</f>
        <v>-3.3507452497766321E-3</v>
      </c>
      <c r="C34" s="9">
        <f ca="1">IF(OR(C7="",C$28&lt;$A34),"",C7/OFFSET(SSAutESP!$A$2,MATCH(C$29,SSAutESP!$A$2:$A$500)+$A34-1,1)-1)</f>
        <v>-5.0731757640798403E-4</v>
      </c>
      <c r="D34" s="9">
        <f ca="1">IF(OR(D7="",D$28&lt;$A34),"",D7/OFFSET(SSAutESP!$A$2,MATCH(D$29,SSAutESP!$A$2:$A$500)+$A34-1,1)-1)</f>
        <v>1.8527324193522432E-3</v>
      </c>
      <c r="E34" s="9">
        <f ca="1">IF(OR(E7="",E$28&lt;$A34),"",E7/OFFSET(SSAutESP!$A$2,MATCH(E$29,SSAutESP!$A$2:$A$500)+$A34-1,1)-1)</f>
        <v>3.9481934787384265E-3</v>
      </c>
      <c r="F34" s="9">
        <f ca="1">IF(OR(F7="",F$28&lt;$A34),"",F7/OFFSET(SSAutESP!$A$2,MATCH(F$29,SSAutESP!$A$2:$A$500)+$A34-1,1)-1)</f>
        <v>4.062669113144235E-3</v>
      </c>
      <c r="G34" s="9">
        <f ca="1">IF(OR(G7="",G$28&lt;$A34),"",G7/OFFSET(SSAutESP!$A$2,MATCH(G$29,SSAutESP!$A$2:$A$500)+$A34-1,1)-1)</f>
        <v>2.1257876938776121E-3</v>
      </c>
      <c r="H34" s="9">
        <f ca="1">IF(OR(H7="",H$28&lt;$A34),"",H7/OFFSET(SSAutESP!$A$2,MATCH(H$29,SSAutESP!$A$2:$A$500)+$A34-1,1)-1)</f>
        <v>2.4345234602234367E-3</v>
      </c>
      <c r="I34" s="9">
        <f ca="1">IF(OR(I7="",I$28&lt;$A34),"",I7/OFFSET(SSAutESP!$A$2,MATCH(I$29,SSAutESP!$A$2:$A$500)+$A34-1,1)-1)</f>
        <v>5.9528589530000176E-4</v>
      </c>
      <c r="J34" s="9">
        <f ca="1">IF(OR(J7="",J$28&lt;$A34),"",J7/OFFSET(SSAutESP!$A$2,MATCH(J$29,SSAutESP!$A$2:$A$500)+$A34-1,1)-1)</f>
        <v>-1.6322580487806437E-3</v>
      </c>
      <c r="K34" s="9">
        <f ca="1">IF(OR(K7="",K$28&lt;$A34),"",K7/OFFSET(SSAutESP!$A$2,MATCH(K$29,SSAutESP!$A$2:$A$500)+$A34-1,1)-1)</f>
        <v>-1.3950041180744721E-3</v>
      </c>
      <c r="L34" s="9">
        <f ca="1">IF(OR(L7="",L$28&lt;$A34),"",L7/OFFSET(SSAutESP!$A$2,MATCH(L$29,SSAutESP!$A$2:$A$500)+$A34-1,1)-1)</f>
        <v>-6.9294845537071215E-4</v>
      </c>
      <c r="M34" s="9">
        <f ca="1">IF(OR(M7="",M$28&lt;$A34),"",M7/OFFSET(SSAutESP!$A$2,MATCH(M$29,SSAutESP!$A$2:$A$500)+$A34-1,1)-1)</f>
        <v>8.7327719333685216E-4</v>
      </c>
      <c r="N34" s="9">
        <f ca="1">IF(OR(N7="",N$28&lt;$A34),"",N7/OFFSET(SSAutESP!$A$2,MATCH(N$29,SSAutESP!$A$2:$A$500)+$A34-1,1)-1)</f>
        <v>3.6618875479725865E-3</v>
      </c>
      <c r="O34" s="9">
        <f ca="1">IF(OR(O7="",O$28&lt;$A34),"",O7/OFFSET(SSAutESP!$A$2,MATCH(O$29,SSAutESP!$A$2:$A$500)+$A34-1,1)-1)</f>
        <v>4.4290354040075197E-3</v>
      </c>
      <c r="P34" s="9">
        <f ca="1">IF(OR(P7="",P$28&lt;$A34),"",P7/OFFSET(SSAutESP!$A$2,MATCH(P$29,SSAutESP!$A$2:$A$500)+$A34-1,1)-1)</f>
        <v>3.6050103458842297E-3</v>
      </c>
      <c r="Q34" s="9">
        <f ca="1">IF(OR(Q7="",Q$28&lt;$A34),"",Q7/OFFSET(SSAutESP!$A$2,MATCH(Q$29,SSAutESP!$A$2:$A$500)+$A34-1,1)-1)</f>
        <v>2.9127817083469676E-3</v>
      </c>
      <c r="R34" s="9">
        <f ca="1">IF(OR(R7="",R$28&lt;$A34),"",R7/OFFSET(SSAutESP!$A$2,MATCH(R$29,SSAutESP!$A$2:$A$500)+$A34-1,1)-1)</f>
        <v>1.4786191739117882E-3</v>
      </c>
      <c r="S34" s="9">
        <f ca="1">IF(OR(S7="",S$28&lt;$A34),"",S7/OFFSET(SSAutESP!$A$2,MATCH(S$29,SSAutESP!$A$2:$A$500)+$A34-1,1)-1)</f>
        <v>1.2609772031848543E-3</v>
      </c>
      <c r="T34" s="9">
        <f ca="1">IF(OR(T7="",T$28&lt;$A34),"",T7/OFFSET(SSAutESP!$A$2,MATCH(T$29,SSAutESP!$A$2:$A$500)+$A34-1,1)-1)</f>
        <v>1.4924106736087239E-3</v>
      </c>
      <c r="U34" s="9">
        <f ca="1">IF(OR(U7="",U$28&lt;$A34),"",U7/OFFSET(SSAutESP!$A$2,MATCH(U$29,SSAutESP!$A$2:$A$500)+$A34-1,1)-1)</f>
        <v>-8.6528034290134226E-4</v>
      </c>
      <c r="V34" s="9">
        <f ca="1">IF(OR(V7="",V$28&lt;$A34),"",V7/OFFSET(SSAutESP!$A$2,MATCH(V$29,SSAutESP!$A$2:$A$500)+$A34-1,1)-1)</f>
        <v>-2.0416242138765472E-3</v>
      </c>
      <c r="W34" s="9">
        <f ca="1">IF(OR(W7="",W$28&lt;$A34),"",W7/OFFSET(SSAutESP!$A$2,MATCH(W$29,SSAutESP!$A$2:$A$500)+$A34-1,1)-1)</f>
        <v>-9.7005128872296176E-4</v>
      </c>
      <c r="X34" s="9">
        <f ca="1">IF(OR(X7="",X$28&lt;$A34),"",X7/OFFSET(SSAutESP!$A$2,MATCH(X$29,SSAutESP!$A$2:$A$500)+$A34-1,1)-1)</f>
        <v>-2.7022645484608976E-4</v>
      </c>
      <c r="Y34" s="9">
        <f ca="1">IF(OR(Y7="",Y$28&lt;$A34),"",Y7/OFFSET(SSAutESP!$A$2,MATCH(Y$29,SSAutESP!$A$2:$A$500)+$A34-1,1)-1)</f>
        <v>8.6821338373210821E-4</v>
      </c>
      <c r="Z34" s="9">
        <f ca="1">IF(OR(Z7="",Z$28&lt;$A34),"",Z7/OFFSET(SSAutESP!$A$2,MATCH(Z$29,SSAutESP!$A$2:$A$500)+$A34-1,1)-1)</f>
        <v>1.1595218127606888E-3</v>
      </c>
      <c r="AA34" s="9">
        <f ca="1">IF(OR(AA7="",AA$28&lt;$A34),"",AA7/OFFSET(SSAutESP!$A$2,MATCH(AA$29,SSAutESP!$A$2:$A$500)+$A34-1,1)-1)</f>
        <v>1.2375107696647181E-3</v>
      </c>
      <c r="AB34" s="9">
        <f ca="1">IF(OR(AB7="",AB$28&lt;$A34),"",AB7/OFFSET(SSAutESP!$A$2,MATCH(AB$29,SSAutESP!$A$2:$A$500)+$A34-1,1)-1)</f>
        <v>1.8152327309859384E-3</v>
      </c>
      <c r="AC34" s="9">
        <f ca="1">IF(OR(AC7="",AC$28&lt;$A34),"",AC7/OFFSET(SSAutESP!$A$2,MATCH(AC$29,SSAutESP!$A$2:$A$500)+$A34-1,1)-1)</f>
        <v>1.6193420567445216E-4</v>
      </c>
      <c r="AD34" s="9">
        <f ca="1">IF(OR(AD7="",AD$28&lt;$A34),"",AD7/OFFSET(SSAutESP!$A$2,MATCH(AD$29,SSAutESP!$A$2:$A$500)+$A34-1,1)-1)</f>
        <v>-3.1358199385100871E-4</v>
      </c>
      <c r="AE34" s="9">
        <f ca="1">IF(OR(AE7="",AE$28&lt;$A34),"",AE7/OFFSET(SSAutESP!$A$2,MATCH(AE$29,SSAutESP!$A$2:$A$500)+$A34-1,1)-1)</f>
        <v>4.3378981874098166E-4</v>
      </c>
      <c r="AF34" s="9">
        <f ca="1">IF(OR(AF7="",AF$28&lt;$A34),"",AF7/OFFSET(SSAutESP!$A$2,MATCH(AF$29,SSAutESP!$A$2:$A$500)+$A34-1,1)-1)</f>
        <v>-1.028760943485918E-3</v>
      </c>
      <c r="AG34" s="9">
        <f ca="1">IF(OR(AG7="",AG$28&lt;$A34),"",AG7/OFFSET(SSAutESP!$A$2,MATCH(AG$29,SSAutESP!$A$2:$A$500)+$A34-1,1)-1)</f>
        <v>-2.8486282136478414E-3</v>
      </c>
      <c r="AH34" s="9">
        <f ca="1">IF(OR(AH7="",AH$28&lt;$A34),"",AH7/OFFSET(SSAutESP!$A$2,MATCH(AH$29,SSAutESP!$A$2:$A$500)+$A34-1,1)-1)</f>
        <v>-4.9128310720144563E-3</v>
      </c>
      <c r="AI34" s="9">
        <f ca="1">IF(OR(AI7="",AI$28&lt;$A34),"",AI7/OFFSET(SSAutESP!$A$2,MATCH(AI$29,SSAutESP!$A$2:$A$500)+$A34-1,1)-1)</f>
        <v>-4.2676397415940537E-3</v>
      </c>
      <c r="AJ34" s="9">
        <f ca="1">IF(OR(AJ7="",AJ$28&lt;$A34),"",AJ7/OFFSET(SSAutESP!$A$2,MATCH(AJ$29,SSAutESP!$A$2:$A$500)+$A34-1,1)-1)</f>
        <v>-3.7035871679883536E-3</v>
      </c>
      <c r="AK34" s="9">
        <f ca="1">IF(OR(AK7="",AK$28&lt;$A34),"",AK7/OFFSET(SSAutESP!$A$2,MATCH(AK$29,SSAutESP!$A$2:$A$500)+$A34-1,1)-1)</f>
        <v>-4.3388582606010972E-3</v>
      </c>
      <c r="AL34" s="9">
        <f ca="1">IF(OR(AL7="",AL$28&lt;$A34),"",AL7/OFFSET(SSAutESP!$A$2,MATCH(AL$29,SSAutESP!$A$2:$A$500)+$A34-1,1)-1)</f>
        <v>-3.5002494059075406E-3</v>
      </c>
      <c r="AM34" s="9">
        <f ca="1">IF(OR(AM7="",AM$28&lt;$A34),"",AM7/OFFSET(SSAutESP!$A$2,MATCH(AM$29,SSAutESP!$A$2:$A$500)+$A34-1,1)-1)</f>
        <v>-2.5292543182995342E-3</v>
      </c>
      <c r="AN34" s="9">
        <f ca="1">IF(OR(AN7="",AN$28&lt;$A34),"",AN7/OFFSET(SSAutESP!$A$2,MATCH(AN$29,SSAutESP!$A$2:$A$500)+$A34-1,1)-1)</f>
        <v>-1.8143176737148714E-3</v>
      </c>
      <c r="AO34" s="9">
        <f ca="1">IF(OR(AO7="",AO$28&lt;$A34),"",AO7/OFFSET(SSAutESP!$A$2,MATCH(AO$29,SSAutESP!$A$2:$A$500)+$A34-1,1)-1)</f>
        <v>3.2360298521827424E-4</v>
      </c>
      <c r="AP34" s="9">
        <f ca="1">IF(OR(AP7="",AP$28&lt;$A34),"",AP7/OFFSET(SSAutESP!$A$2,MATCH(AP$29,SSAutESP!$A$2:$A$500)+$A34-1,1)-1)</f>
        <v>-3.2682620755841718E-4</v>
      </c>
      <c r="AQ34" s="9">
        <f ca="1">IF(OR(AQ7="",AQ$28&lt;$A34),"",AQ7/OFFSET(SSAutESP!$A$2,MATCH(AQ$29,SSAutESP!$A$2:$A$500)+$A34-1,1)-1)</f>
        <v>-5.7483123626722588E-4</v>
      </c>
      <c r="AR34" s="9">
        <f ca="1">IF(OR(AR7="",AR$28&lt;$A34),"",AR7/OFFSET(SSAutESP!$A$2,MATCH(AR$29,SSAutESP!$A$2:$A$500)+$A34-1,1)-1)</f>
        <v>1.3455687324430698E-3</v>
      </c>
      <c r="AS34" s="9">
        <f ca="1">IF(OR(AS7="",AS$28&lt;$A34),"",AS7/OFFSET(SSAutESP!$A$2,MATCH(AS$29,SSAutESP!$A$2:$A$500)+$A34-1,1)-1)</f>
        <v>2.7087240010181812E-3</v>
      </c>
      <c r="AT34" s="9">
        <f ca="1">IF(OR(AT7="",AT$28&lt;$A34),"",AT7/OFFSET(SSAutESP!$A$2,MATCH(AT$29,SSAutESP!$A$2:$A$500)+$A34-1,1)-1)</f>
        <v>8.6516111535295259E-4</v>
      </c>
      <c r="AU34" s="9">
        <f ca="1">IF(OR(AU7="",AU$28&lt;$A34),"",AU7/OFFSET(SSAutESP!$A$2,MATCH(AU$29,SSAutESP!$A$2:$A$500)+$A34-1,1)-1)</f>
        <v>6.0007956918219918E-3</v>
      </c>
      <c r="AV34" s="9">
        <f ca="1">IF(OR(AV7="",AV$28&lt;$A34),"",AV7/OFFSET(SSAutESP!$A$2,MATCH(AV$29,SSAutESP!$A$2:$A$500)+$A34-1,1)-1)</f>
        <v>8.4674114813787504E-3</v>
      </c>
      <c r="AW34" s="9">
        <f ca="1">IF(OR(AW7="",AW$28&lt;$A34),"",AW7/OFFSET(SSAutESP!$A$2,MATCH(AW$29,SSAutESP!$A$2:$A$500)+$A34-1,1)-1)</f>
        <v>1.0946737034531306E-2</v>
      </c>
      <c r="AX34" s="9">
        <f ca="1">IF(OR(AX7="",AX$28&lt;$A34),"",AX7/OFFSET(SSAutESP!$A$2,MATCH(AX$29,SSAutESP!$A$2:$A$500)+$A34-1,1)-1)</f>
        <v>1.3256620476760572E-2</v>
      </c>
      <c r="AY34" s="9">
        <f ca="1">IF(OR(AY7="",AY$28&lt;$A34),"",AY7/OFFSET(SSAutESP!$A$2,MATCH(AY$29,SSAutESP!$A$2:$A$500)+$A34-1,1)-1)</f>
        <v>1.5704897213327573E-2</v>
      </c>
      <c r="AZ34" s="9">
        <f ca="1">IF(OR(AZ7="",AZ$28&lt;$A34),"",AZ7/OFFSET(SSAutESP!$A$2,MATCH(AZ$29,SSAutESP!$A$2:$A$500)+$A34-1,1)-1)</f>
        <v>1.7741161869161859E-2</v>
      </c>
      <c r="BA34" s="9">
        <f ca="1">IF(OR(BA7="",BA$28&lt;$A34),"",BA7/OFFSET(SSAutESP!$A$2,MATCH(BA$29,SSAutESP!$A$2:$A$500)+$A34-1,1)-1)</f>
        <v>1.6292576507426437E-2</v>
      </c>
      <c r="BB34" s="9">
        <f ca="1">IF(OR(BB7="",BB$28&lt;$A34),"",BB7/OFFSET(SSAutESP!$A$2,MATCH(BB$29,SSAutESP!$A$2:$A$500)+$A34-1,1)-1)</f>
        <v>1.1603279871465366E-2</v>
      </c>
      <c r="BC34" s="9">
        <f ca="1">IF(OR(BC7="",BC$28&lt;$A34),"",BC7/OFFSET(SSAutESP!$A$2,MATCH(BC$29,SSAutESP!$A$2:$A$500)+$A34-1,1)-1)</f>
        <v>3.1396926557218929E-3</v>
      </c>
      <c r="BD34" s="9">
        <f ca="1">IF(OR(BD7="",BD$28&lt;$A34),"",BD7/OFFSET(SSAutESP!$A$2,MATCH(BD$29,SSAutESP!$A$2:$A$500)+$A34-1,1)-1)</f>
        <v>8.286350334235193E-3</v>
      </c>
      <c r="BE34" s="9">
        <f ca="1">IF(OR(BE7="",BE$28&lt;$A34),"",BE7/OFFSET(SSAutESP!$A$2,MATCH(BE$29,SSAutESP!$A$2:$A$500)+$A34-1,1)-1)</f>
        <v>6.7965846130941809E-3</v>
      </c>
      <c r="BF34" s="9">
        <f ca="1">IF(OR(BF7="",BF$28&lt;$A34),"",BF7/OFFSET(SSAutESP!$A$2,MATCH(BF$29,SSAutESP!$A$2:$A$500)+$A34-1,1)-1)</f>
        <v>9.074072163799185E-3</v>
      </c>
      <c r="BG34" s="9">
        <f ca="1">IF(OR(BG7="",BG$28&lt;$A34),"",BG7/OFFSET(SSAutESP!$A$2,MATCH(BG$29,SSAutESP!$A$2:$A$500)+$A34-1,1)-1)</f>
        <v>1.7712888932082116E-2</v>
      </c>
      <c r="BH34" s="9">
        <f ca="1">IF(OR(BH7="",BH$28&lt;$A34),"",BH7/OFFSET(SSAutESP!$A$2,MATCH(BH$29,SSAutESP!$A$2:$A$500)+$A34-1,1)-1)</f>
        <v>1.4722230808525083E-2</v>
      </c>
      <c r="BI34" s="9">
        <f ca="1">IF(OR(BI7="",BI$28&lt;$A34),"",BI7/OFFSET(SSAutESP!$A$2,MATCH(BI$29,SSAutESP!$A$2:$A$500)+$A34-1,1)-1)</f>
        <v>1.1709428445239478E-2</v>
      </c>
      <c r="BJ34" s="9">
        <f ca="1">IF(OR(BJ7="",BJ$28&lt;$A34),"",BJ7/OFFSET(SSAutESP!$A$2,MATCH(BJ$29,SSAutESP!$A$2:$A$500)+$A34-1,1)-1)</f>
        <v>1.1775166418086513E-2</v>
      </c>
      <c r="BK34" s="9">
        <f ca="1">IF(OR(BK7="",BK$28&lt;$A34),"",BK7/OFFSET(SSAutESP!$A$2,MATCH(BK$29,SSAutESP!$A$2:$A$500)+$A34-1,1)-1)</f>
        <v>-5.2018138877696352E-3</v>
      </c>
      <c r="BL34" s="9">
        <f ca="1">IF(OR(BL7="",BL$28&lt;$A34),"",BL7/OFFSET(SSAutESP!$A$2,MATCH(BL$29,SSAutESP!$A$2:$A$500)+$A34-1,1)-1)</f>
        <v>-1.6054827039156394E-2</v>
      </c>
      <c r="BM34" s="9">
        <f ca="1">IF(OR(BM7="",BM$28&lt;$A34),"",BM7/OFFSET(SSAutESP!$A$2,MATCH(BM$29,SSAutESP!$A$2:$A$500)+$A34-1,1)-1)</f>
        <v>-1.6448074792961953E-2</v>
      </c>
      <c r="BN34" s="9">
        <f ca="1">IF(OR(BN7="",BN$28&lt;$A34),"",BN7/OFFSET(SSAutESP!$A$2,MATCH(BN$29,SSAutESP!$A$2:$A$500)+$A34-1,1)-1)</f>
        <v>-1.2986023014625592E-2</v>
      </c>
      <c r="BO34" s="9">
        <f ca="1">IF(OR(BO7="",BO$28&lt;$A34),"",BO7/OFFSET(SSAutESP!$A$2,MATCH(BO$29,SSAutESP!$A$2:$A$500)+$A34-1,1)-1)</f>
        <v>-9.0034105551739518E-3</v>
      </c>
      <c r="BP34" s="9">
        <f ca="1">IF(OR(BP7="",BP$28&lt;$A34),"",BP7/OFFSET(SSAutESP!$A$2,MATCH(BP$29,SSAutESP!$A$2:$A$500)+$A34-1,1)-1)</f>
        <v>-7.7687813272814266E-3</v>
      </c>
      <c r="BQ34" s="9">
        <f ca="1">IF(OR(BQ7="",BQ$28&lt;$A34),"",BQ7/OFFSET(SSAutESP!$A$2,MATCH(BQ$29,SSAutESP!$A$2:$A$500)+$A34-1,1)-1)</f>
        <v>-1.1410475842309364E-2</v>
      </c>
      <c r="BR34" s="9">
        <f ca="1">IF(OR(BR7="",BR$28&lt;$A34),"",BR7/OFFSET(SSAutESP!$A$2,MATCH(BR$29,SSAutESP!$A$2:$A$500)+$A34-1,1)-1)</f>
        <v>-6.7910804497857136E-3</v>
      </c>
      <c r="BS34" s="9">
        <f ca="1">IF(OR(BS7="",BS$28&lt;$A34),"",BS7/OFFSET(SSAutESP!$A$2,MATCH(BS$29,SSAutESP!$A$2:$A$500)+$A34-1,1)-1)</f>
        <v>8.8670159754000721E-4</v>
      </c>
      <c r="BT34" s="9">
        <f ca="1">IF(OR(BT7="",BT$28&lt;$A34),"",BT7/OFFSET(SSAutESP!$A$2,MATCH(BT$29,SSAutESP!$A$2:$A$500)+$A34-1,1)-1)</f>
        <v>-4.6759780888635527E-3</v>
      </c>
      <c r="BU34" s="9">
        <f ca="1">IF(OR(BU7="",BU$28&lt;$A34),"",BU7/OFFSET(SSAutESP!$A$2,MATCH(BU$29,SSAutESP!$A$2:$A$500)+$A34-1,1)-1)</f>
        <v>-6.404485613470845E-3</v>
      </c>
      <c r="BV34" s="9">
        <f ca="1">IF(OR(BV7="",BV$28&lt;$A34),"",BV7/OFFSET(SSAutESP!$A$2,MATCH(BV$29,SSAutESP!$A$2:$A$500)+$A34-1,1)-1)</f>
        <v>-4.6231721612089993E-3</v>
      </c>
      <c r="BW34" s="9">
        <f ca="1">IF(OR(BW7="",BW$28&lt;$A34),"",BW7/OFFSET(SSAutESP!$A$2,MATCH(BW$29,SSAutESP!$A$2:$A$500)+$A34-1,1)-1)</f>
        <v>1.2905070480573322E-3</v>
      </c>
      <c r="BX34" s="9">
        <f ca="1">IF(OR(BX7="",BX$28&lt;$A34),"",BX7/OFFSET(SSAutESP!$A$2,MATCH(BX$29,SSAutESP!$A$2:$A$500)+$A34-1,1)-1)</f>
        <v>-7.1941318711612467E-3</v>
      </c>
      <c r="BY34" s="9">
        <f ca="1">IF(OR(BY7="",BY$28&lt;$A34),"",BY7/OFFSET(SSAutESP!$A$2,MATCH(BY$29,SSAutESP!$A$2:$A$500)+$A34-1,1)-1)</f>
        <v>-3.2039250869314584E-3</v>
      </c>
      <c r="BZ34" s="9">
        <f ca="1">IF(OR(BZ7="",BZ$28&lt;$A34),"",BZ7/OFFSET(SSAutESP!$A$2,MATCH(BZ$29,SSAutESP!$A$2:$A$500)+$A34-1,1)-1)</f>
        <v>-1.994242600278695E-3</v>
      </c>
      <c r="CA34" s="9">
        <f ca="1">IF(OR(CA7="",CA$28&lt;$A34),"",CA7/OFFSET(SSAutESP!$A$2,MATCH(CA$29,SSAutESP!$A$2:$A$500)+$A34-1,1)-1)</f>
        <v>1.4040354549931244E-3</v>
      </c>
      <c r="CB34" s="9">
        <f ca="1">IF(OR(CB7="",CB$28&lt;$A34),"",CB7/OFFSET(SSAutESP!$A$2,MATCH(CB$29,SSAutESP!$A$2:$A$500)+$A34-1,1)-1)</f>
        <v>2.20139101835648E-3</v>
      </c>
      <c r="CC34" s="9">
        <f ca="1">IF(OR(CC7="",CC$28&lt;$A34),"",CC7/OFFSET(SSAutESP!$A$2,MATCH(CC$29,SSAutESP!$A$2:$A$500)+$A34-1,1)-1)</f>
        <v>8.2674387687364792E-4</v>
      </c>
      <c r="CD34" s="9">
        <f ca="1">IF(OR(CD7="",CD$28&lt;$A34),"",CD7/OFFSET(SSAutESP!$A$2,MATCH(CD$29,SSAutESP!$A$2:$A$500)+$A34-1,1)-1)</f>
        <v>-5.3226756615287751E-3</v>
      </c>
      <c r="CE34" s="9">
        <f ca="1">IF(OR(CE7="",CE$28&lt;$A34),"",CE7/OFFSET(SSAutESP!$A$2,MATCH(CE$29,SSAutESP!$A$2:$A$500)+$A34-1,1)-1)</f>
        <v>-5.2003454485205491E-4</v>
      </c>
      <c r="CF34" s="9">
        <f ca="1">IF(OR(CF7="",CF$28&lt;$A34),"",CF7/OFFSET(SSAutESP!$A$2,MATCH(CF$29,SSAutESP!$A$2:$A$500)+$A34-1,1)-1)</f>
        <v>-1.3927249638645556E-4</v>
      </c>
      <c r="CG34" s="9">
        <f ca="1">IF(OR(CG7="",CG$28&lt;$A34),"",CG7/OFFSET(SSAutESP!$A$2,MATCH(CG$29,SSAutESP!$A$2:$A$500)+$A34-1,1)-1)</f>
        <v>-1.5413128587244973E-3</v>
      </c>
      <c r="CH34" s="9">
        <f ca="1">IF(OR(CH7="",CH$28&lt;$A34),"",CH7/OFFSET(SSAutESP!$A$2,MATCH(CH$29,SSAutESP!$A$2:$A$500)+$A34-1,1)-1)</f>
        <v>-4.7875428185802926E-3</v>
      </c>
      <c r="CI34" s="9">
        <f ca="1">IF(OR(CI7="",CI$28&lt;$A34),"",CI7/OFFSET(SSAutESP!$A$2,MATCH(CI$29,SSAutESP!$A$2:$A$500)+$A34-1,1)-1)</f>
        <v>-1.1655506202157273E-3</v>
      </c>
      <c r="CJ34" s="9">
        <f ca="1">IF(OR(CJ7="",CJ$28&lt;$A34),"",CJ7/OFFSET(SSAutESP!$A$2,MATCH(CJ$29,SSAutESP!$A$2:$A$500)+$A34-1,1)-1)</f>
        <v>-4.6692948711921645E-3</v>
      </c>
      <c r="CK34" s="9">
        <f ca="1">IF(OR(CK7="",CK$28&lt;$A34),"",CK7/OFFSET(SSAutESP!$A$2,MATCH(CK$29,SSAutESP!$A$2:$A$500)+$A34-1,1)-1)</f>
        <v>3.671103190427738E-3</v>
      </c>
      <c r="CL34" s="9">
        <f ca="1">IF(OR(CL7="",CL$28&lt;$A34),"",CL7/OFFSET(SSAutESP!$A$2,MATCH(CL$29,SSAutESP!$A$2:$A$500)+$A34-1,1)-1)</f>
        <v>5.2189451649087282E-3</v>
      </c>
      <c r="CM34" s="9">
        <f ca="1">IF(OR(CM7="",CM$28&lt;$A34),"",CM7/OFFSET(SSAutESP!$A$2,MATCH(CM$29,SSAutESP!$A$2:$A$500)+$A34-1,1)-1)</f>
        <v>5.4659168133959213E-3</v>
      </c>
      <c r="CN34" s="9">
        <f ca="1">IF(OR(CN7="",CN$28&lt;$A34),"",CN7/OFFSET(SSAutESP!$A$2,MATCH(CN$29,SSAutESP!$A$2:$A$500)+$A34-1,1)-1)</f>
        <v>1.3816109422979395E-3</v>
      </c>
      <c r="CO34" s="9">
        <f ca="1">IF(OR(CO7="",CO$28&lt;$A34),"",CO7/OFFSET(SSAutESP!$A$2,MATCH(CO$29,SSAutESP!$A$2:$A$500)+$A34-1,1)-1)</f>
        <v>1.1124725562172699E-3</v>
      </c>
      <c r="CP34" s="9">
        <f ca="1">IF(OR(CP7="",CP$28&lt;$A34),"",CP7/OFFSET(SSAutESP!$A$2,MATCH(CP$29,SSAutESP!$A$2:$A$500)+$A34-1,1)-1)</f>
        <v>4.4131128293740662E-3</v>
      </c>
      <c r="CQ34" s="9">
        <f ca="1">IF(OR(CQ7="",CQ$28&lt;$A34),"",CQ7/OFFSET(SSAutESP!$A$2,MATCH(CQ$29,SSAutESP!$A$2:$A$500)+$A34-1,1)-1)</f>
        <v>4.5160201114688991E-3</v>
      </c>
      <c r="CR34" s="9">
        <f ca="1">IF(OR(CR7="",CR$28&lt;$A34),"",CR7/OFFSET(SSAutESP!$A$2,MATCH(CR$29,SSAutESP!$A$2:$A$500)+$A34-1,1)-1)</f>
        <v>3.4028939961756599E-3</v>
      </c>
      <c r="CS34" s="9">
        <f ca="1">IF(OR(CS7="",CS$28&lt;$A34),"",CS7/OFFSET(SSAutESP!$A$2,MATCH(CS$29,SSAutESP!$A$2:$A$500)+$A34-1,1)-1)</f>
        <v>2.725597693387094E-5</v>
      </c>
      <c r="CT34" s="9">
        <f ca="1">IF(OR(CT7="",CT$28&lt;$A34),"",CT7/OFFSET(SSAutESP!$A$2,MATCH(CT$29,SSAutESP!$A$2:$A$500)+$A34-1,1)-1)</f>
        <v>-8.0073365888000403E-5</v>
      </c>
      <c r="CU34" s="9">
        <f ca="1">IF(OR(CU7="",CU$28&lt;$A34),"",CU7/OFFSET(SSAutESP!$A$2,MATCH(CU$29,SSAutESP!$A$2:$A$500)+$A34-1,1)-1)</f>
        <v>-1.0336622941175322E-2</v>
      </c>
      <c r="CV34" s="9">
        <f ca="1">IF(OR(CV7="",CV$28&lt;$A34),"",CV7/OFFSET(SSAutESP!$A$2,MATCH(CV$29,SSAutESP!$A$2:$A$500)+$A34-1,1)-1)</f>
        <v>-2.1256394336026663E-3</v>
      </c>
      <c r="CW34" s="9">
        <f ca="1">IF(OR(CW7="",CW$28&lt;$A34),"",CW7/OFFSET(SSAutESP!$A$2,MATCH(CW$29,SSAutESP!$A$2:$A$500)+$A34-1,1)-1)</f>
        <v>9.0394203920096672E-4</v>
      </c>
      <c r="CX34" s="9">
        <f ca="1">IF(OR(CX7="",CX$28&lt;$A34),"",CX7/OFFSET(SSAutESP!$A$2,MATCH(CX$29,SSAutESP!$A$2:$A$500)+$A34-1,1)-1)</f>
        <v>2.3166523936224426E-3</v>
      </c>
      <c r="CY34" s="9">
        <f ca="1">IF(OR(CY7="",CY$28&lt;$A34),"",CY7/OFFSET(SSAutESP!$A$2,MATCH(CY$29,SSAutESP!$A$2:$A$500)+$A34-1,1)-1)</f>
        <v>3.3769274141484118E-3</v>
      </c>
      <c r="CZ34" s="9">
        <f ca="1">IF(OR(CZ7="",CZ$28&lt;$A34),"",CZ7/OFFSET(SSAutESP!$A$2,MATCH(CZ$29,SSAutESP!$A$2:$A$500)+$A34-1,1)-1)</f>
        <v>4.6433214056633698E-3</v>
      </c>
      <c r="DA34" s="9">
        <f ca="1">IF(OR(DA7="",DA$28&lt;$A34),"",DA7/OFFSET(SSAutESP!$A$2,MATCH(DA$29,SSAutESP!$A$2:$A$500)+$A34-1,1)-1)</f>
        <v>3.6796067577218317E-3</v>
      </c>
      <c r="DB34" s="9">
        <f ca="1">IF(OR(DB7="",DB$28&lt;$A34),"",DB7/OFFSET(SSAutESP!$A$2,MATCH(DB$29,SSAutESP!$A$2:$A$500)+$A34-1,1)-1)</f>
        <v>-2.7137617818273618E-3</v>
      </c>
      <c r="DC34" s="9">
        <f ca="1">IF(OR(DC7="",DC$28&lt;$A34),"",DC7/OFFSET(SSAutESP!$A$2,MATCH(DC$29,SSAutESP!$A$2:$A$500)+$A34-1,1)-1)</f>
        <v>-1.3681036001017555E-3</v>
      </c>
      <c r="DD34" s="9">
        <f ca="1">IF(OR(DD7="",DD$28&lt;$A34),"",DD7/OFFSET(SSAutESP!$A$2,MATCH(DD$29,SSAutESP!$A$2:$A$500)+$A34-1,1)-1)</f>
        <v>-4.8397178790704487E-4</v>
      </c>
      <c r="DE34" s="9">
        <f ca="1">IF(OR(DE7="",DE$28&lt;$A34),"",DE7/OFFSET(SSAutESP!$A$2,MATCH(DE$29,SSAutESP!$A$2:$A$500)+$A34-1,1)-1)</f>
        <v>-5.2163389112657166E-3</v>
      </c>
      <c r="DF34" s="9">
        <f ca="1">IF(OR(DF7="",DF$28&lt;$A34),"",DF7/OFFSET(SSAutESP!$A$2,MATCH(DF$29,SSAutESP!$A$2:$A$500)+$A34-1,1)-1)</f>
        <v>-2.4809367540280514E-3</v>
      </c>
      <c r="DG34" s="9">
        <f ca="1">IF(OR(DG7="",DG$28&lt;$A34),"",DG7/OFFSET(SSAutESP!$A$2,MATCH(DG$29,SSAutESP!$A$2:$A$500)+$A34-1,1)-1)</f>
        <v>-6.645472909393324E-3</v>
      </c>
      <c r="DH34" s="9">
        <f ca="1">IF(OR(DH7="",DH$28&lt;$A34),"",DH7/OFFSET(SSAutESP!$A$2,MATCH(DH$29,SSAutESP!$A$2:$A$500)+$A34-1,1)-1)</f>
        <v>-1.2956982251965843E-2</v>
      </c>
      <c r="DI34" s="9">
        <f ca="1">IF(OR(DI7="",DI$28&lt;$A34),"",DI7/OFFSET(SSAutESP!$A$2,MATCH(DI$29,SSAutESP!$A$2:$A$500)+$A34-1,1)-1)</f>
        <v>-8.2274721392257E-3</v>
      </c>
      <c r="DJ34" s="9">
        <f ca="1">IF(OR(DJ7="",DJ$28&lt;$A34),"",DJ7/OFFSET(SSAutESP!$A$2,MATCH(DJ$29,SSAutESP!$A$2:$A$500)+$A34-1,1)-1)</f>
        <v>-2.0245271865452219E-3</v>
      </c>
      <c r="DK34" s="9">
        <f ca="1">IF(OR(DK7="",DK$28&lt;$A34),"",DK7/OFFSET(SSAutESP!$A$2,MATCH(DK$29,SSAutESP!$A$2:$A$500)+$A34-1,1)-1)</f>
        <v>-1.3996543622530888E-3</v>
      </c>
      <c r="DL34" s="9">
        <f ca="1">IF(OR(DL7="",DL$28&lt;$A34),"",DL7/OFFSET(SSAutESP!$A$2,MATCH(DL$29,SSAutESP!$A$2:$A$500)+$A34-1,1)-1)</f>
        <v>1.0907973326994558E-3</v>
      </c>
      <c r="DM34" s="9">
        <f ca="1">IF(OR(DM7="",DM$28&lt;$A34),"",DM7/OFFSET(SSAutESP!$A$2,MATCH(DM$29,SSAutESP!$A$2:$A$500)+$A34-1,1)-1)</f>
        <v>1.474637764409259E-5</v>
      </c>
      <c r="DN34" s="9">
        <f ca="1">IF(OR(DN7="",DN$28&lt;$A34),"",DN7/OFFSET(SSAutESP!$A$2,MATCH(DN$29,SSAutESP!$A$2:$A$500)+$A34-1,1)-1)</f>
        <v>-1.021403899621065E-2</v>
      </c>
      <c r="DO34" s="9">
        <f ca="1">IF(OR(DO7="",DO$28&lt;$A34),"",DO7/OFFSET(SSAutESP!$A$2,MATCH(DO$29,SSAutESP!$A$2:$A$500)+$A34-1,1)-1)</f>
        <v>-9.011379969931177E-3</v>
      </c>
      <c r="DP34" s="9">
        <f ca="1">IF(OR(DP7="",DP$28&lt;$A34),"",DP7/OFFSET(SSAutESP!$A$2,MATCH(DP$29,SSAutESP!$A$2:$A$500)+$A34-1,1)-1)</f>
        <v>-7.322508202992406E-3</v>
      </c>
      <c r="DQ34" s="9">
        <f ca="1">IF(OR(DQ7="",DQ$28&lt;$A34),"",DQ7/OFFSET(SSAutESP!$A$2,MATCH(DQ$29,SSAutESP!$A$2:$A$500)+$A34-1,1)-1)</f>
        <v>-3.9111123810013915E-3</v>
      </c>
      <c r="DR34" s="9">
        <f ca="1">IF(OR(DR7="",DR$28&lt;$A34),"",DR7/OFFSET(SSAutESP!$A$2,MATCH(DR$29,SSAutESP!$A$2:$A$500)+$A34-1,1)-1)</f>
        <v>2.3311270239556592E-4</v>
      </c>
      <c r="DS34" s="9">
        <f ca="1">IF(OR(DS7="",DS$28&lt;$A34),"",DS7/OFFSET(SSAutESP!$A$2,MATCH(DS$29,SSAutESP!$A$2:$A$500)+$A34-1,1)-1)</f>
        <v>-8.3717331087570512E-3</v>
      </c>
      <c r="DT34" s="9">
        <f ca="1">IF(OR(DT7="",DT$28&lt;$A34),"",DT7/OFFSET(SSAutESP!$A$2,MATCH(DT$29,SSAutESP!$A$2:$A$500)+$A34-1,1)-1)</f>
        <v>-5.0823371982433585E-3</v>
      </c>
      <c r="DU34" s="9">
        <f ca="1">IF(OR(DU7="",DU$28&lt;$A34),"",DU7/OFFSET(SSAutESP!$A$2,MATCH(DU$29,SSAutESP!$A$2:$A$500)+$A34-1,1)-1)</f>
        <v>-3.5435082836132725E-4</v>
      </c>
      <c r="DV34" s="9">
        <f ca="1">IF(OR(DV7="",DV$28&lt;$A34),"",DV7/OFFSET(SSAutESP!$A$2,MATCH(DV$29,SSAutESP!$A$2:$A$500)+$A34-1,1)-1)</f>
        <v>6.7029291513300837E-3</v>
      </c>
      <c r="DW34" s="9">
        <f ca="1">IF(OR(DW7="",DW$28&lt;$A34),"",DW7/OFFSET(SSAutESP!$A$2,MATCH(DW$29,SSAutESP!$A$2:$A$500)+$A34-1,1)-1)</f>
        <v>7.8442261305460281E-3</v>
      </c>
      <c r="DX34" s="9">
        <f ca="1">IF(OR(DX7="",DX$28&lt;$A34),"",DX7/OFFSET(SSAutESP!$A$2,MATCH(DX$29,SSAutESP!$A$2:$A$500)+$A34-1,1)-1)</f>
        <v>5.0390957026358318E-3</v>
      </c>
      <c r="DY34" s="9">
        <f ca="1">IF(OR(DY7="",DY$28&lt;$A34),"",DY7/OFFSET(SSAutESP!$A$2,MATCH(DY$29,SSAutESP!$A$2:$A$500)+$A34-1,1)-1)</f>
        <v>1.3995463411409226E-3</v>
      </c>
      <c r="DZ34" s="9">
        <f ca="1">IF(OR(DZ7="",DZ$28&lt;$A34),"",DZ7/OFFSET(SSAutESP!$A$2,MATCH(DZ$29,SSAutESP!$A$2:$A$500)+$A34-1,1)-1)</f>
        <v>-2.9518113609948715E-3</v>
      </c>
      <c r="EA34" s="9">
        <f ca="1">IF(OR(EA7="",EA$28&lt;$A34),"",EA7/OFFSET(SSAutESP!$A$2,MATCH(EA$29,SSAutESP!$A$2:$A$500)+$A34-1,1)-1)</f>
        <v>7.9739692578373322E-4</v>
      </c>
      <c r="EB34" s="9">
        <f ca="1">IF(OR(EB7="",EB$28&lt;$A34),"",EB7/OFFSET(SSAutESP!$A$2,MATCH(EB$29,SSAutESP!$A$2:$A$500)+$A34-1,1)-1)</f>
        <v>7.9537508422133918E-4</v>
      </c>
      <c r="EC34" s="9">
        <f ca="1">IF(OR(EC7="",EC$28&lt;$A34),"",EC7/OFFSET(SSAutESP!$A$2,MATCH(EC$29,SSAutESP!$A$2:$A$500)+$A34-1,1)-1)</f>
        <v>-2.3396197287406384E-3</v>
      </c>
      <c r="ED34" s="9">
        <f ca="1">IF(OR(ED7="",ED$28&lt;$A34),"",ED7/OFFSET(SSAutESP!$A$2,MATCH(ED$29,SSAutESP!$A$2:$A$500)+$A34-1,1)-1)</f>
        <v>-5.4771472239312224E-5</v>
      </c>
      <c r="EE34" s="9">
        <f ca="1">IF(OR(EE7="",EE$28&lt;$A34),"",EE7/OFFSET(SSAutESP!$A$2,MATCH(EE$29,SSAutESP!$A$2:$A$500)+$A34-1,1)-1)</f>
        <v>-4.9440564923243224E-3</v>
      </c>
      <c r="EF34" s="9">
        <f ca="1">IF(OR(EF7="",EF$28&lt;$A34),"",EF7/OFFSET(SSAutESP!$A$2,MATCH(EF$29,SSAutESP!$A$2:$A$500)+$A34-1,1)-1)</f>
        <v>-5.8875739953490047E-4</v>
      </c>
      <c r="EG34" s="9">
        <f ca="1">IF(OR(EG7="",EG$28&lt;$A34),"",EG7/OFFSET(SSAutESP!$A$2,MATCH(EG$29,SSAutESP!$A$2:$A$500)+$A34-1,1)-1)</f>
        <v>5.1849011900655384E-3</v>
      </c>
      <c r="EH34" s="9">
        <f ca="1">IF(OR(EH7="",EH$28&lt;$A34),"",EH7/OFFSET(SSAutESP!$A$2,MATCH(EH$29,SSAutESP!$A$2:$A$500)+$A34-1,1)-1)</f>
        <v>7.6987305606144307E-3</v>
      </c>
      <c r="EI34" s="9">
        <f ca="1">IF(OR(EI7="",EI$28&lt;$A34),"",EI7/OFFSET(SSAutESP!$A$2,MATCH(EI$29,SSAutESP!$A$2:$A$500)+$A34-1,1)-1)</f>
        <v>7.0271162962407541E-3</v>
      </c>
      <c r="EJ34" s="9">
        <f ca="1">IF(OR(EJ7="",EJ$28&lt;$A34),"",EJ7/OFFSET(SSAutESP!$A$2,MATCH(EJ$29,SSAutESP!$A$2:$A$500)+$A34-1,1)-1)</f>
        <v>6.0623036717351031E-3</v>
      </c>
      <c r="EK34" s="9">
        <f ca="1">IF(OR(EK7="",EK$28&lt;$A34),"",EK7/OFFSET(SSAutESP!$A$2,MATCH(EK$29,SSAutESP!$A$2:$A$500)+$A34-1,1)-1)</f>
        <v>-8.0575046485586999E-4</v>
      </c>
      <c r="EL34" s="9">
        <f ca="1">IF(OR(EL7="",EL$28&lt;$A34),"",EL7/OFFSET(SSAutESP!$A$2,MATCH(EL$29,SSAutESP!$A$2:$A$500)+$A34-1,1)-1)</f>
        <v>-5.9640995433141164E-4</v>
      </c>
      <c r="EM34" s="9">
        <f ca="1">IF(OR(EM7="",EM$28&lt;$A34),"",EM7/OFFSET(SSAutESP!$A$2,MATCH(EM$29,SSAutESP!$A$2:$A$500)+$A34-1,1)-1)</f>
        <v>-6.1333797539608881E-4</v>
      </c>
      <c r="EN34" s="9">
        <f ca="1">IF(OR(EN7="",EN$28&lt;$A34),"",EN7/OFFSET(SSAutESP!$A$2,MATCH(EN$29,SSAutESP!$A$2:$A$500)+$A34-1,1)-1)</f>
        <v>-2.5346579222527144E-3</v>
      </c>
      <c r="EO34" s="9">
        <f ca="1">IF(OR(EO7="",EO$28&lt;$A34),"",EO7/OFFSET(SSAutESP!$A$2,MATCH(EO$29,SSAutESP!$A$2:$A$500)+$A34-1,1)-1)</f>
        <v>8.525336902696079E-4</v>
      </c>
      <c r="EP34" s="9">
        <f ca="1">IF(OR(EP7="",EP$28&lt;$A34),"",EP7/OFFSET(SSAutESP!$A$2,MATCH(EP$29,SSAutESP!$A$2:$A$500)+$A34-1,1)-1)</f>
        <v>-1.2172830923953271E-3</v>
      </c>
      <c r="EQ34" s="9">
        <f ca="1">IF(OR(EQ7="",EQ$28&lt;$A34),"",EQ7/OFFSET(SSAutESP!$A$2,MATCH(EQ$29,SSAutESP!$A$2:$A$500)+$A34-1,1)-1)</f>
        <v>-8.1906770941783114E-3</v>
      </c>
      <c r="ER34" s="9">
        <f ca="1">IF(OR(ER7="",ER$28&lt;$A34),"",ER7/OFFSET(SSAutESP!$A$2,MATCH(ER$29,SSAutESP!$A$2:$A$500)+$A34-1,1)-1)</f>
        <v>8.6105501228006531E-4</v>
      </c>
      <c r="ES34" s="9">
        <f ca="1">IF(OR(ES7="",ES$28&lt;$A34),"",ES7/OFFSET(SSAutESP!$A$2,MATCH(ES$29,SSAutESP!$A$2:$A$500)+$A34-1,1)-1)</f>
        <v>4.5589378461587948E-3</v>
      </c>
      <c r="ET34" s="9">
        <f ca="1">IF(OR(ET7="",ET$28&lt;$A34),"",ET7/OFFSET(SSAutESP!$A$2,MATCH(ET$29,SSAutESP!$A$2:$A$500)+$A34-1,1)-1)</f>
        <v>2.6520073097180408E-3</v>
      </c>
      <c r="EU34" s="9">
        <f ca="1">IF(OR(EU7="",EU$28&lt;$A34),"",EU7/OFFSET(SSAutESP!$A$2,MATCH(EU$29,SSAutESP!$A$2:$A$500)+$A34-1,1)-1)</f>
        <v>2.0803040532753059E-3</v>
      </c>
      <c r="EV34" s="9">
        <f ca="1">IF(OR(EV7="",EV$28&lt;$A34),"",EV7/OFFSET(SSAutESP!$A$2,MATCH(EV$29,SSAutESP!$A$2:$A$500)+$A34-1,1)-1)</f>
        <v>1.6505852254584674E-3</v>
      </c>
      <c r="EW34" s="9">
        <f ca="1">IF(OR(EW7="",EW$28&lt;$A34),"",EW7/OFFSET(SSAutESP!$A$2,MATCH(EW$29,SSAutESP!$A$2:$A$500)+$A34-1,1)-1)</f>
        <v>-2.7097953330819102E-3</v>
      </c>
      <c r="EX34" s="9">
        <f ca="1">IF(OR(EX7="",EX$28&lt;$A34),"",EX7/OFFSET(SSAutESP!$A$2,MATCH(EX$29,SSAutESP!$A$2:$A$500)+$A34-1,1)-1)</f>
        <v>-1.2434046583830183E-3</v>
      </c>
      <c r="EY34" s="9">
        <f ca="1">IF(OR(EY7="",EY$28&lt;$A34),"",EY7/OFFSET(SSAutESP!$A$2,MATCH(EY$29,SSAutESP!$A$2:$A$500)+$A34-1,1)-1)</f>
        <v>-1.5854735072013959E-3</v>
      </c>
      <c r="EZ34" s="9">
        <f ca="1">IF(OR(EZ7="",EZ$28&lt;$A34),"",EZ7/OFFSET(SSAutESP!$A$2,MATCH(EZ$29,SSAutESP!$A$2:$A$500)+$A34-1,1)-1)</f>
        <v>-6.0760133851156528E-4</v>
      </c>
      <c r="FA34" s="9">
        <f ca="1">IF(OR(FA7="",FA$28&lt;$A34),"",FA7/OFFSET(SSAutESP!$A$2,MATCH(FA$29,SSAutESP!$A$2:$A$500)+$A34-1,1)-1)</f>
        <v>-1.7145159963606327E-3</v>
      </c>
      <c r="FB34" s="9">
        <f ca="1">IF(OR(FB7="",FB$28&lt;$A34),"",FB7/OFFSET(SSAutESP!$A$2,MATCH(FB$29,SSAutESP!$A$2:$A$500)+$A34-1,1)-1)</f>
        <v>-3.8254320474815362E-3</v>
      </c>
      <c r="FC34" s="9">
        <f ca="1">IF(OR(FC7="",FC$28&lt;$A34),"",FC7/OFFSET(SSAutESP!$A$2,MATCH(FC$29,SSAutESP!$A$2:$A$500)+$A34-1,1)-1)</f>
        <v>-6.3297643191192465E-3</v>
      </c>
      <c r="FD34" s="9">
        <f ca="1">IF(OR(FD7="",FD$28&lt;$A34),"",FD7/OFFSET(SSAutESP!$A$2,MATCH(FD$29,SSAutESP!$A$2:$A$500)+$A34-1,1)-1)</f>
        <v>3.1541071630172279E-3</v>
      </c>
      <c r="FE34" s="9">
        <f ca="1">IF(OR(FE7="",FE$28&lt;$A34),"",FE7/OFFSET(SSAutESP!$A$2,MATCH(FE$29,SSAutESP!$A$2:$A$500)+$A34-1,1)-1)</f>
        <v>3.0057570462116434E-3</v>
      </c>
      <c r="FF34" s="9">
        <f ca="1">IF(OR(FF7="",FF$28&lt;$A34),"",FF7/OFFSET(SSAutESP!$A$2,MATCH(FF$29,SSAutESP!$A$2:$A$500)+$A34-1,1)-1)</f>
        <v>4.500596994924555E-3</v>
      </c>
      <c r="FG34" s="9">
        <f ca="1">IF(OR(FG7="",FG$28&lt;$A34),"",FG7/OFFSET(SSAutESP!$A$2,MATCH(FG$29,SSAutESP!$A$2:$A$500)+$A34-1,1)-1)</f>
        <v>4.5150022352884456E-3</v>
      </c>
      <c r="FH34" s="9">
        <f ca="1">IF(OR(FH7="",FH$28&lt;$A34),"",FH7/OFFSET(SSAutESP!$A$2,MATCH(FH$29,SSAutESP!$A$2:$A$500)+$A34-1,1)-1)</f>
        <v>3.6930569080595443E-3</v>
      </c>
      <c r="FI34" s="9">
        <f ca="1">IF(OR(FI7="",FI$28&lt;$A34),"",FI7/OFFSET(SSAutESP!$A$2,MATCH(FI$29,SSAutESP!$A$2:$A$500)+$A34-1,1)-1)</f>
        <v>-9.1763079698170547E-4</v>
      </c>
      <c r="FJ34" s="9">
        <f ca="1">IF(OR(FJ7="",FJ$28&lt;$A34),"",FJ7/OFFSET(SSAutESP!$A$2,MATCH(FJ$29,SSAutESP!$A$2:$A$500)+$A34-1,1)-1)</f>
        <v>-3.5243919677908631E-3</v>
      </c>
      <c r="FK34" s="9">
        <f ca="1">IF(OR(FK7="",FK$28&lt;$A34),"",FK7/OFFSET(SSAutESP!$A$2,MATCH(FK$29,SSAutESP!$A$2:$A$500)+$A34-1,1)-1)</f>
        <v>-8.2027187295874437E-4</v>
      </c>
      <c r="FL34" s="9">
        <f ca="1">IF(OR(FL7="",FL$28&lt;$A34),"",FL7/OFFSET(SSAutESP!$A$2,MATCH(FL$29,SSAutESP!$A$2:$A$500)+$A34-1,1)-1)</f>
        <v>-3.2914797122928219E-3</v>
      </c>
      <c r="FM34" s="9">
        <f ca="1">IF(OR(FM7="",FM$28&lt;$A34),"",FM7/OFFSET(SSAutESP!$A$2,MATCH(FM$29,SSAutESP!$A$2:$A$500)+$A34-1,1)-1)</f>
        <v>-1.0305380221136029E-2</v>
      </c>
      <c r="FN34" s="9">
        <f ca="1">IF(OR(FN7="",FN$28&lt;$A34),"",FN7/OFFSET(SSAutESP!$A$2,MATCH(FN$29,SSAutESP!$A$2:$A$500)+$A34-1,1)-1)</f>
        <v>-1.5591764325265878E-2</v>
      </c>
      <c r="FO34" s="9">
        <f ca="1">IF(OR(FO7="",FO$28&lt;$A34),"",FO7/OFFSET(SSAutESP!$A$2,MATCH(FO$29,SSAutESP!$A$2:$A$500)+$A34-1,1)-1)</f>
        <v>-1.4017679626234902E-2</v>
      </c>
      <c r="FP34" s="9">
        <f ca="1">IF(OR(FP7="",FP$28&lt;$A34),"",FP7/OFFSET(SSAutESP!$A$2,MATCH(FP$29,SSAutESP!$A$2:$A$500)+$A34-1,1)-1)</f>
        <v>2.3550539781684865E-3</v>
      </c>
      <c r="FQ34" s="9">
        <f ca="1">IF(OR(FQ7="",FQ$28&lt;$A34),"",FQ7/OFFSET(SSAutESP!$A$2,MATCH(FQ$29,SSAutESP!$A$2:$A$500)+$A34-1,1)-1)</f>
        <v>7.7860750246572241E-3</v>
      </c>
      <c r="FR34" s="9">
        <f ca="1">IF(OR(FR7="",FR$28&lt;$A34),"",FR7/OFFSET(SSAutESP!$A$2,MATCH(FR$29,SSAutESP!$A$2:$A$500)+$A34-1,1)-1)</f>
        <v>3.6421257732861534E-3</v>
      </c>
      <c r="FS34" s="9">
        <f ca="1">IF(OR(FS7="",FS$28&lt;$A34),"",FS7/OFFSET(SSAutESP!$A$2,MATCH(FS$29,SSAutESP!$A$2:$A$500)+$A34-1,1)-1)</f>
        <v>6.1648946254355685E-4</v>
      </c>
      <c r="FT34" s="9">
        <f ca="1">IF(OR(FT7="",FT$28&lt;$A34),"",FT7/OFFSET(SSAutESP!$A$2,MATCH(FT$29,SSAutESP!$A$2:$A$500)+$A34-1,1)-1)</f>
        <v>1.7281612614032937E-3</v>
      </c>
      <c r="FU34" s="9">
        <f ca="1">IF(OR(FU7="",FU$28&lt;$A34),"",FU7/OFFSET(SSAutESP!$A$2,MATCH(FU$29,SSAutESP!$A$2:$A$500)+$A34-1,1)-1)</f>
        <v>-8.5714982930018557E-4</v>
      </c>
      <c r="FV34" s="9">
        <f ca="1">IF(OR(FV7="",FV$28&lt;$A34),"",FV7/OFFSET(SSAutESP!$A$2,MATCH(FV$29,SSAutESP!$A$2:$A$500)+$A34-1,1)-1)</f>
        <v>-1.9911655743557466E-3</v>
      </c>
      <c r="FW34" s="9">
        <f ca="1">IF(OR(FW7="",FW$28&lt;$A34),"",FW7/OFFSET(SSAutESP!$A$2,MATCH(FW$29,SSAutESP!$A$2:$A$500)+$A34-1,1)-1)</f>
        <v>1.5213895230843377E-3</v>
      </c>
      <c r="FX34" s="9">
        <f ca="1">IF(OR(FX7="",FX$28&lt;$A34),"",FX7/OFFSET(SSAutESP!$A$2,MATCH(FX$29,SSAutESP!$A$2:$A$500)+$A34-1,1)-1)</f>
        <v>4.4997089022911219E-3</v>
      </c>
      <c r="FY34" s="9">
        <f ca="1">IF(OR(FY7="",FY$28&lt;$A34),"",FY7/OFFSET(SSAutESP!$A$2,MATCH(FY$29,SSAutESP!$A$2:$A$500)+$A34-1,1)-1)</f>
        <v>3.7966867266758797E-3</v>
      </c>
      <c r="FZ34" s="9">
        <f ca="1">IF(OR(FZ7="",FZ$28&lt;$A34),"",FZ7/OFFSET(SSAutESP!$A$2,MATCH(FZ$29,SSAutESP!$A$2:$A$500)+$A34-1,1)-1)</f>
        <v>8.1133487041114005E-3</v>
      </c>
      <c r="GA34" s="9">
        <f ca="1">IF(OR(GA7="",GA$28&lt;$A34),"",GA7/OFFSET(SSAutESP!$A$2,MATCH(GA$29,SSAutESP!$A$2:$A$500)+$A34-1,1)-1)</f>
        <v>-3.035043872748111E-3</v>
      </c>
      <c r="GB34" s="9">
        <f ca="1">IF(OR(GB7="",GB$28&lt;$A34),"",GB7/OFFSET(SSAutESP!$A$2,MATCH(GB$29,SSAutESP!$A$2:$A$500)+$A34-1,1)-1)</f>
        <v>7.7053714169084131E-4</v>
      </c>
      <c r="GC34" s="9">
        <f ca="1">IF(OR(GC7="",GC$28&lt;$A34),"",GC7/OFFSET(SSAutESP!$A$2,MATCH(GC$29,SSAutESP!$A$2:$A$500)+$A34-1,1)-1)</f>
        <v>2.0353292456722905E-3</v>
      </c>
      <c r="GD34" s="9">
        <f ca="1">IF(OR(GD7="",GD$28&lt;$A34),"",GD7/OFFSET(SSAutESP!$A$2,MATCH(GD$29,SSAutESP!$A$2:$A$500)+$A34-1,1)-1)</f>
        <v>-1.4869363004125224E-3</v>
      </c>
      <c r="GE34" s="9">
        <f ca="1">IF(OR(GE7="",GE$28&lt;$A34),"",GE7/OFFSET(SSAutESP!$A$2,MATCH(GE$29,SSAutESP!$A$2:$A$500)+$A34-1,1)-1)</f>
        <v>-3.1249213311281832E-3</v>
      </c>
      <c r="GF34" s="9">
        <f ca="1">IF(OR(GF7="",GF$28&lt;$A34),"",GF7/OFFSET(SSAutESP!$A$2,MATCH(GF$29,SSAutESP!$A$2:$A$500)+$A34-1,1)-1)</f>
        <v>-3.536115566410869E-3</v>
      </c>
      <c r="GG34" s="9">
        <f ca="1">IF(OR(GG7="",GG$28&lt;$A34),"",GG7/OFFSET(SSAutESP!$A$2,MATCH(GG$29,SSAutESP!$A$2:$A$500)+$A34-1,1)-1)</f>
        <v>-2.7851992456811026E-3</v>
      </c>
      <c r="GH34" s="9">
        <f ca="1">IF(OR(GH7="",GH$28&lt;$A34),"",GH7/OFFSET(SSAutESP!$A$2,MATCH(GH$29,SSAutESP!$A$2:$A$500)+$A34-1,1)-1)</f>
        <v>-4.0050059813477867E-3</v>
      </c>
      <c r="GI34" s="9">
        <f ca="1">IF(OR(GI7="",GI$28&lt;$A34),"",GI7/OFFSET(SSAutESP!$A$2,MATCH(GI$29,SSAutESP!$A$2:$A$500)+$A34-1,1)-1)</f>
        <v>9.5793063777716014E-5</v>
      </c>
      <c r="GJ34" s="9">
        <f ca="1">IF(OR(GJ7="",GJ$28&lt;$A34),"",GJ7/OFFSET(SSAutESP!$A$2,MATCH(GJ$29,SSAutESP!$A$2:$A$500)+$A34-1,1)-1)</f>
        <v>8.0321924771225017E-3</v>
      </c>
      <c r="GK34" s="9">
        <f ca="1">IF(OR(GK7="",GK$28&lt;$A34),"",GK7/OFFSET(SSAutESP!$A$2,MATCH(GK$29,SSAutESP!$A$2:$A$500)+$A34-1,1)-1)</f>
        <v>2.456868673053858E-2</v>
      </c>
      <c r="GL34" s="9">
        <f ca="1">IF(OR(GL7="",GL$28&lt;$A34),"",GL7/OFFSET(SSAutESP!$A$2,MATCH(GL$29,SSAutESP!$A$2:$A$500)+$A34-1,1)-1)</f>
        <v>2.3962353738594455E-2</v>
      </c>
      <c r="GM34" s="9">
        <f ca="1">IF(OR(GM7="",GM$28&lt;$A34),"",GM7/OFFSET(SSAutESP!$A$2,MATCH(GM$29,SSAutESP!$A$2:$A$500)+$A34-1,1)-1)</f>
        <v>1.8941951453456785E-2</v>
      </c>
      <c r="GN34" s="9">
        <f ca="1">IF(OR(GN7="",GN$28&lt;$A34),"",GN7/OFFSET(SSAutESP!$A$2,MATCH(GN$29,SSAutESP!$A$2:$A$500)+$A34-1,1)-1)</f>
        <v>1.1775854983488987E-2</v>
      </c>
      <c r="GO34" s="9">
        <f ca="1">IF(OR(GO7="",GO$28&lt;$A34),"",GO7/OFFSET(SSAutESP!$A$2,MATCH(GO$29,SSAutESP!$A$2:$A$500)+$A34-1,1)-1)</f>
        <v>-9.0137749857222005E-4</v>
      </c>
      <c r="GP34" s="9">
        <f ca="1">IF(OR(GP7="",GP$28&lt;$A34),"",GP7/OFFSET(SSAutESP!$A$2,MATCH(GP$29,SSAutESP!$A$2:$A$500)+$A34-1,1)-1)</f>
        <v>-2.6405726864818568E-2</v>
      </c>
      <c r="GQ34" s="9">
        <f ca="1">IF(OR(GQ7="",GQ$28&lt;$A34),"",GQ7/OFFSET(SSAutESP!$A$2,MATCH(GQ$29,SSAutESP!$A$2:$A$500)+$A34-1,1)-1)</f>
        <v>-2.4972568550711949E-2</v>
      </c>
      <c r="GR34" s="9">
        <f ca="1">IF(OR(GR7="",GR$28&lt;$A34),"",GR7/OFFSET(SSAutESP!$A$2,MATCH(GR$29,SSAutESP!$A$2:$A$500)+$A34-1,1)-1)</f>
        <v>-1.7342614569744175E-2</v>
      </c>
      <c r="GS34" s="9">
        <f ca="1">IF(OR(GS7="",GS$28&lt;$A34),"",GS7/OFFSET(SSAutESP!$A$2,MATCH(GS$29,SSAutESP!$A$2:$A$500)+$A34-1,1)-1)</f>
        <v>4.3250023721719266E-3</v>
      </c>
      <c r="GT34" s="9">
        <f ca="1">IF(OR(GT7="",GT$28&lt;$A34),"",GT7/OFFSET(SSAutESP!$A$2,MATCH(GT$29,SSAutESP!$A$2:$A$500)+$A34-1,1)-1)</f>
        <v>6.5960385688994538E-3</v>
      </c>
      <c r="GU34" s="9" t="str">
        <f ca="1">IF(OR(GU7="",GU$28&lt;$A34),"",GU7/OFFSET(SSAutESP!$A$2,MATCH(GU$29,SSAutESP!$A$2:$A$500)+$A34-1,1)-1)</f>
        <v/>
      </c>
      <c r="GV34" s="9" t="str">
        <f ca="1">IF(OR(GV7="",GV$28&lt;$A34),"",GV7/OFFSET(SSAutESP!$A$2,MATCH(GV$29,SSAutESP!$A$2:$A$500)+$A34-1,1)-1)</f>
        <v/>
      </c>
      <c r="GW34" s="9" t="str">
        <f ca="1">IF(OR(GW7="",GW$28&lt;$A34),"",GW7/OFFSET(SSAutESP!$A$2,MATCH(GW$29,SSAutESP!$A$2:$A$500)+$A34-1,1)-1)</f>
        <v/>
      </c>
      <c r="GX34" s="9" t="str">
        <f ca="1">IF(OR(GX7="",GX$28&lt;$A34),"",GX7/OFFSET(SSAutESP!$A$2,MATCH(GX$29,SSAutESP!$A$2:$A$500)+$A34-1,1)-1)</f>
        <v/>
      </c>
      <c r="GY34" s="9" t="str">
        <f ca="1">IF(OR(GY7="",GY$28&lt;$A34),"",GY7/OFFSET(SSAutESP!$A$2,MATCH(GY$29,SSAutESP!$A$2:$A$500)+$A34-1,1)-1)</f>
        <v/>
      </c>
      <c r="GZ34" s="9" t="str">
        <f ca="1">IF(OR(GZ7="",GZ$28&lt;$A34),"",GZ7/OFFSET(SSAutESP!$A$2,MATCH(GZ$29,SSAutESP!$A$2:$A$500)+$A34-1,1)-1)</f>
        <v/>
      </c>
      <c r="HA34" s="9" t="str">
        <f ca="1">IF(OR(HA7="",HA$28&lt;$A34),"",HA7/OFFSET(SSAutESP!$A$2,MATCH(HA$29,SSAutESP!$A$2:$A$500)+$A34-1,1)-1)</f>
        <v/>
      </c>
      <c r="HB34" s="9" t="str">
        <f ca="1">IF(OR(HB7="",HB$28&lt;$A34),"",HB7/OFFSET(SSAutESP!$A$2,MATCH(HB$29,SSAutESP!$A$2:$A$500)+$A34-1,1)-1)</f>
        <v/>
      </c>
      <c r="HC34" s="9" t="str">
        <f ca="1">IF(OR(HC7="",HC$28&lt;$A34),"",HC7/OFFSET(SSAutESP!$A$2,MATCH(HC$29,SSAutESP!$A$2:$A$500)+$A34-1,1)-1)</f>
        <v/>
      </c>
      <c r="HD34" s="9" t="str">
        <f ca="1">IF(OR(HD7="",HD$28&lt;$A34),"",HD7/OFFSET(SSAutESP!$A$2,MATCH(HD$29,SSAutESP!$A$2:$A$500)+$A34-1,1)-1)</f>
        <v/>
      </c>
      <c r="HE34" s="9" t="str">
        <f ca="1">IF(OR(HE7="",HE$28&lt;$A34),"",HE7/OFFSET(SSAutESP!$A$2,MATCH(HE$29,SSAutESP!$A$2:$A$500)+$A34-1,1)-1)</f>
        <v/>
      </c>
      <c r="HF34" s="9" t="str">
        <f ca="1">IF(OR(HF7="",HF$28&lt;$A34),"",HF7/OFFSET(SSAutESP!$A$2,MATCH(HF$29,SSAutESP!$A$2:$A$500)+$A34-1,1)-1)</f>
        <v/>
      </c>
      <c r="HG34" s="9" t="str">
        <f ca="1">IF(OR(HG7="",HG$28&lt;$A34),"",HG7/OFFSET(SSAutESP!$A$2,MATCH(HG$29,SSAutESP!$A$2:$A$500)+$A34-1,1)-1)</f>
        <v/>
      </c>
      <c r="HH34" s="9" t="str">
        <f ca="1">IF(OR(HH7="",HH$28&lt;$A34),"",HH7/OFFSET(SSAutESP!$A$2,MATCH(HH$29,SSAutESP!$A$2:$A$500)+$A34-1,1)-1)</f>
        <v/>
      </c>
      <c r="HI34" s="9" t="str">
        <f ca="1">IF(OR(HI7="",HI$28&lt;$A34),"",HI7/OFFSET(SSAutESP!$A$2,MATCH(HI$29,SSAutESP!$A$2:$A$500)+$A34-1,1)-1)</f>
        <v/>
      </c>
      <c r="HJ34" s="9" t="str">
        <f ca="1">IF(OR(HJ7="",HJ$28&lt;$A34),"",HJ7/OFFSET(SSAutESP!$A$2,MATCH(HJ$29,SSAutESP!$A$2:$A$500)+$A34-1,1)-1)</f>
        <v/>
      </c>
      <c r="HK34" s="9" t="str">
        <f ca="1">IF(OR(HK7="",HK$28&lt;$A34),"",HK7/OFFSET(SSAutESP!$A$2,MATCH(HK$29,SSAutESP!$A$2:$A$500)+$A34-1,1)-1)</f>
        <v/>
      </c>
      <c r="HL34" s="9" t="str">
        <f ca="1">IF(OR(HL7="",HL$28&lt;$A34),"",HL7/OFFSET(SSAutESP!$A$2,MATCH(HL$29,SSAutESP!$A$2:$A$500)+$A34-1,1)-1)</f>
        <v/>
      </c>
      <c r="HM34" s="9" t="str">
        <f ca="1">IF(OR(HM7="",HM$28&lt;$A34),"",HM7/OFFSET(SSAutESP!$A$2,MATCH(HM$29,SSAutESP!$A$2:$A$500)+$A34-1,1)-1)</f>
        <v/>
      </c>
      <c r="HN34" s="9" t="str">
        <f ca="1">IF(OR(HN7="",HN$28&lt;$A34),"",HN7/OFFSET(SSAutESP!$A$2,MATCH(HN$29,SSAutESP!$A$2:$A$500)+$A34-1,1)-1)</f>
        <v/>
      </c>
      <c r="HO34" s="9" t="str">
        <f ca="1">IF(OR(HO7="",HO$28&lt;$A34),"",HO7/OFFSET(SSAutESP!$A$2,MATCH(HO$29,SSAutESP!$A$2:$A$500)+$A34-1,1)-1)</f>
        <v/>
      </c>
      <c r="HP34" s="9" t="str">
        <f ca="1">IF(OR(HP7="",HP$28&lt;$A34),"",HP7/OFFSET(SSAutESP!$A$2,MATCH(HP$29,SSAutESP!$A$2:$A$500)+$A34-1,1)-1)</f>
        <v/>
      </c>
      <c r="HQ34" s="9" t="str">
        <f ca="1">IF(OR(HQ7="",HQ$28&lt;$A34),"",HQ7/OFFSET(SSAutESP!$A$2,MATCH(HQ$29,SSAutESP!$A$2:$A$500)+$A34-1,1)-1)</f>
        <v/>
      </c>
      <c r="HR34" s="9" t="str">
        <f ca="1">IF(OR(HR7="",HR$28&lt;$A34),"",HR7/OFFSET(SSAutESP!$A$2,MATCH(HR$29,SSAutESP!$A$2:$A$500)+$A34-1,1)-1)</f>
        <v/>
      </c>
      <c r="HS34" s="9" t="str">
        <f ca="1">IF(OR(HS7="",HS$28&lt;$A34),"",HS7/OFFSET(SSAutESP!$A$2,MATCH(HS$29,SSAutESP!$A$2:$A$500)+$A34-1,1)-1)</f>
        <v/>
      </c>
      <c r="HT34" s="9" t="str">
        <f ca="1">IF(OR(HT7="",HT$28&lt;$A34),"",HT7/OFFSET(SSAutESP!$A$2,MATCH(HT$29,SSAutESP!$A$2:$A$500)+$A34-1,1)-1)</f>
        <v/>
      </c>
      <c r="HU34" s="9" t="str">
        <f ca="1">IF(OR(HU7="",HU$28&lt;$A34),"",HU7/OFFSET(SSAutESP!$A$2,MATCH(HU$29,SSAutESP!$A$2:$A$500)+$A34-1,1)-1)</f>
        <v/>
      </c>
      <c r="HV34" s="9" t="str">
        <f ca="1">IF(OR(HV7="",HV$28&lt;$A34),"",HV7/OFFSET(SSAutESP!$A$2,MATCH(HV$29,SSAutESP!$A$2:$A$500)+$A34-1,1)-1)</f>
        <v/>
      </c>
      <c r="HW34" s="9" t="str">
        <f ca="1">IF(OR(HW7="",HW$28&lt;$A34),"",HW7/OFFSET(SSAutESP!$A$2,MATCH(HW$29,SSAutESP!$A$2:$A$500)+$A34-1,1)-1)</f>
        <v/>
      </c>
      <c r="HX34" s="9" t="str">
        <f ca="1">IF(OR(HX7="",HX$28&lt;$A34),"",HX7/OFFSET(SSAutESP!$A$2,MATCH(HX$29,SSAutESP!$A$2:$A$500)+$A34-1,1)-1)</f>
        <v/>
      </c>
      <c r="HY34" s="9" t="str">
        <f ca="1">IF(OR(HY7="",HY$28&lt;$A34),"",HY7/OFFSET(SSAutESP!$A$2,MATCH(HY$29,SSAutESP!$A$2:$A$500)+$A34-1,1)-1)</f>
        <v/>
      </c>
      <c r="HZ34" s="9" t="str">
        <f ca="1">IF(OR(HZ7="",HZ$28&lt;$A34),"",HZ7/OFFSET(SSAutESP!$A$2,MATCH(HZ$29,SSAutESP!$A$2:$A$500)+$A34-1,1)-1)</f>
        <v/>
      </c>
      <c r="IA34" s="9" t="str">
        <f ca="1">IF(OR(IA7="",IA$28&lt;$A34),"",IA7/OFFSET(SSAutESP!$A$2,MATCH(IA$29,SSAutESP!$A$2:$A$500)+$A34-1,1)-1)</f>
        <v/>
      </c>
      <c r="IB34" s="9" t="str">
        <f ca="1">IF(OR(IB7="",IB$28&lt;$A34),"",IB7/OFFSET(SSAutESP!$A$2,MATCH(IB$29,SSAutESP!$A$2:$A$500)+$A34-1,1)-1)</f>
        <v/>
      </c>
      <c r="IC34" s="9" t="str">
        <f ca="1">IF(OR(IC7="",IC$28&lt;$A34),"",IC7/OFFSET(SSAutESP!$A$2,MATCH(IC$29,SSAutESP!$A$2:$A$500)+$A34-1,1)-1)</f>
        <v/>
      </c>
      <c r="ID34" s="9" t="str">
        <f ca="1">IF(OR(ID7="",ID$28&lt;$A34),"",ID7/OFFSET(SSAutESP!$A$2,MATCH(ID$29,SSAutESP!$A$2:$A$500)+$A34-1,1)-1)</f>
        <v/>
      </c>
      <c r="IE34" s="9" t="str">
        <f ca="1">IF(OR(IE7="",IE$28&lt;$A34),"",IE7/OFFSET(SSAutESP!$A$2,MATCH(IE$29,SSAutESP!$A$2:$A$500)+$A34-1,1)-1)</f>
        <v/>
      </c>
      <c r="IF34" s="9" t="str">
        <f ca="1">IF(OR(IF7="",IF$28&lt;$A34),"",IF7/OFFSET(SSAutESP!$A$2,MATCH(IF$29,SSAutESP!$A$2:$A$500)+$A34-1,1)-1)</f>
        <v/>
      </c>
      <c r="IG34" s="9" t="str">
        <f ca="1">IF(OR(IG7="",IG$28&lt;$A34),"",IG7/OFFSET(SSAutESP!$A$2,MATCH(IG$29,SSAutESP!$A$2:$A$500)+$A34-1,1)-1)</f>
        <v/>
      </c>
      <c r="IH34" s="9" t="str">
        <f ca="1">IF(OR(IH7="",IH$28&lt;$A34),"",IH7/OFFSET(SSAutESP!$A$2,MATCH(IH$29,SSAutESP!$A$2:$A$500)+$A34-1,1)-1)</f>
        <v/>
      </c>
      <c r="II34" s="9" t="str">
        <f ca="1">IF(OR(II7="",II$28&lt;$A34),"",II7/OFFSET(SSAutESP!$A$2,MATCH(II$29,SSAutESP!$A$2:$A$500)+$A34-1,1)-1)</f>
        <v/>
      </c>
      <c r="IJ34" s="9" t="str">
        <f ca="1">IF(OR(IJ7="",IJ$28&lt;$A34),"",IJ7/OFFSET(SSAutESP!$A$2,MATCH(IJ$29,SSAutESP!$A$2:$A$500)+$A34-1,1)-1)</f>
        <v/>
      </c>
      <c r="IK34" s="9" t="str">
        <f ca="1">IF(OR(IK7="",IK$28&lt;$A34),"",IK7/OFFSET(SSAutESP!$A$2,MATCH(IK$29,SSAutESP!$A$2:$A$500)+$A34-1,1)-1)</f>
        <v/>
      </c>
      <c r="IL34" s="9" t="str">
        <f ca="1">IF(OR(IL7="",IL$28&lt;$A34),"",IL7/OFFSET(SSAutESP!$A$2,MATCH(IL$29,SSAutESP!$A$2:$A$500)+$A34-1,1)-1)</f>
        <v/>
      </c>
      <c r="IM34" s="9" t="str">
        <f ca="1">IF(OR(IM7="",IM$28&lt;$A34),"",IM7/OFFSET(SSAutESP!$A$2,MATCH(IM$29,SSAutESP!$A$2:$A$500)+$A34-1,1)-1)</f>
        <v/>
      </c>
      <c r="IN34" s="9" t="str">
        <f ca="1">IF(OR(IN7="",IN$28&lt;$A34),"",IN7/OFFSET(SSAutESP!$A$2,MATCH(IN$29,SSAutESP!$A$2:$A$500)+$A34-1,1)-1)</f>
        <v/>
      </c>
      <c r="IO34" s="9" t="str">
        <f ca="1">IF(OR(IO7="",IO$28&lt;$A34),"",IO7/OFFSET(SSAutESP!$A$2,MATCH(IO$29,SSAutESP!$A$2:$A$500)+$A34-1,1)-1)</f>
        <v/>
      </c>
      <c r="IP34" s="9" t="str">
        <f ca="1">IF(OR(IP7="",IP$28&lt;$A34),"",IP7/OFFSET(SSAutESP!$A$2,MATCH(IP$29,SSAutESP!$A$2:$A$500)+$A34-1,1)-1)</f>
        <v/>
      </c>
      <c r="IQ34" s="9" t="str">
        <f ca="1">IF(OR(IQ7="",IQ$28&lt;$A34),"",IQ7/OFFSET(SSAutESP!$A$2,MATCH(IQ$29,SSAutESP!$A$2:$A$500)+$A34-1,1)-1)</f>
        <v/>
      </c>
      <c r="IR34" s="9" t="str">
        <f ca="1">IF(OR(IR7="",IR$28&lt;$A34),"",IR7/OFFSET(SSAutESP!$A$2,MATCH(IR$29,SSAutESP!$A$2:$A$500)+$A34-1,1)-1)</f>
        <v/>
      </c>
      <c r="IS34" s="9" t="str">
        <f ca="1">IF(OR(IS7="",IS$28&lt;$A34),"",IS7/OFFSET(SSAutESP!$A$2,MATCH(IS$29,SSAutESP!$A$2:$A$500)+$A34-1,1)-1)</f>
        <v/>
      </c>
      <c r="IT34" s="9" t="str">
        <f ca="1">IF(OR(IT7="",IT$28&lt;$A34),"",IT7/OFFSET(SSAutESP!$A$2,MATCH(IT$29,SSAutESP!$A$2:$A$500)+$A34-1,1)-1)</f>
        <v/>
      </c>
      <c r="IU34" s="9" t="str">
        <f ca="1">IF(OR(IU7="",IU$28&lt;$A34),"",IU7/OFFSET(SSAutESP!$A$2,MATCH(IU$29,SSAutESP!$A$2:$A$500)+$A34-1,1)-1)</f>
        <v/>
      </c>
      <c r="IV34" s="9" t="str">
        <f ca="1">IF(OR(IV7="",IV$28&lt;$A34),"",IV7/OFFSET(SSAutESP!$A$2,MATCH(IV$29,SSAutESP!$A$2:$A$500)+$A34-1,1)-1)</f>
        <v/>
      </c>
      <c r="IW34" s="9" t="str">
        <f ca="1">IF(OR(IW7="",IW$28&lt;$A34),"",IW7/OFFSET(SSAutESP!$A$2,MATCH(IW$29,SSAutESP!$A$2:$A$500)+$A34-1,1)-1)</f>
        <v/>
      </c>
      <c r="IX34" s="9" t="str">
        <f ca="1">IF(OR(IX7="",IX$28&lt;$A34),"",IX7/OFFSET(SSAutESP!$A$2,MATCH(IX$29,SSAutESP!$A$2:$A$500)+$A34-1,1)-1)</f>
        <v/>
      </c>
      <c r="IY34" s="9" t="str">
        <f ca="1">IF(OR(IY7="",IY$28&lt;$A34),"",IY7/OFFSET(SSAutESP!$A$2,MATCH(IY$29,SSAutESP!$A$2:$A$500)+$A34-1,1)-1)</f>
        <v/>
      </c>
      <c r="IZ34" s="9" t="str">
        <f ca="1">IF(OR(IZ7="",IZ$28&lt;$A34),"",IZ7/OFFSET(SSAutESP!$A$2,MATCH(IZ$29,SSAutESP!$A$2:$A$500)+$A34-1,1)-1)</f>
        <v/>
      </c>
      <c r="JA34" s="9" t="str">
        <f ca="1">IF(OR(JA7="",JA$28&lt;$A34),"",JA7/OFFSET(SSAutESP!$A$2,MATCH(JA$29,SSAutESP!$A$2:$A$500)+$A34-1,1)-1)</f>
        <v/>
      </c>
      <c r="JB34" s="9" t="str">
        <f ca="1">IF(OR(JB7="",JB$28&lt;$A34),"",JB7/OFFSET(SSAutESP!$A$2,MATCH(JB$29,SSAutESP!$A$2:$A$500)+$A34-1,1)-1)</f>
        <v/>
      </c>
      <c r="JC34" s="9" t="str">
        <f ca="1">IF(OR(JC7="",JC$28&lt;$A34),"",JC7/OFFSET(SSAutESP!$A$2,MATCH(JC$29,SSAutESP!$A$2:$A$500)+$A34-1,1)-1)</f>
        <v/>
      </c>
      <c r="JD34" s="9" t="str">
        <f ca="1">IF(OR(JD7="",JD$28&lt;$A34),"",JD7/OFFSET(SSAutESP!$A$2,MATCH(JD$29,SSAutESP!$A$2:$A$500)+$A34-1,1)-1)</f>
        <v/>
      </c>
      <c r="JE34" s="9" t="str">
        <f ca="1">IF(OR(JE7="",JE$28&lt;$A34),"",JE7/OFFSET(SSAutESP!$A$2,MATCH(JE$29,SSAutESP!$A$2:$A$500)+$A34-1,1)-1)</f>
        <v/>
      </c>
      <c r="JF34" s="9" t="str">
        <f ca="1">IF(OR(JF7="",JF$28&lt;$A34),"",JF7/OFFSET(SSAutESP!$A$2,MATCH(JF$29,SSAutESP!$A$2:$A$500)+$A34-1,1)-1)</f>
        <v/>
      </c>
      <c r="JG34" s="9" t="str">
        <f ca="1">IF(OR(JG7="",JG$28&lt;$A34),"",JG7/OFFSET(SSAutESP!$A$2,MATCH(JG$29,SSAutESP!$A$2:$A$500)+$A34-1,1)-1)</f>
        <v/>
      </c>
      <c r="JH34" s="9" t="str">
        <f ca="1">IF(OR(JH7="",JH$28&lt;$A34),"",JH7/OFFSET(SSAutESP!$A$2,MATCH(JH$29,SSAutESP!$A$2:$A$500)+$A34-1,1)-1)</f>
        <v/>
      </c>
      <c r="JI34" s="13">
        <f t="shared" ca="1" si="13"/>
        <v>1.4121299989411696E-3</v>
      </c>
      <c r="JJ34" s="13">
        <f t="shared" ca="1" si="14"/>
        <v>1.1459633323875895E-3</v>
      </c>
      <c r="JK34" s="14">
        <f t="shared" ca="1" si="15"/>
        <v>1.2038838346247732E-4</v>
      </c>
      <c r="JL34" s="17">
        <f t="shared" ca="1" si="18"/>
        <v>1.0972164028234236E-2</v>
      </c>
      <c r="JM34" s="15" t="str">
        <f t="shared" ca="1" si="16"/>
        <v>[ -2,05% ; 2,34% ]</v>
      </c>
      <c r="JN34" s="17">
        <f t="shared" ca="1" si="17"/>
        <v>1.4044369956139821E-2</v>
      </c>
      <c r="LY34" s="1"/>
    </row>
    <row r="35" spans="1:337" x14ac:dyDescent="0.25">
      <c r="A35" s="4">
        <v>6</v>
      </c>
      <c r="B35" s="9">
        <f ca="1">IF(OR(B8="",B$28&lt;$A35),"",B8/OFFSET(SSAutESP!$A$2,MATCH(B$29,SSAutESP!$A$2:$A$500)+$A35-1,1)-1)</f>
        <v>-3.8896903647873682E-3</v>
      </c>
      <c r="C35" s="9">
        <f ca="1">IF(OR(C8="",C$28&lt;$A35),"",C8/OFFSET(SSAutESP!$A$2,MATCH(C$29,SSAutESP!$A$2:$A$500)+$A35-1,1)-1)</f>
        <v>4.888245278591441E-4</v>
      </c>
      <c r="D35" s="9">
        <f ca="1">IF(OR(D8="",D$28&lt;$A35),"",D8/OFFSET(SSAutESP!$A$2,MATCH(D$29,SSAutESP!$A$2:$A$500)+$A35-1,1)-1)</f>
        <v>3.1925310431308862E-3</v>
      </c>
      <c r="E35" s="9">
        <f ca="1">IF(OR(E8="",E$28&lt;$A35),"",E8/OFFSET(SSAutESP!$A$2,MATCH(E$29,SSAutESP!$A$2:$A$500)+$A35-1,1)-1)</f>
        <v>5.1423014203841877E-3</v>
      </c>
      <c r="F35" s="9">
        <f ca="1">IF(OR(F8="",F$28&lt;$A35),"",F8/OFFSET(SSAutESP!$A$2,MATCH(F$29,SSAutESP!$A$2:$A$500)+$A35-1,1)-1)</f>
        <v>4.7120679639869323E-3</v>
      </c>
      <c r="G35" s="9">
        <f ca="1">IF(OR(G8="",G$28&lt;$A35),"",G8/OFFSET(SSAutESP!$A$2,MATCH(G$29,SSAutESP!$A$2:$A$500)+$A35-1,1)-1)</f>
        <v>2.2662834946287624E-3</v>
      </c>
      <c r="H35" s="9">
        <f ca="1">IF(OR(H8="",H$28&lt;$A35),"",H8/OFFSET(SSAutESP!$A$2,MATCH(H$29,SSAutESP!$A$2:$A$500)+$A35-1,1)-1)</f>
        <v>2.09774295777998E-3</v>
      </c>
      <c r="I35" s="9">
        <f ca="1">IF(OR(I8="",I$28&lt;$A35),"",I8/OFFSET(SSAutESP!$A$2,MATCH(I$29,SSAutESP!$A$2:$A$500)+$A35-1,1)-1)</f>
        <v>1.0704002574857263E-4</v>
      </c>
      <c r="J35" s="9">
        <f ca="1">IF(OR(J8="",J$28&lt;$A35),"",J8/OFFSET(SSAutESP!$A$2,MATCH(J$29,SSAutESP!$A$2:$A$500)+$A35-1,1)-1)</f>
        <v>-8.7025867295165149E-4</v>
      </c>
      <c r="K35" s="9">
        <f ca="1">IF(OR(K8="",K$28&lt;$A35),"",K8/OFFSET(SSAutESP!$A$2,MATCH(K$29,SSAutESP!$A$2:$A$500)+$A35-1,1)-1)</f>
        <v>-9.4120370130768016E-4</v>
      </c>
      <c r="L35" s="9">
        <f ca="1">IF(OR(L8="",L$28&lt;$A35),"",L8/OFFSET(SSAutESP!$A$2,MATCH(L$29,SSAutESP!$A$2:$A$500)+$A35-1,1)-1)</f>
        <v>1.1877336918875159E-5</v>
      </c>
      <c r="M35" s="9">
        <f ca="1">IF(OR(M8="",M$28&lt;$A35),"",M8/OFFSET(SSAutESP!$A$2,MATCH(M$29,SSAutESP!$A$2:$A$500)+$A35-1,1)-1)</f>
        <v>1.2100327397794874E-3</v>
      </c>
      <c r="N35" s="9">
        <f ca="1">IF(OR(N8="",N$28&lt;$A35),"",N8/OFFSET(SSAutESP!$A$2,MATCH(N$29,SSAutESP!$A$2:$A$500)+$A35-1,1)-1)</f>
        <v>4.0998805665590776E-3</v>
      </c>
      <c r="O35" s="9">
        <f ca="1">IF(OR(O8="",O$28&lt;$A35),"",O8/OFFSET(SSAutESP!$A$2,MATCH(O$29,SSAutESP!$A$2:$A$500)+$A35-1,1)-1)</f>
        <v>5.5758038762447892E-3</v>
      </c>
      <c r="P35" s="9">
        <f ca="1">IF(OR(P8="",P$28&lt;$A35),"",P8/OFFSET(SSAutESP!$A$2,MATCH(P$29,SSAutESP!$A$2:$A$500)+$A35-1,1)-1)</f>
        <v>4.5281346703829328E-3</v>
      </c>
      <c r="Q35" s="9">
        <f ca="1">IF(OR(Q8="",Q$28&lt;$A35),"",Q8/OFFSET(SSAutESP!$A$2,MATCH(Q$29,SSAutESP!$A$2:$A$500)+$A35-1,1)-1)</f>
        <v>2.9804929975478789E-3</v>
      </c>
      <c r="R35" s="9">
        <f ca="1">IF(OR(R8="",R$28&lt;$A35),"",R8/OFFSET(SSAutESP!$A$2,MATCH(R$29,SSAutESP!$A$2:$A$500)+$A35-1,1)-1)</f>
        <v>1.7067470866904966E-3</v>
      </c>
      <c r="S35" s="9">
        <f ca="1">IF(OR(S8="",S$28&lt;$A35),"",S8/OFFSET(SSAutESP!$A$2,MATCH(S$29,SSAutESP!$A$2:$A$500)+$A35-1,1)-1)</f>
        <v>1.198659651263867E-3</v>
      </c>
      <c r="T35" s="9">
        <f ca="1">IF(OR(T8="",T$28&lt;$A35),"",T8/OFFSET(SSAutESP!$A$2,MATCH(T$29,SSAutESP!$A$2:$A$500)+$A35-1,1)-1)</f>
        <v>9.2171414421637898E-4</v>
      </c>
      <c r="U35" s="9">
        <f ca="1">IF(OR(U8="",U$28&lt;$A35),"",U8/OFFSET(SSAutESP!$A$2,MATCH(U$29,SSAutESP!$A$2:$A$500)+$A35-1,1)-1)</f>
        <v>-1.0812060090799047E-3</v>
      </c>
      <c r="V35" s="9">
        <f ca="1">IF(OR(V8="",V$28&lt;$A35),"",V8/OFFSET(SSAutESP!$A$2,MATCH(V$29,SSAutESP!$A$2:$A$500)+$A35-1,1)-1)</f>
        <v>-2.1693463474394825E-3</v>
      </c>
      <c r="W35" s="9">
        <f ca="1">IF(OR(W8="",W$28&lt;$A35),"",W8/OFFSET(SSAutESP!$A$2,MATCH(W$29,SSAutESP!$A$2:$A$500)+$A35-1,1)-1)</f>
        <v>-3.0026096873547736E-4</v>
      </c>
      <c r="X35" s="9">
        <f ca="1">IF(OR(X8="",X$28&lt;$A35),"",X8/OFFSET(SSAutESP!$A$2,MATCH(X$29,SSAutESP!$A$2:$A$500)+$A35-1,1)-1)</f>
        <v>6.8106007286683479E-5</v>
      </c>
      <c r="Y35" s="9">
        <f ca="1">IF(OR(Y8="",Y$28&lt;$A35),"",Y8/OFFSET(SSAutESP!$A$2,MATCH(Y$29,SSAutESP!$A$2:$A$500)+$A35-1,1)-1)</f>
        <v>5.4772731558871968E-4</v>
      </c>
      <c r="Z35" s="9">
        <f ca="1">IF(OR(Z8="",Z$28&lt;$A35),"",Z8/OFFSET(SSAutESP!$A$2,MATCH(Z$29,SSAutESP!$A$2:$A$500)+$A35-1,1)-1)</f>
        <v>1.7332329125268053E-3</v>
      </c>
      <c r="AA35" s="9">
        <f ca="1">IF(OR(AA8="",AA$28&lt;$A35),"",AA8/OFFSET(SSAutESP!$A$2,MATCH(AA$29,SSAutESP!$A$2:$A$500)+$A35-1,1)-1)</f>
        <v>1.925966501523213E-3</v>
      </c>
      <c r="AB35" s="9">
        <f ca="1">IF(OR(AB8="",AB$28&lt;$A35),"",AB8/OFFSET(SSAutESP!$A$2,MATCH(AB$29,SSAutESP!$A$2:$A$500)+$A35-1,1)-1)</f>
        <v>2.630057571096911E-3</v>
      </c>
      <c r="AC35" s="9">
        <f ca="1">IF(OR(AC8="",AC$28&lt;$A35),"",AC8/OFFSET(SSAutESP!$A$2,MATCH(AC$29,SSAutESP!$A$2:$A$500)+$A35-1,1)-1)</f>
        <v>-1.8508902007630113E-4</v>
      </c>
      <c r="AD35" s="9">
        <f ca="1">IF(OR(AD8="",AD$28&lt;$A35),"",AD8/OFFSET(SSAutESP!$A$2,MATCH(AD$29,SSAutESP!$A$2:$A$500)+$A35-1,1)-1)</f>
        <v>-1.1664504943506016E-3</v>
      </c>
      <c r="AE35" s="9">
        <f ca="1">IF(OR(AE8="",AE$28&lt;$A35),"",AE8/OFFSET(SSAutESP!$A$2,MATCH(AE$29,SSAutESP!$A$2:$A$500)+$A35-1,1)-1)</f>
        <v>4.9599052833482205E-4</v>
      </c>
      <c r="AF35" s="9">
        <f ca="1">IF(OR(AF8="",AF$28&lt;$A35),"",AF8/OFFSET(SSAutESP!$A$2,MATCH(AF$29,SSAutESP!$A$2:$A$500)+$A35-1,1)-1)</f>
        <v>-1.8546721099069741E-3</v>
      </c>
      <c r="AG35" s="9">
        <f ca="1">IF(OR(AG8="",AG$28&lt;$A35),"",AG8/OFFSET(SSAutESP!$A$2,MATCH(AG$29,SSAutESP!$A$2:$A$500)+$A35-1,1)-1)</f>
        <v>-3.9228266115596266E-3</v>
      </c>
      <c r="AH35" s="9">
        <f ca="1">IF(OR(AH8="",AH$28&lt;$A35),"",AH8/OFFSET(SSAutESP!$A$2,MATCH(AH$29,SSAutESP!$A$2:$A$500)+$A35-1,1)-1)</f>
        <v>-6.5394755668609639E-3</v>
      </c>
      <c r="AI35" s="9">
        <f ca="1">IF(OR(AI8="",AI$28&lt;$A35),"",AI8/OFFSET(SSAutESP!$A$2,MATCH(AI$29,SSAutESP!$A$2:$A$500)+$A35-1,1)-1)</f>
        <v>-5.5687109629469767E-3</v>
      </c>
      <c r="AJ35" s="9">
        <f ca="1">IF(OR(AJ8="",AJ$28&lt;$A35),"",AJ8/OFFSET(SSAutESP!$A$2,MATCH(AJ$29,SSAutESP!$A$2:$A$500)+$A35-1,1)-1)</f>
        <v>-4.3737931830705179E-3</v>
      </c>
      <c r="AK35" s="9">
        <f ca="1">IF(OR(AK8="",AK$28&lt;$A35),"",AK8/OFFSET(SSAutESP!$A$2,MATCH(AK$29,SSAutESP!$A$2:$A$500)+$A35-1,1)-1)</f>
        <v>-4.7987122558716955E-3</v>
      </c>
      <c r="AL35" s="9">
        <f ca="1">IF(OR(AL8="",AL$28&lt;$A35),"",AL8/OFFSET(SSAutESP!$A$2,MATCH(AL$29,SSAutESP!$A$2:$A$500)+$A35-1,1)-1)</f>
        <v>-4.2917408877363172E-3</v>
      </c>
      <c r="AM35" s="9">
        <f ca="1">IF(OR(AM8="",AM$28&lt;$A35),"",AM8/OFFSET(SSAutESP!$A$2,MATCH(AM$29,SSAutESP!$A$2:$A$500)+$A35-1,1)-1)</f>
        <v>-2.9660170601882863E-3</v>
      </c>
      <c r="AN35" s="9">
        <f ca="1">IF(OR(AN8="",AN$28&lt;$A35),"",AN8/OFFSET(SSAutESP!$A$2,MATCH(AN$29,SSAutESP!$A$2:$A$500)+$A35-1,1)-1)</f>
        <v>-1.1368342788435903E-3</v>
      </c>
      <c r="AO35" s="9">
        <f ca="1">IF(OR(AO8="",AO$28&lt;$A35),"",AO8/OFFSET(SSAutESP!$A$2,MATCH(AO$29,SSAutESP!$A$2:$A$500)+$A35-1,1)-1)</f>
        <v>1.618207683338202E-4</v>
      </c>
      <c r="AP35" s="9">
        <f ca="1">IF(OR(AP8="",AP$28&lt;$A35),"",AP8/OFFSET(SSAutESP!$A$2,MATCH(AP$29,SSAutESP!$A$2:$A$500)+$A35-1,1)-1)</f>
        <v>-6.3981991513806236E-4</v>
      </c>
      <c r="AQ35" s="9">
        <f ca="1">IF(OR(AQ8="",AQ$28&lt;$A35),"",AQ8/OFFSET(SSAutESP!$A$2,MATCH(AQ$29,SSAutESP!$A$2:$A$500)+$A35-1,1)-1)</f>
        <v>7.4263727281698166E-5</v>
      </c>
      <c r="AR35" s="9">
        <f ca="1">IF(OR(AR8="",AR$28&lt;$A35),"",AR8/OFFSET(SSAutESP!$A$2,MATCH(AR$29,SSAutESP!$A$2:$A$500)+$A35-1,1)-1)</f>
        <v>2.1772498881482694E-3</v>
      </c>
      <c r="AS35" s="9">
        <f ca="1">IF(OR(AS8="",AS$28&lt;$A35),"",AS8/OFFSET(SSAutESP!$A$2,MATCH(AS$29,SSAutESP!$A$2:$A$500)+$A35-1,1)-1)</f>
        <v>4.5497255681992144E-3</v>
      </c>
      <c r="AT35" s="9">
        <f ca="1">IF(OR(AT8="",AT$28&lt;$A35),"",AT8/OFFSET(SSAutESP!$A$2,MATCH(AT$29,SSAutESP!$A$2:$A$500)+$A35-1,1)-1)</f>
        <v>3.6174128666444094E-3</v>
      </c>
      <c r="AU35" s="9">
        <f ca="1">IF(OR(AU8="",AU$28&lt;$A35),"",AU8/OFFSET(SSAutESP!$A$2,MATCH(AU$29,SSAutESP!$A$2:$A$500)+$A35-1,1)-1)</f>
        <v>8.1627848508485368E-3</v>
      </c>
      <c r="AV35" s="9">
        <f ca="1">IF(OR(AV8="",AV$28&lt;$A35),"",AV8/OFFSET(SSAutESP!$A$2,MATCH(AV$29,SSAutESP!$A$2:$A$500)+$A35-1,1)-1)</f>
        <v>1.3169487980355887E-2</v>
      </c>
      <c r="AW35" s="9">
        <f ca="1">IF(OR(AW8="",AW$28&lt;$A35),"",AW8/OFFSET(SSAutESP!$A$2,MATCH(AW$29,SSAutESP!$A$2:$A$500)+$A35-1,1)-1)</f>
        <v>1.5929886952237515E-2</v>
      </c>
      <c r="AX35" s="9">
        <f ca="1">IF(OR(AX8="",AX$28&lt;$A35),"",AX8/OFFSET(SSAutESP!$A$2,MATCH(AX$29,SSAutESP!$A$2:$A$500)+$A35-1,1)-1)</f>
        <v>1.7198440602066434E-2</v>
      </c>
      <c r="AY35" s="9">
        <f ca="1">IF(OR(AY8="",AY$28&lt;$A35),"",AY8/OFFSET(SSAutESP!$A$2,MATCH(AY$29,SSAutESP!$A$2:$A$500)+$A35-1,1)-1)</f>
        <v>2.0323955331999155E-2</v>
      </c>
      <c r="AZ35" s="9">
        <f ca="1">IF(OR(AZ8="",AZ$28&lt;$A35),"",AZ8/OFFSET(SSAutESP!$A$2,MATCH(AZ$29,SSAutESP!$A$2:$A$500)+$A35-1,1)-1)</f>
        <v>2.3133597158439656E-2</v>
      </c>
      <c r="BA35" s="9">
        <f ca="1">IF(OR(BA8="",BA$28&lt;$A35),"",BA8/OFFSET(SSAutESP!$A$2,MATCH(BA$29,SSAutESP!$A$2:$A$500)+$A35-1,1)-1)</f>
        <v>1.9641615549712999E-2</v>
      </c>
      <c r="BB35" s="9">
        <f ca="1">IF(OR(BB8="",BB$28&lt;$A35),"",BB8/OFFSET(SSAutESP!$A$2,MATCH(BB$29,SSAutESP!$A$2:$A$500)+$A35-1,1)-1)</f>
        <v>1.5665936860011609E-2</v>
      </c>
      <c r="BC35" s="9">
        <f ca="1">IF(OR(BC8="",BC$28&lt;$A35),"",BC8/OFFSET(SSAutESP!$A$2,MATCH(BC$29,SSAutESP!$A$2:$A$500)+$A35-1,1)-1)</f>
        <v>6.0128789854139164E-3</v>
      </c>
      <c r="BD35" s="9">
        <f ca="1">IF(OR(BD8="",BD$28&lt;$A35),"",BD8/OFFSET(SSAutESP!$A$2,MATCH(BD$29,SSAutESP!$A$2:$A$500)+$A35-1,1)-1)</f>
        <v>1.0299683175765129E-2</v>
      </c>
      <c r="BE35" s="9">
        <f ca="1">IF(OR(BE8="",BE$28&lt;$A35),"",BE8/OFFSET(SSAutESP!$A$2,MATCH(BE$29,SSAutESP!$A$2:$A$500)+$A35-1,1)-1)</f>
        <v>1.093746787673977E-2</v>
      </c>
      <c r="BF35" s="9">
        <f ca="1">IF(OR(BF8="",BF$28&lt;$A35),"",BF8/OFFSET(SSAutESP!$A$2,MATCH(BF$29,SSAutESP!$A$2:$A$500)+$A35-1,1)-1)</f>
        <v>1.3228046460037168E-2</v>
      </c>
      <c r="BG35" s="9">
        <f ca="1">IF(OR(BG8="",BG$28&lt;$A35),"",BG8/OFFSET(SSAutESP!$A$2,MATCH(BG$29,SSAutESP!$A$2:$A$500)+$A35-1,1)-1)</f>
        <v>2.1248033604553962E-2</v>
      </c>
      <c r="BH35" s="9">
        <f ca="1">IF(OR(BH8="",BH$28&lt;$A35),"",BH8/OFFSET(SSAutESP!$A$2,MATCH(BH$29,SSAutESP!$A$2:$A$500)+$A35-1,1)-1)</f>
        <v>1.7287464681547071E-2</v>
      </c>
      <c r="BI35" s="9">
        <f ca="1">IF(OR(BI8="",BI$28&lt;$A35),"",BI8/OFFSET(SSAutESP!$A$2,MATCH(BI$29,SSAutESP!$A$2:$A$500)+$A35-1,1)-1)</f>
        <v>1.2042808293247775E-2</v>
      </c>
      <c r="BJ35" s="9">
        <f ca="1">IF(OR(BJ8="",BJ$28&lt;$A35),"",BJ8/OFFSET(SSAutESP!$A$2,MATCH(BJ$29,SSAutESP!$A$2:$A$500)+$A35-1,1)-1)</f>
        <v>1.1330063347341435E-2</v>
      </c>
      <c r="BK35" s="9">
        <f ca="1">IF(OR(BK8="",BK$28&lt;$A35),"",BK8/OFFSET(SSAutESP!$A$2,MATCH(BK$29,SSAutESP!$A$2:$A$500)+$A35-1,1)-1)</f>
        <v>-8.076243664830729E-3</v>
      </c>
      <c r="BL35" s="9">
        <f ca="1">IF(OR(BL8="",BL$28&lt;$A35),"",BL8/OFFSET(SSAutESP!$A$2,MATCH(BL$29,SSAutESP!$A$2:$A$500)+$A35-1,1)-1)</f>
        <v>-2.1774580184602765E-2</v>
      </c>
      <c r="BM35" s="9">
        <f ca="1">IF(OR(BM8="",BM$28&lt;$A35),"",BM8/OFFSET(SSAutESP!$A$2,MATCH(BM$29,SSAutESP!$A$2:$A$500)+$A35-1,1)-1)</f>
        <v>-2.2378021659674174E-2</v>
      </c>
      <c r="BN35" s="9">
        <f ca="1">IF(OR(BN8="",BN$28&lt;$A35),"",BN8/OFFSET(SSAutESP!$A$2,MATCH(BN$29,SSAutESP!$A$2:$A$500)+$A35-1,1)-1)</f>
        <v>-1.6296881637852367E-2</v>
      </c>
      <c r="BO35" s="9">
        <f ca="1">IF(OR(BO8="",BO$28&lt;$A35),"",BO8/OFFSET(SSAutESP!$A$2,MATCH(BO$29,SSAutESP!$A$2:$A$500)+$A35-1,1)-1)</f>
        <v>-1.1610853295947021E-2</v>
      </c>
      <c r="BP35" s="9">
        <f ca="1">IF(OR(BP8="",BP$28&lt;$A35),"",BP8/OFFSET(SSAutESP!$A$2,MATCH(BP$29,SSAutESP!$A$2:$A$500)+$A35-1,1)-1)</f>
        <v>-1.1149576510555259E-2</v>
      </c>
      <c r="BQ35" s="9">
        <f ca="1">IF(OR(BQ8="",BQ$28&lt;$A35),"",BQ8/OFFSET(SSAutESP!$A$2,MATCH(BQ$29,SSAutESP!$A$2:$A$500)+$A35-1,1)-1)</f>
        <v>-1.342021099417734E-2</v>
      </c>
      <c r="BR35" s="9">
        <f ca="1">IF(OR(BR8="",BR$28&lt;$A35),"",BR8/OFFSET(SSAutESP!$A$2,MATCH(BR$29,SSAutESP!$A$2:$A$500)+$A35-1,1)-1)</f>
        <v>-7.0876936553816439E-3</v>
      </c>
      <c r="BS35" s="9">
        <f ca="1">IF(OR(BS8="",BS$28&lt;$A35),"",BS8/OFFSET(SSAutESP!$A$2,MATCH(BS$29,SSAutESP!$A$2:$A$500)+$A35-1,1)-1)</f>
        <v>9.285675644932212E-5</v>
      </c>
      <c r="BT35" s="9">
        <f ca="1">IF(OR(BT8="",BT$28&lt;$A35),"",BT8/OFFSET(SSAutESP!$A$2,MATCH(BT$29,SSAutESP!$A$2:$A$500)+$A35-1,1)-1)</f>
        <v>-6.7198545545199551E-3</v>
      </c>
      <c r="BU35" s="9">
        <f ca="1">IF(OR(BU8="",BU$28&lt;$A35),"",BU8/OFFSET(SSAutESP!$A$2,MATCH(BU$29,SSAutESP!$A$2:$A$500)+$A35-1,1)-1)</f>
        <v>-8.8064700717960243E-3</v>
      </c>
      <c r="BV35" s="9">
        <f ca="1">IF(OR(BV8="",BV$28&lt;$A35),"",BV8/OFFSET(SSAutESP!$A$2,MATCH(BV$29,SSAutESP!$A$2:$A$500)+$A35-1,1)-1)</f>
        <v>-6.0432753135793993E-3</v>
      </c>
      <c r="BW35" s="9">
        <f ca="1">IF(OR(BW8="",BW$28&lt;$A35),"",BW8/OFFSET(SSAutESP!$A$2,MATCH(BW$29,SSAutESP!$A$2:$A$500)+$A35-1,1)-1)</f>
        <v>1.5117732935587824E-3</v>
      </c>
      <c r="BX35" s="9">
        <f ca="1">IF(OR(BX8="",BX$28&lt;$A35),"",BX8/OFFSET(SSAutESP!$A$2,MATCH(BX$29,SSAutESP!$A$2:$A$500)+$A35-1,1)-1)</f>
        <v>-6.784810158199317E-3</v>
      </c>
      <c r="BY35" s="9">
        <f ca="1">IF(OR(BY8="",BY$28&lt;$A35),"",BY8/OFFSET(SSAutESP!$A$2,MATCH(BY$29,SSAutESP!$A$2:$A$500)+$A35-1,1)-1)</f>
        <v>-4.2544461907231268E-3</v>
      </c>
      <c r="BZ35" s="9">
        <f ca="1">IF(OR(BZ8="",BZ$28&lt;$A35),"",BZ8/OFFSET(SSAutESP!$A$2,MATCH(BZ$29,SSAutESP!$A$2:$A$500)+$A35-1,1)-1)</f>
        <v>-3.1815106345338684E-3</v>
      </c>
      <c r="CA35" s="9">
        <f ca="1">IF(OR(CA8="",CA$28&lt;$A35),"",CA8/OFFSET(SSAutESP!$A$2,MATCH(CA$29,SSAutESP!$A$2:$A$500)+$A35-1,1)-1)</f>
        <v>1.6581901161740742E-3</v>
      </c>
      <c r="CB35" s="9">
        <f ca="1">IF(OR(CB8="",CB$28&lt;$A35),"",CB8/OFFSET(SSAutESP!$A$2,MATCH(CB$29,SSAutESP!$A$2:$A$500)+$A35-1,1)-1)</f>
        <v>2.9194486858659108E-3</v>
      </c>
      <c r="CC35" s="9">
        <f ca="1">IF(OR(CC8="",CC$28&lt;$A35),"",CC8/OFFSET(SSAutESP!$A$2,MATCH(CC$29,SSAutESP!$A$2:$A$500)+$A35-1,1)-1)</f>
        <v>8.4219947698205289E-4</v>
      </c>
      <c r="CD35" s="9">
        <f ca="1">IF(OR(CD8="",CD$28&lt;$A35),"",CD8/OFFSET(SSAutESP!$A$2,MATCH(CD$29,SSAutESP!$A$2:$A$500)+$A35-1,1)-1)</f>
        <v>-4.1977897139348075E-3</v>
      </c>
      <c r="CE35" s="9">
        <f ca="1">IF(OR(CE8="",CE$28&lt;$A35),"",CE8/OFFSET(SSAutESP!$A$2,MATCH(CE$29,SSAutESP!$A$2:$A$500)+$A35-1,1)-1)</f>
        <v>-1.6650699863353102E-3</v>
      </c>
      <c r="CF35" s="9">
        <f ca="1">IF(OR(CF8="",CF$28&lt;$A35),"",CF8/OFFSET(SSAutESP!$A$2,MATCH(CF$29,SSAutESP!$A$2:$A$500)+$A35-1,1)-1)</f>
        <v>-1.4680148278508609E-3</v>
      </c>
      <c r="CG35" s="9">
        <f ca="1">IF(OR(CG8="",CG$28&lt;$A35),"",CG8/OFFSET(SSAutESP!$A$2,MATCH(CG$29,SSAutESP!$A$2:$A$500)+$A35-1,1)-1)</f>
        <v>-2.5649412188845089E-3</v>
      </c>
      <c r="CH35" s="9">
        <f ca="1">IF(OR(CH8="",CH$28&lt;$A35),"",CH8/OFFSET(SSAutESP!$A$2,MATCH(CH$29,SSAutESP!$A$2:$A$500)+$A35-1,1)-1)</f>
        <v>-5.0657586379373454E-3</v>
      </c>
      <c r="CI35" s="9">
        <f ca="1">IF(OR(CI8="",CI$28&lt;$A35),"",CI8/OFFSET(SSAutESP!$A$2,MATCH(CI$29,SSAutESP!$A$2:$A$500)+$A35-1,1)-1)</f>
        <v>-5.625900881118806E-4</v>
      </c>
      <c r="CJ35" s="9">
        <f ca="1">IF(OR(CJ8="",CJ$28&lt;$A35),"",CJ8/OFFSET(SSAutESP!$A$2,MATCH(CJ$29,SSAutESP!$A$2:$A$500)+$A35-1,1)-1)</f>
        <v>-4.8943473462647047E-3</v>
      </c>
      <c r="CK35" s="9">
        <f ca="1">IF(OR(CK8="",CK$28&lt;$A35),"",CK8/OFFSET(SSAutESP!$A$2,MATCH(CK$29,SSAutESP!$A$2:$A$500)+$A35-1,1)-1)</f>
        <v>4.9827862795248645E-3</v>
      </c>
      <c r="CL35" s="9">
        <f ca="1">IF(OR(CL8="",CL$28&lt;$A35),"",CL8/OFFSET(SSAutESP!$A$2,MATCH(CL$29,SSAutESP!$A$2:$A$500)+$A35-1,1)-1)</f>
        <v>6.0088810599252529E-3</v>
      </c>
      <c r="CM35" s="9">
        <f ca="1">IF(OR(CM8="",CM$28&lt;$A35),"",CM8/OFFSET(SSAutESP!$A$2,MATCH(CM$29,SSAutESP!$A$2:$A$500)+$A35-1,1)-1)</f>
        <v>7.1457885652030928E-3</v>
      </c>
      <c r="CN35" s="9">
        <f ca="1">IF(OR(CN8="",CN$28&lt;$A35),"",CN8/OFFSET(SSAutESP!$A$2,MATCH(CN$29,SSAutESP!$A$2:$A$500)+$A35-1,1)-1)</f>
        <v>1.9511508244303144E-3</v>
      </c>
      <c r="CO35" s="9">
        <f ca="1">IF(OR(CO8="",CO$28&lt;$A35),"",CO8/OFFSET(SSAutESP!$A$2,MATCH(CO$29,SSAutESP!$A$2:$A$500)+$A35-1,1)-1)</f>
        <v>6.0106559477994814E-3</v>
      </c>
      <c r="CP35" s="9">
        <f ca="1">IF(OR(CP8="",CP$28&lt;$A35),"",CP8/OFFSET(SSAutESP!$A$2,MATCH(CP$29,SSAutESP!$A$2:$A$500)+$A35-1,1)-1)</f>
        <v>2.616122328121806E-3</v>
      </c>
      <c r="CQ35" s="9">
        <f ca="1">IF(OR(CQ8="",CQ$28&lt;$A35),"",CQ8/OFFSET(SSAutESP!$A$2,MATCH(CQ$29,SSAutESP!$A$2:$A$500)+$A35-1,1)-1)</f>
        <v>5.1469044443019918E-3</v>
      </c>
      <c r="CR35" s="9">
        <f ca="1">IF(OR(CR8="",CR$28&lt;$A35),"",CR8/OFFSET(SSAutESP!$A$2,MATCH(CR$29,SSAutESP!$A$2:$A$500)+$A35-1,1)-1)</f>
        <v>3.4096308142230747E-3</v>
      </c>
      <c r="CS35" s="9">
        <f ca="1">IF(OR(CS8="",CS$28&lt;$A35),"",CS8/OFFSET(SSAutESP!$A$2,MATCH(CS$29,SSAutESP!$A$2:$A$500)+$A35-1,1)-1)</f>
        <v>-5.0928113718806678E-4</v>
      </c>
      <c r="CT35" s="9">
        <f ca="1">IF(OR(CT8="",CT$28&lt;$A35),"",CT8/OFFSET(SSAutESP!$A$2,MATCH(CT$29,SSAutESP!$A$2:$A$500)+$A35-1,1)-1)</f>
        <v>-5.9064023302801694E-4</v>
      </c>
      <c r="CU35" s="9">
        <f ca="1">IF(OR(CU8="",CU$28&lt;$A35),"",CU8/OFFSET(SSAutESP!$A$2,MATCH(CU$29,SSAutESP!$A$2:$A$500)+$A35-1,1)-1)</f>
        <v>-1.1888083925798543E-2</v>
      </c>
      <c r="CV35" s="9">
        <f ca="1">IF(OR(CV8="",CV$28&lt;$A35),"",CV8/OFFSET(SSAutESP!$A$2,MATCH(CV$29,SSAutESP!$A$2:$A$500)+$A35-1,1)-1)</f>
        <v>-7.013579696709682E-4</v>
      </c>
      <c r="CW35" s="9">
        <f ca="1">IF(OR(CW8="",CW$28&lt;$A35),"",CW8/OFFSET(SSAutESP!$A$2,MATCH(CW$29,SSAutESP!$A$2:$A$500)+$A35-1,1)-1)</f>
        <v>1.7577670069199858E-3</v>
      </c>
      <c r="CX35" s="9">
        <f ca="1">IF(OR(CX8="",CX$28&lt;$A35),"",CX8/OFFSET(SSAutESP!$A$2,MATCH(CX$29,SSAutESP!$A$2:$A$500)+$A35-1,1)-1)</f>
        <v>2.865767405990205E-3</v>
      </c>
      <c r="CY35" s="9">
        <f ca="1">IF(OR(CY8="",CY$28&lt;$A35),"",CY8/OFFSET(SSAutESP!$A$2,MATCH(CY$29,SSAutESP!$A$2:$A$500)+$A35-1,1)-1)</f>
        <v>4.7511779207938254E-3</v>
      </c>
      <c r="CZ35" s="9">
        <f ca="1">IF(OR(CZ8="",CZ$28&lt;$A35),"",CZ8/OFFSET(SSAutESP!$A$2,MATCH(CZ$29,SSAutESP!$A$2:$A$500)+$A35-1,1)-1)</f>
        <v>4.4230176984934033E-3</v>
      </c>
      <c r="DA35" s="9">
        <f ca="1">IF(OR(DA8="",DA$28&lt;$A35),"",DA8/OFFSET(SSAutESP!$A$2,MATCH(DA$29,SSAutESP!$A$2:$A$500)+$A35-1,1)-1)</f>
        <v>3.9402898749878457E-3</v>
      </c>
      <c r="DB35" s="9">
        <f ca="1">IF(OR(DB8="",DB$28&lt;$A35),"",DB8/OFFSET(SSAutESP!$A$2,MATCH(DB$29,SSAutESP!$A$2:$A$500)+$A35-1,1)-1)</f>
        <v>-1.4279610043397284E-3</v>
      </c>
      <c r="DC35" s="9">
        <f ca="1">IF(OR(DC8="",DC$28&lt;$A35),"",DC8/OFFSET(SSAutESP!$A$2,MATCH(DC$29,SSAutESP!$A$2:$A$500)+$A35-1,1)-1)</f>
        <v>-2.9503826997874238E-3</v>
      </c>
      <c r="DD35" s="9">
        <f ca="1">IF(OR(DD8="",DD$28&lt;$A35),"",DD8/OFFSET(SSAutESP!$A$2,MATCH(DD$29,SSAutESP!$A$2:$A$500)+$A35-1,1)-1)</f>
        <v>-2.8132569112698791E-3</v>
      </c>
      <c r="DE35" s="9">
        <f ca="1">IF(OR(DE8="",DE$28&lt;$A35),"",DE8/OFFSET(SSAutESP!$A$2,MATCH(DE$29,SSAutESP!$A$2:$A$500)+$A35-1,1)-1)</f>
        <v>-8.2590246749609797E-3</v>
      </c>
      <c r="DF35" s="9">
        <f ca="1">IF(OR(DF8="",DF$28&lt;$A35),"",DF8/OFFSET(SSAutESP!$A$2,MATCH(DF$29,SSAutESP!$A$2:$A$500)+$A35-1,1)-1)</f>
        <v>-5.1109708220540284E-3</v>
      </c>
      <c r="DG35" s="9">
        <f ca="1">IF(OR(DG8="",DG$28&lt;$A35),"",DG8/OFFSET(SSAutESP!$A$2,MATCH(DG$29,SSAutESP!$A$2:$A$500)+$A35-1,1)-1)</f>
        <v>-9.4919085716675955E-3</v>
      </c>
      <c r="DH35" s="9">
        <f ca="1">IF(OR(DH8="",DH$28&lt;$A35),"",DH8/OFFSET(SSAutESP!$A$2,MATCH(DH$29,SSAutESP!$A$2:$A$500)+$A35-1,1)-1)</f>
        <v>-1.3507903734742754E-2</v>
      </c>
      <c r="DI35" s="9">
        <f ca="1">IF(OR(DI8="",DI$28&lt;$A35),"",DI8/OFFSET(SSAutESP!$A$2,MATCH(DI$29,SSAutESP!$A$2:$A$500)+$A35-1,1)-1)</f>
        <v>-9.3267908775809261E-3</v>
      </c>
      <c r="DJ35" s="9">
        <f ca="1">IF(OR(DJ8="",DJ$28&lt;$A35),"",DJ8/OFFSET(SSAutESP!$A$2,MATCH(DJ$29,SSAutESP!$A$2:$A$500)+$A35-1,1)-1)</f>
        <v>-3.3611686587233791E-3</v>
      </c>
      <c r="DK35" s="9">
        <f ca="1">IF(OR(DK8="",DK$28&lt;$A35),"",DK8/OFFSET(SSAutESP!$A$2,MATCH(DK$29,SSAutESP!$A$2:$A$500)+$A35-1,1)-1)</f>
        <v>-3.8075970473889775E-3</v>
      </c>
      <c r="DL35" s="9">
        <f ca="1">IF(OR(DL8="",DL$28&lt;$A35),"",DL8/OFFSET(SSAutESP!$A$2,MATCH(DL$29,SSAutESP!$A$2:$A$500)+$A35-1,1)-1)</f>
        <v>-7.5631640092299612E-4</v>
      </c>
      <c r="DM35" s="9">
        <f ca="1">IF(OR(DM8="",DM$28&lt;$A35),"",DM8/OFFSET(SSAutESP!$A$2,MATCH(DM$29,SSAutESP!$A$2:$A$500)+$A35-1,1)-1)</f>
        <v>1.0678155824577207E-3</v>
      </c>
      <c r="DN35" s="9">
        <f ca="1">IF(OR(DN8="",DN$28&lt;$A35),"",DN8/OFFSET(SSAutESP!$A$2,MATCH(DN$29,SSAutESP!$A$2:$A$500)+$A35-1,1)-1)</f>
        <v>-1.2082876018559507E-2</v>
      </c>
      <c r="DO35" s="9">
        <f ca="1">IF(OR(DO8="",DO$28&lt;$A35),"",DO8/OFFSET(SSAutESP!$A$2,MATCH(DO$29,SSAutESP!$A$2:$A$500)+$A35-1,1)-1)</f>
        <v>-1.0866534842240316E-2</v>
      </c>
      <c r="DP35" s="9">
        <f ca="1">IF(OR(DP8="",DP$28&lt;$A35),"",DP8/OFFSET(SSAutESP!$A$2,MATCH(DP$29,SSAutESP!$A$2:$A$500)+$A35-1,1)-1)</f>
        <v>-1.0153075300547099E-2</v>
      </c>
      <c r="DQ35" s="9">
        <f ca="1">IF(OR(DQ8="",DQ$28&lt;$A35),"",DQ8/OFFSET(SSAutESP!$A$2,MATCH(DQ$29,SSAutESP!$A$2:$A$500)+$A35-1,1)-1)</f>
        <v>-5.1623017589006448E-3</v>
      </c>
      <c r="DR35" s="9">
        <f ca="1">IF(OR(DR8="",DR$28&lt;$A35),"",DR8/OFFSET(SSAutESP!$A$2,MATCH(DR$29,SSAutESP!$A$2:$A$500)+$A35-1,1)-1)</f>
        <v>4.0032075115870036E-4</v>
      </c>
      <c r="DS35" s="9">
        <f ca="1">IF(OR(DS8="",DS$28&lt;$A35),"",DS8/OFFSET(SSAutESP!$A$2,MATCH(DS$29,SSAutESP!$A$2:$A$500)+$A35-1,1)-1)</f>
        <v>-7.9453377028098071E-3</v>
      </c>
      <c r="DT35" s="9">
        <f ca="1">IF(OR(DT8="",DT$28&lt;$A35),"",DT8/OFFSET(SSAutESP!$A$2,MATCH(DT$29,SSAutESP!$A$2:$A$500)+$A35-1,1)-1)</f>
        <v>-3.7291528008334129E-3</v>
      </c>
      <c r="DU35" s="9">
        <f ca="1">IF(OR(DU8="",DU$28&lt;$A35),"",DU8/OFFSET(SSAutESP!$A$2,MATCH(DU$29,SSAutESP!$A$2:$A$500)+$A35-1,1)-1)</f>
        <v>-6.0059367460008062E-5</v>
      </c>
      <c r="DV35" s="9">
        <f ca="1">IF(OR(DV8="",DV$28&lt;$A35),"",DV8/OFFSET(SSAutESP!$A$2,MATCH(DV$29,SSAutESP!$A$2:$A$500)+$A35-1,1)-1)</f>
        <v>7.4950608554109621E-3</v>
      </c>
      <c r="DW35" s="9">
        <f ca="1">IF(OR(DW8="",DW$28&lt;$A35),"",DW8/OFFSET(SSAutESP!$A$2,MATCH(DW$29,SSAutESP!$A$2:$A$500)+$A35-1,1)-1)</f>
        <v>1.0129515483937146E-2</v>
      </c>
      <c r="DX35" s="9">
        <f ca="1">IF(OR(DX8="",DX$28&lt;$A35),"",DX8/OFFSET(SSAutESP!$A$2,MATCH(DX$29,SSAutESP!$A$2:$A$500)+$A35-1,1)-1)</f>
        <v>6.0188517643533501E-3</v>
      </c>
      <c r="DY35" s="9">
        <f ca="1">IF(OR(DY8="",DY$28&lt;$A35),"",DY8/OFFSET(SSAutESP!$A$2,MATCH(DY$29,SSAutESP!$A$2:$A$500)+$A35-1,1)-1)</f>
        <v>3.2034788515020729E-3</v>
      </c>
      <c r="DZ35" s="9">
        <f ca="1">IF(OR(DZ8="",DZ$28&lt;$A35),"",DZ8/OFFSET(SSAutESP!$A$2,MATCH(DZ$29,SSAutESP!$A$2:$A$500)+$A35-1,1)-1)</f>
        <v>-2.2710413856338318E-3</v>
      </c>
      <c r="EA35" s="9">
        <f ca="1">IF(OR(EA8="",EA$28&lt;$A35),"",EA8/OFFSET(SSAutESP!$A$2,MATCH(EA$29,SSAutESP!$A$2:$A$500)+$A35-1,1)-1)</f>
        <v>-7.436241559731771E-4</v>
      </c>
      <c r="EB35" s="9">
        <f ca="1">IF(OR(EB8="",EB$28&lt;$A35),"",EB8/OFFSET(SSAutESP!$A$2,MATCH(EB$29,SSAutESP!$A$2:$A$500)+$A35-1,1)-1)</f>
        <v>-1.714087738324821E-4</v>
      </c>
      <c r="EC35" s="9">
        <f ca="1">IF(OR(EC8="",EC$28&lt;$A35),"",EC8/OFFSET(SSAutESP!$A$2,MATCH(EC$29,SSAutESP!$A$2:$A$500)+$A35-1,1)-1)</f>
        <v>-2.8076670398333725E-3</v>
      </c>
      <c r="ED35" s="9">
        <f ca="1">IF(OR(ED8="",ED$28&lt;$A35),"",ED8/OFFSET(SSAutESP!$A$2,MATCH(ED$29,SSAutESP!$A$2:$A$500)+$A35-1,1)-1)</f>
        <v>4.5134193268991929E-4</v>
      </c>
      <c r="EE35" s="9">
        <f ca="1">IF(OR(EE8="",EE$28&lt;$A35),"",EE8/OFFSET(SSAutESP!$A$2,MATCH(EE$29,SSAutESP!$A$2:$A$500)+$A35-1,1)-1)</f>
        <v>-3.4924392618236322E-3</v>
      </c>
      <c r="EF35" s="9">
        <f ca="1">IF(OR(EF8="",EF$28&lt;$A35),"",EF8/OFFSET(SSAutESP!$A$2,MATCH(EF$29,SSAutESP!$A$2:$A$500)+$A35-1,1)-1)</f>
        <v>1.2964351112039196E-3</v>
      </c>
      <c r="EG35" s="9">
        <f ca="1">IF(OR(EG8="",EG$28&lt;$A35),"",EG8/OFFSET(SSAutESP!$A$2,MATCH(EG$29,SSAutESP!$A$2:$A$500)+$A35-1,1)-1)</f>
        <v>6.4762117263259533E-3</v>
      </c>
      <c r="EH35" s="9">
        <f ca="1">IF(OR(EH8="",EH$28&lt;$A35),"",EH8/OFFSET(SSAutESP!$A$2,MATCH(EH$29,SSAutESP!$A$2:$A$500)+$A35-1,1)-1)</f>
        <v>9.5061638197029286E-3</v>
      </c>
      <c r="EI35" s="9">
        <f ca="1">IF(OR(EI8="",EI$28&lt;$A35),"",EI8/OFFSET(SSAutESP!$A$2,MATCH(EI$29,SSAutESP!$A$2:$A$500)+$A35-1,1)-1)</f>
        <v>7.318345108902724E-3</v>
      </c>
      <c r="EJ35" s="9">
        <f ca="1">IF(OR(EJ8="",EJ$28&lt;$A35),"",EJ8/OFFSET(SSAutESP!$A$2,MATCH(EJ$29,SSAutESP!$A$2:$A$500)+$A35-1,1)-1)</f>
        <v>6.640085548186514E-3</v>
      </c>
      <c r="EK35" s="9">
        <f ca="1">IF(OR(EK8="",EK$28&lt;$A35),"",EK8/OFFSET(SSAutESP!$A$2,MATCH(EK$29,SSAutESP!$A$2:$A$500)+$A35-1,1)-1)</f>
        <v>5.9025311553839721E-4</v>
      </c>
      <c r="EL35" s="9">
        <f ca="1">IF(OR(EL8="",EL$28&lt;$A35),"",EL8/OFFSET(SSAutESP!$A$2,MATCH(EL$29,SSAutESP!$A$2:$A$500)+$A35-1,1)-1)</f>
        <v>-2.7516026235915314E-3</v>
      </c>
      <c r="EM35" s="9">
        <f ca="1">IF(OR(EM8="",EM$28&lt;$A35),"",EM8/OFFSET(SSAutESP!$A$2,MATCH(EM$29,SSAutESP!$A$2:$A$500)+$A35-1,1)-1)</f>
        <v>-1.6912230201844292E-3</v>
      </c>
      <c r="EN35" s="9">
        <f ca="1">IF(OR(EN8="",EN$28&lt;$A35),"",EN8/OFFSET(SSAutESP!$A$2,MATCH(EN$29,SSAutESP!$A$2:$A$500)+$A35-1,1)-1)</f>
        <v>-3.4700888862588819E-3</v>
      </c>
      <c r="EO35" s="9">
        <f ca="1">IF(OR(EO8="",EO$28&lt;$A35),"",EO8/OFFSET(SSAutESP!$A$2,MATCH(EO$29,SSAutESP!$A$2:$A$500)+$A35-1,1)-1)</f>
        <v>1.080727293588879E-3</v>
      </c>
      <c r="EP35" s="9">
        <f ca="1">IF(OR(EP8="",EP$28&lt;$A35),"",EP8/OFFSET(SSAutESP!$A$2,MATCH(EP$29,SSAutESP!$A$2:$A$500)+$A35-1,1)-1)</f>
        <v>-1.8353875908752038E-3</v>
      </c>
      <c r="EQ35" s="9">
        <f ca="1">IF(OR(EQ8="",EQ$28&lt;$A35),"",EQ8/OFFSET(SSAutESP!$A$2,MATCH(EQ$29,SSAutESP!$A$2:$A$500)+$A35-1,1)-1)</f>
        <v>-8.3885850230132064E-3</v>
      </c>
      <c r="ER35" s="9">
        <f ca="1">IF(OR(ER8="",ER$28&lt;$A35),"",ER8/OFFSET(SSAutESP!$A$2,MATCH(ER$29,SSAutESP!$A$2:$A$500)+$A35-1,1)-1)</f>
        <v>8.6642026580352471E-4</v>
      </c>
      <c r="ES35" s="9">
        <f ca="1">IF(OR(ES8="",ES$28&lt;$A35),"",ES8/OFFSET(SSAutESP!$A$2,MATCH(ES$29,SSAutESP!$A$2:$A$500)+$A35-1,1)-1)</f>
        <v>4.767596028409482E-3</v>
      </c>
      <c r="ET35" s="9">
        <f ca="1">IF(OR(ET8="",ET$28&lt;$A35),"",ET8/OFFSET(SSAutESP!$A$2,MATCH(ET$29,SSAutESP!$A$2:$A$500)+$A35-1,1)-1)</f>
        <v>2.1469927200332695E-3</v>
      </c>
      <c r="EU35" s="9">
        <f ca="1">IF(OR(EU8="",EU$28&lt;$A35),"",EU8/OFFSET(SSAutESP!$A$2,MATCH(EU$29,SSAutESP!$A$2:$A$500)+$A35-1,1)-1)</f>
        <v>1.8943277229410693E-3</v>
      </c>
      <c r="EV35" s="9">
        <f ca="1">IF(OR(EV8="",EV$28&lt;$A35),"",EV8/OFFSET(SSAutESP!$A$2,MATCH(EV$29,SSAutESP!$A$2:$A$500)+$A35-1,1)-1)</f>
        <v>2.1157217618474888E-3</v>
      </c>
      <c r="EW35" s="9">
        <f ca="1">IF(OR(EW8="",EW$28&lt;$A35),"",EW8/OFFSET(SSAutESP!$A$2,MATCH(EW$29,SSAutESP!$A$2:$A$500)+$A35-1,1)-1)</f>
        <v>-2.6435684696966E-3</v>
      </c>
      <c r="EX35" s="9">
        <f ca="1">IF(OR(EX8="",EX$28&lt;$A35),"",EX8/OFFSET(SSAutESP!$A$2,MATCH(EX$29,SSAutESP!$A$2:$A$500)+$A35-1,1)-1)</f>
        <v>-2.7195492068495808E-3</v>
      </c>
      <c r="EY35" s="9">
        <f ca="1">IF(OR(EY8="",EY$28&lt;$A35),"",EY8/OFFSET(SSAutESP!$A$2,MATCH(EY$29,SSAutESP!$A$2:$A$500)+$A35-1,1)-1)</f>
        <v>-2.4799875867552723E-3</v>
      </c>
      <c r="EZ35" s="9">
        <f ca="1">IF(OR(EZ8="",EZ$28&lt;$A35),"",EZ8/OFFSET(SSAutESP!$A$2,MATCH(EZ$29,SSAutESP!$A$2:$A$500)+$A35-1,1)-1)</f>
        <v>-1.2243124431514651E-3</v>
      </c>
      <c r="FA35" s="9">
        <f ca="1">IF(OR(FA8="",FA$28&lt;$A35),"",FA8/OFFSET(SSAutESP!$A$2,MATCH(FA$29,SSAutESP!$A$2:$A$500)+$A35-1,1)-1)</f>
        <v>-2.1292380376041198E-3</v>
      </c>
      <c r="FB35" s="9">
        <f ca="1">IF(OR(FB8="",FB$28&lt;$A35),"",FB8/OFFSET(SSAutESP!$A$2,MATCH(FB$29,SSAutESP!$A$2:$A$500)+$A35-1,1)-1)</f>
        <v>-3.6804963473967556E-3</v>
      </c>
      <c r="FC35" s="9">
        <f ca="1">IF(OR(FC8="",FC$28&lt;$A35),"",FC8/OFFSET(SSAutESP!$A$2,MATCH(FC$29,SSAutESP!$A$2:$A$500)+$A35-1,1)-1)</f>
        <v>-4.9689210519664462E-3</v>
      </c>
      <c r="FD35" s="9">
        <f ca="1">IF(OR(FD8="",FD$28&lt;$A35),"",FD8/OFFSET(SSAutESP!$A$2,MATCH(FD$29,SSAutESP!$A$2:$A$500)+$A35-1,1)-1)</f>
        <v>5.0550092161905091E-3</v>
      </c>
      <c r="FE35" s="9">
        <f ca="1">IF(OR(FE8="",FE$28&lt;$A35),"",FE8/OFFSET(SSAutESP!$A$2,MATCH(FE$29,SSAutESP!$A$2:$A$500)+$A35-1,1)-1)</f>
        <v>2.1797775427008226E-3</v>
      </c>
      <c r="FF35" s="9">
        <f ca="1">IF(OR(FF8="",FF$28&lt;$A35),"",FF8/OFFSET(SSAutESP!$A$2,MATCH(FF$29,SSAutESP!$A$2:$A$500)+$A35-1,1)-1)</f>
        <v>4.8239227233637383E-3</v>
      </c>
      <c r="FG35" s="9">
        <f ca="1">IF(OR(FG8="",FG$28&lt;$A35),"",FG8/OFFSET(SSAutESP!$A$2,MATCH(FG$29,SSAutESP!$A$2:$A$500)+$A35-1,1)-1)</f>
        <v>6.676317419554767E-3</v>
      </c>
      <c r="FH35" s="9">
        <f ca="1">IF(OR(FH8="",FH$28&lt;$A35),"",FH8/OFFSET(SSAutESP!$A$2,MATCH(FH$29,SSAutESP!$A$2:$A$500)+$A35-1,1)-1)</f>
        <v>5.8309133017588888E-3</v>
      </c>
      <c r="FI35" s="9">
        <f ca="1">IF(OR(FI8="",FI$28&lt;$A35),"",FI8/OFFSET(SSAutESP!$A$2,MATCH(FI$29,SSAutESP!$A$2:$A$500)+$A35-1,1)-1)</f>
        <v>-3.4764950070874656E-3</v>
      </c>
      <c r="FJ35" s="9">
        <f ca="1">IF(OR(FJ8="",FJ$28&lt;$A35),"",FJ8/OFFSET(SSAutESP!$A$2,MATCH(FJ$29,SSAutESP!$A$2:$A$500)+$A35-1,1)-1)</f>
        <v>-8.5653497315730798E-3</v>
      </c>
      <c r="FK35" s="9">
        <f ca="1">IF(OR(FK8="",FK$28&lt;$A35),"",FK8/OFFSET(SSAutESP!$A$2,MATCH(FK$29,SSAutESP!$A$2:$A$500)+$A35-1,1)-1)</f>
        <v>-4.8356189287004359E-3</v>
      </c>
      <c r="FL35" s="9">
        <f ca="1">IF(OR(FL8="",FL$28&lt;$A35),"",FL8/OFFSET(SSAutESP!$A$2,MATCH(FL$29,SSAutESP!$A$2:$A$500)+$A35-1,1)-1)</f>
        <v>-4.0751741190467872E-3</v>
      </c>
      <c r="FM35" s="9">
        <f ca="1">IF(OR(FM8="",FM$28&lt;$A35),"",FM8/OFFSET(SSAutESP!$A$2,MATCH(FM$29,SSAutESP!$A$2:$A$500)+$A35-1,1)-1)</f>
        <v>-1.1178750135164894E-2</v>
      </c>
      <c r="FN35" s="9">
        <f ca="1">IF(OR(FN8="",FN$28&lt;$A35),"",FN8/OFFSET(SSAutESP!$A$2,MATCH(FN$29,SSAutESP!$A$2:$A$500)+$A35-1,1)-1)</f>
        <v>-1.7337280293226121E-2</v>
      </c>
      <c r="FO35" s="9">
        <f ca="1">IF(OR(FO8="",FO$28&lt;$A35),"",FO8/OFFSET(SSAutESP!$A$2,MATCH(FO$29,SSAutESP!$A$2:$A$500)+$A35-1,1)-1)</f>
        <v>-1.2248634347130083E-2</v>
      </c>
      <c r="FP35" s="9">
        <f ca="1">IF(OR(FP8="",FP$28&lt;$A35),"",FP8/OFFSET(SSAutESP!$A$2,MATCH(FP$29,SSAutESP!$A$2:$A$500)+$A35-1,1)-1)</f>
        <v>7.2770710423684104E-3</v>
      </c>
      <c r="FQ35" s="9">
        <f ca="1">IF(OR(FQ8="",FQ$28&lt;$A35),"",FQ8/OFFSET(SSAutESP!$A$2,MATCH(FQ$29,SSAutESP!$A$2:$A$500)+$A35-1,1)-1)</f>
        <v>8.5930823620470331E-3</v>
      </c>
      <c r="FR35" s="9">
        <f ca="1">IF(OR(FR8="",FR$28&lt;$A35),"",FR8/OFFSET(SSAutESP!$A$2,MATCH(FR$29,SSAutESP!$A$2:$A$500)+$A35-1,1)-1)</f>
        <v>2.955535535346554E-3</v>
      </c>
      <c r="FS35" s="9">
        <f ca="1">IF(OR(FS8="",FS$28&lt;$A35),"",FS8/OFFSET(SSAutESP!$A$2,MATCH(FS$29,SSAutESP!$A$2:$A$500)+$A35-1,1)-1)</f>
        <v>6.1648334066388699E-4</v>
      </c>
      <c r="FT35" s="9">
        <f ca="1">IF(OR(FT8="",FT$28&lt;$A35),"",FT8/OFFSET(SSAutESP!$A$2,MATCH(FT$29,SSAutESP!$A$2:$A$500)+$A35-1,1)-1)</f>
        <v>1.5503848286635424E-3</v>
      </c>
      <c r="FU35" s="9">
        <f ca="1">IF(OR(FU8="",FU$28&lt;$A35),"",FU8/OFFSET(SSAutESP!$A$2,MATCH(FU$29,SSAutESP!$A$2:$A$500)+$A35-1,1)-1)</f>
        <v>1.5306463606192811E-3</v>
      </c>
      <c r="FV35" s="9">
        <f ca="1">IF(OR(FV8="",FV$28&lt;$A35),"",FV8/OFFSET(SSAutESP!$A$2,MATCH(FV$29,SSAutESP!$A$2:$A$500)+$A35-1,1)-1)</f>
        <v>-2.1684707953434357E-3</v>
      </c>
      <c r="FW35" s="9">
        <f ca="1">IF(OR(FW8="",FW$28&lt;$A35),"",FW8/OFFSET(SSAutESP!$A$2,MATCH(FW$29,SSAutESP!$A$2:$A$500)+$A35-1,1)-1)</f>
        <v>2.3260280688928159E-3</v>
      </c>
      <c r="FX35" s="9">
        <f ca="1">IF(OR(FX8="",FX$28&lt;$A35),"",FX8/OFFSET(SSAutESP!$A$2,MATCH(FX$29,SSAutESP!$A$2:$A$500)+$A35-1,1)-1)</f>
        <v>6.0840430084330155E-3</v>
      </c>
      <c r="FY35" s="9">
        <f ca="1">IF(OR(FY8="",FY$28&lt;$A35),"",FY8/OFFSET(SSAutESP!$A$2,MATCH(FY$29,SSAutESP!$A$2:$A$500)+$A35-1,1)-1)</f>
        <v>4.2563118636629316E-3</v>
      </c>
      <c r="FZ35" s="9">
        <f ca="1">IF(OR(FZ8="",FZ$28&lt;$A35),"",FZ8/OFFSET(SSAutESP!$A$2,MATCH(FZ$29,SSAutESP!$A$2:$A$500)+$A35-1,1)-1)</f>
        <v>8.5848104953536453E-3</v>
      </c>
      <c r="GA35" s="9">
        <f ca="1">IF(OR(GA8="",GA$28&lt;$A35),"",GA8/OFFSET(SSAutESP!$A$2,MATCH(GA$29,SSAutESP!$A$2:$A$500)+$A35-1,1)-1)</f>
        <v>-2.5882234770850943E-3</v>
      </c>
      <c r="GB35" s="9">
        <f ca="1">IF(OR(GB8="",GB$28&lt;$A35),"",GB8/OFFSET(SSAutESP!$A$2,MATCH(GB$29,SSAutESP!$A$2:$A$500)+$A35-1,1)-1)</f>
        <v>1.8317740730418031E-3</v>
      </c>
      <c r="GC35" s="9">
        <f ca="1">IF(OR(GC8="",GC$28&lt;$A35),"",GC8/OFFSET(SSAutESP!$A$2,MATCH(GC$29,SSAutESP!$A$2:$A$500)+$A35-1,1)-1)</f>
        <v>6.2390537296419524E-4</v>
      </c>
      <c r="GD35" s="9">
        <f ca="1">IF(OR(GD8="",GD$28&lt;$A35),"",GD8/OFFSET(SSAutESP!$A$2,MATCH(GD$29,SSAutESP!$A$2:$A$500)+$A35-1,1)-1)</f>
        <v>-3.3124274921577657E-3</v>
      </c>
      <c r="GE35" s="9">
        <f ca="1">IF(OR(GE8="",GE$28&lt;$A35),"",GE8/OFFSET(SSAutESP!$A$2,MATCH(GE$29,SSAutESP!$A$2:$A$500)+$A35-1,1)-1)</f>
        <v>-4.3301477028355739E-3</v>
      </c>
      <c r="GF35" s="9">
        <f ca="1">IF(OR(GF8="",GF$28&lt;$A35),"",GF8/OFFSET(SSAutESP!$A$2,MATCH(GF$29,SSAutESP!$A$2:$A$500)+$A35-1,1)-1)</f>
        <v>-3.9860155583475443E-3</v>
      </c>
      <c r="GG35" s="9">
        <f ca="1">IF(OR(GG8="",GG$28&lt;$A35),"",GG8/OFFSET(SSAutESP!$A$2,MATCH(GG$29,SSAutESP!$A$2:$A$500)+$A35-1,1)-1)</f>
        <v>-3.4376299197602656E-3</v>
      </c>
      <c r="GH35" s="9">
        <f ca="1">IF(OR(GH8="",GH$28&lt;$A35),"",GH8/OFFSET(SSAutESP!$A$2,MATCH(GH$29,SSAutESP!$A$2:$A$500)+$A35-1,1)-1)</f>
        <v>-4.853719621623509E-3</v>
      </c>
      <c r="GI35" s="9">
        <f ca="1">IF(OR(GI8="",GI$28&lt;$A35),"",GI8/OFFSET(SSAutESP!$A$2,MATCH(GI$29,SSAutESP!$A$2:$A$500)+$A35-1,1)-1)</f>
        <v>6.2205339592567022E-3</v>
      </c>
      <c r="GJ35" s="9">
        <f ca="1">IF(OR(GJ8="",GJ$28&lt;$A35),"",GJ8/OFFSET(SSAutESP!$A$2,MATCH(GJ$29,SSAutESP!$A$2:$A$500)+$A35-1,1)-1)</f>
        <v>2.5918869214613949E-2</v>
      </c>
      <c r="GK35" s="9">
        <f ca="1">IF(OR(GK8="",GK$28&lt;$A35),"",GK8/OFFSET(SSAutESP!$A$2,MATCH(GK$29,SSAutESP!$A$2:$A$500)+$A35-1,1)-1)</f>
        <v>2.5678547169082133E-2</v>
      </c>
      <c r="GL35" s="9">
        <f ca="1">IF(OR(GL8="",GL$28&lt;$A35),"",GL8/OFFSET(SSAutESP!$A$2,MATCH(GL$29,SSAutESP!$A$2:$A$500)+$A35-1,1)-1)</f>
        <v>1.9318174079496986E-2</v>
      </c>
      <c r="GM35" s="9">
        <f ca="1">IF(OR(GM8="",GM$28&lt;$A35),"",GM8/OFFSET(SSAutESP!$A$2,MATCH(GM$29,SSAutESP!$A$2:$A$500)+$A35-1,1)-1)</f>
        <v>1.1725718513343919E-2</v>
      </c>
      <c r="GN35" s="9">
        <f ca="1">IF(OR(GN8="",GN$28&lt;$A35),"",GN8/OFFSET(SSAutESP!$A$2,MATCH(GN$29,SSAutESP!$A$2:$A$500)+$A35-1,1)-1)</f>
        <v>7.2884656680070048E-3</v>
      </c>
      <c r="GO35" s="9">
        <f ca="1">IF(OR(GO8="",GO$28&lt;$A35),"",GO8/OFFSET(SSAutESP!$A$2,MATCH(GO$29,SSAutESP!$A$2:$A$500)+$A35-1,1)-1)</f>
        <v>-3.1069738291517046E-3</v>
      </c>
      <c r="GP35" s="9">
        <f ca="1">IF(OR(GP8="",GP$28&lt;$A35),"",GP8/OFFSET(SSAutESP!$A$2,MATCH(GP$29,SSAutESP!$A$2:$A$500)+$A35-1,1)-1)</f>
        <v>-3.0724819948471427E-2</v>
      </c>
      <c r="GQ35" s="9">
        <f ca="1">IF(OR(GQ8="",GQ$28&lt;$A35),"",GQ8/OFFSET(SSAutESP!$A$2,MATCH(GQ$29,SSAutESP!$A$2:$A$500)+$A35-1,1)-1)</f>
        <v>-2.9036704203733277E-2</v>
      </c>
      <c r="GR35" s="9">
        <f ca="1">IF(OR(GR8="",GR$28&lt;$A35),"",GR8/OFFSET(SSAutESP!$A$2,MATCH(GR$29,SSAutESP!$A$2:$A$500)+$A35-1,1)-1)</f>
        <v>-1.9570393140372011E-2</v>
      </c>
      <c r="GS35" s="9">
        <f ca="1">IF(OR(GS8="",GS$28&lt;$A35),"",GS8/OFFSET(SSAutESP!$A$2,MATCH(GS$29,SSAutESP!$A$2:$A$500)+$A35-1,1)-1)</f>
        <v>4.8164859343902133E-3</v>
      </c>
      <c r="GT35" s="9" t="str">
        <f ca="1">IF(OR(GT8="",GT$28&lt;$A35),"",GT8/OFFSET(SSAutESP!$A$2,MATCH(GT$29,SSAutESP!$A$2:$A$500)+$A35-1,1)-1)</f>
        <v/>
      </c>
      <c r="GU35" s="9" t="str">
        <f ca="1">IF(OR(GU8="",GU$28&lt;$A35),"",GU8/OFFSET(SSAutESP!$A$2,MATCH(GU$29,SSAutESP!$A$2:$A$500)+$A35-1,1)-1)</f>
        <v/>
      </c>
      <c r="GV35" s="9" t="str">
        <f ca="1">IF(OR(GV8="",GV$28&lt;$A35),"",GV8/OFFSET(SSAutESP!$A$2,MATCH(GV$29,SSAutESP!$A$2:$A$500)+$A35-1,1)-1)</f>
        <v/>
      </c>
      <c r="GW35" s="9" t="str">
        <f ca="1">IF(OR(GW8="",GW$28&lt;$A35),"",GW8/OFFSET(SSAutESP!$A$2,MATCH(GW$29,SSAutESP!$A$2:$A$500)+$A35-1,1)-1)</f>
        <v/>
      </c>
      <c r="GX35" s="9" t="str">
        <f ca="1">IF(OR(GX8="",GX$28&lt;$A35),"",GX8/OFFSET(SSAutESP!$A$2,MATCH(GX$29,SSAutESP!$A$2:$A$500)+$A35-1,1)-1)</f>
        <v/>
      </c>
      <c r="GY35" s="9" t="str">
        <f ca="1">IF(OR(GY8="",GY$28&lt;$A35),"",GY8/OFFSET(SSAutESP!$A$2,MATCH(GY$29,SSAutESP!$A$2:$A$500)+$A35-1,1)-1)</f>
        <v/>
      </c>
      <c r="GZ35" s="9" t="str">
        <f ca="1">IF(OR(GZ8="",GZ$28&lt;$A35),"",GZ8/OFFSET(SSAutESP!$A$2,MATCH(GZ$29,SSAutESP!$A$2:$A$500)+$A35-1,1)-1)</f>
        <v/>
      </c>
      <c r="HA35" s="9" t="str">
        <f ca="1">IF(OR(HA8="",HA$28&lt;$A35),"",HA8/OFFSET(SSAutESP!$A$2,MATCH(HA$29,SSAutESP!$A$2:$A$500)+$A35-1,1)-1)</f>
        <v/>
      </c>
      <c r="HB35" s="9" t="str">
        <f ca="1">IF(OR(HB8="",HB$28&lt;$A35),"",HB8/OFFSET(SSAutESP!$A$2,MATCH(HB$29,SSAutESP!$A$2:$A$500)+$A35-1,1)-1)</f>
        <v/>
      </c>
      <c r="HC35" s="9" t="str">
        <f ca="1">IF(OR(HC8="",HC$28&lt;$A35),"",HC8/OFFSET(SSAutESP!$A$2,MATCH(HC$29,SSAutESP!$A$2:$A$500)+$A35-1,1)-1)</f>
        <v/>
      </c>
      <c r="HD35" s="9" t="str">
        <f ca="1">IF(OR(HD8="",HD$28&lt;$A35),"",HD8/OFFSET(SSAutESP!$A$2,MATCH(HD$29,SSAutESP!$A$2:$A$500)+$A35-1,1)-1)</f>
        <v/>
      </c>
      <c r="HE35" s="9" t="str">
        <f ca="1">IF(OR(HE8="",HE$28&lt;$A35),"",HE8/OFFSET(SSAutESP!$A$2,MATCH(HE$29,SSAutESP!$A$2:$A$500)+$A35-1,1)-1)</f>
        <v/>
      </c>
      <c r="HF35" s="9" t="str">
        <f ca="1">IF(OR(HF8="",HF$28&lt;$A35),"",HF8/OFFSET(SSAutESP!$A$2,MATCH(HF$29,SSAutESP!$A$2:$A$500)+$A35-1,1)-1)</f>
        <v/>
      </c>
      <c r="HG35" s="9" t="str">
        <f ca="1">IF(OR(HG8="",HG$28&lt;$A35),"",HG8/OFFSET(SSAutESP!$A$2,MATCH(HG$29,SSAutESP!$A$2:$A$500)+$A35-1,1)-1)</f>
        <v/>
      </c>
      <c r="HH35" s="9" t="str">
        <f ca="1">IF(OR(HH8="",HH$28&lt;$A35),"",HH8/OFFSET(SSAutESP!$A$2,MATCH(HH$29,SSAutESP!$A$2:$A$500)+$A35-1,1)-1)</f>
        <v/>
      </c>
      <c r="HI35" s="9" t="str">
        <f ca="1">IF(OR(HI8="",HI$28&lt;$A35),"",HI8/OFFSET(SSAutESP!$A$2,MATCH(HI$29,SSAutESP!$A$2:$A$500)+$A35-1,1)-1)</f>
        <v/>
      </c>
      <c r="HJ35" s="9" t="str">
        <f ca="1">IF(OR(HJ8="",HJ$28&lt;$A35),"",HJ8/OFFSET(SSAutESP!$A$2,MATCH(HJ$29,SSAutESP!$A$2:$A$500)+$A35-1,1)-1)</f>
        <v/>
      </c>
      <c r="HK35" s="9" t="str">
        <f ca="1">IF(OR(HK8="",HK$28&lt;$A35),"",HK8/OFFSET(SSAutESP!$A$2,MATCH(HK$29,SSAutESP!$A$2:$A$500)+$A35-1,1)-1)</f>
        <v/>
      </c>
      <c r="HL35" s="9" t="str">
        <f ca="1">IF(OR(HL8="",HL$28&lt;$A35),"",HL8/OFFSET(SSAutESP!$A$2,MATCH(HL$29,SSAutESP!$A$2:$A$500)+$A35-1,1)-1)</f>
        <v/>
      </c>
      <c r="HM35" s="9" t="str">
        <f ca="1">IF(OR(HM8="",HM$28&lt;$A35),"",HM8/OFFSET(SSAutESP!$A$2,MATCH(HM$29,SSAutESP!$A$2:$A$500)+$A35-1,1)-1)</f>
        <v/>
      </c>
      <c r="HN35" s="9" t="str">
        <f ca="1">IF(OR(HN8="",HN$28&lt;$A35),"",HN8/OFFSET(SSAutESP!$A$2,MATCH(HN$29,SSAutESP!$A$2:$A$500)+$A35-1,1)-1)</f>
        <v/>
      </c>
      <c r="HO35" s="9" t="str">
        <f ca="1">IF(OR(HO8="",HO$28&lt;$A35),"",HO8/OFFSET(SSAutESP!$A$2,MATCH(HO$29,SSAutESP!$A$2:$A$500)+$A35-1,1)-1)</f>
        <v/>
      </c>
      <c r="HP35" s="9" t="str">
        <f ca="1">IF(OR(HP8="",HP$28&lt;$A35),"",HP8/OFFSET(SSAutESP!$A$2,MATCH(HP$29,SSAutESP!$A$2:$A$500)+$A35-1,1)-1)</f>
        <v/>
      </c>
      <c r="HQ35" s="9" t="str">
        <f ca="1">IF(OR(HQ8="",HQ$28&lt;$A35),"",HQ8/OFFSET(SSAutESP!$A$2,MATCH(HQ$29,SSAutESP!$A$2:$A$500)+$A35-1,1)-1)</f>
        <v/>
      </c>
      <c r="HR35" s="9" t="str">
        <f ca="1">IF(OR(HR8="",HR$28&lt;$A35),"",HR8/OFFSET(SSAutESP!$A$2,MATCH(HR$29,SSAutESP!$A$2:$A$500)+$A35-1,1)-1)</f>
        <v/>
      </c>
      <c r="HS35" s="9" t="str">
        <f ca="1">IF(OR(HS8="",HS$28&lt;$A35),"",HS8/OFFSET(SSAutESP!$A$2,MATCH(HS$29,SSAutESP!$A$2:$A$500)+$A35-1,1)-1)</f>
        <v/>
      </c>
      <c r="HT35" s="9" t="str">
        <f ca="1">IF(OR(HT8="",HT$28&lt;$A35),"",HT8/OFFSET(SSAutESP!$A$2,MATCH(HT$29,SSAutESP!$A$2:$A$500)+$A35-1,1)-1)</f>
        <v/>
      </c>
      <c r="HU35" s="9" t="str">
        <f ca="1">IF(OR(HU8="",HU$28&lt;$A35),"",HU8/OFFSET(SSAutESP!$A$2,MATCH(HU$29,SSAutESP!$A$2:$A$500)+$A35-1,1)-1)</f>
        <v/>
      </c>
      <c r="HV35" s="9" t="str">
        <f ca="1">IF(OR(HV8="",HV$28&lt;$A35),"",HV8/OFFSET(SSAutESP!$A$2,MATCH(HV$29,SSAutESP!$A$2:$A$500)+$A35-1,1)-1)</f>
        <v/>
      </c>
      <c r="HW35" s="9" t="str">
        <f ca="1">IF(OR(HW8="",HW$28&lt;$A35),"",HW8/OFFSET(SSAutESP!$A$2,MATCH(HW$29,SSAutESP!$A$2:$A$500)+$A35-1,1)-1)</f>
        <v/>
      </c>
      <c r="HX35" s="9" t="str">
        <f ca="1">IF(OR(HX8="",HX$28&lt;$A35),"",HX8/OFFSET(SSAutESP!$A$2,MATCH(HX$29,SSAutESP!$A$2:$A$500)+$A35-1,1)-1)</f>
        <v/>
      </c>
      <c r="HY35" s="9" t="str">
        <f ca="1">IF(OR(HY8="",HY$28&lt;$A35),"",HY8/OFFSET(SSAutESP!$A$2,MATCH(HY$29,SSAutESP!$A$2:$A$500)+$A35-1,1)-1)</f>
        <v/>
      </c>
      <c r="HZ35" s="9" t="str">
        <f ca="1">IF(OR(HZ8="",HZ$28&lt;$A35),"",HZ8/OFFSET(SSAutESP!$A$2,MATCH(HZ$29,SSAutESP!$A$2:$A$500)+$A35-1,1)-1)</f>
        <v/>
      </c>
      <c r="IA35" s="9" t="str">
        <f ca="1">IF(OR(IA8="",IA$28&lt;$A35),"",IA8/OFFSET(SSAutESP!$A$2,MATCH(IA$29,SSAutESP!$A$2:$A$500)+$A35-1,1)-1)</f>
        <v/>
      </c>
      <c r="IB35" s="9" t="str">
        <f ca="1">IF(OR(IB8="",IB$28&lt;$A35),"",IB8/OFFSET(SSAutESP!$A$2,MATCH(IB$29,SSAutESP!$A$2:$A$500)+$A35-1,1)-1)</f>
        <v/>
      </c>
      <c r="IC35" s="9" t="str">
        <f ca="1">IF(OR(IC8="",IC$28&lt;$A35),"",IC8/OFFSET(SSAutESP!$A$2,MATCH(IC$29,SSAutESP!$A$2:$A$500)+$A35-1,1)-1)</f>
        <v/>
      </c>
      <c r="ID35" s="9" t="str">
        <f ca="1">IF(OR(ID8="",ID$28&lt;$A35),"",ID8/OFFSET(SSAutESP!$A$2,MATCH(ID$29,SSAutESP!$A$2:$A$500)+$A35-1,1)-1)</f>
        <v/>
      </c>
      <c r="IE35" s="9" t="str">
        <f ca="1">IF(OR(IE8="",IE$28&lt;$A35),"",IE8/OFFSET(SSAutESP!$A$2,MATCH(IE$29,SSAutESP!$A$2:$A$500)+$A35-1,1)-1)</f>
        <v/>
      </c>
      <c r="IF35" s="9" t="str">
        <f ca="1">IF(OR(IF8="",IF$28&lt;$A35),"",IF8/OFFSET(SSAutESP!$A$2,MATCH(IF$29,SSAutESP!$A$2:$A$500)+$A35-1,1)-1)</f>
        <v/>
      </c>
      <c r="IG35" s="9" t="str">
        <f ca="1">IF(OR(IG8="",IG$28&lt;$A35),"",IG8/OFFSET(SSAutESP!$A$2,MATCH(IG$29,SSAutESP!$A$2:$A$500)+$A35-1,1)-1)</f>
        <v/>
      </c>
      <c r="IH35" s="9" t="str">
        <f ca="1">IF(OR(IH8="",IH$28&lt;$A35),"",IH8/OFFSET(SSAutESP!$A$2,MATCH(IH$29,SSAutESP!$A$2:$A$500)+$A35-1,1)-1)</f>
        <v/>
      </c>
      <c r="II35" s="9" t="str">
        <f ca="1">IF(OR(II8="",II$28&lt;$A35),"",II8/OFFSET(SSAutESP!$A$2,MATCH(II$29,SSAutESP!$A$2:$A$500)+$A35-1,1)-1)</f>
        <v/>
      </c>
      <c r="IJ35" s="9" t="str">
        <f ca="1">IF(OR(IJ8="",IJ$28&lt;$A35),"",IJ8/OFFSET(SSAutESP!$A$2,MATCH(IJ$29,SSAutESP!$A$2:$A$500)+$A35-1,1)-1)</f>
        <v/>
      </c>
      <c r="IK35" s="9" t="str">
        <f ca="1">IF(OR(IK8="",IK$28&lt;$A35),"",IK8/OFFSET(SSAutESP!$A$2,MATCH(IK$29,SSAutESP!$A$2:$A$500)+$A35-1,1)-1)</f>
        <v/>
      </c>
      <c r="IL35" s="9" t="str">
        <f ca="1">IF(OR(IL8="",IL$28&lt;$A35),"",IL8/OFFSET(SSAutESP!$A$2,MATCH(IL$29,SSAutESP!$A$2:$A$500)+$A35-1,1)-1)</f>
        <v/>
      </c>
      <c r="IM35" s="9" t="str">
        <f ca="1">IF(OR(IM8="",IM$28&lt;$A35),"",IM8/OFFSET(SSAutESP!$A$2,MATCH(IM$29,SSAutESP!$A$2:$A$500)+$A35-1,1)-1)</f>
        <v/>
      </c>
      <c r="IN35" s="9" t="str">
        <f ca="1">IF(OR(IN8="",IN$28&lt;$A35),"",IN8/OFFSET(SSAutESP!$A$2,MATCH(IN$29,SSAutESP!$A$2:$A$500)+$A35-1,1)-1)</f>
        <v/>
      </c>
      <c r="IO35" s="9" t="str">
        <f ca="1">IF(OR(IO8="",IO$28&lt;$A35),"",IO8/OFFSET(SSAutESP!$A$2,MATCH(IO$29,SSAutESP!$A$2:$A$500)+$A35-1,1)-1)</f>
        <v/>
      </c>
      <c r="IP35" s="9" t="str">
        <f ca="1">IF(OR(IP8="",IP$28&lt;$A35),"",IP8/OFFSET(SSAutESP!$A$2,MATCH(IP$29,SSAutESP!$A$2:$A$500)+$A35-1,1)-1)</f>
        <v/>
      </c>
      <c r="IQ35" s="9" t="str">
        <f ca="1">IF(OR(IQ8="",IQ$28&lt;$A35),"",IQ8/OFFSET(SSAutESP!$A$2,MATCH(IQ$29,SSAutESP!$A$2:$A$500)+$A35-1,1)-1)</f>
        <v/>
      </c>
      <c r="IR35" s="9" t="str">
        <f ca="1">IF(OR(IR8="",IR$28&lt;$A35),"",IR8/OFFSET(SSAutESP!$A$2,MATCH(IR$29,SSAutESP!$A$2:$A$500)+$A35-1,1)-1)</f>
        <v/>
      </c>
      <c r="IS35" s="9" t="str">
        <f ca="1">IF(OR(IS8="",IS$28&lt;$A35),"",IS8/OFFSET(SSAutESP!$A$2,MATCH(IS$29,SSAutESP!$A$2:$A$500)+$A35-1,1)-1)</f>
        <v/>
      </c>
      <c r="IT35" s="9" t="str">
        <f ca="1">IF(OR(IT8="",IT$28&lt;$A35),"",IT8/OFFSET(SSAutESP!$A$2,MATCH(IT$29,SSAutESP!$A$2:$A$500)+$A35-1,1)-1)</f>
        <v/>
      </c>
      <c r="IU35" s="9" t="str">
        <f ca="1">IF(OR(IU8="",IU$28&lt;$A35),"",IU8/OFFSET(SSAutESP!$A$2,MATCH(IU$29,SSAutESP!$A$2:$A$500)+$A35-1,1)-1)</f>
        <v/>
      </c>
      <c r="IV35" s="9" t="str">
        <f ca="1">IF(OR(IV8="",IV$28&lt;$A35),"",IV8/OFFSET(SSAutESP!$A$2,MATCH(IV$29,SSAutESP!$A$2:$A$500)+$A35-1,1)-1)</f>
        <v/>
      </c>
      <c r="IW35" s="9" t="str">
        <f ca="1">IF(OR(IW8="",IW$28&lt;$A35),"",IW8/OFFSET(SSAutESP!$A$2,MATCH(IW$29,SSAutESP!$A$2:$A$500)+$A35-1,1)-1)</f>
        <v/>
      </c>
      <c r="IX35" s="9" t="str">
        <f ca="1">IF(OR(IX8="",IX$28&lt;$A35),"",IX8/OFFSET(SSAutESP!$A$2,MATCH(IX$29,SSAutESP!$A$2:$A$500)+$A35-1,1)-1)</f>
        <v/>
      </c>
      <c r="IY35" s="9" t="str">
        <f ca="1">IF(OR(IY8="",IY$28&lt;$A35),"",IY8/OFFSET(SSAutESP!$A$2,MATCH(IY$29,SSAutESP!$A$2:$A$500)+$A35-1,1)-1)</f>
        <v/>
      </c>
      <c r="IZ35" s="9" t="str">
        <f ca="1">IF(OR(IZ8="",IZ$28&lt;$A35),"",IZ8/OFFSET(SSAutESP!$A$2,MATCH(IZ$29,SSAutESP!$A$2:$A$500)+$A35-1,1)-1)</f>
        <v/>
      </c>
      <c r="JA35" s="9" t="str">
        <f ca="1">IF(OR(JA8="",JA$28&lt;$A35),"",JA8/OFFSET(SSAutESP!$A$2,MATCH(JA$29,SSAutESP!$A$2:$A$500)+$A35-1,1)-1)</f>
        <v/>
      </c>
      <c r="JB35" s="9" t="str">
        <f ca="1">IF(OR(JB8="",JB$28&lt;$A35),"",JB8/OFFSET(SSAutESP!$A$2,MATCH(JB$29,SSAutESP!$A$2:$A$500)+$A35-1,1)-1)</f>
        <v/>
      </c>
      <c r="JC35" s="9" t="str">
        <f ca="1">IF(OR(JC8="",JC$28&lt;$A35),"",JC8/OFFSET(SSAutESP!$A$2,MATCH(JC$29,SSAutESP!$A$2:$A$500)+$A35-1,1)-1)</f>
        <v/>
      </c>
      <c r="JD35" s="9" t="str">
        <f ca="1">IF(OR(JD8="",JD$28&lt;$A35),"",JD8/OFFSET(SSAutESP!$A$2,MATCH(JD$29,SSAutESP!$A$2:$A$500)+$A35-1,1)-1)</f>
        <v/>
      </c>
      <c r="JE35" s="9" t="str">
        <f ca="1">IF(OR(JE8="",JE$28&lt;$A35),"",JE8/OFFSET(SSAutESP!$A$2,MATCH(JE$29,SSAutESP!$A$2:$A$500)+$A35-1,1)-1)</f>
        <v/>
      </c>
      <c r="JF35" s="9" t="str">
        <f ca="1">IF(OR(JF8="",JF$28&lt;$A35),"",JF8/OFFSET(SSAutESP!$A$2,MATCH(JF$29,SSAutESP!$A$2:$A$500)+$A35-1,1)-1)</f>
        <v/>
      </c>
      <c r="JG35" s="9" t="str">
        <f ca="1">IF(OR(JG8="",JG$28&lt;$A35),"",JG8/OFFSET(SSAutESP!$A$2,MATCH(JG$29,SSAutESP!$A$2:$A$500)+$A35-1,1)-1)</f>
        <v/>
      </c>
      <c r="JH35" s="9" t="str">
        <f ca="1">IF(OR(JH8="",JH$28&lt;$A35),"",JH8/OFFSET(SSAutESP!$A$2,MATCH(JH$29,SSAutESP!$A$2:$A$500)+$A35-1,1)-1)</f>
        <v/>
      </c>
      <c r="JI35" s="13">
        <f t="shared" ca="1" si="13"/>
        <v>1.1311818675516553E-3</v>
      </c>
      <c r="JJ35" s="13">
        <f t="shared" ca="1" si="14"/>
        <v>1.5503848286635424E-3</v>
      </c>
      <c r="JK35" s="14">
        <f t="shared" ca="1" si="15"/>
        <v>1.5233249456999011E-4</v>
      </c>
      <c r="JL35" s="17">
        <f t="shared" ca="1" si="18"/>
        <v>1.2342305075227647E-2</v>
      </c>
      <c r="JM35" s="15" t="str">
        <f t="shared" ca="1" si="16"/>
        <v>[ -2,36% ; 2,58% ]</v>
      </c>
      <c r="JN35" s="17">
        <f t="shared" ca="1" si="17"/>
        <v>1.5798150496291387E-2</v>
      </c>
      <c r="LY35" s="1"/>
    </row>
    <row r="36" spans="1:337" x14ac:dyDescent="0.25">
      <c r="A36" s="4">
        <v>7</v>
      </c>
      <c r="B36" s="9">
        <f ca="1">IF(OR(B9="",B$28&lt;$A36),"",B9/OFFSET(SSAutESP!$A$2,MATCH(B$29,SSAutESP!$A$2:$A$500)+$A36-1,1)-1)</f>
        <v>-3.4158526465776218E-3</v>
      </c>
      <c r="C36" s="9">
        <f ca="1">IF(OR(C9="",C$28&lt;$A36),"",C9/OFFSET(SSAutESP!$A$2,MATCH(C$29,SSAutESP!$A$2:$A$500)+$A36-1,1)-1)</f>
        <v>1.7366144882122736E-3</v>
      </c>
      <c r="D36" s="9">
        <f ca="1">IF(OR(D9="",D$28&lt;$A36),"",D9/OFFSET(SSAutESP!$A$2,MATCH(D$29,SSAutESP!$A$2:$A$500)+$A36-1,1)-1)</f>
        <v>4.2659482299591822E-3</v>
      </c>
      <c r="E36" s="9">
        <f ca="1">IF(OR(E9="",E$28&lt;$A36),"",E9/OFFSET(SSAutESP!$A$2,MATCH(E$29,SSAutESP!$A$2:$A$500)+$A36-1,1)-1)</f>
        <v>5.7373899099519843E-3</v>
      </c>
      <c r="F36" s="9">
        <f ca="1">IF(OR(F9="",F$28&lt;$A36),"",F9/OFFSET(SSAutESP!$A$2,MATCH(F$29,SSAutESP!$A$2:$A$500)+$A36-1,1)-1)</f>
        <v>5.1773136055448532E-3</v>
      </c>
      <c r="G36" s="9">
        <f ca="1">IF(OR(G9="",G$28&lt;$A36),"",G9/OFFSET(SSAutESP!$A$2,MATCH(G$29,SSAutESP!$A$2:$A$500)+$A36-1,1)-1)</f>
        <v>1.9099608025614501E-3</v>
      </c>
      <c r="H36" s="9">
        <f ca="1">IF(OR(H9="",H$28&lt;$A36),"",H9/OFFSET(SSAutESP!$A$2,MATCH(H$29,SSAutESP!$A$2:$A$500)+$A36-1,1)-1)</f>
        <v>1.9840023956245734E-3</v>
      </c>
      <c r="I36" s="9">
        <f ca="1">IF(OR(I9="",I$28&lt;$A36),"",I9/OFFSET(SSAutESP!$A$2,MATCH(I$29,SSAutESP!$A$2:$A$500)+$A36-1,1)-1)</f>
        <v>1.1293810417980499E-3</v>
      </c>
      <c r="J36" s="9">
        <f ca="1">IF(OR(J9="",J$28&lt;$A36),"",J9/OFFSET(SSAutESP!$A$2,MATCH(J$29,SSAutESP!$A$2:$A$500)+$A36-1,1)-1)</f>
        <v>-3.2926767632135423E-4</v>
      </c>
      <c r="K36" s="9">
        <f ca="1">IF(OR(K9="",K$28&lt;$A36),"",K9/OFFSET(SSAutESP!$A$2,MATCH(K$29,SSAutESP!$A$2:$A$500)+$A36-1,1)-1)</f>
        <v>-2.6626646364191764E-4</v>
      </c>
      <c r="L36" s="9">
        <f ca="1">IF(OR(L9="",L$28&lt;$A36),"",L9/OFFSET(SSAutESP!$A$2,MATCH(L$29,SSAutESP!$A$2:$A$500)+$A36-1,1)-1)</f>
        <v>2.4690865736332057E-4</v>
      </c>
      <c r="M36" s="9">
        <f ca="1">IF(OR(M9="",M$28&lt;$A36),"",M9/OFFSET(SSAutESP!$A$2,MATCH(M$29,SSAutESP!$A$2:$A$500)+$A36-1,1)-1)</f>
        <v>1.3844844980650528E-3</v>
      </c>
      <c r="N36" s="9">
        <f ca="1">IF(OR(N9="",N$28&lt;$A36),"",N9/OFFSET(SSAutESP!$A$2,MATCH(N$29,SSAutESP!$A$2:$A$500)+$A36-1,1)-1)</f>
        <v>5.3706134568691777E-3</v>
      </c>
      <c r="O36" s="9">
        <f ca="1">IF(OR(O9="",O$28&lt;$A36),"",O9/OFFSET(SSAutESP!$A$2,MATCH(O$29,SSAutESP!$A$2:$A$500)+$A36-1,1)-1)</f>
        <v>6.6479138178412445E-3</v>
      </c>
      <c r="P36" s="9">
        <f ca="1">IF(OR(P9="",P$28&lt;$A36),"",P9/OFFSET(SSAutESP!$A$2,MATCH(P$29,SSAutESP!$A$2:$A$500)+$A36-1,1)-1)</f>
        <v>4.7963468927594288E-3</v>
      </c>
      <c r="Q36" s="9">
        <f ca="1">IF(OR(Q9="",Q$28&lt;$A36),"",Q9/OFFSET(SSAutESP!$A$2,MATCH(Q$29,SSAutESP!$A$2:$A$500)+$A36-1,1)-1)</f>
        <v>3.388403126056927E-3</v>
      </c>
      <c r="R36" s="9">
        <f ca="1">IF(OR(R9="",R$28&lt;$A36),"",R9/OFFSET(SSAutESP!$A$2,MATCH(R$29,SSAutESP!$A$2:$A$500)+$A36-1,1)-1)</f>
        <v>1.6755111000692491E-3</v>
      </c>
      <c r="S36" s="9">
        <f ca="1">IF(OR(S9="",S$28&lt;$A36),"",S9/OFFSET(SSAutESP!$A$2,MATCH(S$29,SSAutESP!$A$2:$A$500)+$A36-1,1)-1)</f>
        <v>5.1054045107323809E-4</v>
      </c>
      <c r="T36" s="9">
        <f ca="1">IF(OR(T9="",T$28&lt;$A36),"",T9/OFFSET(SSAutESP!$A$2,MATCH(T$29,SSAutESP!$A$2:$A$500)+$A36-1,1)-1)</f>
        <v>1.0500650924869515E-3</v>
      </c>
      <c r="U36" s="9">
        <f ca="1">IF(OR(U9="",U$28&lt;$A36),"",U9/OFFSET(SSAutESP!$A$2,MATCH(U$29,SSAutESP!$A$2:$A$500)+$A36-1,1)-1)</f>
        <v>-1.1909403260944584E-3</v>
      </c>
      <c r="V36" s="9">
        <f ca="1">IF(OR(V9="",V$28&lt;$A36),"",V9/OFFSET(SSAutESP!$A$2,MATCH(V$29,SSAutESP!$A$2:$A$500)+$A36-1,1)-1)</f>
        <v>-1.5773321162023679E-3</v>
      </c>
      <c r="W36" s="9">
        <f ca="1">IF(OR(W9="",W$28&lt;$A36),"",W9/OFFSET(SSAutESP!$A$2,MATCH(W$29,SSAutESP!$A$2:$A$500)+$A36-1,1)-1)</f>
        <v>3.3624342536286989E-5</v>
      </c>
      <c r="X36" s="9">
        <f ca="1">IF(OR(X9="",X$28&lt;$A36),"",X9/OFFSET(SSAutESP!$A$2,MATCH(X$29,SSAutESP!$A$2:$A$500)+$A36-1,1)-1)</f>
        <v>-3.5986207134730552E-4</v>
      </c>
      <c r="Y36" s="9">
        <f ca="1">IF(OR(Y9="",Y$28&lt;$A36),"",Y9/OFFSET(SSAutESP!$A$2,MATCH(Y$29,SSAutESP!$A$2:$A$500)+$A36-1,1)-1)</f>
        <v>7.9137081547897559E-4</v>
      </c>
      <c r="Z36" s="9">
        <f ca="1">IF(OR(Z9="",Z$28&lt;$A36),"",Z9/OFFSET(SSAutESP!$A$2,MATCH(Z$29,SSAutESP!$A$2:$A$500)+$A36-1,1)-1)</f>
        <v>2.0473338120450268E-3</v>
      </c>
      <c r="AA36" s="9">
        <f ca="1">IF(OR(AA9="",AA$28&lt;$A36),"",AA9/OFFSET(SSAutESP!$A$2,MATCH(AA$29,SSAutESP!$A$2:$A$500)+$A36-1,1)-1)</f>
        <v>2.8580604097860896E-3</v>
      </c>
      <c r="AB36" s="9">
        <f ca="1">IF(OR(AB9="",AB$28&lt;$A36),"",AB9/OFFSET(SSAutESP!$A$2,MATCH(AB$29,SSAutESP!$A$2:$A$500)+$A36-1,1)-1)</f>
        <v>2.5372361558424483E-3</v>
      </c>
      <c r="AC36" s="9">
        <f ca="1">IF(OR(AC9="",AC$28&lt;$A36),"",AC9/OFFSET(SSAutESP!$A$2,MATCH(AC$29,SSAutESP!$A$2:$A$500)+$A36-1,1)-1)</f>
        <v>-1.0800012356672051E-3</v>
      </c>
      <c r="AD36" s="9">
        <f ca="1">IF(OR(AD9="",AD$28&lt;$A36),"",AD9/OFFSET(SSAutESP!$A$2,MATCH(AD$29,SSAutESP!$A$2:$A$500)+$A36-1,1)-1)</f>
        <v>-1.387962867175796E-3</v>
      </c>
      <c r="AE36" s="9">
        <f ca="1">IF(OR(AE9="",AE$28&lt;$A36),"",AE9/OFFSET(SSAutESP!$A$2,MATCH(AE$29,SSAutESP!$A$2:$A$500)+$A36-1,1)-1)</f>
        <v>-7.9338742095735881E-4</v>
      </c>
      <c r="AF36" s="9">
        <f ca="1">IF(OR(AF9="",AF$28&lt;$A36),"",AF9/OFFSET(SSAutESP!$A$2,MATCH(AF$29,SSAutESP!$A$2:$A$500)+$A36-1,1)-1)</f>
        <v>-2.9351890427552485E-3</v>
      </c>
      <c r="AG36" s="9">
        <f ca="1">IF(OR(AG9="",AG$28&lt;$A36),"",AG9/OFFSET(SSAutESP!$A$2,MATCH(AG$29,SSAutESP!$A$2:$A$500)+$A36-1,1)-1)</f>
        <v>-5.399543623873404E-3</v>
      </c>
      <c r="AH36" s="9">
        <f ca="1">IF(OR(AH9="",AH$28&lt;$A36),"",AH9/OFFSET(SSAutESP!$A$2,MATCH(AH$29,SSAutESP!$A$2:$A$500)+$A36-1,1)-1)</f>
        <v>-8.3470931158120543E-3</v>
      </c>
      <c r="AI36" s="9">
        <f ca="1">IF(OR(AI9="",AI$28&lt;$A36),"",AI9/OFFSET(SSAutESP!$A$2,MATCH(AI$29,SSAutESP!$A$2:$A$500)+$A36-1,1)-1)</f>
        <v>-6.4193857990891834E-3</v>
      </c>
      <c r="AJ36" s="9">
        <f ca="1">IF(OR(AJ9="",AJ$28&lt;$A36),"",AJ9/OFFSET(SSAutESP!$A$2,MATCH(AJ$29,SSAutESP!$A$2:$A$500)+$A36-1,1)-1)</f>
        <v>-5.0232465826069994E-3</v>
      </c>
      <c r="AK36" s="9">
        <f ca="1">IF(OR(AK9="",AK$28&lt;$A36),"",AK9/OFFSET(SSAutESP!$A$2,MATCH(AK$29,SSAutESP!$A$2:$A$500)+$A36-1,1)-1)</f>
        <v>-5.6561617922310514E-3</v>
      </c>
      <c r="AL36" s="9">
        <f ca="1">IF(OR(AL9="",AL$28&lt;$A36),"",AL9/OFFSET(SSAutESP!$A$2,MATCH(AL$29,SSAutESP!$A$2:$A$500)+$A36-1,1)-1)</f>
        <v>-5.215585138782064E-3</v>
      </c>
      <c r="AM36" s="9">
        <f ca="1">IF(OR(AM9="",AM$28&lt;$A36),"",AM9/OFFSET(SSAutESP!$A$2,MATCH(AM$29,SSAutESP!$A$2:$A$500)+$A36-1,1)-1)</f>
        <v>-2.4018701153022404E-3</v>
      </c>
      <c r="AN36" s="9">
        <f ca="1">IF(OR(AN9="",AN$28&lt;$A36),"",AN9/OFFSET(SSAutESP!$A$2,MATCH(AN$29,SSAutESP!$A$2:$A$500)+$A36-1,1)-1)</f>
        <v>-1.3870160592684977E-3</v>
      </c>
      <c r="AO36" s="9">
        <f ca="1">IF(OR(AO9="",AO$28&lt;$A36),"",AO9/OFFSET(SSAutESP!$A$2,MATCH(AO$29,SSAutESP!$A$2:$A$500)+$A36-1,1)-1)</f>
        <v>-5.76068212879699E-5</v>
      </c>
      <c r="AP36" s="9">
        <f ca="1">IF(OR(AP9="",AP$28&lt;$A36),"",AP9/OFFSET(SSAutESP!$A$2,MATCH(AP$29,SSAutESP!$A$2:$A$500)+$A36-1,1)-1)</f>
        <v>2.3927184301508753E-4</v>
      </c>
      <c r="AQ36" s="9">
        <f ca="1">IF(OR(AQ9="",AQ$28&lt;$A36),"",AQ9/OFFSET(SSAutESP!$A$2,MATCH(AQ$29,SSAutESP!$A$2:$A$500)+$A36-1,1)-1)</f>
        <v>8.6109261839428797E-4</v>
      </c>
      <c r="AR36" s="9">
        <f ca="1">IF(OR(AR9="",AR$28&lt;$A36),"",AR9/OFFSET(SSAutESP!$A$2,MATCH(AR$29,SSAutESP!$A$2:$A$500)+$A36-1,1)-1)</f>
        <v>4.1613904476094365E-3</v>
      </c>
      <c r="AS36" s="9">
        <f ca="1">IF(OR(AS9="",AS$28&lt;$A36),"",AS9/OFFSET(SSAutESP!$A$2,MATCH(AS$29,SSAutESP!$A$2:$A$500)+$A36-1,1)-1)</f>
        <v>7.3240425199156967E-3</v>
      </c>
      <c r="AT36" s="9">
        <f ca="1">IF(OR(AT9="",AT$28&lt;$A36),"",AT9/OFFSET(SSAutESP!$A$2,MATCH(AT$29,SSAutESP!$A$2:$A$500)+$A36-1,1)-1)</f>
        <v>5.8284482910357926E-3</v>
      </c>
      <c r="AU36" s="9">
        <f ca="1">IF(OR(AU9="",AU$28&lt;$A36),"",AU9/OFFSET(SSAutESP!$A$2,MATCH(AU$29,SSAutESP!$A$2:$A$500)+$A36-1,1)-1)</f>
        <v>1.2826338248081104E-2</v>
      </c>
      <c r="AV36" s="9">
        <f ca="1">IF(OR(AV9="",AV$28&lt;$A36),"",AV9/OFFSET(SSAutESP!$A$2,MATCH(AV$29,SSAutESP!$A$2:$A$500)+$A36-1,1)-1)</f>
        <v>1.8623203231179719E-2</v>
      </c>
      <c r="AW36" s="9">
        <f ca="1">IF(OR(AW9="",AW$28&lt;$A36),"",AW9/OFFSET(SSAutESP!$A$2,MATCH(AW$29,SSAutESP!$A$2:$A$500)+$A36-1,1)-1)</f>
        <v>2.0082717082992474E-2</v>
      </c>
      <c r="AX36" s="9">
        <f ca="1">IF(OR(AX9="",AX$28&lt;$A36),"",AX9/OFFSET(SSAutESP!$A$2,MATCH(AX$29,SSAutESP!$A$2:$A$500)+$A36-1,1)-1)</f>
        <v>2.2104369060072626E-2</v>
      </c>
      <c r="AY36" s="9">
        <f ca="1">IF(OR(AY9="",AY$28&lt;$A36),"",AY9/OFFSET(SSAutESP!$A$2,MATCH(AY$29,SSAutESP!$A$2:$A$500)+$A36-1,1)-1)</f>
        <v>2.5581336890698081E-2</v>
      </c>
      <c r="AZ36" s="9">
        <f ca="1">IF(OR(AZ9="",AZ$28&lt;$A36),"",AZ9/OFFSET(SSAutESP!$A$2,MATCH(AZ$29,SSAutESP!$A$2:$A$500)+$A36-1,1)-1)</f>
        <v>2.6750223657563188E-2</v>
      </c>
      <c r="BA36" s="9">
        <f ca="1">IF(OR(BA9="",BA$28&lt;$A36),"",BA9/OFFSET(SSAutESP!$A$2,MATCH(BA$29,SSAutESP!$A$2:$A$500)+$A36-1,1)-1)</f>
        <v>2.5897709585516626E-2</v>
      </c>
      <c r="BB36" s="9">
        <f ca="1">IF(OR(BB9="",BB$28&lt;$A36),"",BB9/OFFSET(SSAutESP!$A$2,MATCH(BB$29,SSAutESP!$A$2:$A$500)+$A36-1,1)-1)</f>
        <v>2.0397793099984129E-2</v>
      </c>
      <c r="BC36" s="9">
        <f ca="1">IF(OR(BC9="",BC$28&lt;$A36),"",BC9/OFFSET(SSAutESP!$A$2,MATCH(BC$29,SSAutESP!$A$2:$A$500)+$A36-1,1)-1)</f>
        <v>7.3973521500703132E-3</v>
      </c>
      <c r="BD36" s="9">
        <f ca="1">IF(OR(BD9="",BD$28&lt;$A36),"",BD9/OFFSET(SSAutESP!$A$2,MATCH(BD$29,SSAutESP!$A$2:$A$500)+$A36-1,1)-1)</f>
        <v>1.5260965956939598E-2</v>
      </c>
      <c r="BE36" s="9">
        <f ca="1">IF(OR(BE9="",BE$28&lt;$A36),"",BE9/OFFSET(SSAutESP!$A$2,MATCH(BE$29,SSAutESP!$A$2:$A$500)+$A36-1,1)-1)</f>
        <v>1.5575959012681162E-2</v>
      </c>
      <c r="BF36" s="9">
        <f ca="1">IF(OR(BF9="",BF$28&lt;$A36),"",BF9/OFFSET(SSAutESP!$A$2,MATCH(BF$29,SSAutESP!$A$2:$A$500)+$A36-1,1)-1)</f>
        <v>1.5640232771301443E-2</v>
      </c>
      <c r="BG36" s="9">
        <f ca="1">IF(OR(BG9="",BG$28&lt;$A36),"",BG9/OFFSET(SSAutESP!$A$2,MATCH(BG$29,SSAutESP!$A$2:$A$500)+$A36-1,1)-1)</f>
        <v>2.4796217274921872E-2</v>
      </c>
      <c r="BH36" s="9">
        <f ca="1">IF(OR(BH9="",BH$28&lt;$A36),"",BH9/OFFSET(SSAutESP!$A$2,MATCH(BH$29,SSAutESP!$A$2:$A$500)+$A36-1,1)-1)</f>
        <v>1.8865103336805022E-2</v>
      </c>
      <c r="BI36" s="9">
        <f ca="1">IF(OR(BI9="",BI$28&lt;$A36),"",BI9/OFFSET(SSAutESP!$A$2,MATCH(BI$29,SSAutESP!$A$2:$A$500)+$A36-1,1)-1)</f>
        <v>1.1550972675682614E-2</v>
      </c>
      <c r="BJ36" s="9">
        <f ca="1">IF(OR(BJ9="",BJ$28&lt;$A36),"",BJ9/OFFSET(SSAutESP!$A$2,MATCH(BJ$29,SSAutESP!$A$2:$A$500)+$A36-1,1)-1)</f>
        <v>1.185239192801979E-2</v>
      </c>
      <c r="BK36" s="9">
        <f ca="1">IF(OR(BK9="",BK$28&lt;$A36),"",BK9/OFFSET(SSAutESP!$A$2,MATCH(BK$29,SSAutESP!$A$2:$A$500)+$A36-1,1)-1)</f>
        <v>-1.1566138587003505E-2</v>
      </c>
      <c r="BL36" s="9">
        <f ca="1">IF(OR(BL9="",BL$28&lt;$A36),"",BL9/OFFSET(SSAutESP!$A$2,MATCH(BL$29,SSAutESP!$A$2:$A$500)+$A36-1,1)-1)</f>
        <v>-2.8727762682666191E-2</v>
      </c>
      <c r="BM36" s="9">
        <f ca="1">IF(OR(BM9="",BM$28&lt;$A36),"",BM9/OFFSET(SSAutESP!$A$2,MATCH(BM$29,SSAutESP!$A$2:$A$500)+$A36-1,1)-1)</f>
        <v>-2.7548808224859167E-2</v>
      </c>
      <c r="BN36" s="9">
        <f ca="1">IF(OR(BN9="",BN$28&lt;$A36),"",BN9/OFFSET(SSAutESP!$A$2,MATCH(BN$29,SSAutESP!$A$2:$A$500)+$A36-1,1)-1)</f>
        <v>-2.0181842058674238E-2</v>
      </c>
      <c r="BO36" s="9">
        <f ca="1">IF(OR(BO9="",BO$28&lt;$A36),"",BO9/OFFSET(SSAutESP!$A$2,MATCH(BO$29,SSAutESP!$A$2:$A$500)+$A36-1,1)-1)</f>
        <v>-1.5767179015298893E-2</v>
      </c>
      <c r="BP36" s="9">
        <f ca="1">IF(OR(BP9="",BP$28&lt;$A36),"",BP9/OFFSET(SSAutESP!$A$2,MATCH(BP$29,SSAutESP!$A$2:$A$500)+$A36-1,1)-1)</f>
        <v>-1.2775472833272072E-2</v>
      </c>
      <c r="BQ36" s="9">
        <f ca="1">IF(OR(BQ9="",BQ$28&lt;$A36),"",BQ9/OFFSET(SSAutESP!$A$2,MATCH(BQ$29,SSAutESP!$A$2:$A$500)+$A36-1,1)-1)</f>
        <v>-1.4470396107805872E-2</v>
      </c>
      <c r="BR36" s="9">
        <f ca="1">IF(OR(BR9="",BR$28&lt;$A36),"",BR9/OFFSET(SSAutESP!$A$2,MATCH(BR$29,SSAutESP!$A$2:$A$500)+$A36-1,1)-1)</f>
        <v>-9.0742099687842748E-3</v>
      </c>
      <c r="BS36" s="9">
        <f ca="1">IF(OR(BS9="",BS$28&lt;$A36),"",BS9/OFFSET(SSAutESP!$A$2,MATCH(BS$29,SSAutESP!$A$2:$A$500)+$A36-1,1)-1)</f>
        <v>-1.1509926216862754E-3</v>
      </c>
      <c r="BT36" s="9">
        <f ca="1">IF(OR(BT9="",BT$28&lt;$A36),"",BT9/OFFSET(SSAutESP!$A$2,MATCH(BT$29,SSAutESP!$A$2:$A$500)+$A36-1,1)-1)</f>
        <v>-9.2077014962859138E-3</v>
      </c>
      <c r="BU36" s="9">
        <f ca="1">IF(OR(BU9="",BU$28&lt;$A36),"",BU9/OFFSET(SSAutESP!$A$2,MATCH(BU$29,SSAutESP!$A$2:$A$500)+$A36-1,1)-1)</f>
        <v>-1.1154031221456084E-2</v>
      </c>
      <c r="BV36" s="9">
        <f ca="1">IF(OR(BV9="",BV$28&lt;$A36),"",BV9/OFFSET(SSAutESP!$A$2,MATCH(BV$29,SSAutESP!$A$2:$A$500)+$A36-1,1)-1)</f>
        <v>-7.1617419137501859E-3</v>
      </c>
      <c r="BW36" s="9">
        <f ca="1">IF(OR(BW9="",BW$28&lt;$A36),"",BW9/OFFSET(SSAutESP!$A$2,MATCH(BW$29,SSAutESP!$A$2:$A$500)+$A36-1,1)-1)</f>
        <v>2.7659363517904545E-3</v>
      </c>
      <c r="BX36" s="9">
        <f ca="1">IF(OR(BX9="",BX$28&lt;$A36),"",BX9/OFFSET(SSAutESP!$A$2,MATCH(BX$29,SSAutESP!$A$2:$A$500)+$A36-1,1)-1)</f>
        <v>-8.0689515307583726E-3</v>
      </c>
      <c r="BY36" s="9">
        <f ca="1">IF(OR(BY9="",BY$28&lt;$A36),"",BY9/OFFSET(SSAutESP!$A$2,MATCH(BY$29,SSAutESP!$A$2:$A$500)+$A36-1,1)-1)</f>
        <v>-5.9289699857740796E-3</v>
      </c>
      <c r="BZ36" s="9">
        <f ca="1">IF(OR(BZ9="",BZ$28&lt;$A36),"",BZ9/OFFSET(SSAutESP!$A$2,MATCH(BZ$29,SSAutESP!$A$2:$A$500)+$A36-1,1)-1)</f>
        <v>-3.8089950551934981E-3</v>
      </c>
      <c r="CA36" s="9">
        <f ca="1">IF(OR(CA9="",CA$28&lt;$A36),"",CA9/OFFSET(SSAutESP!$A$2,MATCH(CA$29,SSAutESP!$A$2:$A$500)+$A36-1,1)-1)</f>
        <v>2.3933452140514344E-3</v>
      </c>
      <c r="CB36" s="9">
        <f ca="1">IF(OR(CB9="",CB$28&lt;$A36),"",CB9/OFFSET(SSAutESP!$A$2,MATCH(CB$29,SSAutESP!$A$2:$A$500)+$A36-1,1)-1)</f>
        <v>3.8248224373595985E-3</v>
      </c>
      <c r="CC36" s="9">
        <f ca="1">IF(OR(CC9="",CC$28&lt;$A36),"",CC9/OFFSET(SSAutESP!$A$2,MATCH(CC$29,SSAutESP!$A$2:$A$500)+$A36-1,1)-1)</f>
        <v>2.1843370745906476E-3</v>
      </c>
      <c r="CD36" s="9">
        <f ca="1">IF(OR(CD9="",CD$28&lt;$A36),"",CD9/OFFSET(SSAutESP!$A$2,MATCH(CD$29,SSAutESP!$A$2:$A$500)+$A36-1,1)-1)</f>
        <v>-6.4515604488264433E-3</v>
      </c>
      <c r="CE36" s="9">
        <f ca="1">IF(OR(CE9="",CE$28&lt;$A36),"",CE9/OFFSET(SSAutESP!$A$2,MATCH(CE$29,SSAutESP!$A$2:$A$500)+$A36-1,1)-1)</f>
        <v>-3.1737547903050167E-3</v>
      </c>
      <c r="CF36" s="9">
        <f ca="1">IF(OR(CF9="",CF$28&lt;$A36),"",CF9/OFFSET(SSAutESP!$A$2,MATCH(CF$29,SSAutESP!$A$2:$A$500)+$A36-1,1)-1)</f>
        <v>-2.5270332578289922E-3</v>
      </c>
      <c r="CG36" s="9">
        <f ca="1">IF(OR(CG9="",CG$28&lt;$A36),"",CG9/OFFSET(SSAutESP!$A$2,MATCH(CG$29,SSAutESP!$A$2:$A$500)+$A36-1,1)-1)</f>
        <v>-2.4676475184429725E-3</v>
      </c>
      <c r="CH36" s="9">
        <f ca="1">IF(OR(CH9="",CH$28&lt;$A36),"",CH9/OFFSET(SSAutESP!$A$2,MATCH(CH$29,SSAutESP!$A$2:$A$500)+$A36-1,1)-1)</f>
        <v>-5.1432822142426504E-3</v>
      </c>
      <c r="CI36" s="9">
        <f ca="1">IF(OR(CI9="",CI$28&lt;$A36),"",CI9/OFFSET(SSAutESP!$A$2,MATCH(CI$29,SSAutESP!$A$2:$A$500)+$A36-1,1)-1)</f>
        <v>1.470886466836685E-4</v>
      </c>
      <c r="CJ36" s="9">
        <f ca="1">IF(OR(CJ9="",CJ$28&lt;$A36),"",CJ9/OFFSET(SSAutESP!$A$2,MATCH(CJ$29,SSAutESP!$A$2:$A$500)+$A36-1,1)-1)</f>
        <v>-5.3057330621533172E-3</v>
      </c>
      <c r="CK36" s="9">
        <f ca="1">IF(OR(CK9="",CK$28&lt;$A36),"",CK9/OFFSET(SSAutESP!$A$2,MATCH(CK$29,SSAutESP!$A$2:$A$500)+$A36-1,1)-1)</f>
        <v>6.4441312969014675E-3</v>
      </c>
      <c r="CL36" s="9">
        <f ca="1">IF(OR(CL9="",CL$28&lt;$A36),"",CL9/OFFSET(SSAutESP!$A$2,MATCH(CL$29,SSAutESP!$A$2:$A$500)+$A36-1,1)-1)</f>
        <v>7.8145094834356499E-3</v>
      </c>
      <c r="CM36" s="9">
        <f ca="1">IF(OR(CM9="",CM$28&lt;$A36),"",CM9/OFFSET(SSAutESP!$A$2,MATCH(CM$29,SSAutESP!$A$2:$A$500)+$A36-1,1)-1)</f>
        <v>8.4620963134087734E-3</v>
      </c>
      <c r="CN36" s="9">
        <f ca="1">IF(OR(CN9="",CN$28&lt;$A36),"",CN9/OFFSET(SSAutESP!$A$2,MATCH(CN$29,SSAutESP!$A$2:$A$500)+$A36-1,1)-1)</f>
        <v>6.6089311756254432E-3</v>
      </c>
      <c r="CO36" s="9">
        <f ca="1">IF(OR(CO9="",CO$28&lt;$A36),"",CO9/OFFSET(SSAutESP!$A$2,MATCH(CO$29,SSAutESP!$A$2:$A$500)+$A36-1,1)-1)</f>
        <v>3.0092609314671392E-3</v>
      </c>
      <c r="CP36" s="9">
        <f ca="1">IF(OR(CP9="",CP$28&lt;$A36),"",CP9/OFFSET(SSAutESP!$A$2,MATCH(CP$29,SSAutESP!$A$2:$A$500)+$A36-1,1)-1)</f>
        <v>2.5120051553879641E-3</v>
      </c>
      <c r="CQ36" s="9">
        <f ca="1">IF(OR(CQ9="",CQ$28&lt;$A36),"",CQ9/OFFSET(SSAutESP!$A$2,MATCH(CQ$29,SSAutESP!$A$2:$A$500)+$A36-1,1)-1)</f>
        <v>5.6045844264529521E-3</v>
      </c>
      <c r="CR36" s="9">
        <f ca="1">IF(OR(CR9="",CR$28&lt;$A36),"",CR9/OFFSET(SSAutESP!$A$2,MATCH(CR$29,SSAutESP!$A$2:$A$500)+$A36-1,1)-1)</f>
        <v>3.4168553428137738E-3</v>
      </c>
      <c r="CS36" s="9">
        <f ca="1">IF(OR(CS9="",CS$28&lt;$A36),"",CS9/OFFSET(SSAutESP!$A$2,MATCH(CS$29,SSAutESP!$A$2:$A$500)+$A36-1,1)-1)</f>
        <v>-9.5336484926566989E-4</v>
      </c>
      <c r="CT36" s="9">
        <f ca="1">IF(OR(CT9="",CT$28&lt;$A36),"",CT9/OFFSET(SSAutESP!$A$2,MATCH(CT$29,SSAutESP!$A$2:$A$500)+$A36-1,1)-1)</f>
        <v>-1.0241301955647986E-3</v>
      </c>
      <c r="CU36" s="9">
        <f ca="1">IF(OR(CU9="",CU$28&lt;$A36),"",CU9/OFFSET(SSAutESP!$A$2,MATCH(CU$29,SSAutESP!$A$2:$A$500)+$A36-1,1)-1)</f>
        <v>-1.1903523043294895E-2</v>
      </c>
      <c r="CV36" s="9">
        <f ca="1">IF(OR(CV9="",CV$28&lt;$A36),"",CV9/OFFSET(SSAutESP!$A$2,MATCH(CV$29,SSAutESP!$A$2:$A$500)+$A36-1,1)-1)</f>
        <v>-7.6298103354599522E-4</v>
      </c>
      <c r="CW36" s="9">
        <f ca="1">IF(OR(CW9="",CW$28&lt;$A36),"",CW9/OFFSET(SSAutESP!$A$2,MATCH(CW$29,SSAutESP!$A$2:$A$500)+$A36-1,1)-1)</f>
        <v>2.2135332697474919E-3</v>
      </c>
      <c r="CX36" s="9">
        <f ca="1">IF(OR(CX9="",CX$28&lt;$A36),"",CX9/OFFSET(SSAutESP!$A$2,MATCH(CX$29,SSAutESP!$A$2:$A$500)+$A36-1,1)-1)</f>
        <v>4.23030268576019E-3</v>
      </c>
      <c r="CY36" s="9">
        <f ca="1">IF(OR(CY9="",CY$28&lt;$A36),"",CY9/OFFSET(SSAutESP!$A$2,MATCH(CY$29,SSAutESP!$A$2:$A$500)+$A36-1,1)-1)</f>
        <v>4.4758531286710479E-3</v>
      </c>
      <c r="CZ36" s="9">
        <f ca="1">IF(OR(CZ9="",CZ$28&lt;$A36),"",CZ9/OFFSET(SSAutESP!$A$2,MATCH(CZ$29,SSAutESP!$A$2:$A$500)+$A36-1,1)-1)</f>
        <v>4.231268095808316E-3</v>
      </c>
      <c r="DA36" s="9">
        <f ca="1">IF(OR(DA9="",DA$28&lt;$A36),"",DA9/OFFSET(SSAutESP!$A$2,MATCH(DA$29,SSAutESP!$A$2:$A$500)+$A36-1,1)-1)</f>
        <v>6.0296254772533864E-3</v>
      </c>
      <c r="DB36" s="9">
        <f ca="1">IF(OR(DB9="",DB$28&lt;$A36),"",DB9/OFFSET(SSAutESP!$A$2,MATCH(DB$29,SSAutESP!$A$2:$A$500)+$A36-1,1)-1)</f>
        <v>-3.0980474084260079E-3</v>
      </c>
      <c r="DC36" s="9">
        <f ca="1">IF(OR(DC9="",DC$28&lt;$A36),"",DC9/OFFSET(SSAutESP!$A$2,MATCH(DC$29,SSAutESP!$A$2:$A$500)+$A36-1,1)-1)</f>
        <v>-5.6746829593350423E-3</v>
      </c>
      <c r="DD36" s="9">
        <f ca="1">IF(OR(DD9="",DD$28&lt;$A36),"",DD9/OFFSET(SSAutESP!$A$2,MATCH(DD$29,SSAutESP!$A$2:$A$500)+$A36-1,1)-1)</f>
        <v>-4.8356110066876123E-3</v>
      </c>
      <c r="DE36" s="9">
        <f ca="1">IF(OR(DE9="",DE$28&lt;$A36),"",DE9/OFFSET(SSAutESP!$A$2,MATCH(DE$29,SSAutESP!$A$2:$A$500)+$A36-1,1)-1)</f>
        <v>-1.1581025661252409E-2</v>
      </c>
      <c r="DF36" s="9">
        <f ca="1">IF(OR(DF9="",DF$28&lt;$A36),"",DF9/OFFSET(SSAutESP!$A$2,MATCH(DF$29,SSAutESP!$A$2:$A$500)+$A36-1,1)-1)</f>
        <v>-7.6320134299391329E-3</v>
      </c>
      <c r="DG36" s="9">
        <f ca="1">IF(OR(DG9="",DG$28&lt;$A36),"",DG9/OFFSET(SSAutESP!$A$2,MATCH(DG$29,SSAutESP!$A$2:$A$500)+$A36-1,1)-1)</f>
        <v>-9.4086009834480899E-3</v>
      </c>
      <c r="DH36" s="9">
        <f ca="1">IF(OR(DH9="",DH$28&lt;$A36),"",DH9/OFFSET(SSAutESP!$A$2,MATCH(DH$29,SSAutESP!$A$2:$A$500)+$A36-1,1)-1)</f>
        <v>-1.5880935881615654E-2</v>
      </c>
      <c r="DI36" s="9">
        <f ca="1">IF(OR(DI9="",DI$28&lt;$A36),"",DI9/OFFSET(SSAutESP!$A$2,MATCH(DI$29,SSAutESP!$A$2:$A$500)+$A36-1,1)-1)</f>
        <v>-1.1544742419840492E-2</v>
      </c>
      <c r="DJ36" s="9">
        <f ca="1">IF(OR(DJ9="",DJ$28&lt;$A36),"",DJ9/OFFSET(SSAutESP!$A$2,MATCH(DJ$29,SSAutESP!$A$2:$A$500)+$A36-1,1)-1)</f>
        <v>-5.7934506339036851E-3</v>
      </c>
      <c r="DK36" s="9">
        <f ca="1">IF(OR(DK9="",DK$28&lt;$A36),"",DK9/OFFSET(SSAutESP!$A$2,MATCH(DK$29,SSAutESP!$A$2:$A$500)+$A36-1,1)-1)</f>
        <v>-6.2921896668234334E-3</v>
      </c>
      <c r="DL36" s="9">
        <f ca="1">IF(OR(DL9="",DL$28&lt;$A36),"",DL9/OFFSET(SSAutESP!$A$2,MATCH(DL$29,SSAutESP!$A$2:$A$500)+$A36-1,1)-1)</f>
        <v>-3.4454123318761187E-4</v>
      </c>
      <c r="DM36" s="9">
        <f ca="1">IF(OR(DM9="",DM$28&lt;$A36),"",DM9/OFFSET(SSAutESP!$A$2,MATCH(DM$29,SSAutESP!$A$2:$A$500)+$A36-1,1)-1)</f>
        <v>-1.2095391440114511E-4</v>
      </c>
      <c r="DN36" s="9">
        <f ca="1">IF(OR(DN9="",DN$28&lt;$A36),"",DN9/OFFSET(SSAutESP!$A$2,MATCH(DN$29,SSAutESP!$A$2:$A$500)+$A36-1,1)-1)</f>
        <v>-1.5353683613591018E-2</v>
      </c>
      <c r="DO36" s="9">
        <f ca="1">IF(OR(DO9="",DO$28&lt;$A36),"",DO9/OFFSET(SSAutESP!$A$2,MATCH(DO$29,SSAutESP!$A$2:$A$500)+$A36-1,1)-1)</f>
        <v>-1.3422144593985275E-2</v>
      </c>
      <c r="DP36" s="9">
        <f ca="1">IF(OR(DP9="",DP$28&lt;$A36),"",DP9/OFFSET(SSAutESP!$A$2,MATCH(DP$29,SSAutESP!$A$2:$A$500)+$A36-1,1)-1)</f>
        <v>-1.2481135204730265E-2</v>
      </c>
      <c r="DQ36" s="9">
        <f ca="1">IF(OR(DQ9="",DQ$28&lt;$A36),"",DQ9/OFFSET(SSAutESP!$A$2,MATCH(DQ$29,SSAutESP!$A$2:$A$500)+$A36-1,1)-1)</f>
        <v>-5.8281872194985151E-3</v>
      </c>
      <c r="DR36" s="9">
        <f ca="1">IF(OR(DR9="",DR$28&lt;$A36),"",DR9/OFFSET(SSAutESP!$A$2,MATCH(DR$29,SSAutESP!$A$2:$A$500)+$A36-1,1)-1)</f>
        <v>1.7027076620388382E-3</v>
      </c>
      <c r="DS36" s="9">
        <f ca="1">IF(OR(DS9="",DS$28&lt;$A36),"",DS9/OFFSET(SSAutESP!$A$2,MATCH(DS$29,SSAutESP!$A$2:$A$500)+$A36-1,1)-1)</f>
        <v>-7.2580724557089749E-3</v>
      </c>
      <c r="DT36" s="9">
        <f ca="1">IF(OR(DT9="",DT$28&lt;$A36),"",DT9/OFFSET(SSAutESP!$A$2,MATCH(DT$29,SSAutESP!$A$2:$A$500)+$A36-1,1)-1)</f>
        <v>-3.8863168903333634E-3</v>
      </c>
      <c r="DU36" s="9">
        <f ca="1">IF(OR(DU9="",DU$28&lt;$A36),"",DU9/OFFSET(SSAutESP!$A$2,MATCH(DU$29,SSAutESP!$A$2:$A$500)+$A36-1,1)-1)</f>
        <v>-3.3044049683050858E-4</v>
      </c>
      <c r="DV36" s="9">
        <f ca="1">IF(OR(DV9="",DV$28&lt;$A36),"",DV9/OFFSET(SSAutESP!$A$2,MATCH(DV$29,SSAutESP!$A$2:$A$500)+$A36-1,1)-1)</f>
        <v>9.1728240360677837E-3</v>
      </c>
      <c r="DW36" s="9">
        <f ca="1">IF(OR(DW9="",DW$28&lt;$A36),"",DW9/OFFSET(SSAutESP!$A$2,MATCH(DW$29,SSAutESP!$A$2:$A$500)+$A36-1,1)-1)</f>
        <v>1.1627032544448523E-2</v>
      </c>
      <c r="DX36" s="9">
        <f ca="1">IF(OR(DX9="",DX$28&lt;$A36),"",DX9/OFFSET(SSAutESP!$A$2,MATCH(DX$29,SSAutESP!$A$2:$A$500)+$A36-1,1)-1)</f>
        <v>8.8338042871651812E-3</v>
      </c>
      <c r="DY36" s="9">
        <f ca="1">IF(OR(DY9="",DY$28&lt;$A36),"",DY9/OFFSET(SSAutESP!$A$2,MATCH(DY$29,SSAutESP!$A$2:$A$500)+$A36-1,1)-1)</f>
        <v>3.4936390431379305E-3</v>
      </c>
      <c r="DZ36" s="9">
        <f ca="1">IF(OR(DZ9="",DZ$28&lt;$A36),"",DZ9/OFFSET(SSAutESP!$A$2,MATCH(DZ$29,SSAutESP!$A$2:$A$500)+$A36-1,1)-1)</f>
        <v>-4.5208294231133817E-3</v>
      </c>
      <c r="EA36" s="9">
        <f ca="1">IF(OR(EA9="",EA$28&lt;$A36),"",EA9/OFFSET(SSAutESP!$A$2,MATCH(EA$29,SSAutESP!$A$2:$A$500)+$A36-1,1)-1)</f>
        <v>-2.3208210204294089E-3</v>
      </c>
      <c r="EB36" s="9">
        <f ca="1">IF(OR(EB9="",EB$28&lt;$A36),"",EB9/OFFSET(SSAutESP!$A$2,MATCH(EB$29,SSAutESP!$A$2:$A$500)+$A36-1,1)-1)</f>
        <v>-2.849854892259529E-4</v>
      </c>
      <c r="EC36" s="9">
        <f ca="1">IF(OR(EC9="",EC$28&lt;$A36),"",EC9/OFFSET(SSAutESP!$A$2,MATCH(EC$29,SSAutESP!$A$2:$A$500)+$A36-1,1)-1)</f>
        <v>-2.8543895125479057E-3</v>
      </c>
      <c r="ED36" s="9">
        <f ca="1">IF(OR(ED9="",ED$28&lt;$A36),"",ED9/OFFSET(SSAutESP!$A$2,MATCH(ED$29,SSAutESP!$A$2:$A$500)+$A36-1,1)-1)</f>
        <v>2.91828264164673E-3</v>
      </c>
      <c r="EE36" s="9">
        <f ca="1">IF(OR(EE9="",EE$28&lt;$A36),"",EE9/OFFSET(SSAutESP!$A$2,MATCH(EE$29,SSAutESP!$A$2:$A$500)+$A36-1,1)-1)</f>
        <v>-2.1870758120402511E-3</v>
      </c>
      <c r="EF36" s="9">
        <f ca="1">IF(OR(EF9="",EF$28&lt;$A36),"",EF9/OFFSET(SSAutESP!$A$2,MATCH(EF$29,SSAutESP!$A$2:$A$500)+$A36-1,1)-1)</f>
        <v>2.05186897151588E-3</v>
      </c>
      <c r="EG36" s="9">
        <f ca="1">IF(OR(EG9="",EG$28&lt;$A36),"",EG9/OFFSET(SSAutESP!$A$2,MATCH(EG$29,SSAutESP!$A$2:$A$500)+$A36-1,1)-1)</f>
        <v>7.8595749742189636E-3</v>
      </c>
      <c r="EH36" s="9">
        <f ca="1">IF(OR(EH9="",EH$28&lt;$A36),"",EH9/OFFSET(SSAutESP!$A$2,MATCH(EH$29,SSAutESP!$A$2:$A$500)+$A36-1,1)-1)</f>
        <v>1.0163182881087307E-2</v>
      </c>
      <c r="EI36" s="9">
        <f ca="1">IF(OR(EI9="",EI$28&lt;$A36),"",EI9/OFFSET(SSAutESP!$A$2,MATCH(EI$29,SSAutESP!$A$2:$A$500)+$A36-1,1)-1)</f>
        <v>8.130168672047855E-3</v>
      </c>
      <c r="EJ36" s="9">
        <f ca="1">IF(OR(EJ9="",EJ$28&lt;$A36),"",EJ9/OFFSET(SSAutESP!$A$2,MATCH(EJ$29,SSAutESP!$A$2:$A$500)+$A36-1,1)-1)</f>
        <v>9.1002723357220816E-3</v>
      </c>
      <c r="EK36" s="9">
        <f ca="1">IF(OR(EK9="",EK$28&lt;$A36),"",EK9/OFFSET(SSAutESP!$A$2,MATCH(EK$29,SSAutESP!$A$2:$A$500)+$A36-1,1)-1)</f>
        <v>-1.2894228023496712E-3</v>
      </c>
      <c r="EL36" s="9">
        <f ca="1">IF(OR(EL9="",EL$28&lt;$A36),"",EL9/OFFSET(SSAutESP!$A$2,MATCH(EL$29,SSAutESP!$A$2:$A$500)+$A36-1,1)-1)</f>
        <v>-3.9607806003637558E-3</v>
      </c>
      <c r="EM36" s="9">
        <f ca="1">IF(OR(EM9="",EM$28&lt;$A36),"",EM9/OFFSET(SSAutESP!$A$2,MATCH(EM$29,SSAutESP!$A$2:$A$500)+$A36-1,1)-1)</f>
        <v>-1.7764131718843723E-3</v>
      </c>
      <c r="EN36" s="9">
        <f ca="1">IF(OR(EN9="",EN$28&lt;$A36),"",EN9/OFFSET(SSAutESP!$A$2,MATCH(EN$29,SSAutESP!$A$2:$A$500)+$A36-1,1)-1)</f>
        <v>-3.9093388577109422E-3</v>
      </c>
      <c r="EO36" s="9">
        <f ca="1">IF(OR(EO9="",EO$28&lt;$A36),"",EO9/OFFSET(SSAutESP!$A$2,MATCH(EO$29,SSAutESP!$A$2:$A$500)+$A36-1,1)-1)</f>
        <v>1.304623731188892E-3</v>
      </c>
      <c r="EP36" s="9">
        <f ca="1">IF(OR(EP9="",EP$28&lt;$A36),"",EP9/OFFSET(SSAutESP!$A$2,MATCH(EP$29,SSAutESP!$A$2:$A$500)+$A36-1,1)-1)</f>
        <v>-1.0178005436267679E-3</v>
      </c>
      <c r="EQ36" s="9">
        <f ca="1">IF(OR(EQ9="",EQ$28&lt;$A36),"",EQ9/OFFSET(SSAutESP!$A$2,MATCH(EQ$29,SSAutESP!$A$2:$A$500)+$A36-1,1)-1)</f>
        <v>-9.21860567731414E-3</v>
      </c>
      <c r="ER36" s="9">
        <f ca="1">IF(OR(ER9="",ER$28&lt;$A36),"",ER9/OFFSET(SSAutESP!$A$2,MATCH(ER$29,SSAutESP!$A$2:$A$500)+$A36-1,1)-1)</f>
        <v>4.7215167152891979E-4</v>
      </c>
      <c r="ES36" s="9">
        <f ca="1">IF(OR(ES9="",ES$28&lt;$A36),"",ES9/OFFSET(SSAutESP!$A$2,MATCH(ES$29,SSAutESP!$A$2:$A$500)+$A36-1,1)-1)</f>
        <v>4.5199760019292157E-3</v>
      </c>
      <c r="ET36" s="9">
        <f ca="1">IF(OR(ET9="",ET$28&lt;$A36),"",ET9/OFFSET(SSAutESP!$A$2,MATCH(ET$29,SSAutESP!$A$2:$A$500)+$A36-1,1)-1)</f>
        <v>2.0084059350815586E-3</v>
      </c>
      <c r="EU36" s="9">
        <f ca="1">IF(OR(EU9="",EU$28&lt;$A36),"",EU9/OFFSET(SSAutESP!$A$2,MATCH(EU$29,SSAutESP!$A$2:$A$500)+$A36-1,1)-1)</f>
        <v>2.1995068400273432E-3</v>
      </c>
      <c r="EV36" s="9">
        <f ca="1">IF(OR(EV9="",EV$28&lt;$A36),"",EV9/OFFSET(SSAutESP!$A$2,MATCH(EV$29,SSAutESP!$A$2:$A$500)+$A36-1,1)-1)</f>
        <v>2.9655700036612664E-3</v>
      </c>
      <c r="EW36" s="9">
        <f ca="1">IF(OR(EW9="",EW$28&lt;$A36),"",EW9/OFFSET(SSAutESP!$A$2,MATCH(EW$29,SSAutESP!$A$2:$A$500)+$A36-1,1)-1)</f>
        <v>-4.621587123633919E-3</v>
      </c>
      <c r="EX36" s="9">
        <f ca="1">IF(OR(EX9="",EX$28&lt;$A36),"",EX9/OFFSET(SSAutESP!$A$2,MATCH(EX$29,SSAutESP!$A$2:$A$500)+$A36-1,1)-1)</f>
        <v>-3.6002593952270123E-3</v>
      </c>
      <c r="EY36" s="9">
        <f ca="1">IF(OR(EY9="",EY$28&lt;$A36),"",EY9/OFFSET(SSAutESP!$A$2,MATCH(EY$29,SSAutESP!$A$2:$A$500)+$A36-1,1)-1)</f>
        <v>-3.9455967404135039E-3</v>
      </c>
      <c r="EZ36" s="9">
        <f ca="1">IF(OR(EZ9="",EZ$28&lt;$A36),"",EZ9/OFFSET(SSAutESP!$A$2,MATCH(EZ$29,SSAutESP!$A$2:$A$500)+$A36-1,1)-1)</f>
        <v>-1.5481261222556331E-3</v>
      </c>
      <c r="FA36" s="9">
        <f ca="1">IF(OR(FA9="",FA$28&lt;$A36),"",FA9/OFFSET(SSAutESP!$A$2,MATCH(FA$29,SSAutESP!$A$2:$A$500)+$A36-1,1)-1)</f>
        <v>-1.8480189178934348E-3</v>
      </c>
      <c r="FB36" s="9">
        <f ca="1">IF(OR(FB9="",FB$28&lt;$A36),"",FB9/OFFSET(SSAutESP!$A$2,MATCH(FB$29,SSAutESP!$A$2:$A$500)+$A36-1,1)-1)</f>
        <v>-1.4454708225769552E-3</v>
      </c>
      <c r="FC36" s="9">
        <f ca="1">IF(OR(FC9="",FC$28&lt;$A36),"",FC9/OFFSET(SSAutESP!$A$2,MATCH(FC$29,SSAutESP!$A$2:$A$500)+$A36-1,1)-1)</f>
        <v>-4.2793000321632579E-3</v>
      </c>
      <c r="FD36" s="9">
        <f ca="1">IF(OR(FD9="",FD$28&lt;$A36),"",FD9/OFFSET(SSAutESP!$A$2,MATCH(FD$29,SSAutESP!$A$2:$A$500)+$A36-1,1)-1)</f>
        <v>4.6170642088778635E-3</v>
      </c>
      <c r="FE36" s="9">
        <f ca="1">IF(OR(FE9="",FE$28&lt;$A36),"",FE9/OFFSET(SSAutESP!$A$2,MATCH(FE$29,SSAutESP!$A$2:$A$500)+$A36-1,1)-1)</f>
        <v>2.104505737449136E-3</v>
      </c>
      <c r="FF36" s="9">
        <f ca="1">IF(OR(FF9="",FF$28&lt;$A36),"",FF9/OFFSET(SSAutESP!$A$2,MATCH(FF$29,SSAutESP!$A$2:$A$500)+$A36-1,1)-1)</f>
        <v>7.4055998138959911E-3</v>
      </c>
      <c r="FG36" s="9">
        <f ca="1">IF(OR(FG9="",FG$28&lt;$A36),"",FG9/OFFSET(SSAutESP!$A$2,MATCH(FG$29,SSAutESP!$A$2:$A$500)+$A36-1,1)-1)</f>
        <v>8.9476672792743184E-3</v>
      </c>
      <c r="FH36" s="9">
        <f ca="1">IF(OR(FH9="",FH$28&lt;$A36),"",FH9/OFFSET(SSAutESP!$A$2,MATCH(FH$29,SSAutESP!$A$2:$A$500)+$A36-1,1)-1)</f>
        <v>4.1751424023277472E-3</v>
      </c>
      <c r="FI36" s="9">
        <f ca="1">IF(OR(FI9="",FI$28&lt;$A36),"",FI9/OFFSET(SSAutESP!$A$2,MATCH(FI$29,SSAutESP!$A$2:$A$500)+$A36-1,1)-1)</f>
        <v>-9.1641125426931147E-3</v>
      </c>
      <c r="FJ36" s="9">
        <f ca="1">IF(OR(FJ9="",FJ$28&lt;$A36),"",FJ9/OFFSET(SSAutESP!$A$2,MATCH(FJ$29,SSAutESP!$A$2:$A$500)+$A36-1,1)-1)</f>
        <v>-1.109271449928062E-2</v>
      </c>
      <c r="FK36" s="9">
        <f ca="1">IF(OR(FK9="",FK$28&lt;$A36),"",FK9/OFFSET(SSAutESP!$A$2,MATCH(FK$29,SSAutESP!$A$2:$A$500)+$A36-1,1)-1)</f>
        <v>-5.5028678617581317E-3</v>
      </c>
      <c r="FL36" s="9">
        <f ca="1">IF(OR(FL9="",FL$28&lt;$A36),"",FL9/OFFSET(SSAutESP!$A$2,MATCH(FL$29,SSAutESP!$A$2:$A$500)+$A36-1,1)-1)</f>
        <v>-4.1979326409146145E-3</v>
      </c>
      <c r="FM36" s="9">
        <f ca="1">IF(OR(FM9="",FM$28&lt;$A36),"",FM9/OFFSET(SSAutESP!$A$2,MATCH(FM$29,SSAutESP!$A$2:$A$500)+$A36-1,1)-1)</f>
        <v>-1.2429756998583619E-2</v>
      </c>
      <c r="FN36" s="9">
        <f ca="1">IF(OR(FN9="",FN$28&lt;$A36),"",FN9/OFFSET(SSAutESP!$A$2,MATCH(FN$29,SSAutESP!$A$2:$A$500)+$A36-1,1)-1)</f>
        <v>-1.7719208497777084E-2</v>
      </c>
      <c r="FO36" s="9">
        <f ca="1">IF(OR(FO9="",FO$28&lt;$A36),"",FO9/OFFSET(SSAutESP!$A$2,MATCH(FO$29,SSAutESP!$A$2:$A$500)+$A36-1,1)-1)</f>
        <v>-8.8347849578617188E-3</v>
      </c>
      <c r="FP36" s="9">
        <f ca="1">IF(OR(FP9="",FP$28&lt;$A36),"",FP9/OFFSET(SSAutESP!$A$2,MATCH(FP$29,SSAutESP!$A$2:$A$500)+$A36-1,1)-1)</f>
        <v>6.5758389313304022E-3</v>
      </c>
      <c r="FQ36" s="9">
        <f ca="1">IF(OR(FQ9="",FQ$28&lt;$A36),"",FQ9/OFFSET(SSAutESP!$A$2,MATCH(FQ$29,SSAutESP!$A$2:$A$500)+$A36-1,1)-1)</f>
        <v>8.9089118469047879E-3</v>
      </c>
      <c r="FR36" s="9">
        <f ca="1">IF(OR(FR9="",FR$28&lt;$A36),"",FR9/OFFSET(SSAutESP!$A$2,MATCH(FR$29,SSAutESP!$A$2:$A$500)+$A36-1,1)-1)</f>
        <v>3.7376854895401213E-3</v>
      </c>
      <c r="FS36" s="9">
        <f ca="1">IF(OR(FS9="",FS$28&lt;$A36),"",FS9/OFFSET(SSAutESP!$A$2,MATCH(FS$29,SSAutESP!$A$2:$A$500)+$A36-1,1)-1)</f>
        <v>-5.4247402624585384E-4</v>
      </c>
      <c r="FT36" s="9">
        <f ca="1">IF(OR(FT9="",FT$28&lt;$A36),"",FT9/OFFSET(SSAutESP!$A$2,MATCH(FT$29,SSAutESP!$A$2:$A$500)+$A36-1,1)-1)</f>
        <v>3.7149414591721719E-3</v>
      </c>
      <c r="FU36" s="9">
        <f ca="1">IF(OR(FU9="",FU$28&lt;$A36),"",FU9/OFFSET(SSAutESP!$A$2,MATCH(FU$29,SSAutESP!$A$2:$A$500)+$A36-1,1)-1)</f>
        <v>2.55670672973074E-3</v>
      </c>
      <c r="FV36" s="9">
        <f ca="1">IF(OR(FV9="",FV$28&lt;$A36),"",FV9/OFFSET(SSAutESP!$A$2,MATCH(FV$29,SSAutESP!$A$2:$A$500)+$A36-1,1)-1)</f>
        <v>-2.2397361817191319E-3</v>
      </c>
      <c r="FW36" s="9">
        <f ca="1">IF(OR(FW9="",FW$28&lt;$A36),"",FW9/OFFSET(SSAutESP!$A$2,MATCH(FW$29,SSAutESP!$A$2:$A$500)+$A36-1,1)-1)</f>
        <v>3.34300947075028E-3</v>
      </c>
      <c r="FX36" s="9">
        <f ca="1">IF(OR(FX9="",FX$28&lt;$A36),"",FX9/OFFSET(SSAutESP!$A$2,MATCH(FX$29,SSAutESP!$A$2:$A$500)+$A36-1,1)-1)</f>
        <v>7.6094934817185766E-3</v>
      </c>
      <c r="FY36" s="9">
        <f ca="1">IF(OR(FY9="",FY$28&lt;$A36),"",FY9/OFFSET(SSAutESP!$A$2,MATCH(FY$29,SSAutESP!$A$2:$A$500)+$A36-1,1)-1)</f>
        <v>4.6581375459038288E-3</v>
      </c>
      <c r="FZ36" s="9">
        <f ca="1">IF(OR(FZ9="",FZ$28&lt;$A36),"",FZ9/OFFSET(SSAutESP!$A$2,MATCH(FZ$29,SSAutESP!$A$2:$A$500)+$A36-1,1)-1)</f>
        <v>1.064038662675415E-2</v>
      </c>
      <c r="GA36" s="9">
        <f ca="1">IF(OR(GA9="",GA$28&lt;$A36),"",GA9/OFFSET(SSAutESP!$A$2,MATCH(GA$29,SSAutESP!$A$2:$A$500)+$A36-1,1)-1)</f>
        <v>-5.3371439260485598E-4</v>
      </c>
      <c r="GB36" s="9">
        <f ca="1">IF(OR(GB9="",GB$28&lt;$A36),"",GB9/OFFSET(SSAutESP!$A$2,MATCH(GB$29,SSAutESP!$A$2:$A$500)+$A36-1,1)-1)</f>
        <v>4.5716649387594899E-4</v>
      </c>
      <c r="GC36" s="9">
        <f ca="1">IF(OR(GC9="",GC$28&lt;$A36),"",GC9/OFFSET(SSAutESP!$A$2,MATCH(GC$29,SSAutESP!$A$2:$A$500)+$A36-1,1)-1)</f>
        <v>-1.021663580366039E-3</v>
      </c>
      <c r="GD36" s="9">
        <f ca="1">IF(OR(GD9="",GD$28&lt;$A36),"",GD9/OFFSET(SSAutESP!$A$2,MATCH(GD$29,SSAutESP!$A$2:$A$500)+$A36-1,1)-1)</f>
        <v>-4.1244134737681293E-3</v>
      </c>
      <c r="GE36" s="9">
        <f ca="1">IF(OR(GE9="",GE$28&lt;$A36),"",GE9/OFFSET(SSAutESP!$A$2,MATCH(GE$29,SSAutESP!$A$2:$A$500)+$A36-1,1)-1)</f>
        <v>-5.3774284656018523E-3</v>
      </c>
      <c r="GF36" s="9">
        <f ca="1">IF(OR(GF9="",GF$28&lt;$A36),"",GF9/OFFSET(SSAutESP!$A$2,MATCH(GF$29,SSAutESP!$A$2:$A$500)+$A36-1,1)-1)</f>
        <v>-4.4460575055932372E-3</v>
      </c>
      <c r="GG36" s="9">
        <f ca="1">IF(OR(GG9="",GG$28&lt;$A36),"",GG9/OFFSET(SSAutESP!$A$2,MATCH(GG$29,SSAutESP!$A$2:$A$500)+$A36-1,1)-1)</f>
        <v>-3.6390394198869691E-3</v>
      </c>
      <c r="GH36" s="9">
        <f ca="1">IF(OR(GH9="",GH$28&lt;$A36),"",GH9/OFFSET(SSAutESP!$A$2,MATCH(GH$29,SSAutESP!$A$2:$A$500)+$A36-1,1)-1)</f>
        <v>7.4522394861498142E-4</v>
      </c>
      <c r="GI36" s="9">
        <f ca="1">IF(OR(GI9="",GI$28&lt;$A36),"",GI9/OFFSET(SSAutESP!$A$2,MATCH(GI$29,SSAutESP!$A$2:$A$500)+$A36-1,1)-1)</f>
        <v>2.2826086255631983E-2</v>
      </c>
      <c r="GJ36" s="9">
        <f ca="1">IF(OR(GJ9="",GJ$28&lt;$A36),"",GJ9/OFFSET(SSAutESP!$A$2,MATCH(GJ$29,SSAutESP!$A$2:$A$500)+$A36-1,1)-1)</f>
        <v>2.7270461615849007E-2</v>
      </c>
      <c r="GK36" s="9">
        <f ca="1">IF(OR(GK9="",GK$28&lt;$A36),"",GK9/OFFSET(SSAutESP!$A$2,MATCH(GK$29,SSAutESP!$A$2:$A$500)+$A36-1,1)-1)</f>
        <v>2.1314746830490172E-2</v>
      </c>
      <c r="GL36" s="9">
        <f ca="1">IF(OR(GL9="",GL$28&lt;$A36),"",GL9/OFFSET(SSAutESP!$A$2,MATCH(GL$29,SSAutESP!$A$2:$A$500)+$A36-1,1)-1)</f>
        <v>1.2187091775762049E-2</v>
      </c>
      <c r="GM36" s="9">
        <f ca="1">IF(OR(GM9="",GM$28&lt;$A36),"",GM9/OFFSET(SSAutESP!$A$2,MATCH(GM$29,SSAutESP!$A$2:$A$500)+$A36-1,1)-1)</f>
        <v>6.6367841354249002E-3</v>
      </c>
      <c r="GN36" s="9">
        <f ca="1">IF(OR(GN9="",GN$28&lt;$A36),"",GN9/OFFSET(SSAutESP!$A$2,MATCH(GN$29,SSAutESP!$A$2:$A$500)+$A36-1,1)-1)</f>
        <v>7.9739977629889047E-3</v>
      </c>
      <c r="GO36" s="9">
        <f ca="1">IF(OR(GO9="",GO$28&lt;$A36),"",GO9/OFFSET(SSAutESP!$A$2,MATCH(GO$29,SSAutESP!$A$2:$A$500)+$A36-1,1)-1)</f>
        <v>-4.4648799256066241E-3</v>
      </c>
      <c r="GP36" s="9">
        <f ca="1">IF(OR(GP9="",GP$28&lt;$A36),"",GP9/OFFSET(SSAutESP!$A$2,MATCH(GP$29,SSAutESP!$A$2:$A$500)+$A36-1,1)-1)</f>
        <v>-3.5626297527077133E-2</v>
      </c>
      <c r="GQ36" s="9">
        <f ca="1">IF(OR(GQ9="",GQ$28&lt;$A36),"",GQ9/OFFSET(SSAutESP!$A$2,MATCH(GQ$29,SSAutESP!$A$2:$A$500)+$A36-1,1)-1)</f>
        <v>-3.3147459829825254E-2</v>
      </c>
      <c r="GR36" s="9">
        <f ca="1">IF(OR(GR9="",GR$28&lt;$A36),"",GR9/OFFSET(SSAutESP!$A$2,MATCH(GR$29,SSAutESP!$A$2:$A$500)+$A36-1,1)-1)</f>
        <v>-2.0819749572014379E-2</v>
      </c>
      <c r="GS36" s="9" t="str">
        <f ca="1">IF(OR(GS9="",GS$28&lt;$A36),"",GS9/OFFSET(SSAutESP!$A$2,MATCH(GS$29,SSAutESP!$A$2:$A$500)+$A36-1,1)-1)</f>
        <v/>
      </c>
      <c r="GT36" s="9" t="str">
        <f ca="1">IF(OR(GT9="",GT$28&lt;$A36),"",GT9/OFFSET(SSAutESP!$A$2,MATCH(GT$29,SSAutESP!$A$2:$A$500)+$A36-1,1)-1)</f>
        <v/>
      </c>
      <c r="GU36" s="9" t="str">
        <f ca="1">IF(OR(GU9="",GU$28&lt;$A36),"",GU9/OFFSET(SSAutESP!$A$2,MATCH(GU$29,SSAutESP!$A$2:$A$500)+$A36-1,1)-1)</f>
        <v/>
      </c>
      <c r="GV36" s="9" t="str">
        <f ca="1">IF(OR(GV9="",GV$28&lt;$A36),"",GV9/OFFSET(SSAutESP!$A$2,MATCH(GV$29,SSAutESP!$A$2:$A$500)+$A36-1,1)-1)</f>
        <v/>
      </c>
      <c r="GW36" s="9" t="str">
        <f ca="1">IF(OR(GW9="",GW$28&lt;$A36),"",GW9/OFFSET(SSAutESP!$A$2,MATCH(GW$29,SSAutESP!$A$2:$A$500)+$A36-1,1)-1)</f>
        <v/>
      </c>
      <c r="GX36" s="9" t="str">
        <f ca="1">IF(OR(GX9="",GX$28&lt;$A36),"",GX9/OFFSET(SSAutESP!$A$2,MATCH(GX$29,SSAutESP!$A$2:$A$500)+$A36-1,1)-1)</f>
        <v/>
      </c>
      <c r="GY36" s="9" t="str">
        <f ca="1">IF(OR(GY9="",GY$28&lt;$A36),"",GY9/OFFSET(SSAutESP!$A$2,MATCH(GY$29,SSAutESP!$A$2:$A$500)+$A36-1,1)-1)</f>
        <v/>
      </c>
      <c r="GZ36" s="9" t="str">
        <f ca="1">IF(OR(GZ9="",GZ$28&lt;$A36),"",GZ9/OFFSET(SSAutESP!$A$2,MATCH(GZ$29,SSAutESP!$A$2:$A$500)+$A36-1,1)-1)</f>
        <v/>
      </c>
      <c r="HA36" s="9" t="str">
        <f ca="1">IF(OR(HA9="",HA$28&lt;$A36),"",HA9/OFFSET(SSAutESP!$A$2,MATCH(HA$29,SSAutESP!$A$2:$A$500)+$A36-1,1)-1)</f>
        <v/>
      </c>
      <c r="HB36" s="9" t="str">
        <f ca="1">IF(OR(HB9="",HB$28&lt;$A36),"",HB9/OFFSET(SSAutESP!$A$2,MATCH(HB$29,SSAutESP!$A$2:$A$500)+$A36-1,1)-1)</f>
        <v/>
      </c>
      <c r="HC36" s="9" t="str">
        <f ca="1">IF(OR(HC9="",HC$28&lt;$A36),"",HC9/OFFSET(SSAutESP!$A$2,MATCH(HC$29,SSAutESP!$A$2:$A$500)+$A36-1,1)-1)</f>
        <v/>
      </c>
      <c r="HD36" s="9" t="str">
        <f ca="1">IF(OR(HD9="",HD$28&lt;$A36),"",HD9/OFFSET(SSAutESP!$A$2,MATCH(HD$29,SSAutESP!$A$2:$A$500)+$A36-1,1)-1)</f>
        <v/>
      </c>
      <c r="HE36" s="9" t="str">
        <f ca="1">IF(OR(HE9="",HE$28&lt;$A36),"",HE9/OFFSET(SSAutESP!$A$2,MATCH(HE$29,SSAutESP!$A$2:$A$500)+$A36-1,1)-1)</f>
        <v/>
      </c>
      <c r="HF36" s="9" t="str">
        <f ca="1">IF(OR(HF9="",HF$28&lt;$A36),"",HF9/OFFSET(SSAutESP!$A$2,MATCH(HF$29,SSAutESP!$A$2:$A$500)+$A36-1,1)-1)</f>
        <v/>
      </c>
      <c r="HG36" s="9" t="str">
        <f ca="1">IF(OR(HG9="",HG$28&lt;$A36),"",HG9/OFFSET(SSAutESP!$A$2,MATCH(HG$29,SSAutESP!$A$2:$A$500)+$A36-1,1)-1)</f>
        <v/>
      </c>
      <c r="HH36" s="9" t="str">
        <f ca="1">IF(OR(HH9="",HH$28&lt;$A36),"",HH9/OFFSET(SSAutESP!$A$2,MATCH(HH$29,SSAutESP!$A$2:$A$500)+$A36-1,1)-1)</f>
        <v/>
      </c>
      <c r="HI36" s="9" t="str">
        <f ca="1">IF(OR(HI9="",HI$28&lt;$A36),"",HI9/OFFSET(SSAutESP!$A$2,MATCH(HI$29,SSAutESP!$A$2:$A$500)+$A36-1,1)-1)</f>
        <v/>
      </c>
      <c r="HJ36" s="9" t="str">
        <f ca="1">IF(OR(HJ9="",HJ$28&lt;$A36),"",HJ9/OFFSET(SSAutESP!$A$2,MATCH(HJ$29,SSAutESP!$A$2:$A$500)+$A36-1,1)-1)</f>
        <v/>
      </c>
      <c r="HK36" s="9" t="str">
        <f ca="1">IF(OR(HK9="",HK$28&lt;$A36),"",HK9/OFFSET(SSAutESP!$A$2,MATCH(HK$29,SSAutESP!$A$2:$A$500)+$A36-1,1)-1)</f>
        <v/>
      </c>
      <c r="HL36" s="9" t="str">
        <f ca="1">IF(OR(HL9="",HL$28&lt;$A36),"",HL9/OFFSET(SSAutESP!$A$2,MATCH(HL$29,SSAutESP!$A$2:$A$500)+$A36-1,1)-1)</f>
        <v/>
      </c>
      <c r="HM36" s="9" t="str">
        <f ca="1">IF(OR(HM9="",HM$28&lt;$A36),"",HM9/OFFSET(SSAutESP!$A$2,MATCH(HM$29,SSAutESP!$A$2:$A$500)+$A36-1,1)-1)</f>
        <v/>
      </c>
      <c r="HN36" s="9" t="str">
        <f ca="1">IF(OR(HN9="",HN$28&lt;$A36),"",HN9/OFFSET(SSAutESP!$A$2,MATCH(HN$29,SSAutESP!$A$2:$A$500)+$A36-1,1)-1)</f>
        <v/>
      </c>
      <c r="HO36" s="9" t="str">
        <f ca="1">IF(OR(HO9="",HO$28&lt;$A36),"",HO9/OFFSET(SSAutESP!$A$2,MATCH(HO$29,SSAutESP!$A$2:$A$500)+$A36-1,1)-1)</f>
        <v/>
      </c>
      <c r="HP36" s="9" t="str">
        <f ca="1">IF(OR(HP9="",HP$28&lt;$A36),"",HP9/OFFSET(SSAutESP!$A$2,MATCH(HP$29,SSAutESP!$A$2:$A$500)+$A36-1,1)-1)</f>
        <v/>
      </c>
      <c r="HQ36" s="9" t="str">
        <f ca="1">IF(OR(HQ9="",HQ$28&lt;$A36),"",HQ9/OFFSET(SSAutESP!$A$2,MATCH(HQ$29,SSAutESP!$A$2:$A$500)+$A36-1,1)-1)</f>
        <v/>
      </c>
      <c r="HR36" s="9" t="str">
        <f ca="1">IF(OR(HR9="",HR$28&lt;$A36),"",HR9/OFFSET(SSAutESP!$A$2,MATCH(HR$29,SSAutESP!$A$2:$A$500)+$A36-1,1)-1)</f>
        <v/>
      </c>
      <c r="HS36" s="9" t="str">
        <f ca="1">IF(OR(HS9="",HS$28&lt;$A36),"",HS9/OFFSET(SSAutESP!$A$2,MATCH(HS$29,SSAutESP!$A$2:$A$500)+$A36-1,1)-1)</f>
        <v/>
      </c>
      <c r="HT36" s="9" t="str">
        <f ca="1">IF(OR(HT9="",HT$28&lt;$A36),"",HT9/OFFSET(SSAutESP!$A$2,MATCH(HT$29,SSAutESP!$A$2:$A$500)+$A36-1,1)-1)</f>
        <v/>
      </c>
      <c r="HU36" s="9" t="str">
        <f ca="1">IF(OR(HU9="",HU$28&lt;$A36),"",HU9/OFFSET(SSAutESP!$A$2,MATCH(HU$29,SSAutESP!$A$2:$A$500)+$A36-1,1)-1)</f>
        <v/>
      </c>
      <c r="HV36" s="9" t="str">
        <f ca="1">IF(OR(HV9="",HV$28&lt;$A36),"",HV9/OFFSET(SSAutESP!$A$2,MATCH(HV$29,SSAutESP!$A$2:$A$500)+$A36-1,1)-1)</f>
        <v/>
      </c>
      <c r="HW36" s="9" t="str">
        <f ca="1">IF(OR(HW9="",HW$28&lt;$A36),"",HW9/OFFSET(SSAutESP!$A$2,MATCH(HW$29,SSAutESP!$A$2:$A$500)+$A36-1,1)-1)</f>
        <v/>
      </c>
      <c r="HX36" s="9" t="str">
        <f ca="1">IF(OR(HX9="",HX$28&lt;$A36),"",HX9/OFFSET(SSAutESP!$A$2,MATCH(HX$29,SSAutESP!$A$2:$A$500)+$A36-1,1)-1)</f>
        <v/>
      </c>
      <c r="HY36" s="9" t="str">
        <f ca="1">IF(OR(HY9="",HY$28&lt;$A36),"",HY9/OFFSET(SSAutESP!$A$2,MATCH(HY$29,SSAutESP!$A$2:$A$500)+$A36-1,1)-1)</f>
        <v/>
      </c>
      <c r="HZ36" s="9" t="str">
        <f ca="1">IF(OR(HZ9="",HZ$28&lt;$A36),"",HZ9/OFFSET(SSAutESP!$A$2,MATCH(HZ$29,SSAutESP!$A$2:$A$500)+$A36-1,1)-1)</f>
        <v/>
      </c>
      <c r="IA36" s="9" t="str">
        <f ca="1">IF(OR(IA9="",IA$28&lt;$A36),"",IA9/OFFSET(SSAutESP!$A$2,MATCH(IA$29,SSAutESP!$A$2:$A$500)+$A36-1,1)-1)</f>
        <v/>
      </c>
      <c r="IB36" s="9" t="str">
        <f ca="1">IF(OR(IB9="",IB$28&lt;$A36),"",IB9/OFFSET(SSAutESP!$A$2,MATCH(IB$29,SSAutESP!$A$2:$A$500)+$A36-1,1)-1)</f>
        <v/>
      </c>
      <c r="IC36" s="9" t="str">
        <f ca="1">IF(OR(IC9="",IC$28&lt;$A36),"",IC9/OFFSET(SSAutESP!$A$2,MATCH(IC$29,SSAutESP!$A$2:$A$500)+$A36-1,1)-1)</f>
        <v/>
      </c>
      <c r="ID36" s="9" t="str">
        <f ca="1">IF(OR(ID9="",ID$28&lt;$A36),"",ID9/OFFSET(SSAutESP!$A$2,MATCH(ID$29,SSAutESP!$A$2:$A$500)+$A36-1,1)-1)</f>
        <v/>
      </c>
      <c r="IE36" s="9" t="str">
        <f ca="1">IF(OR(IE9="",IE$28&lt;$A36),"",IE9/OFFSET(SSAutESP!$A$2,MATCH(IE$29,SSAutESP!$A$2:$A$500)+$A36-1,1)-1)</f>
        <v/>
      </c>
      <c r="IF36" s="9" t="str">
        <f ca="1">IF(OR(IF9="",IF$28&lt;$A36),"",IF9/OFFSET(SSAutESP!$A$2,MATCH(IF$29,SSAutESP!$A$2:$A$500)+$A36-1,1)-1)</f>
        <v/>
      </c>
      <c r="IG36" s="9" t="str">
        <f ca="1">IF(OR(IG9="",IG$28&lt;$A36),"",IG9/OFFSET(SSAutESP!$A$2,MATCH(IG$29,SSAutESP!$A$2:$A$500)+$A36-1,1)-1)</f>
        <v/>
      </c>
      <c r="IH36" s="9" t="str">
        <f ca="1">IF(OR(IH9="",IH$28&lt;$A36),"",IH9/OFFSET(SSAutESP!$A$2,MATCH(IH$29,SSAutESP!$A$2:$A$500)+$A36-1,1)-1)</f>
        <v/>
      </c>
      <c r="II36" s="9" t="str">
        <f ca="1">IF(OR(II9="",II$28&lt;$A36),"",II9/OFFSET(SSAutESP!$A$2,MATCH(II$29,SSAutESP!$A$2:$A$500)+$A36-1,1)-1)</f>
        <v/>
      </c>
      <c r="IJ36" s="9" t="str">
        <f ca="1">IF(OR(IJ9="",IJ$28&lt;$A36),"",IJ9/OFFSET(SSAutESP!$A$2,MATCH(IJ$29,SSAutESP!$A$2:$A$500)+$A36-1,1)-1)</f>
        <v/>
      </c>
      <c r="IK36" s="9" t="str">
        <f ca="1">IF(OR(IK9="",IK$28&lt;$A36),"",IK9/OFFSET(SSAutESP!$A$2,MATCH(IK$29,SSAutESP!$A$2:$A$500)+$A36-1,1)-1)</f>
        <v/>
      </c>
      <c r="IL36" s="9" t="str">
        <f ca="1">IF(OR(IL9="",IL$28&lt;$A36),"",IL9/OFFSET(SSAutESP!$A$2,MATCH(IL$29,SSAutESP!$A$2:$A$500)+$A36-1,1)-1)</f>
        <v/>
      </c>
      <c r="IM36" s="9" t="str">
        <f ca="1">IF(OR(IM9="",IM$28&lt;$A36),"",IM9/OFFSET(SSAutESP!$A$2,MATCH(IM$29,SSAutESP!$A$2:$A$500)+$A36-1,1)-1)</f>
        <v/>
      </c>
      <c r="IN36" s="9" t="str">
        <f ca="1">IF(OR(IN9="",IN$28&lt;$A36),"",IN9/OFFSET(SSAutESP!$A$2,MATCH(IN$29,SSAutESP!$A$2:$A$500)+$A36-1,1)-1)</f>
        <v/>
      </c>
      <c r="IO36" s="9" t="str">
        <f ca="1">IF(OR(IO9="",IO$28&lt;$A36),"",IO9/OFFSET(SSAutESP!$A$2,MATCH(IO$29,SSAutESP!$A$2:$A$500)+$A36-1,1)-1)</f>
        <v/>
      </c>
      <c r="IP36" s="9" t="str">
        <f ca="1">IF(OR(IP9="",IP$28&lt;$A36),"",IP9/OFFSET(SSAutESP!$A$2,MATCH(IP$29,SSAutESP!$A$2:$A$500)+$A36-1,1)-1)</f>
        <v/>
      </c>
      <c r="IQ36" s="9" t="str">
        <f ca="1">IF(OR(IQ9="",IQ$28&lt;$A36),"",IQ9/OFFSET(SSAutESP!$A$2,MATCH(IQ$29,SSAutESP!$A$2:$A$500)+$A36-1,1)-1)</f>
        <v/>
      </c>
      <c r="IR36" s="9" t="str">
        <f ca="1">IF(OR(IR9="",IR$28&lt;$A36),"",IR9/OFFSET(SSAutESP!$A$2,MATCH(IR$29,SSAutESP!$A$2:$A$500)+$A36-1,1)-1)</f>
        <v/>
      </c>
      <c r="IS36" s="9" t="str">
        <f ca="1">IF(OR(IS9="",IS$28&lt;$A36),"",IS9/OFFSET(SSAutESP!$A$2,MATCH(IS$29,SSAutESP!$A$2:$A$500)+$A36-1,1)-1)</f>
        <v/>
      </c>
      <c r="IT36" s="9" t="str">
        <f ca="1">IF(OR(IT9="",IT$28&lt;$A36),"",IT9/OFFSET(SSAutESP!$A$2,MATCH(IT$29,SSAutESP!$A$2:$A$500)+$A36-1,1)-1)</f>
        <v/>
      </c>
      <c r="IU36" s="9" t="str">
        <f ca="1">IF(OR(IU9="",IU$28&lt;$A36),"",IU9/OFFSET(SSAutESP!$A$2,MATCH(IU$29,SSAutESP!$A$2:$A$500)+$A36-1,1)-1)</f>
        <v/>
      </c>
      <c r="IV36" s="9" t="str">
        <f ca="1">IF(OR(IV9="",IV$28&lt;$A36),"",IV9/OFFSET(SSAutESP!$A$2,MATCH(IV$29,SSAutESP!$A$2:$A$500)+$A36-1,1)-1)</f>
        <v/>
      </c>
      <c r="IW36" s="9" t="str">
        <f ca="1">IF(OR(IW9="",IW$28&lt;$A36),"",IW9/OFFSET(SSAutESP!$A$2,MATCH(IW$29,SSAutESP!$A$2:$A$500)+$A36-1,1)-1)</f>
        <v/>
      </c>
      <c r="IX36" s="9" t="str">
        <f ca="1">IF(OR(IX9="",IX$28&lt;$A36),"",IX9/OFFSET(SSAutESP!$A$2,MATCH(IX$29,SSAutESP!$A$2:$A$500)+$A36-1,1)-1)</f>
        <v/>
      </c>
      <c r="IY36" s="9" t="str">
        <f ca="1">IF(OR(IY9="",IY$28&lt;$A36),"",IY9/OFFSET(SSAutESP!$A$2,MATCH(IY$29,SSAutESP!$A$2:$A$500)+$A36-1,1)-1)</f>
        <v/>
      </c>
      <c r="IZ36" s="9" t="str">
        <f ca="1">IF(OR(IZ9="",IZ$28&lt;$A36),"",IZ9/OFFSET(SSAutESP!$A$2,MATCH(IZ$29,SSAutESP!$A$2:$A$500)+$A36-1,1)-1)</f>
        <v/>
      </c>
      <c r="JA36" s="9" t="str">
        <f ca="1">IF(OR(JA9="",JA$28&lt;$A36),"",JA9/OFFSET(SSAutESP!$A$2,MATCH(JA$29,SSAutESP!$A$2:$A$500)+$A36-1,1)-1)</f>
        <v/>
      </c>
      <c r="JB36" s="9" t="str">
        <f ca="1">IF(OR(JB9="",JB$28&lt;$A36),"",JB9/OFFSET(SSAutESP!$A$2,MATCH(JB$29,SSAutESP!$A$2:$A$500)+$A36-1,1)-1)</f>
        <v/>
      </c>
      <c r="JC36" s="9" t="str">
        <f ca="1">IF(OR(JC9="",JC$28&lt;$A36),"",JC9/OFFSET(SSAutESP!$A$2,MATCH(JC$29,SSAutESP!$A$2:$A$500)+$A36-1,1)-1)</f>
        <v/>
      </c>
      <c r="JD36" s="9" t="str">
        <f ca="1">IF(OR(JD9="",JD$28&lt;$A36),"",JD9/OFFSET(SSAutESP!$A$2,MATCH(JD$29,SSAutESP!$A$2:$A$500)+$A36-1,1)-1)</f>
        <v/>
      </c>
      <c r="JE36" s="9" t="str">
        <f ca="1">IF(OR(JE9="",JE$28&lt;$A36),"",JE9/OFFSET(SSAutESP!$A$2,MATCH(JE$29,SSAutESP!$A$2:$A$500)+$A36-1,1)-1)</f>
        <v/>
      </c>
      <c r="JF36" s="9" t="str">
        <f ca="1">IF(OR(JF9="",JF$28&lt;$A36),"",JF9/OFFSET(SSAutESP!$A$2,MATCH(JF$29,SSAutESP!$A$2:$A$500)+$A36-1,1)-1)</f>
        <v/>
      </c>
      <c r="JG36" s="9" t="str">
        <f ca="1">IF(OR(JG9="",JG$28&lt;$A36),"",JG9/OFFSET(SSAutESP!$A$2,MATCH(JG$29,SSAutESP!$A$2:$A$500)+$A36-1,1)-1)</f>
        <v/>
      </c>
      <c r="JH36" s="9" t="str">
        <f ca="1">IF(OR(JH9="",JH$28&lt;$A36),"",JH9/OFFSET(SSAutESP!$A$2,MATCH(JH$29,SSAutESP!$A$2:$A$500)+$A36-1,1)-1)</f>
        <v/>
      </c>
      <c r="JI36" s="13">
        <f t="shared" ca="1" si="13"/>
        <v>1.0213541988858266E-3</v>
      </c>
      <c r="JJ36" s="13">
        <f t="shared" ca="1" si="14"/>
        <v>1.6509653391728607E-3</v>
      </c>
      <c r="JK36" s="14">
        <f t="shared" ca="1" si="15"/>
        <v>1.8469189801683983E-4</v>
      </c>
      <c r="JL36" s="17">
        <f t="shared" ca="1" si="18"/>
        <v>1.3590139735000513E-2</v>
      </c>
      <c r="JM36" s="15" t="str">
        <f t="shared" ca="1" si="16"/>
        <v>[ -2,62% ; 2,82% ]</v>
      </c>
      <c r="JN36" s="17">
        <f t="shared" ca="1" si="17"/>
        <v>1.7395378860800656E-2</v>
      </c>
      <c r="LY36" s="1"/>
    </row>
    <row r="37" spans="1:337" x14ac:dyDescent="0.25">
      <c r="A37" s="4">
        <v>8</v>
      </c>
      <c r="B37" s="9">
        <f ca="1">IF(OR(B10="",B$28&lt;$A37),"",B10/OFFSET(SSAutESP!$A$2,MATCH(B$29,SSAutESP!$A$2:$A$500)+$A37-1,1)-1)</f>
        <v>-2.9380529964874169E-3</v>
      </c>
      <c r="C37" s="9">
        <f ca="1">IF(OR(C10="",C$28&lt;$A37),"",C10/OFFSET(SSAutESP!$A$2,MATCH(C$29,SSAutESP!$A$2:$A$500)+$A37-1,1)-1)</f>
        <v>2.5998453288034185E-3</v>
      </c>
      <c r="D37" s="9">
        <f ca="1">IF(OR(D10="",D$28&lt;$A37),"",D10/OFFSET(SSAutESP!$A$2,MATCH(D$29,SSAutESP!$A$2:$A$500)+$A37-1,1)-1)</f>
        <v>4.9863146342021825E-3</v>
      </c>
      <c r="E37" s="9">
        <f ca="1">IF(OR(E10="",E$28&lt;$A37),"",E10/OFFSET(SSAutESP!$A$2,MATCH(E$29,SSAutESP!$A$2:$A$500)+$A37-1,1)-1)</f>
        <v>6.4094221166866028E-3</v>
      </c>
      <c r="F37" s="9">
        <f ca="1">IF(OR(F10="",F$28&lt;$A37),"",F10/OFFSET(SSAutESP!$A$2,MATCH(F$29,SSAutESP!$A$2:$A$500)+$A37-1,1)-1)</f>
        <v>5.2641933126968965E-3</v>
      </c>
      <c r="G37" s="9">
        <f ca="1">IF(OR(G10="",G$28&lt;$A37),"",G10/OFFSET(SSAutESP!$A$2,MATCH(G$29,SSAutESP!$A$2:$A$500)+$A37-1,1)-1)</f>
        <v>1.7727833523843994E-3</v>
      </c>
      <c r="H37" s="9">
        <f ca="1">IF(OR(H10="",H$28&lt;$A37),"",H10/OFFSET(SSAutESP!$A$2,MATCH(H$29,SSAutESP!$A$2:$A$500)+$A37-1,1)-1)</f>
        <v>3.1597902985756043E-3</v>
      </c>
      <c r="I37" s="9">
        <f ca="1">IF(OR(I10="",I$28&lt;$A37),"",I10/OFFSET(SSAutESP!$A$2,MATCH(I$29,SSAutESP!$A$2:$A$500)+$A37-1,1)-1)</f>
        <v>1.8134760650296844E-3</v>
      </c>
      <c r="J37" s="9">
        <f ca="1">IF(OR(J10="",J$28&lt;$A37),"",J10/OFFSET(SSAutESP!$A$2,MATCH(J$29,SSAutESP!$A$2:$A$500)+$A37-1,1)-1)</f>
        <v>1.6221973502084097E-4</v>
      </c>
      <c r="K37" s="9">
        <f ca="1">IF(OR(K10="",K$28&lt;$A37),"",K10/OFFSET(SSAutESP!$A$2,MATCH(K$29,SSAutESP!$A$2:$A$500)+$A37-1,1)-1)</f>
        <v>-5.1380334897266344E-5</v>
      </c>
      <c r="L37" s="9">
        <f ca="1">IF(OR(L10="",L$28&lt;$A37),"",L10/OFFSET(SSAutESP!$A$2,MATCH(L$29,SSAutESP!$A$2:$A$500)+$A37-1,1)-1)</f>
        <v>3.3434169337454023E-4</v>
      </c>
      <c r="M37" s="9">
        <f ca="1">IF(OR(M10="",M$28&lt;$A37),"",M10/OFFSET(SSAutESP!$A$2,MATCH(M$29,SSAutESP!$A$2:$A$500)+$A37-1,1)-1)</f>
        <v>2.3811232358339485E-3</v>
      </c>
      <c r="N37" s="9">
        <f ca="1">IF(OR(N10="",N$28&lt;$A37),"",N10/OFFSET(SSAutESP!$A$2,MATCH(N$29,SSAutESP!$A$2:$A$500)+$A37-1,1)-1)</f>
        <v>6.3905448265331177E-3</v>
      </c>
      <c r="O37" s="9">
        <f ca="1">IF(OR(O10="",O$28&lt;$A37),"",O10/OFFSET(SSAutESP!$A$2,MATCH(O$29,SSAutESP!$A$2:$A$500)+$A37-1,1)-1)</f>
        <v>7.2413686074170869E-3</v>
      </c>
      <c r="P37" s="9">
        <f ca="1">IF(OR(P10="",P$28&lt;$A37),"",P10/OFFSET(SSAutESP!$A$2,MATCH(P$29,SSAutESP!$A$2:$A$500)+$A37-1,1)-1)</f>
        <v>5.4136514991567353E-3</v>
      </c>
      <c r="Q37" s="9">
        <f ca="1">IF(OR(Q10="",Q$28&lt;$A37),"",Q10/OFFSET(SSAutESP!$A$2,MATCH(Q$29,SSAutESP!$A$2:$A$500)+$A37-1,1)-1)</f>
        <v>3.560914362758405E-3</v>
      </c>
      <c r="R37" s="9">
        <f ca="1">IF(OR(R10="",R$28&lt;$A37),"",R10/OFFSET(SSAutESP!$A$2,MATCH(R$29,SSAutESP!$A$2:$A$500)+$A37-1,1)-1)</f>
        <v>1.2427484389558874E-3</v>
      </c>
      <c r="S37" s="9">
        <f ca="1">IF(OR(S10="",S$28&lt;$A37),"",S10/OFFSET(SSAutESP!$A$2,MATCH(S$29,SSAutESP!$A$2:$A$500)+$A37-1,1)-1)</f>
        <v>5.9656006682606844E-4</v>
      </c>
      <c r="T37" s="9">
        <f ca="1">IF(OR(T10="",T$28&lt;$A37),"",T10/OFFSET(SSAutESP!$A$2,MATCH(T$29,SSAutESP!$A$2:$A$500)+$A37-1,1)-1)</f>
        <v>1.1692628699115915E-3</v>
      </c>
      <c r="U37" s="9">
        <f ca="1">IF(OR(U10="",U$28&lt;$A37),"",U10/OFFSET(SSAutESP!$A$2,MATCH(U$29,SSAutESP!$A$2:$A$500)+$A37-1,1)-1)</f>
        <v>-4.2405507916987162E-4</v>
      </c>
      <c r="V37" s="9">
        <f ca="1">IF(OR(V10="",V$28&lt;$A37),"",V10/OFFSET(SSAutESP!$A$2,MATCH(V$29,SSAutESP!$A$2:$A$500)+$A37-1,1)-1)</f>
        <v>-1.3034330124335192E-3</v>
      </c>
      <c r="W37" s="9">
        <f ca="1">IF(OR(W10="",W$28&lt;$A37),"",W10/OFFSET(SSAutESP!$A$2,MATCH(W$29,SSAutESP!$A$2:$A$500)+$A37-1,1)-1)</f>
        <v>-4.4814757559019647E-4</v>
      </c>
      <c r="X37" s="9">
        <f ca="1">IF(OR(X10="",X$28&lt;$A37),"",X10/OFFSET(SSAutESP!$A$2,MATCH(X$29,SSAutESP!$A$2:$A$500)+$A37-1,1)-1)</f>
        <v>1.2513981381578887E-5</v>
      </c>
      <c r="Y37" s="9">
        <f ca="1">IF(OR(Y10="",Y$28&lt;$A37),"",Y10/OFFSET(SSAutESP!$A$2,MATCH(Y$29,SSAutESP!$A$2:$A$500)+$A37-1,1)-1)</f>
        <v>1.2382973392288665E-3</v>
      </c>
      <c r="Z37" s="9">
        <f ca="1">IF(OR(Z10="",Z$28&lt;$A37),"",Z10/OFFSET(SSAutESP!$A$2,MATCH(Z$29,SSAutESP!$A$2:$A$500)+$A37-1,1)-1)</f>
        <v>2.6174185109553161E-3</v>
      </c>
      <c r="AA37" s="9">
        <f ca="1">IF(OR(AA10="",AA$28&lt;$A37),"",AA10/OFFSET(SSAutESP!$A$2,MATCH(AA$29,SSAutESP!$A$2:$A$500)+$A37-1,1)-1)</f>
        <v>2.4888923203671975E-3</v>
      </c>
      <c r="AB37" s="9">
        <f ca="1">IF(OR(AB10="",AB$28&lt;$A37),"",AB10/OFFSET(SSAutESP!$A$2,MATCH(AB$29,SSAutESP!$A$2:$A$500)+$A37-1,1)-1)</f>
        <v>1.8634644324360128E-3</v>
      </c>
      <c r="AC37" s="9">
        <f ca="1">IF(OR(AC10="",AC$28&lt;$A37),"",AC10/OFFSET(SSAutESP!$A$2,MATCH(AC$29,SSAutESP!$A$2:$A$500)+$A37-1,1)-1)</f>
        <v>-1.3335905577841478E-3</v>
      </c>
      <c r="AD37" s="9">
        <f ca="1">IF(OR(AD10="",AD$28&lt;$A37),"",AD10/OFFSET(SSAutESP!$A$2,MATCH(AD$29,SSAutESP!$A$2:$A$500)+$A37-1,1)-1)</f>
        <v>-2.4286262656622037E-3</v>
      </c>
      <c r="AE37" s="9">
        <f ca="1">IF(OR(AE10="",AE$28&lt;$A37),"",AE10/OFFSET(SSAutESP!$A$2,MATCH(AE$29,SSAutESP!$A$2:$A$500)+$A37-1,1)-1)</f>
        <v>-1.376693873233803E-3</v>
      </c>
      <c r="AF37" s="9">
        <f ca="1">IF(OR(AF10="",AF$28&lt;$A37),"",AF10/OFFSET(SSAutESP!$A$2,MATCH(AF$29,SSAutESP!$A$2:$A$500)+$A37-1,1)-1)</f>
        <v>-4.0248499931889725E-3</v>
      </c>
      <c r="AG37" s="9">
        <f ca="1">IF(OR(AG10="",AG$28&lt;$A37),"",AG10/OFFSET(SSAutESP!$A$2,MATCH(AG$29,SSAutESP!$A$2:$A$500)+$A37-1,1)-1)</f>
        <v>-6.9210039439492332E-3</v>
      </c>
      <c r="AH37" s="9">
        <f ca="1">IF(OR(AH10="",AH$28&lt;$A37),"",AH10/OFFSET(SSAutESP!$A$2,MATCH(AH$29,SSAutESP!$A$2:$A$500)+$A37-1,1)-1)</f>
        <v>-9.5834105770171707E-3</v>
      </c>
      <c r="AI37" s="9">
        <f ca="1">IF(OR(AI10="",AI$28&lt;$A37),"",AI10/OFFSET(SSAutESP!$A$2,MATCH(AI$29,SSAutESP!$A$2:$A$500)+$A37-1,1)-1)</f>
        <v>-7.0347095259659653E-3</v>
      </c>
      <c r="AJ37" s="9">
        <f ca="1">IF(OR(AJ10="",AJ$28&lt;$A37),"",AJ10/OFFSET(SSAutESP!$A$2,MATCH(AJ$29,SSAutESP!$A$2:$A$500)+$A37-1,1)-1)</f>
        <v>-5.8561428991776854E-3</v>
      </c>
      <c r="AK37" s="9">
        <f ca="1">IF(OR(AK10="",AK$28&lt;$A37),"",AK10/OFFSET(SSAutESP!$A$2,MATCH(AK$29,SSAutESP!$A$2:$A$500)+$A37-1,1)-1)</f>
        <v>-6.527407116809103E-3</v>
      </c>
      <c r="AL37" s="9">
        <f ca="1">IF(OR(AL10="",AL$28&lt;$A37),"",AL10/OFFSET(SSAutESP!$A$2,MATCH(AL$29,SSAutESP!$A$2:$A$500)+$A37-1,1)-1)</f>
        <v>-5.0114430709735647E-3</v>
      </c>
      <c r="AM37" s="9">
        <f ca="1">IF(OR(AM10="",AM$28&lt;$A37),"",AM10/OFFSET(SSAutESP!$A$2,MATCH(AM$29,SSAutESP!$A$2:$A$500)+$A37-1,1)-1)</f>
        <v>-2.8878151082999404E-3</v>
      </c>
      <c r="AN37" s="9">
        <f ca="1">IF(OR(AN10="",AN$28&lt;$A37),"",AN10/OFFSET(SSAutESP!$A$2,MATCH(AN$29,SSAutESP!$A$2:$A$500)+$A37-1,1)-1)</f>
        <v>-1.695084119359147E-3</v>
      </c>
      <c r="AO37" s="9">
        <f ca="1">IF(OR(AO10="",AO$28&lt;$A37),"",AO10/OFFSET(SSAutESP!$A$2,MATCH(AO$29,SSAutESP!$A$2:$A$500)+$A37-1,1)-1)</f>
        <v>7.4363413294120662E-4</v>
      </c>
      <c r="AP37" s="9">
        <f ca="1">IF(OR(AP10="",AP$28&lt;$A37),"",AP10/OFFSET(SSAutESP!$A$2,MATCH(AP$29,SSAutESP!$A$2:$A$500)+$A37-1,1)-1)</f>
        <v>1.0333557000448135E-3</v>
      </c>
      <c r="AQ37" s="9">
        <f ca="1">IF(OR(AQ10="",AQ$28&lt;$A37),"",AQ10/OFFSET(SSAutESP!$A$2,MATCH(AQ$29,SSAutESP!$A$2:$A$500)+$A37-1,1)-1)</f>
        <v>1.8524218977411522E-3</v>
      </c>
      <c r="AR37" s="9">
        <f ca="1">IF(OR(AR10="",AR$28&lt;$A37),"",AR10/OFFSET(SSAutESP!$A$2,MATCH(AR$29,SSAutESP!$A$2:$A$500)+$A37-1,1)-1)</f>
        <v>6.7473133128301832E-3</v>
      </c>
      <c r="AS37" s="9">
        <f ca="1">IF(OR(AS10="",AS$28&lt;$A37),"",AS10/OFFSET(SSAutESP!$A$2,MATCH(AS$29,SSAutESP!$A$2:$A$500)+$A37-1,1)-1)</f>
        <v>9.8984581390648696E-3</v>
      </c>
      <c r="AT37" s="9">
        <f ca="1">IF(OR(AT10="",AT$28&lt;$A37),"",AT10/OFFSET(SSAutESP!$A$2,MATCH(AT$29,SSAutESP!$A$2:$A$500)+$A37-1,1)-1)</f>
        <v>9.955995088164693E-3</v>
      </c>
      <c r="AU37" s="9">
        <f ca="1">IF(OR(AU10="",AU$28&lt;$A37),"",AU10/OFFSET(SSAutESP!$A$2,MATCH(AU$29,SSAutESP!$A$2:$A$500)+$A37-1,1)-1)</f>
        <v>1.8246296257429684E-2</v>
      </c>
      <c r="AV37" s="9">
        <f ca="1">IF(OR(AV10="",AV$28&lt;$A37),"",AV10/OFFSET(SSAutESP!$A$2,MATCH(AV$29,SSAutESP!$A$2:$A$500)+$A37-1,1)-1)</f>
        <v>2.2836574038371804E-2</v>
      </c>
      <c r="AW37" s="9">
        <f ca="1">IF(OR(AW10="",AW$28&lt;$A37),"",AW10/OFFSET(SSAutESP!$A$2,MATCH(AW$29,SSAutESP!$A$2:$A$500)+$A37-1,1)-1)</f>
        <v>2.5293507326350273E-2</v>
      </c>
      <c r="AX37" s="9">
        <f ca="1">IF(OR(AX10="",AX$28&lt;$A37),"",AX10/OFFSET(SSAutESP!$A$2,MATCH(AX$29,SSAutESP!$A$2:$A$500)+$A37-1,1)-1)</f>
        <v>2.7175950612634558E-2</v>
      </c>
      <c r="AY37" s="9">
        <f ca="1">IF(OR(AY10="",AY$28&lt;$A37),"",AY10/OFFSET(SSAutESP!$A$2,MATCH(AY$29,SSAutESP!$A$2:$A$500)+$A37-1,1)-1)</f>
        <v>2.968522346197755E-2</v>
      </c>
      <c r="AZ37" s="9">
        <f ca="1">IF(OR(AZ10="",AZ$28&lt;$A37),"",AZ10/OFFSET(SSAutESP!$A$2,MATCH(AZ$29,SSAutESP!$A$2:$A$500)+$A37-1,1)-1)</f>
        <v>3.2763219704316615E-2</v>
      </c>
      <c r="BA37" s="9">
        <f ca="1">IF(OR(BA10="",BA$28&lt;$A37),"",BA10/OFFSET(SSAutESP!$A$2,MATCH(BA$29,SSAutESP!$A$2:$A$500)+$A37-1,1)-1)</f>
        <v>3.2488550089471824E-2</v>
      </c>
      <c r="BB37" s="9">
        <f ca="1">IF(OR(BB10="",BB$28&lt;$A37),"",BB10/OFFSET(SSAutESP!$A$2,MATCH(BB$29,SSAutESP!$A$2:$A$500)+$A37-1,1)-1)</f>
        <v>2.4271889052867701E-2</v>
      </c>
      <c r="BC37" s="9">
        <f ca="1">IF(OR(BC10="",BC$28&lt;$A37),"",BC10/OFFSET(SSAutESP!$A$2,MATCH(BC$29,SSAutESP!$A$2:$A$500)+$A37-1,1)-1)</f>
        <v>1.1980817226345142E-2</v>
      </c>
      <c r="BD37" s="9">
        <f ca="1">IF(OR(BD10="",BD$28&lt;$A37),"",BD10/OFFSET(SSAutESP!$A$2,MATCH(BD$29,SSAutESP!$A$2:$A$500)+$A37-1,1)-1)</f>
        <v>2.0523747950215387E-2</v>
      </c>
      <c r="BE37" s="9">
        <f ca="1">IF(OR(BE10="",BE$28&lt;$A37),"",BE10/OFFSET(SSAutESP!$A$2,MATCH(BE$29,SSAutESP!$A$2:$A$500)+$A37-1,1)-1)</f>
        <v>1.8359304873805105E-2</v>
      </c>
      <c r="BF37" s="9">
        <f ca="1">IF(OR(BF10="",BF$28&lt;$A37),"",BF10/OFFSET(SSAutESP!$A$2,MATCH(BF$29,SSAutESP!$A$2:$A$500)+$A37-1,1)-1)</f>
        <v>1.7497407399434062E-2</v>
      </c>
      <c r="BG37" s="9">
        <f ca="1">IF(OR(BG10="",BG$28&lt;$A37),"",BG10/OFFSET(SSAutESP!$A$2,MATCH(BG$29,SSAutESP!$A$2:$A$500)+$A37-1,1)-1)</f>
        <v>2.7373337328255198E-2</v>
      </c>
      <c r="BH37" s="9">
        <f ca="1">IF(OR(BH10="",BH$28&lt;$A37),"",BH10/OFFSET(SSAutESP!$A$2,MATCH(BH$29,SSAutESP!$A$2:$A$500)+$A37-1,1)-1)</f>
        <v>1.9002216129188287E-2</v>
      </c>
      <c r="BI37" s="9">
        <f ca="1">IF(OR(BI10="",BI$28&lt;$A37),"",BI10/OFFSET(SSAutESP!$A$2,MATCH(BI$29,SSAutESP!$A$2:$A$500)+$A37-1,1)-1)</f>
        <v>1.2013497222376213E-2</v>
      </c>
      <c r="BJ37" s="9">
        <f ca="1">IF(OR(BJ10="",BJ$28&lt;$A37),"",BJ10/OFFSET(SSAutESP!$A$2,MATCH(BJ$29,SSAutESP!$A$2:$A$500)+$A37-1,1)-1)</f>
        <v>1.1806063382050258E-2</v>
      </c>
      <c r="BK37" s="9">
        <f ca="1">IF(OR(BK10="",BK$28&lt;$A37),"",BK10/OFFSET(SSAutESP!$A$2,MATCH(BK$29,SSAutESP!$A$2:$A$500)+$A37-1,1)-1)</f>
        <v>-1.8007753069358312E-2</v>
      </c>
      <c r="BL37" s="9">
        <f ca="1">IF(OR(BL10="",BL$28&lt;$A37),"",BL10/OFFSET(SSAutESP!$A$2,MATCH(BL$29,SSAutESP!$A$2:$A$500)+$A37-1,1)-1)</f>
        <v>-3.4736656767000773E-2</v>
      </c>
      <c r="BM37" s="9">
        <f ca="1">IF(OR(BM10="",BM$28&lt;$A37),"",BM10/OFFSET(SSAutESP!$A$2,MATCH(BM$29,SSAutESP!$A$2:$A$500)+$A37-1,1)-1)</f>
        <v>-3.2970089210472953E-2</v>
      </c>
      <c r="BN37" s="9">
        <f ca="1">IF(OR(BN10="",BN$28&lt;$A37),"",BN10/OFFSET(SSAutESP!$A$2,MATCH(BN$29,SSAutESP!$A$2:$A$500)+$A37-1,1)-1)</f>
        <v>-2.5452874050461816E-2</v>
      </c>
      <c r="BO37" s="9">
        <f ca="1">IF(OR(BO10="",BO$28&lt;$A37),"",BO10/OFFSET(SSAutESP!$A$2,MATCH(BO$29,SSAutESP!$A$2:$A$500)+$A37-1,1)-1)</f>
        <v>-1.9450663427914794E-2</v>
      </c>
      <c r="BP37" s="9">
        <f ca="1">IF(OR(BP10="",BP$28&lt;$A37),"",BP10/OFFSET(SSAutESP!$A$2,MATCH(BP$29,SSAutESP!$A$2:$A$500)+$A37-1,1)-1)</f>
        <v>-1.3712963501578246E-2</v>
      </c>
      <c r="BQ37" s="9">
        <f ca="1">IF(OR(BQ10="",BQ$28&lt;$A37),"",BQ10/OFFSET(SSAutESP!$A$2,MATCH(BQ$29,SSAutESP!$A$2:$A$500)+$A37-1,1)-1)</f>
        <v>-1.7673389050402499E-2</v>
      </c>
      <c r="BR37" s="9">
        <f ca="1">IF(OR(BR10="",BR$28&lt;$A37),"",BR10/OFFSET(SSAutESP!$A$2,MATCH(BR$29,SSAutESP!$A$2:$A$500)+$A37-1,1)-1)</f>
        <v>-1.2403852289310957E-2</v>
      </c>
      <c r="BS37" s="9">
        <f ca="1">IF(OR(BS10="",BS$28&lt;$A37),"",BS10/OFFSET(SSAutESP!$A$2,MATCH(BS$29,SSAutESP!$A$2:$A$500)+$A37-1,1)-1)</f>
        <v>-2.9741856138383316E-3</v>
      </c>
      <c r="BT37" s="9">
        <f ca="1">IF(OR(BT10="",BT$28&lt;$A37),"",BT10/OFFSET(SSAutESP!$A$2,MATCH(BT$29,SSAutESP!$A$2:$A$500)+$A37-1,1)-1)</f>
        <v>-1.1637327761797156E-2</v>
      </c>
      <c r="BU37" s="9">
        <f ca="1">IF(OR(BU10="",BU$28&lt;$A37),"",BU10/OFFSET(SSAutESP!$A$2,MATCH(BU$29,SSAutESP!$A$2:$A$500)+$A37-1,1)-1)</f>
        <v>-1.310448656949581E-2</v>
      </c>
      <c r="BV37" s="9">
        <f ca="1">IF(OR(BV10="",BV$28&lt;$A37),"",BV10/OFFSET(SSAutESP!$A$2,MATCH(BV$29,SSAutESP!$A$2:$A$500)+$A37-1,1)-1)</f>
        <v>-7.108110129280476E-3</v>
      </c>
      <c r="BW37" s="9">
        <f ca="1">IF(OR(BW10="",BW$28&lt;$A37),"",BW10/OFFSET(SSAutESP!$A$2,MATCH(BW$29,SSAutESP!$A$2:$A$500)+$A37-1,1)-1)</f>
        <v>2.8593881338765392E-3</v>
      </c>
      <c r="BX37" s="9">
        <f ca="1">IF(OR(BX10="",BX$28&lt;$A37),"",BX10/OFFSET(SSAutESP!$A$2,MATCH(BX$29,SSAutESP!$A$2:$A$500)+$A37-1,1)-1)</f>
        <v>-9.6866103492210254E-3</v>
      </c>
      <c r="BY37" s="9">
        <f ca="1">IF(OR(BY10="",BY$28&lt;$A37),"",BY10/OFFSET(SSAutESP!$A$2,MATCH(BY$29,SSAutESP!$A$2:$A$500)+$A37-1,1)-1)</f>
        <v>-7.2473366783184501E-3</v>
      </c>
      <c r="BZ37" s="9">
        <f ca="1">IF(OR(BZ10="",BZ$28&lt;$A37),"",BZ10/OFFSET(SSAutESP!$A$2,MATCH(BZ$29,SSAutESP!$A$2:$A$500)+$A37-1,1)-1)</f>
        <v>-3.8485042740921127E-3</v>
      </c>
      <c r="CA37" s="9">
        <f ca="1">IF(OR(CA10="",CA$28&lt;$A37),"",CA10/OFFSET(SSAutESP!$A$2,MATCH(CA$29,SSAutESP!$A$2:$A$500)+$A37-1,1)-1)</f>
        <v>2.1952281589125988E-3</v>
      </c>
      <c r="CB37" s="9">
        <f ca="1">IF(OR(CB10="",CB$28&lt;$A37),"",CB10/OFFSET(SSAutESP!$A$2,MATCH(CB$29,SSAutESP!$A$2:$A$500)+$A37-1,1)-1)</f>
        <v>5.5345087566243123E-3</v>
      </c>
      <c r="CC37" s="9">
        <f ca="1">IF(OR(CC10="",CC$28&lt;$A37),"",CC10/OFFSET(SSAutESP!$A$2,MATCH(CC$29,SSAutESP!$A$2:$A$500)+$A37-1,1)-1)</f>
        <v>6.2813191643806832E-4</v>
      </c>
      <c r="CD37" s="9">
        <f ca="1">IF(OR(CD10="",CD$28&lt;$A37),"",CD10/OFFSET(SSAutESP!$A$2,MATCH(CD$29,SSAutESP!$A$2:$A$500)+$A37-1,1)-1)</f>
        <v>-8.7616377235455456E-3</v>
      </c>
      <c r="CE37" s="9">
        <f ca="1">IF(OR(CE10="",CE$28&lt;$A37),"",CE10/OFFSET(SSAutESP!$A$2,MATCH(CE$29,SSAutESP!$A$2:$A$500)+$A37-1,1)-1)</f>
        <v>-4.6916884522402169E-3</v>
      </c>
      <c r="CF37" s="9">
        <f ca="1">IF(OR(CF10="",CF$28&lt;$A37),"",CF10/OFFSET(SSAutESP!$A$2,MATCH(CF$29,SSAutESP!$A$2:$A$500)+$A37-1,1)-1)</f>
        <v>-2.4461461371192428E-3</v>
      </c>
      <c r="CG37" s="9">
        <f ca="1">IF(OR(CG10="",CG$28&lt;$A37),"",CG10/OFFSET(SSAutESP!$A$2,MATCH(CG$29,SSAutESP!$A$2:$A$500)+$A37-1,1)-1)</f>
        <v>-2.0346689950403452E-3</v>
      </c>
      <c r="CH37" s="9">
        <f ca="1">IF(OR(CH10="",CH$28&lt;$A37),"",CH10/OFFSET(SSAutESP!$A$2,MATCH(CH$29,SSAutESP!$A$2:$A$500)+$A37-1,1)-1)</f>
        <v>-5.1697468715961037E-3</v>
      </c>
      <c r="CI37" s="9">
        <f ca="1">IF(OR(CI10="",CI$28&lt;$A37),"",CI10/OFFSET(SSAutESP!$A$2,MATCH(CI$29,SSAutESP!$A$2:$A$500)+$A37-1,1)-1)</f>
        <v>-5.310809464676991E-4</v>
      </c>
      <c r="CJ37" s="9">
        <f ca="1">IF(OR(CJ10="",CJ$28&lt;$A37),"",CJ10/OFFSET(SSAutESP!$A$2,MATCH(CJ$29,SSAutESP!$A$2:$A$500)+$A37-1,1)-1)</f>
        <v>-5.4592342263283244E-3</v>
      </c>
      <c r="CK37" s="9">
        <f ca="1">IF(OR(CK10="",CK$28&lt;$A37),"",CK10/OFFSET(SSAutESP!$A$2,MATCH(CK$29,SSAutESP!$A$2:$A$500)+$A37-1,1)-1)</f>
        <v>8.369567463697658E-3</v>
      </c>
      <c r="CL37" s="9">
        <f ca="1">IF(OR(CL10="",CL$28&lt;$A37),"",CL10/OFFSET(SSAutESP!$A$2,MATCH(CL$29,SSAutESP!$A$2:$A$500)+$A37-1,1)-1)</f>
        <v>9.2558148901022985E-3</v>
      </c>
      <c r="CM37" s="9">
        <f ca="1">IF(OR(CM10="",CM$28&lt;$A37),"",CM10/OFFSET(SSAutESP!$A$2,MATCH(CM$29,SSAutESP!$A$2:$A$500)+$A37-1,1)-1)</f>
        <v>1.4094383164201751E-2</v>
      </c>
      <c r="CN37" s="9">
        <f ca="1">IF(OR(CN10="",CN$28&lt;$A37),"",CN10/OFFSET(SSAutESP!$A$2,MATCH(CN$29,SSAutESP!$A$2:$A$500)+$A37-1,1)-1)</f>
        <v>4.5608605804319247E-3</v>
      </c>
      <c r="CO37" s="9">
        <f ca="1">IF(OR(CO10="",CO$28&lt;$A37),"",CO10/OFFSET(SSAutESP!$A$2,MATCH(CO$29,SSAutESP!$A$2:$A$500)+$A37-1,1)-1)</f>
        <v>3.5729550936083321E-3</v>
      </c>
      <c r="CP37" s="9">
        <f ca="1">IF(OR(CP10="",CP$28&lt;$A37),"",CP10/OFFSET(SSAutESP!$A$2,MATCH(CP$29,SSAutESP!$A$2:$A$500)+$A37-1,1)-1)</f>
        <v>2.0056803615382535E-3</v>
      </c>
      <c r="CQ37" s="9">
        <f ca="1">IF(OR(CQ10="",CQ$28&lt;$A37),"",CQ10/OFFSET(SSAutESP!$A$2,MATCH(CQ$29,SSAutESP!$A$2:$A$500)+$A37-1,1)-1)</f>
        <v>5.657470769163675E-3</v>
      </c>
      <c r="CR37" s="9">
        <f ca="1">IF(OR(CR10="",CR$28&lt;$A37),"",CR10/OFFSET(SSAutESP!$A$2,MATCH(CR$29,SSAutESP!$A$2:$A$500)+$A37-1,1)-1)</f>
        <v>3.1766134354982434E-3</v>
      </c>
      <c r="CS37" s="9">
        <f ca="1">IF(OR(CS10="",CS$28&lt;$A37),"",CS10/OFFSET(SSAutESP!$A$2,MATCH(CS$29,SSAutESP!$A$2:$A$500)+$A37-1,1)-1)</f>
        <v>-1.4788509027466867E-3</v>
      </c>
      <c r="CT37" s="9">
        <f ca="1">IF(OR(CT10="",CT$28&lt;$A37),"",CT10/OFFSET(SSAutESP!$A$2,MATCH(CT$29,SSAutESP!$A$2:$A$500)+$A37-1,1)-1)</f>
        <v>5.6491395157287627E-6</v>
      </c>
      <c r="CU37" s="9">
        <f ca="1">IF(OR(CU10="",CU$28&lt;$A37),"",CU10/OFFSET(SSAutESP!$A$2,MATCH(CU$29,SSAutESP!$A$2:$A$500)+$A37-1,1)-1)</f>
        <v>-1.3359890265862595E-2</v>
      </c>
      <c r="CV37" s="9">
        <f ca="1">IF(OR(CV10="",CV$28&lt;$A37),"",CV10/OFFSET(SSAutESP!$A$2,MATCH(CV$29,SSAutESP!$A$2:$A$500)+$A37-1,1)-1)</f>
        <v>-4.9877197862324696E-4</v>
      </c>
      <c r="CW37" s="9">
        <f ca="1">IF(OR(CW10="",CW$28&lt;$A37),"",CW10/OFFSET(SSAutESP!$A$2,MATCH(CW$29,SSAutESP!$A$2:$A$500)+$A37-1,1)-1)</f>
        <v>3.38535994583955E-3</v>
      </c>
      <c r="CX37" s="9">
        <f ca="1">IF(OR(CX10="",CX$28&lt;$A37),"",CX10/OFFSET(SSAutESP!$A$2,MATCH(CX$29,SSAutESP!$A$2:$A$500)+$A37-1,1)-1)</f>
        <v>4.0449374460560517E-3</v>
      </c>
      <c r="CY37" s="9">
        <f ca="1">IF(OR(CY10="",CY$28&lt;$A37),"",CY10/OFFSET(SSAutESP!$A$2,MATCH(CY$29,SSAutESP!$A$2:$A$500)+$A37-1,1)-1)</f>
        <v>3.7665669081643482E-3</v>
      </c>
      <c r="CZ37" s="9">
        <f ca="1">IF(OR(CZ10="",CZ$28&lt;$A37),"",CZ10/OFFSET(SSAutESP!$A$2,MATCH(CZ$29,SSAutESP!$A$2:$A$500)+$A37-1,1)-1)</f>
        <v>7.3054719531879808E-3</v>
      </c>
      <c r="DA37" s="9">
        <f ca="1">IF(OR(DA10="",DA$28&lt;$A37),"",DA10/OFFSET(SSAutESP!$A$2,MATCH(DA$29,SSAutESP!$A$2:$A$500)+$A37-1,1)-1)</f>
        <v>5.2912138855438773E-3</v>
      </c>
      <c r="DB37" s="9">
        <f ca="1">IF(OR(DB10="",DB$28&lt;$A37),"",DB10/OFFSET(SSAutESP!$A$2,MATCH(DB$29,SSAutESP!$A$2:$A$500)+$A37-1,1)-1)</f>
        <v>-5.9451976686959451E-3</v>
      </c>
      <c r="DC37" s="9">
        <f ca="1">IF(OR(DC10="",DC$28&lt;$A37),"",DC10/OFFSET(SSAutESP!$A$2,MATCH(DC$29,SSAutESP!$A$2:$A$500)+$A37-1,1)-1)</f>
        <v>-8.4031437009528531E-3</v>
      </c>
      <c r="DD37" s="9">
        <f ca="1">IF(OR(DD10="",DD$28&lt;$A37),"",DD10/OFFSET(SSAutESP!$A$2,MATCH(DD$29,SSAutESP!$A$2:$A$500)+$A37-1,1)-1)</f>
        <v>-7.6860480862703806E-3</v>
      </c>
      <c r="DE37" s="9">
        <f ca="1">IF(OR(DE10="",DE$28&lt;$A37),"",DE10/OFFSET(SSAutESP!$A$2,MATCH(DE$29,SSAutESP!$A$2:$A$500)+$A37-1,1)-1)</f>
        <v>-1.5063548045673891E-2</v>
      </c>
      <c r="DF37" s="9">
        <f ca="1">IF(OR(DF10="",DF$28&lt;$A37),"",DF10/OFFSET(SSAutESP!$A$2,MATCH(DF$29,SSAutESP!$A$2:$A$500)+$A37-1,1)-1)</f>
        <v>-6.9906043285515862E-3</v>
      </c>
      <c r="DG37" s="9">
        <f ca="1">IF(OR(DG10="",DG$28&lt;$A37),"",DG10/OFFSET(SSAutESP!$A$2,MATCH(DG$29,SSAutESP!$A$2:$A$500)+$A37-1,1)-1)</f>
        <v>-1.1455337712289571E-2</v>
      </c>
      <c r="DH37" s="9">
        <f ca="1">IF(OR(DH10="",DH$28&lt;$A37),"",DH10/OFFSET(SSAutESP!$A$2,MATCH(DH$29,SSAutESP!$A$2:$A$500)+$A37-1,1)-1)</f>
        <v>-1.9263852110653068E-2</v>
      </c>
      <c r="DI37" s="9">
        <f ca="1">IF(OR(DI10="",DI$28&lt;$A37),"",DI10/OFFSET(SSAutESP!$A$2,MATCH(DI$29,SSAutESP!$A$2:$A$500)+$A37-1,1)-1)</f>
        <v>-1.500708915582516E-2</v>
      </c>
      <c r="DJ37" s="9">
        <f ca="1">IF(OR(DJ10="",DJ$28&lt;$A37),"",DJ10/OFFSET(SSAutESP!$A$2,MATCH(DJ$29,SSAutESP!$A$2:$A$500)+$A37-1,1)-1)</f>
        <v>-8.4702860661596269E-3</v>
      </c>
      <c r="DK37" s="9">
        <f ca="1">IF(OR(DK10="",DK$28&lt;$A37),"",DK10/OFFSET(SSAutESP!$A$2,MATCH(DK$29,SSAutESP!$A$2:$A$500)+$A37-1,1)-1)</f>
        <v>-6.0983926669032629E-3</v>
      </c>
      <c r="DL37" s="9">
        <f ca="1">IF(OR(DL10="",DL$28&lt;$A37),"",DL10/OFFSET(SSAutESP!$A$2,MATCH(DL$29,SSAutESP!$A$2:$A$500)+$A37-1,1)-1)</f>
        <v>-1.3681531954290449E-3</v>
      </c>
      <c r="DM37" s="9">
        <f ca="1">IF(OR(DM10="",DM$28&lt;$A37),"",DM10/OFFSET(SSAutESP!$A$2,MATCH(DM$29,SSAutESP!$A$2:$A$500)+$A37-1,1)-1)</f>
        <v>-1.1684984120171604E-3</v>
      </c>
      <c r="DN37" s="9">
        <f ca="1">IF(OR(DN10="",DN$28&lt;$A37),"",DN10/OFFSET(SSAutESP!$A$2,MATCH(DN$29,SSAutESP!$A$2:$A$500)+$A37-1,1)-1)</f>
        <v>-1.9936799763599522E-2</v>
      </c>
      <c r="DO37" s="9">
        <f ca="1">IF(OR(DO10="",DO$28&lt;$A37),"",DO10/OFFSET(SSAutESP!$A$2,MATCH(DO$29,SSAutESP!$A$2:$A$500)+$A37-1,1)-1)</f>
        <v>-1.5621210079407644E-2</v>
      </c>
      <c r="DP37" s="9">
        <f ca="1">IF(OR(DP10="",DP$28&lt;$A37),"",DP10/OFFSET(SSAutESP!$A$2,MATCH(DP$29,SSAutESP!$A$2:$A$500)+$A37-1,1)-1)</f>
        <v>-1.4658908193330711E-2</v>
      </c>
      <c r="DQ37" s="9">
        <f ca="1">IF(OR(DQ10="",DQ$28&lt;$A37),"",DQ10/OFFSET(SSAutESP!$A$2,MATCH(DQ$29,SSAutESP!$A$2:$A$500)+$A37-1,1)-1)</f>
        <v>-5.390928159533015E-3</v>
      </c>
      <c r="DR37" s="9">
        <f ca="1">IF(OR(DR10="",DR$28&lt;$A37),"",DR10/OFFSET(SSAutESP!$A$2,MATCH(DR$29,SSAutESP!$A$2:$A$500)+$A37-1,1)-1)</f>
        <v>4.0870438363178607E-3</v>
      </c>
      <c r="DS37" s="9">
        <f ca="1">IF(OR(DS10="",DS$28&lt;$A37),"",DS10/OFFSET(SSAutESP!$A$2,MATCH(DS$29,SSAutESP!$A$2:$A$500)+$A37-1,1)-1)</f>
        <v>-7.3971716426056711E-3</v>
      </c>
      <c r="DT37" s="9">
        <f ca="1">IF(OR(DT10="",DT$28&lt;$A37),"",DT10/OFFSET(SSAutESP!$A$2,MATCH(DT$29,SSAutESP!$A$2:$A$500)+$A37-1,1)-1)</f>
        <v>-4.5975580547347183E-3</v>
      </c>
      <c r="DU37" s="9">
        <f ca="1">IF(OR(DU10="",DU$28&lt;$A37),"",DU10/OFFSET(SSAutESP!$A$2,MATCH(DU$29,SSAutESP!$A$2:$A$500)+$A37-1,1)-1)</f>
        <v>2.5466024810749666E-4</v>
      </c>
      <c r="DV37" s="9">
        <f ca="1">IF(OR(DV10="",DV$28&lt;$A37),"",DV10/OFFSET(SSAutESP!$A$2,MATCH(DV$29,SSAutESP!$A$2:$A$500)+$A37-1,1)-1)</f>
        <v>1.0045345085440305E-2</v>
      </c>
      <c r="DW37" s="9">
        <f ca="1">IF(OR(DW10="",DW$28&lt;$A37),"",DW10/OFFSET(SSAutESP!$A$2,MATCH(DW$29,SSAutESP!$A$2:$A$500)+$A37-1,1)-1)</f>
        <v>1.4657193213495789E-2</v>
      </c>
      <c r="DX37" s="9">
        <f ca="1">IF(OR(DX10="",DX$28&lt;$A37),"",DX10/OFFSET(SSAutESP!$A$2,MATCH(DX$29,SSAutESP!$A$2:$A$500)+$A37-1,1)-1)</f>
        <v>9.1436335170327343E-3</v>
      </c>
      <c r="DY37" s="9">
        <f ca="1">IF(OR(DY10="",DY$28&lt;$A37),"",DY10/OFFSET(SSAutESP!$A$2,MATCH(DY$29,SSAutESP!$A$2:$A$500)+$A37-1,1)-1)</f>
        <v>2.8726221272101782E-3</v>
      </c>
      <c r="DZ37" s="9">
        <f ca="1">IF(OR(DZ10="",DZ$28&lt;$A37),"",DZ10/OFFSET(SSAutESP!$A$2,MATCH(DZ$29,SSAutESP!$A$2:$A$500)+$A37-1,1)-1)</f>
        <v>-6.2540435843249087E-3</v>
      </c>
      <c r="EA37" s="9">
        <f ca="1">IF(OR(EA10="",EA$28&lt;$A37),"",EA10/OFFSET(SSAutESP!$A$2,MATCH(EA$29,SSAutESP!$A$2:$A$500)+$A37-1,1)-1)</f>
        <v>-3.0783161706987583E-3</v>
      </c>
      <c r="EB37" s="9">
        <f ca="1">IF(OR(EB10="",EB$28&lt;$A37),"",EB10/OFFSET(SSAutESP!$A$2,MATCH(EB$29,SSAutESP!$A$2:$A$500)+$A37-1,1)-1)</f>
        <v>1.6352449665202329E-4</v>
      </c>
      <c r="EC37" s="9">
        <f ca="1">IF(OR(EC10="",EC$28&lt;$A37),"",EC10/OFFSET(SSAutESP!$A$2,MATCH(EC$29,SSAutESP!$A$2:$A$500)+$A37-1,1)-1)</f>
        <v>-1.205075183595139E-3</v>
      </c>
      <c r="ED37" s="9">
        <f ca="1">IF(OR(ED10="",ED$28&lt;$A37),"",ED10/OFFSET(SSAutESP!$A$2,MATCH(ED$29,SSAutESP!$A$2:$A$500)+$A37-1,1)-1)</f>
        <v>5.1693192651087738E-3</v>
      </c>
      <c r="EE37" s="9">
        <f ca="1">IF(OR(EE10="",EE$28&lt;$A37),"",EE10/OFFSET(SSAutESP!$A$2,MATCH(EE$29,SSAutESP!$A$2:$A$500)+$A37-1,1)-1)</f>
        <v>-1.9292163547308672E-3</v>
      </c>
      <c r="EF37" s="9">
        <f ca="1">IF(OR(EF10="",EF$28&lt;$A37),"",EF10/OFFSET(SSAutESP!$A$2,MATCH(EF$29,SSAutESP!$A$2:$A$500)+$A37-1,1)-1)</f>
        <v>2.9104835372113502E-3</v>
      </c>
      <c r="EG37" s="9">
        <f ca="1">IF(OR(EG10="",EG$28&lt;$A37),"",EG10/OFFSET(SSAutESP!$A$2,MATCH(EG$29,SSAutESP!$A$2:$A$500)+$A37-1,1)-1)</f>
        <v>8.838457216995721E-3</v>
      </c>
      <c r="EH37" s="9">
        <f ca="1">IF(OR(EH10="",EH$28&lt;$A37),"",EH10/OFFSET(SSAutESP!$A$2,MATCH(EH$29,SSAutESP!$A$2:$A$500)+$A37-1,1)-1)</f>
        <v>1.1078837179830936E-2</v>
      </c>
      <c r="EI37" s="9">
        <f ca="1">IF(OR(EI10="",EI$28&lt;$A37),"",EI10/OFFSET(SSAutESP!$A$2,MATCH(EI$29,SSAutESP!$A$2:$A$500)+$A37-1,1)-1)</f>
        <v>1.073589786257978E-2</v>
      </c>
      <c r="EJ37" s="9">
        <f ca="1">IF(OR(EJ10="",EJ$28&lt;$A37),"",EJ10/OFFSET(SSAutESP!$A$2,MATCH(EJ$29,SSAutESP!$A$2:$A$500)+$A37-1,1)-1)</f>
        <v>8.7782764491892706E-3</v>
      </c>
      <c r="EK37" s="9">
        <f ca="1">IF(OR(EK10="",EK$28&lt;$A37),"",EK10/OFFSET(SSAutESP!$A$2,MATCH(EK$29,SSAutESP!$A$2:$A$500)+$A37-1,1)-1)</f>
        <v>-2.8739548024024897E-3</v>
      </c>
      <c r="EL37" s="9">
        <f ca="1">IF(OR(EL10="",EL$28&lt;$A37),"",EL10/OFFSET(SSAutESP!$A$2,MATCH(EL$29,SSAutESP!$A$2:$A$500)+$A37-1,1)-1)</f>
        <v>-3.5540749675897487E-3</v>
      </c>
      <c r="EM37" s="9">
        <f ca="1">IF(OR(EM10="",EM$28&lt;$A37),"",EM10/OFFSET(SSAutESP!$A$2,MATCH(EM$29,SSAutESP!$A$2:$A$500)+$A37-1,1)-1)</f>
        <v>-2.074555449367077E-3</v>
      </c>
      <c r="EN37" s="9">
        <f ca="1">IF(OR(EN10="",EN$28&lt;$A37),"",EN10/OFFSET(SSAutESP!$A$2,MATCH(EN$29,SSAutESP!$A$2:$A$500)+$A37-1,1)-1)</f>
        <v>-4.6397642557473029E-3</v>
      </c>
      <c r="EO37" s="9">
        <f ca="1">IF(OR(EO10="",EO$28&lt;$A37),"",EO10/OFFSET(SSAutESP!$A$2,MATCH(EO$29,SSAutESP!$A$2:$A$500)+$A37-1,1)-1)</f>
        <v>2.9772438655100153E-3</v>
      </c>
      <c r="EP37" s="9">
        <f ca="1">IF(OR(EP10="",EP$28&lt;$A37),"",EP10/OFFSET(SSAutESP!$A$2,MATCH(EP$29,SSAutESP!$A$2:$A$500)+$A37-1,1)-1)</f>
        <v>-1.5687147318532713E-4</v>
      </c>
      <c r="EQ37" s="9">
        <f ca="1">IF(OR(EQ10="",EQ$28&lt;$A37),"",EQ10/OFFSET(SSAutESP!$A$2,MATCH(EQ$29,SSAutESP!$A$2:$A$500)+$A37-1,1)-1)</f>
        <v>-1.0336561599478489E-2</v>
      </c>
      <c r="ER37" s="9">
        <f ca="1">IF(OR(ER10="",ER$28&lt;$A37),"",ER10/OFFSET(SSAutESP!$A$2,MATCH(ER$29,SSAutESP!$A$2:$A$500)+$A37-1,1)-1)</f>
        <v>-3.7372428685944481E-4</v>
      </c>
      <c r="ES37" s="9">
        <f ca="1">IF(OR(ES10="",ES$28&lt;$A37),"",ES10/OFFSET(SSAutESP!$A$2,MATCH(ES$29,SSAutESP!$A$2:$A$500)+$A37-1,1)-1)</f>
        <v>4.9135123335961595E-3</v>
      </c>
      <c r="ET37" s="9">
        <f ca="1">IF(OR(ET10="",ET$28&lt;$A37),"",ET10/OFFSET(SSAutESP!$A$2,MATCH(ET$29,SSAutESP!$A$2:$A$500)+$A37-1,1)-1)</f>
        <v>2.3345050548111423E-3</v>
      </c>
      <c r="EU37" s="9">
        <f ca="1">IF(OR(EU10="",EU$28&lt;$A37),"",EU10/OFFSET(SSAutESP!$A$2,MATCH(EU$29,SSAutESP!$A$2:$A$500)+$A37-1,1)-1)</f>
        <v>3.2620219307597509E-3</v>
      </c>
      <c r="EV37" s="9">
        <f ca="1">IF(OR(EV10="",EV$28&lt;$A37),"",EV10/OFFSET(SSAutESP!$A$2,MATCH(EV$29,SSAutESP!$A$2:$A$500)+$A37-1,1)-1)</f>
        <v>1.4630180204153742E-3</v>
      </c>
      <c r="EW37" s="9">
        <f ca="1">IF(OR(EW10="",EW$28&lt;$A37),"",EW10/OFFSET(SSAutESP!$A$2,MATCH(EW$29,SSAutESP!$A$2:$A$500)+$A37-1,1)-1)</f>
        <v>-5.829529425442681E-3</v>
      </c>
      <c r="EX37" s="9">
        <f ca="1">IF(OR(EX10="",EX$28&lt;$A37),"",EX10/OFFSET(SSAutESP!$A$2,MATCH(EX$29,SSAutESP!$A$2:$A$500)+$A37-1,1)-1)</f>
        <v>-4.9770887038930178E-3</v>
      </c>
      <c r="EY37" s="9">
        <f ca="1">IF(OR(EY10="",EY$28&lt;$A37),"",EY10/OFFSET(SSAutESP!$A$2,MATCH(EY$29,SSAutESP!$A$2:$A$500)+$A37-1,1)-1)</f>
        <v>-4.7877034794235884E-3</v>
      </c>
      <c r="EZ37" s="9">
        <f ca="1">IF(OR(EZ10="",EZ$28&lt;$A37),"",EZ10/OFFSET(SSAutESP!$A$2,MATCH(EZ$29,SSAutESP!$A$2:$A$500)+$A37-1,1)-1)</f>
        <v>-9.6880904765750397E-4</v>
      </c>
      <c r="FA37" s="9">
        <f ca="1">IF(OR(FA10="",FA$28&lt;$A37),"",FA10/OFFSET(SSAutESP!$A$2,MATCH(FA$29,SSAutESP!$A$2:$A$500)+$A37-1,1)-1)</f>
        <v>-5.7479257913650716E-4</v>
      </c>
      <c r="FB37" s="9">
        <f ca="1">IF(OR(FB10="",FB$28&lt;$A37),"",FB10/OFFSET(SSAutESP!$A$2,MATCH(FB$29,SSAutESP!$A$2:$A$500)+$A37-1,1)-1)</f>
        <v>-1.6233139620291936E-5</v>
      </c>
      <c r="FC37" s="9">
        <f ca="1">IF(OR(FC10="",FC$28&lt;$A37),"",FC10/OFFSET(SSAutESP!$A$2,MATCH(FC$29,SSAutESP!$A$2:$A$500)+$A37-1,1)-1)</f>
        <v>-5.8434593608959196E-3</v>
      </c>
      <c r="FD37" s="9">
        <f ca="1">IF(OR(FD10="",FD$28&lt;$A37),"",FD10/OFFSET(SSAutESP!$A$2,MATCH(FD$29,SSAutESP!$A$2:$A$500)+$A37-1,1)-1)</f>
        <v>4.7233391662513391E-3</v>
      </c>
      <c r="FE37" s="9">
        <f ca="1">IF(OR(FE10="",FE$28&lt;$A37),"",FE10/OFFSET(SSAutESP!$A$2,MATCH(FE$29,SSAutESP!$A$2:$A$500)+$A37-1,1)-1)</f>
        <v>4.4224053044810141E-3</v>
      </c>
      <c r="FF37" s="9">
        <f ca="1">IF(OR(FF10="",FF$28&lt;$A37),"",FF10/OFFSET(SSAutESP!$A$2,MATCH(FF$29,SSAutESP!$A$2:$A$500)+$A37-1,1)-1)</f>
        <v>1.007986774785663E-2</v>
      </c>
      <c r="FG37" s="9">
        <f ca="1">IF(OR(FG10="",FG$28&lt;$A37),"",FG10/OFFSET(SSAutESP!$A$2,MATCH(FG$29,SSAutESP!$A$2:$A$500)+$A37-1,1)-1)</f>
        <v>8.1412538689209502E-3</v>
      </c>
      <c r="FH37" s="9">
        <f ca="1">IF(OR(FH10="",FH$28&lt;$A37),"",FH10/OFFSET(SSAutESP!$A$2,MATCH(FH$29,SSAutESP!$A$2:$A$500)+$A37-1,1)-1)</f>
        <v>-7.1940259908953585E-4</v>
      </c>
      <c r="FI37" s="9">
        <f ca="1">IF(OR(FI10="",FI$28&lt;$A37),"",FI10/OFFSET(SSAutESP!$A$2,MATCH(FI$29,SSAutESP!$A$2:$A$500)+$A37-1,1)-1)</f>
        <v>-1.2091210140918185E-2</v>
      </c>
      <c r="FJ37" s="9">
        <f ca="1">IF(OR(FJ10="",FJ$28&lt;$A37),"",FJ10/OFFSET(SSAutESP!$A$2,MATCH(FJ$29,SSAutESP!$A$2:$A$500)+$A37-1,1)-1)</f>
        <v>-1.1915972046477097E-2</v>
      </c>
      <c r="FK37" s="9">
        <f ca="1">IF(OR(FK10="",FK$28&lt;$A37),"",FK10/OFFSET(SSAutESP!$A$2,MATCH(FK$29,SSAutESP!$A$2:$A$500)+$A37-1,1)-1)</f>
        <v>-5.7838120912520052E-3</v>
      </c>
      <c r="FL37" s="9">
        <f ca="1">IF(OR(FL10="",FL$28&lt;$A37),"",FL10/OFFSET(SSAutESP!$A$2,MATCH(FL$29,SSAutESP!$A$2:$A$500)+$A37-1,1)-1)</f>
        <v>-4.7263583267880271E-3</v>
      </c>
      <c r="FM37" s="9">
        <f ca="1">IF(OR(FM10="",FM$28&lt;$A37),"",FM10/OFFSET(SSAutESP!$A$2,MATCH(FM$29,SSAutESP!$A$2:$A$500)+$A37-1,1)-1)</f>
        <v>-1.223335412942117E-2</v>
      </c>
      <c r="FN37" s="9">
        <f ca="1">IF(OR(FN10="",FN$28&lt;$A37),"",FN10/OFFSET(SSAutESP!$A$2,MATCH(FN$29,SSAutESP!$A$2:$A$500)+$A37-1,1)-1)</f>
        <v>-1.7655455087013161E-2</v>
      </c>
      <c r="FO37" s="9">
        <f ca="1">IF(OR(FO10="",FO$28&lt;$A37),"",FO10/OFFSET(SSAutESP!$A$2,MATCH(FO$29,SSAutESP!$A$2:$A$500)+$A37-1,1)-1)</f>
        <v>-1.1688695598706444E-2</v>
      </c>
      <c r="FP37" s="9">
        <f ca="1">IF(OR(FP10="",FP$28&lt;$A37),"",FP10/OFFSET(SSAutESP!$A$2,MATCH(FP$29,SSAutESP!$A$2:$A$500)+$A37-1,1)-1)</f>
        <v>5.0544725619394715E-3</v>
      </c>
      <c r="FQ37" s="9">
        <f ca="1">IF(OR(FQ10="",FQ$28&lt;$A37),"",FQ10/OFFSET(SSAutESP!$A$2,MATCH(FQ$29,SSAutESP!$A$2:$A$500)+$A37-1,1)-1)</f>
        <v>1.0064577264333741E-2</v>
      </c>
      <c r="FR37" s="9">
        <f ca="1">IF(OR(FR10="",FR$28&lt;$A37),"",FR10/OFFSET(SSAutESP!$A$2,MATCH(FR$29,SSAutESP!$A$2:$A$500)+$A37-1,1)-1)</f>
        <v>3.1339151781133445E-3</v>
      </c>
      <c r="FS37" s="9">
        <f ca="1">IF(OR(FS10="",FS$28&lt;$A37),"",FS10/OFFSET(SSAutESP!$A$2,MATCH(FS$29,SSAutESP!$A$2:$A$500)+$A37-1,1)-1)</f>
        <v>3.6141190322456218E-3</v>
      </c>
      <c r="FT37" s="9">
        <f ca="1">IF(OR(FT10="",FT$28&lt;$A37),"",FT10/OFFSET(SSAutESP!$A$2,MATCH(FT$29,SSAutESP!$A$2:$A$500)+$A37-1,1)-1)</f>
        <v>4.887733481817147E-3</v>
      </c>
      <c r="FU37" s="9">
        <f ca="1">IF(OR(FU10="",FU$28&lt;$A37),"",FU10/OFFSET(SSAutESP!$A$2,MATCH(FU$29,SSAutESP!$A$2:$A$500)+$A37-1,1)-1)</f>
        <v>2.7529896673517129E-3</v>
      </c>
      <c r="FV37" s="9">
        <f ca="1">IF(OR(FV10="",FV$28&lt;$A37),"",FV10/OFFSET(SSAutESP!$A$2,MATCH(FV$29,SSAutESP!$A$2:$A$500)+$A37-1,1)-1)</f>
        <v>-2.5308797182304055E-3</v>
      </c>
      <c r="FW37" s="9">
        <f ca="1">IF(OR(FW10="",FW$28&lt;$A37),"",FW10/OFFSET(SSAutESP!$A$2,MATCH(FW$29,SSAutESP!$A$2:$A$500)+$A37-1,1)-1)</f>
        <v>3.6127182916154688E-3</v>
      </c>
      <c r="FX37" s="9">
        <f ca="1">IF(OR(FX10="",FX$28&lt;$A37),"",FX10/OFFSET(SSAutESP!$A$2,MATCH(FX$29,SSAutESP!$A$2:$A$500)+$A37-1,1)-1)</f>
        <v>8.6635104323935508E-3</v>
      </c>
      <c r="FY37" s="9">
        <f ca="1">IF(OR(FY10="",FY$28&lt;$A37),"",FY10/OFFSET(SSAutESP!$A$2,MATCH(FY$29,SSAutESP!$A$2:$A$500)+$A37-1,1)-1)</f>
        <v>5.7672478449080078E-3</v>
      </c>
      <c r="FZ37" s="9">
        <f ca="1">IF(OR(FZ10="",FZ$28&lt;$A37),"",FZ10/OFFSET(SSAutESP!$A$2,MATCH(FZ$29,SSAutESP!$A$2:$A$500)+$A37-1,1)-1)</f>
        <v>1.2264792250558543E-2</v>
      </c>
      <c r="GA37" s="9">
        <f ca="1">IF(OR(GA10="",GA$28&lt;$A37),"",GA10/OFFSET(SSAutESP!$A$2,MATCH(GA$29,SSAutESP!$A$2:$A$500)+$A37-1,1)-1)</f>
        <v>-3.0558181102713355E-3</v>
      </c>
      <c r="GB37" s="9">
        <f ca="1">IF(OR(GB10="",GB$28&lt;$A37),"",GB10/OFFSET(SSAutESP!$A$2,MATCH(GB$29,SSAutESP!$A$2:$A$500)+$A37-1,1)-1)</f>
        <v>-1.1979665627410707E-3</v>
      </c>
      <c r="GC37" s="9">
        <f ca="1">IF(OR(GC10="",GC$28&lt;$A37),"",GC10/OFFSET(SSAutESP!$A$2,MATCH(GC$29,SSAutESP!$A$2:$A$500)+$A37-1,1)-1)</f>
        <v>-1.4938165602944586E-3</v>
      </c>
      <c r="GD37" s="9">
        <f ca="1">IF(OR(GD10="",GD$28&lt;$A37),"",GD10/OFFSET(SSAutESP!$A$2,MATCH(GD$29,SSAutESP!$A$2:$A$500)+$A37-1,1)-1)</f>
        <v>-6.0613035909442559E-3</v>
      </c>
      <c r="GE37" s="9">
        <f ca="1">IF(OR(GE10="",GE$28&lt;$A37),"",GE10/OFFSET(SSAutESP!$A$2,MATCH(GE$29,SSAutESP!$A$2:$A$500)+$A37-1,1)-1)</f>
        <v>-4.9668391878409102E-3</v>
      </c>
      <c r="GF37" s="9">
        <f ca="1">IF(OR(GF10="",GF$28&lt;$A37),"",GF10/OFFSET(SSAutESP!$A$2,MATCH(GF$29,SSAutESP!$A$2:$A$500)+$A37-1,1)-1)</f>
        <v>-5.3560602227111787E-3</v>
      </c>
      <c r="GG37" s="9">
        <f ca="1">IF(OR(GG10="",GG$28&lt;$A37),"",GG10/OFFSET(SSAutESP!$A$2,MATCH(GG$29,SSAutESP!$A$2:$A$500)+$A37-1,1)-1)</f>
        <v>2.221481714149931E-3</v>
      </c>
      <c r="GH37" s="9">
        <f ca="1">IF(OR(GH10="",GH$28&lt;$A37),"",GH10/OFFSET(SSAutESP!$A$2,MATCH(GH$29,SSAutESP!$A$2:$A$500)+$A37-1,1)-1)</f>
        <v>1.7428006999750778E-2</v>
      </c>
      <c r="GI37" s="9">
        <f ca="1">IF(OR(GI10="",GI$28&lt;$A37),"",GI10/OFFSET(SSAutESP!$A$2,MATCH(GI$29,SSAutESP!$A$2:$A$500)+$A37-1,1)-1)</f>
        <v>2.3820427125582633E-2</v>
      </c>
      <c r="GJ37" s="9">
        <f ca="1">IF(OR(GJ10="",GJ$28&lt;$A37),"",GJ10/OFFSET(SSAutESP!$A$2,MATCH(GJ$29,SSAutESP!$A$2:$A$500)+$A37-1,1)-1)</f>
        <v>2.3064998808850268E-2</v>
      </c>
      <c r="GK37" s="9">
        <f ca="1">IF(OR(GK10="",GK$28&lt;$A37),"",GK10/OFFSET(SSAutESP!$A$2,MATCH(GK$29,SSAutESP!$A$2:$A$500)+$A37-1,1)-1)</f>
        <v>1.4376643953835533E-2</v>
      </c>
      <c r="GL37" s="9">
        <f ca="1">IF(OR(GL10="",GL$28&lt;$A37),"",GL10/OFFSET(SSAutESP!$A$2,MATCH(GL$29,SSAutESP!$A$2:$A$500)+$A37-1,1)-1)</f>
        <v>8.4202749491926188E-3</v>
      </c>
      <c r="GM37" s="9">
        <f ca="1">IF(OR(GM10="",GM$28&lt;$A37),"",GM10/OFFSET(SSAutESP!$A$2,MATCH(GM$29,SSAutESP!$A$2:$A$500)+$A37-1,1)-1)</f>
        <v>7.3214433070216689E-3</v>
      </c>
      <c r="GN37" s="9">
        <f ca="1">IF(OR(GN10="",GN$28&lt;$A37),"",GN10/OFFSET(SSAutESP!$A$2,MATCH(GN$29,SSAutESP!$A$2:$A$500)+$A37-1,1)-1)</f>
        <v>8.6170029646850388E-3</v>
      </c>
      <c r="GO37" s="9">
        <f ca="1">IF(OR(GO10="",GO$28&lt;$A37),"",GO10/OFFSET(SSAutESP!$A$2,MATCH(GO$29,SSAutESP!$A$2:$A$500)+$A37-1,1)-1)</f>
        <v>-6.458882536396704E-3</v>
      </c>
      <c r="GP37" s="9">
        <f ca="1">IF(OR(GP10="",GP$28&lt;$A37),"",GP10/OFFSET(SSAutESP!$A$2,MATCH(GP$29,SSAutESP!$A$2:$A$500)+$A37-1,1)-1)</f>
        <v>-4.0195108584206496E-2</v>
      </c>
      <c r="GQ37" s="9">
        <f ca="1">IF(OR(GQ10="",GQ$28&lt;$A37),"",GQ10/OFFSET(SSAutESP!$A$2,MATCH(GQ$29,SSAutESP!$A$2:$A$500)+$A37-1,1)-1)</f>
        <v>-3.4761951366380273E-2</v>
      </c>
      <c r="GR37" s="9" t="str">
        <f ca="1">IF(OR(GR10="",GR$28&lt;$A37),"",GR10/OFFSET(SSAutESP!$A$2,MATCH(GR$29,SSAutESP!$A$2:$A$500)+$A37-1,1)-1)</f>
        <v/>
      </c>
      <c r="GS37" s="9" t="str">
        <f ca="1">IF(OR(GS10="",GS$28&lt;$A37),"",GS10/OFFSET(SSAutESP!$A$2,MATCH(GS$29,SSAutESP!$A$2:$A$500)+$A37-1,1)-1)</f>
        <v/>
      </c>
      <c r="GT37" s="9" t="str">
        <f ca="1">IF(OR(GT10="",GT$28&lt;$A37),"",GT10/OFFSET(SSAutESP!$A$2,MATCH(GT$29,SSAutESP!$A$2:$A$500)+$A37-1,1)-1)</f>
        <v/>
      </c>
      <c r="GU37" s="9" t="str">
        <f ca="1">IF(OR(GU10="",GU$28&lt;$A37),"",GU10/OFFSET(SSAutESP!$A$2,MATCH(GU$29,SSAutESP!$A$2:$A$500)+$A37-1,1)-1)</f>
        <v/>
      </c>
      <c r="GV37" s="9" t="str">
        <f ca="1">IF(OR(GV10="",GV$28&lt;$A37),"",GV10/OFFSET(SSAutESP!$A$2,MATCH(GV$29,SSAutESP!$A$2:$A$500)+$A37-1,1)-1)</f>
        <v/>
      </c>
      <c r="GW37" s="9" t="str">
        <f ca="1">IF(OR(GW10="",GW$28&lt;$A37),"",GW10/OFFSET(SSAutESP!$A$2,MATCH(GW$29,SSAutESP!$A$2:$A$500)+$A37-1,1)-1)</f>
        <v/>
      </c>
      <c r="GX37" s="9" t="str">
        <f ca="1">IF(OR(GX10="",GX$28&lt;$A37),"",GX10/OFFSET(SSAutESP!$A$2,MATCH(GX$29,SSAutESP!$A$2:$A$500)+$A37-1,1)-1)</f>
        <v/>
      </c>
      <c r="GY37" s="9" t="str">
        <f ca="1">IF(OR(GY10="",GY$28&lt;$A37),"",GY10/OFFSET(SSAutESP!$A$2,MATCH(GY$29,SSAutESP!$A$2:$A$500)+$A37-1,1)-1)</f>
        <v/>
      </c>
      <c r="GZ37" s="9" t="str">
        <f ca="1">IF(OR(GZ10="",GZ$28&lt;$A37),"",GZ10/OFFSET(SSAutESP!$A$2,MATCH(GZ$29,SSAutESP!$A$2:$A$500)+$A37-1,1)-1)</f>
        <v/>
      </c>
      <c r="HA37" s="9" t="str">
        <f ca="1">IF(OR(HA10="",HA$28&lt;$A37),"",HA10/OFFSET(SSAutESP!$A$2,MATCH(HA$29,SSAutESP!$A$2:$A$500)+$A37-1,1)-1)</f>
        <v/>
      </c>
      <c r="HB37" s="9" t="str">
        <f ca="1">IF(OR(HB10="",HB$28&lt;$A37),"",HB10/OFFSET(SSAutESP!$A$2,MATCH(HB$29,SSAutESP!$A$2:$A$500)+$A37-1,1)-1)</f>
        <v/>
      </c>
      <c r="HC37" s="9" t="str">
        <f ca="1">IF(OR(HC10="",HC$28&lt;$A37),"",HC10/OFFSET(SSAutESP!$A$2,MATCH(HC$29,SSAutESP!$A$2:$A$500)+$A37-1,1)-1)</f>
        <v/>
      </c>
      <c r="HD37" s="9" t="str">
        <f ca="1">IF(OR(HD10="",HD$28&lt;$A37),"",HD10/OFFSET(SSAutESP!$A$2,MATCH(HD$29,SSAutESP!$A$2:$A$500)+$A37-1,1)-1)</f>
        <v/>
      </c>
      <c r="HE37" s="9" t="str">
        <f ca="1">IF(OR(HE10="",HE$28&lt;$A37),"",HE10/OFFSET(SSAutESP!$A$2,MATCH(HE$29,SSAutESP!$A$2:$A$500)+$A37-1,1)-1)</f>
        <v/>
      </c>
      <c r="HF37" s="9" t="str">
        <f ca="1">IF(OR(HF10="",HF$28&lt;$A37),"",HF10/OFFSET(SSAutESP!$A$2,MATCH(HF$29,SSAutESP!$A$2:$A$500)+$A37-1,1)-1)</f>
        <v/>
      </c>
      <c r="HG37" s="9" t="str">
        <f ca="1">IF(OR(HG10="",HG$28&lt;$A37),"",HG10/OFFSET(SSAutESP!$A$2,MATCH(HG$29,SSAutESP!$A$2:$A$500)+$A37-1,1)-1)</f>
        <v/>
      </c>
      <c r="HH37" s="9" t="str">
        <f ca="1">IF(OR(HH10="",HH$28&lt;$A37),"",HH10/OFFSET(SSAutESP!$A$2,MATCH(HH$29,SSAutESP!$A$2:$A$500)+$A37-1,1)-1)</f>
        <v/>
      </c>
      <c r="HI37" s="9" t="str">
        <f ca="1">IF(OR(HI10="",HI$28&lt;$A37),"",HI10/OFFSET(SSAutESP!$A$2,MATCH(HI$29,SSAutESP!$A$2:$A$500)+$A37-1,1)-1)</f>
        <v/>
      </c>
      <c r="HJ37" s="9" t="str">
        <f ca="1">IF(OR(HJ10="",HJ$28&lt;$A37),"",HJ10/OFFSET(SSAutESP!$A$2,MATCH(HJ$29,SSAutESP!$A$2:$A$500)+$A37-1,1)-1)</f>
        <v/>
      </c>
      <c r="HK37" s="9" t="str">
        <f ca="1">IF(OR(HK10="",HK$28&lt;$A37),"",HK10/OFFSET(SSAutESP!$A$2,MATCH(HK$29,SSAutESP!$A$2:$A$500)+$A37-1,1)-1)</f>
        <v/>
      </c>
      <c r="HL37" s="9" t="str">
        <f ca="1">IF(OR(HL10="",HL$28&lt;$A37),"",HL10/OFFSET(SSAutESP!$A$2,MATCH(HL$29,SSAutESP!$A$2:$A$500)+$A37-1,1)-1)</f>
        <v/>
      </c>
      <c r="HM37" s="9" t="str">
        <f ca="1">IF(OR(HM10="",HM$28&lt;$A37),"",HM10/OFFSET(SSAutESP!$A$2,MATCH(HM$29,SSAutESP!$A$2:$A$500)+$A37-1,1)-1)</f>
        <v/>
      </c>
      <c r="HN37" s="9" t="str">
        <f ca="1">IF(OR(HN10="",HN$28&lt;$A37),"",HN10/OFFSET(SSAutESP!$A$2,MATCH(HN$29,SSAutESP!$A$2:$A$500)+$A37-1,1)-1)</f>
        <v/>
      </c>
      <c r="HO37" s="9" t="str">
        <f ca="1">IF(OR(HO10="",HO$28&lt;$A37),"",HO10/OFFSET(SSAutESP!$A$2,MATCH(HO$29,SSAutESP!$A$2:$A$500)+$A37-1,1)-1)</f>
        <v/>
      </c>
      <c r="HP37" s="9" t="str">
        <f ca="1">IF(OR(HP10="",HP$28&lt;$A37),"",HP10/OFFSET(SSAutESP!$A$2,MATCH(HP$29,SSAutESP!$A$2:$A$500)+$A37-1,1)-1)</f>
        <v/>
      </c>
      <c r="HQ37" s="9" t="str">
        <f ca="1">IF(OR(HQ10="",HQ$28&lt;$A37),"",HQ10/OFFSET(SSAutESP!$A$2,MATCH(HQ$29,SSAutESP!$A$2:$A$500)+$A37-1,1)-1)</f>
        <v/>
      </c>
      <c r="HR37" s="9" t="str">
        <f ca="1">IF(OR(HR10="",HR$28&lt;$A37),"",HR10/OFFSET(SSAutESP!$A$2,MATCH(HR$29,SSAutESP!$A$2:$A$500)+$A37-1,1)-1)</f>
        <v/>
      </c>
      <c r="HS37" s="9" t="str">
        <f ca="1">IF(OR(HS10="",HS$28&lt;$A37),"",HS10/OFFSET(SSAutESP!$A$2,MATCH(HS$29,SSAutESP!$A$2:$A$500)+$A37-1,1)-1)</f>
        <v/>
      </c>
      <c r="HT37" s="9" t="str">
        <f ca="1">IF(OR(HT10="",HT$28&lt;$A37),"",HT10/OFFSET(SSAutESP!$A$2,MATCH(HT$29,SSAutESP!$A$2:$A$500)+$A37-1,1)-1)</f>
        <v/>
      </c>
      <c r="HU37" s="9" t="str">
        <f ca="1">IF(OR(HU10="",HU$28&lt;$A37),"",HU10/OFFSET(SSAutESP!$A$2,MATCH(HU$29,SSAutESP!$A$2:$A$500)+$A37-1,1)-1)</f>
        <v/>
      </c>
      <c r="HV37" s="9" t="str">
        <f ca="1">IF(OR(HV10="",HV$28&lt;$A37),"",HV10/OFFSET(SSAutESP!$A$2,MATCH(HV$29,SSAutESP!$A$2:$A$500)+$A37-1,1)-1)</f>
        <v/>
      </c>
      <c r="HW37" s="9" t="str">
        <f ca="1">IF(OR(HW10="",HW$28&lt;$A37),"",HW10/OFFSET(SSAutESP!$A$2,MATCH(HW$29,SSAutESP!$A$2:$A$500)+$A37-1,1)-1)</f>
        <v/>
      </c>
      <c r="HX37" s="9" t="str">
        <f ca="1">IF(OR(HX10="",HX$28&lt;$A37),"",HX10/OFFSET(SSAutESP!$A$2,MATCH(HX$29,SSAutESP!$A$2:$A$500)+$A37-1,1)-1)</f>
        <v/>
      </c>
      <c r="HY37" s="9" t="str">
        <f ca="1">IF(OR(HY10="",HY$28&lt;$A37),"",HY10/OFFSET(SSAutESP!$A$2,MATCH(HY$29,SSAutESP!$A$2:$A$500)+$A37-1,1)-1)</f>
        <v/>
      </c>
      <c r="HZ37" s="9" t="str">
        <f ca="1">IF(OR(HZ10="",HZ$28&lt;$A37),"",HZ10/OFFSET(SSAutESP!$A$2,MATCH(HZ$29,SSAutESP!$A$2:$A$500)+$A37-1,1)-1)</f>
        <v/>
      </c>
      <c r="IA37" s="9" t="str">
        <f ca="1">IF(OR(IA10="",IA$28&lt;$A37),"",IA10/OFFSET(SSAutESP!$A$2,MATCH(IA$29,SSAutESP!$A$2:$A$500)+$A37-1,1)-1)</f>
        <v/>
      </c>
      <c r="IB37" s="9" t="str">
        <f ca="1">IF(OR(IB10="",IB$28&lt;$A37),"",IB10/OFFSET(SSAutESP!$A$2,MATCH(IB$29,SSAutESP!$A$2:$A$500)+$A37-1,1)-1)</f>
        <v/>
      </c>
      <c r="IC37" s="9" t="str">
        <f ca="1">IF(OR(IC10="",IC$28&lt;$A37),"",IC10/OFFSET(SSAutESP!$A$2,MATCH(IC$29,SSAutESP!$A$2:$A$500)+$A37-1,1)-1)</f>
        <v/>
      </c>
      <c r="ID37" s="9" t="str">
        <f ca="1">IF(OR(ID10="",ID$28&lt;$A37),"",ID10/OFFSET(SSAutESP!$A$2,MATCH(ID$29,SSAutESP!$A$2:$A$500)+$A37-1,1)-1)</f>
        <v/>
      </c>
      <c r="IE37" s="9" t="str">
        <f ca="1">IF(OR(IE10="",IE$28&lt;$A37),"",IE10/OFFSET(SSAutESP!$A$2,MATCH(IE$29,SSAutESP!$A$2:$A$500)+$A37-1,1)-1)</f>
        <v/>
      </c>
      <c r="IF37" s="9" t="str">
        <f ca="1">IF(OR(IF10="",IF$28&lt;$A37),"",IF10/OFFSET(SSAutESP!$A$2,MATCH(IF$29,SSAutESP!$A$2:$A$500)+$A37-1,1)-1)</f>
        <v/>
      </c>
      <c r="IG37" s="9" t="str">
        <f ca="1">IF(OR(IG10="",IG$28&lt;$A37),"",IG10/OFFSET(SSAutESP!$A$2,MATCH(IG$29,SSAutESP!$A$2:$A$500)+$A37-1,1)-1)</f>
        <v/>
      </c>
      <c r="IH37" s="9" t="str">
        <f ca="1">IF(OR(IH10="",IH$28&lt;$A37),"",IH10/OFFSET(SSAutESP!$A$2,MATCH(IH$29,SSAutESP!$A$2:$A$500)+$A37-1,1)-1)</f>
        <v/>
      </c>
      <c r="II37" s="9" t="str">
        <f ca="1">IF(OR(II10="",II$28&lt;$A37),"",II10/OFFSET(SSAutESP!$A$2,MATCH(II$29,SSAutESP!$A$2:$A$500)+$A37-1,1)-1)</f>
        <v/>
      </c>
      <c r="IJ37" s="9" t="str">
        <f ca="1">IF(OR(IJ10="",IJ$28&lt;$A37),"",IJ10/OFFSET(SSAutESP!$A$2,MATCH(IJ$29,SSAutESP!$A$2:$A$500)+$A37-1,1)-1)</f>
        <v/>
      </c>
      <c r="IK37" s="9" t="str">
        <f ca="1">IF(OR(IK10="",IK$28&lt;$A37),"",IK10/OFFSET(SSAutESP!$A$2,MATCH(IK$29,SSAutESP!$A$2:$A$500)+$A37-1,1)-1)</f>
        <v/>
      </c>
      <c r="IL37" s="9" t="str">
        <f ca="1">IF(OR(IL10="",IL$28&lt;$A37),"",IL10/OFFSET(SSAutESP!$A$2,MATCH(IL$29,SSAutESP!$A$2:$A$500)+$A37-1,1)-1)</f>
        <v/>
      </c>
      <c r="IM37" s="9" t="str">
        <f ca="1">IF(OR(IM10="",IM$28&lt;$A37),"",IM10/OFFSET(SSAutESP!$A$2,MATCH(IM$29,SSAutESP!$A$2:$A$500)+$A37-1,1)-1)</f>
        <v/>
      </c>
      <c r="IN37" s="9" t="str">
        <f ca="1">IF(OR(IN10="",IN$28&lt;$A37),"",IN10/OFFSET(SSAutESP!$A$2,MATCH(IN$29,SSAutESP!$A$2:$A$500)+$A37-1,1)-1)</f>
        <v/>
      </c>
      <c r="IO37" s="9" t="str">
        <f ca="1">IF(OR(IO10="",IO$28&lt;$A37),"",IO10/OFFSET(SSAutESP!$A$2,MATCH(IO$29,SSAutESP!$A$2:$A$500)+$A37-1,1)-1)</f>
        <v/>
      </c>
      <c r="IP37" s="9" t="str">
        <f ca="1">IF(OR(IP10="",IP$28&lt;$A37),"",IP10/OFFSET(SSAutESP!$A$2,MATCH(IP$29,SSAutESP!$A$2:$A$500)+$A37-1,1)-1)</f>
        <v/>
      </c>
      <c r="IQ37" s="9" t="str">
        <f ca="1">IF(OR(IQ10="",IQ$28&lt;$A37),"",IQ10/OFFSET(SSAutESP!$A$2,MATCH(IQ$29,SSAutESP!$A$2:$A$500)+$A37-1,1)-1)</f>
        <v/>
      </c>
      <c r="IR37" s="9" t="str">
        <f ca="1">IF(OR(IR10="",IR$28&lt;$A37),"",IR10/OFFSET(SSAutESP!$A$2,MATCH(IR$29,SSAutESP!$A$2:$A$500)+$A37-1,1)-1)</f>
        <v/>
      </c>
      <c r="IS37" s="9" t="str">
        <f ca="1">IF(OR(IS10="",IS$28&lt;$A37),"",IS10/OFFSET(SSAutESP!$A$2,MATCH(IS$29,SSAutESP!$A$2:$A$500)+$A37-1,1)-1)</f>
        <v/>
      </c>
      <c r="IT37" s="9" t="str">
        <f ca="1">IF(OR(IT10="",IT$28&lt;$A37),"",IT10/OFFSET(SSAutESP!$A$2,MATCH(IT$29,SSAutESP!$A$2:$A$500)+$A37-1,1)-1)</f>
        <v/>
      </c>
      <c r="IU37" s="9" t="str">
        <f ca="1">IF(OR(IU10="",IU$28&lt;$A37),"",IU10/OFFSET(SSAutESP!$A$2,MATCH(IU$29,SSAutESP!$A$2:$A$500)+$A37-1,1)-1)</f>
        <v/>
      </c>
      <c r="IV37" s="9" t="str">
        <f ca="1">IF(OR(IV10="",IV$28&lt;$A37),"",IV10/OFFSET(SSAutESP!$A$2,MATCH(IV$29,SSAutESP!$A$2:$A$500)+$A37-1,1)-1)</f>
        <v/>
      </c>
      <c r="IW37" s="9" t="str">
        <f ca="1">IF(OR(IW10="",IW$28&lt;$A37),"",IW10/OFFSET(SSAutESP!$A$2,MATCH(IW$29,SSAutESP!$A$2:$A$500)+$A37-1,1)-1)</f>
        <v/>
      </c>
      <c r="IX37" s="9" t="str">
        <f ca="1">IF(OR(IX10="",IX$28&lt;$A37),"",IX10/OFFSET(SSAutESP!$A$2,MATCH(IX$29,SSAutESP!$A$2:$A$500)+$A37-1,1)-1)</f>
        <v/>
      </c>
      <c r="IY37" s="9" t="str">
        <f ca="1">IF(OR(IY10="",IY$28&lt;$A37),"",IY10/OFFSET(SSAutESP!$A$2,MATCH(IY$29,SSAutESP!$A$2:$A$500)+$A37-1,1)-1)</f>
        <v/>
      </c>
      <c r="IZ37" s="9" t="str">
        <f ca="1">IF(OR(IZ10="",IZ$28&lt;$A37),"",IZ10/OFFSET(SSAutESP!$A$2,MATCH(IZ$29,SSAutESP!$A$2:$A$500)+$A37-1,1)-1)</f>
        <v/>
      </c>
      <c r="JA37" s="9" t="str">
        <f ca="1">IF(OR(JA10="",JA$28&lt;$A37),"",JA10/OFFSET(SSAutESP!$A$2,MATCH(JA$29,SSAutESP!$A$2:$A$500)+$A37-1,1)-1)</f>
        <v/>
      </c>
      <c r="JB37" s="9" t="str">
        <f ca="1">IF(OR(JB10="",JB$28&lt;$A37),"",JB10/OFFSET(SSAutESP!$A$2,MATCH(JB$29,SSAutESP!$A$2:$A$500)+$A37-1,1)-1)</f>
        <v/>
      </c>
      <c r="JC37" s="9" t="str">
        <f ca="1">IF(OR(JC10="",JC$28&lt;$A37),"",JC10/OFFSET(SSAutESP!$A$2,MATCH(JC$29,SSAutESP!$A$2:$A$500)+$A37-1,1)-1)</f>
        <v/>
      </c>
      <c r="JD37" s="9" t="str">
        <f ca="1">IF(OR(JD10="",JD$28&lt;$A37),"",JD10/OFFSET(SSAutESP!$A$2,MATCH(JD$29,SSAutESP!$A$2:$A$500)+$A37-1,1)-1)</f>
        <v/>
      </c>
      <c r="JE37" s="9" t="str">
        <f ca="1">IF(OR(JE10="",JE$28&lt;$A37),"",JE10/OFFSET(SSAutESP!$A$2,MATCH(JE$29,SSAutESP!$A$2:$A$500)+$A37-1,1)-1)</f>
        <v/>
      </c>
      <c r="JF37" s="9" t="str">
        <f ca="1">IF(OR(JF10="",JF$28&lt;$A37),"",JF10/OFFSET(SSAutESP!$A$2,MATCH(JF$29,SSAutESP!$A$2:$A$500)+$A37-1,1)-1)</f>
        <v/>
      </c>
      <c r="JG37" s="9" t="str">
        <f ca="1">IF(OR(JG10="",JG$28&lt;$A37),"",JG10/OFFSET(SSAutESP!$A$2,MATCH(JG$29,SSAutESP!$A$2:$A$500)+$A37-1,1)-1)</f>
        <v/>
      </c>
      <c r="JH37" s="9" t="str">
        <f ca="1">IF(OR(JH10="",JH$28&lt;$A37),"",JH10/OFFSET(SSAutESP!$A$2,MATCH(JH$29,SSAutESP!$A$2:$A$500)+$A37-1,1)-1)</f>
        <v/>
      </c>
      <c r="JI37" s="13">
        <f t="shared" ca="1" si="13"/>
        <v>1.9982687713477228E-3</v>
      </c>
      <c r="JJ37" s="13">
        <f t="shared" ca="1" si="14"/>
        <v>3.6127182916154688E-3</v>
      </c>
      <c r="JK37" s="14">
        <f t="shared" ca="1" si="15"/>
        <v>1.8920056169374866E-4</v>
      </c>
      <c r="JL37" s="17">
        <f t="shared" ca="1" si="18"/>
        <v>1.3755019509028283E-2</v>
      </c>
      <c r="JM37" s="15" t="str">
        <f t="shared" ca="1" si="16"/>
        <v>[ -2,55% ; 2,95% ]</v>
      </c>
      <c r="JN37" s="17">
        <f t="shared" ca="1" si="17"/>
        <v>1.7606424971556203E-2</v>
      </c>
      <c r="LY37" s="1"/>
    </row>
    <row r="38" spans="1:337" x14ac:dyDescent="0.25">
      <c r="A38" s="4">
        <v>9</v>
      </c>
      <c r="B38" s="9">
        <f ca="1">IF(OR(B11="",B$28&lt;$A38),"",B11/OFFSET(SSAutESP!$A$2,MATCH(B$29,SSAutESP!$A$2:$A$500)+$A38-1,1)-1)</f>
        <v>-2.3958419301292055E-3</v>
      </c>
      <c r="C38" s="9">
        <f ca="1">IF(OR(C11="",C$28&lt;$A38),"",C11/OFFSET(SSAutESP!$A$2,MATCH(C$29,SSAutESP!$A$2:$A$500)+$A38-1,1)-1)</f>
        <v>3.2262529340911783E-3</v>
      </c>
      <c r="D38" s="9">
        <f ca="1">IF(OR(D11="",D$28&lt;$A38),"",D11/OFFSET(SSAutESP!$A$2,MATCH(D$29,SSAutESP!$A$2:$A$500)+$A38-1,1)-1)</f>
        <v>5.6013642950736298E-3</v>
      </c>
      <c r="E38" s="9">
        <f ca="1">IF(OR(E11="",E$28&lt;$A38),"",E11/OFFSET(SSAutESP!$A$2,MATCH(E$29,SSAutESP!$A$2:$A$500)+$A38-1,1)-1)</f>
        <v>6.5467910071892454E-3</v>
      </c>
      <c r="F38" s="9">
        <f ca="1">IF(OR(F11="",F$28&lt;$A38),"",F11/OFFSET(SSAutESP!$A$2,MATCH(F$29,SSAutESP!$A$2:$A$500)+$A38-1,1)-1)</f>
        <v>5.4180235901502005E-3</v>
      </c>
      <c r="G38" s="9">
        <f ca="1">IF(OR(G11="",G$28&lt;$A38),"",G11/OFFSET(SSAutESP!$A$2,MATCH(G$29,SSAutESP!$A$2:$A$500)+$A38-1,1)-1)</f>
        <v>2.9303890144363187E-3</v>
      </c>
      <c r="H38" s="9">
        <f ca="1">IF(OR(H11="",H$28&lt;$A38),"",H11/OFFSET(SSAutESP!$A$2,MATCH(H$29,SSAutESP!$A$2:$A$500)+$A38-1,1)-1)</f>
        <v>4.0739189016278932E-3</v>
      </c>
      <c r="I38" s="9">
        <f ca="1">IF(OR(I11="",I$28&lt;$A38),"",I11/OFFSET(SSAutESP!$A$2,MATCH(I$29,SSAutESP!$A$2:$A$500)+$A38-1,1)-1)</f>
        <v>2.6527632902140219E-3</v>
      </c>
      <c r="J38" s="9">
        <f ca="1">IF(OR(J11="",J$28&lt;$A38),"",J11/OFFSET(SSAutESP!$A$2,MATCH(J$29,SSAutESP!$A$2:$A$500)+$A38-1,1)-1)</f>
        <v>6.7743048351065482E-4</v>
      </c>
      <c r="K38" s="9">
        <f ca="1">IF(OR(K11="",K$28&lt;$A38),"",K11/OFFSET(SSAutESP!$A$2,MATCH(K$29,SSAutESP!$A$2:$A$500)+$A38-1,1)-1)</f>
        <v>1.2460157510219005E-5</v>
      </c>
      <c r="L38" s="9">
        <f ca="1">IF(OR(L11="",L$28&lt;$A38),"",L11/OFFSET(SSAutESP!$A$2,MATCH(L$29,SSAutESP!$A$2:$A$500)+$A38-1,1)-1)</f>
        <v>1.2338794466026926E-3</v>
      </c>
      <c r="M38" s="9">
        <f ca="1">IF(OR(M11="",M$28&lt;$A38),"",M11/OFFSET(SSAutESP!$A$2,MATCH(M$29,SSAutESP!$A$2:$A$500)+$A38-1,1)-1)</f>
        <v>3.1905140275065857E-3</v>
      </c>
      <c r="N38" s="9">
        <f ca="1">IF(OR(N11="",N$28&lt;$A38),"",N11/OFFSET(SSAutESP!$A$2,MATCH(N$29,SSAutESP!$A$2:$A$500)+$A38-1,1)-1)</f>
        <v>6.75086249086565E-3</v>
      </c>
      <c r="O38" s="9">
        <f ca="1">IF(OR(O11="",O$28&lt;$A38),"",O11/OFFSET(SSAutESP!$A$2,MATCH(O$29,SSAutESP!$A$2:$A$500)+$A38-1,1)-1)</f>
        <v>8.0495622672529521E-3</v>
      </c>
      <c r="P38" s="9">
        <f ca="1">IF(OR(P11="",P$28&lt;$A38),"",P11/OFFSET(SSAutESP!$A$2,MATCH(P$29,SSAutESP!$A$2:$A$500)+$A38-1,1)-1)</f>
        <v>5.7877476951697648E-3</v>
      </c>
      <c r="Q38" s="9">
        <f ca="1">IF(OR(Q11="",Q$28&lt;$A38),"",Q11/OFFSET(SSAutESP!$A$2,MATCH(Q$29,SSAutESP!$A$2:$A$500)+$A38-1,1)-1)</f>
        <v>3.3366115905646421E-3</v>
      </c>
      <c r="R38" s="9">
        <f ca="1">IF(OR(R11="",R$28&lt;$A38),"",R11/OFFSET(SSAutESP!$A$2,MATCH(R$29,SSAutESP!$A$2:$A$500)+$A38-1,1)-1)</f>
        <v>1.1607606739960641E-3</v>
      </c>
      <c r="S38" s="9">
        <f ca="1">IF(OR(S11="",S$28&lt;$A38),"",S11/OFFSET(SSAutESP!$A$2,MATCH(S$29,SSAutESP!$A$2:$A$500)+$A38-1,1)-1)</f>
        <v>7.8858185140662229E-4</v>
      </c>
      <c r="T38" s="9">
        <f ca="1">IF(OR(T11="",T$28&lt;$A38),"",T11/OFFSET(SSAutESP!$A$2,MATCH(T$29,SSAutESP!$A$2:$A$500)+$A38-1,1)-1)</f>
        <v>2.1033517874011753E-3</v>
      </c>
      <c r="U38" s="9">
        <f ca="1">IF(OR(U11="",U$28&lt;$A38),"",U11/OFFSET(SSAutESP!$A$2,MATCH(U$29,SSAutESP!$A$2:$A$500)+$A38-1,1)-1)</f>
        <v>7.5457162165282199E-5</v>
      </c>
      <c r="V38" s="9">
        <f ca="1">IF(OR(V11="",V$28&lt;$A38),"",V11/OFFSET(SSAutESP!$A$2,MATCH(V$29,SSAutESP!$A$2:$A$500)+$A38-1,1)-1)</f>
        <v>-1.6651725808235485E-3</v>
      </c>
      <c r="W38" s="9">
        <f ca="1">IF(OR(W11="",W$28&lt;$A38),"",W11/OFFSET(SSAutESP!$A$2,MATCH(W$29,SSAutESP!$A$2:$A$500)+$A38-1,1)-1)</f>
        <v>-1.1152082434051636E-4</v>
      </c>
      <c r="X38" s="9">
        <f ca="1">IF(OR(X11="",X$28&lt;$A38),"",X11/OFFSET(SSAutESP!$A$2,MATCH(X$29,SSAutESP!$A$2:$A$500)+$A38-1,1)-1)</f>
        <v>5.1098884576195047E-4</v>
      </c>
      <c r="Y38" s="9">
        <f ca="1">IF(OR(Y11="",Y$28&lt;$A38),"",Y11/OFFSET(SSAutESP!$A$2,MATCH(Y$29,SSAutESP!$A$2:$A$500)+$A38-1,1)-1)</f>
        <v>1.9840463941656061E-3</v>
      </c>
      <c r="Z38" s="9">
        <f ca="1">IF(OR(Z11="",Z$28&lt;$A38),"",Z11/OFFSET(SSAutESP!$A$2,MATCH(Z$29,SSAutESP!$A$2:$A$500)+$A38-1,1)-1)</f>
        <v>2.287600504875309E-3</v>
      </c>
      <c r="AA38" s="9">
        <f ca="1">IF(OR(AA11="",AA$28&lt;$A38),"",AA11/OFFSET(SSAutESP!$A$2,MATCH(AA$29,SSAutESP!$A$2:$A$500)+$A38-1,1)-1)</f>
        <v>1.8001023572786767E-3</v>
      </c>
      <c r="AB38" s="9">
        <f ca="1">IF(OR(AB11="",AB$28&lt;$A38),"",AB11/OFFSET(SSAutESP!$A$2,MATCH(AB$29,SSAutESP!$A$2:$A$500)+$A38-1,1)-1)</f>
        <v>1.8014919794997475E-3</v>
      </c>
      <c r="AC38" s="9">
        <f ca="1">IF(OR(AC11="",AC$28&lt;$A38),"",AC11/OFFSET(SSAutESP!$A$2,MATCH(AC$29,SSAutESP!$A$2:$A$500)+$A38-1,1)-1)</f>
        <v>-2.0853599931289768E-3</v>
      </c>
      <c r="AD38" s="9">
        <f ca="1">IF(OR(AD11="",AD$28&lt;$A38),"",AD11/OFFSET(SSAutESP!$A$2,MATCH(AD$29,SSAutESP!$A$2:$A$500)+$A38-1,1)-1)</f>
        <v>-3.3579749034078343E-3</v>
      </c>
      <c r="AE38" s="9">
        <f ca="1">IF(OR(AE11="",AE$28&lt;$A38),"",AE11/OFFSET(SSAutESP!$A$2,MATCH(AE$29,SSAutESP!$A$2:$A$500)+$A38-1,1)-1)</f>
        <v>-2.504736310348421E-3</v>
      </c>
      <c r="AF38" s="9">
        <f ca="1">IF(OR(AF11="",AF$28&lt;$A38),"",AF11/OFFSET(SSAutESP!$A$2,MATCH(AF$29,SSAutESP!$A$2:$A$500)+$A38-1,1)-1)</f>
        <v>-5.2536247990377927E-3</v>
      </c>
      <c r="AG38" s="9">
        <f ca="1">IF(OR(AG11="",AG$28&lt;$A38),"",AG11/OFFSET(SSAutESP!$A$2,MATCH(AG$29,SSAutESP!$A$2:$A$500)+$A38-1,1)-1)</f>
        <v>-7.9278939620841538E-3</v>
      </c>
      <c r="AH38" s="9">
        <f ca="1">IF(OR(AH11="",AH$28&lt;$A38),"",AH11/OFFSET(SSAutESP!$A$2,MATCH(AH$29,SSAutESP!$A$2:$A$500)+$A38-1,1)-1)</f>
        <v>-1.0498543153394158E-2</v>
      </c>
      <c r="AI38" s="9">
        <f ca="1">IF(OR(AI11="",AI$28&lt;$A38),"",AI11/OFFSET(SSAutESP!$A$2,MATCH(AI$29,SSAutESP!$A$2:$A$500)+$A38-1,1)-1)</f>
        <v>-8.0136049013073141E-3</v>
      </c>
      <c r="AJ38" s="9">
        <f ca="1">IF(OR(AJ11="",AJ$28&lt;$A38),"",AJ11/OFFSET(SSAutESP!$A$2,MATCH(AJ$29,SSAutESP!$A$2:$A$500)+$A38-1,1)-1)</f>
        <v>-6.6676178989723001E-3</v>
      </c>
      <c r="AK38" s="9">
        <f ca="1">IF(OR(AK11="",AK$28&lt;$A38),"",AK11/OFFSET(SSAutESP!$A$2,MATCH(AK$29,SSAutESP!$A$2:$A$500)+$A38-1,1)-1)</f>
        <v>-6.4523878519019418E-3</v>
      </c>
      <c r="AL38" s="9">
        <f ca="1">IF(OR(AL11="",AL$28&lt;$A38),"",AL11/OFFSET(SSAutESP!$A$2,MATCH(AL$29,SSAutESP!$A$2:$A$500)+$A38-1,1)-1)</f>
        <v>-5.415751311304895E-3</v>
      </c>
      <c r="AM38" s="9">
        <f ca="1">IF(OR(AM11="",AM$28&lt;$A38),"",AM11/OFFSET(SSAutESP!$A$2,MATCH(AM$29,SSAutESP!$A$2:$A$500)+$A38-1,1)-1)</f>
        <v>-3.4978240626858392E-3</v>
      </c>
      <c r="AN38" s="9">
        <f ca="1">IF(OR(AN11="",AN$28&lt;$A38),"",AN11/OFFSET(SSAutESP!$A$2,MATCH(AN$29,SSAutESP!$A$2:$A$500)+$A38-1,1)-1)</f>
        <v>-8.9375046781114964E-4</v>
      </c>
      <c r="AO38" s="9">
        <f ca="1">IF(OR(AO11="",AO$28&lt;$A38),"",AO11/OFFSET(SSAutESP!$A$2,MATCH(AO$29,SSAutESP!$A$2:$A$500)+$A38-1,1)-1)</f>
        <v>1.8813384259463994E-3</v>
      </c>
      <c r="AP38" s="9">
        <f ca="1">IF(OR(AP11="",AP$28&lt;$A38),"",AP11/OFFSET(SSAutESP!$A$2,MATCH(AP$29,SSAutESP!$A$2:$A$500)+$A38-1,1)-1)</f>
        <v>2.1585597601172513E-3</v>
      </c>
      <c r="AQ38" s="9">
        <f ca="1">IF(OR(AQ11="",AQ$28&lt;$A38),"",AQ11/OFFSET(SSAutESP!$A$2,MATCH(AQ$29,SSAutESP!$A$2:$A$500)+$A38-1,1)-1)</f>
        <v>4.7969228276916187E-3</v>
      </c>
      <c r="AR38" s="9">
        <f ca="1">IF(OR(AR11="",AR$28&lt;$A38),"",AR11/OFFSET(SSAutESP!$A$2,MATCH(AR$29,SSAutESP!$A$2:$A$500)+$A38-1,1)-1)</f>
        <v>8.9350991331893503E-3</v>
      </c>
      <c r="AS38" s="9">
        <f ca="1">IF(OR(AS11="",AS$28&lt;$A38),"",AS11/OFFSET(SSAutESP!$A$2,MATCH(AS$29,SSAutESP!$A$2:$A$500)+$A38-1,1)-1)</f>
        <v>1.4414594139090076E-2</v>
      </c>
      <c r="AT38" s="9">
        <f ca="1">IF(OR(AT11="",AT$28&lt;$A38),"",AT11/OFFSET(SSAutESP!$A$2,MATCH(AT$29,SSAutESP!$A$2:$A$500)+$A38-1,1)-1)</f>
        <v>1.4918025589013784E-2</v>
      </c>
      <c r="AU38" s="9">
        <f ca="1">IF(OR(AU11="",AU$28&lt;$A38),"",AU11/OFFSET(SSAutESP!$A$2,MATCH(AU$29,SSAutESP!$A$2:$A$500)+$A38-1,1)-1)</f>
        <v>2.2430947302993332E-2</v>
      </c>
      <c r="AV38" s="9">
        <f ca="1">IF(OR(AV11="",AV$28&lt;$A38),"",AV11/OFFSET(SSAutESP!$A$2,MATCH(AV$29,SSAutESP!$A$2:$A$500)+$A38-1,1)-1)</f>
        <v>2.798042370523679E-2</v>
      </c>
      <c r="AW38" s="9">
        <f ca="1">IF(OR(AW11="",AW$28&lt;$A38),"",AW11/OFFSET(SSAutESP!$A$2,MATCH(AW$29,SSAutESP!$A$2:$A$500)+$A38-1,1)-1)</f>
        <v>3.0911595181986717E-2</v>
      </c>
      <c r="AX38" s="9">
        <f ca="1">IF(OR(AX11="",AX$28&lt;$A38),"",AX11/OFFSET(SSAutESP!$A$2,MATCH(AX$29,SSAutESP!$A$2:$A$500)+$A38-1,1)-1)</f>
        <v>3.1208100434595432E-2</v>
      </c>
      <c r="AY38" s="9">
        <f ca="1">IF(OR(AY11="",AY$28&lt;$A38),"",AY11/OFFSET(SSAutESP!$A$2,MATCH(AY$29,SSAutESP!$A$2:$A$500)+$A38-1,1)-1)</f>
        <v>3.6353612619559827E-2</v>
      </c>
      <c r="AZ38" s="9">
        <f ca="1">IF(OR(AZ11="",AZ$28&lt;$A38),"",AZ11/OFFSET(SSAutESP!$A$2,MATCH(AZ$29,SSAutESP!$A$2:$A$500)+$A38-1,1)-1)</f>
        <v>3.9548387154590747E-2</v>
      </c>
      <c r="BA38" s="9">
        <f ca="1">IF(OR(BA11="",BA$28&lt;$A38),"",BA11/OFFSET(SSAutESP!$A$2,MATCH(BA$29,SSAutESP!$A$2:$A$500)+$A38-1,1)-1)</f>
        <v>3.8418282849056906E-2</v>
      </c>
      <c r="BB38" s="9">
        <f ca="1">IF(OR(BB11="",BB$28&lt;$A38),"",BB11/OFFSET(SSAutESP!$A$2,MATCH(BB$29,SSAutESP!$A$2:$A$500)+$A38-1,1)-1)</f>
        <v>3.1452569989142809E-2</v>
      </c>
      <c r="BC38" s="9">
        <f ca="1">IF(OR(BC11="",BC$28&lt;$A38),"",BC11/OFFSET(SSAutESP!$A$2,MATCH(BC$29,SSAutESP!$A$2:$A$500)+$A38-1,1)-1)</f>
        <v>1.6708725490609977E-2</v>
      </c>
      <c r="BD38" s="9">
        <f ca="1">IF(OR(BD11="",BD$28&lt;$A38),"",BD11/OFFSET(SSAutESP!$A$2,MATCH(BD$29,SSAutESP!$A$2:$A$500)+$A38-1,1)-1)</f>
        <v>2.3908520571078062E-2</v>
      </c>
      <c r="BE38" s="9">
        <f ca="1">IF(OR(BE11="",BE$28&lt;$A38),"",BE11/OFFSET(SSAutESP!$A$2,MATCH(BE$29,SSAutESP!$A$2:$A$500)+$A38-1,1)-1)</f>
        <v>1.9796267193621597E-2</v>
      </c>
      <c r="BF38" s="9">
        <f ca="1">IF(OR(BF11="",BF$28&lt;$A38),"",BF11/OFFSET(SSAutESP!$A$2,MATCH(BF$29,SSAutESP!$A$2:$A$500)+$A38-1,1)-1)</f>
        <v>1.7507443276113532E-2</v>
      </c>
      <c r="BG38" s="9">
        <f ca="1">IF(OR(BG11="",BG$28&lt;$A38),"",BG11/OFFSET(SSAutESP!$A$2,MATCH(BG$29,SSAutESP!$A$2:$A$500)+$A38-1,1)-1)</f>
        <v>2.8502029763074033E-2</v>
      </c>
      <c r="BH38" s="9">
        <f ca="1">IF(OR(BH11="",BH$28&lt;$A38),"",BH11/OFFSET(SSAutESP!$A$2,MATCH(BH$29,SSAutESP!$A$2:$A$500)+$A38-1,1)-1)</f>
        <v>1.9653523170947818E-2</v>
      </c>
      <c r="BI38" s="9">
        <f ca="1">IF(OR(BI11="",BI$28&lt;$A38),"",BI11/OFFSET(SSAutESP!$A$2,MATCH(BI$29,SSAutESP!$A$2:$A$500)+$A38-1,1)-1)</f>
        <v>1.1903973866597584E-2</v>
      </c>
      <c r="BJ38" s="9">
        <f ca="1">IF(OR(BJ11="",BJ$28&lt;$A38),"",BJ11/OFFSET(SSAutESP!$A$2,MATCH(BJ$29,SSAutESP!$A$2:$A$500)+$A38-1,1)-1)</f>
        <v>8.9531288984401325E-3</v>
      </c>
      <c r="BK38" s="9">
        <f ca="1">IF(OR(BK11="",BK$28&lt;$A38),"",BK11/OFFSET(SSAutESP!$A$2,MATCH(BK$29,SSAutESP!$A$2:$A$500)+$A38-1,1)-1)</f>
        <v>-2.2405956039939223E-2</v>
      </c>
      <c r="BL38" s="9">
        <f ca="1">IF(OR(BL11="",BL$28&lt;$A38),"",BL11/OFFSET(SSAutESP!$A$2,MATCH(BL$29,SSAutESP!$A$2:$A$500)+$A38-1,1)-1)</f>
        <v>-4.1335794775705814E-2</v>
      </c>
      <c r="BM38" s="9">
        <f ca="1">IF(OR(BM11="",BM$28&lt;$A38),"",BM11/OFFSET(SSAutESP!$A$2,MATCH(BM$29,SSAutESP!$A$2:$A$500)+$A38-1,1)-1)</f>
        <v>-3.9463799136126743E-2</v>
      </c>
      <c r="BN38" s="9">
        <f ca="1">IF(OR(BN11="",BN$28&lt;$A38),"",BN11/OFFSET(SSAutESP!$A$2,MATCH(BN$29,SSAutESP!$A$2:$A$500)+$A38-1,1)-1)</f>
        <v>-2.8942186986629759E-2</v>
      </c>
      <c r="BO38" s="9">
        <f ca="1">IF(OR(BO11="",BO$28&lt;$A38),"",BO11/OFFSET(SSAutESP!$A$2,MATCH(BO$29,SSAutESP!$A$2:$A$500)+$A38-1,1)-1)</f>
        <v>-2.1083723511501673E-2</v>
      </c>
      <c r="BP38" s="9">
        <f ca="1">IF(OR(BP11="",BP$28&lt;$A38),"",BP11/OFFSET(SSAutESP!$A$2,MATCH(BP$29,SSAutESP!$A$2:$A$500)+$A38-1,1)-1)</f>
        <v>-1.6804497730494639E-2</v>
      </c>
      <c r="BQ38" s="9">
        <f ca="1">IF(OR(BQ11="",BQ$28&lt;$A38),"",BQ11/OFFSET(SSAutESP!$A$2,MATCH(BQ$29,SSAutESP!$A$2:$A$500)+$A38-1,1)-1)</f>
        <v>-2.119088535220659E-2</v>
      </c>
      <c r="BR38" s="9">
        <f ca="1">IF(OR(BR11="",BR$28&lt;$A38),"",BR11/OFFSET(SSAutESP!$A$2,MATCH(BR$29,SSAutESP!$A$2:$A$500)+$A38-1,1)-1)</f>
        <v>-1.6026077187392351E-2</v>
      </c>
      <c r="BS38" s="9">
        <f ca="1">IF(OR(BS11="",BS$28&lt;$A38),"",BS11/OFFSET(SSAutESP!$A$2,MATCH(BS$29,SSAutESP!$A$2:$A$500)+$A38-1,1)-1)</f>
        <v>-4.7385740273694354E-3</v>
      </c>
      <c r="BT38" s="9">
        <f ca="1">IF(OR(BT11="",BT$28&lt;$A38),"",BT11/OFFSET(SSAutESP!$A$2,MATCH(BT$29,SSAutESP!$A$2:$A$500)+$A38-1,1)-1)</f>
        <v>-1.3550196506577183E-2</v>
      </c>
      <c r="BU38" s="9">
        <f ca="1">IF(OR(BU11="",BU$28&lt;$A38),"",BU11/OFFSET(SSAutESP!$A$2,MATCH(BU$29,SSAutESP!$A$2:$A$500)+$A38-1,1)-1)</f>
        <v>-1.418730064122542E-2</v>
      </c>
      <c r="BV38" s="9">
        <f ca="1">IF(OR(BV11="",BV$28&lt;$A38),"",BV11/OFFSET(SSAutESP!$A$2,MATCH(BV$29,SSAutESP!$A$2:$A$500)+$A38-1,1)-1)</f>
        <v>-8.1000431727632494E-3</v>
      </c>
      <c r="BW38" s="9">
        <f ca="1">IF(OR(BW11="",BW$28&lt;$A38),"",BW11/OFFSET(SSAutESP!$A$2,MATCH(BW$29,SSAutESP!$A$2:$A$500)+$A38-1,1)-1)</f>
        <v>2.7895941325752904E-3</v>
      </c>
      <c r="BX38" s="9">
        <f ca="1">IF(OR(BX11="",BX$28&lt;$A38),"",BX11/OFFSET(SSAutESP!$A$2,MATCH(BX$29,SSAutESP!$A$2:$A$500)+$A38-1,1)-1)</f>
        <v>-1.1096370043731207E-2</v>
      </c>
      <c r="BY38" s="9">
        <f ca="1">IF(OR(BY11="",BY$28&lt;$A38),"",BY11/OFFSET(SSAutESP!$A$2,MATCH(BY$29,SSAutESP!$A$2:$A$500)+$A38-1,1)-1)</f>
        <v>-7.9324692311973921E-3</v>
      </c>
      <c r="BZ38" s="9">
        <f ca="1">IF(OR(BZ11="",BZ$28&lt;$A38),"",BZ11/OFFSET(SSAutESP!$A$2,MATCH(BZ$29,SSAutESP!$A$2:$A$500)+$A38-1,1)-1)</f>
        <v>-4.1778671766201647E-3</v>
      </c>
      <c r="CA38" s="9">
        <f ca="1">IF(OR(CA11="",CA$28&lt;$A38),"",CA11/OFFSET(SSAutESP!$A$2,MATCH(CA$29,SSAutESP!$A$2:$A$500)+$A38-1,1)-1)</f>
        <v>3.8259576535653039E-3</v>
      </c>
      <c r="CB38" s="9">
        <f ca="1">IF(OR(CB11="",CB$28&lt;$A38),"",CB11/OFFSET(SSAutESP!$A$2,MATCH(CB$29,SSAutESP!$A$2:$A$500)+$A38-1,1)-1)</f>
        <v>4.2895169201533356E-3</v>
      </c>
      <c r="CC38" s="9">
        <f ca="1">IF(OR(CC11="",CC$28&lt;$A38),"",CC11/OFFSET(SSAutESP!$A$2,MATCH(CC$29,SSAutESP!$A$2:$A$500)+$A38-1,1)-1)</f>
        <v>-8.4407749865367254E-4</v>
      </c>
      <c r="CD38" s="9">
        <f ca="1">IF(OR(CD11="",CD$28&lt;$A38),"",CD11/OFFSET(SSAutESP!$A$2,MATCH(CD$29,SSAutESP!$A$2:$A$500)+$A38-1,1)-1)</f>
        <v>-1.0832527712631768E-2</v>
      </c>
      <c r="CE38" s="9">
        <f ca="1">IF(OR(CE11="",CE$28&lt;$A38),"",CE11/OFFSET(SSAutESP!$A$2,MATCH(CE$29,SSAutESP!$A$2:$A$500)+$A38-1,1)-1)</f>
        <v>-5.2746868447336448E-3</v>
      </c>
      <c r="CF38" s="9">
        <f ca="1">IF(OR(CF11="",CF$28&lt;$A38),"",CF11/OFFSET(SSAutESP!$A$2,MATCH(CF$29,SSAutESP!$A$2:$A$500)+$A38-1,1)-1)</f>
        <v>-2.0696177488939149E-3</v>
      </c>
      <c r="CG38" s="9">
        <f ca="1">IF(OR(CG11="",CG$28&lt;$A38),"",CG11/OFFSET(SSAutESP!$A$2,MATCH(CG$29,SSAutESP!$A$2:$A$500)+$A38-1,1)-1)</f>
        <v>-1.4607320796121703E-3</v>
      </c>
      <c r="CH38" s="9">
        <f ca="1">IF(OR(CH11="",CH$28&lt;$A38),"",CH11/OFFSET(SSAutESP!$A$2,MATCH(CH$29,SSAutESP!$A$2:$A$500)+$A38-1,1)-1)</f>
        <v>-5.3216003474456652E-3</v>
      </c>
      <c r="CI38" s="9">
        <f ca="1">IF(OR(CI11="",CI$28&lt;$A38),"",CI11/OFFSET(SSAutESP!$A$2,MATCH(CI$29,SSAutESP!$A$2:$A$500)+$A38-1,1)-1)</f>
        <v>-2.7383233808553342E-4</v>
      </c>
      <c r="CJ38" s="9">
        <f ca="1">IF(OR(CJ11="",CJ$28&lt;$A38),"",CJ11/OFFSET(SSAutESP!$A$2,MATCH(CJ$29,SSAutESP!$A$2:$A$500)+$A38-1,1)-1)</f>
        <v>-4.9440142902830164E-3</v>
      </c>
      <c r="CK38" s="9">
        <f ca="1">IF(OR(CK11="",CK$28&lt;$A38),"",CK11/OFFSET(SSAutESP!$A$2,MATCH(CK$29,SSAutESP!$A$2:$A$500)+$A38-1,1)-1)</f>
        <v>9.994201744668807E-3</v>
      </c>
      <c r="CL38" s="9">
        <f ca="1">IF(OR(CL11="",CL$28&lt;$A38),"",CL11/OFFSET(SSAutESP!$A$2,MATCH(CL$29,SSAutESP!$A$2:$A$500)+$A38-1,1)-1)</f>
        <v>1.5012501284584978E-2</v>
      </c>
      <c r="CM38" s="9">
        <f ca="1">IF(OR(CM11="",CM$28&lt;$A38),"",CM11/OFFSET(SSAutESP!$A$2,MATCH(CM$29,SSAutESP!$A$2:$A$500)+$A38-1,1)-1)</f>
        <v>1.1839629168737043E-2</v>
      </c>
      <c r="CN38" s="9">
        <f ca="1">IF(OR(CN11="",CN$28&lt;$A38),"",CN11/OFFSET(SSAutESP!$A$2,MATCH(CN$29,SSAutESP!$A$2:$A$500)+$A38-1,1)-1)</f>
        <v>5.1534045324268529E-3</v>
      </c>
      <c r="CO38" s="9">
        <f ca="1">IF(OR(CO11="",CO$28&lt;$A38),"",CO11/OFFSET(SSAutESP!$A$2,MATCH(CO$29,SSAutESP!$A$2:$A$500)+$A38-1,1)-1)</f>
        <v>4.1722261038967812E-3</v>
      </c>
      <c r="CP38" s="9">
        <f ca="1">IF(OR(CP11="",CP$28&lt;$A38),"",CP11/OFFSET(SSAutESP!$A$2,MATCH(CP$29,SSAutESP!$A$2:$A$500)+$A38-1,1)-1)</f>
        <v>1.2718882519990871E-3</v>
      </c>
      <c r="CQ38" s="9">
        <f ca="1">IF(OR(CQ11="",CQ$28&lt;$A38),"",CQ11/OFFSET(SSAutESP!$A$2,MATCH(CQ$29,SSAutESP!$A$2:$A$500)+$A38-1,1)-1)</f>
        <v>5.474222880709867E-3</v>
      </c>
      <c r="CR38" s="9">
        <f ca="1">IF(OR(CR11="",CR$28&lt;$A38),"",CR11/OFFSET(SSAutESP!$A$2,MATCH(CR$29,SSAutESP!$A$2:$A$500)+$A38-1,1)-1)</f>
        <v>3.6003148878065439E-3</v>
      </c>
      <c r="CS38" s="9">
        <f ca="1">IF(OR(CS11="",CS$28&lt;$A38),"",CS11/OFFSET(SSAutESP!$A$2,MATCH(CS$29,SSAutESP!$A$2:$A$500)+$A38-1,1)-1)</f>
        <v>-6.3259254622494154E-4</v>
      </c>
      <c r="CT38" s="9">
        <f ca="1">IF(OR(CT11="",CT$28&lt;$A38),"",CT11/OFFSET(SSAutESP!$A$2,MATCH(CT$29,SSAutESP!$A$2:$A$500)+$A38-1,1)-1)</f>
        <v>3.3225564600503077E-4</v>
      </c>
      <c r="CU38" s="9">
        <f ca="1">IF(OR(CU11="",CU$28&lt;$A38),"",CU11/OFFSET(SSAutESP!$A$2,MATCH(CU$29,SSAutESP!$A$2:$A$500)+$A38-1,1)-1)</f>
        <v>-1.4570124860917022E-2</v>
      </c>
      <c r="CV38" s="9">
        <f ca="1">IF(OR(CV11="",CV$28&lt;$A38),"",CV11/OFFSET(SSAutESP!$A$2,MATCH(CV$29,SSAutESP!$A$2:$A$500)+$A38-1,1)-1)</f>
        <v>7.3813507497710873E-4</v>
      </c>
      <c r="CW38" s="9">
        <f ca="1">IF(OR(CW11="",CW$28&lt;$A38),"",CW11/OFFSET(SSAutESP!$A$2,MATCH(CW$29,SSAutESP!$A$2:$A$500)+$A38-1,1)-1)</f>
        <v>3.1217519210722244E-3</v>
      </c>
      <c r="CX38" s="9">
        <f ca="1">IF(OR(CX11="",CX$28&lt;$A38),"",CX11/OFFSET(SSAutESP!$A$2,MATCH(CX$29,SSAutESP!$A$2:$A$500)+$A38-1,1)-1)</f>
        <v>4.0391144914828647E-3</v>
      </c>
      <c r="CY38" s="9">
        <f ca="1">IF(OR(CY11="",CY$28&lt;$A38),"",CY11/OFFSET(SSAutESP!$A$2,MATCH(CY$29,SSAutESP!$A$2:$A$500)+$A38-1,1)-1)</f>
        <v>7.3604453404401138E-3</v>
      </c>
      <c r="CZ38" s="9">
        <f ca="1">IF(OR(CZ11="",CZ$28&lt;$A38),"",CZ11/OFFSET(SSAutESP!$A$2,MATCH(CZ$29,SSAutESP!$A$2:$A$500)+$A38-1,1)-1)</f>
        <v>6.7600101027005532E-3</v>
      </c>
      <c r="DA38" s="9">
        <f ca="1">IF(OR(DA11="",DA$28&lt;$A38),"",DA11/OFFSET(SSAutESP!$A$2,MATCH(DA$29,SSAutESP!$A$2:$A$500)+$A38-1,1)-1)</f>
        <v>3.4591358985869292E-3</v>
      </c>
      <c r="DB38" s="9">
        <f ca="1">IF(OR(DB11="",DB$28&lt;$A38),"",DB11/OFFSET(SSAutESP!$A$2,MATCH(DB$29,SSAutESP!$A$2:$A$500)+$A38-1,1)-1)</f>
        <v>-8.7909218123598531E-3</v>
      </c>
      <c r="DC38" s="9">
        <f ca="1">IF(OR(DC11="",DC$28&lt;$A38),"",DC11/OFFSET(SSAutESP!$A$2,MATCH(DC$29,SSAutESP!$A$2:$A$500)+$A38-1,1)-1)</f>
        <v>-1.1890262321129441E-2</v>
      </c>
      <c r="DD38" s="9">
        <f ca="1">IF(OR(DD11="",DD$28&lt;$A38),"",DD11/OFFSET(SSAutESP!$A$2,MATCH(DD$29,SSAutESP!$A$2:$A$500)+$A38-1,1)-1)</f>
        <v>-1.0614272840446248E-2</v>
      </c>
      <c r="DE38" s="9">
        <f ca="1">IF(OR(DE11="",DE$28&lt;$A38),"",DE11/OFFSET(SSAutESP!$A$2,MATCH(DE$29,SSAutESP!$A$2:$A$500)+$A38-1,1)-1)</f>
        <v>-1.5504618074617338E-2</v>
      </c>
      <c r="DF38" s="9">
        <f ca="1">IF(OR(DF11="",DF$28&lt;$A38),"",DF11/OFFSET(SSAutESP!$A$2,MATCH(DF$29,SSAutESP!$A$2:$A$500)+$A38-1,1)-1)</f>
        <v>-8.9432566587961393E-3</v>
      </c>
      <c r="DG38" s="9">
        <f ca="1">IF(OR(DG11="",DG$28&lt;$A38),"",DG11/OFFSET(SSAutESP!$A$2,MATCH(DG$29,SSAutESP!$A$2:$A$500)+$A38-1,1)-1)</f>
        <v>-1.4359865640581115E-2</v>
      </c>
      <c r="DH38" s="9">
        <f ca="1">IF(OR(DH11="",DH$28&lt;$A38),"",DH11/OFFSET(SSAutESP!$A$2,MATCH(DH$29,SSAutESP!$A$2:$A$500)+$A38-1,1)-1)</f>
        <v>-2.3829235877850352E-2</v>
      </c>
      <c r="DI38" s="9">
        <f ca="1">IF(OR(DI11="",DI$28&lt;$A38),"",DI11/OFFSET(SSAutESP!$A$2,MATCH(DI$29,SSAutESP!$A$2:$A$500)+$A38-1,1)-1)</f>
        <v>-1.8694824642785712E-2</v>
      </c>
      <c r="DJ38" s="9">
        <f ca="1">IF(OR(DJ11="",DJ$28&lt;$A38),"",DJ11/OFFSET(SSAutESP!$A$2,MATCH(DJ$29,SSAutESP!$A$2:$A$500)+$A38-1,1)-1)</f>
        <v>-8.3434513812994382E-3</v>
      </c>
      <c r="DK38" s="9">
        <f ca="1">IF(OR(DK11="",DK$28&lt;$A38),"",DK11/OFFSET(SSAutESP!$A$2,MATCH(DK$29,SSAutESP!$A$2:$A$500)+$A38-1,1)-1)</f>
        <v>-8.6877588178649878E-3</v>
      </c>
      <c r="DL38" s="9">
        <f ca="1">IF(OR(DL11="",DL$28&lt;$A38),"",DL11/OFFSET(SSAutESP!$A$2,MATCH(DL$29,SSAutESP!$A$2:$A$500)+$A38-1,1)-1)</f>
        <v>-2.9652687791525967E-3</v>
      </c>
      <c r="DM38" s="9">
        <f ca="1">IF(OR(DM11="",DM$28&lt;$A38),"",DM11/OFFSET(SSAutESP!$A$2,MATCH(DM$29,SSAutESP!$A$2:$A$500)+$A38-1,1)-1)</f>
        <v>-3.9160540233066365E-3</v>
      </c>
      <c r="DN38" s="9">
        <f ca="1">IF(OR(DN11="",DN$28&lt;$A38),"",DN11/OFFSET(SSAutESP!$A$2,MATCH(DN$29,SSAutESP!$A$2:$A$500)+$A38-1,1)-1)</f>
        <v>-2.3118156768284437E-2</v>
      </c>
      <c r="DO38" s="9">
        <f ca="1">IF(OR(DO11="",DO$28&lt;$A38),"",DO11/OFFSET(SSAutESP!$A$2,MATCH(DO$29,SSAutESP!$A$2:$A$500)+$A38-1,1)-1)</f>
        <v>-1.7771101898392372E-2</v>
      </c>
      <c r="DP38" s="9">
        <f ca="1">IF(OR(DP11="",DP$28&lt;$A38),"",DP11/OFFSET(SSAutESP!$A$2,MATCH(DP$29,SSAutESP!$A$2:$A$500)+$A38-1,1)-1)</f>
        <v>-1.5347337683371709E-2</v>
      </c>
      <c r="DQ38" s="9">
        <f ca="1">IF(OR(DQ11="",DQ$28&lt;$A38),"",DQ11/OFFSET(SSAutESP!$A$2,MATCH(DQ$29,SSAutESP!$A$2:$A$500)+$A38-1,1)-1)</f>
        <v>-3.9062458641304643E-3</v>
      </c>
      <c r="DR38" s="9">
        <f ca="1">IF(OR(DR11="",DR$28&lt;$A38),"",DR11/OFFSET(SSAutESP!$A$2,MATCH(DR$29,SSAutESP!$A$2:$A$500)+$A38-1,1)-1)</f>
        <v>4.9339204499292411E-3</v>
      </c>
      <c r="DS38" s="9">
        <f ca="1">IF(OR(DS11="",DS$28&lt;$A38),"",DS11/OFFSET(SSAutESP!$A$2,MATCH(DS$29,SSAutESP!$A$2:$A$500)+$A38-1,1)-1)</f>
        <v>-7.878487380206356E-3</v>
      </c>
      <c r="DT38" s="9">
        <f ca="1">IF(OR(DT11="",DT$28&lt;$A38),"",DT11/OFFSET(SSAutESP!$A$2,MATCH(DT$29,SSAutESP!$A$2:$A$500)+$A38-1,1)-1)</f>
        <v>-4.4602838304262926E-3</v>
      </c>
      <c r="DU38" s="9">
        <f ca="1">IF(OR(DU11="",DU$28&lt;$A38),"",DU11/OFFSET(SSAutESP!$A$2,MATCH(DU$29,SSAutESP!$A$2:$A$500)+$A38-1,1)-1)</f>
        <v>2.3315280603508626E-5</v>
      </c>
      <c r="DV38" s="9">
        <f ca="1">IF(OR(DV11="",DV$28&lt;$A38),"",DV11/OFFSET(SSAutESP!$A$2,MATCH(DV$29,SSAutESP!$A$2:$A$500)+$A38-1,1)-1)</f>
        <v>1.2070391898837185E-2</v>
      </c>
      <c r="DW38" s="9">
        <f ca="1">IF(OR(DW11="",DW$28&lt;$A38),"",DW11/OFFSET(SSAutESP!$A$2,MATCH(DW$29,SSAutESP!$A$2:$A$500)+$A38-1,1)-1)</f>
        <v>1.6182128894153491E-2</v>
      </c>
      <c r="DX38" s="9">
        <f ca="1">IF(OR(DX11="",DX$28&lt;$A38),"",DX11/OFFSET(SSAutESP!$A$2,MATCH(DX$29,SSAutESP!$A$2:$A$500)+$A38-1,1)-1)</f>
        <v>9.6717410115036984E-3</v>
      </c>
      <c r="DY38" s="9">
        <f ca="1">IF(OR(DY11="",DY$28&lt;$A38),"",DY11/OFFSET(SSAutESP!$A$2,MATCH(DY$29,SSAutESP!$A$2:$A$500)+$A38-1,1)-1)</f>
        <v>1.9109378156434431E-3</v>
      </c>
      <c r="DZ38" s="9">
        <f ca="1">IF(OR(DZ11="",DZ$28&lt;$A38),"",DZ11/OFFSET(SSAutESP!$A$2,MATCH(DZ$29,SSAutESP!$A$2:$A$500)+$A38-1,1)-1)</f>
        <v>-7.1117007155121481E-3</v>
      </c>
      <c r="EA38" s="9">
        <f ca="1">IF(OR(EA11="",EA$28&lt;$A38),"",EA11/OFFSET(SSAutESP!$A$2,MATCH(EA$29,SSAutESP!$A$2:$A$500)+$A38-1,1)-1)</f>
        <v>-3.3434222450060558E-3</v>
      </c>
      <c r="EB38" s="9">
        <f ca="1">IF(OR(EB11="",EB$28&lt;$A38),"",EB11/OFFSET(SSAutESP!$A$2,MATCH(EB$29,SSAutESP!$A$2:$A$500)+$A38-1,1)-1)</f>
        <v>2.580831902555758E-3</v>
      </c>
      <c r="EC38" s="9">
        <f ca="1">IF(OR(EC11="",EC$28&lt;$A38),"",EC11/OFFSET(SSAutESP!$A$2,MATCH(EC$29,SSAutESP!$A$2:$A$500)+$A38-1,1)-1)</f>
        <v>1.1080454157963437E-4</v>
      </c>
      <c r="ED38" s="9">
        <f ca="1">IF(OR(ED11="",ED$28&lt;$A38),"",ED11/OFFSET(SSAutESP!$A$2,MATCH(ED$29,SSAutESP!$A$2:$A$500)+$A38-1,1)-1)</f>
        <v>6.2992879782672873E-3</v>
      </c>
      <c r="EE38" s="9">
        <f ca="1">IF(OR(EE11="",EE$28&lt;$A38),"",EE11/OFFSET(SSAutESP!$A$2,MATCH(EE$29,SSAutESP!$A$2:$A$500)+$A38-1,1)-1)</f>
        <v>-1.4845739600822805E-3</v>
      </c>
      <c r="EF38" s="9">
        <f ca="1">IF(OR(EF11="",EF$28&lt;$A38),"",EF11/OFFSET(SSAutESP!$A$2,MATCH(EF$29,SSAutESP!$A$2:$A$500)+$A38-1,1)-1)</f>
        <v>2.7842623457507987E-3</v>
      </c>
      <c r="EG38" s="9">
        <f ca="1">IF(OR(EG11="",EG$28&lt;$A38),"",EG11/OFFSET(SSAutESP!$A$2,MATCH(EG$29,SSAutESP!$A$2:$A$500)+$A38-1,1)-1)</f>
        <v>1.0271221008518294E-2</v>
      </c>
      <c r="EH38" s="9">
        <f ca="1">IF(OR(EH11="",EH$28&lt;$A38),"",EH11/OFFSET(SSAutESP!$A$2,MATCH(EH$29,SSAutESP!$A$2:$A$500)+$A38-1,1)-1)</f>
        <v>1.4933001261159928E-2</v>
      </c>
      <c r="EI38" s="9">
        <f ca="1">IF(OR(EI11="",EI$28&lt;$A38),"",EI11/OFFSET(SSAutESP!$A$2,MATCH(EI$29,SSAutESP!$A$2:$A$500)+$A38-1,1)-1)</f>
        <v>1.0625351275107331E-2</v>
      </c>
      <c r="EJ38" s="9">
        <f ca="1">IF(OR(EJ11="",EJ$28&lt;$A38),"",EJ11/OFFSET(SSAutESP!$A$2,MATCH(EJ$29,SSAutESP!$A$2:$A$500)+$A38-1,1)-1)</f>
        <v>8.0939168509857051E-3</v>
      </c>
      <c r="EK38" s="9">
        <f ca="1">IF(OR(EK11="",EK$28&lt;$A38),"",EK11/OFFSET(SSAutESP!$A$2,MATCH(EK$29,SSAutESP!$A$2:$A$500)+$A38-1,1)-1)</f>
        <v>-3.101035029740129E-3</v>
      </c>
      <c r="EL38" s="9">
        <f ca="1">IF(OR(EL11="",EL$28&lt;$A38),"",EL11/OFFSET(SSAutESP!$A$2,MATCH(EL$29,SSAutESP!$A$2:$A$500)+$A38-1,1)-1)</f>
        <v>-3.5726367836871331E-3</v>
      </c>
      <c r="EM38" s="9">
        <f ca="1">IF(OR(EM11="",EM$28&lt;$A38),"",EM11/OFFSET(SSAutESP!$A$2,MATCH(EM$29,SSAutESP!$A$2:$A$500)+$A38-1,1)-1)</f>
        <v>-2.3939041243840053E-3</v>
      </c>
      <c r="EN38" s="9">
        <f ca="1">IF(OR(EN11="",EN$28&lt;$A38),"",EN11/OFFSET(SSAutESP!$A$2,MATCH(EN$29,SSAutESP!$A$2:$A$500)+$A38-1,1)-1)</f>
        <v>-4.1423693541637885E-3</v>
      </c>
      <c r="EO38" s="9">
        <f ca="1">IF(OR(EO11="",EO$28&lt;$A38),"",EO11/OFFSET(SSAutESP!$A$2,MATCH(EO$29,SSAutESP!$A$2:$A$500)+$A38-1,1)-1)</f>
        <v>3.9324936396205601E-3</v>
      </c>
      <c r="EP38" s="9">
        <f ca="1">IF(OR(EP11="",EP$28&lt;$A38),"",EP11/OFFSET(SSAutESP!$A$2,MATCH(EP$29,SSAutESP!$A$2:$A$500)+$A38-1,1)-1)</f>
        <v>-6.9387206557680603E-4</v>
      </c>
      <c r="EQ38" s="9">
        <f ca="1">IF(OR(EQ11="",EQ$28&lt;$A38),"",EQ11/OFFSET(SSAutESP!$A$2,MATCH(EQ$29,SSAutESP!$A$2:$A$500)+$A38-1,1)-1)</f>
        <v>-1.229888940618129E-2</v>
      </c>
      <c r="ER38" s="9">
        <f ca="1">IF(OR(ER11="",ER$28&lt;$A38),"",ER11/OFFSET(SSAutESP!$A$2,MATCH(ER$29,SSAutESP!$A$2:$A$500)+$A38-1,1)-1)</f>
        <v>-5.8545461371484198E-4</v>
      </c>
      <c r="ES38" s="9">
        <f ca="1">IF(OR(ES11="",ES$28&lt;$A38),"",ES11/OFFSET(SSAutESP!$A$2,MATCH(ES$29,SSAutESP!$A$2:$A$500)+$A38-1,1)-1)</f>
        <v>5.5656844133189498E-3</v>
      </c>
      <c r="ET38" s="9">
        <f ca="1">IF(OR(ET11="",ET$28&lt;$A38),"",ET11/OFFSET(SSAutESP!$A$2,MATCH(ET$29,SSAutESP!$A$2:$A$500)+$A38-1,1)-1)</f>
        <v>3.4282506155993708E-3</v>
      </c>
      <c r="EU38" s="9">
        <f ca="1">IF(OR(EU11="",EU$28&lt;$A38),"",EU11/OFFSET(SSAutESP!$A$2,MATCH(EU$29,SSAutESP!$A$2:$A$500)+$A38-1,1)-1)</f>
        <v>2.0228815235181496E-3</v>
      </c>
      <c r="EV38" s="9">
        <f ca="1">IF(OR(EV11="",EV$28&lt;$A38),"",EV11/OFFSET(SSAutESP!$A$2,MATCH(EV$29,SSAutESP!$A$2:$A$500)+$A38-1,1)-1)</f>
        <v>8.0170904937015841E-4</v>
      </c>
      <c r="EW38" s="9">
        <f ca="1">IF(OR(EW11="",EW$28&lt;$A38),"",EW11/OFFSET(SSAutESP!$A$2,MATCH(EW$29,SSAutESP!$A$2:$A$500)+$A38-1,1)-1)</f>
        <v>-6.8935961722356165E-3</v>
      </c>
      <c r="EX38" s="9">
        <f ca="1">IF(OR(EX11="",EX$28&lt;$A38),"",EX11/OFFSET(SSAutESP!$A$2,MATCH(EX$29,SSAutESP!$A$2:$A$500)+$A38-1,1)-1)</f>
        <v>-5.8997277666478221E-3</v>
      </c>
      <c r="EY38" s="9">
        <f ca="1">IF(OR(EY11="",EY$28&lt;$A38),"",EY11/OFFSET(SSAutESP!$A$2,MATCH(EY$29,SSAutESP!$A$2:$A$500)+$A38-1,1)-1)</f>
        <v>-4.7098125170503824E-3</v>
      </c>
      <c r="EZ38" s="9">
        <f ca="1">IF(OR(EZ11="",EZ$28&lt;$A38),"",EZ11/OFFSET(SSAutESP!$A$2,MATCH(EZ$29,SSAutESP!$A$2:$A$500)+$A38-1,1)-1)</f>
        <v>1.3038432647394238E-3</v>
      </c>
      <c r="FA38" s="9">
        <f ca="1">IF(OR(FA11="",FA$28&lt;$A38),"",FA11/OFFSET(SSAutESP!$A$2,MATCH(FA$29,SSAutESP!$A$2:$A$500)+$A38-1,1)-1)</f>
        <v>9.0866703971781426E-4</v>
      </c>
      <c r="FB38" s="9">
        <f ca="1">IF(OR(FB11="",FB$28&lt;$A38),"",FB11/OFFSET(SSAutESP!$A$2,MATCH(FB$29,SSAutESP!$A$2:$A$500)+$A38-1,1)-1)</f>
        <v>-1.1012149498833557E-3</v>
      </c>
      <c r="FC38" s="9">
        <f ca="1">IF(OR(FC11="",FC$28&lt;$A38),"",FC11/OFFSET(SSAutESP!$A$2,MATCH(FC$29,SSAutESP!$A$2:$A$500)+$A38-1,1)-1)</f>
        <v>-6.7279774652801994E-3</v>
      </c>
      <c r="FD38" s="9">
        <f ca="1">IF(OR(FD11="",FD$28&lt;$A38),"",FD11/OFFSET(SSAutESP!$A$2,MATCH(FD$29,SSAutESP!$A$2:$A$500)+$A38-1,1)-1)</f>
        <v>6.8668293727223162E-3</v>
      </c>
      <c r="FE38" s="9">
        <f ca="1">IF(OR(FE11="",FE$28&lt;$A38),"",FE11/OFFSET(SSAutESP!$A$2,MATCH(FE$29,SSAutESP!$A$2:$A$500)+$A38-1,1)-1)</f>
        <v>6.6215857638849407E-3</v>
      </c>
      <c r="FF38" s="9">
        <f ca="1">IF(OR(FF11="",FF$28&lt;$A38),"",FF11/OFFSET(SSAutESP!$A$2,MATCH(FF$29,SSAutESP!$A$2:$A$500)+$A38-1,1)-1)</f>
        <v>8.7745941409440587E-3</v>
      </c>
      <c r="FG38" s="9">
        <f ca="1">IF(OR(FG11="",FG$28&lt;$A38),"",FG11/OFFSET(SSAutESP!$A$2,MATCH(FG$29,SSAutESP!$A$2:$A$500)+$A38-1,1)-1)</f>
        <v>4.0392312370429728E-3</v>
      </c>
      <c r="FH38" s="9">
        <f ca="1">IF(OR(FH11="",FH$28&lt;$A38),"",FH11/OFFSET(SSAutESP!$A$2,MATCH(FH$29,SSAutESP!$A$2:$A$500)+$A38-1,1)-1)</f>
        <v>-2.9684455128321519E-3</v>
      </c>
      <c r="FI38" s="9">
        <f ca="1">IF(OR(FI11="",FI$28&lt;$A38),"",FI11/OFFSET(SSAutESP!$A$2,MATCH(FI$29,SSAutESP!$A$2:$A$500)+$A38-1,1)-1)</f>
        <v>-1.3037729052669866E-2</v>
      </c>
      <c r="FJ38" s="9">
        <f ca="1">IF(OR(FJ11="",FJ$28&lt;$A38),"",FJ11/OFFSET(SSAutESP!$A$2,MATCH(FJ$29,SSAutESP!$A$2:$A$500)+$A38-1,1)-1)</f>
        <v>-1.4298341040779539E-2</v>
      </c>
      <c r="FK38" s="9">
        <f ca="1">IF(OR(FK11="",FK$28&lt;$A38),"",FK11/OFFSET(SSAutESP!$A$2,MATCH(FK$29,SSAutESP!$A$2:$A$500)+$A38-1,1)-1)</f>
        <v>-6.4313022570120504E-3</v>
      </c>
      <c r="FL38" s="9">
        <f ca="1">IF(OR(FL11="",FL$28&lt;$A38),"",FL11/OFFSET(SSAutESP!$A$2,MATCH(FL$29,SSAutESP!$A$2:$A$500)+$A38-1,1)-1)</f>
        <v>-4.128594344024239E-3</v>
      </c>
      <c r="FM38" s="9">
        <f ca="1">IF(OR(FM11="",FM$28&lt;$A38),"",FM11/OFFSET(SSAutESP!$A$2,MATCH(FM$29,SSAutESP!$A$2:$A$500)+$A38-1,1)-1)</f>
        <v>-1.1625677649860111E-2</v>
      </c>
      <c r="FN38" s="9">
        <f ca="1">IF(OR(FN11="",FN$28&lt;$A38),"",FN11/OFFSET(SSAutESP!$A$2,MATCH(FN$29,SSAutESP!$A$2:$A$500)+$A38-1,1)-1)</f>
        <v>-1.9801229572907419E-2</v>
      </c>
      <c r="FO38" s="9">
        <f ca="1">IF(OR(FO11="",FO$28&lt;$A38),"",FO11/OFFSET(SSAutESP!$A$2,MATCH(FO$29,SSAutESP!$A$2:$A$500)+$A38-1,1)-1)</f>
        <v>-1.4878177449374697E-2</v>
      </c>
      <c r="FP38" s="9">
        <f ca="1">IF(OR(FP11="",FP$28&lt;$A38),"",FP11/OFFSET(SSAutESP!$A$2,MATCH(FP$29,SSAutESP!$A$2:$A$500)+$A38-1,1)-1)</f>
        <v>6.666455608747901E-3</v>
      </c>
      <c r="FQ38" s="9">
        <f ca="1">IF(OR(FQ11="",FQ$28&lt;$A38),"",FQ11/OFFSET(SSAutESP!$A$2,MATCH(FQ$29,SSAutESP!$A$2:$A$500)+$A38-1,1)-1)</f>
        <v>1.0125971355931407E-2</v>
      </c>
      <c r="FR38" s="9">
        <f ca="1">IF(OR(FR11="",FR$28&lt;$A38),"",FR11/OFFSET(SSAutESP!$A$2,MATCH(FR$29,SSAutESP!$A$2:$A$500)+$A38-1,1)-1)</f>
        <v>6.2601418915739782E-3</v>
      </c>
      <c r="FS38" s="9">
        <f ca="1">IF(OR(FS11="",FS$28&lt;$A38),"",FS11/OFFSET(SSAutESP!$A$2,MATCH(FS$29,SSAutESP!$A$2:$A$500)+$A38-1,1)-1)</f>
        <v>3.9364698213673055E-3</v>
      </c>
      <c r="FT38" s="9">
        <f ca="1">IF(OR(FT11="",FT$28&lt;$A38),"",FT11/OFFSET(SSAutESP!$A$2,MATCH(FT$29,SSAutESP!$A$2:$A$500)+$A38-1,1)-1)</f>
        <v>5.834678479465838E-3</v>
      </c>
      <c r="FU38" s="9">
        <f ca="1">IF(OR(FU11="",FU$28&lt;$A38),"",FU11/OFFSET(SSAutESP!$A$2,MATCH(FU$29,SSAutESP!$A$2:$A$500)+$A38-1,1)-1)</f>
        <v>3.8088457618321581E-3</v>
      </c>
      <c r="FV38" s="9">
        <f ca="1">IF(OR(FV11="",FV$28&lt;$A38),"",FV11/OFFSET(SSAutESP!$A$2,MATCH(FV$29,SSAutESP!$A$2:$A$500)+$A38-1,1)-1)</f>
        <v>-2.3658431506540234E-3</v>
      </c>
      <c r="FW38" s="9">
        <f ca="1">IF(OR(FW11="",FW$28&lt;$A38),"",FW11/OFFSET(SSAutESP!$A$2,MATCH(FW$29,SSAutESP!$A$2:$A$500)+$A38-1,1)-1)</f>
        <v>3.5971940462267149E-3</v>
      </c>
      <c r="FX38" s="9">
        <f ca="1">IF(OR(FX11="",FX$28&lt;$A38),"",FX11/OFFSET(SSAutESP!$A$2,MATCH(FX$29,SSAutESP!$A$2:$A$500)+$A38-1,1)-1)</f>
        <v>1.0024329816324062E-2</v>
      </c>
      <c r="FY38" s="9">
        <f ca="1">IF(OR(FY11="",FY$28&lt;$A38),"",FY11/OFFSET(SSAutESP!$A$2,MATCH(FY$29,SSAutESP!$A$2:$A$500)+$A38-1,1)-1)</f>
        <v>8.2370247863075008E-3</v>
      </c>
      <c r="FZ38" s="9">
        <f ca="1">IF(OR(FZ11="",FZ$28&lt;$A38),"",FZ11/OFFSET(SSAutESP!$A$2,MATCH(FZ$29,SSAutESP!$A$2:$A$500)+$A38-1,1)-1)</f>
        <v>1.2009751719078254E-2</v>
      </c>
      <c r="GA38" s="9">
        <f ca="1">IF(OR(GA11="",GA$28&lt;$A38),"",GA11/OFFSET(SSAutESP!$A$2,MATCH(GA$29,SSAutESP!$A$2:$A$500)+$A38-1,1)-1)</f>
        <v>-6.0849447218482844E-3</v>
      </c>
      <c r="GB38" s="9">
        <f ca="1">IF(OR(GB11="",GB$28&lt;$A38),"",GB11/OFFSET(SSAutESP!$A$2,MATCH(GB$29,SSAutESP!$A$2:$A$500)+$A38-1,1)-1)</f>
        <v>-1.6605340403639257E-3</v>
      </c>
      <c r="GC38" s="9">
        <f ca="1">IF(OR(GC11="",GC$28&lt;$A38),"",GC11/OFFSET(SSAutESP!$A$2,MATCH(GC$29,SSAutESP!$A$2:$A$500)+$A38-1,1)-1)</f>
        <v>-2.3937980633775835E-3</v>
      </c>
      <c r="GD38" s="9">
        <f ca="1">IF(OR(GD11="",GD$28&lt;$A38),"",GD11/OFFSET(SSAutESP!$A$2,MATCH(GD$29,SSAutESP!$A$2:$A$500)+$A38-1,1)-1)</f>
        <v>-4.5739420632968653E-3</v>
      </c>
      <c r="GE38" s="9">
        <f ca="1">IF(OR(GE11="",GE$28&lt;$A38),"",GE11/OFFSET(SSAutESP!$A$2,MATCH(GE$29,SSAutESP!$A$2:$A$500)+$A38-1,1)-1)</f>
        <v>-6.0975862208938469E-3</v>
      </c>
      <c r="GF38" s="9">
        <f ca="1">IF(OR(GF11="",GF$28&lt;$A38),"",GF11/OFFSET(SSAutESP!$A$2,MATCH(GF$29,SSAutESP!$A$2:$A$500)+$A38-1,1)-1)</f>
        <v>5.2507736020301898E-4</v>
      </c>
      <c r="GG38" s="9">
        <f ca="1">IF(OR(GG11="",GG$28&lt;$A38),"",GG11/OFFSET(SSAutESP!$A$2,MATCH(GG$29,SSAutESP!$A$2:$A$500)+$A38-1,1)-1)</f>
        <v>1.8381182859060541E-2</v>
      </c>
      <c r="GH38" s="9">
        <f ca="1">IF(OR(GH11="",GH$28&lt;$A38),"",GH11/OFFSET(SSAutESP!$A$2,MATCH(GH$29,SSAutESP!$A$2:$A$500)+$A38-1,1)-1)</f>
        <v>1.8030241641482814E-2</v>
      </c>
      <c r="GI38" s="9">
        <f ca="1">IF(OR(GI11="",GI$28&lt;$A38),"",GI11/OFFSET(SSAutESP!$A$2,MATCH(GI$29,SSAutESP!$A$2:$A$500)+$A38-1,1)-1)</f>
        <v>1.9284560268640005E-2</v>
      </c>
      <c r="GJ38" s="9">
        <f ca="1">IF(OR(GJ11="",GJ$28&lt;$A38),"",GJ11/OFFSET(SSAutESP!$A$2,MATCH(GJ$29,SSAutESP!$A$2:$A$500)+$A38-1,1)-1)</f>
        <v>1.6237063882905689E-2</v>
      </c>
      <c r="GK38" s="9">
        <f ca="1">IF(OR(GK11="",GK$28&lt;$A38),"",GK11/OFFSET(SSAutESP!$A$2,MATCH(GK$29,SSAutESP!$A$2:$A$500)+$A38-1,1)-1)</f>
        <v>1.0492916556198439E-2</v>
      </c>
      <c r="GL38" s="9">
        <f ca="1">IF(OR(GL11="",GL$28&lt;$A38),"",GL11/OFFSET(SSAutESP!$A$2,MATCH(GL$29,SSAutESP!$A$2:$A$500)+$A38-1,1)-1)</f>
        <v>8.5862543278989456E-3</v>
      </c>
      <c r="GM38" s="9">
        <f ca="1">IF(OR(GM11="",GM$28&lt;$A38),"",GM11/OFFSET(SSAutESP!$A$2,MATCH(GM$29,SSAutESP!$A$2:$A$500)+$A38-1,1)-1)</f>
        <v>7.5354636934261698E-3</v>
      </c>
      <c r="GN38" s="9">
        <f ca="1">IF(OR(GN11="",GN$28&lt;$A38),"",GN11/OFFSET(SSAutESP!$A$2,MATCH(GN$29,SSAutESP!$A$2:$A$500)+$A38-1,1)-1)</f>
        <v>6.8799193773505518E-3</v>
      </c>
      <c r="GO38" s="9">
        <f ca="1">IF(OR(GO11="",GO$28&lt;$A38),"",GO11/OFFSET(SSAutESP!$A$2,MATCH(GO$29,SSAutESP!$A$2:$A$500)+$A38-1,1)-1)</f>
        <v>-9.1180998602312657E-3</v>
      </c>
      <c r="GP38" s="9">
        <f ca="1">IF(OR(GP11="",GP$28&lt;$A38),"",GP11/OFFSET(SSAutESP!$A$2,MATCH(GP$29,SSAutESP!$A$2:$A$500)+$A38-1,1)-1)</f>
        <v>-4.1997858980859726E-2</v>
      </c>
      <c r="GQ38" s="9" t="str">
        <f ca="1">IF(OR(GQ11="",GQ$28&lt;$A38),"",GQ11/OFFSET(SSAutESP!$A$2,MATCH(GQ$29,SSAutESP!$A$2:$A$500)+$A38-1,1)-1)</f>
        <v/>
      </c>
      <c r="GR38" s="9" t="str">
        <f ca="1">IF(OR(GR11="",GR$28&lt;$A38),"",GR11/OFFSET(SSAutESP!$A$2,MATCH(GR$29,SSAutESP!$A$2:$A$500)+$A38-1,1)-1)</f>
        <v/>
      </c>
      <c r="GS38" s="9" t="str">
        <f ca="1">IF(OR(GS11="",GS$28&lt;$A38),"",GS11/OFFSET(SSAutESP!$A$2,MATCH(GS$29,SSAutESP!$A$2:$A$500)+$A38-1,1)-1)</f>
        <v/>
      </c>
      <c r="GT38" s="9" t="str">
        <f ca="1">IF(OR(GT11="",GT$28&lt;$A38),"",GT11/OFFSET(SSAutESP!$A$2,MATCH(GT$29,SSAutESP!$A$2:$A$500)+$A38-1,1)-1)</f>
        <v/>
      </c>
      <c r="GU38" s="9" t="str">
        <f ca="1">IF(OR(GU11="",GU$28&lt;$A38),"",GU11/OFFSET(SSAutESP!$A$2,MATCH(GU$29,SSAutESP!$A$2:$A$500)+$A38-1,1)-1)</f>
        <v/>
      </c>
      <c r="GV38" s="9" t="str">
        <f ca="1">IF(OR(GV11="",GV$28&lt;$A38),"",GV11/OFFSET(SSAutESP!$A$2,MATCH(GV$29,SSAutESP!$A$2:$A$500)+$A38-1,1)-1)</f>
        <v/>
      </c>
      <c r="GW38" s="9" t="str">
        <f ca="1">IF(OR(GW11="",GW$28&lt;$A38),"",GW11/OFFSET(SSAutESP!$A$2,MATCH(GW$29,SSAutESP!$A$2:$A$500)+$A38-1,1)-1)</f>
        <v/>
      </c>
      <c r="GX38" s="9" t="str">
        <f ca="1">IF(OR(GX11="",GX$28&lt;$A38),"",GX11/OFFSET(SSAutESP!$A$2,MATCH(GX$29,SSAutESP!$A$2:$A$500)+$A38-1,1)-1)</f>
        <v/>
      </c>
      <c r="GY38" s="9" t="str">
        <f ca="1">IF(OR(GY11="",GY$28&lt;$A38),"",GY11/OFFSET(SSAutESP!$A$2,MATCH(GY$29,SSAutESP!$A$2:$A$500)+$A38-1,1)-1)</f>
        <v/>
      </c>
      <c r="GZ38" s="9" t="str">
        <f ca="1">IF(OR(GZ11="",GZ$28&lt;$A38),"",GZ11/OFFSET(SSAutESP!$A$2,MATCH(GZ$29,SSAutESP!$A$2:$A$500)+$A38-1,1)-1)</f>
        <v/>
      </c>
      <c r="HA38" s="9" t="str">
        <f ca="1">IF(OR(HA11="",HA$28&lt;$A38),"",HA11/OFFSET(SSAutESP!$A$2,MATCH(HA$29,SSAutESP!$A$2:$A$500)+$A38-1,1)-1)</f>
        <v/>
      </c>
      <c r="HB38" s="9" t="str">
        <f ca="1">IF(OR(HB11="",HB$28&lt;$A38),"",HB11/OFFSET(SSAutESP!$A$2,MATCH(HB$29,SSAutESP!$A$2:$A$500)+$A38-1,1)-1)</f>
        <v/>
      </c>
      <c r="HC38" s="9" t="str">
        <f ca="1">IF(OR(HC11="",HC$28&lt;$A38),"",HC11/OFFSET(SSAutESP!$A$2,MATCH(HC$29,SSAutESP!$A$2:$A$500)+$A38-1,1)-1)</f>
        <v/>
      </c>
      <c r="HD38" s="9" t="str">
        <f ca="1">IF(OR(HD11="",HD$28&lt;$A38),"",HD11/OFFSET(SSAutESP!$A$2,MATCH(HD$29,SSAutESP!$A$2:$A$500)+$A38-1,1)-1)</f>
        <v/>
      </c>
      <c r="HE38" s="9" t="str">
        <f ca="1">IF(OR(HE11="",HE$28&lt;$A38),"",HE11/OFFSET(SSAutESP!$A$2,MATCH(HE$29,SSAutESP!$A$2:$A$500)+$A38-1,1)-1)</f>
        <v/>
      </c>
      <c r="HF38" s="9" t="str">
        <f ca="1">IF(OR(HF11="",HF$28&lt;$A38),"",HF11/OFFSET(SSAutESP!$A$2,MATCH(HF$29,SSAutESP!$A$2:$A$500)+$A38-1,1)-1)</f>
        <v/>
      </c>
      <c r="HG38" s="9" t="str">
        <f ca="1">IF(OR(HG11="",HG$28&lt;$A38),"",HG11/OFFSET(SSAutESP!$A$2,MATCH(HG$29,SSAutESP!$A$2:$A$500)+$A38-1,1)-1)</f>
        <v/>
      </c>
      <c r="HH38" s="9" t="str">
        <f ca="1">IF(OR(HH11="",HH$28&lt;$A38),"",HH11/OFFSET(SSAutESP!$A$2,MATCH(HH$29,SSAutESP!$A$2:$A$500)+$A38-1,1)-1)</f>
        <v/>
      </c>
      <c r="HI38" s="9" t="str">
        <f ca="1">IF(OR(HI11="",HI$28&lt;$A38),"",HI11/OFFSET(SSAutESP!$A$2,MATCH(HI$29,SSAutESP!$A$2:$A$500)+$A38-1,1)-1)</f>
        <v/>
      </c>
      <c r="HJ38" s="9" t="str">
        <f ca="1">IF(OR(HJ11="",HJ$28&lt;$A38),"",HJ11/OFFSET(SSAutESP!$A$2,MATCH(HJ$29,SSAutESP!$A$2:$A$500)+$A38-1,1)-1)</f>
        <v/>
      </c>
      <c r="HK38" s="9" t="str">
        <f ca="1">IF(OR(HK11="",HK$28&lt;$A38),"",HK11/OFFSET(SSAutESP!$A$2,MATCH(HK$29,SSAutESP!$A$2:$A$500)+$A38-1,1)-1)</f>
        <v/>
      </c>
      <c r="HL38" s="9" t="str">
        <f ca="1">IF(OR(HL11="",HL$28&lt;$A38),"",HL11/OFFSET(SSAutESP!$A$2,MATCH(HL$29,SSAutESP!$A$2:$A$500)+$A38-1,1)-1)</f>
        <v/>
      </c>
      <c r="HM38" s="9" t="str">
        <f ca="1">IF(OR(HM11="",HM$28&lt;$A38),"",HM11/OFFSET(SSAutESP!$A$2,MATCH(HM$29,SSAutESP!$A$2:$A$500)+$A38-1,1)-1)</f>
        <v/>
      </c>
      <c r="HN38" s="9" t="str">
        <f ca="1">IF(OR(HN11="",HN$28&lt;$A38),"",HN11/OFFSET(SSAutESP!$A$2,MATCH(HN$29,SSAutESP!$A$2:$A$500)+$A38-1,1)-1)</f>
        <v/>
      </c>
      <c r="HO38" s="9" t="str">
        <f ca="1">IF(OR(HO11="",HO$28&lt;$A38),"",HO11/OFFSET(SSAutESP!$A$2,MATCH(HO$29,SSAutESP!$A$2:$A$500)+$A38-1,1)-1)</f>
        <v/>
      </c>
      <c r="HP38" s="9" t="str">
        <f ca="1">IF(OR(HP11="",HP$28&lt;$A38),"",HP11/OFFSET(SSAutESP!$A$2,MATCH(HP$29,SSAutESP!$A$2:$A$500)+$A38-1,1)-1)</f>
        <v/>
      </c>
      <c r="HQ38" s="9" t="str">
        <f ca="1">IF(OR(HQ11="",HQ$28&lt;$A38),"",HQ11/OFFSET(SSAutESP!$A$2,MATCH(HQ$29,SSAutESP!$A$2:$A$500)+$A38-1,1)-1)</f>
        <v/>
      </c>
      <c r="HR38" s="9" t="str">
        <f ca="1">IF(OR(HR11="",HR$28&lt;$A38),"",HR11/OFFSET(SSAutESP!$A$2,MATCH(HR$29,SSAutESP!$A$2:$A$500)+$A38-1,1)-1)</f>
        <v/>
      </c>
      <c r="HS38" s="9" t="str">
        <f ca="1">IF(OR(HS11="",HS$28&lt;$A38),"",HS11/OFFSET(SSAutESP!$A$2,MATCH(HS$29,SSAutESP!$A$2:$A$500)+$A38-1,1)-1)</f>
        <v/>
      </c>
      <c r="HT38" s="9" t="str">
        <f ca="1">IF(OR(HT11="",HT$28&lt;$A38),"",HT11/OFFSET(SSAutESP!$A$2,MATCH(HT$29,SSAutESP!$A$2:$A$500)+$A38-1,1)-1)</f>
        <v/>
      </c>
      <c r="HU38" s="9" t="str">
        <f ca="1">IF(OR(HU11="",HU$28&lt;$A38),"",HU11/OFFSET(SSAutESP!$A$2,MATCH(HU$29,SSAutESP!$A$2:$A$500)+$A38-1,1)-1)</f>
        <v/>
      </c>
      <c r="HV38" s="9" t="str">
        <f ca="1">IF(OR(HV11="",HV$28&lt;$A38),"",HV11/OFFSET(SSAutESP!$A$2,MATCH(HV$29,SSAutESP!$A$2:$A$500)+$A38-1,1)-1)</f>
        <v/>
      </c>
      <c r="HW38" s="9" t="str">
        <f ca="1">IF(OR(HW11="",HW$28&lt;$A38),"",HW11/OFFSET(SSAutESP!$A$2,MATCH(HW$29,SSAutESP!$A$2:$A$500)+$A38-1,1)-1)</f>
        <v/>
      </c>
      <c r="HX38" s="9" t="str">
        <f ca="1">IF(OR(HX11="",HX$28&lt;$A38),"",HX11/OFFSET(SSAutESP!$A$2,MATCH(HX$29,SSAutESP!$A$2:$A$500)+$A38-1,1)-1)</f>
        <v/>
      </c>
      <c r="HY38" s="9" t="str">
        <f ca="1">IF(OR(HY11="",HY$28&lt;$A38),"",HY11/OFFSET(SSAutESP!$A$2,MATCH(HY$29,SSAutESP!$A$2:$A$500)+$A38-1,1)-1)</f>
        <v/>
      </c>
      <c r="HZ38" s="9" t="str">
        <f ca="1">IF(OR(HZ11="",HZ$28&lt;$A38),"",HZ11/OFFSET(SSAutESP!$A$2,MATCH(HZ$29,SSAutESP!$A$2:$A$500)+$A38-1,1)-1)</f>
        <v/>
      </c>
      <c r="IA38" s="9" t="str">
        <f ca="1">IF(OR(IA11="",IA$28&lt;$A38),"",IA11/OFFSET(SSAutESP!$A$2,MATCH(IA$29,SSAutESP!$A$2:$A$500)+$A38-1,1)-1)</f>
        <v/>
      </c>
      <c r="IB38" s="9" t="str">
        <f ca="1">IF(OR(IB11="",IB$28&lt;$A38),"",IB11/OFFSET(SSAutESP!$A$2,MATCH(IB$29,SSAutESP!$A$2:$A$500)+$A38-1,1)-1)</f>
        <v/>
      </c>
      <c r="IC38" s="9" t="str">
        <f ca="1">IF(OR(IC11="",IC$28&lt;$A38),"",IC11/OFFSET(SSAutESP!$A$2,MATCH(IC$29,SSAutESP!$A$2:$A$500)+$A38-1,1)-1)</f>
        <v/>
      </c>
      <c r="ID38" s="9" t="str">
        <f ca="1">IF(OR(ID11="",ID$28&lt;$A38),"",ID11/OFFSET(SSAutESP!$A$2,MATCH(ID$29,SSAutESP!$A$2:$A$500)+$A38-1,1)-1)</f>
        <v/>
      </c>
      <c r="IE38" s="9" t="str">
        <f ca="1">IF(OR(IE11="",IE$28&lt;$A38),"",IE11/OFFSET(SSAutESP!$A$2,MATCH(IE$29,SSAutESP!$A$2:$A$500)+$A38-1,1)-1)</f>
        <v/>
      </c>
      <c r="IF38" s="9" t="str">
        <f ca="1">IF(OR(IF11="",IF$28&lt;$A38),"",IF11/OFFSET(SSAutESP!$A$2,MATCH(IF$29,SSAutESP!$A$2:$A$500)+$A38-1,1)-1)</f>
        <v/>
      </c>
      <c r="IG38" s="9" t="str">
        <f ca="1">IF(OR(IG11="",IG$28&lt;$A38),"",IG11/OFFSET(SSAutESP!$A$2,MATCH(IG$29,SSAutESP!$A$2:$A$500)+$A38-1,1)-1)</f>
        <v/>
      </c>
      <c r="IH38" s="9" t="str">
        <f ca="1">IF(OR(IH11="",IH$28&lt;$A38),"",IH11/OFFSET(SSAutESP!$A$2,MATCH(IH$29,SSAutESP!$A$2:$A$500)+$A38-1,1)-1)</f>
        <v/>
      </c>
      <c r="II38" s="9" t="str">
        <f ca="1">IF(OR(II11="",II$28&lt;$A38),"",II11/OFFSET(SSAutESP!$A$2,MATCH(II$29,SSAutESP!$A$2:$A$500)+$A38-1,1)-1)</f>
        <v/>
      </c>
      <c r="IJ38" s="9" t="str">
        <f ca="1">IF(OR(IJ11="",IJ$28&lt;$A38),"",IJ11/OFFSET(SSAutESP!$A$2,MATCH(IJ$29,SSAutESP!$A$2:$A$500)+$A38-1,1)-1)</f>
        <v/>
      </c>
      <c r="IK38" s="9" t="str">
        <f ca="1">IF(OR(IK11="",IK$28&lt;$A38),"",IK11/OFFSET(SSAutESP!$A$2,MATCH(IK$29,SSAutESP!$A$2:$A$500)+$A38-1,1)-1)</f>
        <v/>
      </c>
      <c r="IL38" s="9" t="str">
        <f ca="1">IF(OR(IL11="",IL$28&lt;$A38),"",IL11/OFFSET(SSAutESP!$A$2,MATCH(IL$29,SSAutESP!$A$2:$A$500)+$A38-1,1)-1)</f>
        <v/>
      </c>
      <c r="IM38" s="9" t="str">
        <f ca="1">IF(OR(IM11="",IM$28&lt;$A38),"",IM11/OFFSET(SSAutESP!$A$2,MATCH(IM$29,SSAutESP!$A$2:$A$500)+$A38-1,1)-1)</f>
        <v/>
      </c>
      <c r="IN38" s="9" t="str">
        <f ca="1">IF(OR(IN11="",IN$28&lt;$A38),"",IN11/OFFSET(SSAutESP!$A$2,MATCH(IN$29,SSAutESP!$A$2:$A$500)+$A38-1,1)-1)</f>
        <v/>
      </c>
      <c r="IO38" s="9" t="str">
        <f ca="1">IF(OR(IO11="",IO$28&lt;$A38),"",IO11/OFFSET(SSAutESP!$A$2,MATCH(IO$29,SSAutESP!$A$2:$A$500)+$A38-1,1)-1)</f>
        <v/>
      </c>
      <c r="IP38" s="9" t="str">
        <f ca="1">IF(OR(IP11="",IP$28&lt;$A38),"",IP11/OFFSET(SSAutESP!$A$2,MATCH(IP$29,SSAutESP!$A$2:$A$500)+$A38-1,1)-1)</f>
        <v/>
      </c>
      <c r="IQ38" s="9" t="str">
        <f ca="1">IF(OR(IQ11="",IQ$28&lt;$A38),"",IQ11/OFFSET(SSAutESP!$A$2,MATCH(IQ$29,SSAutESP!$A$2:$A$500)+$A38-1,1)-1)</f>
        <v/>
      </c>
      <c r="IR38" s="9" t="str">
        <f ca="1">IF(OR(IR11="",IR$28&lt;$A38),"",IR11/OFFSET(SSAutESP!$A$2,MATCH(IR$29,SSAutESP!$A$2:$A$500)+$A38-1,1)-1)</f>
        <v/>
      </c>
      <c r="IS38" s="9" t="str">
        <f ca="1">IF(OR(IS11="",IS$28&lt;$A38),"",IS11/OFFSET(SSAutESP!$A$2,MATCH(IS$29,SSAutESP!$A$2:$A$500)+$A38-1,1)-1)</f>
        <v/>
      </c>
      <c r="IT38" s="9" t="str">
        <f ca="1">IF(OR(IT11="",IT$28&lt;$A38),"",IT11/OFFSET(SSAutESP!$A$2,MATCH(IT$29,SSAutESP!$A$2:$A$500)+$A38-1,1)-1)</f>
        <v/>
      </c>
      <c r="IU38" s="9" t="str">
        <f ca="1">IF(OR(IU11="",IU$28&lt;$A38),"",IU11/OFFSET(SSAutESP!$A$2,MATCH(IU$29,SSAutESP!$A$2:$A$500)+$A38-1,1)-1)</f>
        <v/>
      </c>
      <c r="IV38" s="9" t="str">
        <f ca="1">IF(OR(IV11="",IV$28&lt;$A38),"",IV11/OFFSET(SSAutESP!$A$2,MATCH(IV$29,SSAutESP!$A$2:$A$500)+$A38-1,1)-1)</f>
        <v/>
      </c>
      <c r="IW38" s="9" t="str">
        <f ca="1">IF(OR(IW11="",IW$28&lt;$A38),"",IW11/OFFSET(SSAutESP!$A$2,MATCH(IW$29,SSAutESP!$A$2:$A$500)+$A38-1,1)-1)</f>
        <v/>
      </c>
      <c r="IX38" s="9" t="str">
        <f ca="1">IF(OR(IX11="",IX$28&lt;$A38),"",IX11/OFFSET(SSAutESP!$A$2,MATCH(IX$29,SSAutESP!$A$2:$A$500)+$A38-1,1)-1)</f>
        <v/>
      </c>
      <c r="IY38" s="9" t="str">
        <f ca="1">IF(OR(IY11="",IY$28&lt;$A38),"",IY11/OFFSET(SSAutESP!$A$2,MATCH(IY$29,SSAutESP!$A$2:$A$500)+$A38-1,1)-1)</f>
        <v/>
      </c>
      <c r="IZ38" s="9" t="str">
        <f ca="1">IF(OR(IZ11="",IZ$28&lt;$A38),"",IZ11/OFFSET(SSAutESP!$A$2,MATCH(IZ$29,SSAutESP!$A$2:$A$500)+$A38-1,1)-1)</f>
        <v/>
      </c>
      <c r="JA38" s="9" t="str">
        <f ca="1">IF(OR(JA11="",JA$28&lt;$A38),"",JA11/OFFSET(SSAutESP!$A$2,MATCH(JA$29,SSAutESP!$A$2:$A$500)+$A38-1,1)-1)</f>
        <v/>
      </c>
      <c r="JB38" s="9" t="str">
        <f ca="1">IF(OR(JB11="",JB$28&lt;$A38),"",JB11/OFFSET(SSAutESP!$A$2,MATCH(JB$29,SSAutESP!$A$2:$A$500)+$A38-1,1)-1)</f>
        <v/>
      </c>
      <c r="JC38" s="9" t="str">
        <f ca="1">IF(OR(JC11="",JC$28&lt;$A38),"",JC11/OFFSET(SSAutESP!$A$2,MATCH(JC$29,SSAutESP!$A$2:$A$500)+$A38-1,1)-1)</f>
        <v/>
      </c>
      <c r="JD38" s="9" t="str">
        <f ca="1">IF(OR(JD11="",JD$28&lt;$A38),"",JD11/OFFSET(SSAutESP!$A$2,MATCH(JD$29,SSAutESP!$A$2:$A$500)+$A38-1,1)-1)</f>
        <v/>
      </c>
      <c r="JE38" s="9" t="str">
        <f ca="1">IF(OR(JE11="",JE$28&lt;$A38),"",JE11/OFFSET(SSAutESP!$A$2,MATCH(JE$29,SSAutESP!$A$2:$A$500)+$A38-1,1)-1)</f>
        <v/>
      </c>
      <c r="JF38" s="9" t="str">
        <f ca="1">IF(OR(JF11="",JF$28&lt;$A38),"",JF11/OFFSET(SSAutESP!$A$2,MATCH(JF$29,SSAutESP!$A$2:$A$500)+$A38-1,1)-1)</f>
        <v/>
      </c>
      <c r="JG38" s="9" t="str">
        <f ca="1">IF(OR(JG11="",JG$28&lt;$A38),"",JG11/OFFSET(SSAutESP!$A$2,MATCH(JG$29,SSAutESP!$A$2:$A$500)+$A38-1,1)-1)</f>
        <v/>
      </c>
      <c r="JH38" s="9" t="str">
        <f ca="1">IF(OR(JH11="",JH$28&lt;$A38),"",JH11/OFFSET(SSAutESP!$A$2,MATCH(JH$29,SSAutESP!$A$2:$A$500)+$A38-1,1)-1)</f>
        <v/>
      </c>
      <c r="JI38" s="13">
        <f t="shared" ca="1" si="13"/>
        <v>3.6728646362979953E-3</v>
      </c>
      <c r="JJ38" s="13">
        <f t="shared" ca="1" si="14"/>
        <v>6.0474101855199081E-3</v>
      </c>
      <c r="JK38" s="14">
        <f t="shared" ca="1" si="15"/>
        <v>1.4320872096899596E-4</v>
      </c>
      <c r="JL38" s="17">
        <f t="shared" ca="1" si="18"/>
        <v>1.1966984623078445E-2</v>
      </c>
      <c r="JM38" s="15" t="str">
        <f t="shared" ca="1" si="16"/>
        <v>[ -2,03% ; 2,76% ]</v>
      </c>
      <c r="JN38" s="17">
        <f t="shared" ca="1" si="17"/>
        <v>1.5317740317540409E-2</v>
      </c>
      <c r="LY38" s="1"/>
    </row>
    <row r="39" spans="1:337" x14ac:dyDescent="0.25">
      <c r="A39" s="4">
        <v>10</v>
      </c>
      <c r="B39" s="9">
        <f ca="1">IF(OR(B12="",B$28&lt;$A39),"",B12/OFFSET(SSAutESP!$A$2,MATCH(B$29,SSAutESP!$A$2:$A$500)+$A39-1,1)-1)</f>
        <v>-2.4798943437760457E-3</v>
      </c>
      <c r="C39" s="9">
        <f ca="1">IF(OR(C12="",C$28&lt;$A39),"",C12/OFFSET(SSAutESP!$A$2,MATCH(C$29,SSAutESP!$A$2:$A$500)+$A39-1,1)-1)</f>
        <v>3.703290210343102E-3</v>
      </c>
      <c r="D39" s="9">
        <f ca="1">IF(OR(D12="",D$28&lt;$A39),"",D12/OFFSET(SSAutESP!$A$2,MATCH(D$29,SSAutESP!$A$2:$A$500)+$A39-1,1)-1)</f>
        <v>5.713467675960926E-3</v>
      </c>
      <c r="E39" s="9">
        <f ca="1">IF(OR(E12="",E$28&lt;$A39),"",E12/OFFSET(SSAutESP!$A$2,MATCH(E$29,SSAutESP!$A$2:$A$500)+$A39-1,1)-1)</f>
        <v>6.4825673410497942E-3</v>
      </c>
      <c r="F39" s="9">
        <f ca="1">IF(OR(F12="",F$28&lt;$A39),"",F12/OFFSET(SSAutESP!$A$2,MATCH(F$29,SSAutESP!$A$2:$A$500)+$A39-1,1)-1)</f>
        <v>7.0159409133951911E-3</v>
      </c>
      <c r="G39" s="9">
        <f ca="1">IF(OR(G12="",G$28&lt;$A39),"",G12/OFFSET(SSAutESP!$A$2,MATCH(G$29,SSAutESP!$A$2:$A$500)+$A39-1,1)-1)</f>
        <v>3.8260588731715561E-3</v>
      </c>
      <c r="H39" s="9">
        <f ca="1">IF(OR(H12="",H$28&lt;$A39),"",H12/OFFSET(SSAutESP!$A$2,MATCH(H$29,SSAutESP!$A$2:$A$500)+$A39-1,1)-1)</f>
        <v>4.9167571736208338E-3</v>
      </c>
      <c r="I39" s="9">
        <f ca="1">IF(OR(I12="",I$28&lt;$A39),"",I12/OFFSET(SSAutESP!$A$2,MATCH(I$29,SSAutESP!$A$2:$A$500)+$A39-1,1)-1)</f>
        <v>3.3256218512180968E-3</v>
      </c>
      <c r="J39" s="9">
        <f ca="1">IF(OR(J12="",J$28&lt;$A39),"",J12/OFFSET(SSAutESP!$A$2,MATCH(J$29,SSAutESP!$A$2:$A$500)+$A39-1,1)-1)</f>
        <v>7.6970443281898504E-4</v>
      </c>
      <c r="K39" s="9">
        <f ca="1">IF(OR(K12="",K$28&lt;$A39),"",K12/OFFSET(SSAutESP!$A$2,MATCH(K$29,SSAutESP!$A$2:$A$500)+$A39-1,1)-1)</f>
        <v>8.9032343137707137E-4</v>
      </c>
      <c r="L39" s="9">
        <f ca="1">IF(OR(L12="",L$28&lt;$A39),"",L12/OFFSET(SSAutESP!$A$2,MATCH(L$29,SSAutESP!$A$2:$A$500)+$A39-1,1)-1)</f>
        <v>1.8806513104936418E-3</v>
      </c>
      <c r="M39" s="9">
        <f ca="1">IF(OR(M12="",M$28&lt;$A39),"",M12/OFFSET(SSAutESP!$A$2,MATCH(M$29,SSAutESP!$A$2:$A$500)+$A39-1,1)-1)</f>
        <v>3.5437415160828323E-3</v>
      </c>
      <c r="N39" s="9">
        <f ca="1">IF(OR(N12="",N$28&lt;$A39),"",N12/OFFSET(SSAutESP!$A$2,MATCH(N$29,SSAutESP!$A$2:$A$500)+$A39-1,1)-1)</f>
        <v>7.4627678675927012E-3</v>
      </c>
      <c r="O39" s="9">
        <f ca="1">IF(OR(O12="",O$28&lt;$A39),"",O12/OFFSET(SSAutESP!$A$2,MATCH(O$29,SSAutESP!$A$2:$A$500)+$A39-1,1)-1)</f>
        <v>8.5480565009787846E-3</v>
      </c>
      <c r="P39" s="9">
        <f ca="1">IF(OR(P12="",P$28&lt;$A39),"",P12/OFFSET(SSAutESP!$A$2,MATCH(P$29,SSAutESP!$A$2:$A$500)+$A39-1,1)-1)</f>
        <v>5.5694750464136966E-3</v>
      </c>
      <c r="Q39" s="9">
        <f ca="1">IF(OR(Q12="",Q$28&lt;$A39),"",Q12/OFFSET(SSAutESP!$A$2,MATCH(Q$29,SSAutESP!$A$2:$A$500)+$A39-1,1)-1)</f>
        <v>4.021360187104861E-3</v>
      </c>
      <c r="R39" s="9">
        <f ca="1">IF(OR(R12="",R$28&lt;$A39),"",R12/OFFSET(SSAutESP!$A$2,MATCH(R$29,SSAutESP!$A$2:$A$500)+$A39-1,1)-1)</f>
        <v>1.6452274924547705E-3</v>
      </c>
      <c r="S39" s="9">
        <f ca="1">IF(OR(S12="",S$28&lt;$A39),"",S12/OFFSET(SSAutESP!$A$2,MATCH(S$29,SSAutESP!$A$2:$A$500)+$A39-1,1)-1)</f>
        <v>1.6881158358126314E-3</v>
      </c>
      <c r="T39" s="9">
        <f ca="1">IF(OR(T12="",T$28&lt;$A39),"",T12/OFFSET(SSAutESP!$A$2,MATCH(T$29,SSAutESP!$A$2:$A$500)+$A39-1,1)-1)</f>
        <v>2.6074642994624586E-3</v>
      </c>
      <c r="U39" s="9">
        <f ca="1">IF(OR(U12="",U$28&lt;$A39),"",U12/OFFSET(SSAutESP!$A$2,MATCH(U$29,SSAutESP!$A$2:$A$500)+$A39-1,1)-1)</f>
        <v>-4.4838368689303909E-4</v>
      </c>
      <c r="V39" s="9">
        <f ca="1">IF(OR(V12="",V$28&lt;$A39),"",V12/OFFSET(SSAutESP!$A$2,MATCH(V$29,SSAutESP!$A$2:$A$500)+$A39-1,1)-1)</f>
        <v>-1.328466872747458E-3</v>
      </c>
      <c r="W39" s="9">
        <f ca="1">IF(OR(W12="",W$28&lt;$A39),"",W12/OFFSET(SSAutESP!$A$2,MATCH(W$29,SSAutESP!$A$2:$A$500)+$A39-1,1)-1)</f>
        <v>3.9868211595273095E-4</v>
      </c>
      <c r="X39" s="9">
        <f ca="1">IF(OR(X12="",X$28&lt;$A39),"",X12/OFFSET(SSAutESP!$A$2,MATCH(X$29,SSAutESP!$A$2:$A$500)+$A39-1,1)-1)</f>
        <v>1.1946705466292507E-3</v>
      </c>
      <c r="Y39" s="9">
        <f ca="1">IF(OR(Y12="",Y$28&lt;$A39),"",Y12/OFFSET(SSAutESP!$A$2,MATCH(Y$29,SSAutESP!$A$2:$A$500)+$A39-1,1)-1)</f>
        <v>1.5795383783334671E-3</v>
      </c>
      <c r="Z39" s="9">
        <f ca="1">IF(OR(Z12="",Z$28&lt;$A39),"",Z12/OFFSET(SSAutESP!$A$2,MATCH(Z$29,SSAutESP!$A$2:$A$500)+$A39-1,1)-1)</f>
        <v>1.4196996913593551E-3</v>
      </c>
      <c r="AA39" s="9">
        <f ca="1">IF(OR(AA12="",AA$28&lt;$A39),"",AA12/OFFSET(SSAutESP!$A$2,MATCH(AA$29,SSAutESP!$A$2:$A$500)+$A39-1,1)-1)</f>
        <v>1.8357489724294407E-3</v>
      </c>
      <c r="AB39" s="9">
        <f ca="1">IF(OR(AB12="",AB$28&lt;$A39),"",AB12/OFFSET(SSAutESP!$A$2,MATCH(AB$29,SSAutESP!$A$2:$A$500)+$A39-1,1)-1)</f>
        <v>1.2199393026302019E-3</v>
      </c>
      <c r="AC39" s="9">
        <f ca="1">IF(OR(AC12="",AC$28&lt;$A39),"",AC12/OFFSET(SSAutESP!$A$2,MATCH(AC$29,SSAutESP!$A$2:$A$500)+$A39-1,1)-1)</f>
        <v>-3.1646369358677706E-3</v>
      </c>
      <c r="AD39" s="9">
        <f ca="1">IF(OR(AD12="",AD$28&lt;$A39),"",AD12/OFFSET(SSAutESP!$A$2,MATCH(AD$29,SSAutESP!$A$2:$A$500)+$A39-1,1)-1)</f>
        <v>-4.4968747467585279E-3</v>
      </c>
      <c r="AE39" s="9">
        <f ca="1">IF(OR(AE12="",AE$28&lt;$A39),"",AE12/OFFSET(SSAutESP!$A$2,MATCH(AE$29,SSAutESP!$A$2:$A$500)+$A39-1,1)-1)</f>
        <v>-3.4999253878653658E-3</v>
      </c>
      <c r="AF39" s="9">
        <f ca="1">IF(OR(AF12="",AF$28&lt;$A39),"",AF12/OFFSET(SSAutESP!$A$2,MATCH(AF$29,SSAutESP!$A$2:$A$500)+$A39-1,1)-1)</f>
        <v>-6.0679334306553701E-3</v>
      </c>
      <c r="AG39" s="9">
        <f ca="1">IF(OR(AG12="",AG$28&lt;$A39),"",AG12/OFFSET(SSAutESP!$A$2,MATCH(AG$29,SSAutESP!$A$2:$A$500)+$A39-1,1)-1)</f>
        <v>-8.680400042962555E-3</v>
      </c>
      <c r="AH39" s="9">
        <f ca="1">IF(OR(AH12="",AH$28&lt;$A39),"",AH12/OFFSET(SSAutESP!$A$2,MATCH(AH$29,SSAutESP!$A$2:$A$500)+$A39-1,1)-1)</f>
        <v>-1.1773350319166487E-2</v>
      </c>
      <c r="AI39" s="9">
        <f ca="1">IF(OR(AI12="",AI$28&lt;$A39),"",AI12/OFFSET(SSAutESP!$A$2,MATCH(AI$29,SSAutESP!$A$2:$A$500)+$A39-1,1)-1)</f>
        <v>-8.9170496534934918E-3</v>
      </c>
      <c r="AJ39" s="9">
        <f ca="1">IF(OR(AJ12="",AJ$28&lt;$A39),"",AJ12/OFFSET(SSAutESP!$A$2,MATCH(AJ$29,SSAutESP!$A$2:$A$500)+$A39-1,1)-1)</f>
        <v>-6.1905460111901789E-3</v>
      </c>
      <c r="AK39" s="9">
        <f ca="1">IF(OR(AK12="",AK$28&lt;$A39),"",AK12/OFFSET(SSAutESP!$A$2,MATCH(AK$29,SSAutESP!$A$2:$A$500)+$A39-1,1)-1)</f>
        <v>-7.0618316567484518E-3</v>
      </c>
      <c r="AL39" s="9">
        <f ca="1">IF(OR(AL12="",AL$28&lt;$A39),"",AL12/OFFSET(SSAutESP!$A$2,MATCH(AL$29,SSAutESP!$A$2:$A$500)+$A39-1,1)-1)</f>
        <v>-5.9807066775047213E-3</v>
      </c>
      <c r="AM39" s="9">
        <f ca="1">IF(OR(AM12="",AM$28&lt;$A39),"",AM12/OFFSET(SSAutESP!$A$2,MATCH(AM$29,SSAutESP!$A$2:$A$500)+$A39-1,1)-1)</f>
        <v>-3.0565357764084089E-3</v>
      </c>
      <c r="AN39" s="9">
        <f ca="1">IF(OR(AN12="",AN$28&lt;$A39),"",AN12/OFFSET(SSAutESP!$A$2,MATCH(AN$29,SSAutESP!$A$2:$A$500)+$A39-1,1)-1)</f>
        <v>2.671226760371237E-4</v>
      </c>
      <c r="AO39" s="9">
        <f ca="1">IF(OR(AO12="",AO$28&lt;$A39),"",AO12/OFFSET(SSAutESP!$A$2,MATCH(AO$29,SSAutESP!$A$2:$A$500)+$A39-1,1)-1)</f>
        <v>3.2170144768557396E-3</v>
      </c>
      <c r="AP39" s="9">
        <f ca="1">IF(OR(AP12="",AP$28&lt;$A39),"",AP12/OFFSET(SSAutESP!$A$2,MATCH(AP$29,SSAutESP!$A$2:$A$500)+$A39-1,1)-1)</f>
        <v>5.0542772212773812E-3</v>
      </c>
      <c r="AQ39" s="9">
        <f ca="1">IF(OR(AQ12="",AQ$28&lt;$A39),"",AQ12/OFFSET(SSAutESP!$A$2,MATCH(AQ$29,SSAutESP!$A$2:$A$500)+$A39-1,1)-1)</f>
        <v>7.1872834697586097E-3</v>
      </c>
      <c r="AR39" s="9">
        <f ca="1">IF(OR(AR12="",AR$28&lt;$A39),"",AR12/OFFSET(SSAutESP!$A$2,MATCH(AR$29,SSAutESP!$A$2:$A$500)+$A39-1,1)-1)</f>
        <v>1.3718069878626338E-2</v>
      </c>
      <c r="AS39" s="9">
        <f ca="1">IF(OR(AS12="",AS$28&lt;$A39),"",AS12/OFFSET(SSAutESP!$A$2,MATCH(AS$29,SSAutESP!$A$2:$A$500)+$A39-1,1)-1)</f>
        <v>1.9460108554127498E-2</v>
      </c>
      <c r="AT39" s="9">
        <f ca="1">IF(OR(AT12="",AT$28&lt;$A39),"",AT12/OFFSET(SSAutESP!$A$2,MATCH(AT$29,SSAutESP!$A$2:$A$500)+$A39-1,1)-1)</f>
        <v>1.9064508680470382E-2</v>
      </c>
      <c r="AU39" s="9">
        <f ca="1">IF(OR(AU12="",AU$28&lt;$A39),"",AU12/OFFSET(SSAutESP!$A$2,MATCH(AU$29,SSAutESP!$A$2:$A$500)+$A39-1,1)-1)</f>
        <v>2.7546042859045272E-2</v>
      </c>
      <c r="AV39" s="9">
        <f ca="1">IF(OR(AV12="",AV$28&lt;$A39),"",AV12/OFFSET(SSAutESP!$A$2,MATCH(AV$29,SSAutESP!$A$2:$A$500)+$A39-1,1)-1)</f>
        <v>3.3887317376899651E-2</v>
      </c>
      <c r="AW39" s="9">
        <f ca="1">IF(OR(AW12="",AW$28&lt;$A39),"",AW12/OFFSET(SSAutESP!$A$2,MATCH(AW$29,SSAutESP!$A$2:$A$500)+$A39-1,1)-1)</f>
        <v>3.5131992126999689E-2</v>
      </c>
      <c r="AX39" s="9">
        <f ca="1">IF(OR(AX12="",AX$28&lt;$A39),"",AX12/OFFSET(SSAutESP!$A$2,MATCH(AX$29,SSAutESP!$A$2:$A$500)+$A39-1,1)-1)</f>
        <v>3.8128388418380288E-2</v>
      </c>
      <c r="AY39" s="9">
        <f ca="1">IF(OR(AY12="",AY$28&lt;$A39),"",AY12/OFFSET(SSAutESP!$A$2,MATCH(AY$29,SSAutESP!$A$2:$A$500)+$A39-1,1)-1)</f>
        <v>4.3379251757204251E-2</v>
      </c>
      <c r="AZ39" s="9">
        <f ca="1">IF(OR(AZ12="",AZ$28&lt;$A39),"",AZ12/OFFSET(SSAutESP!$A$2,MATCH(AZ$29,SSAutESP!$A$2:$A$500)+$A39-1,1)-1)</f>
        <v>4.5335566240369607E-2</v>
      </c>
      <c r="BA39" s="9">
        <f ca="1">IF(OR(BA12="",BA$28&lt;$A39),"",BA12/OFFSET(SSAutESP!$A$2,MATCH(BA$29,SSAutESP!$A$2:$A$500)+$A39-1,1)-1)</f>
        <v>4.6813246828481203E-2</v>
      </c>
      <c r="BB39" s="9">
        <f ca="1">IF(OR(BB12="",BB$28&lt;$A39),"",BB12/OFFSET(SSAutESP!$A$2,MATCH(BB$29,SSAutESP!$A$2:$A$500)+$A39-1,1)-1)</f>
        <v>3.8474740771224925E-2</v>
      </c>
      <c r="BC39" s="9">
        <f ca="1">IF(OR(BC12="",BC$28&lt;$A39),"",BC12/OFFSET(SSAutESP!$A$2,MATCH(BC$29,SSAutESP!$A$2:$A$500)+$A39-1,1)-1)</f>
        <v>1.9821371344696859E-2</v>
      </c>
      <c r="BD39" s="9">
        <f ca="1">IF(OR(BD12="",BD$28&lt;$A39),"",BD12/OFFSET(SSAutESP!$A$2,MATCH(BD$29,SSAutESP!$A$2:$A$500)+$A39-1,1)-1)</f>
        <v>2.5986054115467061E-2</v>
      </c>
      <c r="BE39" s="9">
        <f ca="1">IF(OR(BE12="",BE$28&lt;$A39),"",BE12/OFFSET(SSAutESP!$A$2,MATCH(BE$29,SSAutESP!$A$2:$A$500)+$A39-1,1)-1)</f>
        <v>2.0058242166655749E-2</v>
      </c>
      <c r="BF39" s="9">
        <f ca="1">IF(OR(BF12="",BF$28&lt;$A39),"",BF12/OFFSET(SSAutESP!$A$2,MATCH(BF$29,SSAutESP!$A$2:$A$500)+$A39-1,1)-1)</f>
        <v>1.6841922952852029E-2</v>
      </c>
      <c r="BG39" s="9">
        <f ca="1">IF(OR(BG12="",BG$28&lt;$A39),"",BG12/OFFSET(SSAutESP!$A$2,MATCH(BG$29,SSAutESP!$A$2:$A$500)+$A39-1,1)-1)</f>
        <v>3.0163025490093975E-2</v>
      </c>
      <c r="BH39" s="9">
        <f ca="1">IF(OR(BH12="",BH$28&lt;$A39),"",BH12/OFFSET(SSAutESP!$A$2,MATCH(BH$29,SSAutESP!$A$2:$A$500)+$A39-1,1)-1)</f>
        <v>1.990470146330181E-2</v>
      </c>
      <c r="BI39" s="9">
        <f ca="1">IF(OR(BI12="",BI$28&lt;$A39),"",BI12/OFFSET(SSAutESP!$A$2,MATCH(BI$29,SSAutESP!$A$2:$A$500)+$A39-1,1)-1)</f>
        <v>8.989290606614242E-3</v>
      </c>
      <c r="BJ39" s="9">
        <f ca="1">IF(OR(BJ12="",BJ$28&lt;$A39),"",BJ12/OFFSET(SSAutESP!$A$2,MATCH(BJ$29,SSAutESP!$A$2:$A$500)+$A39-1,1)-1)</f>
        <v>7.6330058738907081E-3</v>
      </c>
      <c r="BK39" s="9">
        <f ca="1">IF(OR(BK12="",BK$28&lt;$A39),"",BK12/OFFSET(SSAutESP!$A$2,MATCH(BK$29,SSAutESP!$A$2:$A$500)+$A39-1,1)-1)</f>
        <v>-2.7754225170413704E-2</v>
      </c>
      <c r="BL39" s="9">
        <f ca="1">IF(OR(BL12="",BL$28&lt;$A39),"",BL12/OFFSET(SSAutESP!$A$2,MATCH(BL$29,SSAutESP!$A$2:$A$500)+$A39-1,1)-1)</f>
        <v>-4.895553392598706E-2</v>
      </c>
      <c r="BM39" s="9">
        <f ca="1">IF(OR(BM12="",BM$28&lt;$A39),"",BM12/OFFSET(SSAutESP!$A$2,MATCH(BM$29,SSAutESP!$A$2:$A$500)+$A39-1,1)-1)</f>
        <v>-4.7480592265664812E-2</v>
      </c>
      <c r="BN39" s="9">
        <f ca="1">IF(OR(BN12="",BN$28&lt;$A39),"",BN12/OFFSET(SSAutESP!$A$2,MATCH(BN$29,SSAutESP!$A$2:$A$500)+$A39-1,1)-1)</f>
        <v>-3.1675911758133002E-2</v>
      </c>
      <c r="BO39" s="9">
        <f ca="1">IF(OR(BO12="",BO$28&lt;$A39),"",BO12/OFFSET(SSAutESP!$A$2,MATCH(BO$29,SSAutESP!$A$2:$A$500)+$A39-1,1)-1)</f>
        <v>-2.4845654079441504E-2</v>
      </c>
      <c r="BP39" s="9">
        <f ca="1">IF(OR(BP12="",BP$28&lt;$A39),"",BP12/OFFSET(SSAutESP!$A$2,MATCH(BP$29,SSAutESP!$A$2:$A$500)+$A39-1,1)-1)</f>
        <v>-2.0203404479095188E-2</v>
      </c>
      <c r="BQ39" s="9">
        <f ca="1">IF(OR(BQ12="",BQ$28&lt;$A39),"",BQ12/OFFSET(SSAutESP!$A$2,MATCH(BQ$29,SSAutESP!$A$2:$A$500)+$A39-1,1)-1)</f>
        <v>-2.5186898497129184E-2</v>
      </c>
      <c r="BR39" s="9">
        <f ca="1">IF(OR(BR12="",BR$28&lt;$A39),"",BR12/OFFSET(SSAutESP!$A$2,MATCH(BR$29,SSAutESP!$A$2:$A$500)+$A39-1,1)-1)</f>
        <v>-1.9470564346470542E-2</v>
      </c>
      <c r="BS39" s="9">
        <f ca="1">IF(OR(BS12="",BS$28&lt;$A39),"",BS12/OFFSET(SSAutESP!$A$2,MATCH(BS$29,SSAutESP!$A$2:$A$500)+$A39-1,1)-1)</f>
        <v>-5.2976243869430339E-3</v>
      </c>
      <c r="BT39" s="9">
        <f ca="1">IF(OR(BT12="",BT$28&lt;$A39),"",BT12/OFFSET(SSAutESP!$A$2,MATCH(BT$29,SSAutESP!$A$2:$A$500)+$A39-1,1)-1)</f>
        <v>-1.4438691595467845E-2</v>
      </c>
      <c r="BU39" s="9">
        <f ca="1">IF(OR(BU12="",BU$28&lt;$A39),"",BU12/OFFSET(SSAutESP!$A$2,MATCH(BU$29,SSAutESP!$A$2:$A$500)+$A39-1,1)-1)</f>
        <v>-1.716621036633359E-2</v>
      </c>
      <c r="BV39" s="9">
        <f ca="1">IF(OR(BV12="",BV$28&lt;$A39),"",BV12/OFFSET(SSAutESP!$A$2,MATCH(BV$29,SSAutESP!$A$2:$A$500)+$A39-1,1)-1)</f>
        <v>-9.6972853141564785E-3</v>
      </c>
      <c r="BW39" s="9">
        <f ca="1">IF(OR(BW12="",BW$28&lt;$A39),"",BW12/OFFSET(SSAutESP!$A$2,MATCH(BW$29,SSAutESP!$A$2:$A$500)+$A39-1,1)-1)</f>
        <v>2.9752853951825475E-3</v>
      </c>
      <c r="BX39" s="9">
        <f ca="1">IF(OR(BX12="",BX$28&lt;$A39),"",BX12/OFFSET(SSAutESP!$A$2,MATCH(BX$29,SSAutESP!$A$2:$A$500)+$A39-1,1)-1)</f>
        <v>-1.1741456961422814E-2</v>
      </c>
      <c r="BY39" s="9">
        <f ca="1">IF(OR(BY12="",BY$28&lt;$A39),"",BY12/OFFSET(SSAutESP!$A$2,MATCH(BY$29,SSAutESP!$A$2:$A$500)+$A39-1,1)-1)</f>
        <v>-7.8034071128042504E-3</v>
      </c>
      <c r="BZ39" s="9">
        <f ca="1">IF(OR(BZ12="",BZ$28&lt;$A39),"",BZ12/OFFSET(SSAutESP!$A$2,MATCH(BZ$29,SSAutESP!$A$2:$A$500)+$A39-1,1)-1)</f>
        <v>-3.1241615161052838E-3</v>
      </c>
      <c r="CA39" s="9">
        <f ca="1">IF(OR(CA12="",CA$28&lt;$A39),"",CA12/OFFSET(SSAutESP!$A$2,MATCH(CA$29,SSAutESP!$A$2:$A$500)+$A39-1,1)-1)</f>
        <v>2.7035868423035403E-3</v>
      </c>
      <c r="CB39" s="9">
        <f ca="1">IF(OR(CB12="",CB$28&lt;$A39),"",CB12/OFFSET(SSAutESP!$A$2,MATCH(CB$29,SSAutESP!$A$2:$A$500)+$A39-1,1)-1)</f>
        <v>3.118877161363498E-3</v>
      </c>
      <c r="CC39" s="9">
        <f ca="1">IF(OR(CC12="",CC$28&lt;$A39),"",CC12/OFFSET(SSAutESP!$A$2,MATCH(CC$29,SSAutESP!$A$2:$A$500)+$A39-1,1)-1)</f>
        <v>-1.9579311102928543E-3</v>
      </c>
      <c r="CD39" s="9">
        <f ca="1">IF(OR(CD12="",CD$28&lt;$A39),"",CD12/OFFSET(SSAutESP!$A$2,MATCH(CD$29,SSAutESP!$A$2:$A$500)+$A39-1,1)-1)</f>
        <v>-1.195207826892497E-2</v>
      </c>
      <c r="CE39" s="9">
        <f ca="1">IF(OR(CE12="",CE$28&lt;$A39),"",CE12/OFFSET(SSAutESP!$A$2,MATCH(CE$29,SSAutESP!$A$2:$A$500)+$A39-1,1)-1)</f>
        <v>-5.3063248476066249E-3</v>
      </c>
      <c r="CF39" s="9">
        <f ca="1">IF(OR(CF12="",CF$28&lt;$A39),"",CF12/OFFSET(SSAutESP!$A$2,MATCH(CF$29,SSAutESP!$A$2:$A$500)+$A39-1,1)-1)</f>
        <v>-1.6890089564557398E-3</v>
      </c>
      <c r="CG39" s="9">
        <f ca="1">IF(OR(CG12="",CG$28&lt;$A39),"",CG12/OFFSET(SSAutESP!$A$2,MATCH(CG$29,SSAutESP!$A$2:$A$500)+$A39-1,1)-1)</f>
        <v>-1.8704633762599565E-3</v>
      </c>
      <c r="CH39" s="9">
        <f ca="1">IF(OR(CH12="",CH$28&lt;$A39),"",CH12/OFFSET(SSAutESP!$A$2,MATCH(CH$29,SSAutESP!$A$2:$A$500)+$A39-1,1)-1)</f>
        <v>-5.1703979805298728E-3</v>
      </c>
      <c r="CI39" s="9">
        <f ca="1">IF(OR(CI12="",CI$28&lt;$A39),"",CI12/OFFSET(SSAutESP!$A$2,MATCH(CI$29,SSAutESP!$A$2:$A$500)+$A39-1,1)-1)</f>
        <v>7.5233551442099866E-4</v>
      </c>
      <c r="CJ39" s="9">
        <f ca="1">IF(OR(CJ12="",CJ$28&lt;$A39),"",CJ12/OFFSET(SSAutESP!$A$2,MATCH(CJ$29,SSAutESP!$A$2:$A$500)+$A39-1,1)-1)</f>
        <v>-4.7680542570653905E-3</v>
      </c>
      <c r="CK39" s="9">
        <f ca="1">IF(OR(CK12="",CK$28&lt;$A39),"",CK12/OFFSET(SSAutESP!$A$2,MATCH(CK$29,SSAutESP!$A$2:$A$500)+$A39-1,1)-1)</f>
        <v>1.626343073225156E-2</v>
      </c>
      <c r="CL39" s="9">
        <f ca="1">IF(OR(CL12="",CL$28&lt;$A39),"",CL12/OFFSET(SSAutESP!$A$2,MATCH(CL$29,SSAutESP!$A$2:$A$500)+$A39-1,1)-1)</f>
        <v>1.3293908761677242E-2</v>
      </c>
      <c r="CM39" s="9">
        <f ca="1">IF(OR(CM12="",CM$28&lt;$A39),"",CM12/OFFSET(SSAutESP!$A$2,MATCH(CM$29,SSAutESP!$A$2:$A$500)+$A39-1,1)-1)</f>
        <v>1.2745267341162769E-2</v>
      </c>
      <c r="CN39" s="9">
        <f ca="1">IF(OR(CN12="",CN$28&lt;$A39),"",CN12/OFFSET(SSAutESP!$A$2,MATCH(CN$29,SSAutESP!$A$2:$A$500)+$A39-1,1)-1)</f>
        <v>5.4016111961807667E-3</v>
      </c>
      <c r="CO39" s="9">
        <f ca="1">IF(OR(CO12="",CO$28&lt;$A39),"",CO12/OFFSET(SSAutESP!$A$2,MATCH(CO$29,SSAutESP!$A$2:$A$500)+$A39-1,1)-1)</f>
        <v>4.4764520335074387E-3</v>
      </c>
      <c r="CP39" s="9">
        <f ca="1">IF(OR(CP12="",CP$28&lt;$A39),"",CP12/OFFSET(SSAutESP!$A$2,MATCH(CP$29,SSAutESP!$A$2:$A$500)+$A39-1,1)-1)</f>
        <v>8.7716814012717137E-4</v>
      </c>
      <c r="CQ39" s="9">
        <f ca="1">IF(OR(CQ12="",CQ$28&lt;$A39),"",CQ12/OFFSET(SSAutESP!$A$2,MATCH(CQ$29,SSAutESP!$A$2:$A$500)+$A39-1,1)-1)</f>
        <v>6.266392390822384E-3</v>
      </c>
      <c r="CR39" s="9">
        <f ca="1">IF(OR(CR12="",CR$28&lt;$A39),"",CR12/OFFSET(SSAutESP!$A$2,MATCH(CR$29,SSAutESP!$A$2:$A$500)+$A39-1,1)-1)</f>
        <v>5.0275971476816395E-3</v>
      </c>
      <c r="CS39" s="9">
        <f ca="1">IF(OR(CS12="",CS$28&lt;$A39),"",CS12/OFFSET(SSAutESP!$A$2,MATCH(CS$29,SSAutESP!$A$2:$A$500)+$A39-1,1)-1)</f>
        <v>-4.1676899290243874E-5</v>
      </c>
      <c r="CT39" s="9">
        <f ca="1">IF(OR(CT12="",CT$28&lt;$A39),"",CT12/OFFSET(SSAutESP!$A$2,MATCH(CT$29,SSAutESP!$A$2:$A$500)+$A39-1,1)-1)</f>
        <v>3.9890893276961492E-4</v>
      </c>
      <c r="CU39" s="9">
        <f ca="1">IF(OR(CU12="",CU$28&lt;$A39),"",CU12/OFFSET(SSAutESP!$A$2,MATCH(CU$29,SSAutESP!$A$2:$A$500)+$A39-1,1)-1)</f>
        <v>-1.4807892069769624E-2</v>
      </c>
      <c r="CV39" s="9">
        <f ca="1">IF(OR(CV12="",CV$28&lt;$A39),"",CV12/OFFSET(SSAutESP!$A$2,MATCH(CV$29,SSAutESP!$A$2:$A$500)+$A39-1,1)-1)</f>
        <v>1.765249225949006E-4</v>
      </c>
      <c r="CW39" s="9">
        <f ca="1">IF(OR(CW12="",CW$28&lt;$A39),"",CW12/OFFSET(SSAutESP!$A$2,MATCH(CW$29,SSAutESP!$A$2:$A$500)+$A39-1,1)-1)</f>
        <v>3.4624902261675139E-3</v>
      </c>
      <c r="CX39" s="9">
        <f ca="1">IF(OR(CX12="",CX$28&lt;$A39),"",CX12/OFFSET(SSAutESP!$A$2,MATCH(CX$29,SSAutESP!$A$2:$A$500)+$A39-1,1)-1)</f>
        <v>7.3800522962528259E-3</v>
      </c>
      <c r="CY39" s="9">
        <f ca="1">IF(OR(CY12="",CY$28&lt;$A39),"",CY12/OFFSET(SSAutESP!$A$2,MATCH(CY$29,SSAutESP!$A$2:$A$500)+$A39-1,1)-1)</f>
        <v>6.8253230320833858E-3</v>
      </c>
      <c r="CZ39" s="9">
        <f ca="1">IF(OR(CZ12="",CZ$28&lt;$A39),"",CZ12/OFFSET(SSAutESP!$A$2,MATCH(CZ$29,SSAutESP!$A$2:$A$500)+$A39-1,1)-1)</f>
        <v>4.9610274039417757E-3</v>
      </c>
      <c r="DA39" s="9">
        <f ca="1">IF(OR(DA12="",DA$28&lt;$A39),"",DA12/OFFSET(SSAutESP!$A$2,MATCH(DA$29,SSAutESP!$A$2:$A$500)+$A39-1,1)-1)</f>
        <v>1.6781902030464924E-3</v>
      </c>
      <c r="DB39" s="9">
        <f ca="1">IF(OR(DB12="",DB$28&lt;$A39),"",DB12/OFFSET(SSAutESP!$A$2,MATCH(DB$29,SSAutESP!$A$2:$A$500)+$A39-1,1)-1)</f>
        <v>-1.2272674765723468E-2</v>
      </c>
      <c r="DC39" s="9">
        <f ca="1">IF(OR(DC12="",DC$28&lt;$A39),"",DC12/OFFSET(SSAutESP!$A$2,MATCH(DC$29,SSAutESP!$A$2:$A$500)+$A39-1,1)-1)</f>
        <v>-1.5380250245054183E-2</v>
      </c>
      <c r="DD39" s="9">
        <f ca="1">IF(OR(DD12="",DD$28&lt;$A39),"",DD12/OFFSET(SSAutESP!$A$2,MATCH(DD$29,SSAutESP!$A$2:$A$500)+$A39-1,1)-1)</f>
        <v>-1.1095468900942707E-2</v>
      </c>
      <c r="DE39" s="9">
        <f ca="1">IF(OR(DE12="",DE$28&lt;$A39),"",DE12/OFFSET(SSAutESP!$A$2,MATCH(DE$29,SSAutESP!$A$2:$A$500)+$A39-1,1)-1)</f>
        <v>-1.7962269446707202E-2</v>
      </c>
      <c r="DF39" s="9">
        <f ca="1">IF(OR(DF12="",DF$28&lt;$A39),"",DF12/OFFSET(SSAutESP!$A$2,MATCH(DF$29,SSAutESP!$A$2:$A$500)+$A39-1,1)-1)</f>
        <v>-1.1506681289719434E-2</v>
      </c>
      <c r="DG39" s="9">
        <f ca="1">IF(OR(DG12="",DG$28&lt;$A39),"",DG12/OFFSET(SSAutESP!$A$2,MATCH(DG$29,SSAutESP!$A$2:$A$500)+$A39-1,1)-1)</f>
        <v>-1.8170672361231599E-2</v>
      </c>
      <c r="DH39" s="9">
        <f ca="1">IF(OR(DH12="",DH$28&lt;$A39),"",DH12/OFFSET(SSAutESP!$A$2,MATCH(DH$29,SSAutESP!$A$2:$A$500)+$A39-1,1)-1)</f>
        <v>-2.8420895570396065E-2</v>
      </c>
      <c r="DI39" s="9">
        <f ca="1">IF(OR(DI12="",DI$28&lt;$A39),"",DI12/OFFSET(SSAutESP!$A$2,MATCH(DI$29,SSAutESP!$A$2:$A$500)+$A39-1,1)-1)</f>
        <v>-1.9617483198446917E-2</v>
      </c>
      <c r="DJ39" s="9">
        <f ca="1">IF(OR(DJ12="",DJ$28&lt;$A39),"",DJ12/OFFSET(SSAutESP!$A$2,MATCH(DJ$29,SSAutESP!$A$2:$A$500)+$A39-1,1)-1)</f>
        <v>-1.0636105003890783E-2</v>
      </c>
      <c r="DK39" s="9">
        <f ca="1">IF(OR(DK12="",DK$28&lt;$A39),"",DK12/OFFSET(SSAutESP!$A$2,MATCH(DK$29,SSAutESP!$A$2:$A$500)+$A39-1,1)-1)</f>
        <v>-1.0387489722212484E-2</v>
      </c>
      <c r="DL39" s="9">
        <f ca="1">IF(OR(DL12="",DL$28&lt;$A39),"",DL12/OFFSET(SSAutESP!$A$2,MATCH(DL$29,SSAutESP!$A$2:$A$500)+$A39-1,1)-1)</f>
        <v>-5.8162140735759094E-3</v>
      </c>
      <c r="DM39" s="9">
        <f ca="1">IF(OR(DM12="",DM$28&lt;$A39),"",DM12/OFFSET(SSAutESP!$A$2,MATCH(DM$29,SSAutESP!$A$2:$A$500)+$A39-1,1)-1)</f>
        <v>-5.7017645012168439E-3</v>
      </c>
      <c r="DN39" s="9">
        <f ca="1">IF(OR(DN12="",DN$28&lt;$A39),"",DN12/OFFSET(SSAutESP!$A$2,MATCH(DN$29,SSAutESP!$A$2:$A$500)+$A39-1,1)-1)</f>
        <v>-2.5381410885936151E-2</v>
      </c>
      <c r="DO39" s="9">
        <f ca="1">IF(OR(DO12="",DO$28&lt;$A39),"",DO12/OFFSET(SSAutESP!$A$2,MATCH(DO$29,SSAutESP!$A$2:$A$500)+$A39-1,1)-1)</f>
        <v>-1.8058565912110969E-2</v>
      </c>
      <c r="DP39" s="9">
        <f ca="1">IF(OR(DP12="",DP$28&lt;$A39),"",DP12/OFFSET(SSAutESP!$A$2,MATCH(DP$29,SSAutESP!$A$2:$A$500)+$A39-1,1)-1)</f>
        <v>-1.3768159533406488E-2</v>
      </c>
      <c r="DQ39" s="9">
        <f ca="1">IF(OR(DQ12="",DQ$28&lt;$A39),"",DQ12/OFFSET(SSAutESP!$A$2,MATCH(DQ$29,SSAutESP!$A$2:$A$500)+$A39-1,1)-1)</f>
        <v>-3.9462836168341342E-3</v>
      </c>
      <c r="DR39" s="9">
        <f ca="1">IF(OR(DR12="",DR$28&lt;$A39),"",DR12/OFFSET(SSAutESP!$A$2,MATCH(DR$29,SSAutESP!$A$2:$A$500)+$A39-1,1)-1)</f>
        <v>5.2384099631450631E-3</v>
      </c>
      <c r="DS39" s="9">
        <f ca="1">IF(OR(DS12="",DS$28&lt;$A39),"",DS12/OFFSET(SSAutESP!$A$2,MATCH(DS$29,SSAutESP!$A$2:$A$500)+$A39-1,1)-1)</f>
        <v>-7.1996160542764365E-3</v>
      </c>
      <c r="DT39" s="9">
        <f ca="1">IF(OR(DT12="",DT$28&lt;$A39),"",DT12/OFFSET(SSAutESP!$A$2,MATCH(DT$29,SSAutESP!$A$2:$A$500)+$A39-1,1)-1)</f>
        <v>-5.1160449298689459E-3</v>
      </c>
      <c r="DU39" s="9">
        <f ca="1">IF(OR(DU12="",DU$28&lt;$A39),"",DU12/OFFSET(SSAutESP!$A$2,MATCH(DU$29,SSAutESP!$A$2:$A$500)+$A39-1,1)-1)</f>
        <v>8.9727826823504664E-4</v>
      </c>
      <c r="DV39" s="9">
        <f ca="1">IF(OR(DV12="",DV$28&lt;$A39),"",DV12/OFFSET(SSAutESP!$A$2,MATCH(DV$29,SSAutESP!$A$2:$A$500)+$A39-1,1)-1)</f>
        <v>1.3909208082384383E-2</v>
      </c>
      <c r="DW39" s="9">
        <f ca="1">IF(OR(DW12="",DW$28&lt;$A39),"",DW12/OFFSET(SSAutESP!$A$2,MATCH(DW$29,SSAutESP!$A$2:$A$500)+$A39-1,1)-1)</f>
        <v>1.7359591630770499E-2</v>
      </c>
      <c r="DX39" s="9">
        <f ca="1">IF(OR(DX12="",DX$28&lt;$A39),"",DX12/OFFSET(SSAutESP!$A$2,MATCH(DX$29,SSAutESP!$A$2:$A$500)+$A39-1,1)-1)</f>
        <v>8.4361632579321721E-3</v>
      </c>
      <c r="DY39" s="9">
        <f ca="1">IF(OR(DY12="",DY$28&lt;$A39),"",DY12/OFFSET(SSAutESP!$A$2,MATCH(DY$29,SSAutESP!$A$2:$A$500)+$A39-1,1)-1)</f>
        <v>1.3775565584788207E-3</v>
      </c>
      <c r="DZ39" s="9">
        <f ca="1">IF(OR(DZ12="",DZ$28&lt;$A39),"",DZ12/OFFSET(SSAutESP!$A$2,MATCH(DZ$29,SSAutESP!$A$2:$A$500)+$A39-1,1)-1)</f>
        <v>-7.4186515131304809E-3</v>
      </c>
      <c r="EA39" s="9">
        <f ca="1">IF(OR(EA12="",EA$28&lt;$A39),"",EA12/OFFSET(SSAutESP!$A$2,MATCH(EA$29,SSAutESP!$A$2:$A$500)+$A39-1,1)-1)</f>
        <v>-8.06418832346667E-4</v>
      </c>
      <c r="EB39" s="9">
        <f ca="1">IF(OR(EB12="",EB$28&lt;$A39),"",EB12/OFFSET(SSAutESP!$A$2,MATCH(EB$29,SSAutESP!$A$2:$A$500)+$A39-1,1)-1)</f>
        <v>4.8519529848940479E-3</v>
      </c>
      <c r="EC39" s="9">
        <f ca="1">IF(OR(EC12="",EC$28&lt;$A39),"",EC12/OFFSET(SSAutESP!$A$2,MATCH(EC$29,SSAutESP!$A$2:$A$500)+$A39-1,1)-1)</f>
        <v>5.1702298748335096E-4</v>
      </c>
      <c r="ED39" s="9">
        <f ca="1">IF(OR(ED12="",ED$28&lt;$A39),"",ED12/OFFSET(SSAutESP!$A$2,MATCH(ED$29,SSAutESP!$A$2:$A$500)+$A39-1,1)-1)</f>
        <v>7.6297166404164507E-3</v>
      </c>
      <c r="EE39" s="9">
        <f ca="1">IF(OR(EE12="",EE$28&lt;$A39),"",EE12/OFFSET(SSAutESP!$A$2,MATCH(EE$29,SSAutESP!$A$2:$A$500)+$A39-1,1)-1)</f>
        <v>-2.10647541641662E-3</v>
      </c>
      <c r="EF39" s="9">
        <f ca="1">IF(OR(EF12="",EF$28&lt;$A39),"",EF12/OFFSET(SSAutESP!$A$2,MATCH(EF$29,SSAutESP!$A$2:$A$500)+$A39-1,1)-1)</f>
        <v>3.3730745425155639E-3</v>
      </c>
      <c r="EG39" s="9">
        <f ca="1">IF(OR(EG12="",EG$28&lt;$A39),"",EG12/OFFSET(SSAutESP!$A$2,MATCH(EG$29,SSAutESP!$A$2:$A$500)+$A39-1,1)-1)</f>
        <v>1.5520682694398547E-2</v>
      </c>
      <c r="EH39" s="9">
        <f ca="1">IF(OR(EH12="",EH$28&lt;$A39),"",EH12/OFFSET(SSAutESP!$A$2,MATCH(EH$29,SSAutESP!$A$2:$A$500)+$A39-1,1)-1)</f>
        <v>1.4514846337110088E-2</v>
      </c>
      <c r="EI39" s="9">
        <f ca="1">IF(OR(EI12="",EI$28&lt;$A39),"",EI12/OFFSET(SSAutESP!$A$2,MATCH(EI$29,SSAutESP!$A$2:$A$500)+$A39-1,1)-1)</f>
        <v>1.0028650471944012E-2</v>
      </c>
      <c r="EJ39" s="9">
        <f ca="1">IF(OR(EJ12="",EJ$28&lt;$A39),"",EJ12/OFFSET(SSAutESP!$A$2,MATCH(EJ$29,SSAutESP!$A$2:$A$500)+$A39-1,1)-1)</f>
        <v>8.3752905530991573E-3</v>
      </c>
      <c r="EK39" s="9">
        <f ca="1">IF(OR(EK12="",EK$28&lt;$A39),"",EK12/OFFSET(SSAutESP!$A$2,MATCH(EK$29,SSAutESP!$A$2:$A$500)+$A39-1,1)-1)</f>
        <v>-3.5998297969371817E-3</v>
      </c>
      <c r="EL39" s="9">
        <f ca="1">IF(OR(EL12="",EL$28&lt;$A39),"",EL12/OFFSET(SSAutESP!$A$2,MATCH(EL$29,SSAutESP!$A$2:$A$500)+$A39-1,1)-1)</f>
        <v>-4.0465434263219358E-3</v>
      </c>
      <c r="EM39" s="9">
        <f ca="1">IF(OR(EM12="",EM$28&lt;$A39),"",EM12/OFFSET(SSAutESP!$A$2,MATCH(EM$29,SSAutESP!$A$2:$A$500)+$A39-1,1)-1)</f>
        <v>-1.5543210398203389E-3</v>
      </c>
      <c r="EN39" s="9">
        <f ca="1">IF(OR(EN12="",EN$28&lt;$A39),"",EN12/OFFSET(SSAutESP!$A$2,MATCH(EN$29,SSAutESP!$A$2:$A$500)+$A39-1,1)-1)</f>
        <v>-4.1101834027230666E-3</v>
      </c>
      <c r="EO39" s="9">
        <f ca="1">IF(OR(EO12="",EO$28&lt;$A39),"",EO12/OFFSET(SSAutESP!$A$2,MATCH(EO$29,SSAutESP!$A$2:$A$500)+$A39-1,1)-1)</f>
        <v>4.1312538464672866E-3</v>
      </c>
      <c r="EP39" s="9">
        <f ca="1">IF(OR(EP12="",EP$28&lt;$A39),"",EP12/OFFSET(SSAutESP!$A$2,MATCH(EP$29,SSAutESP!$A$2:$A$500)+$A39-1,1)-1)</f>
        <v>-1.6438915963024048E-3</v>
      </c>
      <c r="EQ39" s="9">
        <f ca="1">IF(OR(EQ12="",EQ$28&lt;$A39),"",EQ12/OFFSET(SSAutESP!$A$2,MATCH(EQ$29,SSAutESP!$A$2:$A$500)+$A39-1,1)-1)</f>
        <v>-1.3837272190049377E-2</v>
      </c>
      <c r="ER39" s="9">
        <f ca="1">IF(OR(ER12="",ER$28&lt;$A39),"",ER12/OFFSET(SSAutESP!$A$2,MATCH(ER$29,SSAutESP!$A$2:$A$500)+$A39-1,1)-1)</f>
        <v>-5.3089569558750771E-4</v>
      </c>
      <c r="ES39" s="9">
        <f ca="1">IF(OR(ES12="",ES$28&lt;$A39),"",ES12/OFFSET(SSAutESP!$A$2,MATCH(ES$29,SSAutESP!$A$2:$A$500)+$A39-1,1)-1)</f>
        <v>7.5129387670278547E-3</v>
      </c>
      <c r="ET39" s="9">
        <f ca="1">IF(OR(ET12="",ET$28&lt;$A39),"",ET12/OFFSET(SSAutESP!$A$2,MATCH(ET$29,SSAutESP!$A$2:$A$500)+$A39-1,1)-1)</f>
        <v>2.4618077512539305E-3</v>
      </c>
      <c r="EU39" s="9">
        <f ca="1">IF(OR(EU12="",EU$28&lt;$A39),"",EU12/OFFSET(SSAutESP!$A$2,MATCH(EU$29,SSAutESP!$A$2:$A$500)+$A39-1,1)-1)</f>
        <v>1.409265143888172E-3</v>
      </c>
      <c r="EV39" s="9">
        <f ca="1">IF(OR(EV12="",EV$28&lt;$A39),"",EV12/OFFSET(SSAutESP!$A$2,MATCH(EV$29,SSAutESP!$A$2:$A$500)+$A39-1,1)-1)</f>
        <v>9.5417113056273095E-5</v>
      </c>
      <c r="EW39" s="9">
        <f ca="1">IF(OR(EW12="",EW$28&lt;$A39),"",EW12/OFFSET(SSAutESP!$A$2,MATCH(EW$29,SSAutESP!$A$2:$A$500)+$A39-1,1)-1)</f>
        <v>-7.6213477305501209E-3</v>
      </c>
      <c r="EX39" s="9">
        <f ca="1">IF(OR(EX12="",EX$28&lt;$A39),"",EX12/OFFSET(SSAutESP!$A$2,MATCH(EX$29,SSAutESP!$A$2:$A$500)+$A39-1,1)-1)</f>
        <v>-6.1177136166766788E-3</v>
      </c>
      <c r="EY39" s="9">
        <f ca="1">IF(OR(EY12="",EY$28&lt;$A39),"",EY12/OFFSET(SSAutESP!$A$2,MATCH(EY$29,SSAutESP!$A$2:$A$500)+$A39-1,1)-1)</f>
        <v>-2.5526234196331377E-3</v>
      </c>
      <c r="EZ39" s="9">
        <f ca="1">IF(OR(EZ12="",EZ$28&lt;$A39),"",EZ12/OFFSET(SSAutESP!$A$2,MATCH(EZ$29,SSAutESP!$A$2:$A$500)+$A39-1,1)-1)</f>
        <v>2.850342808970785E-3</v>
      </c>
      <c r="FA39" s="9">
        <f ca="1">IF(OR(FA12="",FA$28&lt;$A39),"",FA12/OFFSET(SSAutESP!$A$2,MATCH(FA$29,SSAutESP!$A$2:$A$500)+$A39-1,1)-1)</f>
        <v>-2.8890168410411476E-4</v>
      </c>
      <c r="FB39" s="9">
        <f ca="1">IF(OR(FB12="",FB$28&lt;$A39),"",FB12/OFFSET(SSAutESP!$A$2,MATCH(FB$29,SSAutESP!$A$2:$A$500)+$A39-1,1)-1)</f>
        <v>-1.3450735926776591E-3</v>
      </c>
      <c r="FC39" s="9">
        <f ca="1">IF(OR(FC12="",FC$28&lt;$A39),"",FC12/OFFSET(SSAutESP!$A$2,MATCH(FC$29,SSAutESP!$A$2:$A$500)+$A39-1,1)-1)</f>
        <v>-5.6531061749263145E-3</v>
      </c>
      <c r="FD39" s="9">
        <f ca="1">IF(OR(FD12="",FD$28&lt;$A39),"",FD12/OFFSET(SSAutESP!$A$2,MATCH(FD$29,SSAutESP!$A$2:$A$500)+$A39-1,1)-1)</f>
        <v>9.4661985150434891E-3</v>
      </c>
      <c r="FE39" s="9">
        <f ca="1">IF(OR(FE12="",FE$28&lt;$A39),"",FE12/OFFSET(SSAutESP!$A$2,MATCH(FE$29,SSAutESP!$A$2:$A$500)+$A39-1,1)-1)</f>
        <v>6.275868630702508E-3</v>
      </c>
      <c r="FF39" s="9">
        <f ca="1">IF(OR(FF12="",FF$28&lt;$A39),"",FF12/OFFSET(SSAutESP!$A$2,MATCH(FF$29,SSAutESP!$A$2:$A$500)+$A39-1,1)-1)</f>
        <v>5.2971434529456296E-3</v>
      </c>
      <c r="FG39" s="9">
        <f ca="1">IF(OR(FG12="",FG$28&lt;$A39),"",FG12/OFFSET(SSAutESP!$A$2,MATCH(FG$29,SSAutESP!$A$2:$A$500)+$A39-1,1)-1)</f>
        <v>1.9508094936129261E-3</v>
      </c>
      <c r="FH39" s="9">
        <f ca="1">IF(OR(FH12="",FH$28&lt;$A39),"",FH12/OFFSET(SSAutESP!$A$2,MATCH(FH$29,SSAutESP!$A$2:$A$500)+$A39-1,1)-1)</f>
        <v>-3.4320341630488249E-3</v>
      </c>
      <c r="FI39" s="9">
        <f ca="1">IF(OR(FI12="",FI$28&lt;$A39),"",FI12/OFFSET(SSAutESP!$A$2,MATCH(FI$29,SSAutESP!$A$2:$A$500)+$A39-1,1)-1)</f>
        <v>-1.5085878720789703E-2</v>
      </c>
      <c r="FJ39" s="9">
        <f ca="1">IF(OR(FJ12="",FJ$28&lt;$A39),"",FJ12/OFFSET(SSAutESP!$A$2,MATCH(FJ$29,SSAutESP!$A$2:$A$500)+$A39-1,1)-1)</f>
        <v>-1.6683624693004551E-2</v>
      </c>
      <c r="FK39" s="9">
        <f ca="1">IF(OR(FK12="",FK$28&lt;$A39),"",FK12/OFFSET(SSAutESP!$A$2,MATCH(FK$29,SSAutESP!$A$2:$A$500)+$A39-1,1)-1)</f>
        <v>-5.7000721679815181E-3</v>
      </c>
      <c r="FL39" s="9">
        <f ca="1">IF(OR(FL12="",FL$28&lt;$A39),"",FL12/OFFSET(SSAutESP!$A$2,MATCH(FL$29,SSAutESP!$A$2:$A$500)+$A39-1,1)-1)</f>
        <v>-2.9571586197646438E-3</v>
      </c>
      <c r="FM39" s="9">
        <f ca="1">IF(OR(FM12="",FM$28&lt;$A39),"",FM12/OFFSET(SSAutESP!$A$2,MATCH(FM$29,SSAutESP!$A$2:$A$500)+$A39-1,1)-1)</f>
        <v>-1.3289995162310442E-2</v>
      </c>
      <c r="FN39" s="9">
        <f ca="1">IF(OR(FN12="",FN$28&lt;$A39),"",FN12/OFFSET(SSAutESP!$A$2,MATCH(FN$29,SSAutESP!$A$2:$A$500)+$A39-1,1)-1)</f>
        <v>-2.2101093092047996E-2</v>
      </c>
      <c r="FO39" s="9">
        <f ca="1">IF(OR(FO12="",FO$28&lt;$A39),"",FO12/OFFSET(SSAutESP!$A$2,MATCH(FO$29,SSAutESP!$A$2:$A$500)+$A39-1,1)-1)</f>
        <v>-1.5384879437042476E-2</v>
      </c>
      <c r="FP39" s="9">
        <f ca="1">IF(OR(FP12="",FP$28&lt;$A39),"",FP12/OFFSET(SSAutESP!$A$2,MATCH(FP$29,SSAutESP!$A$2:$A$500)+$A39-1,1)-1)</f>
        <v>6.9497082019249756E-3</v>
      </c>
      <c r="FQ39" s="9">
        <f ca="1">IF(OR(FQ12="",FQ$28&lt;$A39),"",FQ12/OFFSET(SSAutESP!$A$2,MATCH(FQ$29,SSAutESP!$A$2:$A$500)+$A39-1,1)-1)</f>
        <v>1.343454114145981E-2</v>
      </c>
      <c r="FR39" s="9">
        <f ca="1">IF(OR(FR12="",FR$28&lt;$A39),"",FR12/OFFSET(SSAutESP!$A$2,MATCH(FR$29,SSAutESP!$A$2:$A$500)+$A39-1,1)-1)</f>
        <v>7.7915845585383448E-3</v>
      </c>
      <c r="FS39" s="9">
        <f ca="1">IF(OR(FS12="",FS$28&lt;$A39),"",FS12/OFFSET(SSAutESP!$A$2,MATCH(FS$29,SSAutESP!$A$2:$A$500)+$A39-1,1)-1)</f>
        <v>4.7796873768044534E-3</v>
      </c>
      <c r="FT39" s="9">
        <f ca="1">IF(OR(FT12="",FT$28&lt;$A39),"",FT12/OFFSET(SSAutESP!$A$2,MATCH(FT$29,SSAutESP!$A$2:$A$500)+$A39-1,1)-1)</f>
        <v>6.3969539620416516E-3</v>
      </c>
      <c r="FU39" s="9">
        <f ca="1">IF(OR(FU12="",FU$28&lt;$A39),"",FU12/OFFSET(SSAutESP!$A$2,MATCH(FU$29,SSAutESP!$A$2:$A$500)+$A39-1,1)-1)</f>
        <v>4.8667987956851899E-3</v>
      </c>
      <c r="FV39" s="9">
        <f ca="1">IF(OR(FV12="",FV$28&lt;$A39),"",FV12/OFFSET(SSAutESP!$A$2,MATCH(FV$29,SSAutESP!$A$2:$A$500)+$A39-1,1)-1)</f>
        <v>-2.3379919768744539E-3</v>
      </c>
      <c r="FW39" s="9">
        <f ca="1">IF(OR(FW12="",FW$28&lt;$A39),"",FW12/OFFSET(SSAutESP!$A$2,MATCH(FW$29,SSAutESP!$A$2:$A$500)+$A39-1,1)-1)</f>
        <v>5.546497913525128E-3</v>
      </c>
      <c r="FX39" s="9">
        <f ca="1">IF(OR(FX12="",FX$28&lt;$A39),"",FX12/OFFSET(SSAutESP!$A$2,MATCH(FX$29,SSAutESP!$A$2:$A$500)+$A39-1,1)-1)</f>
        <v>1.1096983820032769E-2</v>
      </c>
      <c r="FY39" s="9">
        <f ca="1">IF(OR(FY12="",FY$28&lt;$A39),"",FY12/OFFSET(SSAutESP!$A$2,MATCH(FY$29,SSAutESP!$A$2:$A$500)+$A39-1,1)-1)</f>
        <v>6.4808170350403316E-3</v>
      </c>
      <c r="FZ39" s="9">
        <f ca="1">IF(OR(FZ12="",FZ$28&lt;$A39),"",FZ12/OFFSET(SSAutESP!$A$2,MATCH(FZ$29,SSAutESP!$A$2:$A$500)+$A39-1,1)-1)</f>
        <v>1.0076931331578276E-2</v>
      </c>
      <c r="GA39" s="9">
        <f ca="1">IF(OR(GA12="",GA$28&lt;$A39),"",GA12/OFFSET(SSAutESP!$A$2,MATCH(GA$29,SSAutESP!$A$2:$A$500)+$A39-1,1)-1)</f>
        <v>-7.2910434976719563E-3</v>
      </c>
      <c r="GB39" s="9">
        <f ca="1">IF(OR(GB12="",GB$28&lt;$A39),"",GB12/OFFSET(SSAutESP!$A$2,MATCH(GB$29,SSAutESP!$A$2:$A$500)+$A39-1,1)-1)</f>
        <v>-2.8282030617139409E-3</v>
      </c>
      <c r="GC39" s="9">
        <f ca="1">IF(OR(GC12="",GC$28&lt;$A39),"",GC12/OFFSET(SSAutESP!$A$2,MATCH(GC$29,SSAutESP!$A$2:$A$500)+$A39-1,1)-1)</f>
        <v>-1.5595785795882167E-3</v>
      </c>
      <c r="GD39" s="9">
        <f ca="1">IF(OR(GD12="",GD$28&lt;$A39),"",GD12/OFFSET(SSAutESP!$A$2,MATCH(GD$29,SSAutESP!$A$2:$A$500)+$A39-1,1)-1)</f>
        <v>-5.5628150229940498E-3</v>
      </c>
      <c r="GE39" s="9">
        <f ca="1">IF(OR(GE12="",GE$28&lt;$A39),"",GE12/OFFSET(SSAutESP!$A$2,MATCH(GE$29,SSAutESP!$A$2:$A$500)+$A39-1,1)-1)</f>
        <v>-2.7903962004072191E-4</v>
      </c>
      <c r="GF39" s="9">
        <f ca="1">IF(OR(GF12="",GF$28&lt;$A39),"",GF12/OFFSET(SSAutESP!$A$2,MATCH(GF$29,SSAutESP!$A$2:$A$500)+$A39-1,1)-1)</f>
        <v>1.7526212622512638E-2</v>
      </c>
      <c r="GG39" s="9">
        <f ca="1">IF(OR(GG12="",GG$28&lt;$A39),"",GG12/OFFSET(SSAutESP!$A$2,MATCH(GG$29,SSAutESP!$A$2:$A$500)+$A39-1,1)-1)</f>
        <v>1.8593830013583279E-2</v>
      </c>
      <c r="GH39" s="9">
        <f ca="1">IF(OR(GH12="",GH$28&lt;$A39),"",GH12/OFFSET(SSAutESP!$A$2,MATCH(GH$29,SSAutESP!$A$2:$A$500)+$A39-1,1)-1)</f>
        <v>1.3098108005968223E-2</v>
      </c>
      <c r="GI39" s="9">
        <f ca="1">IF(OR(GI12="",GI$28&lt;$A39),"",GI12/OFFSET(SSAutESP!$A$2,MATCH(GI$29,SSAutESP!$A$2:$A$500)+$A39-1,1)-1)</f>
        <v>1.2135523376594959E-2</v>
      </c>
      <c r="GJ39" s="9">
        <f ca="1">IF(OR(GJ12="",GJ$28&lt;$A39),"",GJ12/OFFSET(SSAutESP!$A$2,MATCH(GJ$29,SSAutESP!$A$2:$A$500)+$A39-1,1)-1)</f>
        <v>1.1812756324534712E-2</v>
      </c>
      <c r="GK39" s="9">
        <f ca="1">IF(OR(GK12="",GK$28&lt;$A39),"",GK12/OFFSET(SSAutESP!$A$2,MATCH(GK$29,SSAutESP!$A$2:$A$500)+$A39-1,1)-1)</f>
        <v>1.083377817344533E-2</v>
      </c>
      <c r="GL39" s="9">
        <f ca="1">IF(OR(GL12="",GL$28&lt;$A39),"",GL12/OFFSET(SSAutESP!$A$2,MATCH(GL$29,SSAutESP!$A$2:$A$500)+$A39-1,1)-1)</f>
        <v>8.1950934953898269E-3</v>
      </c>
      <c r="GM39" s="9">
        <f ca="1">IF(OR(GM12="",GM$28&lt;$A39),"",GM12/OFFSET(SSAutESP!$A$2,MATCH(GM$29,SSAutESP!$A$2:$A$500)+$A39-1,1)-1)</f>
        <v>5.4286449705174267E-3</v>
      </c>
      <c r="GN39" s="9">
        <f ca="1">IF(OR(GN12="",GN$28&lt;$A39),"",GN12/OFFSET(SSAutESP!$A$2,MATCH(GN$29,SSAutESP!$A$2:$A$500)+$A39-1,1)-1)</f>
        <v>5.4043329149777719E-3</v>
      </c>
      <c r="GO39" s="9">
        <f ca="1">IF(OR(GO12="",GO$28&lt;$A39),"",GO12/OFFSET(SSAutESP!$A$2,MATCH(GO$29,SSAutESP!$A$2:$A$500)+$A39-1,1)-1)</f>
        <v>-8.2185695653171909E-3</v>
      </c>
      <c r="GP39" s="9" t="str">
        <f ca="1">IF(OR(GP12="",GP$28&lt;$A39),"",GP12/OFFSET(SSAutESP!$A$2,MATCH(GP$29,SSAutESP!$A$2:$A$500)+$A39-1,1)-1)</f>
        <v/>
      </c>
      <c r="GQ39" s="9" t="str">
        <f ca="1">IF(OR(GQ12="",GQ$28&lt;$A39),"",GQ12/OFFSET(SSAutESP!$A$2,MATCH(GQ$29,SSAutESP!$A$2:$A$500)+$A39-1,1)-1)</f>
        <v/>
      </c>
      <c r="GR39" s="9" t="str">
        <f ca="1">IF(OR(GR12="",GR$28&lt;$A39),"",GR12/OFFSET(SSAutESP!$A$2,MATCH(GR$29,SSAutESP!$A$2:$A$500)+$A39-1,1)-1)</f>
        <v/>
      </c>
      <c r="GS39" s="9" t="str">
        <f ca="1">IF(OR(GS12="",GS$28&lt;$A39),"",GS12/OFFSET(SSAutESP!$A$2,MATCH(GS$29,SSAutESP!$A$2:$A$500)+$A39-1,1)-1)</f>
        <v/>
      </c>
      <c r="GT39" s="9" t="str">
        <f ca="1">IF(OR(GT12="",GT$28&lt;$A39),"",GT12/OFFSET(SSAutESP!$A$2,MATCH(GT$29,SSAutESP!$A$2:$A$500)+$A39-1,1)-1)</f>
        <v/>
      </c>
      <c r="GU39" s="9" t="str">
        <f ca="1">IF(OR(GU12="",GU$28&lt;$A39),"",GU12/OFFSET(SSAutESP!$A$2,MATCH(GU$29,SSAutESP!$A$2:$A$500)+$A39-1,1)-1)</f>
        <v/>
      </c>
      <c r="GV39" s="9" t="str">
        <f ca="1">IF(OR(GV12="",GV$28&lt;$A39),"",GV12/OFFSET(SSAutESP!$A$2,MATCH(GV$29,SSAutESP!$A$2:$A$500)+$A39-1,1)-1)</f>
        <v/>
      </c>
      <c r="GW39" s="9" t="str">
        <f ca="1">IF(OR(GW12="",GW$28&lt;$A39),"",GW12/OFFSET(SSAutESP!$A$2,MATCH(GW$29,SSAutESP!$A$2:$A$500)+$A39-1,1)-1)</f>
        <v/>
      </c>
      <c r="GX39" s="9" t="str">
        <f ca="1">IF(OR(GX12="",GX$28&lt;$A39),"",GX12/OFFSET(SSAutESP!$A$2,MATCH(GX$29,SSAutESP!$A$2:$A$500)+$A39-1,1)-1)</f>
        <v/>
      </c>
      <c r="GY39" s="9" t="str">
        <f ca="1">IF(OR(GY12="",GY$28&lt;$A39),"",GY12/OFFSET(SSAutESP!$A$2,MATCH(GY$29,SSAutESP!$A$2:$A$500)+$A39-1,1)-1)</f>
        <v/>
      </c>
      <c r="GZ39" s="9" t="str">
        <f ca="1">IF(OR(GZ12="",GZ$28&lt;$A39),"",GZ12/OFFSET(SSAutESP!$A$2,MATCH(GZ$29,SSAutESP!$A$2:$A$500)+$A39-1,1)-1)</f>
        <v/>
      </c>
      <c r="HA39" s="9" t="str">
        <f ca="1">IF(OR(HA12="",HA$28&lt;$A39),"",HA12/OFFSET(SSAutESP!$A$2,MATCH(HA$29,SSAutESP!$A$2:$A$500)+$A39-1,1)-1)</f>
        <v/>
      </c>
      <c r="HB39" s="9" t="str">
        <f ca="1">IF(OR(HB12="",HB$28&lt;$A39),"",HB12/OFFSET(SSAutESP!$A$2,MATCH(HB$29,SSAutESP!$A$2:$A$500)+$A39-1,1)-1)</f>
        <v/>
      </c>
      <c r="HC39" s="9" t="str">
        <f ca="1">IF(OR(HC12="",HC$28&lt;$A39),"",HC12/OFFSET(SSAutESP!$A$2,MATCH(HC$29,SSAutESP!$A$2:$A$500)+$A39-1,1)-1)</f>
        <v/>
      </c>
      <c r="HD39" s="9" t="str">
        <f ca="1">IF(OR(HD12="",HD$28&lt;$A39),"",HD12/OFFSET(SSAutESP!$A$2,MATCH(HD$29,SSAutESP!$A$2:$A$500)+$A39-1,1)-1)</f>
        <v/>
      </c>
      <c r="HE39" s="9" t="str">
        <f ca="1">IF(OR(HE12="",HE$28&lt;$A39),"",HE12/OFFSET(SSAutESP!$A$2,MATCH(HE$29,SSAutESP!$A$2:$A$500)+$A39-1,1)-1)</f>
        <v/>
      </c>
      <c r="HF39" s="9" t="str">
        <f ca="1">IF(OR(HF12="",HF$28&lt;$A39),"",HF12/OFFSET(SSAutESP!$A$2,MATCH(HF$29,SSAutESP!$A$2:$A$500)+$A39-1,1)-1)</f>
        <v/>
      </c>
      <c r="HG39" s="9" t="str">
        <f ca="1">IF(OR(HG12="",HG$28&lt;$A39),"",HG12/OFFSET(SSAutESP!$A$2,MATCH(HG$29,SSAutESP!$A$2:$A$500)+$A39-1,1)-1)</f>
        <v/>
      </c>
      <c r="HH39" s="9" t="str">
        <f ca="1">IF(OR(HH12="",HH$28&lt;$A39),"",HH12/OFFSET(SSAutESP!$A$2,MATCH(HH$29,SSAutESP!$A$2:$A$500)+$A39-1,1)-1)</f>
        <v/>
      </c>
      <c r="HI39" s="9" t="str">
        <f ca="1">IF(OR(HI12="",HI$28&lt;$A39),"",HI12/OFFSET(SSAutESP!$A$2,MATCH(HI$29,SSAutESP!$A$2:$A$500)+$A39-1,1)-1)</f>
        <v/>
      </c>
      <c r="HJ39" s="9" t="str">
        <f ca="1">IF(OR(HJ12="",HJ$28&lt;$A39),"",HJ12/OFFSET(SSAutESP!$A$2,MATCH(HJ$29,SSAutESP!$A$2:$A$500)+$A39-1,1)-1)</f>
        <v/>
      </c>
      <c r="HK39" s="9" t="str">
        <f ca="1">IF(OR(HK12="",HK$28&lt;$A39),"",HK12/OFFSET(SSAutESP!$A$2,MATCH(HK$29,SSAutESP!$A$2:$A$500)+$A39-1,1)-1)</f>
        <v/>
      </c>
      <c r="HL39" s="9" t="str">
        <f ca="1">IF(OR(HL12="",HL$28&lt;$A39),"",HL12/OFFSET(SSAutESP!$A$2,MATCH(HL$29,SSAutESP!$A$2:$A$500)+$A39-1,1)-1)</f>
        <v/>
      </c>
      <c r="HM39" s="9" t="str">
        <f ca="1">IF(OR(HM12="",HM$28&lt;$A39),"",HM12/OFFSET(SSAutESP!$A$2,MATCH(HM$29,SSAutESP!$A$2:$A$500)+$A39-1,1)-1)</f>
        <v/>
      </c>
      <c r="HN39" s="9" t="str">
        <f ca="1">IF(OR(HN12="",HN$28&lt;$A39),"",HN12/OFFSET(SSAutESP!$A$2,MATCH(HN$29,SSAutESP!$A$2:$A$500)+$A39-1,1)-1)</f>
        <v/>
      </c>
      <c r="HO39" s="9" t="str">
        <f ca="1">IF(OR(HO12="",HO$28&lt;$A39),"",HO12/OFFSET(SSAutESP!$A$2,MATCH(HO$29,SSAutESP!$A$2:$A$500)+$A39-1,1)-1)</f>
        <v/>
      </c>
      <c r="HP39" s="9" t="str">
        <f ca="1">IF(OR(HP12="",HP$28&lt;$A39),"",HP12/OFFSET(SSAutESP!$A$2,MATCH(HP$29,SSAutESP!$A$2:$A$500)+$A39-1,1)-1)</f>
        <v/>
      </c>
      <c r="HQ39" s="9" t="str">
        <f ca="1">IF(OR(HQ12="",HQ$28&lt;$A39),"",HQ12/OFFSET(SSAutESP!$A$2,MATCH(HQ$29,SSAutESP!$A$2:$A$500)+$A39-1,1)-1)</f>
        <v/>
      </c>
      <c r="HR39" s="9" t="str">
        <f ca="1">IF(OR(HR12="",HR$28&lt;$A39),"",HR12/OFFSET(SSAutESP!$A$2,MATCH(HR$29,SSAutESP!$A$2:$A$500)+$A39-1,1)-1)</f>
        <v/>
      </c>
      <c r="HS39" s="9" t="str">
        <f ca="1">IF(OR(HS12="",HS$28&lt;$A39),"",HS12/OFFSET(SSAutESP!$A$2,MATCH(HS$29,SSAutESP!$A$2:$A$500)+$A39-1,1)-1)</f>
        <v/>
      </c>
      <c r="HT39" s="9" t="str">
        <f ca="1">IF(OR(HT12="",HT$28&lt;$A39),"",HT12/OFFSET(SSAutESP!$A$2,MATCH(HT$29,SSAutESP!$A$2:$A$500)+$A39-1,1)-1)</f>
        <v/>
      </c>
      <c r="HU39" s="9" t="str">
        <f ca="1">IF(OR(HU12="",HU$28&lt;$A39),"",HU12/OFFSET(SSAutESP!$A$2,MATCH(HU$29,SSAutESP!$A$2:$A$500)+$A39-1,1)-1)</f>
        <v/>
      </c>
      <c r="HV39" s="9" t="str">
        <f ca="1">IF(OR(HV12="",HV$28&lt;$A39),"",HV12/OFFSET(SSAutESP!$A$2,MATCH(HV$29,SSAutESP!$A$2:$A$500)+$A39-1,1)-1)</f>
        <v/>
      </c>
      <c r="HW39" s="9" t="str">
        <f ca="1">IF(OR(HW12="",HW$28&lt;$A39),"",HW12/OFFSET(SSAutESP!$A$2,MATCH(HW$29,SSAutESP!$A$2:$A$500)+$A39-1,1)-1)</f>
        <v/>
      </c>
      <c r="HX39" s="9" t="str">
        <f ca="1">IF(OR(HX12="",HX$28&lt;$A39),"",HX12/OFFSET(SSAutESP!$A$2,MATCH(HX$29,SSAutESP!$A$2:$A$500)+$A39-1,1)-1)</f>
        <v/>
      </c>
      <c r="HY39" s="9" t="str">
        <f ca="1">IF(OR(HY12="",HY$28&lt;$A39),"",HY12/OFFSET(SSAutESP!$A$2,MATCH(HY$29,SSAutESP!$A$2:$A$500)+$A39-1,1)-1)</f>
        <v/>
      </c>
      <c r="HZ39" s="9" t="str">
        <f ca="1">IF(OR(HZ12="",HZ$28&lt;$A39),"",HZ12/OFFSET(SSAutESP!$A$2,MATCH(HZ$29,SSAutESP!$A$2:$A$500)+$A39-1,1)-1)</f>
        <v/>
      </c>
      <c r="IA39" s="9" t="str">
        <f ca="1">IF(OR(IA12="",IA$28&lt;$A39),"",IA12/OFFSET(SSAutESP!$A$2,MATCH(IA$29,SSAutESP!$A$2:$A$500)+$A39-1,1)-1)</f>
        <v/>
      </c>
      <c r="IB39" s="9" t="str">
        <f ca="1">IF(OR(IB12="",IB$28&lt;$A39),"",IB12/OFFSET(SSAutESP!$A$2,MATCH(IB$29,SSAutESP!$A$2:$A$500)+$A39-1,1)-1)</f>
        <v/>
      </c>
      <c r="IC39" s="9" t="str">
        <f ca="1">IF(OR(IC12="",IC$28&lt;$A39),"",IC12/OFFSET(SSAutESP!$A$2,MATCH(IC$29,SSAutESP!$A$2:$A$500)+$A39-1,1)-1)</f>
        <v/>
      </c>
      <c r="ID39" s="9" t="str">
        <f ca="1">IF(OR(ID12="",ID$28&lt;$A39),"",ID12/OFFSET(SSAutESP!$A$2,MATCH(ID$29,SSAutESP!$A$2:$A$500)+$A39-1,1)-1)</f>
        <v/>
      </c>
      <c r="IE39" s="9" t="str">
        <f ca="1">IF(OR(IE12="",IE$28&lt;$A39),"",IE12/OFFSET(SSAutESP!$A$2,MATCH(IE$29,SSAutESP!$A$2:$A$500)+$A39-1,1)-1)</f>
        <v/>
      </c>
      <c r="IF39" s="9" t="str">
        <f ca="1">IF(OR(IF12="",IF$28&lt;$A39),"",IF12/OFFSET(SSAutESP!$A$2,MATCH(IF$29,SSAutESP!$A$2:$A$500)+$A39-1,1)-1)</f>
        <v/>
      </c>
      <c r="IG39" s="9" t="str">
        <f ca="1">IF(OR(IG12="",IG$28&lt;$A39),"",IG12/OFFSET(SSAutESP!$A$2,MATCH(IG$29,SSAutESP!$A$2:$A$500)+$A39-1,1)-1)</f>
        <v/>
      </c>
      <c r="IH39" s="9" t="str">
        <f ca="1">IF(OR(IH12="",IH$28&lt;$A39),"",IH12/OFFSET(SSAutESP!$A$2,MATCH(IH$29,SSAutESP!$A$2:$A$500)+$A39-1,1)-1)</f>
        <v/>
      </c>
      <c r="II39" s="9" t="str">
        <f ca="1">IF(OR(II12="",II$28&lt;$A39),"",II12/OFFSET(SSAutESP!$A$2,MATCH(II$29,SSAutESP!$A$2:$A$500)+$A39-1,1)-1)</f>
        <v/>
      </c>
      <c r="IJ39" s="9" t="str">
        <f ca="1">IF(OR(IJ12="",IJ$28&lt;$A39),"",IJ12/OFFSET(SSAutESP!$A$2,MATCH(IJ$29,SSAutESP!$A$2:$A$500)+$A39-1,1)-1)</f>
        <v/>
      </c>
      <c r="IK39" s="9" t="str">
        <f ca="1">IF(OR(IK12="",IK$28&lt;$A39),"",IK12/OFFSET(SSAutESP!$A$2,MATCH(IK$29,SSAutESP!$A$2:$A$500)+$A39-1,1)-1)</f>
        <v/>
      </c>
      <c r="IL39" s="9" t="str">
        <f ca="1">IF(OR(IL12="",IL$28&lt;$A39),"",IL12/OFFSET(SSAutESP!$A$2,MATCH(IL$29,SSAutESP!$A$2:$A$500)+$A39-1,1)-1)</f>
        <v/>
      </c>
      <c r="IM39" s="9" t="str">
        <f ca="1">IF(OR(IM12="",IM$28&lt;$A39),"",IM12/OFFSET(SSAutESP!$A$2,MATCH(IM$29,SSAutESP!$A$2:$A$500)+$A39-1,1)-1)</f>
        <v/>
      </c>
      <c r="IN39" s="9" t="str">
        <f ca="1">IF(OR(IN12="",IN$28&lt;$A39),"",IN12/OFFSET(SSAutESP!$A$2,MATCH(IN$29,SSAutESP!$A$2:$A$500)+$A39-1,1)-1)</f>
        <v/>
      </c>
      <c r="IO39" s="9" t="str">
        <f ca="1">IF(OR(IO12="",IO$28&lt;$A39),"",IO12/OFFSET(SSAutESP!$A$2,MATCH(IO$29,SSAutESP!$A$2:$A$500)+$A39-1,1)-1)</f>
        <v/>
      </c>
      <c r="IP39" s="9" t="str">
        <f ca="1">IF(OR(IP12="",IP$28&lt;$A39),"",IP12/OFFSET(SSAutESP!$A$2,MATCH(IP$29,SSAutESP!$A$2:$A$500)+$A39-1,1)-1)</f>
        <v/>
      </c>
      <c r="IQ39" s="9" t="str">
        <f ca="1">IF(OR(IQ12="",IQ$28&lt;$A39),"",IQ12/OFFSET(SSAutESP!$A$2,MATCH(IQ$29,SSAutESP!$A$2:$A$500)+$A39-1,1)-1)</f>
        <v/>
      </c>
      <c r="IR39" s="9" t="str">
        <f ca="1">IF(OR(IR12="",IR$28&lt;$A39),"",IR12/OFFSET(SSAutESP!$A$2,MATCH(IR$29,SSAutESP!$A$2:$A$500)+$A39-1,1)-1)</f>
        <v/>
      </c>
      <c r="IS39" s="9" t="str">
        <f ca="1">IF(OR(IS12="",IS$28&lt;$A39),"",IS12/OFFSET(SSAutESP!$A$2,MATCH(IS$29,SSAutESP!$A$2:$A$500)+$A39-1,1)-1)</f>
        <v/>
      </c>
      <c r="IT39" s="9" t="str">
        <f ca="1">IF(OR(IT12="",IT$28&lt;$A39),"",IT12/OFFSET(SSAutESP!$A$2,MATCH(IT$29,SSAutESP!$A$2:$A$500)+$A39-1,1)-1)</f>
        <v/>
      </c>
      <c r="IU39" s="9" t="str">
        <f ca="1">IF(OR(IU12="",IU$28&lt;$A39),"",IU12/OFFSET(SSAutESP!$A$2,MATCH(IU$29,SSAutESP!$A$2:$A$500)+$A39-1,1)-1)</f>
        <v/>
      </c>
      <c r="IV39" s="9" t="str">
        <f ca="1">IF(OR(IV12="",IV$28&lt;$A39),"",IV12/OFFSET(SSAutESP!$A$2,MATCH(IV$29,SSAutESP!$A$2:$A$500)+$A39-1,1)-1)</f>
        <v/>
      </c>
      <c r="IW39" s="9" t="str">
        <f ca="1">IF(OR(IW12="",IW$28&lt;$A39),"",IW12/OFFSET(SSAutESP!$A$2,MATCH(IW$29,SSAutESP!$A$2:$A$500)+$A39-1,1)-1)</f>
        <v/>
      </c>
      <c r="IX39" s="9" t="str">
        <f ca="1">IF(OR(IX12="",IX$28&lt;$A39),"",IX12/OFFSET(SSAutESP!$A$2,MATCH(IX$29,SSAutESP!$A$2:$A$500)+$A39-1,1)-1)</f>
        <v/>
      </c>
      <c r="IY39" s="9" t="str">
        <f ca="1">IF(OR(IY12="",IY$28&lt;$A39),"",IY12/OFFSET(SSAutESP!$A$2,MATCH(IY$29,SSAutESP!$A$2:$A$500)+$A39-1,1)-1)</f>
        <v/>
      </c>
      <c r="IZ39" s="9" t="str">
        <f ca="1">IF(OR(IZ12="",IZ$28&lt;$A39),"",IZ12/OFFSET(SSAutESP!$A$2,MATCH(IZ$29,SSAutESP!$A$2:$A$500)+$A39-1,1)-1)</f>
        <v/>
      </c>
      <c r="JA39" s="9" t="str">
        <f ca="1">IF(OR(JA12="",JA$28&lt;$A39),"",JA12/OFFSET(SSAutESP!$A$2,MATCH(JA$29,SSAutESP!$A$2:$A$500)+$A39-1,1)-1)</f>
        <v/>
      </c>
      <c r="JB39" s="9" t="str">
        <f ca="1">IF(OR(JB12="",JB$28&lt;$A39),"",JB12/OFFSET(SSAutESP!$A$2,MATCH(JB$29,SSAutESP!$A$2:$A$500)+$A39-1,1)-1)</f>
        <v/>
      </c>
      <c r="JC39" s="9" t="str">
        <f ca="1">IF(OR(JC12="",JC$28&lt;$A39),"",JC12/OFFSET(SSAutESP!$A$2,MATCH(JC$29,SSAutESP!$A$2:$A$500)+$A39-1,1)-1)</f>
        <v/>
      </c>
      <c r="JD39" s="9" t="str">
        <f ca="1">IF(OR(JD12="",JD$28&lt;$A39),"",JD12/OFFSET(SSAutESP!$A$2,MATCH(JD$29,SSAutESP!$A$2:$A$500)+$A39-1,1)-1)</f>
        <v/>
      </c>
      <c r="JE39" s="9" t="str">
        <f ca="1">IF(OR(JE12="",JE$28&lt;$A39),"",JE12/OFFSET(SSAutESP!$A$2,MATCH(JE$29,SSAutESP!$A$2:$A$500)+$A39-1,1)-1)</f>
        <v/>
      </c>
      <c r="JF39" s="9" t="str">
        <f ca="1">IF(OR(JF12="",JF$28&lt;$A39),"",JF12/OFFSET(SSAutESP!$A$2,MATCH(JF$29,SSAutESP!$A$2:$A$500)+$A39-1,1)-1)</f>
        <v/>
      </c>
      <c r="JG39" s="9" t="str">
        <f ca="1">IF(OR(JG12="",JG$28&lt;$A39),"",JG12/OFFSET(SSAutESP!$A$2,MATCH(JG$29,SSAutESP!$A$2:$A$500)+$A39-1,1)-1)</f>
        <v/>
      </c>
      <c r="JH39" s="9" t="str">
        <f ca="1">IF(OR(JH12="",JH$28&lt;$A39),"",JH12/OFFSET(SSAutESP!$A$2,MATCH(JH$29,SSAutESP!$A$2:$A$500)+$A39-1,1)-1)</f>
        <v/>
      </c>
      <c r="JI39" s="13">
        <f t="shared" ca="1" si="13"/>
        <v>5.8168733803211836E-3</v>
      </c>
      <c r="JJ39" s="13">
        <f t="shared" ca="1" si="14"/>
        <v>6.3969539620416516E-3</v>
      </c>
      <c r="JK39" s="14">
        <f t="shared" ca="1" si="15"/>
        <v>5.2092095849500539E-5</v>
      </c>
      <c r="JL39" s="17">
        <f t="shared" ca="1" si="18"/>
        <v>7.2174854242665802E-3</v>
      </c>
      <c r="JM39" s="15" t="str">
        <f t="shared" ca="1" si="16"/>
        <v>[ -0,86% ; 2,03% ]</v>
      </c>
      <c r="JN39" s="17">
        <f t="shared" ca="1" si="17"/>
        <v>9.2383813430612222E-3</v>
      </c>
      <c r="LY39" s="1"/>
    </row>
    <row r="40" spans="1:337" x14ac:dyDescent="0.25">
      <c r="A40" s="4">
        <v>11</v>
      </c>
      <c r="B40" s="9">
        <f ca="1">IF(OR(B13="",B$28&lt;$A40),"",B13/OFFSET(SSAutESP!$A$2,MATCH(B$29,SSAutESP!$A$2:$A$500)+$A40-1,1)-1)</f>
        <v>-2.5050235383529129E-3</v>
      </c>
      <c r="C40" s="9">
        <f ca="1">IF(OR(C13="",C$28&lt;$A40),"",C13/OFFSET(SSAutESP!$A$2,MATCH(C$29,SSAutESP!$A$2:$A$500)+$A40-1,1)-1)</f>
        <v>3.8568791882518383E-3</v>
      </c>
      <c r="D40" s="9">
        <f ca="1">IF(OR(D13="",D$28&lt;$A40),"",D13/OFFSET(SSAutESP!$A$2,MATCH(D$29,SSAutESP!$A$2:$A$500)+$A40-1,1)-1)</f>
        <v>5.714070678592531E-3</v>
      </c>
      <c r="E40" s="9">
        <f ca="1">IF(OR(E13="",E$28&lt;$A40),"",E13/OFFSET(SSAutESP!$A$2,MATCH(E$29,SSAutESP!$A$2:$A$500)+$A40-1,1)-1)</f>
        <v>8.3091327515445457E-3</v>
      </c>
      <c r="F40" s="9">
        <f ca="1">IF(OR(F13="",F$28&lt;$A40),"",F13/OFFSET(SSAutESP!$A$2,MATCH(F$29,SSAutESP!$A$2:$A$500)+$A40-1,1)-1)</f>
        <v>8.3143699215586508E-3</v>
      </c>
      <c r="G40" s="9">
        <f ca="1">IF(OR(G13="",G$28&lt;$A40),"",G13/OFFSET(SSAutESP!$A$2,MATCH(G$29,SSAutESP!$A$2:$A$500)+$A40-1,1)-1)</f>
        <v>4.6467198201369797E-3</v>
      </c>
      <c r="H40" s="9">
        <f ca="1">IF(OR(H13="",H$28&lt;$A40),"",H13/OFFSET(SSAutESP!$A$2,MATCH(H$29,SSAutESP!$A$2:$A$500)+$A40-1,1)-1)</f>
        <v>5.8309761704897767E-3</v>
      </c>
      <c r="I40" s="9">
        <f ca="1">IF(OR(I13="",I$28&lt;$A40),"",I13/OFFSET(SSAutESP!$A$2,MATCH(I$29,SSAutESP!$A$2:$A$500)+$A40-1,1)-1)</f>
        <v>3.6487744198792083E-3</v>
      </c>
      <c r="J40" s="9">
        <f ca="1">IF(OR(J13="",J$28&lt;$A40),"",J13/OFFSET(SSAutESP!$A$2,MATCH(J$29,SSAutESP!$A$2:$A$500)+$A40-1,1)-1)</f>
        <v>1.6581255777607939E-3</v>
      </c>
      <c r="K40" s="9">
        <f ca="1">IF(OR(K13="",K$28&lt;$A40),"",K13/OFFSET(SSAutESP!$A$2,MATCH(K$29,SSAutESP!$A$2:$A$500)+$A40-1,1)-1)</f>
        <v>1.5172527620039844E-3</v>
      </c>
      <c r="L40" s="9">
        <f ca="1">IF(OR(L13="",L$28&lt;$A40),"",L13/OFFSET(SSAutESP!$A$2,MATCH(L$29,SSAutESP!$A$2:$A$500)+$A40-1,1)-1)</f>
        <v>1.9252546858190556E-3</v>
      </c>
      <c r="M40" s="9">
        <f ca="1">IF(OR(M13="",M$28&lt;$A40),"",M13/OFFSET(SSAutESP!$A$2,MATCH(M$29,SSAutESP!$A$2:$A$500)+$A40-1,1)-1)</f>
        <v>4.0367554352431778E-3</v>
      </c>
      <c r="N40" s="9">
        <f ca="1">IF(OR(N13="",N$28&lt;$A40),"",N13/OFFSET(SSAutESP!$A$2,MATCH(N$29,SSAutESP!$A$2:$A$500)+$A40-1,1)-1)</f>
        <v>7.9302264562559621E-3</v>
      </c>
      <c r="O40" s="9">
        <f ca="1">IF(OR(O13="",O$28&lt;$A40),"",O13/OFFSET(SSAutESP!$A$2,MATCH(O$29,SSAutESP!$A$2:$A$500)+$A40-1,1)-1)</f>
        <v>9.156266458882456E-3</v>
      </c>
      <c r="P40" s="9">
        <f ca="1">IF(OR(P13="",P$28&lt;$A40),"",P13/OFFSET(SSAutESP!$A$2,MATCH(P$29,SSAutESP!$A$2:$A$500)+$A40-1,1)-1)</f>
        <v>6.5945164067766626E-3</v>
      </c>
      <c r="Q40" s="9">
        <f ca="1">IF(OR(Q13="",Q$28&lt;$A40),"",Q13/OFFSET(SSAutESP!$A$2,MATCH(Q$29,SSAutESP!$A$2:$A$500)+$A40-1,1)-1)</f>
        <v>4.1680839262030478E-3</v>
      </c>
      <c r="R40" s="9">
        <f ca="1">IF(OR(R13="",R$28&lt;$A40),"",R13/OFFSET(SSAutESP!$A$2,MATCH(R$29,SSAutESP!$A$2:$A$500)+$A40-1,1)-1)</f>
        <v>2.6042118768867528E-3</v>
      </c>
      <c r="S40" s="9">
        <f ca="1">IF(OR(S13="",S$28&lt;$A40),"",S13/OFFSET(SSAutESP!$A$2,MATCH(S$29,SSAutESP!$A$2:$A$500)+$A40-1,1)-1)</f>
        <v>2.1793408246730817E-3</v>
      </c>
      <c r="T40" s="9">
        <f ca="1">IF(OR(T13="",T$28&lt;$A40),"",T13/OFFSET(SSAutESP!$A$2,MATCH(T$29,SSAutESP!$A$2:$A$500)+$A40-1,1)-1)</f>
        <v>2.4281901582525744E-3</v>
      </c>
      <c r="U40" s="9">
        <f ca="1">IF(OR(U13="",U$28&lt;$A40),"",U13/OFFSET(SSAutESP!$A$2,MATCH(U$29,SSAutESP!$A$2:$A$500)+$A40-1,1)-1)</f>
        <v>-1.2164862782659824E-4</v>
      </c>
      <c r="V40" s="9">
        <f ca="1">IF(OR(V13="",V$28&lt;$A40),"",V13/OFFSET(SSAutESP!$A$2,MATCH(V$29,SSAutESP!$A$2:$A$500)+$A40-1,1)-1)</f>
        <v>-8.8968285362789334E-4</v>
      </c>
      <c r="W40" s="9">
        <f ca="1">IF(OR(W13="",W$28&lt;$A40),"",W13/OFFSET(SSAutESP!$A$2,MATCH(W$29,SSAutESP!$A$2:$A$500)+$A40-1,1)-1)</f>
        <v>1.0740219425138253E-3</v>
      </c>
      <c r="X40" s="9">
        <f ca="1">IF(OR(X13="",X$28&lt;$A40),"",X13/OFFSET(SSAutESP!$A$2,MATCH(X$29,SSAutESP!$A$2:$A$500)+$A40-1,1)-1)</f>
        <v>8.6728056752671812E-4</v>
      </c>
      <c r="Y40" s="9">
        <f ca="1">IF(OR(Y13="",Y$28&lt;$A40),"",Y13/OFFSET(SSAutESP!$A$2,MATCH(Y$29,SSAutESP!$A$2:$A$500)+$A40-1,1)-1)</f>
        <v>7.6303655985121566E-4</v>
      </c>
      <c r="Z40" s="9">
        <f ca="1">IF(OR(Z13="",Z$28&lt;$A40),"",Z13/OFFSET(SSAutESP!$A$2,MATCH(Z$29,SSAutESP!$A$2:$A$500)+$A40-1,1)-1)</f>
        <v>1.335816865715822E-3</v>
      </c>
      <c r="AA40" s="9">
        <f ca="1">IF(OR(AA13="",AA$28&lt;$A40),"",AA13/OFFSET(SSAutESP!$A$2,MATCH(AA$29,SSAutESP!$A$2:$A$500)+$A40-1,1)-1)</f>
        <v>6.4560434784732834E-4</v>
      </c>
      <c r="AB40" s="9">
        <f ca="1">IF(OR(AB13="",AB$28&lt;$A40),"",AB13/OFFSET(SSAutESP!$A$2,MATCH(AB$29,SSAutESP!$A$2:$A$500)+$A40-1,1)-1)</f>
        <v>3.0212101356630328E-4</v>
      </c>
      <c r="AC40" s="9">
        <f ca="1">IF(OR(AC13="",AC$28&lt;$A40),"",AC13/OFFSET(SSAutESP!$A$2,MATCH(AC$29,SSAutESP!$A$2:$A$500)+$A40-1,1)-1)</f>
        <v>-4.14400674276727E-3</v>
      </c>
      <c r="AD40" s="9">
        <f ca="1">IF(OR(AD13="",AD$28&lt;$A40),"",AD13/OFFSET(SSAutESP!$A$2,MATCH(AD$29,SSAutESP!$A$2:$A$500)+$A40-1,1)-1)</f>
        <v>-5.8502169098402224E-3</v>
      </c>
      <c r="AE40" s="9">
        <f ca="1">IF(OR(AE13="",AE$28&lt;$A40),"",AE13/OFFSET(SSAutESP!$A$2,MATCH(AE$29,SSAutESP!$A$2:$A$500)+$A40-1,1)-1)</f>
        <v>-4.0159233332761612E-3</v>
      </c>
      <c r="AF40" s="9">
        <f ca="1">IF(OR(AF13="",AF$28&lt;$A40),"",AF13/OFFSET(SSAutESP!$A$2,MATCH(AF$29,SSAutESP!$A$2:$A$500)+$A40-1,1)-1)</f>
        <v>-6.6340677189434816E-3</v>
      </c>
      <c r="AG40" s="9">
        <f ca="1">IF(OR(AG13="",AG$28&lt;$A40),"",AG13/OFFSET(SSAutESP!$A$2,MATCH(AG$29,SSAutESP!$A$2:$A$500)+$A40-1,1)-1)</f>
        <v>-9.7952668356463546E-3</v>
      </c>
      <c r="AH40" s="9">
        <f ca="1">IF(OR(AH13="",AH$28&lt;$A40),"",AH13/OFFSET(SSAutESP!$A$2,MATCH(AH$29,SSAutESP!$A$2:$A$500)+$A40-1,1)-1)</f>
        <v>-1.3017603327052596E-2</v>
      </c>
      <c r="AI40" s="9">
        <f ca="1">IF(OR(AI13="",AI$28&lt;$A40),"",AI13/OFFSET(SSAutESP!$A$2,MATCH(AI$29,SSAutESP!$A$2:$A$500)+$A40-1,1)-1)</f>
        <v>-9.0855925471303722E-3</v>
      </c>
      <c r="AJ40" s="9">
        <f ca="1">IF(OR(AJ13="",AJ$28&lt;$A40),"",AJ13/OFFSET(SSAutESP!$A$2,MATCH(AJ$29,SSAutESP!$A$2:$A$500)+$A40-1,1)-1)</f>
        <v>-7.1125694122270433E-3</v>
      </c>
      <c r="AK40" s="9">
        <f ca="1">IF(OR(AK13="",AK$28&lt;$A40),"",AK13/OFFSET(SSAutESP!$A$2,MATCH(AK$29,SSAutESP!$A$2:$A$500)+$A40-1,1)-1)</f>
        <v>-7.6744541484465856E-3</v>
      </c>
      <c r="AL40" s="9">
        <f ca="1">IF(OR(AL13="",AL$28&lt;$A40),"",AL13/OFFSET(SSAutESP!$A$2,MATCH(AL$29,SSAutESP!$A$2:$A$500)+$A40-1,1)-1)</f>
        <v>-5.7007543078202438E-3</v>
      </c>
      <c r="AM40" s="9">
        <f ca="1">IF(OR(AM13="",AM$28&lt;$A40),"",AM13/OFFSET(SSAutESP!$A$2,MATCH(AM$29,SSAutESP!$A$2:$A$500)+$A40-1,1)-1)</f>
        <v>-2.2516341186775701E-3</v>
      </c>
      <c r="AN40" s="9">
        <f ca="1">IF(OR(AN13="",AN$28&lt;$A40),"",AN13/OFFSET(SSAutESP!$A$2,MATCH(AN$29,SSAutESP!$A$2:$A$500)+$A40-1,1)-1)</f>
        <v>1.4487354797423357E-3</v>
      </c>
      <c r="AO40" s="9">
        <f ca="1">IF(OR(AO13="",AO$28&lt;$A40),"",AO13/OFFSET(SSAutESP!$A$2,MATCH(AO$29,SSAutESP!$A$2:$A$500)+$A40-1,1)-1)</f>
        <v>6.0606371831590788E-3</v>
      </c>
      <c r="AP40" s="9">
        <f ca="1">IF(OR(AP13="",AP$28&lt;$A40),"",AP13/OFFSET(SSAutESP!$A$2,MATCH(AP$29,SSAutESP!$A$2:$A$500)+$A40-1,1)-1)</f>
        <v>7.5060089056087076E-3</v>
      </c>
      <c r="AQ40" s="9">
        <f ca="1">IF(OR(AQ13="",AQ$28&lt;$A40),"",AQ13/OFFSET(SSAutESP!$A$2,MATCH(AQ$29,SSAutESP!$A$2:$A$500)+$A40-1,1)-1)</f>
        <v>1.1529845163900099E-2</v>
      </c>
      <c r="AR40" s="9">
        <f ca="1">IF(OR(AR13="",AR$28&lt;$A40),"",AR13/OFFSET(SSAutESP!$A$2,MATCH(AR$29,SSAutESP!$A$2:$A$500)+$A40-1,1)-1)</f>
        <v>1.922570671061985E-2</v>
      </c>
      <c r="AS40" s="9">
        <f ca="1">IF(OR(AS13="",AS$28&lt;$A40),"",AS13/OFFSET(SSAutESP!$A$2,MATCH(AS$29,SSAutESP!$A$2:$A$500)+$A40-1,1)-1)</f>
        <v>2.3759456026773096E-2</v>
      </c>
      <c r="AT40" s="9">
        <f ca="1">IF(OR(AT13="",AT$28&lt;$A40),"",AT13/OFFSET(SSAutESP!$A$2,MATCH(AT$29,SSAutESP!$A$2:$A$500)+$A40-1,1)-1)</f>
        <v>2.4235277682419953E-2</v>
      </c>
      <c r="AU40" s="9">
        <f ca="1">IF(OR(AU13="",AU$28&lt;$A40),"",AU13/OFFSET(SSAutESP!$A$2,MATCH(AU$29,SSAutESP!$A$2:$A$500)+$A40-1,1)-1)</f>
        <v>3.3420625635493195E-2</v>
      </c>
      <c r="AV40" s="9">
        <f ca="1">IF(OR(AV13="",AV$28&lt;$A40),"",AV13/OFFSET(SSAutESP!$A$2,MATCH(AV$29,SSAutESP!$A$2:$A$500)+$A40-1,1)-1)</f>
        <v>3.8445083144825976E-2</v>
      </c>
      <c r="AW40" s="9">
        <f ca="1">IF(OR(AW13="",AW$28&lt;$A40),"",AW13/OFFSET(SSAutESP!$A$2,MATCH(AW$29,SSAutESP!$A$2:$A$500)+$A40-1,1)-1)</f>
        <v>4.2066685005931692E-2</v>
      </c>
      <c r="AX40" s="9">
        <f ca="1">IF(OR(AX13="",AX$28&lt;$A40),"",AX13/OFFSET(SSAutESP!$A$2,MATCH(AX$29,SSAutESP!$A$2:$A$500)+$A40-1,1)-1)</f>
        <v>4.5278810530335667E-2</v>
      </c>
      <c r="AY40" s="9">
        <f ca="1">IF(OR(AY13="",AY$28&lt;$A40),"",AY13/OFFSET(SSAutESP!$A$2,MATCH(AY$29,SSAutESP!$A$2:$A$500)+$A40-1,1)-1)</f>
        <v>4.9413571686989011E-2</v>
      </c>
      <c r="AZ40" s="9">
        <f ca="1">IF(OR(AZ13="",AZ$28&lt;$A40),"",AZ13/OFFSET(SSAutESP!$A$2,MATCH(AZ$29,SSAutESP!$A$2:$A$500)+$A40-1,1)-1)</f>
        <v>5.4557469893848909E-2</v>
      </c>
      <c r="BA40" s="9">
        <f ca="1">IF(OR(BA13="",BA$28&lt;$A40),"",BA13/OFFSET(SSAutESP!$A$2,MATCH(BA$29,SSAutESP!$A$2:$A$500)+$A40-1,1)-1)</f>
        <v>5.5704858422904957E-2</v>
      </c>
      <c r="BB40" s="9">
        <f ca="1">IF(OR(BB13="",BB$28&lt;$A40),"",BB13/OFFSET(SSAutESP!$A$2,MATCH(BB$29,SSAutESP!$A$2:$A$500)+$A40-1,1)-1)</f>
        <v>4.3292051539311593E-2</v>
      </c>
      <c r="BC40" s="9">
        <f ca="1">IF(OR(BC13="",BC$28&lt;$A40),"",BC13/OFFSET(SSAutESP!$A$2,MATCH(BC$29,SSAutESP!$A$2:$A$500)+$A40-1,1)-1)</f>
        <v>2.1840944365032477E-2</v>
      </c>
      <c r="BD40" s="9">
        <f ca="1">IF(OR(BD13="",BD$28&lt;$A40),"",BD13/OFFSET(SSAutESP!$A$2,MATCH(BD$29,SSAutESP!$A$2:$A$500)+$A40-1,1)-1)</f>
        <v>2.6898583360829953E-2</v>
      </c>
      <c r="BE40" s="9">
        <f ca="1">IF(OR(BE13="",BE$28&lt;$A40),"",BE13/OFFSET(SSAutESP!$A$2,MATCH(BE$29,SSAutESP!$A$2:$A$500)+$A40-1,1)-1)</f>
        <v>1.9572657141360361E-2</v>
      </c>
      <c r="BF40" s="9">
        <f ca="1">IF(OR(BF13="",BF$28&lt;$A40),"",BF13/OFFSET(SSAutESP!$A$2,MATCH(BF$29,SSAutESP!$A$2:$A$500)+$A40-1,1)-1)</f>
        <v>1.6389710665283497E-2</v>
      </c>
      <c r="BG40" s="9">
        <f ca="1">IF(OR(BG13="",BG$28&lt;$A40),"",BG13/OFFSET(SSAutESP!$A$2,MATCH(BG$29,SSAutESP!$A$2:$A$500)+$A40-1,1)-1)</f>
        <v>3.1451897619505731E-2</v>
      </c>
      <c r="BH40" s="9">
        <f ca="1">IF(OR(BH13="",BH$28&lt;$A40),"",BH13/OFFSET(SSAutESP!$A$2,MATCH(BH$29,SSAutESP!$A$2:$A$500)+$A40-1,1)-1)</f>
        <v>1.7941451494458471E-2</v>
      </c>
      <c r="BI40" s="9">
        <f ca="1">IF(OR(BI13="",BI$28&lt;$A40),"",BI13/OFFSET(SSAutESP!$A$2,MATCH(BI$29,SSAutESP!$A$2:$A$500)+$A40-1,1)-1)</f>
        <v>7.6181025380832601E-3</v>
      </c>
      <c r="BJ40" s="9">
        <f ca="1">IF(OR(BJ13="",BJ$28&lt;$A40),"",BJ13/OFFSET(SSAutESP!$A$2,MATCH(BJ$29,SSAutESP!$A$2:$A$500)+$A40-1,1)-1)</f>
        <v>6.160191368018042E-3</v>
      </c>
      <c r="BK40" s="9">
        <f ca="1">IF(OR(BK13="",BK$28&lt;$A40),"",BK13/OFFSET(SSAutESP!$A$2,MATCH(BK$29,SSAutESP!$A$2:$A$500)+$A40-1,1)-1)</f>
        <v>-3.4491592709705254E-2</v>
      </c>
      <c r="BL40" s="9">
        <f ca="1">IF(OR(BL13="",BL$28&lt;$A40),"",BL13/OFFSET(SSAutESP!$A$2,MATCH(BL$29,SSAutESP!$A$2:$A$500)+$A40-1,1)-1)</f>
        <v>-5.7654603667151139E-2</v>
      </c>
      <c r="BM40" s="9">
        <f ca="1">IF(OR(BM13="",BM$28&lt;$A40),"",BM13/OFFSET(SSAutESP!$A$2,MATCH(BM$29,SSAutESP!$A$2:$A$500)+$A40-1,1)-1)</f>
        <v>-5.2759108654195974E-2</v>
      </c>
      <c r="BN40" s="9">
        <f ca="1">IF(OR(BN13="",BN$28&lt;$A40),"",BN13/OFFSET(SSAutESP!$A$2,MATCH(BN$29,SSAutESP!$A$2:$A$500)+$A40-1,1)-1)</f>
        <v>-3.6534131341949383E-2</v>
      </c>
      <c r="BO40" s="9">
        <f ca="1">IF(OR(BO13="",BO$28&lt;$A40),"",BO13/OFFSET(SSAutESP!$A$2,MATCH(BO$29,SSAutESP!$A$2:$A$500)+$A40-1,1)-1)</f>
        <v>-2.8955226107763576E-2</v>
      </c>
      <c r="BP40" s="9">
        <f ca="1">IF(OR(BP13="",BP$28&lt;$A40),"",BP13/OFFSET(SSAutESP!$A$2,MATCH(BP$29,SSAutESP!$A$2:$A$500)+$A40-1,1)-1)</f>
        <v>-2.4072033389413772E-2</v>
      </c>
      <c r="BQ40" s="9">
        <f ca="1">IF(OR(BQ13="",BQ$28&lt;$A40),"",BQ13/OFFSET(SSAutESP!$A$2,MATCH(BQ$29,SSAutESP!$A$2:$A$500)+$A40-1,1)-1)</f>
        <v>-2.9168222478000438E-2</v>
      </c>
      <c r="BR40" s="9">
        <f ca="1">IF(OR(BR13="",BR$28&lt;$A40),"",BR13/OFFSET(SSAutESP!$A$2,MATCH(BR$29,SSAutESP!$A$2:$A$500)+$A40-1,1)-1)</f>
        <v>-2.2367646416340814E-2</v>
      </c>
      <c r="BS40" s="9">
        <f ca="1">IF(OR(BS13="",BS$28&lt;$A40),"",BS13/OFFSET(SSAutESP!$A$2,MATCH(BS$29,SSAutESP!$A$2:$A$500)+$A40-1,1)-1)</f>
        <v>-5.2704504946058384E-3</v>
      </c>
      <c r="BT40" s="9">
        <f ca="1">IF(OR(BT13="",BT$28&lt;$A40),"",BT13/OFFSET(SSAutESP!$A$2,MATCH(BT$29,SSAutESP!$A$2:$A$500)+$A40-1,1)-1)</f>
        <v>-1.6425943110600638E-2</v>
      </c>
      <c r="BU40" s="9">
        <f ca="1">IF(OR(BU13="",BU$28&lt;$A40),"",BU13/OFFSET(SSAutESP!$A$2,MATCH(BU$29,SSAutESP!$A$2:$A$500)+$A40-1,1)-1)</f>
        <v>-1.9514978288525331E-2</v>
      </c>
      <c r="BV40" s="9">
        <f ca="1">IF(OR(BV13="",BV$28&lt;$A40),"",BV13/OFFSET(SSAutESP!$A$2,MATCH(BV$29,SSAutESP!$A$2:$A$500)+$A40-1,1)-1)</f>
        <v>-1.1006587435934301E-2</v>
      </c>
      <c r="BW40" s="9">
        <f ca="1">IF(OR(BW13="",BW$28&lt;$A40),"",BW13/OFFSET(SSAutESP!$A$2,MATCH(BW$29,SSAutESP!$A$2:$A$500)+$A40-1,1)-1)</f>
        <v>3.556088408754432E-3</v>
      </c>
      <c r="BX40" s="9">
        <f ca="1">IF(OR(BX13="",BX$28&lt;$A40),"",BX13/OFFSET(SSAutESP!$A$2,MATCH(BX$29,SSAutESP!$A$2:$A$500)+$A40-1,1)-1)</f>
        <v>-1.39543058586169E-2</v>
      </c>
      <c r="BY40" s="9">
        <f ca="1">IF(OR(BY13="",BY$28&lt;$A40),"",BY13/OFFSET(SSAutESP!$A$2,MATCH(BY$29,SSAutESP!$A$2:$A$500)+$A40-1,1)-1)</f>
        <v>-7.0907677038049011E-3</v>
      </c>
      <c r="BZ40" s="9">
        <f ca="1">IF(OR(BZ13="",BZ$28&lt;$A40),"",BZ13/OFFSET(SSAutESP!$A$2,MATCH(BZ$29,SSAutESP!$A$2:$A$500)+$A40-1,1)-1)</f>
        <v>-5.0343310949573228E-3</v>
      </c>
      <c r="CA40" s="9">
        <f ca="1">IF(OR(CA13="",CA$28&lt;$A40),"",CA13/OFFSET(SSAutESP!$A$2,MATCH(CA$29,SSAutESP!$A$2:$A$500)+$A40-1,1)-1)</f>
        <v>1.6471783085769687E-3</v>
      </c>
      <c r="CB40" s="9">
        <f ca="1">IF(OR(CB13="",CB$28&lt;$A40),"",CB13/OFFSET(SSAutESP!$A$2,MATCH(CB$29,SSAutESP!$A$2:$A$500)+$A40-1,1)-1)</f>
        <v>2.3239422969594248E-3</v>
      </c>
      <c r="CC40" s="9">
        <f ca="1">IF(OR(CC13="",CC$28&lt;$A40),"",CC13/OFFSET(SSAutESP!$A$2,MATCH(CC$29,SSAutESP!$A$2:$A$500)+$A40-1,1)-1)</f>
        <v>-1.9260966708913863E-3</v>
      </c>
      <c r="CD40" s="9">
        <f ca="1">IF(OR(CD13="",CD$28&lt;$A40),"",CD13/OFFSET(SSAutESP!$A$2,MATCH(CD$29,SSAutESP!$A$2:$A$500)+$A40-1,1)-1)</f>
        <v>-1.2007607720547431E-2</v>
      </c>
      <c r="CE40" s="9">
        <f ca="1">IF(OR(CE13="",CE$28&lt;$A40),"",CE13/OFFSET(SSAutESP!$A$2,MATCH(CE$29,SSAutESP!$A$2:$A$500)+$A40-1,1)-1)</f>
        <v>-5.0624361906855819E-3</v>
      </c>
      <c r="CF40" s="9">
        <f ca="1">IF(OR(CF13="",CF$28&lt;$A40),"",CF13/OFFSET(SSAutESP!$A$2,MATCH(CF$29,SSAutESP!$A$2:$A$500)+$A40-1,1)-1)</f>
        <v>-1.9299040543621082E-3</v>
      </c>
      <c r="CG40" s="9">
        <f ca="1">IF(OR(CG13="",CG$28&lt;$A40),"",CG13/OFFSET(SSAutESP!$A$2,MATCH(CG$29,SSAutESP!$A$2:$A$500)+$A40-1,1)-1)</f>
        <v>-1.4496588648758024E-3</v>
      </c>
      <c r="CH40" s="9">
        <f ca="1">IF(OR(CH13="",CH$28&lt;$A40),"",CH13/OFFSET(SSAutESP!$A$2,MATCH(CH$29,SSAutESP!$A$2:$A$500)+$A40-1,1)-1)</f>
        <v>-4.4626757410657358E-3</v>
      </c>
      <c r="CI40" s="9">
        <f ca="1">IF(OR(CI13="",CI$28&lt;$A40),"",CI13/OFFSET(SSAutESP!$A$2,MATCH(CI$29,SSAutESP!$A$2:$A$500)+$A40-1,1)-1)</f>
        <v>1.3670867338786419E-3</v>
      </c>
      <c r="CJ40" s="9">
        <f ca="1">IF(OR(CJ13="",CJ$28&lt;$A40),"",CJ13/OFFSET(SSAutESP!$A$2,MATCH(CJ$29,SSAutESP!$A$2:$A$500)+$A40-1,1)-1)</f>
        <v>-4.1364544649014068E-4</v>
      </c>
      <c r="CK40" s="9">
        <f ca="1">IF(OR(CK13="",CK$28&lt;$A40),"",CK13/OFFSET(SSAutESP!$A$2,MATCH(CK$29,SSAutESP!$A$2:$A$500)+$A40-1,1)-1)</f>
        <v>1.3781560089666245E-2</v>
      </c>
      <c r="CL40" s="9">
        <f ca="1">IF(OR(CL13="",CL$28&lt;$A40),"",CL13/OFFSET(SSAutESP!$A$2,MATCH(CL$29,SSAutESP!$A$2:$A$500)+$A40-1,1)-1)</f>
        <v>1.3863657445077004E-2</v>
      </c>
      <c r="CM40" s="9">
        <f ca="1">IF(OR(CM13="",CM$28&lt;$A40),"",CM13/OFFSET(SSAutESP!$A$2,MATCH(CM$29,SSAutESP!$A$2:$A$500)+$A40-1,1)-1)</f>
        <v>1.3251492848917357E-2</v>
      </c>
      <c r="CN40" s="9">
        <f ca="1">IF(OR(CN13="",CN$28&lt;$A40),"",CN13/OFFSET(SSAutESP!$A$2,MATCH(CN$29,SSAutESP!$A$2:$A$500)+$A40-1,1)-1)</f>
        <v>5.4179702324514967E-3</v>
      </c>
      <c r="CO40" s="9">
        <f ca="1">IF(OR(CO13="",CO$28&lt;$A40),"",CO13/OFFSET(SSAutESP!$A$2,MATCH(CO$29,SSAutESP!$A$2:$A$500)+$A40-1,1)-1)</f>
        <v>4.5466087789280962E-3</v>
      </c>
      <c r="CP40" s="9">
        <f ca="1">IF(OR(CP13="",CP$28&lt;$A40),"",CP13/OFFSET(SSAutESP!$A$2,MATCH(CP$29,SSAutESP!$A$2:$A$500)+$A40-1,1)-1)</f>
        <v>9.0936598915281053E-4</v>
      </c>
      <c r="CQ40" s="9">
        <f ca="1">IF(OR(CQ13="",CQ$28&lt;$A40),"",CQ13/OFFSET(SSAutESP!$A$2,MATCH(CQ$29,SSAutESP!$A$2:$A$500)+$A40-1,1)-1)</f>
        <v>8.0538942352328391E-3</v>
      </c>
      <c r="CR40" s="9">
        <f ca="1">IF(OR(CR13="",CR$28&lt;$A40),"",CR13/OFFSET(SSAutESP!$A$2,MATCH(CR$29,SSAutESP!$A$2:$A$500)+$A40-1,1)-1)</f>
        <v>6.1924527810175434E-3</v>
      </c>
      <c r="CS40" s="9">
        <f ca="1">IF(OR(CS13="",CS$28&lt;$A40),"",CS13/OFFSET(SSAutESP!$A$2,MATCH(CS$29,SSAutESP!$A$2:$A$500)+$A40-1,1)-1)</f>
        <v>-3.0557774655770586E-5</v>
      </c>
      <c r="CT40" s="9">
        <f ca="1">IF(OR(CT13="",CT$28&lt;$A40),"",CT13/OFFSET(SSAutESP!$A$2,MATCH(CT$29,SSAutESP!$A$2:$A$500)+$A40-1,1)-1)</f>
        <v>1.1578835696590684E-3</v>
      </c>
      <c r="CU40" s="9">
        <f ca="1">IF(OR(CU13="",CU$28&lt;$A40),"",CU13/OFFSET(SSAutESP!$A$2,MATCH(CU$29,SSAutESP!$A$2:$A$500)+$A40-1,1)-1)</f>
        <v>-1.6511995028980153E-2</v>
      </c>
      <c r="CV40" s="9">
        <f ca="1">IF(OR(CV13="",CV$28&lt;$A40),"",CV13/OFFSET(SSAutESP!$A$2,MATCH(CV$29,SSAutESP!$A$2:$A$500)+$A40-1,1)-1)</f>
        <v>3.6900745226109422E-5</v>
      </c>
      <c r="CW40" s="9">
        <f ca="1">IF(OR(CW13="",CW$28&lt;$A40),"",CW13/OFFSET(SSAutESP!$A$2,MATCH(CW$29,SSAutESP!$A$2:$A$500)+$A40-1,1)-1)</f>
        <v>6.2872405369427398E-3</v>
      </c>
      <c r="CX40" s="9">
        <f ca="1">IF(OR(CX13="",CX$28&lt;$A40),"",CX13/OFFSET(SSAutESP!$A$2,MATCH(CX$29,SSAutESP!$A$2:$A$500)+$A40-1,1)-1)</f>
        <v>6.9105616977411799E-3</v>
      </c>
      <c r="CY40" s="9">
        <f ca="1">IF(OR(CY13="",CY$28&lt;$A40),"",CY13/OFFSET(SSAutESP!$A$2,MATCH(CY$29,SSAutESP!$A$2:$A$500)+$A40-1,1)-1)</f>
        <v>5.0359027627664421E-3</v>
      </c>
      <c r="CZ40" s="9">
        <f ca="1">IF(OR(CZ13="",CZ$28&lt;$A40),"",CZ13/OFFSET(SSAutESP!$A$2,MATCH(CZ$29,SSAutESP!$A$2:$A$500)+$A40-1,1)-1)</f>
        <v>3.0297480564771551E-3</v>
      </c>
      <c r="DA40" s="9">
        <f ca="1">IF(OR(DA13="",DA$28&lt;$A40),"",DA13/OFFSET(SSAutESP!$A$2,MATCH(DA$29,SSAutESP!$A$2:$A$500)+$A40-1,1)-1)</f>
        <v>-8.7184606072965298E-4</v>
      </c>
      <c r="DB40" s="9">
        <f ca="1">IF(OR(DB13="",DB$28&lt;$A40),"",DB13/OFFSET(SSAutESP!$A$2,MATCH(DB$29,SSAutESP!$A$2:$A$500)+$A40-1,1)-1)</f>
        <v>-1.5596146414602829E-2</v>
      </c>
      <c r="DC40" s="9">
        <f ca="1">IF(OR(DC13="",DC$28&lt;$A40),"",DC13/OFFSET(SSAutESP!$A$2,MATCH(DC$29,SSAutESP!$A$2:$A$500)+$A40-1,1)-1)</f>
        <v>-1.6004667744874967E-2</v>
      </c>
      <c r="DD40" s="9">
        <f ca="1">IF(OR(DD13="",DD$28&lt;$A40),"",DD13/OFFSET(SSAutESP!$A$2,MATCH(DD$29,SSAutESP!$A$2:$A$500)+$A40-1,1)-1)</f>
        <v>-1.3151698965483405E-2</v>
      </c>
      <c r="DE40" s="9">
        <f ca="1">IF(OR(DE13="",DE$28&lt;$A40),"",DE13/OFFSET(SSAutESP!$A$2,MATCH(DE$29,SSAutESP!$A$2:$A$500)+$A40-1,1)-1)</f>
        <v>-2.139847883024848E-2</v>
      </c>
      <c r="DF40" s="9">
        <f ca="1">IF(OR(DF13="",DF$28&lt;$A40),"",DF13/OFFSET(SSAutESP!$A$2,MATCH(DF$29,SSAutESP!$A$2:$A$500)+$A40-1,1)-1)</f>
        <v>-1.4214568038940278E-2</v>
      </c>
      <c r="DG40" s="9">
        <f ca="1">IF(OR(DG13="",DG$28&lt;$A40),"",DG13/OFFSET(SSAutESP!$A$2,MATCH(DG$29,SSAutESP!$A$2:$A$500)+$A40-1,1)-1)</f>
        <v>-2.2421890767668984E-2</v>
      </c>
      <c r="DH40" s="9">
        <f ca="1">IF(OR(DH13="",DH$28&lt;$A40),"",DH13/OFFSET(SSAutESP!$A$2,MATCH(DH$29,SSAutESP!$A$2:$A$500)+$A40-1,1)-1)</f>
        <v>-3.0513758665628776E-2</v>
      </c>
      <c r="DI40" s="9">
        <f ca="1">IF(OR(DI13="",DI$28&lt;$A40),"",DI13/OFFSET(SSAutESP!$A$2,MATCH(DI$29,SSAutESP!$A$2:$A$500)+$A40-1,1)-1)</f>
        <v>-2.2601313474284179E-2</v>
      </c>
      <c r="DJ40" s="9">
        <f ca="1">IF(OR(DJ13="",DJ$28&lt;$A40),"",DJ13/OFFSET(SSAutESP!$A$2,MATCH(DJ$29,SSAutESP!$A$2:$A$500)+$A40-1,1)-1)</f>
        <v>-1.2560790326265447E-2</v>
      </c>
      <c r="DK40" s="9">
        <f ca="1">IF(OR(DK13="",DK$28&lt;$A40),"",DK13/OFFSET(SSAutESP!$A$2,MATCH(DK$29,SSAutESP!$A$2:$A$500)+$A40-1,1)-1)</f>
        <v>-1.2329389846754912E-2</v>
      </c>
      <c r="DL40" s="9">
        <f ca="1">IF(OR(DL13="",DL$28&lt;$A40),"",DL13/OFFSET(SSAutESP!$A$2,MATCH(DL$29,SSAutESP!$A$2:$A$500)+$A40-1,1)-1)</f>
        <v>-7.6981247859722046E-3</v>
      </c>
      <c r="DM40" s="9">
        <f ca="1">IF(OR(DM13="",DM$28&lt;$A40),"",DM13/OFFSET(SSAutESP!$A$2,MATCH(DM$29,SSAutESP!$A$2:$A$500)+$A40-1,1)-1)</f>
        <v>-6.9035276714094485E-3</v>
      </c>
      <c r="DN40" s="9">
        <f ca="1">IF(OR(DN13="",DN$28&lt;$A40),"",DN13/OFFSET(SSAutESP!$A$2,MATCH(DN$29,SSAutESP!$A$2:$A$500)+$A40-1,1)-1)</f>
        <v>-2.6691222404320092E-2</v>
      </c>
      <c r="DO40" s="9">
        <f ca="1">IF(OR(DO13="",DO$28&lt;$A40),"",DO13/OFFSET(SSAutESP!$A$2,MATCH(DO$29,SSAutESP!$A$2:$A$500)+$A40-1,1)-1)</f>
        <v>-1.667326887855225E-2</v>
      </c>
      <c r="DP40" s="9">
        <f ca="1">IF(OR(DP13="",DP$28&lt;$A40),"",DP13/OFFSET(SSAutESP!$A$2,MATCH(DP$29,SSAutESP!$A$2:$A$500)+$A40-1,1)-1)</f>
        <v>-1.5404536458680562E-2</v>
      </c>
      <c r="DQ40" s="9">
        <f ca="1">IF(OR(DQ13="",DQ$28&lt;$A40),"",DQ13/OFFSET(SSAutESP!$A$2,MATCH(DQ$29,SSAutESP!$A$2:$A$500)+$A40-1,1)-1)</f>
        <v>-4.5398633165665281E-3</v>
      </c>
      <c r="DR40" s="9">
        <f ca="1">IF(OR(DR13="",DR$28&lt;$A40),"",DR13/OFFSET(SSAutESP!$A$2,MATCH(DR$29,SSAutESP!$A$2:$A$500)+$A40-1,1)-1)</f>
        <v>6.4265987816016779E-3</v>
      </c>
      <c r="DS40" s="9">
        <f ca="1">IF(OR(DS13="",DS$28&lt;$A40),"",DS13/OFFSET(SSAutESP!$A$2,MATCH(DS$29,SSAutESP!$A$2:$A$500)+$A40-1,1)-1)</f>
        <v>-7.0409123250757544E-3</v>
      </c>
      <c r="DT40" s="9">
        <f ca="1">IF(OR(DT13="",DT$28&lt;$A40),"",DT13/OFFSET(SSAutESP!$A$2,MATCH(DT$29,SSAutESP!$A$2:$A$500)+$A40-1,1)-1)</f>
        <v>-4.6827885646131273E-3</v>
      </c>
      <c r="DU40" s="9">
        <f ca="1">IF(OR(DU13="",DU$28&lt;$A40),"",DU13/OFFSET(SSAutESP!$A$2,MATCH(DU$29,SSAutESP!$A$2:$A$500)+$A40-1,1)-1)</f>
        <v>1.5995667459185459E-3</v>
      </c>
      <c r="DV40" s="9">
        <f ca="1">IF(OR(DV13="",DV$28&lt;$A40),"",DV13/OFFSET(SSAutESP!$A$2,MATCH(DV$29,SSAutESP!$A$2:$A$500)+$A40-1,1)-1)</f>
        <v>1.437886785618514E-2</v>
      </c>
      <c r="DW40" s="9">
        <f ca="1">IF(OR(DW13="",DW$28&lt;$A40),"",DW13/OFFSET(SSAutESP!$A$2,MATCH(DW$29,SSAutESP!$A$2:$A$500)+$A40-1,1)-1)</f>
        <v>1.7686474043951961E-2</v>
      </c>
      <c r="DX40" s="9">
        <f ca="1">IF(OR(DX13="",DX$28&lt;$A40),"",DX13/OFFSET(SSAutESP!$A$2,MATCH(DX$29,SSAutESP!$A$2:$A$500)+$A40-1,1)-1)</f>
        <v>9.2519414329814698E-3</v>
      </c>
      <c r="DY40" s="9">
        <f ca="1">IF(OR(DY13="",DY$28&lt;$A40),"",DY13/OFFSET(SSAutESP!$A$2,MATCH(DY$29,SSAutESP!$A$2:$A$500)+$A40-1,1)-1)</f>
        <v>1.4303979867236194E-3</v>
      </c>
      <c r="DZ40" s="9">
        <f ca="1">IF(OR(DZ13="",DZ$28&lt;$A40),"",DZ13/OFFSET(SSAutESP!$A$2,MATCH(DZ$29,SSAutESP!$A$2:$A$500)+$A40-1,1)-1)</f>
        <v>-5.4921152561410169E-3</v>
      </c>
      <c r="EA40" s="9">
        <f ca="1">IF(OR(EA13="",EA$28&lt;$A40),"",EA13/OFFSET(SSAutESP!$A$2,MATCH(EA$29,SSAutESP!$A$2:$A$500)+$A40-1,1)-1)</f>
        <v>2.5813315498286471E-3</v>
      </c>
      <c r="EB40" s="9">
        <f ca="1">IF(OR(EB13="",EB$28&lt;$A40),"",EB13/OFFSET(SSAutESP!$A$2,MATCH(EB$29,SSAutESP!$A$2:$A$500)+$A40-1,1)-1)</f>
        <v>5.9564544830521537E-3</v>
      </c>
      <c r="EC40" s="9">
        <f ca="1">IF(OR(EC13="",EC$28&lt;$A40),"",EC13/OFFSET(SSAutESP!$A$2,MATCH(EC$29,SSAutESP!$A$2:$A$500)+$A40-1,1)-1)</f>
        <v>1.0954170185097922E-3</v>
      </c>
      <c r="ED40" s="9">
        <f ca="1">IF(OR(ED13="",ED$28&lt;$A40),"",ED13/OFFSET(SSAutESP!$A$2,MATCH(ED$29,SSAutESP!$A$2:$A$500)+$A40-1,1)-1)</f>
        <v>7.823007360924672E-3</v>
      </c>
      <c r="EE40" s="9">
        <f ca="1">IF(OR(EE13="",EE$28&lt;$A40),"",EE13/OFFSET(SSAutESP!$A$2,MATCH(EE$29,SSAutESP!$A$2:$A$500)+$A40-1,1)-1)</f>
        <v>-1.9735349032676819E-3</v>
      </c>
      <c r="EF40" s="9">
        <f ca="1">IF(OR(EF13="",EF$28&lt;$A40),"",EF13/OFFSET(SSAutESP!$A$2,MATCH(EF$29,SSAutESP!$A$2:$A$500)+$A40-1,1)-1)</f>
        <v>5.6857963185090732E-3</v>
      </c>
      <c r="EG40" s="9">
        <f ca="1">IF(OR(EG13="",EG$28&lt;$A40),"",EG13/OFFSET(SSAutESP!$A$2,MATCH(EG$29,SSAutESP!$A$2:$A$500)+$A40-1,1)-1)</f>
        <v>1.5273179726341679E-2</v>
      </c>
      <c r="EH40" s="9">
        <f ca="1">IF(OR(EH13="",EH$28&lt;$A40),"",EH13/OFFSET(SSAutESP!$A$2,MATCH(EH$29,SSAutESP!$A$2:$A$500)+$A40-1,1)-1)</f>
        <v>1.29345765529707E-2</v>
      </c>
      <c r="EI40" s="9">
        <f ca="1">IF(OR(EI13="",EI$28&lt;$A40),"",EI13/OFFSET(SSAutESP!$A$2,MATCH(EI$29,SSAutESP!$A$2:$A$500)+$A40-1,1)-1)</f>
        <v>1.1046194017052979E-2</v>
      </c>
      <c r="EJ40" s="9">
        <f ca="1">IF(OR(EJ13="",EJ$28&lt;$A40),"",EJ13/OFFSET(SSAutESP!$A$2,MATCH(EJ$29,SSAutESP!$A$2:$A$500)+$A40-1,1)-1)</f>
        <v>8.2597797383794358E-3</v>
      </c>
      <c r="EK40" s="9">
        <f ca="1">IF(OR(EK13="",EK$28&lt;$A40),"",EK13/OFFSET(SSAutESP!$A$2,MATCH(EK$29,SSAutESP!$A$2:$A$500)+$A40-1,1)-1)</f>
        <v>-5.6103289469064954E-3</v>
      </c>
      <c r="EL40" s="9">
        <f ca="1">IF(OR(EL13="",EL$28&lt;$A40),"",EL13/OFFSET(SSAutESP!$A$2,MATCH(EL$29,SSAutESP!$A$2:$A$500)+$A40-1,1)-1)</f>
        <v>-3.9533320761533375E-3</v>
      </c>
      <c r="EM40" s="9">
        <f ca="1">IF(OR(EM13="",EM$28&lt;$A40),"",EM13/OFFSET(SSAutESP!$A$2,MATCH(EM$29,SSAutESP!$A$2:$A$500)+$A40-1,1)-1)</f>
        <v>-1.4137998395624685E-3</v>
      </c>
      <c r="EN40" s="9">
        <f ca="1">IF(OR(EN13="",EN$28&lt;$A40),"",EN13/OFFSET(SSAutESP!$A$2,MATCH(EN$29,SSAutESP!$A$2:$A$500)+$A40-1,1)-1)</f>
        <v>-4.7746706911547809E-3</v>
      </c>
      <c r="EO40" s="9">
        <f ca="1">IF(OR(EO13="",EO$28&lt;$A40),"",EO13/OFFSET(SSAutESP!$A$2,MATCH(EO$29,SSAutESP!$A$2:$A$500)+$A40-1,1)-1)</f>
        <v>3.6632182218419018E-3</v>
      </c>
      <c r="EP40" s="9">
        <f ca="1">IF(OR(EP13="",EP$28&lt;$A40),"",EP13/OFFSET(SSAutESP!$A$2,MATCH(EP$29,SSAutESP!$A$2:$A$500)+$A40-1,1)-1)</f>
        <v>-2.048037990809104E-3</v>
      </c>
      <c r="EQ40" s="9">
        <f ca="1">IF(OR(EQ13="",EQ$28&lt;$A40),"",EQ13/OFFSET(SSAutESP!$A$2,MATCH(EQ$29,SSAutESP!$A$2:$A$500)+$A40-1,1)-1)</f>
        <v>-1.4807523444149484E-2</v>
      </c>
      <c r="ER40" s="9">
        <f ca="1">IF(OR(ER13="",ER$28&lt;$A40),"",ER13/OFFSET(SSAutESP!$A$2,MATCH(ER$29,SSAutESP!$A$2:$A$500)+$A40-1,1)-1)</f>
        <v>4.3967160766533731E-4</v>
      </c>
      <c r="ES40" s="9">
        <f ca="1">IF(OR(ES13="",ES$28&lt;$A40),"",ES13/OFFSET(SSAutESP!$A$2,MATCH(ES$29,SSAutESP!$A$2:$A$500)+$A40-1,1)-1)</f>
        <v>6.7721176506334579E-3</v>
      </c>
      <c r="ET40" s="9">
        <f ca="1">IF(OR(ET13="",ET$28&lt;$A40),"",ET13/OFFSET(SSAutESP!$A$2,MATCH(ET$29,SSAutESP!$A$2:$A$500)+$A40-1,1)-1)</f>
        <v>1.7003615475437162E-3</v>
      </c>
      <c r="EU40" s="9">
        <f ca="1">IF(OR(EU13="",EU$28&lt;$A40),"",EU13/OFFSET(SSAutESP!$A$2,MATCH(EU$29,SSAutESP!$A$2:$A$500)+$A40-1,1)-1)</f>
        <v>4.9217039216142844E-4</v>
      </c>
      <c r="EV40" s="9">
        <f ca="1">IF(OR(EV13="",EV$28&lt;$A40),"",EV13/OFFSET(SSAutESP!$A$2,MATCH(EV$29,SSAutESP!$A$2:$A$500)+$A40-1,1)-1)</f>
        <v>-3.1055990523765065E-4</v>
      </c>
      <c r="EW40" s="9">
        <f ca="1">IF(OR(EW13="",EW$28&lt;$A40),"",EW13/OFFSET(SSAutESP!$A$2,MATCH(EW$29,SSAutESP!$A$2:$A$500)+$A40-1,1)-1)</f>
        <v>-8.1357392865401001E-3</v>
      </c>
      <c r="EX40" s="9">
        <f ca="1">IF(OR(EX13="",EX$28&lt;$A40),"",EX13/OFFSET(SSAutESP!$A$2,MATCH(EX$29,SSAutESP!$A$2:$A$500)+$A40-1,1)-1)</f>
        <v>-4.337552185258442E-3</v>
      </c>
      <c r="EY40" s="9">
        <f ca="1">IF(OR(EY13="",EY$28&lt;$A40),"",EY13/OFFSET(SSAutESP!$A$2,MATCH(EY$29,SSAutESP!$A$2:$A$500)+$A40-1,1)-1)</f>
        <v>-7.2260179831240556E-4</v>
      </c>
      <c r="EZ40" s="9">
        <f ca="1">IF(OR(EZ13="",EZ$28&lt;$A40),"",EZ13/OFFSET(SSAutESP!$A$2,MATCH(EZ$29,SSAutESP!$A$2:$A$500)+$A40-1,1)-1)</f>
        <v>2.0855214667379052E-3</v>
      </c>
      <c r="FA40" s="9">
        <f ca="1">IF(OR(FA13="",FA$28&lt;$A40),"",FA13/OFFSET(SSAutESP!$A$2,MATCH(FA$29,SSAutESP!$A$2:$A$500)+$A40-1,1)-1)</f>
        <v>-7.1908783661611686E-4</v>
      </c>
      <c r="FB40" s="9">
        <f ca="1">IF(OR(FB13="",FB$28&lt;$A40),"",FB13/OFFSET(SSAutESP!$A$2,MATCH(FB$29,SSAutESP!$A$2:$A$500)+$A40-1,1)-1)</f>
        <v>1.918809056900006E-4</v>
      </c>
      <c r="FC40" s="9">
        <f ca="1">IF(OR(FC13="",FC$28&lt;$A40),"",FC13/OFFSET(SSAutESP!$A$2,MATCH(FC$29,SSAutESP!$A$2:$A$500)+$A40-1,1)-1)</f>
        <v>-4.2517894731466388E-3</v>
      </c>
      <c r="FD40" s="9">
        <f ca="1">IF(OR(FD13="",FD$28&lt;$A40),"",FD13/OFFSET(SSAutESP!$A$2,MATCH(FD$29,SSAutESP!$A$2:$A$500)+$A40-1,1)-1)</f>
        <v>8.2626980710394093E-3</v>
      </c>
      <c r="FE40" s="9">
        <f ca="1">IF(OR(FE13="",FE$28&lt;$A40),"",FE13/OFFSET(SSAutESP!$A$2,MATCH(FE$29,SSAutESP!$A$2:$A$500)+$A40-1,1)-1)</f>
        <v>2.145751803070306E-3</v>
      </c>
      <c r="FF40" s="9">
        <f ca="1">IF(OR(FF13="",FF$28&lt;$A40),"",FF13/OFFSET(SSAutESP!$A$2,MATCH(FF$29,SSAutESP!$A$2:$A$500)+$A40-1,1)-1)</f>
        <v>4.1781900960717877E-3</v>
      </c>
      <c r="FG40" s="9">
        <f ca="1">IF(OR(FG13="",FG$28&lt;$A40),"",FG13/OFFSET(SSAutESP!$A$2,MATCH(FG$29,SSAutESP!$A$2:$A$500)+$A40-1,1)-1)</f>
        <v>1.8216646248538915E-3</v>
      </c>
      <c r="FH40" s="9">
        <f ca="1">IF(OR(FH13="",FH$28&lt;$A40),"",FH13/OFFSET(SSAutESP!$A$2,MATCH(FH$29,SSAutESP!$A$2:$A$500)+$A40-1,1)-1)</f>
        <v>-3.7401061462652985E-3</v>
      </c>
      <c r="FI40" s="9">
        <f ca="1">IF(OR(FI13="",FI$28&lt;$A40),"",FI13/OFFSET(SSAutESP!$A$2,MATCH(FI$29,SSAutESP!$A$2:$A$500)+$A40-1,1)-1)</f>
        <v>-1.7617566855881783E-2</v>
      </c>
      <c r="FJ40" s="9">
        <f ca="1">IF(OR(FJ13="",FJ$28&lt;$A40),"",FJ13/OFFSET(SSAutESP!$A$2,MATCH(FJ$29,SSAutESP!$A$2:$A$500)+$A40-1,1)-1)</f>
        <v>-1.6751174984627748E-2</v>
      </c>
      <c r="FK40" s="9">
        <f ca="1">IF(OR(FK13="",FK$28&lt;$A40),"",FK13/OFFSET(SSAutESP!$A$2,MATCH(FK$29,SSAutESP!$A$2:$A$500)+$A40-1,1)-1)</f>
        <v>-4.4340253391266238E-3</v>
      </c>
      <c r="FL40" s="9">
        <f ca="1">IF(OR(FL13="",FL$28&lt;$A40),"",FL13/OFFSET(SSAutESP!$A$2,MATCH(FL$29,SSAutESP!$A$2:$A$500)+$A40-1,1)-1)</f>
        <v>-3.8488720011590205E-3</v>
      </c>
      <c r="FM40" s="9">
        <f ca="1">IF(OR(FM13="",FM$28&lt;$A40),"",FM13/OFFSET(SSAutESP!$A$2,MATCH(FM$29,SSAutESP!$A$2:$A$500)+$A40-1,1)-1)</f>
        <v>-1.5128452523649583E-2</v>
      </c>
      <c r="FN40" s="9">
        <f ca="1">IF(OR(FN13="",FN$28&lt;$A40),"",FN13/OFFSET(SSAutESP!$A$2,MATCH(FN$29,SSAutESP!$A$2:$A$500)+$A40-1,1)-1)</f>
        <v>-2.2749933997235461E-2</v>
      </c>
      <c r="FO40" s="9">
        <f ca="1">IF(OR(FO13="",FO$28&lt;$A40),"",FO13/OFFSET(SSAutESP!$A$2,MATCH(FO$29,SSAutESP!$A$2:$A$500)+$A40-1,1)-1)</f>
        <v>-1.6829221013480944E-2</v>
      </c>
      <c r="FP40" s="9">
        <f ca="1">IF(OR(FP13="",FP$28&lt;$A40),"",FP13/OFFSET(SSAutESP!$A$2,MATCH(FP$29,SSAutESP!$A$2:$A$500)+$A40-1,1)-1)</f>
        <v>1.080577742221811E-2</v>
      </c>
      <c r="FQ40" s="9">
        <f ca="1">IF(OR(FQ13="",FQ$28&lt;$A40),"",FQ13/OFFSET(SSAutESP!$A$2,MATCH(FQ$29,SSAutESP!$A$2:$A$500)+$A40-1,1)-1)</f>
        <v>1.6110305094259036E-2</v>
      </c>
      <c r="FR40" s="9">
        <f ca="1">IF(OR(FR13="",FR$28&lt;$A40),"",FR13/OFFSET(SSAutESP!$A$2,MATCH(FR$29,SSAutESP!$A$2:$A$500)+$A40-1,1)-1)</f>
        <v>8.1743331506551886E-3</v>
      </c>
      <c r="FS40" s="9">
        <f ca="1">IF(OR(FS13="",FS$28&lt;$A40),"",FS13/OFFSET(SSAutESP!$A$2,MATCH(FS$29,SSAutESP!$A$2:$A$500)+$A40-1,1)-1)</f>
        <v>5.9561787734223604E-3</v>
      </c>
      <c r="FT40" s="9">
        <f ca="1">IF(OR(FT13="",FT$28&lt;$A40),"",FT13/OFFSET(SSAutESP!$A$2,MATCH(FT$29,SSAutESP!$A$2:$A$500)+$A40-1,1)-1)</f>
        <v>7.1079608332356159E-3</v>
      </c>
      <c r="FU40" s="9">
        <f ca="1">IF(OR(FU13="",FU$28&lt;$A40),"",FU13/OFFSET(SSAutESP!$A$2,MATCH(FU$29,SSAutESP!$A$2:$A$500)+$A40-1,1)-1)</f>
        <v>5.4280951623149054E-3</v>
      </c>
      <c r="FV40" s="9">
        <f ca="1">IF(OR(FV13="",FV$28&lt;$A40),"",FV13/OFFSET(SSAutESP!$A$2,MATCH(FV$29,SSAutESP!$A$2:$A$500)+$A40-1,1)-1)</f>
        <v>-1.4552345129891231E-3</v>
      </c>
      <c r="FW40" s="9">
        <f ca="1">IF(OR(FW13="",FW$28&lt;$A40),"",FW13/OFFSET(SSAutESP!$A$2,MATCH(FW$29,SSAutESP!$A$2:$A$500)+$A40-1,1)-1)</f>
        <v>7.1158876044541408E-3</v>
      </c>
      <c r="FX40" s="9">
        <f ca="1">IF(OR(FX13="",FX$28&lt;$A40),"",FX13/OFFSET(SSAutESP!$A$2,MATCH(FX$29,SSAutESP!$A$2:$A$500)+$A40-1,1)-1)</f>
        <v>1.0605608594109972E-2</v>
      </c>
      <c r="FY40" s="9">
        <f ca="1">IF(OR(FY13="",FY$28&lt;$A40),"",FY13/OFFSET(SSAutESP!$A$2,MATCH(FY$29,SSAutESP!$A$2:$A$500)+$A40-1,1)-1)</f>
        <v>4.3684774735177623E-3</v>
      </c>
      <c r="FZ40" s="9">
        <f ca="1">IF(OR(FZ13="",FZ$28&lt;$A40),"",FZ13/OFFSET(SSAutESP!$A$2,MATCH(FZ$29,SSAutESP!$A$2:$A$500)+$A40-1,1)-1)</f>
        <v>9.729375012136332E-3</v>
      </c>
      <c r="GA40" s="9">
        <f ca="1">IF(OR(GA13="",GA$28&lt;$A40),"",GA13/OFFSET(SSAutESP!$A$2,MATCH(GA$29,SSAutESP!$A$2:$A$500)+$A40-1,1)-1)</f>
        <v>-8.747119413010096E-3</v>
      </c>
      <c r="GB40" s="9">
        <f ca="1">IF(OR(GB13="",GB$28&lt;$A40),"",GB13/OFFSET(SSAutESP!$A$2,MATCH(GB$29,SSAutESP!$A$2:$A$500)+$A40-1,1)-1)</f>
        <v>-1.6065570288481545E-3</v>
      </c>
      <c r="GC40" s="9">
        <f ca="1">IF(OR(GC13="",GC$28&lt;$A40),"",GC13/OFFSET(SSAutESP!$A$2,MATCH(GC$29,SSAutESP!$A$2:$A$500)+$A40-1,1)-1)</f>
        <v>-2.2365845563719899E-3</v>
      </c>
      <c r="GD40" s="9">
        <f ca="1">IF(OR(GD13="",GD$28&lt;$A40),"",GD13/OFFSET(SSAutESP!$A$2,MATCH(GD$29,SSAutESP!$A$2:$A$500)+$A40-1,1)-1)</f>
        <v>5.8535180348151528E-5</v>
      </c>
      <c r="GE40" s="9">
        <f ca="1">IF(OR(GE13="",GE$28&lt;$A40),"",GE13/OFFSET(SSAutESP!$A$2,MATCH(GE$29,SSAutESP!$A$2:$A$500)+$A40-1,1)-1)</f>
        <v>1.6651868687318272E-2</v>
      </c>
      <c r="GF40" s="9">
        <f ca="1">IF(OR(GF13="",GF$28&lt;$A40),"",GF13/OFFSET(SSAutESP!$A$2,MATCH(GF$29,SSAutESP!$A$2:$A$500)+$A40-1,1)-1)</f>
        <v>1.8134122257603025E-2</v>
      </c>
      <c r="GG40" s="9">
        <f ca="1">IF(OR(GG13="",GG$28&lt;$A40),"",GG13/OFFSET(SSAutESP!$A$2,MATCH(GG$29,SSAutESP!$A$2:$A$500)+$A40-1,1)-1)</f>
        <v>1.3392781327764114E-2</v>
      </c>
      <c r="GH40" s="9">
        <f ca="1">IF(OR(GH13="",GH$28&lt;$A40),"",GH13/OFFSET(SSAutESP!$A$2,MATCH(GH$29,SSAutESP!$A$2:$A$500)+$A40-1,1)-1)</f>
        <v>5.7276894426467884E-3</v>
      </c>
      <c r="GI40" s="9">
        <f ca="1">IF(OR(GI13="",GI$28&lt;$A40),"",GI13/OFFSET(SSAutESP!$A$2,MATCH(GI$29,SSAutESP!$A$2:$A$500)+$A40-1,1)-1)</f>
        <v>7.1617093707936341E-3</v>
      </c>
      <c r="GJ40" s="9">
        <f ca="1">IF(OR(GJ13="",GJ$28&lt;$A40),"",GJ13/OFFSET(SSAutESP!$A$2,MATCH(GJ$29,SSAutESP!$A$2:$A$500)+$A40-1,1)-1)</f>
        <v>1.2789950168530906E-2</v>
      </c>
      <c r="GK40" s="9">
        <f ca="1">IF(OR(GK13="",GK$28&lt;$A40),"",GK13/OFFSET(SSAutESP!$A$2,MATCH(GK$29,SSAutESP!$A$2:$A$500)+$A40-1,1)-1)</f>
        <v>1.152963018153863E-2</v>
      </c>
      <c r="GL40" s="9">
        <f ca="1">IF(OR(GL13="",GL$28&lt;$A40),"",GL13/OFFSET(SSAutESP!$A$2,MATCH(GL$29,SSAutESP!$A$2:$A$500)+$A40-1,1)-1)</f>
        <v>6.4611939409080499E-3</v>
      </c>
      <c r="GM40" s="9">
        <f ca="1">IF(OR(GM13="",GM$28&lt;$A40),"",GM13/OFFSET(SSAutESP!$A$2,MATCH(GM$29,SSAutESP!$A$2:$A$500)+$A40-1,1)-1)</f>
        <v>4.0367383555488523E-3</v>
      </c>
      <c r="GN40" s="9">
        <f ca="1">IF(OR(GN13="",GN$28&lt;$A40),"",GN13/OFFSET(SSAutESP!$A$2,MATCH(GN$29,SSAutESP!$A$2:$A$500)+$A40-1,1)-1)</f>
        <v>4.9998632065237913E-3</v>
      </c>
      <c r="GO40" s="9" t="str">
        <f ca="1">IF(OR(GO13="",GO$28&lt;$A40),"",GO13/OFFSET(SSAutESP!$A$2,MATCH(GO$29,SSAutESP!$A$2:$A$500)+$A40-1,1)-1)</f>
        <v/>
      </c>
      <c r="GP40" s="9" t="str">
        <f ca="1">IF(OR(GP13="",GP$28&lt;$A40),"",GP13/OFFSET(SSAutESP!$A$2,MATCH(GP$29,SSAutESP!$A$2:$A$500)+$A40-1,1)-1)</f>
        <v/>
      </c>
      <c r="GQ40" s="9" t="str">
        <f ca="1">IF(OR(GQ13="",GQ$28&lt;$A40),"",GQ13/OFFSET(SSAutESP!$A$2,MATCH(GQ$29,SSAutESP!$A$2:$A$500)+$A40-1,1)-1)</f>
        <v/>
      </c>
      <c r="GR40" s="9" t="str">
        <f ca="1">IF(OR(GR13="",GR$28&lt;$A40),"",GR13/OFFSET(SSAutESP!$A$2,MATCH(GR$29,SSAutESP!$A$2:$A$500)+$A40-1,1)-1)</f>
        <v/>
      </c>
      <c r="GS40" s="9" t="str">
        <f ca="1">IF(OR(GS13="",GS$28&lt;$A40),"",GS13/OFFSET(SSAutESP!$A$2,MATCH(GS$29,SSAutESP!$A$2:$A$500)+$A40-1,1)-1)</f>
        <v/>
      </c>
      <c r="GT40" s="9" t="str">
        <f ca="1">IF(OR(GT13="",GT$28&lt;$A40),"",GT13/OFFSET(SSAutESP!$A$2,MATCH(GT$29,SSAutESP!$A$2:$A$500)+$A40-1,1)-1)</f>
        <v/>
      </c>
      <c r="GU40" s="9" t="str">
        <f ca="1">IF(OR(GU13="",GU$28&lt;$A40),"",GU13/OFFSET(SSAutESP!$A$2,MATCH(GU$29,SSAutESP!$A$2:$A$500)+$A40-1,1)-1)</f>
        <v/>
      </c>
      <c r="GV40" s="9" t="str">
        <f ca="1">IF(OR(GV13="",GV$28&lt;$A40),"",GV13/OFFSET(SSAutESP!$A$2,MATCH(GV$29,SSAutESP!$A$2:$A$500)+$A40-1,1)-1)</f>
        <v/>
      </c>
      <c r="GW40" s="9" t="str">
        <f ca="1">IF(OR(GW13="",GW$28&lt;$A40),"",GW13/OFFSET(SSAutESP!$A$2,MATCH(GW$29,SSAutESP!$A$2:$A$500)+$A40-1,1)-1)</f>
        <v/>
      </c>
      <c r="GX40" s="9" t="str">
        <f ca="1">IF(OR(GX13="",GX$28&lt;$A40),"",GX13/OFFSET(SSAutESP!$A$2,MATCH(GX$29,SSAutESP!$A$2:$A$500)+$A40-1,1)-1)</f>
        <v/>
      </c>
      <c r="GY40" s="9" t="str">
        <f ca="1">IF(OR(GY13="",GY$28&lt;$A40),"",GY13/OFFSET(SSAutESP!$A$2,MATCH(GY$29,SSAutESP!$A$2:$A$500)+$A40-1,1)-1)</f>
        <v/>
      </c>
      <c r="GZ40" s="9" t="str">
        <f ca="1">IF(OR(GZ13="",GZ$28&lt;$A40),"",GZ13/OFFSET(SSAutESP!$A$2,MATCH(GZ$29,SSAutESP!$A$2:$A$500)+$A40-1,1)-1)</f>
        <v/>
      </c>
      <c r="HA40" s="9" t="str">
        <f ca="1">IF(OR(HA13="",HA$28&lt;$A40),"",HA13/OFFSET(SSAutESP!$A$2,MATCH(HA$29,SSAutESP!$A$2:$A$500)+$A40-1,1)-1)</f>
        <v/>
      </c>
      <c r="HB40" s="9" t="str">
        <f ca="1">IF(OR(HB13="",HB$28&lt;$A40),"",HB13/OFFSET(SSAutESP!$A$2,MATCH(HB$29,SSAutESP!$A$2:$A$500)+$A40-1,1)-1)</f>
        <v/>
      </c>
      <c r="HC40" s="9" t="str">
        <f ca="1">IF(OR(HC13="",HC$28&lt;$A40),"",HC13/OFFSET(SSAutESP!$A$2,MATCH(HC$29,SSAutESP!$A$2:$A$500)+$A40-1,1)-1)</f>
        <v/>
      </c>
      <c r="HD40" s="9" t="str">
        <f ca="1">IF(OR(HD13="",HD$28&lt;$A40),"",HD13/OFFSET(SSAutESP!$A$2,MATCH(HD$29,SSAutESP!$A$2:$A$500)+$A40-1,1)-1)</f>
        <v/>
      </c>
      <c r="HE40" s="9" t="str">
        <f ca="1">IF(OR(HE13="",HE$28&lt;$A40),"",HE13/OFFSET(SSAutESP!$A$2,MATCH(HE$29,SSAutESP!$A$2:$A$500)+$A40-1,1)-1)</f>
        <v/>
      </c>
      <c r="HF40" s="9" t="str">
        <f ca="1">IF(OR(HF13="",HF$28&lt;$A40),"",HF13/OFFSET(SSAutESP!$A$2,MATCH(HF$29,SSAutESP!$A$2:$A$500)+$A40-1,1)-1)</f>
        <v/>
      </c>
      <c r="HG40" s="9" t="str">
        <f ca="1">IF(OR(HG13="",HG$28&lt;$A40),"",HG13/OFFSET(SSAutESP!$A$2,MATCH(HG$29,SSAutESP!$A$2:$A$500)+$A40-1,1)-1)</f>
        <v/>
      </c>
      <c r="HH40" s="9" t="str">
        <f ca="1">IF(OR(HH13="",HH$28&lt;$A40),"",HH13/OFFSET(SSAutESP!$A$2,MATCH(HH$29,SSAutESP!$A$2:$A$500)+$A40-1,1)-1)</f>
        <v/>
      </c>
      <c r="HI40" s="9" t="str">
        <f ca="1">IF(OR(HI13="",HI$28&lt;$A40),"",HI13/OFFSET(SSAutESP!$A$2,MATCH(HI$29,SSAutESP!$A$2:$A$500)+$A40-1,1)-1)</f>
        <v/>
      </c>
      <c r="HJ40" s="9" t="str">
        <f ca="1">IF(OR(HJ13="",HJ$28&lt;$A40),"",HJ13/OFFSET(SSAutESP!$A$2,MATCH(HJ$29,SSAutESP!$A$2:$A$500)+$A40-1,1)-1)</f>
        <v/>
      </c>
      <c r="HK40" s="9" t="str">
        <f ca="1">IF(OR(HK13="",HK$28&lt;$A40),"",HK13/OFFSET(SSAutESP!$A$2,MATCH(HK$29,SSAutESP!$A$2:$A$500)+$A40-1,1)-1)</f>
        <v/>
      </c>
      <c r="HL40" s="9" t="str">
        <f ca="1">IF(OR(HL13="",HL$28&lt;$A40),"",HL13/OFFSET(SSAutESP!$A$2,MATCH(HL$29,SSAutESP!$A$2:$A$500)+$A40-1,1)-1)</f>
        <v/>
      </c>
      <c r="HM40" s="9" t="str">
        <f ca="1">IF(OR(HM13="",HM$28&lt;$A40),"",HM13/OFFSET(SSAutESP!$A$2,MATCH(HM$29,SSAutESP!$A$2:$A$500)+$A40-1,1)-1)</f>
        <v/>
      </c>
      <c r="HN40" s="9" t="str">
        <f ca="1">IF(OR(HN13="",HN$28&lt;$A40),"",HN13/OFFSET(SSAutESP!$A$2,MATCH(HN$29,SSAutESP!$A$2:$A$500)+$A40-1,1)-1)</f>
        <v/>
      </c>
      <c r="HO40" s="9" t="str">
        <f ca="1">IF(OR(HO13="",HO$28&lt;$A40),"",HO13/OFFSET(SSAutESP!$A$2,MATCH(HO$29,SSAutESP!$A$2:$A$500)+$A40-1,1)-1)</f>
        <v/>
      </c>
      <c r="HP40" s="9" t="str">
        <f ca="1">IF(OR(HP13="",HP$28&lt;$A40),"",HP13/OFFSET(SSAutESP!$A$2,MATCH(HP$29,SSAutESP!$A$2:$A$500)+$A40-1,1)-1)</f>
        <v/>
      </c>
      <c r="HQ40" s="9" t="str">
        <f ca="1">IF(OR(HQ13="",HQ$28&lt;$A40),"",HQ13/OFFSET(SSAutESP!$A$2,MATCH(HQ$29,SSAutESP!$A$2:$A$500)+$A40-1,1)-1)</f>
        <v/>
      </c>
      <c r="HR40" s="9" t="str">
        <f ca="1">IF(OR(HR13="",HR$28&lt;$A40),"",HR13/OFFSET(SSAutESP!$A$2,MATCH(HR$29,SSAutESP!$A$2:$A$500)+$A40-1,1)-1)</f>
        <v/>
      </c>
      <c r="HS40" s="9" t="str">
        <f ca="1">IF(OR(HS13="",HS$28&lt;$A40),"",HS13/OFFSET(SSAutESP!$A$2,MATCH(HS$29,SSAutESP!$A$2:$A$500)+$A40-1,1)-1)</f>
        <v/>
      </c>
      <c r="HT40" s="9" t="str">
        <f ca="1">IF(OR(HT13="",HT$28&lt;$A40),"",HT13/OFFSET(SSAutESP!$A$2,MATCH(HT$29,SSAutESP!$A$2:$A$500)+$A40-1,1)-1)</f>
        <v/>
      </c>
      <c r="HU40" s="9" t="str">
        <f ca="1">IF(OR(HU13="",HU$28&lt;$A40),"",HU13/OFFSET(SSAutESP!$A$2,MATCH(HU$29,SSAutESP!$A$2:$A$500)+$A40-1,1)-1)</f>
        <v/>
      </c>
      <c r="HV40" s="9" t="str">
        <f ca="1">IF(OR(HV13="",HV$28&lt;$A40),"",HV13/OFFSET(SSAutESP!$A$2,MATCH(HV$29,SSAutESP!$A$2:$A$500)+$A40-1,1)-1)</f>
        <v/>
      </c>
      <c r="HW40" s="9" t="str">
        <f ca="1">IF(OR(HW13="",HW$28&lt;$A40),"",HW13/OFFSET(SSAutESP!$A$2,MATCH(HW$29,SSAutESP!$A$2:$A$500)+$A40-1,1)-1)</f>
        <v/>
      </c>
      <c r="HX40" s="9" t="str">
        <f ca="1">IF(OR(HX13="",HX$28&lt;$A40),"",HX13/OFFSET(SSAutESP!$A$2,MATCH(HX$29,SSAutESP!$A$2:$A$500)+$A40-1,1)-1)</f>
        <v/>
      </c>
      <c r="HY40" s="9" t="str">
        <f ca="1">IF(OR(HY13="",HY$28&lt;$A40),"",HY13/OFFSET(SSAutESP!$A$2,MATCH(HY$29,SSAutESP!$A$2:$A$500)+$A40-1,1)-1)</f>
        <v/>
      </c>
      <c r="HZ40" s="9" t="str">
        <f ca="1">IF(OR(HZ13="",HZ$28&lt;$A40),"",HZ13/OFFSET(SSAutESP!$A$2,MATCH(HZ$29,SSAutESP!$A$2:$A$500)+$A40-1,1)-1)</f>
        <v/>
      </c>
      <c r="IA40" s="9" t="str">
        <f ca="1">IF(OR(IA13="",IA$28&lt;$A40),"",IA13/OFFSET(SSAutESP!$A$2,MATCH(IA$29,SSAutESP!$A$2:$A$500)+$A40-1,1)-1)</f>
        <v/>
      </c>
      <c r="IB40" s="9" t="str">
        <f ca="1">IF(OR(IB13="",IB$28&lt;$A40),"",IB13/OFFSET(SSAutESP!$A$2,MATCH(IB$29,SSAutESP!$A$2:$A$500)+$A40-1,1)-1)</f>
        <v/>
      </c>
      <c r="IC40" s="9" t="str">
        <f ca="1">IF(OR(IC13="",IC$28&lt;$A40),"",IC13/OFFSET(SSAutESP!$A$2,MATCH(IC$29,SSAutESP!$A$2:$A$500)+$A40-1,1)-1)</f>
        <v/>
      </c>
      <c r="ID40" s="9" t="str">
        <f ca="1">IF(OR(ID13="",ID$28&lt;$A40),"",ID13/OFFSET(SSAutESP!$A$2,MATCH(ID$29,SSAutESP!$A$2:$A$500)+$A40-1,1)-1)</f>
        <v/>
      </c>
      <c r="IE40" s="9" t="str">
        <f ca="1">IF(OR(IE13="",IE$28&lt;$A40),"",IE13/OFFSET(SSAutESP!$A$2,MATCH(IE$29,SSAutESP!$A$2:$A$500)+$A40-1,1)-1)</f>
        <v/>
      </c>
      <c r="IF40" s="9" t="str">
        <f ca="1">IF(OR(IF13="",IF$28&lt;$A40),"",IF13/OFFSET(SSAutESP!$A$2,MATCH(IF$29,SSAutESP!$A$2:$A$500)+$A40-1,1)-1)</f>
        <v/>
      </c>
      <c r="IG40" s="9" t="str">
        <f ca="1">IF(OR(IG13="",IG$28&lt;$A40),"",IG13/OFFSET(SSAutESP!$A$2,MATCH(IG$29,SSAutESP!$A$2:$A$500)+$A40-1,1)-1)</f>
        <v/>
      </c>
      <c r="IH40" s="9" t="str">
        <f ca="1">IF(OR(IH13="",IH$28&lt;$A40),"",IH13/OFFSET(SSAutESP!$A$2,MATCH(IH$29,SSAutESP!$A$2:$A$500)+$A40-1,1)-1)</f>
        <v/>
      </c>
      <c r="II40" s="9" t="str">
        <f ca="1">IF(OR(II13="",II$28&lt;$A40),"",II13/OFFSET(SSAutESP!$A$2,MATCH(II$29,SSAutESP!$A$2:$A$500)+$A40-1,1)-1)</f>
        <v/>
      </c>
      <c r="IJ40" s="9" t="str">
        <f ca="1">IF(OR(IJ13="",IJ$28&lt;$A40),"",IJ13/OFFSET(SSAutESP!$A$2,MATCH(IJ$29,SSAutESP!$A$2:$A$500)+$A40-1,1)-1)</f>
        <v/>
      </c>
      <c r="IK40" s="9" t="str">
        <f ca="1">IF(OR(IK13="",IK$28&lt;$A40),"",IK13/OFFSET(SSAutESP!$A$2,MATCH(IK$29,SSAutESP!$A$2:$A$500)+$A40-1,1)-1)</f>
        <v/>
      </c>
      <c r="IL40" s="9" t="str">
        <f ca="1">IF(OR(IL13="",IL$28&lt;$A40),"",IL13/OFFSET(SSAutESP!$A$2,MATCH(IL$29,SSAutESP!$A$2:$A$500)+$A40-1,1)-1)</f>
        <v/>
      </c>
      <c r="IM40" s="9" t="str">
        <f ca="1">IF(OR(IM13="",IM$28&lt;$A40),"",IM13/OFFSET(SSAutESP!$A$2,MATCH(IM$29,SSAutESP!$A$2:$A$500)+$A40-1,1)-1)</f>
        <v/>
      </c>
      <c r="IN40" s="9" t="str">
        <f ca="1">IF(OR(IN13="",IN$28&lt;$A40),"",IN13/OFFSET(SSAutESP!$A$2,MATCH(IN$29,SSAutESP!$A$2:$A$500)+$A40-1,1)-1)</f>
        <v/>
      </c>
      <c r="IO40" s="9" t="str">
        <f ca="1">IF(OR(IO13="",IO$28&lt;$A40),"",IO13/OFFSET(SSAutESP!$A$2,MATCH(IO$29,SSAutESP!$A$2:$A$500)+$A40-1,1)-1)</f>
        <v/>
      </c>
      <c r="IP40" s="9" t="str">
        <f ca="1">IF(OR(IP13="",IP$28&lt;$A40),"",IP13/OFFSET(SSAutESP!$A$2,MATCH(IP$29,SSAutESP!$A$2:$A$500)+$A40-1,1)-1)</f>
        <v/>
      </c>
      <c r="IQ40" s="9" t="str">
        <f ca="1">IF(OR(IQ13="",IQ$28&lt;$A40),"",IQ13/OFFSET(SSAutESP!$A$2,MATCH(IQ$29,SSAutESP!$A$2:$A$500)+$A40-1,1)-1)</f>
        <v/>
      </c>
      <c r="IR40" s="9" t="str">
        <f ca="1">IF(OR(IR13="",IR$28&lt;$A40),"",IR13/OFFSET(SSAutESP!$A$2,MATCH(IR$29,SSAutESP!$A$2:$A$500)+$A40-1,1)-1)</f>
        <v/>
      </c>
      <c r="IS40" s="9" t="str">
        <f ca="1">IF(OR(IS13="",IS$28&lt;$A40),"",IS13/OFFSET(SSAutESP!$A$2,MATCH(IS$29,SSAutESP!$A$2:$A$500)+$A40-1,1)-1)</f>
        <v/>
      </c>
      <c r="IT40" s="9" t="str">
        <f ca="1">IF(OR(IT13="",IT$28&lt;$A40),"",IT13/OFFSET(SSAutESP!$A$2,MATCH(IT$29,SSAutESP!$A$2:$A$500)+$A40-1,1)-1)</f>
        <v/>
      </c>
      <c r="IU40" s="9" t="str">
        <f ca="1">IF(OR(IU13="",IU$28&lt;$A40),"",IU13/OFFSET(SSAutESP!$A$2,MATCH(IU$29,SSAutESP!$A$2:$A$500)+$A40-1,1)-1)</f>
        <v/>
      </c>
      <c r="IV40" s="9" t="str">
        <f ca="1">IF(OR(IV13="",IV$28&lt;$A40),"",IV13/OFFSET(SSAutESP!$A$2,MATCH(IV$29,SSAutESP!$A$2:$A$500)+$A40-1,1)-1)</f>
        <v/>
      </c>
      <c r="IW40" s="9" t="str">
        <f ca="1">IF(OR(IW13="",IW$28&lt;$A40),"",IW13/OFFSET(SSAutESP!$A$2,MATCH(IW$29,SSAutESP!$A$2:$A$500)+$A40-1,1)-1)</f>
        <v/>
      </c>
      <c r="IX40" s="9" t="str">
        <f ca="1">IF(OR(IX13="",IX$28&lt;$A40),"",IX13/OFFSET(SSAutESP!$A$2,MATCH(IX$29,SSAutESP!$A$2:$A$500)+$A40-1,1)-1)</f>
        <v/>
      </c>
      <c r="IY40" s="9" t="str">
        <f ca="1">IF(OR(IY13="",IY$28&lt;$A40),"",IY13/OFFSET(SSAutESP!$A$2,MATCH(IY$29,SSAutESP!$A$2:$A$500)+$A40-1,1)-1)</f>
        <v/>
      </c>
      <c r="IZ40" s="9" t="str">
        <f ca="1">IF(OR(IZ13="",IZ$28&lt;$A40),"",IZ13/OFFSET(SSAutESP!$A$2,MATCH(IZ$29,SSAutESP!$A$2:$A$500)+$A40-1,1)-1)</f>
        <v/>
      </c>
      <c r="JA40" s="9" t="str">
        <f ca="1">IF(OR(JA13="",JA$28&lt;$A40),"",JA13/OFFSET(SSAutESP!$A$2,MATCH(JA$29,SSAutESP!$A$2:$A$500)+$A40-1,1)-1)</f>
        <v/>
      </c>
      <c r="JB40" s="9" t="str">
        <f ca="1">IF(OR(JB13="",JB$28&lt;$A40),"",JB13/OFFSET(SSAutESP!$A$2,MATCH(JB$29,SSAutESP!$A$2:$A$500)+$A40-1,1)-1)</f>
        <v/>
      </c>
      <c r="JC40" s="9" t="str">
        <f ca="1">IF(OR(JC13="",JC$28&lt;$A40),"",JC13/OFFSET(SSAutESP!$A$2,MATCH(JC$29,SSAutESP!$A$2:$A$500)+$A40-1,1)-1)</f>
        <v/>
      </c>
      <c r="JD40" s="9" t="str">
        <f ca="1">IF(OR(JD13="",JD$28&lt;$A40),"",JD13/OFFSET(SSAutESP!$A$2,MATCH(JD$29,SSAutESP!$A$2:$A$500)+$A40-1,1)-1)</f>
        <v/>
      </c>
      <c r="JE40" s="9" t="str">
        <f ca="1">IF(OR(JE13="",JE$28&lt;$A40),"",JE13/OFFSET(SSAutESP!$A$2,MATCH(JE$29,SSAutESP!$A$2:$A$500)+$A40-1,1)-1)</f>
        <v/>
      </c>
      <c r="JF40" s="9" t="str">
        <f ca="1">IF(OR(JF13="",JF$28&lt;$A40),"",JF13/OFFSET(SSAutESP!$A$2,MATCH(JF$29,SSAutESP!$A$2:$A$500)+$A40-1,1)-1)</f>
        <v/>
      </c>
      <c r="JG40" s="9" t="str">
        <f ca="1">IF(OR(JG13="",JG$28&lt;$A40),"",JG13/OFFSET(SSAutESP!$A$2,MATCH(JG$29,SSAutESP!$A$2:$A$500)+$A40-1,1)-1)</f>
        <v/>
      </c>
      <c r="JH40" s="9" t="str">
        <f ca="1">IF(OR(JH13="",JH$28&lt;$A40),"",JH13/OFFSET(SSAutESP!$A$2,MATCH(JH$29,SSAutESP!$A$2:$A$500)+$A40-1,1)-1)</f>
        <v/>
      </c>
      <c r="JI40" s="13">
        <f t="shared" ca="1" si="13"/>
        <v>6.7289503461004235E-3</v>
      </c>
      <c r="JJ40" s="13">
        <f t="shared" ca="1" si="14"/>
        <v>6.7845773870718329E-3</v>
      </c>
      <c r="JK40" s="14">
        <f t="shared" ca="1" si="15"/>
        <v>4.0306688374292731E-5</v>
      </c>
      <c r="JL40" s="17">
        <f t="shared" ca="1" si="18"/>
        <v>6.3487548680267007E-3</v>
      </c>
      <c r="JM40" s="15" t="str">
        <f t="shared" ca="1" si="16"/>
        <v>[ -0,60% ; 1,94% ]</v>
      </c>
      <c r="JN40" s="17">
        <f t="shared" ca="1" si="17"/>
        <v>8.1264062310741764E-3</v>
      </c>
      <c r="LY40" s="1"/>
    </row>
    <row r="41" spans="1:337" x14ac:dyDescent="0.25">
      <c r="A41" s="4">
        <v>12</v>
      </c>
      <c r="B41" s="9">
        <f ca="1">IF(OR(B14="",B$28&lt;$A41),"",B14/OFFSET(SSAutESP!$A$2,MATCH(B$29,SSAutESP!$A$2:$A$500)+$A41-1,1)-1)</f>
        <v>-2.8540406704369303E-3</v>
      </c>
      <c r="C41" s="9">
        <f ca="1">IF(OR(C14="",C$28&lt;$A41),"",C14/OFFSET(SSAutESP!$A$2,MATCH(C$29,SSAutESP!$A$2:$A$500)+$A41-1,1)-1)</f>
        <v>3.8959250885517438E-3</v>
      </c>
      <c r="D41" s="9">
        <f ca="1">IF(OR(D14="",D$28&lt;$A41),"",D14/OFFSET(SSAutESP!$A$2,MATCH(D$29,SSAutESP!$A$2:$A$500)+$A41-1,1)-1)</f>
        <v>7.4669683680885779E-3</v>
      </c>
      <c r="E41" s="9">
        <f ca="1">IF(OR(E14="",E$28&lt;$A41),"",E14/OFFSET(SSAutESP!$A$2,MATCH(E$29,SSAutESP!$A$2:$A$500)+$A41-1,1)-1)</f>
        <v>9.6436255138232507E-3</v>
      </c>
      <c r="F41" s="9">
        <f ca="1">IF(OR(F14="",F$28&lt;$A41),"",F14/OFFSET(SSAutESP!$A$2,MATCH(F$29,SSAutESP!$A$2:$A$500)+$A41-1,1)-1)</f>
        <v>9.2249928058583119E-3</v>
      </c>
      <c r="G41" s="9">
        <f ca="1">IF(OR(G14="",G$28&lt;$A41),"",G14/OFFSET(SSAutESP!$A$2,MATCH(G$29,SSAutESP!$A$2:$A$500)+$A41-1,1)-1)</f>
        <v>5.5383018947414708E-3</v>
      </c>
      <c r="H41" s="9">
        <f ca="1">IF(OR(H14="",H$28&lt;$A41),"",H14/OFFSET(SSAutESP!$A$2,MATCH(H$29,SSAutESP!$A$2:$A$500)+$A41-1,1)-1)</f>
        <v>6.1615906538872167E-3</v>
      </c>
      <c r="I41" s="9">
        <f ca="1">IF(OR(I14="",I$28&lt;$A41),"",I14/OFFSET(SSAutESP!$A$2,MATCH(I$29,SSAutESP!$A$2:$A$500)+$A41-1,1)-1)</f>
        <v>4.7358910929335973E-3</v>
      </c>
      <c r="J41" s="9">
        <f ca="1">IF(OR(J14="",J$28&lt;$A41),"",J14/OFFSET(SSAutESP!$A$2,MATCH(J$29,SSAutESP!$A$2:$A$500)+$A41-1,1)-1)</f>
        <v>2.3522694985651516E-3</v>
      </c>
      <c r="K41" s="9">
        <f ca="1">IF(OR(K14="",K$28&lt;$A41),"",K14/OFFSET(SSAutESP!$A$2,MATCH(K$29,SSAutESP!$A$2:$A$500)+$A41-1,1)-1)</f>
        <v>1.5461314868896459E-3</v>
      </c>
      <c r="L41" s="9">
        <f ca="1">IF(OR(L14="",L$28&lt;$A41),"",L14/OFFSET(SSAutESP!$A$2,MATCH(L$29,SSAutESP!$A$2:$A$500)+$A41-1,1)-1)</f>
        <v>2.3188218898495538E-3</v>
      </c>
      <c r="M41" s="9">
        <f ca="1">IF(OR(M14="",M$28&lt;$A41),"",M14/OFFSET(SSAutESP!$A$2,MATCH(M$29,SSAutESP!$A$2:$A$500)+$A41-1,1)-1)</f>
        <v>4.1370851649209506E-3</v>
      </c>
      <c r="N41" s="9">
        <f ca="1">IF(OR(N14="",N$28&lt;$A41),"",N14/OFFSET(SSAutESP!$A$2,MATCH(N$29,SSAutESP!$A$2:$A$500)+$A41-1,1)-1)</f>
        <v>7.7987761357818375E-3</v>
      </c>
      <c r="O41" s="9">
        <f ca="1">IF(OR(O14="",O$28&lt;$A41),"",O14/OFFSET(SSAutESP!$A$2,MATCH(O$29,SSAutESP!$A$2:$A$500)+$A41-1,1)-1)</f>
        <v>9.5324694299949719E-3</v>
      </c>
      <c r="P41" s="9">
        <f ca="1">IF(OR(P14="",P$28&lt;$A41),"",P14/OFFSET(SSAutESP!$A$2,MATCH(P$29,SSAutESP!$A$2:$A$500)+$A41-1,1)-1)</f>
        <v>6.9774233982828893E-3</v>
      </c>
      <c r="Q41" s="9">
        <f ca="1">IF(OR(Q14="",Q$28&lt;$A41),"",Q14/OFFSET(SSAutESP!$A$2,MATCH(Q$29,SSAutESP!$A$2:$A$500)+$A41-1,1)-1)</f>
        <v>5.3198447966635865E-3</v>
      </c>
      <c r="R41" s="9">
        <f ca="1">IF(OR(R14="",R$28&lt;$A41),"",R14/OFFSET(SSAutESP!$A$2,MATCH(R$29,SSAutESP!$A$2:$A$500)+$A41-1,1)-1)</f>
        <v>3.0539765414039355E-3</v>
      </c>
      <c r="S41" s="9">
        <f ca="1">IF(OR(S14="",S$28&lt;$A41),"",S14/OFFSET(SSAutESP!$A$2,MATCH(S$29,SSAutESP!$A$2:$A$500)+$A41-1,1)-1)</f>
        <v>1.966520206659883E-3</v>
      </c>
      <c r="T41" s="9">
        <f ca="1">IF(OR(T14="",T$28&lt;$A41),"",T14/OFFSET(SSAutESP!$A$2,MATCH(T$29,SSAutESP!$A$2:$A$500)+$A41-1,1)-1)</f>
        <v>2.9364610398150415E-3</v>
      </c>
      <c r="U41" s="9">
        <f ca="1">IF(OR(U14="",U$28&lt;$A41),"",U14/OFFSET(SSAutESP!$A$2,MATCH(U$29,SSAutESP!$A$2:$A$500)+$A41-1,1)-1)</f>
        <v>3.9923512340966916E-4</v>
      </c>
      <c r="V41" s="9">
        <f ca="1">IF(OR(V14="",V$28&lt;$A41),"",V14/OFFSET(SSAutESP!$A$2,MATCH(V$29,SSAutESP!$A$2:$A$500)+$A41-1,1)-1)</f>
        <v>-3.18922386923437E-4</v>
      </c>
      <c r="W41" s="9">
        <f ca="1">IF(OR(W14="",W$28&lt;$A41),"",W14/OFFSET(SSAutESP!$A$2,MATCH(W$29,SSAutESP!$A$2:$A$500)+$A41-1,1)-1)</f>
        <v>5.2158329548879223E-4</v>
      </c>
      <c r="X41" s="9">
        <f ca="1">IF(OR(X14="",X$28&lt;$A41),"",X14/OFFSET(SSAutESP!$A$2,MATCH(X$29,SSAutESP!$A$2:$A$500)+$A41-1,1)-1)</f>
        <v>1.1013987562669136E-4</v>
      </c>
      <c r="Y41" s="9">
        <f ca="1">IF(OR(Y14="",Y$28&lt;$A41),"",Y14/OFFSET(SSAutESP!$A$2,MATCH(Y$29,SSAutESP!$A$2:$A$500)+$A41-1,1)-1)</f>
        <v>6.1229106586191406E-4</v>
      </c>
      <c r="Z41" s="9">
        <f ca="1">IF(OR(Z14="",Z$28&lt;$A41),"",Z14/OFFSET(SSAutESP!$A$2,MATCH(Z$29,SSAutESP!$A$2:$A$500)+$A41-1,1)-1)</f>
        <v>7.5892521311082817E-4</v>
      </c>
      <c r="AA41" s="9">
        <f ca="1">IF(OR(AA14="",AA$28&lt;$A41),"",AA14/OFFSET(SSAutESP!$A$2,MATCH(AA$29,SSAutESP!$A$2:$A$500)+$A41-1,1)-1)</f>
        <v>3.40180658915612E-4</v>
      </c>
      <c r="AB41" s="9">
        <f ca="1">IF(OR(AB14="",AB$28&lt;$A41),"",AB14/OFFSET(SSAutESP!$A$2,MATCH(AB$29,SSAutESP!$A$2:$A$500)+$A41-1,1)-1)</f>
        <v>-4.6028460173763719E-4</v>
      </c>
      <c r="AC41" s="9">
        <f ca="1">IF(OR(AC14="",AC$28&lt;$A41),"",AC14/OFFSET(SSAutESP!$A$2,MATCH(AC$29,SSAutESP!$A$2:$A$500)+$A41-1,1)-1)</f>
        <v>-5.3206745683318513E-3</v>
      </c>
      <c r="AD41" s="9">
        <f ca="1">IF(OR(AD14="",AD$28&lt;$A41),"",AD14/OFFSET(SSAutESP!$A$2,MATCH(AD$29,SSAutESP!$A$2:$A$500)+$A41-1,1)-1)</f>
        <v>-6.7488452424866452E-3</v>
      </c>
      <c r="AE41" s="9">
        <f ca="1">IF(OR(AE14="",AE$28&lt;$A41),"",AE14/OFFSET(SSAutESP!$A$2,MATCH(AE$29,SSAutESP!$A$2:$A$500)+$A41-1,1)-1)</f>
        <v>-4.715226931014227E-3</v>
      </c>
      <c r="AF41" s="9">
        <f ca="1">IF(OR(AF14="",AF$28&lt;$A41),"",AF14/OFFSET(SSAutESP!$A$2,MATCH(AF$29,SSAutESP!$A$2:$A$500)+$A41-1,1)-1)</f>
        <v>-7.5494984328493553E-3</v>
      </c>
      <c r="AG41" s="9">
        <f ca="1">IF(OR(AG14="",AG$28&lt;$A41),"",AG14/OFFSET(SSAutESP!$A$2,MATCH(AG$29,SSAutESP!$A$2:$A$500)+$A41-1,1)-1)</f>
        <v>-1.0817975623302667E-2</v>
      </c>
      <c r="AH41" s="9">
        <f ca="1">IF(OR(AH14="",AH$28&lt;$A41),"",AH14/OFFSET(SSAutESP!$A$2,MATCH(AH$29,SSAutESP!$A$2:$A$500)+$A41-1,1)-1)</f>
        <v>-1.3294708845800418E-2</v>
      </c>
      <c r="AI41" s="9">
        <f ca="1">IF(OR(AI14="",AI$28&lt;$A41),"",AI14/OFFSET(SSAutESP!$A$2,MATCH(AI$29,SSAutESP!$A$2:$A$500)+$A41-1,1)-1)</f>
        <v>-9.9461667892375427E-3</v>
      </c>
      <c r="AJ41" s="9">
        <f ca="1">IF(OR(AJ14="",AJ$28&lt;$A41),"",AJ14/OFFSET(SSAutESP!$A$2,MATCH(AJ$29,SSAutESP!$A$2:$A$500)+$A41-1,1)-1)</f>
        <v>-7.8916810963131079E-3</v>
      </c>
      <c r="AK41" s="9">
        <f ca="1">IF(OR(AK14="",AK$28&lt;$A41),"",AK14/OFFSET(SSAutESP!$A$2,MATCH(AK$29,SSAutESP!$A$2:$A$500)+$A41-1,1)-1)</f>
        <v>-7.2735467663000986E-3</v>
      </c>
      <c r="AL41" s="9">
        <f ca="1">IF(OR(AL14="",AL$28&lt;$A41),"",AL14/OFFSET(SSAutESP!$A$2,MATCH(AL$29,SSAutESP!$A$2:$A$500)+$A41-1,1)-1)</f>
        <v>-4.7102326741228495E-3</v>
      </c>
      <c r="AM41" s="9">
        <f ca="1">IF(OR(AM14="",AM$28&lt;$A41),"",AM14/OFFSET(SSAutESP!$A$2,MATCH(AM$29,SSAutESP!$A$2:$A$500)+$A41-1,1)-1)</f>
        <v>-1.5464861400643626E-3</v>
      </c>
      <c r="AN41" s="9">
        <f ca="1">IF(OR(AN14="",AN$28&lt;$A41),"",AN14/OFFSET(SSAutESP!$A$2,MATCH(AN$29,SSAutESP!$A$2:$A$500)+$A41-1,1)-1)</f>
        <v>4.1502319802735332E-3</v>
      </c>
      <c r="AO41" s="9">
        <f ca="1">IF(OR(AO14="",AO$28&lt;$A41),"",AO14/OFFSET(SSAutESP!$A$2,MATCH(AO$29,SSAutESP!$A$2:$A$500)+$A41-1,1)-1)</f>
        <v>8.6848550360871801E-3</v>
      </c>
      <c r="AP41" s="9">
        <f ca="1">IF(OR(AP14="",AP$28&lt;$A41),"",AP14/OFFSET(SSAutESP!$A$2,MATCH(AP$29,SSAutESP!$A$2:$A$500)+$A41-1,1)-1)</f>
        <v>1.1805343997286721E-2</v>
      </c>
      <c r="AQ41" s="9">
        <f ca="1">IF(OR(AQ14="",AQ$28&lt;$A41),"",AQ14/OFFSET(SSAutESP!$A$2,MATCH(AQ$29,SSAutESP!$A$2:$A$500)+$A41-1,1)-1)</f>
        <v>1.6680522791383101E-2</v>
      </c>
      <c r="AR41" s="9">
        <f ca="1">IF(OR(AR14="",AR$28&lt;$A41),"",AR14/OFFSET(SSAutESP!$A$2,MATCH(AR$29,SSAutESP!$A$2:$A$500)+$A41-1,1)-1)</f>
        <v>2.3530415553075779E-2</v>
      </c>
      <c r="AS41" s="9">
        <f ca="1">IF(OR(AS14="",AS$28&lt;$A41),"",AS14/OFFSET(SSAutESP!$A$2,MATCH(AS$29,SSAutESP!$A$2:$A$500)+$A41-1,1)-1)</f>
        <v>2.9332798279363415E-2</v>
      </c>
      <c r="AT41" s="9">
        <f ca="1">IF(OR(AT14="",AT$28&lt;$A41),"",AT14/OFFSET(SSAutESP!$A$2,MATCH(AT$29,SSAutESP!$A$2:$A$500)+$A41-1,1)-1)</f>
        <v>2.9874434601264932E-2</v>
      </c>
      <c r="AU41" s="9">
        <f ca="1">IF(OR(AU14="",AU$28&lt;$A41),"",AU14/OFFSET(SSAutESP!$A$2,MATCH(AU$29,SSAutESP!$A$2:$A$500)+$A41-1,1)-1)</f>
        <v>3.7937545215153579E-2</v>
      </c>
      <c r="AV41" s="9">
        <f ca="1">IF(OR(AV14="",AV$28&lt;$A41),"",AV14/OFFSET(SSAutESP!$A$2,MATCH(AV$29,SSAutESP!$A$2:$A$500)+$A41-1,1)-1)</f>
        <v>4.5545273174387724E-2</v>
      </c>
      <c r="AW41" s="9">
        <f ca="1">IF(OR(AW14="",AW$28&lt;$A41),"",AW14/OFFSET(SSAutESP!$A$2,MATCH(AW$29,SSAutESP!$A$2:$A$500)+$A41-1,1)-1)</f>
        <v>4.9532909055913787E-2</v>
      </c>
      <c r="AX41" s="9">
        <f ca="1">IF(OR(AX14="",AX$28&lt;$A41),"",AX14/OFFSET(SSAutESP!$A$2,MATCH(AX$29,SSAutESP!$A$2:$A$500)+$A41-1,1)-1)</f>
        <v>5.1812586784810266E-2</v>
      </c>
      <c r="AY41" s="9">
        <f ca="1">IF(OR(AY14="",AY$28&lt;$A41),"",AY14/OFFSET(SSAutESP!$A$2,MATCH(AY$29,SSAutESP!$A$2:$A$500)+$A41-1,1)-1)</f>
        <v>5.9052299863732616E-2</v>
      </c>
      <c r="AZ41" s="9">
        <f ca="1">IF(OR(AZ14="",AZ$28&lt;$A41),"",AZ14/OFFSET(SSAutESP!$A$2,MATCH(AZ$29,SSAutESP!$A$2:$A$500)+$A41-1,1)-1)</f>
        <v>6.41741291125697E-2</v>
      </c>
      <c r="BA41" s="9">
        <f ca="1">IF(OR(BA14="",BA$28&lt;$A41),"",BA14/OFFSET(SSAutESP!$A$2,MATCH(BA$29,SSAutESP!$A$2:$A$500)+$A41-1,1)-1)</f>
        <v>6.2755759302611569E-2</v>
      </c>
      <c r="BB41" s="9">
        <f ca="1">IF(OR(BB14="",BB$28&lt;$A41),"",BB14/OFFSET(SSAutESP!$A$2,MATCH(BB$29,SSAutESP!$A$2:$A$500)+$A41-1,1)-1)</f>
        <v>4.8040779680563972E-2</v>
      </c>
      <c r="BC41" s="9">
        <f ca="1">IF(OR(BC14="",BC$28&lt;$A41),"",BC14/OFFSET(SSAutESP!$A$2,MATCH(BC$29,SSAutESP!$A$2:$A$500)+$A41-1,1)-1)</f>
        <v>2.2443030995617175E-2</v>
      </c>
      <c r="BD41" s="9">
        <f ca="1">IF(OR(BD14="",BD$28&lt;$A41),"",BD14/OFFSET(SSAutESP!$A$2,MATCH(BD$29,SSAutESP!$A$2:$A$500)+$A41-1,1)-1)</f>
        <v>2.7050183030913111E-2</v>
      </c>
      <c r="BE41" s="9">
        <f ca="1">IF(OR(BE14="",BE$28&lt;$A41),"",BE14/OFFSET(SSAutESP!$A$2,MATCH(BE$29,SSAutESP!$A$2:$A$500)+$A41-1,1)-1)</f>
        <v>1.927419329141955E-2</v>
      </c>
      <c r="BF41" s="9">
        <f ca="1">IF(OR(BF14="",BF$28&lt;$A41),"",BF14/OFFSET(SSAutESP!$A$2,MATCH(BF$29,SSAutESP!$A$2:$A$500)+$A41-1,1)-1)</f>
        <v>1.4743560360117591E-2</v>
      </c>
      <c r="BG41" s="9">
        <f ca="1">IF(OR(BG14="",BG$28&lt;$A41),"",BG14/OFFSET(SSAutESP!$A$2,MATCH(BG$29,SSAutESP!$A$2:$A$500)+$A41-1,1)-1)</f>
        <v>3.0535961003214762E-2</v>
      </c>
      <c r="BH41" s="9">
        <f ca="1">IF(OR(BH14="",BH$28&lt;$A41),"",BH14/OFFSET(SSAutESP!$A$2,MATCH(BH$29,SSAutESP!$A$2:$A$500)+$A41-1,1)-1)</f>
        <v>1.7985324105010969E-2</v>
      </c>
      <c r="BI41" s="9">
        <f ca="1">IF(OR(BI14="",BI$28&lt;$A41),"",BI14/OFFSET(SSAutESP!$A$2,MATCH(BI$29,SSAutESP!$A$2:$A$500)+$A41-1,1)-1)</f>
        <v>6.1054315611601684E-3</v>
      </c>
      <c r="BJ41" s="9">
        <f ca="1">IF(OR(BJ14="",BJ$28&lt;$A41),"",BJ14/OFFSET(SSAutESP!$A$2,MATCH(BJ$29,SSAutESP!$A$2:$A$500)+$A41-1,1)-1)</f>
        <v>3.6517674455145421E-3</v>
      </c>
      <c r="BK41" s="9">
        <f ca="1">IF(OR(BK14="",BK$28&lt;$A41),"",BK14/OFFSET(SSAutESP!$A$2,MATCH(BK$29,SSAutESP!$A$2:$A$500)+$A41-1,1)-1)</f>
        <v>-4.1481804622090279E-2</v>
      </c>
      <c r="BL41" s="9">
        <f ca="1">IF(OR(BL14="",BL$28&lt;$A41),"",BL14/OFFSET(SSAutESP!$A$2,MATCH(BL$29,SSAutESP!$A$2:$A$500)+$A41-1,1)-1)</f>
        <v>-6.4247502199931583E-2</v>
      </c>
      <c r="BM41" s="9">
        <f ca="1">IF(OR(BM14="",BM$28&lt;$A41),"",BM14/OFFSET(SSAutESP!$A$2,MATCH(BM$29,SSAutESP!$A$2:$A$500)+$A41-1,1)-1)</f>
        <v>-5.9159313197064467E-2</v>
      </c>
      <c r="BN41" s="9">
        <f ca="1">IF(OR(BN14="",BN$28&lt;$A41),"",BN14/OFFSET(SSAutESP!$A$2,MATCH(BN$29,SSAutESP!$A$2:$A$500)+$A41-1,1)-1)</f>
        <v>-4.1773983600519426E-2</v>
      </c>
      <c r="BO41" s="9">
        <f ca="1">IF(OR(BO14="",BO$28&lt;$A41),"",BO14/OFFSET(SSAutESP!$A$2,MATCH(BO$29,SSAutESP!$A$2:$A$500)+$A41-1,1)-1)</f>
        <v>-3.3587907317933374E-2</v>
      </c>
      <c r="BP41" s="9">
        <f ca="1">IF(OR(BP14="",BP$28&lt;$A41),"",BP14/OFFSET(SSAutESP!$A$2,MATCH(BP$29,SSAutESP!$A$2:$A$500)+$A41-1,1)-1)</f>
        <v>-2.7919396095930082E-2</v>
      </c>
      <c r="BQ41" s="9">
        <f ca="1">IF(OR(BQ14="",BQ$28&lt;$A41),"",BQ14/OFFSET(SSAutESP!$A$2,MATCH(BQ$29,SSAutESP!$A$2:$A$500)+$A41-1,1)-1)</f>
        <v>-3.198801964869924E-2</v>
      </c>
      <c r="BR41" s="9">
        <f ca="1">IF(OR(BR14="",BR$28&lt;$A41),"",BR14/OFFSET(SSAutESP!$A$2,MATCH(BR$29,SSAutESP!$A$2:$A$500)+$A41-1,1)-1)</f>
        <v>-2.3202426424376643E-2</v>
      </c>
      <c r="BS41" s="9">
        <f ca="1">IF(OR(BS14="",BS$28&lt;$A41),"",BS14/OFFSET(SSAutESP!$A$2,MATCH(BS$29,SSAutESP!$A$2:$A$500)+$A41-1,1)-1)</f>
        <v>-6.1383072007841211E-3</v>
      </c>
      <c r="BT41" s="9">
        <f ca="1">IF(OR(BT14="",BT$28&lt;$A41),"",BT14/OFFSET(SSAutESP!$A$2,MATCH(BT$29,SSAutESP!$A$2:$A$500)+$A41-1,1)-1)</f>
        <v>-1.8647699667434625E-2</v>
      </c>
      <c r="BU41" s="9">
        <f ca="1">IF(OR(BU14="",BU$28&lt;$A41),"",BU14/OFFSET(SSAutESP!$A$2,MATCH(BU$29,SSAutESP!$A$2:$A$500)+$A41-1,1)-1)</f>
        <v>-2.1571767826404131E-2</v>
      </c>
      <c r="BV41" s="9">
        <f ca="1">IF(OR(BV14="",BV$28&lt;$A41),"",BV14/OFFSET(SSAutESP!$A$2,MATCH(BV$29,SSAutESP!$A$2:$A$500)+$A41-1,1)-1)</f>
        <v>-1.1767430810577073E-2</v>
      </c>
      <c r="BW41" s="9">
        <f ca="1">IF(OR(BW14="",BW$28&lt;$A41),"",BW14/OFFSET(SSAutESP!$A$2,MATCH(BW$29,SSAutESP!$A$2:$A$500)+$A41-1,1)-1)</f>
        <v>3.1165193039990324E-3</v>
      </c>
      <c r="BX41" s="9">
        <f ca="1">IF(OR(BX14="",BX$28&lt;$A41),"",BX14/OFFSET(SSAutESP!$A$2,MATCH(BX$29,SSAutESP!$A$2:$A$500)+$A41-1,1)-1)</f>
        <v>-1.3865014936155884E-2</v>
      </c>
      <c r="BY41" s="9">
        <f ca="1">IF(OR(BY14="",BY$28&lt;$A41),"",BY14/OFFSET(SSAutESP!$A$2,MATCH(BY$29,SSAutESP!$A$2:$A$500)+$A41-1,1)-1)</f>
        <v>-9.3209038243986519E-3</v>
      </c>
      <c r="BZ41" s="9">
        <f ca="1">IF(OR(BZ14="",BZ$28&lt;$A41),"",BZ14/OFFSET(SSAutESP!$A$2,MATCH(BZ$29,SSAutESP!$A$2:$A$500)+$A41-1,1)-1)</f>
        <v>-6.9229370112041666E-3</v>
      </c>
      <c r="CA41" s="9">
        <f ca="1">IF(OR(CA14="",CA$28&lt;$A41),"",CA14/OFFSET(SSAutESP!$A$2,MATCH(CA$29,SSAutESP!$A$2:$A$500)+$A41-1,1)-1)</f>
        <v>9.7276802758683445E-4</v>
      </c>
      <c r="CB41" s="9">
        <f ca="1">IF(OR(CB14="",CB$28&lt;$A41),"",CB14/OFFSET(SSAutESP!$A$2,MATCH(CB$29,SSAutESP!$A$2:$A$500)+$A41-1,1)-1)</f>
        <v>2.6999124678355191E-3</v>
      </c>
      <c r="CC41" s="9">
        <f ca="1">IF(OR(CC14="",CC$28&lt;$A41),"",CC14/OFFSET(SSAutESP!$A$2,MATCH(CC$29,SSAutESP!$A$2:$A$500)+$A41-1,1)-1)</f>
        <v>-9.4121889909526413E-4</v>
      </c>
      <c r="CD41" s="9">
        <f ca="1">IF(OR(CD14="",CD$28&lt;$A41),"",CD14/OFFSET(SSAutESP!$A$2,MATCH(CD$29,SSAutESP!$A$2:$A$500)+$A41-1,1)-1)</f>
        <v>-1.1476212846535216E-2</v>
      </c>
      <c r="CE41" s="9">
        <f ca="1">IF(OR(CE14="",CE$28&lt;$A41),"",CE14/OFFSET(SSAutESP!$A$2,MATCH(CE$29,SSAutESP!$A$2:$A$500)+$A41-1,1)-1)</f>
        <v>-6.2875101887212015E-3</v>
      </c>
      <c r="CF41" s="9">
        <f ca="1">IF(OR(CF14="",CF$28&lt;$A41),"",CF14/OFFSET(SSAutESP!$A$2,MATCH(CF$29,SSAutESP!$A$2:$A$500)+$A41-1,1)-1)</f>
        <v>-1.6876902642158909E-3</v>
      </c>
      <c r="CG41" s="9">
        <f ca="1">IF(OR(CG14="",CG$28&lt;$A41),"",CG14/OFFSET(SSAutESP!$A$2,MATCH(CG$29,SSAutESP!$A$2:$A$500)+$A41-1,1)-1)</f>
        <v>-3.6161336796114441E-4</v>
      </c>
      <c r="CH41" s="9">
        <f ca="1">IF(OR(CH14="",CH$28&lt;$A41),"",CH14/OFFSET(SSAutESP!$A$2,MATCH(CH$29,SSAutESP!$A$2:$A$500)+$A41-1,1)-1)</f>
        <v>-3.9209961478579025E-3</v>
      </c>
      <c r="CI41" s="9">
        <f ca="1">IF(OR(CI14="",CI$28&lt;$A41),"",CI14/OFFSET(SSAutESP!$A$2,MATCH(CI$29,SSAutESP!$A$2:$A$500)+$A41-1,1)-1)</f>
        <v>5.7579897306330174E-3</v>
      </c>
      <c r="CJ41" s="9">
        <f ca="1">IF(OR(CJ14="",CJ$28&lt;$A41),"",CJ14/OFFSET(SSAutESP!$A$2,MATCH(CJ$29,SSAutESP!$A$2:$A$500)+$A41-1,1)-1)</f>
        <v>-2.4740736502568694E-3</v>
      </c>
      <c r="CK41" s="9">
        <f ca="1">IF(OR(CK14="",CK$28&lt;$A41),"",CK14/OFFSET(SSAutESP!$A$2,MATCH(CK$29,SSAutESP!$A$2:$A$500)+$A41-1,1)-1)</f>
        <v>1.5333101497516877E-2</v>
      </c>
      <c r="CL41" s="9">
        <f ca="1">IF(OR(CL14="",CL$28&lt;$A41),"",CL14/OFFSET(SSAutESP!$A$2,MATCH(CL$29,SSAutESP!$A$2:$A$500)+$A41-1,1)-1)</f>
        <v>1.4451144717826603E-2</v>
      </c>
      <c r="CM41" s="9">
        <f ca="1">IF(OR(CM14="",CM$28&lt;$A41),"",CM14/OFFSET(SSAutESP!$A$2,MATCH(CM$29,SSAutESP!$A$2:$A$500)+$A41-1,1)-1)</f>
        <v>1.3501086716265265E-2</v>
      </c>
      <c r="CN41" s="9">
        <f ca="1">IF(OR(CN14="",CN$28&lt;$A41),"",CN14/OFFSET(SSAutESP!$A$2,MATCH(CN$29,SSAutESP!$A$2:$A$500)+$A41-1,1)-1)</f>
        <v>5.5424347750185898E-3</v>
      </c>
      <c r="CO41" s="9">
        <f ca="1">IF(OR(CO14="",CO$28&lt;$A41),"",CO14/OFFSET(SSAutESP!$A$2,MATCH(CO$29,SSAutESP!$A$2:$A$500)+$A41-1,1)-1)</f>
        <v>4.8623041569444414E-3</v>
      </c>
      <c r="CP41" s="9">
        <f ca="1">IF(OR(CP14="",CP$28&lt;$A41),"",CP14/OFFSET(SSAutESP!$A$2,MATCH(CP$29,SSAutESP!$A$2:$A$500)+$A41-1,1)-1)</f>
        <v>3.6002415188014503E-3</v>
      </c>
      <c r="CQ41" s="9">
        <f ca="1">IF(OR(CQ14="",CQ$28&lt;$A41),"",CQ14/OFFSET(SSAutESP!$A$2,MATCH(CQ$29,SSAutESP!$A$2:$A$500)+$A41-1,1)-1)</f>
        <v>9.1283682686014167E-3</v>
      </c>
      <c r="CR41" s="9">
        <f ca="1">IF(OR(CR14="",CR$28&lt;$A41),"",CR14/OFFSET(SSAutESP!$A$2,MATCH(CR$29,SSAutESP!$A$2:$A$500)+$A41-1,1)-1)</f>
        <v>6.7778178962689672E-3</v>
      </c>
      <c r="CS41" s="9">
        <f ca="1">IF(OR(CS14="",CS$28&lt;$A41),"",CS14/OFFSET(SSAutESP!$A$2,MATCH(CS$29,SSAutESP!$A$2:$A$500)+$A41-1,1)-1)</f>
        <v>4.9297645014223512E-4</v>
      </c>
      <c r="CT41" s="9">
        <f ca="1">IF(OR(CT14="",CT$28&lt;$A41),"",CT14/OFFSET(SSAutESP!$A$2,MATCH(CT$29,SSAutESP!$A$2:$A$500)+$A41-1,1)-1)</f>
        <v>3.4566683620429473E-4</v>
      </c>
      <c r="CU41" s="9">
        <f ca="1">IF(OR(CU14="",CU$28&lt;$A41),"",CU14/OFFSET(SSAutESP!$A$2,MATCH(CU$29,SSAutESP!$A$2:$A$500)+$A41-1,1)-1)</f>
        <v>-1.5537163478786864E-2</v>
      </c>
      <c r="CV41" s="9">
        <f ca="1">IF(OR(CV14="",CV$28&lt;$A41),"",CV14/OFFSET(SSAutESP!$A$2,MATCH(CV$29,SSAutESP!$A$2:$A$500)+$A41-1,1)-1)</f>
        <v>2.7178910549785495E-3</v>
      </c>
      <c r="CW41" s="9">
        <f ca="1">IF(OR(CW14="",CW$28&lt;$A41),"",CW14/OFFSET(SSAutESP!$A$2,MATCH(CW$29,SSAutESP!$A$2:$A$500)+$A41-1,1)-1)</f>
        <v>5.7395454109732125E-3</v>
      </c>
      <c r="CX41" s="9">
        <f ca="1">IF(OR(CX14="",CX$28&lt;$A41),"",CX14/OFFSET(SSAutESP!$A$2,MATCH(CX$29,SSAutESP!$A$2:$A$500)+$A41-1,1)-1)</f>
        <v>5.0678373646659836E-3</v>
      </c>
      <c r="CY41" s="9">
        <f ca="1">IF(OR(CY14="",CY$28&lt;$A41),"",CY14/OFFSET(SSAutESP!$A$2,MATCH(CY$29,SSAutESP!$A$2:$A$500)+$A41-1,1)-1)</f>
        <v>3.1110893098795778E-3</v>
      </c>
      <c r="CZ41" s="9">
        <f ca="1">IF(OR(CZ14="",CZ$28&lt;$A41),"",CZ14/OFFSET(SSAutESP!$A$2,MATCH(CZ$29,SSAutESP!$A$2:$A$500)+$A41-1,1)-1)</f>
        <v>4.2833626925808943E-4</v>
      </c>
      <c r="DA41" s="9">
        <f ca="1">IF(OR(DA14="",DA$28&lt;$A41),"",DA14/OFFSET(SSAutESP!$A$2,MATCH(DA$29,SSAutESP!$A$2:$A$500)+$A41-1,1)-1)</f>
        <v>-3.3982550642936982E-3</v>
      </c>
      <c r="DB41" s="9">
        <f ca="1">IF(OR(DB14="",DB$28&lt;$A41),"",DB14/OFFSET(SSAutESP!$A$2,MATCH(DB$29,SSAutESP!$A$2:$A$500)+$A41-1,1)-1)</f>
        <v>-1.610548176711335E-2</v>
      </c>
      <c r="DC41" s="9">
        <f ca="1">IF(OR(DC14="",DC$28&lt;$A41),"",DC14/OFFSET(SSAutESP!$A$2,MATCH(DC$29,SSAutESP!$A$2:$A$500)+$A41-1,1)-1)</f>
        <v>-1.8553886473022918E-2</v>
      </c>
      <c r="DD41" s="9">
        <f ca="1">IF(OR(DD14="",DD$28&lt;$A41),"",DD14/OFFSET(SSAutESP!$A$2,MATCH(DD$29,SSAutESP!$A$2:$A$500)+$A41-1,1)-1)</f>
        <v>-1.6207936507209864E-2</v>
      </c>
      <c r="DE41" s="9">
        <f ca="1">IF(OR(DE14="",DE$28&lt;$A41),"",DE14/OFFSET(SSAutESP!$A$2,MATCH(DE$29,SSAutESP!$A$2:$A$500)+$A41-1,1)-1)</f>
        <v>-2.5844325921927314E-2</v>
      </c>
      <c r="DF41" s="9">
        <f ca="1">IF(OR(DF14="",DF$28&lt;$A41),"",DF14/OFFSET(SSAutESP!$A$2,MATCH(DF$29,SSAutESP!$A$2:$A$500)+$A41-1,1)-1)</f>
        <v>-1.7728201503328656E-2</v>
      </c>
      <c r="DG41" s="9">
        <f ca="1">IF(OR(DG14="",DG$28&lt;$A41),"",DG14/OFFSET(SSAutESP!$A$2,MATCH(DG$29,SSAutESP!$A$2:$A$500)+$A41-1,1)-1)</f>
        <v>-2.2559364520347902E-2</v>
      </c>
      <c r="DH41" s="9">
        <f ca="1">IF(OR(DH14="",DH$28&lt;$A41),"",DH14/OFFSET(SSAutESP!$A$2,MATCH(DH$29,SSAutESP!$A$2:$A$500)+$A41-1,1)-1)</f>
        <v>-3.4852892784508094E-2</v>
      </c>
      <c r="DI41" s="9">
        <f ca="1">IF(OR(DI14="",DI$28&lt;$A41),"",DI14/OFFSET(SSAutESP!$A$2,MATCH(DI$29,SSAutESP!$A$2:$A$500)+$A41-1,1)-1)</f>
        <v>-2.5435501349555412E-2</v>
      </c>
      <c r="DJ41" s="9">
        <f ca="1">IF(OR(DJ14="",DJ$28&lt;$A41),"",DJ14/OFFSET(SSAutESP!$A$2,MATCH(DJ$29,SSAutESP!$A$2:$A$500)+$A41-1,1)-1)</f>
        <v>-1.5447818225778787E-2</v>
      </c>
      <c r="DK41" s="9">
        <f ca="1">IF(OR(DK14="",DK$28&lt;$A41),"",DK14/OFFSET(SSAutESP!$A$2,MATCH(DK$29,SSAutESP!$A$2:$A$500)+$A41-1,1)-1)</f>
        <v>-1.3213213618013975E-2</v>
      </c>
      <c r="DL41" s="9">
        <f ca="1">IF(OR(DL14="",DL$28&lt;$A41),"",DL14/OFFSET(SSAutESP!$A$2,MATCH(DL$29,SSAutESP!$A$2:$A$500)+$A41-1,1)-1)</f>
        <v>-8.9505499477117167E-3</v>
      </c>
      <c r="DM41" s="9">
        <f ca="1">IF(OR(DM14="",DM$28&lt;$A41),"",DM14/OFFSET(SSAutESP!$A$2,MATCH(DM$29,SSAutESP!$A$2:$A$500)+$A41-1,1)-1)</f>
        <v>-7.0080627110483684E-3</v>
      </c>
      <c r="DN41" s="9">
        <f ca="1">IF(OR(DN14="",DN$28&lt;$A41),"",DN14/OFFSET(SSAutESP!$A$2,MATCH(DN$29,SSAutESP!$A$2:$A$500)+$A41-1,1)-1)</f>
        <v>-2.5726999812504814E-2</v>
      </c>
      <c r="DO41" s="9">
        <f ca="1">IF(OR(DO14="",DO$28&lt;$A41),"",DO14/OFFSET(SSAutESP!$A$2,MATCH(DO$29,SSAutESP!$A$2:$A$500)+$A41-1,1)-1)</f>
        <v>-1.8498403300383659E-2</v>
      </c>
      <c r="DP41" s="9">
        <f ca="1">IF(OR(DP14="",DP$28&lt;$A41),"",DP14/OFFSET(SSAutESP!$A$2,MATCH(DP$29,SSAutESP!$A$2:$A$500)+$A41-1,1)-1)</f>
        <v>-1.7419820408898556E-2</v>
      </c>
      <c r="DQ41" s="9">
        <f ca="1">IF(OR(DQ14="",DQ$28&lt;$A41),"",DQ14/OFFSET(SSAutESP!$A$2,MATCH(DQ$29,SSAutESP!$A$2:$A$500)+$A41-1,1)-1)</f>
        <v>-4.2793127423066402E-3</v>
      </c>
      <c r="DR41" s="9">
        <f ca="1">IF(OR(DR14="",DR$28&lt;$A41),"",DR14/OFFSET(SSAutESP!$A$2,MATCH(DR$29,SSAutESP!$A$2:$A$500)+$A41-1,1)-1)</f>
        <v>6.7934467283146116E-3</v>
      </c>
      <c r="DS41" s="9">
        <f ca="1">IF(OR(DS14="",DS$28&lt;$A41),"",DS14/OFFSET(SSAutESP!$A$2,MATCH(DS$29,SSAutESP!$A$2:$A$500)+$A41-1,1)-1)</f>
        <v>-6.4763175864508415E-3</v>
      </c>
      <c r="DT41" s="9">
        <f ca="1">IF(OR(DT14="",DT$28&lt;$A41),"",DT14/OFFSET(SSAutESP!$A$2,MATCH(DT$29,SSAutESP!$A$2:$A$500)+$A41-1,1)-1)</f>
        <v>-4.3994945927945395E-3</v>
      </c>
      <c r="DU41" s="9">
        <f ca="1">IF(OR(DU14="",DU$28&lt;$A41),"",DU14/OFFSET(SSAutESP!$A$2,MATCH(DU$29,SSAutESP!$A$2:$A$500)+$A41-1,1)-1)</f>
        <v>9.7297233298854202E-4</v>
      </c>
      <c r="DV41" s="9">
        <f ca="1">IF(OR(DV14="",DV$28&lt;$A41),"",DV14/OFFSET(SSAutESP!$A$2,MATCH(DV$29,SSAutESP!$A$2:$A$500)+$A41-1,1)-1)</f>
        <v>1.4583108407599354E-2</v>
      </c>
      <c r="DW41" s="9">
        <f ca="1">IF(OR(DW14="",DW$28&lt;$A41),"",DW14/OFFSET(SSAutESP!$A$2,MATCH(DW$29,SSAutESP!$A$2:$A$500)+$A41-1,1)-1)</f>
        <v>1.6215496455793454E-2</v>
      </c>
      <c r="DX41" s="9">
        <f ca="1">IF(OR(DX14="",DX$28&lt;$A41),"",DX14/OFFSET(SSAutESP!$A$2,MATCH(DX$29,SSAutESP!$A$2:$A$500)+$A41-1,1)-1)</f>
        <v>1.0436925305143729E-2</v>
      </c>
      <c r="DY41" s="9">
        <f ca="1">IF(OR(DY14="",DY$28&lt;$A41),"",DY14/OFFSET(SSAutESP!$A$2,MATCH(DY$29,SSAutESP!$A$2:$A$500)+$A41-1,1)-1)</f>
        <v>4.3392727718412072E-3</v>
      </c>
      <c r="DZ41" s="9">
        <f ca="1">IF(OR(DZ14="",DZ$28&lt;$A41),"",DZ14/OFFSET(SSAutESP!$A$2,MATCH(DZ$29,SSAutESP!$A$2:$A$500)+$A41-1,1)-1)</f>
        <v>-3.2722550254075111E-3</v>
      </c>
      <c r="EA41" s="9">
        <f ca="1">IF(OR(EA14="",EA$28&lt;$A41),"",EA14/OFFSET(SSAutESP!$A$2,MATCH(EA$29,SSAutESP!$A$2:$A$500)+$A41-1,1)-1)</f>
        <v>2.8746436449618162E-3</v>
      </c>
      <c r="EB41" s="9">
        <f ca="1">IF(OR(EB14="",EB$28&lt;$A41),"",EB14/OFFSET(SSAutESP!$A$2,MATCH(EB$29,SSAutESP!$A$2:$A$500)+$A41-1,1)-1)</f>
        <v>7.1486787399952512E-3</v>
      </c>
      <c r="EC41" s="9">
        <f ca="1">IF(OR(EC14="",EC$28&lt;$A41),"",EC14/OFFSET(SSAutESP!$A$2,MATCH(EC$29,SSAutESP!$A$2:$A$500)+$A41-1,1)-1)</f>
        <v>7.4775020496353761E-4</v>
      </c>
      <c r="ED41" s="9">
        <f ca="1">IF(OR(ED14="",ED$28&lt;$A41),"",ED14/OFFSET(SSAutESP!$A$2,MATCH(ED$29,SSAutESP!$A$2:$A$500)+$A41-1,1)-1)</f>
        <v>8.8221173605556036E-3</v>
      </c>
      <c r="EE41" s="9">
        <f ca="1">IF(OR(EE14="",EE$28&lt;$A41),"",EE14/OFFSET(SSAutESP!$A$2,MATCH(EE$29,SSAutESP!$A$2:$A$500)+$A41-1,1)-1)</f>
        <v>-1.7273368126069499E-5</v>
      </c>
      <c r="EF41" s="9">
        <f ca="1">IF(OR(EF14="",EF$28&lt;$A41),"",EF14/OFFSET(SSAutESP!$A$2,MATCH(EF$29,SSAutESP!$A$2:$A$500)+$A41-1,1)-1)</f>
        <v>4.6523071214714662E-3</v>
      </c>
      <c r="EG41" s="9">
        <f ca="1">IF(OR(EG14="",EG$28&lt;$A41),"",EG14/OFFSET(SSAutESP!$A$2,MATCH(EG$29,SSAutESP!$A$2:$A$500)+$A41-1,1)-1)</f>
        <v>1.3840853493668481E-2</v>
      </c>
      <c r="EH41" s="9">
        <f ca="1">IF(OR(EH14="",EH$28&lt;$A41),"",EH14/OFFSET(SSAutESP!$A$2,MATCH(EH$29,SSAutESP!$A$2:$A$500)+$A41-1,1)-1)</f>
        <v>1.4704520129415366E-2</v>
      </c>
      <c r="EI41" s="9">
        <f ca="1">IF(OR(EI14="",EI$28&lt;$A41),"",EI14/OFFSET(SSAutESP!$A$2,MATCH(EI$29,SSAutESP!$A$2:$A$500)+$A41-1,1)-1)</f>
        <v>9.4683467821552458E-3</v>
      </c>
      <c r="EJ41" s="9">
        <f ca="1">IF(OR(EJ14="",EJ$28&lt;$A41),"",EJ14/OFFSET(SSAutESP!$A$2,MATCH(EJ$29,SSAutESP!$A$2:$A$500)+$A41-1,1)-1)</f>
        <v>6.6148880103642504E-3</v>
      </c>
      <c r="EK41" s="9">
        <f ca="1">IF(OR(EK14="",EK$28&lt;$A41),"",EK14/OFFSET(SSAutESP!$A$2,MATCH(EK$29,SSAutESP!$A$2:$A$500)+$A41-1,1)-1)</f>
        <v>-4.302909493308027E-3</v>
      </c>
      <c r="EL41" s="9">
        <f ca="1">IF(OR(EL14="",EL$28&lt;$A41),"",EL14/OFFSET(SSAutESP!$A$2,MATCH(EL$29,SSAutESP!$A$2:$A$500)+$A41-1,1)-1)</f>
        <v>-4.8414806076951811E-3</v>
      </c>
      <c r="EM41" s="9">
        <f ca="1">IF(OR(EM14="",EM$28&lt;$A41),"",EM14/OFFSET(SSAutESP!$A$2,MATCH(EM$29,SSAutESP!$A$2:$A$500)+$A41-1,1)-1)</f>
        <v>-2.1253638752418702E-3</v>
      </c>
      <c r="EN41" s="9">
        <f ca="1">IF(OR(EN14="",EN$28&lt;$A41),"",EN14/OFFSET(SSAutESP!$A$2,MATCH(EN$29,SSAutESP!$A$2:$A$500)+$A41-1,1)-1)</f>
        <v>-5.9998083743501018E-3</v>
      </c>
      <c r="EO41" s="9">
        <f ca="1">IF(OR(EO14="",EO$28&lt;$A41),"",EO14/OFFSET(SSAutESP!$A$2,MATCH(EO$29,SSAutESP!$A$2:$A$500)+$A41-1,1)-1)</f>
        <v>3.5971624155970439E-3</v>
      </c>
      <c r="EP41" s="9">
        <f ca="1">IF(OR(EP14="",EP$28&lt;$A41),"",EP14/OFFSET(SSAutESP!$A$2,MATCH(EP$29,SSAutESP!$A$2:$A$500)+$A41-1,1)-1)</f>
        <v>-2.284082418711697E-3</v>
      </c>
      <c r="EQ41" s="9">
        <f ca="1">IF(OR(EQ14="",EQ$28&lt;$A41),"",EQ14/OFFSET(SSAutESP!$A$2,MATCH(EQ$29,SSAutESP!$A$2:$A$500)+$A41-1,1)-1)</f>
        <v>-1.5798647705395741E-2</v>
      </c>
      <c r="ER41" s="9">
        <f ca="1">IF(OR(ER14="",ER$28&lt;$A41),"",ER14/OFFSET(SSAutESP!$A$2,MATCH(ER$29,SSAutESP!$A$2:$A$500)+$A41-1,1)-1)</f>
        <v>-1.9772567965615773E-3</v>
      </c>
      <c r="ES41" s="9">
        <f ca="1">IF(OR(ES14="",ES$28&lt;$A41),"",ES14/OFFSET(SSAutESP!$A$2,MATCH(ES$29,SSAutESP!$A$2:$A$500)+$A41-1,1)-1)</f>
        <v>5.6147046232244424E-3</v>
      </c>
      <c r="ET41" s="9">
        <f ca="1">IF(OR(ET14="",ET$28&lt;$A41),"",ET14/OFFSET(SSAutESP!$A$2,MATCH(ET$29,SSAutESP!$A$2:$A$500)+$A41-1,1)-1)</f>
        <v>6.64079638058368E-4</v>
      </c>
      <c r="EU41" s="9">
        <f ca="1">IF(OR(EU14="",EU$28&lt;$A41),"",EU14/OFFSET(SSAutESP!$A$2,MATCH(EU$29,SSAutESP!$A$2:$A$500)+$A41-1,1)-1)</f>
        <v>-1.4217297442076227E-4</v>
      </c>
      <c r="EV41" s="9">
        <f ca="1">IF(OR(EV14="",EV$28&lt;$A41),"",EV14/OFFSET(SSAutESP!$A$2,MATCH(EV$29,SSAutESP!$A$2:$A$500)+$A41-1,1)-1)</f>
        <v>1.9360245912736218E-4</v>
      </c>
      <c r="EW41" s="9">
        <f ca="1">IF(OR(EW14="",EW$28&lt;$A41),"",EW14/OFFSET(SSAutESP!$A$2,MATCH(EW$29,SSAutESP!$A$2:$A$500)+$A41-1,1)-1)</f>
        <v>-6.291902863865384E-3</v>
      </c>
      <c r="EX41" s="9">
        <f ca="1">IF(OR(EX14="",EX$28&lt;$A41),"",EX14/OFFSET(SSAutESP!$A$2,MATCH(EX$29,SSAutESP!$A$2:$A$500)+$A41-1,1)-1)</f>
        <v>-2.7249408987173318E-3</v>
      </c>
      <c r="EY41" s="9">
        <f ca="1">IF(OR(EY14="",EY$28&lt;$A41),"",EY14/OFFSET(SSAutESP!$A$2,MATCH(EY$29,SSAutESP!$A$2:$A$500)+$A41-1,1)-1)</f>
        <v>-1.9994218647421125E-3</v>
      </c>
      <c r="EZ41" s="9">
        <f ca="1">IF(OR(EZ14="",EZ$28&lt;$A41),"",EZ14/OFFSET(SSAutESP!$A$2,MATCH(EZ$29,SSAutESP!$A$2:$A$500)+$A41-1,1)-1)</f>
        <v>1.8611786256008678E-3</v>
      </c>
      <c r="FA41" s="9">
        <f ca="1">IF(OR(FA14="",FA$28&lt;$A41),"",FA14/OFFSET(SSAutESP!$A$2,MATCH(FA$29,SSAutESP!$A$2:$A$500)+$A41-1,1)-1)</f>
        <v>1.1115669403090056E-3</v>
      </c>
      <c r="FB41" s="9">
        <f ca="1">IF(OR(FB14="",FB$28&lt;$A41),"",FB14/OFFSET(SSAutESP!$A$2,MATCH(FB$29,SSAutESP!$A$2:$A$500)+$A41-1,1)-1)</f>
        <v>2.0834935808797805E-3</v>
      </c>
      <c r="FC41" s="9">
        <f ca="1">IF(OR(FC14="",FC$28&lt;$A41),"",FC14/OFFSET(SSAutESP!$A$2,MATCH(FC$29,SSAutESP!$A$2:$A$500)+$A41-1,1)-1)</f>
        <v>-6.4617363566339403E-3</v>
      </c>
      <c r="FD41" s="9">
        <f ca="1">IF(OR(FD14="",FD$28&lt;$A41),"",FD14/OFFSET(SSAutESP!$A$2,MATCH(FD$29,SSAutESP!$A$2:$A$500)+$A41-1,1)-1)</f>
        <v>3.7735294712457623E-3</v>
      </c>
      <c r="FE41" s="9">
        <f ca="1">IF(OR(FE14="",FE$28&lt;$A41),"",FE14/OFFSET(SSAutESP!$A$2,MATCH(FE$29,SSAutESP!$A$2:$A$500)+$A41-1,1)-1)</f>
        <v>-8.5129420203422512E-4</v>
      </c>
      <c r="FF41" s="9">
        <f ca="1">IF(OR(FF14="",FF$28&lt;$A41),"",FF14/OFFSET(SSAutESP!$A$2,MATCH(FF$29,SSAutESP!$A$2:$A$500)+$A41-1,1)-1)</f>
        <v>3.387137543655383E-3</v>
      </c>
      <c r="FG41" s="9">
        <f ca="1">IF(OR(FG14="",FG$28&lt;$A41),"",FG14/OFFSET(SSAutESP!$A$2,MATCH(FG$29,SSAutESP!$A$2:$A$500)+$A41-1,1)-1)</f>
        <v>2.1533665175628158E-3</v>
      </c>
      <c r="FH41" s="9">
        <f ca="1">IF(OR(FH14="",FH$28&lt;$A41),"",FH14/OFFSET(SSAutESP!$A$2,MATCH(FH$29,SSAutESP!$A$2:$A$500)+$A41-1,1)-1)</f>
        <v>-4.4137802980764862E-3</v>
      </c>
      <c r="FI41" s="9">
        <f ca="1">IF(OR(FI14="",FI$28&lt;$A41),"",FI14/OFFSET(SSAutESP!$A$2,MATCH(FI$29,SSAutESP!$A$2:$A$500)+$A41-1,1)-1)</f>
        <v>-1.6949008132436938E-2</v>
      </c>
      <c r="FJ41" s="9">
        <f ca="1">IF(OR(FJ14="",FJ$28&lt;$A41),"",FJ14/OFFSET(SSAutESP!$A$2,MATCH(FJ$29,SSAutESP!$A$2:$A$500)+$A41-1,1)-1)</f>
        <v>-1.5254236223717244E-2</v>
      </c>
      <c r="FK41" s="9">
        <f ca="1">IF(OR(FK14="",FK$28&lt;$A41),"",FK14/OFFSET(SSAutESP!$A$2,MATCH(FK$29,SSAutESP!$A$2:$A$500)+$A41-1,1)-1)</f>
        <v>-5.6569168770018718E-3</v>
      </c>
      <c r="FL41" s="9">
        <f ca="1">IF(OR(FL14="",FL$28&lt;$A41),"",FL14/OFFSET(SSAutESP!$A$2,MATCH(FL$29,SSAutESP!$A$2:$A$500)+$A41-1,1)-1)</f>
        <v>-5.0575882596268773E-3</v>
      </c>
      <c r="FM41" s="9">
        <f ca="1">IF(OR(FM14="",FM$28&lt;$A41),"",FM14/OFFSET(SSAutESP!$A$2,MATCH(FM$29,SSAutESP!$A$2:$A$500)+$A41-1,1)-1)</f>
        <v>-1.5308866999189652E-2</v>
      </c>
      <c r="FN41" s="9">
        <f ca="1">IF(OR(FN14="",FN$28&lt;$A41),"",FN14/OFFSET(SSAutESP!$A$2,MATCH(FN$29,SSAutESP!$A$2:$A$500)+$A41-1,1)-1)</f>
        <v>-2.4280422575775673E-2</v>
      </c>
      <c r="FO41" s="9">
        <f ca="1">IF(OR(FO14="",FO$28&lt;$A41),"",FO14/OFFSET(SSAutESP!$A$2,MATCH(FO$29,SSAutESP!$A$2:$A$500)+$A41-1,1)-1)</f>
        <v>-1.3186936200879851E-2</v>
      </c>
      <c r="FP41" s="9">
        <f ca="1">IF(OR(FP14="",FP$28&lt;$A41),"",FP14/OFFSET(SSAutESP!$A$2,MATCH(FP$29,SSAutESP!$A$2:$A$500)+$A41-1,1)-1)</f>
        <v>1.1611750392014342E-2</v>
      </c>
      <c r="FQ41" s="9">
        <f ca="1">IF(OR(FQ14="",FQ$28&lt;$A41),"",FQ14/OFFSET(SSAutESP!$A$2,MATCH(FQ$29,SSAutESP!$A$2:$A$500)+$A41-1,1)-1)</f>
        <v>1.8196420792786938E-2</v>
      </c>
      <c r="FR41" s="9">
        <f ca="1">IF(OR(FR14="",FR$28&lt;$A41),"",FR14/OFFSET(SSAutESP!$A$2,MATCH(FR$29,SSAutESP!$A$2:$A$500)+$A41-1,1)-1)</f>
        <v>8.9544875449341088E-3</v>
      </c>
      <c r="FS41" s="9">
        <f ca="1">IF(OR(FS14="",FS$28&lt;$A41),"",FS14/OFFSET(SSAutESP!$A$2,MATCH(FS$29,SSAutESP!$A$2:$A$500)+$A41-1,1)-1)</f>
        <v>6.9349389477229018E-3</v>
      </c>
      <c r="FT41" s="9">
        <f ca="1">IF(OR(FT14="",FT$28&lt;$A41),"",FT14/OFFSET(SSAutESP!$A$2,MATCH(FT$29,SSAutESP!$A$2:$A$500)+$A41-1,1)-1)</f>
        <v>7.6589971328828721E-3</v>
      </c>
      <c r="FU41" s="9">
        <f ca="1">IF(OR(FU14="",FU$28&lt;$A41),"",FU14/OFFSET(SSAutESP!$A$2,MATCH(FU$29,SSAutESP!$A$2:$A$500)+$A41-1,1)-1)</f>
        <v>6.0217774724788953E-3</v>
      </c>
      <c r="FV41" s="9">
        <f ca="1">IF(OR(FV14="",FV$28&lt;$A41),"",FV14/OFFSET(SSAutESP!$A$2,MATCH(FV$29,SSAutESP!$A$2:$A$500)+$A41-1,1)-1)</f>
        <v>-4.7212574472077495E-4</v>
      </c>
      <c r="FW41" s="9">
        <f ca="1">IF(OR(FW14="",FW$28&lt;$A41),"",FW14/OFFSET(SSAutESP!$A$2,MATCH(FW$29,SSAutESP!$A$2:$A$500)+$A41-1,1)-1)</f>
        <v>6.9199003505191481E-3</v>
      </c>
      <c r="FX41" s="9">
        <f ca="1">IF(OR(FX14="",FX$28&lt;$A41),"",FX14/OFFSET(SSAutESP!$A$2,MATCH(FX$29,SSAutESP!$A$2:$A$500)+$A41-1,1)-1)</f>
        <v>9.7711193070388891E-3</v>
      </c>
      <c r="FY41" s="9">
        <f ca="1">IF(OR(FY14="",FY$28&lt;$A41),"",FY14/OFFSET(SSAutESP!$A$2,MATCH(FY$29,SSAutESP!$A$2:$A$500)+$A41-1,1)-1)</f>
        <v>4.0435899522424101E-3</v>
      </c>
      <c r="FZ41" s="9">
        <f ca="1">IF(OR(FZ14="",FZ$28&lt;$A41),"",FZ14/OFFSET(SSAutESP!$A$2,MATCH(FZ$29,SSAutESP!$A$2:$A$500)+$A41-1,1)-1)</f>
        <v>9.3361532107620882E-3</v>
      </c>
      <c r="GA41" s="9">
        <f ca="1">IF(OR(GA14="",GA$28&lt;$A41),"",GA14/OFFSET(SSAutESP!$A$2,MATCH(GA$29,SSAutESP!$A$2:$A$500)+$A41-1,1)-1)</f>
        <v>-6.5025118778880842E-3</v>
      </c>
      <c r="GB41" s="9">
        <f ca="1">IF(OR(GB14="",GB$28&lt;$A41),"",GB14/OFFSET(SSAutESP!$A$2,MATCH(GB$29,SSAutESP!$A$2:$A$500)+$A41-1,1)-1)</f>
        <v>-2.3864745379934549E-3</v>
      </c>
      <c r="GC41" s="9">
        <f ca="1">IF(OR(GC14="",GC$28&lt;$A41),"",GC14/OFFSET(SSAutESP!$A$2,MATCH(GC$29,SSAutESP!$A$2:$A$500)+$A41-1,1)-1)</f>
        <v>3.4633280406148881E-3</v>
      </c>
      <c r="GD41" s="9">
        <f ca="1">IF(OR(GD14="",GD$28&lt;$A41),"",GD14/OFFSET(SSAutESP!$A$2,MATCH(GD$29,SSAutESP!$A$2:$A$500)+$A41-1,1)-1)</f>
        <v>1.74310826319648E-2</v>
      </c>
      <c r="GE41" s="9">
        <f ca="1">IF(OR(GE14="",GE$28&lt;$A41),"",GE14/OFFSET(SSAutESP!$A$2,MATCH(GE$29,SSAutESP!$A$2:$A$500)+$A41-1,1)-1)</f>
        <v>1.7208408857767532E-2</v>
      </c>
      <c r="GF41" s="9">
        <f ca="1">IF(OR(GF14="",GF$28&lt;$A41),"",GF14/OFFSET(SSAutESP!$A$2,MATCH(GF$29,SSAutESP!$A$2:$A$500)+$A41-1,1)-1)</f>
        <v>1.3210731357641059E-2</v>
      </c>
      <c r="GG41" s="9">
        <f ca="1">IF(OR(GG14="",GG$28&lt;$A41),"",GG14/OFFSET(SSAutESP!$A$2,MATCH(GG$29,SSAutESP!$A$2:$A$500)+$A41-1,1)-1)</f>
        <v>6.2735049863305026E-3</v>
      </c>
      <c r="GH41" s="9">
        <f ca="1">IF(OR(GH14="",GH$28&lt;$A41),"",GH14/OFFSET(SSAutESP!$A$2,MATCH(GH$29,SSAutESP!$A$2:$A$500)+$A41-1,1)-1)</f>
        <v>1.275756880338319E-3</v>
      </c>
      <c r="GI41" s="9">
        <f ca="1">IF(OR(GI14="",GI$28&lt;$A41),"",GI14/OFFSET(SSAutESP!$A$2,MATCH(GI$29,SSAutESP!$A$2:$A$500)+$A41-1,1)-1)</f>
        <v>8.034649541583283E-3</v>
      </c>
      <c r="GJ41" s="9">
        <f ca="1">IF(OR(GJ14="",GJ$28&lt;$A41),"",GJ14/OFFSET(SSAutESP!$A$2,MATCH(GJ$29,SSAutESP!$A$2:$A$500)+$A41-1,1)-1)</f>
        <v>1.3695451895899158E-2</v>
      </c>
      <c r="GK41" s="9">
        <f ca="1">IF(OR(GK14="",GK$28&lt;$A41),"",GK14/OFFSET(SSAutESP!$A$2,MATCH(GK$29,SSAutESP!$A$2:$A$500)+$A41-1,1)-1)</f>
        <v>1.0096106896287482E-2</v>
      </c>
      <c r="GL41" s="9">
        <f ca="1">IF(OR(GL14="",GL$28&lt;$A41),"",GL14/OFFSET(SSAutESP!$A$2,MATCH(GL$29,SSAutESP!$A$2:$A$500)+$A41-1,1)-1)</f>
        <v>5.2181429975379778E-3</v>
      </c>
      <c r="GM41" s="9">
        <f ca="1">IF(OR(GM14="",GM$28&lt;$A41),"",GM14/OFFSET(SSAutESP!$A$2,MATCH(GM$29,SSAutESP!$A$2:$A$500)+$A41-1,1)-1)</f>
        <v>3.3797420723093996E-3</v>
      </c>
      <c r="GN41" s="9" t="str">
        <f ca="1">IF(OR(GN14="",GN$28&lt;$A41),"",GN14/OFFSET(SSAutESP!$A$2,MATCH(GN$29,SSAutESP!$A$2:$A$500)+$A41-1,1)-1)</f>
        <v/>
      </c>
      <c r="GO41" s="9" t="str">
        <f ca="1">IF(OR(GO14="",GO$28&lt;$A41),"",GO14/OFFSET(SSAutESP!$A$2,MATCH(GO$29,SSAutESP!$A$2:$A$500)+$A41-1,1)-1)</f>
        <v/>
      </c>
      <c r="GP41" s="9" t="str">
        <f ca="1">IF(OR(GP14="",GP$28&lt;$A41),"",GP14/OFFSET(SSAutESP!$A$2,MATCH(GP$29,SSAutESP!$A$2:$A$500)+$A41-1,1)-1)</f>
        <v/>
      </c>
      <c r="GQ41" s="9" t="str">
        <f ca="1">IF(OR(GQ14="",GQ$28&lt;$A41),"",GQ14/OFFSET(SSAutESP!$A$2,MATCH(GQ$29,SSAutESP!$A$2:$A$500)+$A41-1,1)-1)</f>
        <v/>
      </c>
      <c r="GR41" s="9" t="str">
        <f ca="1">IF(OR(GR14="",GR$28&lt;$A41),"",GR14/OFFSET(SSAutESP!$A$2,MATCH(GR$29,SSAutESP!$A$2:$A$500)+$A41-1,1)-1)</f>
        <v/>
      </c>
      <c r="GS41" s="9" t="str">
        <f ca="1">IF(OR(GS14="",GS$28&lt;$A41),"",GS14/OFFSET(SSAutESP!$A$2,MATCH(GS$29,SSAutESP!$A$2:$A$500)+$A41-1,1)-1)</f>
        <v/>
      </c>
      <c r="GT41" s="9" t="str">
        <f ca="1">IF(OR(GT14="",GT$28&lt;$A41),"",GT14/OFFSET(SSAutESP!$A$2,MATCH(GT$29,SSAutESP!$A$2:$A$500)+$A41-1,1)-1)</f>
        <v/>
      </c>
      <c r="GU41" s="9" t="str">
        <f ca="1">IF(OR(GU14="",GU$28&lt;$A41),"",GU14/OFFSET(SSAutESP!$A$2,MATCH(GU$29,SSAutESP!$A$2:$A$500)+$A41-1,1)-1)</f>
        <v/>
      </c>
      <c r="GV41" s="9" t="str">
        <f ca="1">IF(OR(GV14="",GV$28&lt;$A41),"",GV14/OFFSET(SSAutESP!$A$2,MATCH(GV$29,SSAutESP!$A$2:$A$500)+$A41-1,1)-1)</f>
        <v/>
      </c>
      <c r="GW41" s="9" t="str">
        <f ca="1">IF(OR(GW14="",GW$28&lt;$A41),"",GW14/OFFSET(SSAutESP!$A$2,MATCH(GW$29,SSAutESP!$A$2:$A$500)+$A41-1,1)-1)</f>
        <v/>
      </c>
      <c r="GX41" s="9" t="str">
        <f ca="1">IF(OR(GX14="",GX$28&lt;$A41),"",GX14/OFFSET(SSAutESP!$A$2,MATCH(GX$29,SSAutESP!$A$2:$A$500)+$A41-1,1)-1)</f>
        <v/>
      </c>
      <c r="GY41" s="9" t="str">
        <f ca="1">IF(OR(GY14="",GY$28&lt;$A41),"",GY14/OFFSET(SSAutESP!$A$2,MATCH(GY$29,SSAutESP!$A$2:$A$500)+$A41-1,1)-1)</f>
        <v/>
      </c>
      <c r="GZ41" s="9" t="str">
        <f ca="1">IF(OR(GZ14="",GZ$28&lt;$A41),"",GZ14/OFFSET(SSAutESP!$A$2,MATCH(GZ$29,SSAutESP!$A$2:$A$500)+$A41-1,1)-1)</f>
        <v/>
      </c>
      <c r="HA41" s="9" t="str">
        <f ca="1">IF(OR(HA14="",HA$28&lt;$A41),"",HA14/OFFSET(SSAutESP!$A$2,MATCH(HA$29,SSAutESP!$A$2:$A$500)+$A41-1,1)-1)</f>
        <v/>
      </c>
      <c r="HB41" s="9" t="str">
        <f ca="1">IF(OR(HB14="",HB$28&lt;$A41),"",HB14/OFFSET(SSAutESP!$A$2,MATCH(HB$29,SSAutESP!$A$2:$A$500)+$A41-1,1)-1)</f>
        <v/>
      </c>
      <c r="HC41" s="9" t="str">
        <f ca="1">IF(OR(HC14="",HC$28&lt;$A41),"",HC14/OFFSET(SSAutESP!$A$2,MATCH(HC$29,SSAutESP!$A$2:$A$500)+$A41-1,1)-1)</f>
        <v/>
      </c>
      <c r="HD41" s="9" t="str">
        <f ca="1">IF(OR(HD14="",HD$28&lt;$A41),"",HD14/OFFSET(SSAutESP!$A$2,MATCH(HD$29,SSAutESP!$A$2:$A$500)+$A41-1,1)-1)</f>
        <v/>
      </c>
      <c r="HE41" s="9" t="str">
        <f ca="1">IF(OR(HE14="",HE$28&lt;$A41),"",HE14/OFFSET(SSAutESP!$A$2,MATCH(HE$29,SSAutESP!$A$2:$A$500)+$A41-1,1)-1)</f>
        <v/>
      </c>
      <c r="HF41" s="9" t="str">
        <f ca="1">IF(OR(HF14="",HF$28&lt;$A41),"",HF14/OFFSET(SSAutESP!$A$2,MATCH(HF$29,SSAutESP!$A$2:$A$500)+$A41-1,1)-1)</f>
        <v/>
      </c>
      <c r="HG41" s="9" t="str">
        <f ca="1">IF(OR(HG14="",HG$28&lt;$A41),"",HG14/OFFSET(SSAutESP!$A$2,MATCH(HG$29,SSAutESP!$A$2:$A$500)+$A41-1,1)-1)</f>
        <v/>
      </c>
      <c r="HH41" s="9" t="str">
        <f ca="1">IF(OR(HH14="",HH$28&lt;$A41),"",HH14/OFFSET(SSAutESP!$A$2,MATCH(HH$29,SSAutESP!$A$2:$A$500)+$A41-1,1)-1)</f>
        <v/>
      </c>
      <c r="HI41" s="9" t="str">
        <f ca="1">IF(OR(HI14="",HI$28&lt;$A41),"",HI14/OFFSET(SSAutESP!$A$2,MATCH(HI$29,SSAutESP!$A$2:$A$500)+$A41-1,1)-1)</f>
        <v/>
      </c>
      <c r="HJ41" s="9" t="str">
        <f ca="1">IF(OR(HJ14="",HJ$28&lt;$A41),"",HJ14/OFFSET(SSAutESP!$A$2,MATCH(HJ$29,SSAutESP!$A$2:$A$500)+$A41-1,1)-1)</f>
        <v/>
      </c>
      <c r="HK41" s="9" t="str">
        <f ca="1">IF(OR(HK14="",HK$28&lt;$A41),"",HK14/OFFSET(SSAutESP!$A$2,MATCH(HK$29,SSAutESP!$A$2:$A$500)+$A41-1,1)-1)</f>
        <v/>
      </c>
      <c r="HL41" s="9" t="str">
        <f ca="1">IF(OR(HL14="",HL$28&lt;$A41),"",HL14/OFFSET(SSAutESP!$A$2,MATCH(HL$29,SSAutESP!$A$2:$A$500)+$A41-1,1)-1)</f>
        <v/>
      </c>
      <c r="HM41" s="9" t="str">
        <f ca="1">IF(OR(HM14="",HM$28&lt;$A41),"",HM14/OFFSET(SSAutESP!$A$2,MATCH(HM$29,SSAutESP!$A$2:$A$500)+$A41-1,1)-1)</f>
        <v/>
      </c>
      <c r="HN41" s="9" t="str">
        <f ca="1">IF(OR(HN14="",HN$28&lt;$A41),"",HN14/OFFSET(SSAutESP!$A$2,MATCH(HN$29,SSAutESP!$A$2:$A$500)+$A41-1,1)-1)</f>
        <v/>
      </c>
      <c r="HO41" s="9" t="str">
        <f ca="1">IF(OR(HO14="",HO$28&lt;$A41),"",HO14/OFFSET(SSAutESP!$A$2,MATCH(HO$29,SSAutESP!$A$2:$A$500)+$A41-1,1)-1)</f>
        <v/>
      </c>
      <c r="HP41" s="9" t="str">
        <f ca="1">IF(OR(HP14="",HP$28&lt;$A41),"",HP14/OFFSET(SSAutESP!$A$2,MATCH(HP$29,SSAutESP!$A$2:$A$500)+$A41-1,1)-1)</f>
        <v/>
      </c>
      <c r="HQ41" s="9" t="str">
        <f ca="1">IF(OR(HQ14="",HQ$28&lt;$A41),"",HQ14/OFFSET(SSAutESP!$A$2,MATCH(HQ$29,SSAutESP!$A$2:$A$500)+$A41-1,1)-1)</f>
        <v/>
      </c>
      <c r="HR41" s="9" t="str">
        <f ca="1">IF(OR(HR14="",HR$28&lt;$A41),"",HR14/OFFSET(SSAutESP!$A$2,MATCH(HR$29,SSAutESP!$A$2:$A$500)+$A41-1,1)-1)</f>
        <v/>
      </c>
      <c r="HS41" s="9" t="str">
        <f ca="1">IF(OR(HS14="",HS$28&lt;$A41),"",HS14/OFFSET(SSAutESP!$A$2,MATCH(HS$29,SSAutESP!$A$2:$A$500)+$A41-1,1)-1)</f>
        <v/>
      </c>
      <c r="HT41" s="9" t="str">
        <f ca="1">IF(OR(HT14="",HT$28&lt;$A41),"",HT14/OFFSET(SSAutESP!$A$2,MATCH(HT$29,SSAutESP!$A$2:$A$500)+$A41-1,1)-1)</f>
        <v/>
      </c>
      <c r="HU41" s="9" t="str">
        <f ca="1">IF(OR(HU14="",HU$28&lt;$A41),"",HU14/OFFSET(SSAutESP!$A$2,MATCH(HU$29,SSAutESP!$A$2:$A$500)+$A41-1,1)-1)</f>
        <v/>
      </c>
      <c r="HV41" s="9" t="str">
        <f ca="1">IF(OR(HV14="",HV$28&lt;$A41),"",HV14/OFFSET(SSAutESP!$A$2,MATCH(HV$29,SSAutESP!$A$2:$A$500)+$A41-1,1)-1)</f>
        <v/>
      </c>
      <c r="HW41" s="9" t="str">
        <f ca="1">IF(OR(HW14="",HW$28&lt;$A41),"",HW14/OFFSET(SSAutESP!$A$2,MATCH(HW$29,SSAutESP!$A$2:$A$500)+$A41-1,1)-1)</f>
        <v/>
      </c>
      <c r="HX41" s="9" t="str">
        <f ca="1">IF(OR(HX14="",HX$28&lt;$A41),"",HX14/OFFSET(SSAutESP!$A$2,MATCH(HX$29,SSAutESP!$A$2:$A$500)+$A41-1,1)-1)</f>
        <v/>
      </c>
      <c r="HY41" s="9" t="str">
        <f ca="1">IF(OR(HY14="",HY$28&lt;$A41),"",HY14/OFFSET(SSAutESP!$A$2,MATCH(HY$29,SSAutESP!$A$2:$A$500)+$A41-1,1)-1)</f>
        <v/>
      </c>
      <c r="HZ41" s="9" t="str">
        <f ca="1">IF(OR(HZ14="",HZ$28&lt;$A41),"",HZ14/OFFSET(SSAutESP!$A$2,MATCH(HZ$29,SSAutESP!$A$2:$A$500)+$A41-1,1)-1)</f>
        <v/>
      </c>
      <c r="IA41" s="9" t="str">
        <f ca="1">IF(OR(IA14="",IA$28&lt;$A41),"",IA14/OFFSET(SSAutESP!$A$2,MATCH(IA$29,SSAutESP!$A$2:$A$500)+$A41-1,1)-1)</f>
        <v/>
      </c>
      <c r="IB41" s="9" t="str">
        <f ca="1">IF(OR(IB14="",IB$28&lt;$A41),"",IB14/OFFSET(SSAutESP!$A$2,MATCH(IB$29,SSAutESP!$A$2:$A$500)+$A41-1,1)-1)</f>
        <v/>
      </c>
      <c r="IC41" s="9" t="str">
        <f ca="1">IF(OR(IC14="",IC$28&lt;$A41),"",IC14/OFFSET(SSAutESP!$A$2,MATCH(IC$29,SSAutESP!$A$2:$A$500)+$A41-1,1)-1)</f>
        <v/>
      </c>
      <c r="ID41" s="9" t="str">
        <f ca="1">IF(OR(ID14="",ID$28&lt;$A41),"",ID14/OFFSET(SSAutESP!$A$2,MATCH(ID$29,SSAutESP!$A$2:$A$500)+$A41-1,1)-1)</f>
        <v/>
      </c>
      <c r="IE41" s="9" t="str">
        <f ca="1">IF(OR(IE14="",IE$28&lt;$A41),"",IE14/OFFSET(SSAutESP!$A$2,MATCH(IE$29,SSAutESP!$A$2:$A$500)+$A41-1,1)-1)</f>
        <v/>
      </c>
      <c r="IF41" s="9" t="str">
        <f ca="1">IF(OR(IF14="",IF$28&lt;$A41),"",IF14/OFFSET(SSAutESP!$A$2,MATCH(IF$29,SSAutESP!$A$2:$A$500)+$A41-1,1)-1)</f>
        <v/>
      </c>
      <c r="IG41" s="9" t="str">
        <f ca="1">IF(OR(IG14="",IG$28&lt;$A41),"",IG14/OFFSET(SSAutESP!$A$2,MATCH(IG$29,SSAutESP!$A$2:$A$500)+$A41-1,1)-1)</f>
        <v/>
      </c>
      <c r="IH41" s="9" t="str">
        <f ca="1">IF(OR(IH14="",IH$28&lt;$A41),"",IH14/OFFSET(SSAutESP!$A$2,MATCH(IH$29,SSAutESP!$A$2:$A$500)+$A41-1,1)-1)</f>
        <v/>
      </c>
      <c r="II41" s="9" t="str">
        <f ca="1">IF(OR(II14="",II$28&lt;$A41),"",II14/OFFSET(SSAutESP!$A$2,MATCH(II$29,SSAutESP!$A$2:$A$500)+$A41-1,1)-1)</f>
        <v/>
      </c>
      <c r="IJ41" s="9" t="str">
        <f ca="1">IF(OR(IJ14="",IJ$28&lt;$A41),"",IJ14/OFFSET(SSAutESP!$A$2,MATCH(IJ$29,SSAutESP!$A$2:$A$500)+$A41-1,1)-1)</f>
        <v/>
      </c>
      <c r="IK41" s="9" t="str">
        <f ca="1">IF(OR(IK14="",IK$28&lt;$A41),"",IK14/OFFSET(SSAutESP!$A$2,MATCH(IK$29,SSAutESP!$A$2:$A$500)+$A41-1,1)-1)</f>
        <v/>
      </c>
      <c r="IL41" s="9" t="str">
        <f ca="1">IF(OR(IL14="",IL$28&lt;$A41),"",IL14/OFFSET(SSAutESP!$A$2,MATCH(IL$29,SSAutESP!$A$2:$A$500)+$A41-1,1)-1)</f>
        <v/>
      </c>
      <c r="IM41" s="9" t="str">
        <f ca="1">IF(OR(IM14="",IM$28&lt;$A41),"",IM14/OFFSET(SSAutESP!$A$2,MATCH(IM$29,SSAutESP!$A$2:$A$500)+$A41-1,1)-1)</f>
        <v/>
      </c>
      <c r="IN41" s="9" t="str">
        <f ca="1">IF(OR(IN14="",IN$28&lt;$A41),"",IN14/OFFSET(SSAutESP!$A$2,MATCH(IN$29,SSAutESP!$A$2:$A$500)+$A41-1,1)-1)</f>
        <v/>
      </c>
      <c r="IO41" s="9" t="str">
        <f ca="1">IF(OR(IO14="",IO$28&lt;$A41),"",IO14/OFFSET(SSAutESP!$A$2,MATCH(IO$29,SSAutESP!$A$2:$A$500)+$A41-1,1)-1)</f>
        <v/>
      </c>
      <c r="IP41" s="9" t="str">
        <f ca="1">IF(OR(IP14="",IP$28&lt;$A41),"",IP14/OFFSET(SSAutESP!$A$2,MATCH(IP$29,SSAutESP!$A$2:$A$500)+$A41-1,1)-1)</f>
        <v/>
      </c>
      <c r="IQ41" s="9" t="str">
        <f ca="1">IF(OR(IQ14="",IQ$28&lt;$A41),"",IQ14/OFFSET(SSAutESP!$A$2,MATCH(IQ$29,SSAutESP!$A$2:$A$500)+$A41-1,1)-1)</f>
        <v/>
      </c>
      <c r="IR41" s="9" t="str">
        <f ca="1">IF(OR(IR14="",IR$28&lt;$A41),"",IR14/OFFSET(SSAutESP!$A$2,MATCH(IR$29,SSAutESP!$A$2:$A$500)+$A41-1,1)-1)</f>
        <v/>
      </c>
      <c r="IS41" s="9" t="str">
        <f ca="1">IF(OR(IS14="",IS$28&lt;$A41),"",IS14/OFFSET(SSAutESP!$A$2,MATCH(IS$29,SSAutESP!$A$2:$A$500)+$A41-1,1)-1)</f>
        <v/>
      </c>
      <c r="IT41" s="9" t="str">
        <f ca="1">IF(OR(IT14="",IT$28&lt;$A41),"",IT14/OFFSET(SSAutESP!$A$2,MATCH(IT$29,SSAutESP!$A$2:$A$500)+$A41-1,1)-1)</f>
        <v/>
      </c>
      <c r="IU41" s="9" t="str">
        <f ca="1">IF(OR(IU14="",IU$28&lt;$A41),"",IU14/OFFSET(SSAutESP!$A$2,MATCH(IU$29,SSAutESP!$A$2:$A$500)+$A41-1,1)-1)</f>
        <v/>
      </c>
      <c r="IV41" s="9" t="str">
        <f ca="1">IF(OR(IV14="",IV$28&lt;$A41),"",IV14/OFFSET(SSAutESP!$A$2,MATCH(IV$29,SSAutESP!$A$2:$A$500)+$A41-1,1)-1)</f>
        <v/>
      </c>
      <c r="IW41" s="9" t="str">
        <f ca="1">IF(OR(IW14="",IW$28&lt;$A41),"",IW14/OFFSET(SSAutESP!$A$2,MATCH(IW$29,SSAutESP!$A$2:$A$500)+$A41-1,1)-1)</f>
        <v/>
      </c>
      <c r="IX41" s="9" t="str">
        <f ca="1">IF(OR(IX14="",IX$28&lt;$A41),"",IX14/OFFSET(SSAutESP!$A$2,MATCH(IX$29,SSAutESP!$A$2:$A$500)+$A41-1,1)-1)</f>
        <v/>
      </c>
      <c r="IY41" s="9" t="str">
        <f ca="1">IF(OR(IY14="",IY$28&lt;$A41),"",IY14/OFFSET(SSAutESP!$A$2,MATCH(IY$29,SSAutESP!$A$2:$A$500)+$A41-1,1)-1)</f>
        <v/>
      </c>
      <c r="IZ41" s="9" t="str">
        <f ca="1">IF(OR(IZ14="",IZ$28&lt;$A41),"",IZ14/OFFSET(SSAutESP!$A$2,MATCH(IZ$29,SSAutESP!$A$2:$A$500)+$A41-1,1)-1)</f>
        <v/>
      </c>
      <c r="JA41" s="9" t="str">
        <f ca="1">IF(OR(JA14="",JA$28&lt;$A41),"",JA14/OFFSET(SSAutESP!$A$2,MATCH(JA$29,SSAutESP!$A$2:$A$500)+$A41-1,1)-1)</f>
        <v/>
      </c>
      <c r="JB41" s="9" t="str">
        <f ca="1">IF(OR(JB14="",JB$28&lt;$A41),"",JB14/OFFSET(SSAutESP!$A$2,MATCH(JB$29,SSAutESP!$A$2:$A$500)+$A41-1,1)-1)</f>
        <v/>
      </c>
      <c r="JC41" s="9" t="str">
        <f ca="1">IF(OR(JC14="",JC$28&lt;$A41),"",JC14/OFFSET(SSAutESP!$A$2,MATCH(JC$29,SSAutESP!$A$2:$A$500)+$A41-1,1)-1)</f>
        <v/>
      </c>
      <c r="JD41" s="9" t="str">
        <f ca="1">IF(OR(JD14="",JD$28&lt;$A41),"",JD14/OFFSET(SSAutESP!$A$2,MATCH(JD$29,SSAutESP!$A$2:$A$500)+$A41-1,1)-1)</f>
        <v/>
      </c>
      <c r="JE41" s="9" t="str">
        <f ca="1">IF(OR(JE14="",JE$28&lt;$A41),"",JE14/OFFSET(SSAutESP!$A$2,MATCH(JE$29,SSAutESP!$A$2:$A$500)+$A41-1,1)-1)</f>
        <v/>
      </c>
      <c r="JF41" s="9" t="str">
        <f ca="1">IF(OR(JF14="",JF$28&lt;$A41),"",JF14/OFFSET(SSAutESP!$A$2,MATCH(JF$29,SSAutESP!$A$2:$A$500)+$A41-1,1)-1)</f>
        <v/>
      </c>
      <c r="JG41" s="9" t="str">
        <f ca="1">IF(OR(JG14="",JG$28&lt;$A41),"",JG14/OFFSET(SSAutESP!$A$2,MATCH(JG$29,SSAutESP!$A$2:$A$500)+$A41-1,1)-1)</f>
        <v/>
      </c>
      <c r="JH41" s="9" t="str">
        <f ca="1">IF(OR(JH14="",JH$28&lt;$A41),"",JH14/OFFSET(SSAutESP!$A$2,MATCH(JH$29,SSAutESP!$A$2:$A$500)+$A41-1,1)-1)</f>
        <v/>
      </c>
      <c r="JI41" s="13">
        <f t="shared" ca="1" si="13"/>
        <v>7.2940512482191451E-3</v>
      </c>
      <c r="JJ41" s="13">
        <f t="shared" ca="1" si="14"/>
        <v>6.9349389477229018E-3</v>
      </c>
      <c r="JK41" s="14">
        <f t="shared" ca="1" si="15"/>
        <v>3.6777750951355011E-5</v>
      </c>
      <c r="JL41" s="17">
        <f t="shared" ca="1" si="18"/>
        <v>6.0644662544493567E-3</v>
      </c>
      <c r="JM41" s="15" t="str">
        <f t="shared" ca="1" si="16"/>
        <v>[ -0,48% ; 1,94% ]</v>
      </c>
      <c r="JN41" s="17">
        <f t="shared" ca="1" si="17"/>
        <v>7.7625168056951769E-3</v>
      </c>
      <c r="LY41" s="1"/>
    </row>
    <row r="42" spans="1:337" x14ac:dyDescent="0.25">
      <c r="A42" s="5"/>
      <c r="LY42" s="1"/>
    </row>
    <row r="43" spans="1:337" hidden="1" x14ac:dyDescent="0.25">
      <c r="A43" s="5"/>
      <c r="LY43" s="1"/>
    </row>
    <row r="44" spans="1:337" hidden="1" x14ac:dyDescent="0.25">
      <c r="A44" s="5"/>
      <c r="LY44" s="1"/>
    </row>
    <row r="45" spans="1:337" hidden="1" x14ac:dyDescent="0.25">
      <c r="A45" s="5"/>
      <c r="LY45" s="1"/>
    </row>
    <row r="46" spans="1:337" hidden="1" x14ac:dyDescent="0.25">
      <c r="A46" s="5"/>
      <c r="LY46" s="1"/>
    </row>
    <row r="47" spans="1:337" hidden="1" x14ac:dyDescent="0.25">
      <c r="A47" s="5"/>
      <c r="LY47" s="1"/>
    </row>
    <row r="48" spans="1:337" hidden="1" x14ac:dyDescent="0.25">
      <c r="A48" s="5"/>
      <c r="LY48" s="1"/>
    </row>
    <row r="49" spans="1:337" hidden="1" x14ac:dyDescent="0.25">
      <c r="A49" s="5"/>
      <c r="LY49" s="1"/>
    </row>
    <row r="50" spans="1:337" hidden="1" x14ac:dyDescent="0.25">
      <c r="A50" s="5"/>
      <c r="LY50" s="1"/>
    </row>
    <row r="51" spans="1:337" hidden="1" x14ac:dyDescent="0.25">
      <c r="A51" s="5"/>
      <c r="LY51" s="1"/>
    </row>
    <row r="52" spans="1:337" hidden="1" x14ac:dyDescent="0.25">
      <c r="A52" s="5"/>
      <c r="LY52" s="1"/>
    </row>
    <row r="53" spans="1:337" hidden="1" x14ac:dyDescent="0.25">
      <c r="A53" s="5"/>
      <c r="LY53" s="1"/>
    </row>
    <row r="54" spans="1:337" hidden="1" x14ac:dyDescent="0.25">
      <c r="A54" s="5"/>
      <c r="LY54" s="1"/>
    </row>
    <row r="55" spans="1:337" x14ac:dyDescent="0.25">
      <c r="A55" s="5"/>
      <c r="CL55" s="20"/>
      <c r="CM55" s="20"/>
      <c r="JL55" s="16"/>
      <c r="LY55" s="1"/>
    </row>
    <row r="56" spans="1:337" ht="15.75" x14ac:dyDescent="0.25">
      <c r="A56" s="3" t="s">
        <v>1</v>
      </c>
      <c r="B56" s="7">
        <v>37986</v>
      </c>
      <c r="C56" s="7">
        <v>38017</v>
      </c>
      <c r="D56" s="7">
        <v>38046</v>
      </c>
      <c r="E56" s="7">
        <v>38077</v>
      </c>
      <c r="F56" s="7">
        <v>38107</v>
      </c>
      <c r="G56" s="7">
        <v>38138</v>
      </c>
      <c r="H56" s="7">
        <v>38168</v>
      </c>
      <c r="I56" s="7">
        <v>38199</v>
      </c>
      <c r="J56" s="7">
        <v>38230</v>
      </c>
      <c r="K56" s="7">
        <v>38260</v>
      </c>
      <c r="L56" s="7">
        <v>38291</v>
      </c>
      <c r="M56" s="7">
        <v>38321</v>
      </c>
      <c r="N56" s="7">
        <v>38352</v>
      </c>
      <c r="O56" s="7">
        <v>38383</v>
      </c>
      <c r="P56" s="7">
        <v>38411</v>
      </c>
      <c r="Q56" s="7">
        <v>38442</v>
      </c>
      <c r="R56" s="7">
        <v>38472</v>
      </c>
      <c r="S56" s="7">
        <v>38503</v>
      </c>
      <c r="T56" s="7">
        <v>38533</v>
      </c>
      <c r="U56" s="7">
        <v>38564</v>
      </c>
      <c r="V56" s="7">
        <v>38595</v>
      </c>
      <c r="W56" s="7">
        <v>38625</v>
      </c>
      <c r="X56" s="7">
        <v>38656</v>
      </c>
      <c r="Y56" s="7">
        <v>38686</v>
      </c>
      <c r="Z56" s="7">
        <v>38717</v>
      </c>
      <c r="AA56" s="7">
        <v>38748</v>
      </c>
      <c r="AB56" s="7">
        <v>38776</v>
      </c>
      <c r="AC56" s="7">
        <v>38807</v>
      </c>
      <c r="AD56" s="7">
        <v>38837</v>
      </c>
      <c r="AE56" s="7">
        <v>38868</v>
      </c>
      <c r="AF56" s="7">
        <v>38898</v>
      </c>
      <c r="AG56" s="7">
        <v>38929</v>
      </c>
      <c r="AH56" s="7">
        <v>38960</v>
      </c>
      <c r="AI56" s="7">
        <v>38990</v>
      </c>
      <c r="AJ56" s="7">
        <v>39021</v>
      </c>
      <c r="AK56" s="7">
        <v>39051</v>
      </c>
      <c r="AL56" s="7">
        <v>39082</v>
      </c>
      <c r="AM56" s="7">
        <v>39113</v>
      </c>
      <c r="AN56" s="7">
        <v>39141</v>
      </c>
      <c r="AO56" s="7">
        <v>39172</v>
      </c>
      <c r="AP56" s="7">
        <v>39202</v>
      </c>
      <c r="AQ56" s="7">
        <v>39233</v>
      </c>
      <c r="AR56" s="7">
        <v>39263</v>
      </c>
      <c r="AS56" s="7">
        <v>39294</v>
      </c>
      <c r="AT56" s="7">
        <v>39325</v>
      </c>
      <c r="AU56" s="7">
        <v>39355</v>
      </c>
      <c r="AV56" s="7">
        <v>39386</v>
      </c>
      <c r="AW56" s="7">
        <v>39416</v>
      </c>
      <c r="AX56" s="7">
        <v>39447</v>
      </c>
      <c r="AY56" s="7">
        <v>39478</v>
      </c>
      <c r="AZ56" s="7">
        <v>39507</v>
      </c>
      <c r="BA56" s="7">
        <v>39538</v>
      </c>
      <c r="BB56" s="7">
        <v>39568</v>
      </c>
      <c r="BC56" s="7">
        <v>39599</v>
      </c>
      <c r="BD56" s="7">
        <v>39629</v>
      </c>
      <c r="BE56" s="7">
        <v>39660</v>
      </c>
      <c r="BF56" s="7">
        <v>39691</v>
      </c>
      <c r="BG56" s="7">
        <v>39721</v>
      </c>
      <c r="BH56" s="7">
        <v>39752</v>
      </c>
      <c r="BI56" s="7">
        <v>39782</v>
      </c>
      <c r="BJ56" s="7">
        <v>39813</v>
      </c>
      <c r="BK56" s="7">
        <v>39844</v>
      </c>
      <c r="BL56" s="7">
        <v>39872</v>
      </c>
      <c r="BM56" s="7">
        <v>39903</v>
      </c>
      <c r="BN56" s="7">
        <v>39933</v>
      </c>
      <c r="BO56" s="7">
        <v>39964</v>
      </c>
      <c r="BP56" s="7">
        <v>39994</v>
      </c>
      <c r="BQ56" s="7">
        <v>40025</v>
      </c>
      <c r="BR56" s="7">
        <v>40056</v>
      </c>
      <c r="BS56" s="7">
        <v>40086</v>
      </c>
      <c r="BT56" s="7">
        <v>40117</v>
      </c>
      <c r="BU56" s="7">
        <v>40147</v>
      </c>
      <c r="BV56" s="7">
        <v>40178</v>
      </c>
      <c r="BW56" s="7">
        <v>40209</v>
      </c>
      <c r="BX56" s="7">
        <v>40237</v>
      </c>
      <c r="BY56" s="7">
        <v>40268</v>
      </c>
      <c r="BZ56" s="7">
        <v>40298</v>
      </c>
      <c r="CA56" s="7">
        <v>40329</v>
      </c>
      <c r="CB56" s="7">
        <v>40359</v>
      </c>
      <c r="CC56" s="7">
        <v>40390</v>
      </c>
      <c r="CD56" s="7">
        <v>40421</v>
      </c>
      <c r="CE56" s="7">
        <v>40451</v>
      </c>
      <c r="CF56" s="7">
        <v>40482</v>
      </c>
      <c r="CG56" s="7">
        <v>40512</v>
      </c>
      <c r="CH56" s="7">
        <v>40543</v>
      </c>
      <c r="CI56" s="7">
        <v>40574</v>
      </c>
      <c r="CJ56" s="7">
        <v>40602</v>
      </c>
      <c r="CK56" s="7">
        <v>40633</v>
      </c>
      <c r="CL56" s="7">
        <v>40663</v>
      </c>
      <c r="CM56" s="7">
        <v>40694</v>
      </c>
      <c r="CN56" s="7">
        <v>40724</v>
      </c>
      <c r="CO56" s="7">
        <v>40755</v>
      </c>
      <c r="CP56" s="7">
        <v>40786</v>
      </c>
      <c r="CQ56" s="7">
        <v>40816</v>
      </c>
      <c r="CR56" s="7">
        <v>40847</v>
      </c>
      <c r="CS56" s="7">
        <v>40877</v>
      </c>
      <c r="CT56" s="7">
        <v>40908</v>
      </c>
      <c r="CU56" s="7">
        <v>40939</v>
      </c>
      <c r="CV56" s="7">
        <v>40968</v>
      </c>
      <c r="CW56" s="7">
        <v>40999</v>
      </c>
      <c r="CX56" s="7">
        <v>41029</v>
      </c>
      <c r="CY56" s="7">
        <v>41060</v>
      </c>
      <c r="CZ56" s="7">
        <v>41090</v>
      </c>
      <c r="DA56" s="7">
        <v>41121</v>
      </c>
      <c r="DB56" s="7">
        <v>41152</v>
      </c>
      <c r="DC56" s="7">
        <v>41182</v>
      </c>
      <c r="DD56" s="7">
        <v>41213</v>
      </c>
      <c r="DE56" s="7">
        <v>41243</v>
      </c>
      <c r="DF56" s="7">
        <v>41274</v>
      </c>
      <c r="DG56" s="7">
        <v>41305</v>
      </c>
      <c r="DH56" s="7">
        <v>41333</v>
      </c>
      <c r="DI56" s="7">
        <v>41364</v>
      </c>
      <c r="DJ56" s="7">
        <v>41394</v>
      </c>
      <c r="DK56" s="7">
        <v>41425</v>
      </c>
      <c r="DL56" s="7">
        <v>41455</v>
      </c>
      <c r="DM56" s="7">
        <v>41486</v>
      </c>
      <c r="DN56" s="7">
        <v>41517</v>
      </c>
      <c r="DO56" s="7">
        <v>41547</v>
      </c>
      <c r="DP56" s="7">
        <v>41578</v>
      </c>
      <c r="DQ56" s="7">
        <v>41608</v>
      </c>
      <c r="DR56" s="7">
        <v>41639</v>
      </c>
      <c r="DS56" s="7">
        <v>41670</v>
      </c>
      <c r="DT56" s="7">
        <v>41698</v>
      </c>
      <c r="DU56" s="7">
        <v>41729</v>
      </c>
      <c r="DV56" s="7">
        <v>41759</v>
      </c>
      <c r="DW56" s="7">
        <v>41790</v>
      </c>
      <c r="DX56" s="7">
        <v>41820</v>
      </c>
      <c r="DY56" s="7">
        <v>41851</v>
      </c>
      <c r="DZ56" s="7">
        <v>41882</v>
      </c>
      <c r="EA56" s="7">
        <v>41912</v>
      </c>
      <c r="EB56" s="7">
        <v>41943</v>
      </c>
      <c r="EC56" s="7">
        <v>41973</v>
      </c>
      <c r="ED56" s="7">
        <v>42004</v>
      </c>
      <c r="EE56" s="7">
        <v>42035</v>
      </c>
      <c r="EF56" s="7">
        <v>42063</v>
      </c>
      <c r="EG56" s="7">
        <v>42094</v>
      </c>
      <c r="EH56" s="7">
        <v>42124</v>
      </c>
      <c r="EI56" s="7">
        <v>42155</v>
      </c>
      <c r="EJ56" s="7">
        <v>42185</v>
      </c>
      <c r="EK56" s="7">
        <v>42216</v>
      </c>
      <c r="EL56" s="7">
        <v>42247</v>
      </c>
      <c r="EM56" s="7">
        <v>42277</v>
      </c>
      <c r="EN56" s="7">
        <v>42308</v>
      </c>
      <c r="EO56" s="7">
        <v>42338</v>
      </c>
      <c r="EP56" s="7">
        <v>42369</v>
      </c>
      <c r="EQ56" s="7">
        <v>42400</v>
      </c>
      <c r="ER56" s="7">
        <v>42429</v>
      </c>
      <c r="ES56" s="7">
        <v>42460</v>
      </c>
      <c r="ET56" s="7">
        <v>42490</v>
      </c>
      <c r="EU56" s="7">
        <v>42521</v>
      </c>
      <c r="EV56" s="7">
        <v>42551</v>
      </c>
      <c r="EW56" s="7">
        <v>42582</v>
      </c>
      <c r="EX56" s="7">
        <v>42613</v>
      </c>
      <c r="EY56" s="7">
        <v>42643</v>
      </c>
      <c r="EZ56" s="7">
        <v>42674</v>
      </c>
      <c r="FA56" s="7">
        <v>42704</v>
      </c>
      <c r="FB56" s="7">
        <v>42735</v>
      </c>
      <c r="FC56" s="7">
        <v>42766</v>
      </c>
      <c r="FD56" s="7">
        <v>42794</v>
      </c>
      <c r="FE56" s="7">
        <v>42825</v>
      </c>
      <c r="FF56" s="7">
        <v>42855</v>
      </c>
      <c r="FG56" s="7">
        <v>42886</v>
      </c>
      <c r="FH56" s="7">
        <v>42916</v>
      </c>
      <c r="FI56" s="7">
        <v>42947</v>
      </c>
      <c r="FJ56" s="7">
        <v>42978</v>
      </c>
      <c r="FK56" s="7">
        <v>43008</v>
      </c>
      <c r="FL56" s="7">
        <v>43039</v>
      </c>
      <c r="FM56" s="7">
        <v>43069</v>
      </c>
      <c r="FN56" s="7">
        <v>43100</v>
      </c>
      <c r="FO56" s="7">
        <v>43131</v>
      </c>
      <c r="FP56" s="7">
        <v>43159</v>
      </c>
      <c r="FQ56" s="7">
        <v>43190</v>
      </c>
      <c r="FR56" s="7">
        <v>43220</v>
      </c>
      <c r="FS56" s="7">
        <v>43251</v>
      </c>
      <c r="FT56" s="7">
        <v>43281</v>
      </c>
      <c r="FU56" s="7">
        <v>43312</v>
      </c>
      <c r="FV56" s="7">
        <v>43343</v>
      </c>
      <c r="FW56" s="7">
        <v>43373</v>
      </c>
      <c r="FX56" s="7">
        <v>43404</v>
      </c>
      <c r="FY56" s="7">
        <v>43434</v>
      </c>
      <c r="FZ56" s="7">
        <v>43465</v>
      </c>
      <c r="GA56" s="7">
        <v>43496</v>
      </c>
      <c r="GB56" s="7">
        <v>43524</v>
      </c>
      <c r="GC56" s="7">
        <v>43555</v>
      </c>
      <c r="GD56" s="7">
        <v>43585</v>
      </c>
      <c r="GE56" s="7">
        <v>43616</v>
      </c>
      <c r="GF56" s="7">
        <v>43646</v>
      </c>
      <c r="GG56" s="7">
        <v>43677</v>
      </c>
      <c r="GH56" s="7">
        <v>43708</v>
      </c>
      <c r="GI56" s="7">
        <v>43738</v>
      </c>
      <c r="GJ56" s="7">
        <v>43769</v>
      </c>
      <c r="GK56" s="7">
        <v>43799</v>
      </c>
      <c r="GL56" s="7">
        <v>43830</v>
      </c>
      <c r="GM56" s="7">
        <v>43861</v>
      </c>
      <c r="GN56" s="7">
        <v>43890</v>
      </c>
      <c r="GO56" s="7">
        <v>43921</v>
      </c>
      <c r="GP56" s="7">
        <v>43951</v>
      </c>
      <c r="GQ56" s="7">
        <v>43982</v>
      </c>
      <c r="GR56" s="7">
        <v>44012</v>
      </c>
      <c r="GS56" s="7">
        <v>44043</v>
      </c>
      <c r="GT56" s="7">
        <v>44074</v>
      </c>
      <c r="GU56" s="7">
        <v>44104</v>
      </c>
      <c r="GV56" s="7">
        <v>44135</v>
      </c>
      <c r="GW56" s="7">
        <v>44165</v>
      </c>
      <c r="GX56" s="7">
        <v>44196</v>
      </c>
      <c r="GY56" s="7">
        <v>44227</v>
      </c>
      <c r="GZ56" s="7">
        <v>44255</v>
      </c>
      <c r="HA56" s="7">
        <v>44286</v>
      </c>
      <c r="HB56" s="7">
        <v>44316</v>
      </c>
      <c r="HC56" s="7">
        <v>44347</v>
      </c>
      <c r="HD56" s="7">
        <v>44377</v>
      </c>
      <c r="HE56" s="7">
        <v>44408</v>
      </c>
      <c r="HF56" s="7">
        <v>44439</v>
      </c>
      <c r="HG56" s="7">
        <v>44469</v>
      </c>
      <c r="HH56" s="7">
        <v>44500</v>
      </c>
      <c r="HI56" s="7">
        <v>44530</v>
      </c>
      <c r="HJ56" s="7">
        <v>44561</v>
      </c>
      <c r="HK56" s="7">
        <v>44592</v>
      </c>
      <c r="HL56" s="7">
        <v>44620</v>
      </c>
      <c r="HM56" s="7">
        <v>44651</v>
      </c>
      <c r="HN56" s="7">
        <v>44681</v>
      </c>
      <c r="HO56" s="7">
        <v>44712</v>
      </c>
      <c r="HP56" s="7">
        <v>44742</v>
      </c>
      <c r="HQ56" s="7">
        <v>44773</v>
      </c>
      <c r="HR56" s="7">
        <v>44804</v>
      </c>
      <c r="HS56" s="7">
        <v>44834</v>
      </c>
      <c r="HT56" s="7">
        <v>44865</v>
      </c>
      <c r="HU56" s="7">
        <v>44895</v>
      </c>
      <c r="HV56" s="7">
        <v>44926</v>
      </c>
      <c r="HW56" s="7">
        <v>44957</v>
      </c>
      <c r="HX56" s="7">
        <v>44985</v>
      </c>
      <c r="HY56" s="7">
        <v>45016</v>
      </c>
      <c r="HZ56" s="7">
        <v>45046</v>
      </c>
      <c r="IA56" s="7">
        <v>45077</v>
      </c>
      <c r="IB56" s="7">
        <v>45107</v>
      </c>
      <c r="IC56" s="7">
        <v>45138</v>
      </c>
      <c r="ID56" s="7">
        <v>45169</v>
      </c>
      <c r="IE56" s="7">
        <v>45199</v>
      </c>
      <c r="IF56" s="7">
        <v>45230</v>
      </c>
      <c r="IG56" s="7">
        <v>45260</v>
      </c>
      <c r="IH56" s="7">
        <v>45291</v>
      </c>
      <c r="II56" s="7">
        <v>45322</v>
      </c>
      <c r="IJ56" s="7">
        <v>45351</v>
      </c>
      <c r="IK56" s="7">
        <v>45382</v>
      </c>
      <c r="IL56" s="7">
        <v>45412</v>
      </c>
      <c r="IM56" s="7">
        <v>45443</v>
      </c>
      <c r="IN56" s="7">
        <v>45473</v>
      </c>
      <c r="IO56" s="7">
        <v>45504</v>
      </c>
      <c r="IP56" s="7">
        <v>45535</v>
      </c>
      <c r="IQ56" s="7">
        <v>45565</v>
      </c>
      <c r="IR56" s="7">
        <v>45596</v>
      </c>
      <c r="IS56" s="7">
        <v>45626</v>
      </c>
      <c r="IT56" s="7">
        <v>45657</v>
      </c>
      <c r="IU56" s="7">
        <v>45688</v>
      </c>
      <c r="IV56" s="7">
        <v>45716</v>
      </c>
      <c r="IW56" s="7">
        <v>45747</v>
      </c>
      <c r="IX56" s="7">
        <v>45777</v>
      </c>
      <c r="IY56" s="7">
        <v>45808</v>
      </c>
      <c r="IZ56" s="7">
        <v>45838</v>
      </c>
      <c r="JA56" s="7">
        <v>45869</v>
      </c>
      <c r="JB56" s="7">
        <v>45900</v>
      </c>
      <c r="JC56" s="7">
        <v>45930</v>
      </c>
      <c r="JD56" s="7">
        <v>45961</v>
      </c>
      <c r="JE56" s="7">
        <v>45991</v>
      </c>
      <c r="JF56" s="7">
        <v>46022</v>
      </c>
      <c r="JG56" s="7">
        <v>46053</v>
      </c>
      <c r="JH56" s="7">
        <v>46081</v>
      </c>
      <c r="JI56" s="10" t="s">
        <v>2</v>
      </c>
      <c r="JJ56" s="11" t="s">
        <v>3</v>
      </c>
      <c r="JK56" s="10" t="s">
        <v>4</v>
      </c>
      <c r="JL56" s="12" t="s">
        <v>5</v>
      </c>
      <c r="JM56" s="10" t="s">
        <v>6</v>
      </c>
      <c r="JN56" s="19">
        <f>JN29</f>
        <v>1.28</v>
      </c>
      <c r="LY56" s="1"/>
    </row>
    <row r="57" spans="1:337" x14ac:dyDescent="0.25">
      <c r="A57" s="4">
        <v>1</v>
      </c>
      <c r="B57" s="9">
        <f t="shared" ref="B57:BM57" ca="1" si="19">IF(B30="","",ABS(B30))</f>
        <v>1.1403496809411218E-3</v>
      </c>
      <c r="C57" s="9">
        <f t="shared" ca="1" si="19"/>
        <v>8.1565986515874656E-4</v>
      </c>
      <c r="D57" s="9">
        <f t="shared" ca="1" si="19"/>
        <v>6.4785672657297066E-4</v>
      </c>
      <c r="E57" s="9">
        <f t="shared" ca="1" si="19"/>
        <v>3.8908560454631314E-4</v>
      </c>
      <c r="F57" s="9">
        <f t="shared" ca="1" si="19"/>
        <v>4.7426167454145407E-4</v>
      </c>
      <c r="G57" s="9">
        <f t="shared" ca="1" si="19"/>
        <v>6.4467376235333163E-5</v>
      </c>
      <c r="H57" s="9">
        <f t="shared" ca="1" si="19"/>
        <v>6.8368077328084809E-4</v>
      </c>
      <c r="I57" s="9">
        <f t="shared" ca="1" si="19"/>
        <v>6.9763433901726124E-4</v>
      </c>
      <c r="J57" s="9">
        <f t="shared" ca="1" si="19"/>
        <v>4.5712795334873491E-4</v>
      </c>
      <c r="K57" s="9">
        <f t="shared" ca="1" si="19"/>
        <v>1.0133896829822575E-4</v>
      </c>
      <c r="L57" s="9">
        <f t="shared" ca="1" si="19"/>
        <v>3.6826953115243199E-4</v>
      </c>
      <c r="M57" s="9">
        <f t="shared" ca="1" si="19"/>
        <v>9.3362772635952052E-4</v>
      </c>
      <c r="N57" s="9">
        <f t="shared" ca="1" si="19"/>
        <v>1.94012192340276E-4</v>
      </c>
      <c r="O57" s="9">
        <f t="shared" ca="1" si="19"/>
        <v>1.2411553355515803E-3</v>
      </c>
      <c r="P57" s="9">
        <f t="shared" ca="1" si="19"/>
        <v>4.298533097863988E-4</v>
      </c>
      <c r="Q57" s="9">
        <f t="shared" ca="1" si="19"/>
        <v>6.8696678459589933E-4</v>
      </c>
      <c r="R57" s="9">
        <f t="shared" ca="1" si="19"/>
        <v>2.5017371035573888E-4</v>
      </c>
      <c r="S57" s="9">
        <f t="shared" ca="1" si="19"/>
        <v>1.4501907701336414E-4</v>
      </c>
      <c r="T57" s="9">
        <f t="shared" ca="1" si="19"/>
        <v>7.4188483876147515E-4</v>
      </c>
      <c r="U57" s="9">
        <f t="shared" ca="1" si="19"/>
        <v>2.2763952383275665E-4</v>
      </c>
      <c r="V57" s="9">
        <f t="shared" ca="1" si="19"/>
        <v>3.8105178066449863E-4</v>
      </c>
      <c r="W57" s="9">
        <f t="shared" ca="1" si="19"/>
        <v>4.0047190287606504E-5</v>
      </c>
      <c r="X57" s="9">
        <f t="shared" ca="1" si="19"/>
        <v>2.7954658113005237E-4</v>
      </c>
      <c r="Y57" s="9">
        <f t="shared" ca="1" si="19"/>
        <v>2.2183276218867842E-4</v>
      </c>
      <c r="Z57" s="9">
        <f t="shared" ca="1" si="19"/>
        <v>3.0590204211788929E-4</v>
      </c>
      <c r="AA57" s="9">
        <f t="shared" ca="1" si="19"/>
        <v>1.0982732182684973E-4</v>
      </c>
      <c r="AB57" s="9">
        <f t="shared" ca="1" si="19"/>
        <v>7.647823149430355E-4</v>
      </c>
      <c r="AC57" s="9">
        <f t="shared" ca="1" si="19"/>
        <v>2.0894599926923885E-4</v>
      </c>
      <c r="AD57" s="9">
        <f t="shared" ca="1" si="19"/>
        <v>5.8894011997101536E-4</v>
      </c>
      <c r="AE57" s="9">
        <f t="shared" ca="1" si="19"/>
        <v>4.0523860626517916E-4</v>
      </c>
      <c r="AF57" s="9">
        <f t="shared" ca="1" si="19"/>
        <v>2.0580655845514606E-4</v>
      </c>
      <c r="AG57" s="9">
        <f t="shared" ca="1" si="19"/>
        <v>3.5598031772821059E-4</v>
      </c>
      <c r="AH57" s="9">
        <f t="shared" ca="1" si="19"/>
        <v>8.2331350950581861E-4</v>
      </c>
      <c r="AI57" s="9">
        <f t="shared" ca="1" si="19"/>
        <v>9.8839479003254294E-4</v>
      </c>
      <c r="AJ57" s="9">
        <f t="shared" ca="1" si="19"/>
        <v>1.070671948797397E-4</v>
      </c>
      <c r="AK57" s="9">
        <f t="shared" ca="1" si="19"/>
        <v>6.551393750746648E-4</v>
      </c>
      <c r="AL57" s="9">
        <f t="shared" ca="1" si="19"/>
        <v>4.0768959358195023E-4</v>
      </c>
      <c r="AM57" s="9">
        <f t="shared" ca="1" si="19"/>
        <v>6.7444719460652003E-4</v>
      </c>
      <c r="AN57" s="9">
        <f t="shared" ca="1" si="19"/>
        <v>7.264650359445346E-4</v>
      </c>
      <c r="AO57" s="9">
        <f t="shared" ca="1" si="19"/>
        <v>1.8334472502767873E-5</v>
      </c>
      <c r="AP57" s="9">
        <f t="shared" ca="1" si="19"/>
        <v>6.8394871582944106E-5</v>
      </c>
      <c r="AQ57" s="9">
        <f t="shared" ca="1" si="19"/>
        <v>4.9733852856115313E-4</v>
      </c>
      <c r="AR57" s="9">
        <f t="shared" ca="1" si="19"/>
        <v>2.2137595124083198E-4</v>
      </c>
      <c r="AS57" s="9">
        <f t="shared" ca="1" si="19"/>
        <v>8.6244666719248464E-4</v>
      </c>
      <c r="AT57" s="9">
        <f t="shared" ca="1" si="19"/>
        <v>5.6468190160297027E-4</v>
      </c>
      <c r="AU57" s="9">
        <f t="shared" ca="1" si="19"/>
        <v>1.509246144434373E-4</v>
      </c>
      <c r="AV57" s="9">
        <f t="shared" ca="1" si="19"/>
        <v>7.1849336405982456E-4</v>
      </c>
      <c r="AW57" s="9">
        <f t="shared" ca="1" si="19"/>
        <v>8.6438746888672924E-4</v>
      </c>
      <c r="AX57" s="9">
        <f t="shared" ca="1" si="19"/>
        <v>4.0760259474703631E-4</v>
      </c>
      <c r="AY57" s="9">
        <f t="shared" ca="1" si="19"/>
        <v>2.0527072271867564E-3</v>
      </c>
      <c r="AZ57" s="9">
        <f t="shared" ca="1" si="19"/>
        <v>1.6015173836387842E-3</v>
      </c>
      <c r="BA57" s="9">
        <f t="shared" ca="1" si="19"/>
        <v>2.1490623195090652E-3</v>
      </c>
      <c r="BB57" s="9">
        <f t="shared" ca="1" si="19"/>
        <v>2.24988079972821E-3</v>
      </c>
      <c r="BC57" s="9">
        <f t="shared" ca="1" si="19"/>
        <v>1.3711988520370699E-4</v>
      </c>
      <c r="BD57" s="9">
        <f t="shared" ca="1" si="19"/>
        <v>9.83494401434859E-4</v>
      </c>
      <c r="BE57" s="9">
        <f t="shared" ca="1" si="19"/>
        <v>1.0394467199530411E-3</v>
      </c>
      <c r="BF57" s="9">
        <f t="shared" ca="1" si="19"/>
        <v>6.4094421035121307E-4</v>
      </c>
      <c r="BG57" s="9">
        <f t="shared" ca="1" si="19"/>
        <v>2.6779710891546848E-3</v>
      </c>
      <c r="BH57" s="9">
        <f t="shared" ca="1" si="19"/>
        <v>2.5535408265229265E-3</v>
      </c>
      <c r="BI57" s="9">
        <f t="shared" ca="1" si="19"/>
        <v>6.7811762203318082E-4</v>
      </c>
      <c r="BJ57" s="9">
        <f t="shared" ca="1" si="19"/>
        <v>3.4021005852515884E-3</v>
      </c>
      <c r="BK57" s="9">
        <f t="shared" ca="1" si="19"/>
        <v>1.3065406510668343E-3</v>
      </c>
      <c r="BL57" s="9">
        <f t="shared" ca="1" si="19"/>
        <v>9.7269589519399791E-4</v>
      </c>
      <c r="BM57" s="9">
        <f t="shared" ca="1" si="19"/>
        <v>1.5780906387813376E-3</v>
      </c>
      <c r="BN57" s="9">
        <f t="shared" ref="BN57:DY57" ca="1" si="20">IF(BN30="","",ABS(BN30))</f>
        <v>1.3925392796566571E-3</v>
      </c>
      <c r="BO57" s="9">
        <f t="shared" ca="1" si="20"/>
        <v>6.6384665639052098E-4</v>
      </c>
      <c r="BP57" s="9">
        <f t="shared" ca="1" si="20"/>
        <v>8.9081284209813205E-5</v>
      </c>
      <c r="BQ57" s="9">
        <f t="shared" ca="1" si="20"/>
        <v>9.6606199432247575E-4</v>
      </c>
      <c r="BR57" s="9">
        <f t="shared" ca="1" si="20"/>
        <v>2.12553798772952E-3</v>
      </c>
      <c r="BS57" s="9">
        <f t="shared" ca="1" si="20"/>
        <v>5.4586547598334256E-4</v>
      </c>
      <c r="BT57" s="9">
        <f t="shared" ca="1" si="20"/>
        <v>3.8329127253799999E-4</v>
      </c>
      <c r="BU57" s="9">
        <f t="shared" ca="1" si="20"/>
        <v>1.4567014496063013E-3</v>
      </c>
      <c r="BV57" s="9">
        <f t="shared" ca="1" si="20"/>
        <v>1.7002939176924414E-3</v>
      </c>
      <c r="BW57" s="9">
        <f t="shared" ca="1" si="20"/>
        <v>1.5604652707588151E-3</v>
      </c>
      <c r="BX57" s="9">
        <f t="shared" ca="1" si="20"/>
        <v>7.4175060478809396E-4</v>
      </c>
      <c r="BY57" s="9">
        <f t="shared" ca="1" si="20"/>
        <v>6.7677214286554488E-4</v>
      </c>
      <c r="BZ57" s="9">
        <f t="shared" ca="1" si="20"/>
        <v>1.1661615172796624E-3</v>
      </c>
      <c r="CA57" s="9">
        <f t="shared" ca="1" si="20"/>
        <v>4.4443301317897976E-4</v>
      </c>
      <c r="CB57" s="9">
        <f t="shared" ca="1" si="20"/>
        <v>4.5744516010626235E-4</v>
      </c>
      <c r="CC57" s="9">
        <f t="shared" ca="1" si="20"/>
        <v>1.288159261107813E-3</v>
      </c>
      <c r="CD57" s="9">
        <f t="shared" ca="1" si="20"/>
        <v>9.6146312261558009E-4</v>
      </c>
      <c r="CE57" s="9">
        <f t="shared" ca="1" si="20"/>
        <v>8.0320244042109135E-4</v>
      </c>
      <c r="CF57" s="9">
        <f t="shared" ca="1" si="20"/>
        <v>2.5582833194925936E-4</v>
      </c>
      <c r="CG57" s="9">
        <f t="shared" ca="1" si="20"/>
        <v>4.1008239622697396E-4</v>
      </c>
      <c r="CH57" s="9">
        <f t="shared" ca="1" si="20"/>
        <v>8.5746006373399464E-4</v>
      </c>
      <c r="CI57" s="9">
        <f t="shared" ca="1" si="20"/>
        <v>9.165497681873358E-4</v>
      </c>
      <c r="CJ57" s="9">
        <f t="shared" ca="1" si="20"/>
        <v>1.5140566227630492E-3</v>
      </c>
      <c r="CK57" s="9">
        <f t="shared" ca="1" si="20"/>
        <v>9.4122209097147191E-4</v>
      </c>
      <c r="CL57" s="9">
        <f t="shared" ca="1" si="20"/>
        <v>1.0288833118043961E-4</v>
      </c>
      <c r="CM57" s="9">
        <f t="shared" ca="1" si="20"/>
        <v>1.1474866602907419E-3</v>
      </c>
      <c r="CN57" s="9">
        <f t="shared" ca="1" si="20"/>
        <v>6.1968252473287855E-4</v>
      </c>
      <c r="CO57" s="9">
        <f t="shared" ca="1" si="20"/>
        <v>2.3638600952158306E-4</v>
      </c>
      <c r="CP57" s="9">
        <f t="shared" ca="1" si="20"/>
        <v>4.3677913637896193E-4</v>
      </c>
      <c r="CQ57" s="9">
        <f t="shared" ca="1" si="20"/>
        <v>3.4602632673563782E-4</v>
      </c>
      <c r="CR57" s="9">
        <f t="shared" ca="1" si="20"/>
        <v>5.6284637609516075E-4</v>
      </c>
      <c r="CS57" s="9">
        <f t="shared" ca="1" si="20"/>
        <v>2.1621557141582315E-4</v>
      </c>
      <c r="CT57" s="9">
        <f t="shared" ca="1" si="20"/>
        <v>4.5354176837391069E-3</v>
      </c>
      <c r="CU57" s="9">
        <f t="shared" ca="1" si="20"/>
        <v>2.6903500766304322E-3</v>
      </c>
      <c r="CV57" s="9">
        <f t="shared" ca="1" si="20"/>
        <v>1.2630426415083384E-4</v>
      </c>
      <c r="CW57" s="9">
        <f t="shared" ca="1" si="20"/>
        <v>2.6260143999312646E-6</v>
      </c>
      <c r="CX57" s="9">
        <f t="shared" ca="1" si="20"/>
        <v>1.51471765470923E-4</v>
      </c>
      <c r="CY57" s="9">
        <f t="shared" ca="1" si="20"/>
        <v>1.0399284760453931E-4</v>
      </c>
      <c r="CZ57" s="9">
        <f t="shared" ca="1" si="20"/>
        <v>3.2708600234743201E-4</v>
      </c>
      <c r="DA57" s="9">
        <f t="shared" ca="1" si="20"/>
        <v>1.7366806834093751E-3</v>
      </c>
      <c r="DB57" s="9">
        <f t="shared" ca="1" si="20"/>
        <v>2.3745733161828486E-4</v>
      </c>
      <c r="DC57" s="9">
        <f t="shared" ca="1" si="20"/>
        <v>3.444707509504541E-4</v>
      </c>
      <c r="DD57" s="9">
        <f t="shared" ca="1" si="20"/>
        <v>7.2053810895900128E-4</v>
      </c>
      <c r="DE57" s="9">
        <f t="shared" ca="1" si="20"/>
        <v>1.2208561791903216E-3</v>
      </c>
      <c r="DF57" s="9">
        <f t="shared" ca="1" si="20"/>
        <v>6.4656615589342437E-4</v>
      </c>
      <c r="DG57" s="9">
        <f t="shared" ca="1" si="20"/>
        <v>1.3431712189755363E-3</v>
      </c>
      <c r="DH57" s="9">
        <f t="shared" ca="1" si="20"/>
        <v>1.1683366548618235E-3</v>
      </c>
      <c r="DI57" s="9">
        <f t="shared" ca="1" si="20"/>
        <v>1.9530755853527371E-3</v>
      </c>
      <c r="DJ57" s="9">
        <f t="shared" ca="1" si="20"/>
        <v>7.2929541640942563E-4</v>
      </c>
      <c r="DK57" s="9">
        <f t="shared" ca="1" si="20"/>
        <v>1.0488363565810399E-3</v>
      </c>
      <c r="DL57" s="9">
        <f t="shared" ca="1" si="20"/>
        <v>3.3858025196409347E-4</v>
      </c>
      <c r="DM57" s="9">
        <f t="shared" ca="1" si="20"/>
        <v>2.5321978961894143E-3</v>
      </c>
      <c r="DN57" s="9">
        <f t="shared" ca="1" si="20"/>
        <v>1.3211126696274222E-3</v>
      </c>
      <c r="DO57" s="9">
        <f t="shared" ca="1" si="20"/>
        <v>1.3466072438635956E-3</v>
      </c>
      <c r="DP57" s="9">
        <f t="shared" ca="1" si="20"/>
        <v>2.1492556862336976E-3</v>
      </c>
      <c r="DQ57" s="9">
        <f t="shared" ca="1" si="20"/>
        <v>1.4049841040670863E-3</v>
      </c>
      <c r="DR57" s="9">
        <f t="shared" ca="1" si="20"/>
        <v>2.1348431420236125E-3</v>
      </c>
      <c r="DS57" s="9">
        <f t="shared" ca="1" si="20"/>
        <v>5.7384362319901072E-4</v>
      </c>
      <c r="DT57" s="9">
        <f t="shared" ca="1" si="20"/>
        <v>1.0247307883957113E-3</v>
      </c>
      <c r="DU57" s="9">
        <f t="shared" ca="1" si="20"/>
        <v>1.8723207484411253E-3</v>
      </c>
      <c r="DV57" s="9">
        <f t="shared" ca="1" si="20"/>
        <v>9.6396955256650152E-5</v>
      </c>
      <c r="DW57" s="9">
        <f t="shared" ca="1" si="20"/>
        <v>5.5769679214545675E-4</v>
      </c>
      <c r="DX57" s="9">
        <f t="shared" ca="1" si="20"/>
        <v>1.1606962494861151E-3</v>
      </c>
      <c r="DY57" s="9">
        <f t="shared" ca="1" si="20"/>
        <v>1.4717752468498269E-3</v>
      </c>
      <c r="DZ57" s="9">
        <f t="shared" ref="DZ57:GK57" ca="1" si="21">IF(DZ30="","",ABS(DZ30))</f>
        <v>6.6299272103165219E-4</v>
      </c>
      <c r="EA57" s="9">
        <f t="shared" ca="1" si="21"/>
        <v>4.8271517820563936E-4</v>
      </c>
      <c r="EB57" s="9">
        <f t="shared" ca="1" si="21"/>
        <v>6.5422896943645448E-4</v>
      </c>
      <c r="EC57" s="9">
        <f t="shared" ca="1" si="21"/>
        <v>4.0860991402180691E-4</v>
      </c>
      <c r="ED57" s="9">
        <f t="shared" ca="1" si="21"/>
        <v>1.6730021025241903E-3</v>
      </c>
      <c r="EE57" s="9">
        <f t="shared" ca="1" si="21"/>
        <v>1.0476530200034251E-3</v>
      </c>
      <c r="EF57" s="9">
        <f t="shared" ca="1" si="21"/>
        <v>8.593311751274868E-4</v>
      </c>
      <c r="EG57" s="9">
        <f t="shared" ca="1" si="21"/>
        <v>6.362988428698646E-4</v>
      </c>
      <c r="EH57" s="9">
        <f t="shared" ca="1" si="21"/>
        <v>4.2399915921231823E-4</v>
      </c>
      <c r="EI57" s="9">
        <f t="shared" ca="1" si="21"/>
        <v>3.8468334417940397E-4</v>
      </c>
      <c r="EJ57" s="9">
        <f t="shared" ca="1" si="21"/>
        <v>2.0598137503771152E-3</v>
      </c>
      <c r="EK57" s="9">
        <f t="shared" ca="1" si="21"/>
        <v>1.01923889297173E-3</v>
      </c>
      <c r="EL57" s="9">
        <f t="shared" ca="1" si="21"/>
        <v>4.2862326993975408E-4</v>
      </c>
      <c r="EM57" s="9">
        <f t="shared" ca="1" si="21"/>
        <v>1.2310116089087053E-4</v>
      </c>
      <c r="EN57" s="9">
        <f t="shared" ca="1" si="21"/>
        <v>8.7840596508526048E-4</v>
      </c>
      <c r="EO57" s="9">
        <f t="shared" ca="1" si="21"/>
        <v>5.1871332007014104E-4</v>
      </c>
      <c r="EP57" s="9">
        <f t="shared" ca="1" si="21"/>
        <v>1.7232901911994336E-3</v>
      </c>
      <c r="EQ57" s="9">
        <f t="shared" ca="1" si="21"/>
        <v>2.9148097244360294E-3</v>
      </c>
      <c r="ER57" s="9">
        <f t="shared" ca="1" si="21"/>
        <v>8.1599647276608955E-4</v>
      </c>
      <c r="ES57" s="9">
        <f t="shared" ca="1" si="21"/>
        <v>9.8240912494174104E-4</v>
      </c>
      <c r="ET57" s="9">
        <f t="shared" ca="1" si="21"/>
        <v>3.3200476373662635E-4</v>
      </c>
      <c r="EU57" s="9">
        <f t="shared" ca="1" si="21"/>
        <v>1.8624282575019357E-4</v>
      </c>
      <c r="EV57" s="9">
        <f t="shared" ca="1" si="21"/>
        <v>1.3771013525283315E-3</v>
      </c>
      <c r="EW57" s="9">
        <f t="shared" ca="1" si="21"/>
        <v>1.1307480263011982E-4</v>
      </c>
      <c r="EX57" s="9">
        <f t="shared" ca="1" si="21"/>
        <v>3.7047254722188949E-4</v>
      </c>
      <c r="EY57" s="9">
        <f t="shared" ca="1" si="21"/>
        <v>7.5361194209244697E-4</v>
      </c>
      <c r="EZ57" s="9">
        <f t="shared" ca="1" si="21"/>
        <v>9.9164539804408314E-5</v>
      </c>
      <c r="FA57" s="9">
        <f t="shared" ca="1" si="21"/>
        <v>2.178404033996717E-4</v>
      </c>
      <c r="FB57" s="9">
        <f t="shared" ca="1" si="21"/>
        <v>1.0192355287146349E-3</v>
      </c>
      <c r="FC57" s="9">
        <f t="shared" ca="1" si="21"/>
        <v>2.2118111266605789E-3</v>
      </c>
      <c r="FD57" s="9">
        <f t="shared" ca="1" si="21"/>
        <v>1.8312156633171206E-4</v>
      </c>
      <c r="FE57" s="9">
        <f t="shared" ca="1" si="21"/>
        <v>4.594179622997574E-4</v>
      </c>
      <c r="FF57" s="9">
        <f t="shared" ca="1" si="21"/>
        <v>3.9717519572546323E-5</v>
      </c>
      <c r="FG57" s="9">
        <f t="shared" ca="1" si="21"/>
        <v>6.99689278441884E-4</v>
      </c>
      <c r="FH57" s="9">
        <f t="shared" ca="1" si="21"/>
        <v>1.9725676801287673E-3</v>
      </c>
      <c r="FI57" s="9">
        <f t="shared" ca="1" si="21"/>
        <v>4.0589707037352873E-4</v>
      </c>
      <c r="FJ57" s="9">
        <f t="shared" ca="1" si="21"/>
        <v>1.9485884125297614E-3</v>
      </c>
      <c r="FK57" s="9">
        <f t="shared" ca="1" si="21"/>
        <v>9.7626180247889494E-5</v>
      </c>
      <c r="FL57" s="9">
        <f t="shared" ca="1" si="21"/>
        <v>2.1153525681669727E-3</v>
      </c>
      <c r="FM57" s="9">
        <f t="shared" ca="1" si="21"/>
        <v>1.1172823885323702E-3</v>
      </c>
      <c r="FN57" s="9">
        <f t="shared" ca="1" si="21"/>
        <v>2.8891759349204404E-3</v>
      </c>
      <c r="FO57" s="9">
        <f t="shared" ca="1" si="21"/>
        <v>5.2253859417690229E-3</v>
      </c>
      <c r="FP57" s="9">
        <f t="shared" ca="1" si="21"/>
        <v>8.2216310663074665E-4</v>
      </c>
      <c r="FQ57" s="9">
        <f t="shared" ca="1" si="21"/>
        <v>1.0993233672758063E-3</v>
      </c>
      <c r="FR57" s="9">
        <f t="shared" ca="1" si="21"/>
        <v>2.1540435095634969E-4</v>
      </c>
      <c r="FS57" s="9">
        <f t="shared" ca="1" si="21"/>
        <v>4.0682599947650111E-4</v>
      </c>
      <c r="FT57" s="9">
        <f t="shared" ca="1" si="21"/>
        <v>1.3876268587600382E-3</v>
      </c>
      <c r="FU57" s="9">
        <f t="shared" ca="1" si="21"/>
        <v>9.7962792151728983E-4</v>
      </c>
      <c r="FV57" s="9">
        <f t="shared" ca="1" si="21"/>
        <v>1.502287796559032E-3</v>
      </c>
      <c r="FW57" s="9">
        <f t="shared" ca="1" si="21"/>
        <v>7.5929217048109621E-4</v>
      </c>
      <c r="FX57" s="9">
        <f t="shared" ca="1" si="21"/>
        <v>9.7281025097095686E-4</v>
      </c>
      <c r="FY57" s="9">
        <f t="shared" ca="1" si="21"/>
        <v>1.9665830013959607E-4</v>
      </c>
      <c r="FZ57" s="9">
        <f t="shared" ca="1" si="21"/>
        <v>2.5625007548348844E-3</v>
      </c>
      <c r="GA57" s="9">
        <f t="shared" ca="1" si="21"/>
        <v>1.3936916822290257E-3</v>
      </c>
      <c r="GB57" s="9">
        <f t="shared" ca="1" si="21"/>
        <v>3.3926895400659962E-4</v>
      </c>
      <c r="GC57" s="9">
        <f t="shared" ca="1" si="21"/>
        <v>3.9905227886327665E-5</v>
      </c>
      <c r="GD57" s="9">
        <f t="shared" ca="1" si="21"/>
        <v>1.222782569265668E-4</v>
      </c>
      <c r="GE57" s="9">
        <f t="shared" ca="1" si="21"/>
        <v>2.5609128930559333E-4</v>
      </c>
      <c r="GF57" s="9">
        <f t="shared" ca="1" si="21"/>
        <v>1.5419727268861649E-4</v>
      </c>
      <c r="GG57" s="9">
        <f t="shared" ca="1" si="21"/>
        <v>5.1881498627226463E-5</v>
      </c>
      <c r="GH57" s="9">
        <f t="shared" ca="1" si="21"/>
        <v>1.3427400222587593E-3</v>
      </c>
      <c r="GI57" s="9">
        <f t="shared" ca="1" si="21"/>
        <v>7.2302805264867764E-4</v>
      </c>
      <c r="GJ57" s="9">
        <f t="shared" ca="1" si="21"/>
        <v>3.1511745228751664E-6</v>
      </c>
      <c r="GK57" s="9">
        <f t="shared" ca="1" si="21"/>
        <v>8.0101601294124691E-5</v>
      </c>
      <c r="GL57" s="9">
        <f t="shared" ref="GL57:IW57" ca="1" si="22">IF(GL30="","",ABS(GL30))</f>
        <v>8.2056688432996516E-4</v>
      </c>
      <c r="GM57" s="9">
        <f t="shared" ca="1" si="22"/>
        <v>2.2801527137239486E-4</v>
      </c>
      <c r="GN57" s="9">
        <f t="shared" ca="1" si="22"/>
        <v>6.0928678991798435E-3</v>
      </c>
      <c r="GO57" s="9">
        <f t="shared" ca="1" si="22"/>
        <v>1.6080731048724095E-2</v>
      </c>
      <c r="GP57" s="9">
        <f t="shared" ca="1" si="22"/>
        <v>3.0819173548177758E-3</v>
      </c>
      <c r="GQ57" s="9">
        <f t="shared" ca="1" si="22"/>
        <v>6.4817275706073874E-3</v>
      </c>
      <c r="GR57" s="9">
        <f t="shared" ca="1" si="22"/>
        <v>7.3691770318257133E-3</v>
      </c>
      <c r="GS57" s="9">
        <f t="shared" ca="1" si="22"/>
        <v>2.4407000838193582E-3</v>
      </c>
      <c r="GT57" s="9">
        <f t="shared" ca="1" si="22"/>
        <v>2.9615086037011462E-3</v>
      </c>
      <c r="GU57" s="9">
        <f t="shared" ca="1" si="22"/>
        <v>1.3121179611985667E-4</v>
      </c>
      <c r="GV57" s="9">
        <f t="shared" ca="1" si="22"/>
        <v>1.4101055717281596E-3</v>
      </c>
      <c r="GW57" s="9">
        <f t="shared" ca="1" si="22"/>
        <v>6.4174172604358759E-4</v>
      </c>
      <c r="GX57" s="9">
        <f t="shared" ca="1" si="22"/>
        <v>2.3668382934949328E-4</v>
      </c>
      <c r="GY57" s="9" t="str">
        <f t="shared" ca="1" si="22"/>
        <v/>
      </c>
      <c r="GZ57" s="9" t="str">
        <f t="shared" ca="1" si="22"/>
        <v/>
      </c>
      <c r="HA57" s="9" t="str">
        <f t="shared" ca="1" si="22"/>
        <v/>
      </c>
      <c r="HB57" s="9" t="str">
        <f t="shared" ca="1" si="22"/>
        <v/>
      </c>
      <c r="HC57" s="9" t="str">
        <f t="shared" ca="1" si="22"/>
        <v/>
      </c>
      <c r="HD57" s="9" t="str">
        <f t="shared" ca="1" si="22"/>
        <v/>
      </c>
      <c r="HE57" s="9" t="str">
        <f t="shared" ca="1" si="22"/>
        <v/>
      </c>
      <c r="HF57" s="9" t="str">
        <f t="shared" ca="1" si="22"/>
        <v/>
      </c>
      <c r="HG57" s="9" t="str">
        <f t="shared" ca="1" si="22"/>
        <v/>
      </c>
      <c r="HH57" s="9" t="str">
        <f t="shared" ca="1" si="22"/>
        <v/>
      </c>
      <c r="HI57" s="9" t="str">
        <f t="shared" ca="1" si="22"/>
        <v/>
      </c>
      <c r="HJ57" s="9" t="str">
        <f t="shared" ca="1" si="22"/>
        <v/>
      </c>
      <c r="HK57" s="9" t="str">
        <f t="shared" ca="1" si="22"/>
        <v/>
      </c>
      <c r="HL57" s="9" t="str">
        <f t="shared" ca="1" si="22"/>
        <v/>
      </c>
      <c r="HM57" s="9" t="str">
        <f t="shared" ca="1" si="22"/>
        <v/>
      </c>
      <c r="HN57" s="9" t="str">
        <f t="shared" ca="1" si="22"/>
        <v/>
      </c>
      <c r="HO57" s="9" t="str">
        <f t="shared" ca="1" si="22"/>
        <v/>
      </c>
      <c r="HP57" s="9" t="str">
        <f t="shared" ca="1" si="22"/>
        <v/>
      </c>
      <c r="HQ57" s="9" t="str">
        <f t="shared" ca="1" si="22"/>
        <v/>
      </c>
      <c r="HR57" s="9" t="str">
        <f t="shared" ca="1" si="22"/>
        <v/>
      </c>
      <c r="HS57" s="9" t="str">
        <f t="shared" ca="1" si="22"/>
        <v/>
      </c>
      <c r="HT57" s="9" t="str">
        <f t="shared" ca="1" si="22"/>
        <v/>
      </c>
      <c r="HU57" s="9" t="str">
        <f t="shared" ca="1" si="22"/>
        <v/>
      </c>
      <c r="HV57" s="9" t="str">
        <f t="shared" ca="1" si="22"/>
        <v/>
      </c>
      <c r="HW57" s="9" t="str">
        <f t="shared" ca="1" si="22"/>
        <v/>
      </c>
      <c r="HX57" s="9" t="str">
        <f t="shared" ca="1" si="22"/>
        <v/>
      </c>
      <c r="HY57" s="9" t="str">
        <f t="shared" ca="1" si="22"/>
        <v/>
      </c>
      <c r="HZ57" s="9" t="str">
        <f t="shared" ca="1" si="22"/>
        <v/>
      </c>
      <c r="IA57" s="9" t="str">
        <f t="shared" ca="1" si="22"/>
        <v/>
      </c>
      <c r="IB57" s="9" t="str">
        <f t="shared" ca="1" si="22"/>
        <v/>
      </c>
      <c r="IC57" s="9" t="str">
        <f t="shared" ca="1" si="22"/>
        <v/>
      </c>
      <c r="ID57" s="9" t="str">
        <f t="shared" ca="1" si="22"/>
        <v/>
      </c>
      <c r="IE57" s="9" t="str">
        <f t="shared" ca="1" si="22"/>
        <v/>
      </c>
      <c r="IF57" s="9" t="str">
        <f t="shared" ca="1" si="22"/>
        <v/>
      </c>
      <c r="IG57" s="9" t="str">
        <f t="shared" ca="1" si="22"/>
        <v/>
      </c>
      <c r="IH57" s="9" t="str">
        <f t="shared" ca="1" si="22"/>
        <v/>
      </c>
      <c r="II57" s="9" t="str">
        <f t="shared" ca="1" si="22"/>
        <v/>
      </c>
      <c r="IJ57" s="9" t="str">
        <f t="shared" ca="1" si="22"/>
        <v/>
      </c>
      <c r="IK57" s="9" t="str">
        <f t="shared" ca="1" si="22"/>
        <v/>
      </c>
      <c r="IL57" s="9" t="str">
        <f t="shared" ca="1" si="22"/>
        <v/>
      </c>
      <c r="IM57" s="9" t="str">
        <f t="shared" ca="1" si="22"/>
        <v/>
      </c>
      <c r="IN57" s="9" t="str">
        <f t="shared" ca="1" si="22"/>
        <v/>
      </c>
      <c r="IO57" s="9" t="str">
        <f t="shared" ca="1" si="22"/>
        <v/>
      </c>
      <c r="IP57" s="9" t="str">
        <f t="shared" ca="1" si="22"/>
        <v/>
      </c>
      <c r="IQ57" s="9" t="str">
        <f t="shared" ca="1" si="22"/>
        <v/>
      </c>
      <c r="IR57" s="9" t="str">
        <f t="shared" ca="1" si="22"/>
        <v/>
      </c>
      <c r="IS57" s="9" t="str">
        <f t="shared" ca="1" si="22"/>
        <v/>
      </c>
      <c r="IT57" s="9" t="str">
        <f t="shared" ca="1" si="22"/>
        <v/>
      </c>
      <c r="IU57" s="9" t="str">
        <f t="shared" ca="1" si="22"/>
        <v/>
      </c>
      <c r="IV57" s="9" t="str">
        <f t="shared" ca="1" si="22"/>
        <v/>
      </c>
      <c r="IW57" s="9" t="str">
        <f t="shared" ca="1" si="22"/>
        <v/>
      </c>
      <c r="IX57" s="9" t="str">
        <f t="shared" ref="IX57:JH57" ca="1" si="23">IF(IX30="","",ABS(IX30))</f>
        <v/>
      </c>
      <c r="IY57" s="9" t="str">
        <f t="shared" ca="1" si="23"/>
        <v/>
      </c>
      <c r="IZ57" s="9" t="str">
        <f t="shared" ca="1" si="23"/>
        <v/>
      </c>
      <c r="JA57" s="9" t="str">
        <f t="shared" ca="1" si="23"/>
        <v/>
      </c>
      <c r="JB57" s="9" t="str">
        <f t="shared" ca="1" si="23"/>
        <v/>
      </c>
      <c r="JC57" s="9" t="str">
        <f t="shared" ca="1" si="23"/>
        <v/>
      </c>
      <c r="JD57" s="9" t="str">
        <f t="shared" ca="1" si="23"/>
        <v/>
      </c>
      <c r="JE57" s="9" t="str">
        <f t="shared" ca="1" si="23"/>
        <v/>
      </c>
      <c r="JF57" s="9" t="str">
        <f t="shared" ca="1" si="23"/>
        <v/>
      </c>
      <c r="JG57" s="9" t="str">
        <f t="shared" ca="1" si="23"/>
        <v/>
      </c>
      <c r="JH57" s="9" t="str">
        <f t="shared" ca="1" si="23"/>
        <v/>
      </c>
      <c r="JI57" s="13">
        <f t="shared" ref="JI57:JI68" ca="1" si="24">AVERAGE(OFFSET($B57,0,Inicio-1,1,Amplitud))</f>
        <v>1.840166102205433E-3</v>
      </c>
      <c r="JJ57" s="13">
        <f t="shared" ref="JJ57:JJ68" ca="1" si="25">MEDIAN(OFFSET($B57,0,Inicio-1,1,Amplitud))</f>
        <v>7.8992952740553068E-4</v>
      </c>
      <c r="JK57" s="14">
        <f t="shared" ref="JK57:JK68" ca="1" si="26">VARP(OFFSET($B57,0,Inicio-1,1,Amplitud))</f>
        <v>9.5150746425541932E-6</v>
      </c>
      <c r="JL57" s="17">
        <f ca="1">SQRT(JK57)</f>
        <v>3.0846514620867936E-3</v>
      </c>
      <c r="JM57" s="15" t="str">
        <f t="shared" ref="JM57:JM68" ca="1" si="27">CONCATENATE("[ ",TEXT(JI57-2*JL57,"0,00%")," ; ",TEXT(JI57+2*JL57,"0,00%")," ]")</f>
        <v>[ -0,43% ; 0,80% ]</v>
      </c>
      <c r="JN57" s="17">
        <f t="shared" ref="JN57:JN68" ca="1" si="28">JL57*JN$29</f>
        <v>3.9483538714710957E-3</v>
      </c>
      <c r="LY57" s="1"/>
    </row>
    <row r="58" spans="1:337" x14ac:dyDescent="0.25">
      <c r="A58" s="4">
        <v>2</v>
      </c>
      <c r="B58" s="9">
        <f t="shared" ref="B58:BM58" ca="1" si="29">IF(B31="","",ABS(B31))</f>
        <v>1.6125573067308219E-3</v>
      </c>
      <c r="C58" s="9">
        <f t="shared" ca="1" si="29"/>
        <v>1.3951487913309579E-3</v>
      </c>
      <c r="D58" s="9">
        <f t="shared" ca="1" si="29"/>
        <v>7.5406694114432682E-5</v>
      </c>
      <c r="E58" s="9">
        <f t="shared" ca="1" si="29"/>
        <v>1.1762532194181663E-3</v>
      </c>
      <c r="F58" s="9">
        <f t="shared" ca="1" si="29"/>
        <v>6.78148418281177E-4</v>
      </c>
      <c r="G58" s="9">
        <f t="shared" ca="1" si="29"/>
        <v>6.1534211769509461E-4</v>
      </c>
      <c r="H58" s="9">
        <f t="shared" ca="1" si="29"/>
        <v>1.4204166762690207E-3</v>
      </c>
      <c r="I58" s="9">
        <f t="shared" ca="1" si="29"/>
        <v>1.3387717530390919E-3</v>
      </c>
      <c r="J58" s="9">
        <f t="shared" ca="1" si="29"/>
        <v>2.09019192886295E-4</v>
      </c>
      <c r="K58" s="9">
        <f t="shared" ca="1" si="29"/>
        <v>4.735184953691407E-4</v>
      </c>
      <c r="L58" s="9">
        <f t="shared" ca="1" si="29"/>
        <v>1.5238860323062431E-3</v>
      </c>
      <c r="M58" s="9">
        <f t="shared" ca="1" si="29"/>
        <v>1.0347804705479469E-3</v>
      </c>
      <c r="N58" s="9">
        <f t="shared" ca="1" si="29"/>
        <v>1.0120918171532267E-3</v>
      </c>
      <c r="O58" s="9">
        <f t="shared" ca="1" si="29"/>
        <v>2.0759706850088655E-3</v>
      </c>
      <c r="P58" s="9">
        <f t="shared" ca="1" si="29"/>
        <v>1.2026132998745886E-3</v>
      </c>
      <c r="Q58" s="9">
        <f t="shared" ca="1" si="29"/>
        <v>1.1414280384378639E-3</v>
      </c>
      <c r="R58" s="9">
        <f t="shared" ca="1" si="29"/>
        <v>2.2501175811862062E-4</v>
      </c>
      <c r="S58" s="9">
        <f t="shared" ca="1" si="29"/>
        <v>5.6808441439004653E-4</v>
      </c>
      <c r="T58" s="9">
        <f t="shared" ca="1" si="29"/>
        <v>1.4043727462564881E-3</v>
      </c>
      <c r="U58" s="9">
        <f t="shared" ca="1" si="29"/>
        <v>2.9142923784197805E-6</v>
      </c>
      <c r="V58" s="9">
        <f t="shared" ca="1" si="29"/>
        <v>4.6348513269678371E-4</v>
      </c>
      <c r="W58" s="9">
        <f t="shared" ca="1" si="29"/>
        <v>2.7639860914918657E-4</v>
      </c>
      <c r="X58" s="9">
        <f t="shared" ca="1" si="29"/>
        <v>6.6141062474434076E-4</v>
      </c>
      <c r="Y58" s="9">
        <f t="shared" ca="1" si="29"/>
        <v>2.4305122118750688E-4</v>
      </c>
      <c r="Z58" s="9">
        <f t="shared" ca="1" si="29"/>
        <v>4.1305401454705404E-4</v>
      </c>
      <c r="AA58" s="9">
        <f t="shared" ca="1" si="29"/>
        <v>6.6667100623774012E-4</v>
      </c>
      <c r="AB58" s="9">
        <f t="shared" ca="1" si="29"/>
        <v>1.0133831021339468E-3</v>
      </c>
      <c r="AC58" s="9">
        <f t="shared" ca="1" si="29"/>
        <v>8.913521560511839E-4</v>
      </c>
      <c r="AD58" s="9">
        <f t="shared" ca="1" si="29"/>
        <v>3.4356952503844518E-4</v>
      </c>
      <c r="AE58" s="9">
        <f t="shared" ca="1" si="29"/>
        <v>7.9620720893625041E-4</v>
      </c>
      <c r="AF58" s="9">
        <f t="shared" ca="1" si="29"/>
        <v>7.0172469787443958E-4</v>
      </c>
      <c r="AG58" s="9">
        <f t="shared" ca="1" si="29"/>
        <v>2.6526624540745836E-4</v>
      </c>
      <c r="AH58" s="9">
        <f t="shared" ca="1" si="29"/>
        <v>2.0803543956676718E-3</v>
      </c>
      <c r="AI58" s="9">
        <f t="shared" ca="1" si="29"/>
        <v>1.2364598810101768E-3</v>
      </c>
      <c r="AJ58" s="9">
        <f t="shared" ca="1" si="29"/>
        <v>7.7038599490764081E-4</v>
      </c>
      <c r="AK58" s="9">
        <f t="shared" ca="1" si="29"/>
        <v>1.2703246203570329E-3</v>
      </c>
      <c r="AL58" s="9">
        <f t="shared" ca="1" si="29"/>
        <v>1.3631874207636896E-3</v>
      </c>
      <c r="AM58" s="9">
        <f t="shared" ca="1" si="29"/>
        <v>1.6117391544249182E-3</v>
      </c>
      <c r="AN58" s="9">
        <f t="shared" ca="1" si="29"/>
        <v>9.4055314273400192E-4</v>
      </c>
      <c r="AO58" s="9">
        <f t="shared" ca="1" si="29"/>
        <v>5.2120123753551795E-5</v>
      </c>
      <c r="AP58" s="9">
        <f t="shared" ca="1" si="29"/>
        <v>3.0075974668675176E-4</v>
      </c>
      <c r="AQ58" s="9">
        <f t="shared" ca="1" si="29"/>
        <v>1.0591928955663299E-3</v>
      </c>
      <c r="AR58" s="9">
        <f t="shared" ca="1" si="29"/>
        <v>6.3221470790897349E-4</v>
      </c>
      <c r="AS58" s="9">
        <f t="shared" ca="1" si="29"/>
        <v>7.3859471903592322E-4</v>
      </c>
      <c r="AT58" s="9">
        <f t="shared" ca="1" si="29"/>
        <v>1.1613275449239291E-3</v>
      </c>
      <c r="AU58" s="9">
        <f t="shared" ca="1" si="29"/>
        <v>5.4126229965056893E-4</v>
      </c>
      <c r="AV58" s="9">
        <f t="shared" ca="1" si="29"/>
        <v>1.8538998704766829E-3</v>
      </c>
      <c r="AW58" s="9">
        <f t="shared" ca="1" si="29"/>
        <v>1.9485734174082836E-3</v>
      </c>
      <c r="AX58" s="9">
        <f t="shared" ca="1" si="29"/>
        <v>2.8340043016987781E-3</v>
      </c>
      <c r="AY58" s="9">
        <f t="shared" ca="1" si="29"/>
        <v>3.624453373987091E-3</v>
      </c>
      <c r="AZ58" s="9">
        <f t="shared" ca="1" si="29"/>
        <v>5.6088827264395569E-3</v>
      </c>
      <c r="BA58" s="9">
        <f t="shared" ca="1" si="29"/>
        <v>5.4432026686352941E-3</v>
      </c>
      <c r="BB58" s="9">
        <f t="shared" ca="1" si="29"/>
        <v>3.6337123236815927E-3</v>
      </c>
      <c r="BC58" s="9">
        <f t="shared" ca="1" si="29"/>
        <v>4.4182736317344151E-4</v>
      </c>
      <c r="BD58" s="9">
        <f t="shared" ca="1" si="29"/>
        <v>2.4770344481530593E-3</v>
      </c>
      <c r="BE58" s="9">
        <f t="shared" ca="1" si="29"/>
        <v>5.5412398997978229E-4</v>
      </c>
      <c r="BF58" s="9">
        <f t="shared" ca="1" si="29"/>
        <v>1.1790089334895448E-3</v>
      </c>
      <c r="BG58" s="9">
        <f t="shared" ca="1" si="29"/>
        <v>5.6201701703308959E-3</v>
      </c>
      <c r="BH58" s="9">
        <f t="shared" ca="1" si="29"/>
        <v>3.4650706110086471E-3</v>
      </c>
      <c r="BI58" s="9">
        <f t="shared" ca="1" si="29"/>
        <v>4.6268799577542374E-3</v>
      </c>
      <c r="BJ58" s="9">
        <f t="shared" ca="1" si="29"/>
        <v>8.2004193174525231E-3</v>
      </c>
      <c r="BK58" s="9">
        <f t="shared" ca="1" si="29"/>
        <v>1.3352346772061985E-3</v>
      </c>
      <c r="BL58" s="9">
        <f t="shared" ca="1" si="29"/>
        <v>3.0864303235188517E-3</v>
      </c>
      <c r="BM58" s="9">
        <f t="shared" ca="1" si="29"/>
        <v>4.4833667648425113E-3</v>
      </c>
      <c r="BN58" s="9">
        <f t="shared" ref="BN58:DY58" ca="1" si="30">IF(BN31="","",ABS(BN31))</f>
        <v>3.7561896498811143E-3</v>
      </c>
      <c r="BO58" s="9">
        <f t="shared" ca="1" si="30"/>
        <v>1.2957347017912291E-3</v>
      </c>
      <c r="BP58" s="9">
        <f t="shared" ca="1" si="30"/>
        <v>7.9433262580108632E-4</v>
      </c>
      <c r="BQ58" s="9">
        <f t="shared" ca="1" si="30"/>
        <v>4.3596653017310416E-3</v>
      </c>
      <c r="BR58" s="9">
        <f t="shared" ca="1" si="30"/>
        <v>2.0735371456049867E-3</v>
      </c>
      <c r="BS58" s="9">
        <f t="shared" ca="1" si="30"/>
        <v>1.2369237595808436E-3</v>
      </c>
      <c r="BT58" s="9">
        <f t="shared" ca="1" si="30"/>
        <v>1.7676599266764903E-3</v>
      </c>
      <c r="BU58" s="9">
        <f t="shared" ca="1" si="30"/>
        <v>3.7824605976367609E-3</v>
      </c>
      <c r="BV58" s="9">
        <f t="shared" ca="1" si="30"/>
        <v>1.0363751188220416E-3</v>
      </c>
      <c r="BW58" s="9">
        <f t="shared" ca="1" si="30"/>
        <v>2.2187083154803222E-3</v>
      </c>
      <c r="BX58" s="9">
        <f t="shared" ca="1" si="30"/>
        <v>2.3523990145489782E-3</v>
      </c>
      <c r="BY58" s="9">
        <f t="shared" ca="1" si="30"/>
        <v>2.2066496898613952E-3</v>
      </c>
      <c r="BZ58" s="9">
        <f t="shared" ca="1" si="30"/>
        <v>2.3791541157596185E-3</v>
      </c>
      <c r="CA58" s="9">
        <f t="shared" ca="1" si="30"/>
        <v>1.2207145212894677E-4</v>
      </c>
      <c r="CB58" s="9">
        <f t="shared" ca="1" si="30"/>
        <v>2.1531349734873473E-3</v>
      </c>
      <c r="CC58" s="9">
        <f t="shared" ca="1" si="30"/>
        <v>1.192723816256791E-3</v>
      </c>
      <c r="CD58" s="9">
        <f t="shared" ca="1" si="30"/>
        <v>2.1312009987988212E-3</v>
      </c>
      <c r="CE58" s="9">
        <f t="shared" ca="1" si="30"/>
        <v>1.1306492767502174E-3</v>
      </c>
      <c r="CF58" s="9">
        <f t="shared" ca="1" si="30"/>
        <v>1.6742907475153501E-4</v>
      </c>
      <c r="CG58" s="9">
        <f t="shared" ca="1" si="30"/>
        <v>2.7501275533192704E-4</v>
      </c>
      <c r="CH58" s="9">
        <f t="shared" ca="1" si="30"/>
        <v>2.0900533385559417E-4</v>
      </c>
      <c r="CI58" s="9">
        <f t="shared" ca="1" si="30"/>
        <v>3.0542403371114357E-4</v>
      </c>
      <c r="CJ58" s="9">
        <f t="shared" ca="1" si="30"/>
        <v>3.2023197816791749E-3</v>
      </c>
      <c r="CK58" s="9">
        <f t="shared" ca="1" si="30"/>
        <v>1.6953870761149403E-3</v>
      </c>
      <c r="CL58" s="9">
        <f t="shared" ca="1" si="30"/>
        <v>1.3345958355577281E-3</v>
      </c>
      <c r="CM58" s="9">
        <f t="shared" ca="1" si="30"/>
        <v>2.4674267034068276E-3</v>
      </c>
      <c r="CN58" s="9">
        <f t="shared" ca="1" si="30"/>
        <v>8.8014115645740354E-4</v>
      </c>
      <c r="CO58" s="9">
        <f t="shared" ca="1" si="30"/>
        <v>2.7855016681654909E-4</v>
      </c>
      <c r="CP58" s="9">
        <f t="shared" ca="1" si="30"/>
        <v>5.5916858889082377E-4</v>
      </c>
      <c r="CQ58" s="9">
        <f t="shared" ca="1" si="30"/>
        <v>1.2926735441425308E-3</v>
      </c>
      <c r="CR58" s="9">
        <f t="shared" ca="1" si="30"/>
        <v>8.8852668023364778E-4</v>
      </c>
      <c r="CS58" s="9">
        <f t="shared" ca="1" si="30"/>
        <v>4.2717947233350539E-3</v>
      </c>
      <c r="CT58" s="9">
        <f t="shared" ca="1" si="30"/>
        <v>1.2201791877539669E-3</v>
      </c>
      <c r="CU58" s="9">
        <f t="shared" ca="1" si="30"/>
        <v>4.2327432049994451E-3</v>
      </c>
      <c r="CV58" s="9">
        <f t="shared" ca="1" si="30"/>
        <v>5.4254326810176945E-4</v>
      </c>
      <c r="CW58" s="9">
        <f t="shared" ca="1" si="30"/>
        <v>3.1482297124063585E-4</v>
      </c>
      <c r="CX58" s="9">
        <f t="shared" ca="1" si="30"/>
        <v>4.3897702414974482E-4</v>
      </c>
      <c r="CY58" s="9">
        <f t="shared" ca="1" si="30"/>
        <v>2.6086576506156867E-4</v>
      </c>
      <c r="CZ58" s="9">
        <f t="shared" ca="1" si="30"/>
        <v>2.1142505047326843E-3</v>
      </c>
      <c r="DA58" s="9">
        <f t="shared" ca="1" si="30"/>
        <v>2.4210117708594048E-3</v>
      </c>
      <c r="DB58" s="9">
        <f t="shared" ca="1" si="30"/>
        <v>7.2008738571538444E-4</v>
      </c>
      <c r="DC58" s="9">
        <f t="shared" ca="1" si="30"/>
        <v>1.0038017186009274E-4</v>
      </c>
      <c r="DD58" s="9">
        <f t="shared" ca="1" si="30"/>
        <v>4.3885310801317079E-4</v>
      </c>
      <c r="DE58" s="9">
        <f t="shared" ca="1" si="30"/>
        <v>1.5516653575359252E-3</v>
      </c>
      <c r="DF58" s="9">
        <f t="shared" ca="1" si="30"/>
        <v>2.3132062070412296E-3</v>
      </c>
      <c r="DG58" s="9">
        <f t="shared" ca="1" si="30"/>
        <v>3.9921087459249271E-4</v>
      </c>
      <c r="DH58" s="9">
        <f t="shared" ca="1" si="30"/>
        <v>3.5523730573082668E-3</v>
      </c>
      <c r="DI58" s="9">
        <f t="shared" ca="1" si="30"/>
        <v>4.4953131921831035E-3</v>
      </c>
      <c r="DJ58" s="9">
        <f t="shared" ca="1" si="30"/>
        <v>1.9564289359584874E-3</v>
      </c>
      <c r="DK58" s="9">
        <f t="shared" ca="1" si="30"/>
        <v>1.9973950089655634E-3</v>
      </c>
      <c r="DL58" s="9">
        <f t="shared" ca="1" si="30"/>
        <v>2.3475430931036989E-3</v>
      </c>
      <c r="DM58" s="9">
        <f t="shared" ca="1" si="30"/>
        <v>3.2909087225803102E-3</v>
      </c>
      <c r="DN58" s="9">
        <f t="shared" ca="1" si="30"/>
        <v>3.2981183207052567E-3</v>
      </c>
      <c r="DO58" s="9">
        <f t="shared" ca="1" si="30"/>
        <v>3.8590559641654698E-3</v>
      </c>
      <c r="DP58" s="9">
        <f t="shared" ca="1" si="30"/>
        <v>4.3922959380964244E-3</v>
      </c>
      <c r="DQ58" s="9">
        <f t="shared" ca="1" si="30"/>
        <v>7.6873689129075551E-4</v>
      </c>
      <c r="DR58" s="9">
        <f t="shared" ca="1" si="30"/>
        <v>2.1446362447705702E-3</v>
      </c>
      <c r="DS58" s="9">
        <f t="shared" ca="1" si="30"/>
        <v>2.3040616741126785E-3</v>
      </c>
      <c r="DT58" s="9">
        <f t="shared" ca="1" si="30"/>
        <v>3.2676810960180491E-3</v>
      </c>
      <c r="DU58" s="9">
        <f t="shared" ca="1" si="30"/>
        <v>2.7254704913403094E-3</v>
      </c>
      <c r="DV58" s="9">
        <f t="shared" ca="1" si="30"/>
        <v>6.519436068044282E-4</v>
      </c>
      <c r="DW58" s="9">
        <f t="shared" ca="1" si="30"/>
        <v>2.7346283154412454E-3</v>
      </c>
      <c r="DX58" s="9">
        <f t="shared" ca="1" si="30"/>
        <v>3.1720804072106201E-3</v>
      </c>
      <c r="DY58" s="9">
        <f t="shared" ca="1" si="30"/>
        <v>1.0735101065733055E-3</v>
      </c>
      <c r="DZ58" s="9">
        <f t="shared" ref="DZ58:GK58" ca="1" si="31">IF(DZ31="","",ABS(DZ31))</f>
        <v>2.0660217931853797E-3</v>
      </c>
      <c r="EA58" s="9">
        <f t="shared" ca="1" si="31"/>
        <v>1.936066362985267E-4</v>
      </c>
      <c r="EB58" s="9">
        <f t="shared" ca="1" si="31"/>
        <v>1.9090681214373184E-4</v>
      </c>
      <c r="EC58" s="9">
        <f t="shared" ca="1" si="31"/>
        <v>4.920398369785417E-4</v>
      </c>
      <c r="ED58" s="9">
        <f t="shared" ca="1" si="31"/>
        <v>1.5865145981019957E-3</v>
      </c>
      <c r="EE58" s="9">
        <f t="shared" ca="1" si="31"/>
        <v>2.2650495382655622E-3</v>
      </c>
      <c r="EF58" s="9">
        <f t="shared" ca="1" si="31"/>
        <v>2.2098498585532145E-3</v>
      </c>
      <c r="EG58" s="9">
        <f t="shared" ca="1" si="31"/>
        <v>5.2658488082313326E-4</v>
      </c>
      <c r="EH58" s="9">
        <f t="shared" ca="1" si="31"/>
        <v>1.3428461018409887E-3</v>
      </c>
      <c r="EI58" s="9">
        <f t="shared" ca="1" si="31"/>
        <v>2.8637078780493486E-3</v>
      </c>
      <c r="EJ58" s="9">
        <f t="shared" ca="1" si="31"/>
        <v>4.317579038811914E-3</v>
      </c>
      <c r="EK58" s="9">
        <f t="shared" ca="1" si="31"/>
        <v>7.3233660084737195E-4</v>
      </c>
      <c r="EL58" s="9">
        <f t="shared" ca="1" si="31"/>
        <v>5.9136961837702451E-4</v>
      </c>
      <c r="EM58" s="9">
        <f t="shared" ca="1" si="31"/>
        <v>7.0337576744661234E-4</v>
      </c>
      <c r="EN58" s="9">
        <f t="shared" ca="1" si="31"/>
        <v>1.2294361860435421E-3</v>
      </c>
      <c r="EO58" s="9">
        <f t="shared" ca="1" si="31"/>
        <v>2.9761563530386059E-3</v>
      </c>
      <c r="EP58" s="9">
        <f t="shared" ca="1" si="31"/>
        <v>6.4764056731037023E-4</v>
      </c>
      <c r="EQ58" s="9">
        <f t="shared" ca="1" si="31"/>
        <v>4.8304562159702247E-3</v>
      </c>
      <c r="ER58" s="9">
        <f t="shared" ca="1" si="31"/>
        <v>4.0757656519296859E-4</v>
      </c>
      <c r="ES58" s="9">
        <f t="shared" ca="1" si="31"/>
        <v>1.7652872539837272E-3</v>
      </c>
      <c r="ET58" s="9">
        <f t="shared" ca="1" si="31"/>
        <v>1.0668380701353009E-3</v>
      </c>
      <c r="EU58" s="9">
        <f t="shared" ca="1" si="31"/>
        <v>1.3374143180255871E-3</v>
      </c>
      <c r="EV58" s="9">
        <f t="shared" ca="1" si="31"/>
        <v>2.1479708792624397E-3</v>
      </c>
      <c r="EW58" s="9">
        <f t="shared" ca="1" si="31"/>
        <v>3.6516601742220267E-4</v>
      </c>
      <c r="EX58" s="9">
        <f t="shared" ca="1" si="31"/>
        <v>1.4067172540451756E-3</v>
      </c>
      <c r="EY58" s="9">
        <f t="shared" ca="1" si="31"/>
        <v>1.126195219364412E-3</v>
      </c>
      <c r="EZ58" s="9">
        <f t="shared" ca="1" si="31"/>
        <v>4.3060414542384073E-4</v>
      </c>
      <c r="FA58" s="9">
        <f t="shared" ca="1" si="31"/>
        <v>1.3974654060937564E-3</v>
      </c>
      <c r="FB58" s="9">
        <f t="shared" ca="1" si="31"/>
        <v>7.6860998566596894E-4</v>
      </c>
      <c r="FC58" s="9">
        <f t="shared" ca="1" si="31"/>
        <v>3.3473446821619124E-3</v>
      </c>
      <c r="FD58" s="9">
        <f t="shared" ca="1" si="31"/>
        <v>4.6065284231378012E-4</v>
      </c>
      <c r="FE58" s="9">
        <f t="shared" ca="1" si="31"/>
        <v>6.0294473166822016E-4</v>
      </c>
      <c r="FF58" s="9">
        <f t="shared" ca="1" si="31"/>
        <v>1.1052152719246422E-3</v>
      </c>
      <c r="FG58" s="9">
        <f t="shared" ca="1" si="31"/>
        <v>3.1159663436919338E-3</v>
      </c>
      <c r="FH58" s="9">
        <f t="shared" ca="1" si="31"/>
        <v>3.3577571185707811E-3</v>
      </c>
      <c r="FI58" s="9">
        <f t="shared" ca="1" si="31"/>
        <v>1.5337188600474949E-3</v>
      </c>
      <c r="FJ58" s="9">
        <f t="shared" ca="1" si="31"/>
        <v>3.0567003037863527E-3</v>
      </c>
      <c r="FK58" s="9">
        <f t="shared" ca="1" si="31"/>
        <v>1.5552496399329208E-3</v>
      </c>
      <c r="FL58" s="9">
        <f t="shared" ca="1" si="31"/>
        <v>4.2931881847476649E-3</v>
      </c>
      <c r="FM58" s="9">
        <f t="shared" ca="1" si="31"/>
        <v>8.5881079723193476E-4</v>
      </c>
      <c r="FN58" s="9">
        <f t="shared" ca="1" si="31"/>
        <v>9.0713387374223853E-3</v>
      </c>
      <c r="FO58" s="9">
        <f t="shared" ca="1" si="31"/>
        <v>9.0385438518394423E-3</v>
      </c>
      <c r="FP58" s="9">
        <f t="shared" ca="1" si="31"/>
        <v>6.4571655332734679E-4</v>
      </c>
      <c r="FQ58" s="9">
        <f t="shared" ca="1" si="31"/>
        <v>2.8338892675159322E-3</v>
      </c>
      <c r="FR58" s="9">
        <f t="shared" ca="1" si="31"/>
        <v>5.0927131991951313E-5</v>
      </c>
      <c r="FS58" s="9">
        <f t="shared" ca="1" si="31"/>
        <v>3.2983611963022241E-4</v>
      </c>
      <c r="FT58" s="9">
        <f t="shared" ca="1" si="31"/>
        <v>3.2454602197233839E-3</v>
      </c>
      <c r="FU58" s="9">
        <f t="shared" ca="1" si="31"/>
        <v>3.7086723678991795E-4</v>
      </c>
      <c r="FV58" s="9">
        <f t="shared" ca="1" si="31"/>
        <v>3.0553251211800081E-3</v>
      </c>
      <c r="FW58" s="9">
        <f t="shared" ca="1" si="31"/>
        <v>4.4956028994524999E-4</v>
      </c>
      <c r="FX58" s="9">
        <f t="shared" ca="1" si="31"/>
        <v>8.7674500265189081E-4</v>
      </c>
      <c r="FY58" s="9">
        <f t="shared" ca="1" si="31"/>
        <v>2.0060481108721273E-3</v>
      </c>
      <c r="FZ58" s="9">
        <f t="shared" ca="1" si="31"/>
        <v>3.6621808899646169E-3</v>
      </c>
      <c r="GA58" s="9">
        <f t="shared" ca="1" si="31"/>
        <v>2.009695395382205E-3</v>
      </c>
      <c r="GB58" s="9">
        <f t="shared" ca="1" si="31"/>
        <v>6.6016914732869303E-4</v>
      </c>
      <c r="GC58" s="9">
        <f t="shared" ca="1" si="31"/>
        <v>2.0531835277015631E-4</v>
      </c>
      <c r="GD58" s="9">
        <f t="shared" ca="1" si="31"/>
        <v>3.2382973613176436E-4</v>
      </c>
      <c r="GE58" s="9">
        <f t="shared" ca="1" si="31"/>
        <v>4.7942581676840845E-6</v>
      </c>
      <c r="GF58" s="9">
        <f t="shared" ca="1" si="31"/>
        <v>2.0931257482548205E-4</v>
      </c>
      <c r="GG58" s="9">
        <f t="shared" ca="1" si="31"/>
        <v>1.1856989943443974E-3</v>
      </c>
      <c r="GH58" s="9">
        <f t="shared" ca="1" si="31"/>
        <v>3.0504805246491795E-3</v>
      </c>
      <c r="GI58" s="9">
        <f t="shared" ca="1" si="31"/>
        <v>8.4589824427672156E-4</v>
      </c>
      <c r="GJ58" s="9">
        <f t="shared" ca="1" si="31"/>
        <v>2.761597214291367E-4</v>
      </c>
      <c r="GK58" s="9">
        <f t="shared" ca="1" si="31"/>
        <v>1.0800011682536859E-3</v>
      </c>
      <c r="GL58" s="9">
        <f t="shared" ref="GL58:IW58" ca="1" si="32">IF(GL31="","",ABS(GL31))</f>
        <v>1.9547064537095427E-4</v>
      </c>
      <c r="GM58" s="9">
        <f t="shared" ca="1" si="32"/>
        <v>5.7558463906508539E-3</v>
      </c>
      <c r="GN58" s="9">
        <f t="shared" ca="1" si="32"/>
        <v>2.3705097386260476E-2</v>
      </c>
      <c r="GO58" s="9">
        <f t="shared" ca="1" si="32"/>
        <v>1.6981010345342495E-2</v>
      </c>
      <c r="GP58" s="9">
        <f t="shared" ca="1" si="32"/>
        <v>9.4021896032621122E-3</v>
      </c>
      <c r="GQ58" s="9">
        <f t="shared" ca="1" si="32"/>
        <v>1.513854329947506E-2</v>
      </c>
      <c r="GR58" s="9">
        <f t="shared" ca="1" si="32"/>
        <v>1.2348536238028562E-2</v>
      </c>
      <c r="GS58" s="9">
        <f t="shared" ca="1" si="32"/>
        <v>7.4179842272004137E-4</v>
      </c>
      <c r="GT58" s="9">
        <f t="shared" ca="1" si="32"/>
        <v>5.5249066081792808E-3</v>
      </c>
      <c r="GU58" s="9">
        <f t="shared" ca="1" si="32"/>
        <v>1.5209284814236002E-3</v>
      </c>
      <c r="GV58" s="9">
        <f t="shared" ca="1" si="32"/>
        <v>2.6368222261166085E-3</v>
      </c>
      <c r="GW58" s="9">
        <f t="shared" ca="1" si="32"/>
        <v>7.5194844772108471E-4</v>
      </c>
      <c r="GX58" s="9" t="str">
        <f t="shared" ca="1" si="32"/>
        <v/>
      </c>
      <c r="GY58" s="9" t="str">
        <f t="shared" ca="1" si="32"/>
        <v/>
      </c>
      <c r="GZ58" s="9" t="str">
        <f t="shared" ca="1" si="32"/>
        <v/>
      </c>
      <c r="HA58" s="9" t="str">
        <f t="shared" ca="1" si="32"/>
        <v/>
      </c>
      <c r="HB58" s="9" t="str">
        <f t="shared" ca="1" si="32"/>
        <v/>
      </c>
      <c r="HC58" s="9" t="str">
        <f t="shared" ca="1" si="32"/>
        <v/>
      </c>
      <c r="HD58" s="9" t="str">
        <f t="shared" ca="1" si="32"/>
        <v/>
      </c>
      <c r="HE58" s="9" t="str">
        <f t="shared" ca="1" si="32"/>
        <v/>
      </c>
      <c r="HF58" s="9" t="str">
        <f t="shared" ca="1" si="32"/>
        <v/>
      </c>
      <c r="HG58" s="9" t="str">
        <f t="shared" ca="1" si="32"/>
        <v/>
      </c>
      <c r="HH58" s="9" t="str">
        <f t="shared" ca="1" si="32"/>
        <v/>
      </c>
      <c r="HI58" s="9" t="str">
        <f t="shared" ca="1" si="32"/>
        <v/>
      </c>
      <c r="HJ58" s="9" t="str">
        <f t="shared" ca="1" si="32"/>
        <v/>
      </c>
      <c r="HK58" s="9" t="str">
        <f t="shared" ca="1" si="32"/>
        <v/>
      </c>
      <c r="HL58" s="9" t="str">
        <f t="shared" ca="1" si="32"/>
        <v/>
      </c>
      <c r="HM58" s="9" t="str">
        <f t="shared" ca="1" si="32"/>
        <v/>
      </c>
      <c r="HN58" s="9" t="str">
        <f t="shared" ca="1" si="32"/>
        <v/>
      </c>
      <c r="HO58" s="9" t="str">
        <f t="shared" ca="1" si="32"/>
        <v/>
      </c>
      <c r="HP58" s="9" t="str">
        <f t="shared" ca="1" si="32"/>
        <v/>
      </c>
      <c r="HQ58" s="9" t="str">
        <f t="shared" ca="1" si="32"/>
        <v/>
      </c>
      <c r="HR58" s="9" t="str">
        <f t="shared" ca="1" si="32"/>
        <v/>
      </c>
      <c r="HS58" s="9" t="str">
        <f t="shared" ca="1" si="32"/>
        <v/>
      </c>
      <c r="HT58" s="9" t="str">
        <f t="shared" ca="1" si="32"/>
        <v/>
      </c>
      <c r="HU58" s="9" t="str">
        <f t="shared" ca="1" si="32"/>
        <v/>
      </c>
      <c r="HV58" s="9" t="str">
        <f t="shared" ca="1" si="32"/>
        <v/>
      </c>
      <c r="HW58" s="9" t="str">
        <f t="shared" ca="1" si="32"/>
        <v/>
      </c>
      <c r="HX58" s="9" t="str">
        <f t="shared" ca="1" si="32"/>
        <v/>
      </c>
      <c r="HY58" s="9" t="str">
        <f t="shared" ca="1" si="32"/>
        <v/>
      </c>
      <c r="HZ58" s="9" t="str">
        <f t="shared" ca="1" si="32"/>
        <v/>
      </c>
      <c r="IA58" s="9" t="str">
        <f t="shared" ca="1" si="32"/>
        <v/>
      </c>
      <c r="IB58" s="9" t="str">
        <f t="shared" ca="1" si="32"/>
        <v/>
      </c>
      <c r="IC58" s="9" t="str">
        <f t="shared" ca="1" si="32"/>
        <v/>
      </c>
      <c r="ID58" s="9" t="str">
        <f t="shared" ca="1" si="32"/>
        <v/>
      </c>
      <c r="IE58" s="9" t="str">
        <f t="shared" ca="1" si="32"/>
        <v/>
      </c>
      <c r="IF58" s="9" t="str">
        <f t="shared" ca="1" si="32"/>
        <v/>
      </c>
      <c r="IG58" s="9" t="str">
        <f t="shared" ca="1" si="32"/>
        <v/>
      </c>
      <c r="IH58" s="9" t="str">
        <f t="shared" ca="1" si="32"/>
        <v/>
      </c>
      <c r="II58" s="9" t="str">
        <f t="shared" ca="1" si="32"/>
        <v/>
      </c>
      <c r="IJ58" s="9" t="str">
        <f t="shared" ca="1" si="32"/>
        <v/>
      </c>
      <c r="IK58" s="9" t="str">
        <f t="shared" ca="1" si="32"/>
        <v/>
      </c>
      <c r="IL58" s="9" t="str">
        <f t="shared" ca="1" si="32"/>
        <v/>
      </c>
      <c r="IM58" s="9" t="str">
        <f t="shared" ca="1" si="32"/>
        <v/>
      </c>
      <c r="IN58" s="9" t="str">
        <f t="shared" ca="1" si="32"/>
        <v/>
      </c>
      <c r="IO58" s="9" t="str">
        <f t="shared" ca="1" si="32"/>
        <v/>
      </c>
      <c r="IP58" s="9" t="str">
        <f t="shared" ca="1" si="32"/>
        <v/>
      </c>
      <c r="IQ58" s="9" t="str">
        <f t="shared" ca="1" si="32"/>
        <v/>
      </c>
      <c r="IR58" s="9" t="str">
        <f t="shared" ca="1" si="32"/>
        <v/>
      </c>
      <c r="IS58" s="9" t="str">
        <f t="shared" ca="1" si="32"/>
        <v/>
      </c>
      <c r="IT58" s="9" t="str">
        <f t="shared" ca="1" si="32"/>
        <v/>
      </c>
      <c r="IU58" s="9" t="str">
        <f t="shared" ca="1" si="32"/>
        <v/>
      </c>
      <c r="IV58" s="9" t="str">
        <f t="shared" ca="1" si="32"/>
        <v/>
      </c>
      <c r="IW58" s="9" t="str">
        <f t="shared" ca="1" si="32"/>
        <v/>
      </c>
      <c r="IX58" s="9" t="str">
        <f t="shared" ref="IX58:JH58" ca="1" si="33">IF(IX31="","",ABS(IX31))</f>
        <v/>
      </c>
      <c r="IY58" s="9" t="str">
        <f t="shared" ca="1" si="33"/>
        <v/>
      </c>
      <c r="IZ58" s="9" t="str">
        <f t="shared" ca="1" si="33"/>
        <v/>
      </c>
      <c r="JA58" s="9" t="str">
        <f t="shared" ca="1" si="33"/>
        <v/>
      </c>
      <c r="JB58" s="9" t="str">
        <f t="shared" ca="1" si="33"/>
        <v/>
      </c>
      <c r="JC58" s="9" t="str">
        <f t="shared" ca="1" si="33"/>
        <v/>
      </c>
      <c r="JD58" s="9" t="str">
        <f t="shared" ca="1" si="33"/>
        <v/>
      </c>
      <c r="JE58" s="9" t="str">
        <f t="shared" ca="1" si="33"/>
        <v/>
      </c>
      <c r="JF58" s="9" t="str">
        <f t="shared" ca="1" si="33"/>
        <v/>
      </c>
      <c r="JG58" s="9" t="str">
        <f t="shared" ca="1" si="33"/>
        <v/>
      </c>
      <c r="JH58" s="9" t="str">
        <f t="shared" ca="1" si="33"/>
        <v/>
      </c>
      <c r="JI58" s="13">
        <f t="shared" ca="1" si="24"/>
        <v>3.6798574424962284E-3</v>
      </c>
      <c r="JJ58" s="13">
        <f t="shared" ca="1" si="25"/>
        <v>1.1856989943443974E-3</v>
      </c>
      <c r="JK58" s="14">
        <f t="shared" ca="1" si="26"/>
        <v>3.0649958994328587E-5</v>
      </c>
      <c r="JL58" s="17">
        <f t="shared" ref="JL58:JL68" ca="1" si="34">SQRT(JK58)</f>
        <v>5.5362405108817835E-3</v>
      </c>
      <c r="JM58" s="15" t="str">
        <f t="shared" ca="1" si="27"/>
        <v>[ -0,74% ; 1,48% ]</v>
      </c>
      <c r="JN58" s="17">
        <f t="shared" ca="1" si="28"/>
        <v>7.0863878539286834E-3</v>
      </c>
      <c r="LY58" s="1"/>
    </row>
    <row r="59" spans="1:337" x14ac:dyDescent="0.25">
      <c r="A59" s="4">
        <v>3</v>
      </c>
      <c r="B59" s="9">
        <f t="shared" ref="B59:BM59" ca="1" si="35">IF(B32="","",ABS(B32))</f>
        <v>3.3837995278418465E-3</v>
      </c>
      <c r="C59" s="9">
        <f t="shared" ca="1" si="35"/>
        <v>9.974919140766092E-4</v>
      </c>
      <c r="D59" s="9">
        <f t="shared" ca="1" si="35"/>
        <v>5.5492458276451551E-4</v>
      </c>
      <c r="E59" s="9">
        <f t="shared" ca="1" si="35"/>
        <v>1.3292067422725484E-3</v>
      </c>
      <c r="F59" s="9">
        <f t="shared" ca="1" si="35"/>
        <v>1.773970809613834E-3</v>
      </c>
      <c r="G59" s="9">
        <f t="shared" ca="1" si="35"/>
        <v>1.3260045892815597E-3</v>
      </c>
      <c r="H59" s="9">
        <f t="shared" ca="1" si="35"/>
        <v>2.188393535097477E-3</v>
      </c>
      <c r="I59" s="9">
        <f t="shared" ca="1" si="35"/>
        <v>1.1851700922118624E-3</v>
      </c>
      <c r="J59" s="9">
        <f t="shared" ca="1" si="35"/>
        <v>2.9600560424503097E-4</v>
      </c>
      <c r="K59" s="9">
        <f t="shared" ca="1" si="35"/>
        <v>1.7640434400609806E-3</v>
      </c>
      <c r="L59" s="9">
        <f t="shared" ca="1" si="35"/>
        <v>1.5478555025130181E-3</v>
      </c>
      <c r="M59" s="9">
        <f t="shared" ca="1" si="35"/>
        <v>5.177982233888212E-4</v>
      </c>
      <c r="N59" s="9">
        <f t="shared" ca="1" si="35"/>
        <v>1.916998289118732E-3</v>
      </c>
      <c r="O59" s="9">
        <f t="shared" ca="1" si="35"/>
        <v>3.1338663057163263E-3</v>
      </c>
      <c r="P59" s="9">
        <f t="shared" ca="1" si="35"/>
        <v>1.9598106956761896E-3</v>
      </c>
      <c r="Q59" s="9">
        <f t="shared" ca="1" si="35"/>
        <v>1.2414461513887698E-3</v>
      </c>
      <c r="R59" s="9">
        <f t="shared" ca="1" si="35"/>
        <v>8.9020796634375898E-4</v>
      </c>
      <c r="S59" s="9">
        <f t="shared" ca="1" si="35"/>
        <v>1.2037254880035153E-3</v>
      </c>
      <c r="T59" s="9">
        <f t="shared" ca="1" si="35"/>
        <v>1.3038070506801169E-3</v>
      </c>
      <c r="U59" s="9">
        <f t="shared" ca="1" si="35"/>
        <v>5.0940568734447744E-5</v>
      </c>
      <c r="V59" s="9">
        <f t="shared" ca="1" si="35"/>
        <v>8.4126383636284885E-4</v>
      </c>
      <c r="W59" s="9">
        <f t="shared" ca="1" si="35"/>
        <v>1.109909125433628E-3</v>
      </c>
      <c r="X59" s="9">
        <f t="shared" ca="1" si="35"/>
        <v>6.431970012014121E-4</v>
      </c>
      <c r="Y59" s="9">
        <f t="shared" ca="1" si="35"/>
        <v>9.636028226633897E-5</v>
      </c>
      <c r="Z59" s="9">
        <f t="shared" ca="1" si="35"/>
        <v>1.2904576716619154E-3</v>
      </c>
      <c r="AA59" s="9">
        <f t="shared" ca="1" si="35"/>
        <v>8.0439370111151653E-4</v>
      </c>
      <c r="AB59" s="9">
        <f t="shared" ca="1" si="35"/>
        <v>7.8940071506550247E-4</v>
      </c>
      <c r="AC59" s="9">
        <f t="shared" ca="1" si="35"/>
        <v>7.3665785396670458E-4</v>
      </c>
      <c r="AD59" s="9">
        <f t="shared" ca="1" si="35"/>
        <v>2.003812107417291E-4</v>
      </c>
      <c r="AE59" s="9">
        <f t="shared" ca="1" si="35"/>
        <v>1.5917282893394002E-3</v>
      </c>
      <c r="AF59" s="9">
        <f t="shared" ca="1" si="35"/>
        <v>2.5035483156377047E-4</v>
      </c>
      <c r="AG59" s="9">
        <f t="shared" ca="1" si="35"/>
        <v>1.457899670952667E-3</v>
      </c>
      <c r="AH59" s="9">
        <f t="shared" ca="1" si="35"/>
        <v>2.6444134315876111E-3</v>
      </c>
      <c r="AI59" s="9">
        <f t="shared" ca="1" si="35"/>
        <v>2.2440445893525673E-3</v>
      </c>
      <c r="AJ59" s="9">
        <f t="shared" ca="1" si="35"/>
        <v>1.1354079983706411E-3</v>
      </c>
      <c r="AK59" s="9">
        <f t="shared" ca="1" si="35"/>
        <v>2.4600118232005475E-3</v>
      </c>
      <c r="AL59" s="9">
        <f t="shared" ca="1" si="35"/>
        <v>2.4796824721404764E-3</v>
      </c>
      <c r="AM59" s="9">
        <f t="shared" ca="1" si="35"/>
        <v>2.0519399283686068E-3</v>
      </c>
      <c r="AN59" s="9">
        <f t="shared" ca="1" si="35"/>
        <v>1.0421900441327514E-3</v>
      </c>
      <c r="AO59" s="9">
        <f t="shared" ca="1" si="35"/>
        <v>1.8439772111211727E-4</v>
      </c>
      <c r="AP59" s="9">
        <f t="shared" ca="1" si="35"/>
        <v>6.5194469716123304E-4</v>
      </c>
      <c r="AQ59" s="9">
        <f t="shared" ca="1" si="35"/>
        <v>2.0287453325762428E-4</v>
      </c>
      <c r="AR59" s="9">
        <f t="shared" ca="1" si="35"/>
        <v>5.4086617512094648E-4</v>
      </c>
      <c r="AS59" s="9">
        <f t="shared" ca="1" si="35"/>
        <v>6.8961156306079907E-4</v>
      </c>
      <c r="AT59" s="9">
        <f t="shared" ca="1" si="35"/>
        <v>7.3488956779743653E-4</v>
      </c>
      <c r="AU59" s="9">
        <f t="shared" ca="1" si="35"/>
        <v>1.4493204900674073E-3</v>
      </c>
      <c r="AV59" s="9">
        <f t="shared" ca="1" si="35"/>
        <v>3.7259532770239634E-3</v>
      </c>
      <c r="AW59" s="9">
        <f t="shared" ca="1" si="35"/>
        <v>4.6067145354817818E-3</v>
      </c>
      <c r="AX59" s="9">
        <f t="shared" ca="1" si="35"/>
        <v>4.7392365435654504E-3</v>
      </c>
      <c r="AY59" s="9">
        <f t="shared" ca="1" si="35"/>
        <v>7.2722652945331756E-3</v>
      </c>
      <c r="AZ59" s="9">
        <f t="shared" ca="1" si="35"/>
        <v>1.0187662201492698E-2</v>
      </c>
      <c r="BA59" s="9">
        <f t="shared" ca="1" si="35"/>
        <v>8.2389171530250493E-3</v>
      </c>
      <c r="BB59" s="9">
        <f t="shared" ca="1" si="35"/>
        <v>6.3850634695041819E-3</v>
      </c>
      <c r="BC59" s="9">
        <f t="shared" ca="1" si="35"/>
        <v>1.3059098264309732E-3</v>
      </c>
      <c r="BD59" s="9">
        <f t="shared" ca="1" si="35"/>
        <v>2.5709049826627695E-3</v>
      </c>
      <c r="BE59" s="9">
        <f t="shared" ca="1" si="35"/>
        <v>2.7196195823657732E-3</v>
      </c>
      <c r="BF59" s="9">
        <f t="shared" ca="1" si="35"/>
        <v>3.2946653262604375E-3</v>
      </c>
      <c r="BG59" s="9">
        <f t="shared" ca="1" si="35"/>
        <v>7.7916410084417631E-3</v>
      </c>
      <c r="BH59" s="9">
        <f t="shared" ca="1" si="35"/>
        <v>7.6759650976723215E-3</v>
      </c>
      <c r="BI59" s="9">
        <f t="shared" ca="1" si="35"/>
        <v>8.8365235334588732E-3</v>
      </c>
      <c r="BJ59" s="9">
        <f t="shared" ca="1" si="35"/>
        <v>1.0200666108607148E-2</v>
      </c>
      <c r="BK59" s="9">
        <f t="shared" ca="1" si="35"/>
        <v>6.212730414039136E-4</v>
      </c>
      <c r="BL59" s="9">
        <f t="shared" ca="1" si="35"/>
        <v>6.9974110830672842E-3</v>
      </c>
      <c r="BM59" s="9">
        <f t="shared" ca="1" si="35"/>
        <v>7.7196226465271467E-3</v>
      </c>
      <c r="BN59" s="9">
        <f t="shared" ref="BN59:DY59" ca="1" si="36">IF(BN32="","",ABS(BN32))</f>
        <v>5.7388506927414928E-3</v>
      </c>
      <c r="BO59" s="9">
        <f t="shared" ca="1" si="36"/>
        <v>3.3029603338046165E-3</v>
      </c>
      <c r="BP59" s="9">
        <f t="shared" ca="1" si="36"/>
        <v>4.3289008554173725E-3</v>
      </c>
      <c r="BQ59" s="9">
        <f t="shared" ca="1" si="36"/>
        <v>5.7127299684598398E-3</v>
      </c>
      <c r="BR59" s="9">
        <f t="shared" ca="1" si="36"/>
        <v>2.573023916629058E-3</v>
      </c>
      <c r="BS59" s="9">
        <f t="shared" ca="1" si="36"/>
        <v>7.192342533686169E-4</v>
      </c>
      <c r="BT59" s="9">
        <f t="shared" ca="1" si="36"/>
        <v>3.6467968740241385E-3</v>
      </c>
      <c r="BU59" s="9">
        <f t="shared" ca="1" si="36"/>
        <v>3.3315183988266162E-3</v>
      </c>
      <c r="BV59" s="9">
        <f t="shared" ca="1" si="36"/>
        <v>1.4099100146380827E-3</v>
      </c>
      <c r="BW59" s="9">
        <f t="shared" ca="1" si="36"/>
        <v>2.1561076110059307E-3</v>
      </c>
      <c r="BX59" s="9">
        <f t="shared" ca="1" si="36"/>
        <v>4.3291893494835643E-3</v>
      </c>
      <c r="BY59" s="9">
        <f t="shared" ca="1" si="36"/>
        <v>3.7505699850126639E-3</v>
      </c>
      <c r="BZ59" s="9">
        <f t="shared" ca="1" si="36"/>
        <v>2.6676994942463894E-3</v>
      </c>
      <c r="CA59" s="9">
        <f t="shared" ca="1" si="36"/>
        <v>1.7745978828727083E-3</v>
      </c>
      <c r="CB59" s="9">
        <f t="shared" ca="1" si="36"/>
        <v>2.7778857182774175E-3</v>
      </c>
      <c r="CC59" s="9">
        <f t="shared" ca="1" si="36"/>
        <v>5.0555210891789493E-4</v>
      </c>
      <c r="CD59" s="9">
        <f t="shared" ca="1" si="36"/>
        <v>3.1040173727953091E-3</v>
      </c>
      <c r="CE59" s="9">
        <f t="shared" ca="1" si="36"/>
        <v>1.382616902928735E-3</v>
      </c>
      <c r="CF59" s="9">
        <f t="shared" ca="1" si="36"/>
        <v>2.7697265027637474E-4</v>
      </c>
      <c r="CG59" s="9">
        <f t="shared" ca="1" si="36"/>
        <v>8.5712176246799388E-4</v>
      </c>
      <c r="CH59" s="9">
        <f t="shared" ca="1" si="36"/>
        <v>1.6364466492235774E-3</v>
      </c>
      <c r="CI59" s="9">
        <f t="shared" ca="1" si="36"/>
        <v>1.2656949534853856E-3</v>
      </c>
      <c r="CJ59" s="9">
        <f t="shared" ca="1" si="36"/>
        <v>4.4909847488203702E-3</v>
      </c>
      <c r="CK59" s="9">
        <f t="shared" ca="1" si="36"/>
        <v>1.0857229744359875E-3</v>
      </c>
      <c r="CL59" s="9">
        <f t="shared" ca="1" si="36"/>
        <v>2.7091913590875372E-3</v>
      </c>
      <c r="CM59" s="9">
        <f t="shared" ca="1" si="36"/>
        <v>3.6644702109056571E-3</v>
      </c>
      <c r="CN59" s="9">
        <f t="shared" ca="1" si="36"/>
        <v>2.705380315455308E-4</v>
      </c>
      <c r="CO59" s="9">
        <f t="shared" ca="1" si="36"/>
        <v>8.5546888943133226E-5</v>
      </c>
      <c r="CP59" s="9">
        <f t="shared" ca="1" si="36"/>
        <v>1.0431376906838707E-4</v>
      </c>
      <c r="CQ59" s="9">
        <f t="shared" ca="1" si="36"/>
        <v>1.8566585910371192E-3</v>
      </c>
      <c r="CR59" s="9">
        <f t="shared" ca="1" si="36"/>
        <v>5.957527807732399E-3</v>
      </c>
      <c r="CS59" s="9">
        <f t="shared" ca="1" si="36"/>
        <v>8.1694518562991369E-4</v>
      </c>
      <c r="CT59" s="9">
        <f t="shared" ca="1" si="36"/>
        <v>1.0039289807757257E-3</v>
      </c>
      <c r="CU59" s="9">
        <f t="shared" ca="1" si="36"/>
        <v>6.2635841256066804E-3</v>
      </c>
      <c r="CV59" s="9">
        <f t="shared" ca="1" si="36"/>
        <v>1.1736889583988663E-3</v>
      </c>
      <c r="CW59" s="9">
        <f t="shared" ca="1" si="36"/>
        <v>6.8355786863938395E-4</v>
      </c>
      <c r="CX59" s="9">
        <f t="shared" ca="1" si="36"/>
        <v>2.05826994881253E-6</v>
      </c>
      <c r="CY59" s="9">
        <f t="shared" ca="1" si="36"/>
        <v>2.0560593634295632E-3</v>
      </c>
      <c r="CZ59" s="9">
        <f t="shared" ca="1" si="36"/>
        <v>2.5765735425764547E-3</v>
      </c>
      <c r="DA59" s="9">
        <f t="shared" ca="1" si="36"/>
        <v>2.8416141948033324E-3</v>
      </c>
      <c r="DB59" s="9">
        <f t="shared" ca="1" si="36"/>
        <v>9.3562555062287611E-4</v>
      </c>
      <c r="DC59" s="9">
        <f t="shared" ca="1" si="36"/>
        <v>1.4260071469321955E-3</v>
      </c>
      <c r="DD59" s="9">
        <f t="shared" ca="1" si="36"/>
        <v>2.5921440886089719E-5</v>
      </c>
      <c r="DE59" s="9">
        <f t="shared" ca="1" si="36"/>
        <v>8.8380301622215107E-4</v>
      </c>
      <c r="DF59" s="9">
        <f t="shared" ca="1" si="36"/>
        <v>2.126713479616793E-3</v>
      </c>
      <c r="DG59" s="9">
        <f t="shared" ca="1" si="36"/>
        <v>1.6850202143492421E-3</v>
      </c>
      <c r="DH59" s="9">
        <f t="shared" ca="1" si="36"/>
        <v>6.243807055944961E-3</v>
      </c>
      <c r="DI59" s="9">
        <f t="shared" ca="1" si="36"/>
        <v>7.4377430598564498E-3</v>
      </c>
      <c r="DJ59" s="9">
        <f t="shared" ca="1" si="36"/>
        <v>3.250639017096435E-3</v>
      </c>
      <c r="DK59" s="9">
        <f t="shared" ca="1" si="36"/>
        <v>3.0006090272949315E-4</v>
      </c>
      <c r="DL59" s="9">
        <f t="shared" ca="1" si="36"/>
        <v>2.8721952443391263E-3</v>
      </c>
      <c r="DM59" s="9">
        <f t="shared" ca="1" si="36"/>
        <v>3.0703508290217396E-3</v>
      </c>
      <c r="DN59" s="9">
        <f t="shared" ca="1" si="36"/>
        <v>6.5338511357703188E-3</v>
      </c>
      <c r="DO59" s="9">
        <f t="shared" ca="1" si="36"/>
        <v>6.5856032501153683E-3</v>
      </c>
      <c r="DP59" s="9">
        <f t="shared" ca="1" si="36"/>
        <v>3.7746490639822827E-3</v>
      </c>
      <c r="DQ59" s="9">
        <f t="shared" ca="1" si="36"/>
        <v>1.2510290431966276E-4</v>
      </c>
      <c r="DR59" s="9">
        <f t="shared" ca="1" si="36"/>
        <v>2.0430009235792301E-3</v>
      </c>
      <c r="DS59" s="9">
        <f t="shared" ca="1" si="36"/>
        <v>5.5120156684619337E-3</v>
      </c>
      <c r="DT59" s="9">
        <f t="shared" ca="1" si="36"/>
        <v>4.6247646738124537E-3</v>
      </c>
      <c r="DU59" s="9">
        <f t="shared" ca="1" si="36"/>
        <v>2.9929496889793406E-3</v>
      </c>
      <c r="DV59" s="9">
        <f t="shared" ca="1" si="36"/>
        <v>2.5155147517788023E-3</v>
      </c>
      <c r="DW59" s="9">
        <f t="shared" ca="1" si="36"/>
        <v>5.2533083066186315E-3</v>
      </c>
      <c r="DX59" s="9">
        <f t="shared" ca="1" si="36"/>
        <v>3.6206677142720523E-3</v>
      </c>
      <c r="DY59" s="9">
        <f t="shared" ca="1" si="36"/>
        <v>6.2005494847983122E-4</v>
      </c>
      <c r="DZ59" s="9">
        <f t="shared" ref="DZ59:GK59" ca="1" si="37">IF(DZ32="","",ABS(DZ32))</f>
        <v>2.4004180725422097E-3</v>
      </c>
      <c r="EA59" s="9">
        <f t="shared" ca="1" si="37"/>
        <v>1.6687965869482957E-3</v>
      </c>
      <c r="EB59" s="9">
        <f t="shared" ca="1" si="37"/>
        <v>2.4731833102515921E-3</v>
      </c>
      <c r="EC59" s="9">
        <f t="shared" ca="1" si="37"/>
        <v>4.2771185716339311E-4</v>
      </c>
      <c r="ED59" s="9">
        <f t="shared" ca="1" si="37"/>
        <v>8.4952375831415239E-4</v>
      </c>
      <c r="EE59" s="9">
        <f t="shared" ca="1" si="37"/>
        <v>3.7029736220215437E-3</v>
      </c>
      <c r="EF59" s="9">
        <f t="shared" ca="1" si="37"/>
        <v>2.7030429975968273E-3</v>
      </c>
      <c r="EG59" s="9">
        <f t="shared" ca="1" si="37"/>
        <v>1.2959777906140779E-4</v>
      </c>
      <c r="EH59" s="9">
        <f t="shared" ca="1" si="37"/>
        <v>3.763021524922916E-3</v>
      </c>
      <c r="EI59" s="9">
        <f t="shared" ca="1" si="37"/>
        <v>5.0528043287252355E-3</v>
      </c>
      <c r="EJ59" s="9">
        <f t="shared" ca="1" si="37"/>
        <v>5.0224462194059516E-3</v>
      </c>
      <c r="EK59" s="9">
        <f t="shared" ca="1" si="37"/>
        <v>6.0462102605307599E-4</v>
      </c>
      <c r="EL59" s="9">
        <f t="shared" ca="1" si="37"/>
        <v>1.6252241496471642E-3</v>
      </c>
      <c r="EM59" s="9">
        <f t="shared" ca="1" si="37"/>
        <v>9.0293493250392931E-4</v>
      </c>
      <c r="EN59" s="9">
        <f t="shared" ca="1" si="37"/>
        <v>5.1313329660196416E-4</v>
      </c>
      <c r="EO59" s="9">
        <f t="shared" ca="1" si="37"/>
        <v>1.6696576217916093E-3</v>
      </c>
      <c r="EP59" s="9">
        <f t="shared" ca="1" si="37"/>
        <v>5.3762599799433985E-4</v>
      </c>
      <c r="EQ59" s="9">
        <f t="shared" ca="1" si="37"/>
        <v>5.7326365284053882E-3</v>
      </c>
      <c r="ER59" s="9">
        <f t="shared" ca="1" si="37"/>
        <v>2.704815184044751E-4</v>
      </c>
      <c r="ES59" s="9">
        <f t="shared" ca="1" si="37"/>
        <v>2.2061468078637958E-3</v>
      </c>
      <c r="ET59" s="9">
        <f t="shared" ca="1" si="37"/>
        <v>5.6567127042406185E-4</v>
      </c>
      <c r="EU59" s="9">
        <f t="shared" ca="1" si="37"/>
        <v>2.3732469453281446E-3</v>
      </c>
      <c r="EV59" s="9">
        <f t="shared" ca="1" si="37"/>
        <v>2.4451407053445173E-3</v>
      </c>
      <c r="EW59" s="9">
        <f t="shared" ca="1" si="37"/>
        <v>1.5757400261011689E-3</v>
      </c>
      <c r="EX59" s="9">
        <f t="shared" ca="1" si="37"/>
        <v>1.8134767340478586E-3</v>
      </c>
      <c r="EY59" s="9">
        <f t="shared" ca="1" si="37"/>
        <v>1.0668091982038996E-3</v>
      </c>
      <c r="EZ59" s="9">
        <f t="shared" ca="1" si="37"/>
        <v>2.1213883305450931E-3</v>
      </c>
      <c r="FA59" s="9">
        <f t="shared" ca="1" si="37"/>
        <v>8.4704984379957438E-5</v>
      </c>
      <c r="FB59" s="9">
        <f t="shared" ca="1" si="37"/>
        <v>1.4531504384270866E-3</v>
      </c>
      <c r="FC59" s="9">
        <f t="shared" ca="1" si="37"/>
        <v>4.8465430853829039E-3</v>
      </c>
      <c r="FD59" s="9">
        <f t="shared" ca="1" si="37"/>
        <v>3.8692458577727074E-4</v>
      </c>
      <c r="FE59" s="9">
        <f t="shared" ca="1" si="37"/>
        <v>3.4682968082844212E-5</v>
      </c>
      <c r="FF59" s="9">
        <f t="shared" ca="1" si="37"/>
        <v>3.213093784862231E-3</v>
      </c>
      <c r="FG59" s="9">
        <f t="shared" ca="1" si="37"/>
        <v>5.1861334576486229E-3</v>
      </c>
      <c r="FH59" s="9">
        <f t="shared" ca="1" si="37"/>
        <v>2.3995199056907612E-3</v>
      </c>
      <c r="FI59" s="9">
        <f t="shared" ca="1" si="37"/>
        <v>2.8794472613431488E-3</v>
      </c>
      <c r="FJ59" s="9">
        <f t="shared" ca="1" si="37"/>
        <v>2.0083189335788898E-3</v>
      </c>
      <c r="FK59" s="9">
        <f t="shared" ca="1" si="37"/>
        <v>3.607231204666661E-3</v>
      </c>
      <c r="FL59" s="9">
        <f t="shared" ca="1" si="37"/>
        <v>2.660139194659461E-3</v>
      </c>
      <c r="FM59" s="9">
        <f t="shared" ca="1" si="37"/>
        <v>6.4003776780899857E-3</v>
      </c>
      <c r="FN59" s="9">
        <f t="shared" ca="1" si="37"/>
        <v>1.2531975777330673E-2</v>
      </c>
      <c r="FO59" s="9">
        <f t="shared" ca="1" si="37"/>
        <v>1.0890048093107896E-2</v>
      </c>
      <c r="FP59" s="9">
        <f t="shared" ca="1" si="37"/>
        <v>7.9743121555975183E-4</v>
      </c>
      <c r="FQ59" s="9">
        <f t="shared" ca="1" si="37"/>
        <v>3.9581179303156411E-3</v>
      </c>
      <c r="FR59" s="9">
        <f t="shared" ca="1" si="37"/>
        <v>1.5982865133956636E-3</v>
      </c>
      <c r="FS59" s="9">
        <f t="shared" ca="1" si="37"/>
        <v>2.5431004546088154E-3</v>
      </c>
      <c r="FT59" s="9">
        <f t="shared" ca="1" si="37"/>
        <v>2.1995798878697848E-3</v>
      </c>
      <c r="FU59" s="9">
        <f t="shared" ca="1" si="37"/>
        <v>3.4541277450261809E-4</v>
      </c>
      <c r="FV59" s="9">
        <f t="shared" ca="1" si="37"/>
        <v>2.8831466188586896E-3</v>
      </c>
      <c r="FW59" s="9">
        <f t="shared" ca="1" si="37"/>
        <v>9.0975169411844359E-4</v>
      </c>
      <c r="FX59" s="9">
        <f t="shared" ca="1" si="37"/>
        <v>3.4272997213928846E-3</v>
      </c>
      <c r="FY59" s="9">
        <f t="shared" ca="1" si="37"/>
        <v>2.3135323559302368E-3</v>
      </c>
      <c r="FZ59" s="9">
        <f t="shared" ca="1" si="37"/>
        <v>5.6980974702949272E-3</v>
      </c>
      <c r="GA59" s="9">
        <f t="shared" ca="1" si="37"/>
        <v>2.1899791314723416E-3</v>
      </c>
      <c r="GB59" s="9">
        <f t="shared" ca="1" si="37"/>
        <v>1.0164106943657547E-3</v>
      </c>
      <c r="GC59" s="9">
        <f t="shared" ca="1" si="37"/>
        <v>1.533974115308645E-4</v>
      </c>
      <c r="GD59" s="9">
        <f t="shared" ca="1" si="37"/>
        <v>9.5169563038033367E-4</v>
      </c>
      <c r="GE59" s="9">
        <f t="shared" ca="1" si="37"/>
        <v>8.5421686511710782E-5</v>
      </c>
      <c r="GF59" s="9">
        <f t="shared" ca="1" si="37"/>
        <v>1.1878914223015791E-3</v>
      </c>
      <c r="GG59" s="9">
        <f t="shared" ca="1" si="37"/>
        <v>2.0574549661424024E-3</v>
      </c>
      <c r="GH59" s="9">
        <f t="shared" ca="1" si="37"/>
        <v>3.7974370668111268E-3</v>
      </c>
      <c r="GI59" s="9">
        <f t="shared" ca="1" si="37"/>
        <v>7.6352669638635184E-4</v>
      </c>
      <c r="GJ59" s="9">
        <f t="shared" ca="1" si="37"/>
        <v>1.0785016460512775E-3</v>
      </c>
      <c r="GK59" s="9">
        <f t="shared" ca="1" si="37"/>
        <v>9.2403473090074684E-4</v>
      </c>
      <c r="GL59" s="9">
        <f t="shared" ref="GL59:IW59" ca="1" si="38">IF(GL32="","",ABS(GL32))</f>
        <v>5.81515868822291E-3</v>
      </c>
      <c r="GM59" s="9">
        <f t="shared" ca="1" si="38"/>
        <v>2.2772780903473233E-2</v>
      </c>
      <c r="GN59" s="9">
        <f t="shared" ca="1" si="38"/>
        <v>2.4393107345769716E-2</v>
      </c>
      <c r="GO59" s="9">
        <f t="shared" ca="1" si="38"/>
        <v>9.8728950966062712E-3</v>
      </c>
      <c r="GP59" s="9">
        <f t="shared" ca="1" si="38"/>
        <v>1.7754271272637179E-2</v>
      </c>
      <c r="GQ59" s="9">
        <f t="shared" ca="1" si="38"/>
        <v>2.149189870251178E-2</v>
      </c>
      <c r="GR59" s="9">
        <f t="shared" ca="1" si="38"/>
        <v>1.341407398651584E-2</v>
      </c>
      <c r="GS59" s="9">
        <f t="shared" ca="1" si="38"/>
        <v>4.2454894920129771E-3</v>
      </c>
      <c r="GT59" s="9">
        <f t="shared" ca="1" si="38"/>
        <v>5.6014201638305838E-3</v>
      </c>
      <c r="GU59" s="9">
        <f t="shared" ca="1" si="38"/>
        <v>2.57032796416512E-3</v>
      </c>
      <c r="GV59" s="9">
        <f t="shared" ca="1" si="38"/>
        <v>3.6670206433675467E-3</v>
      </c>
      <c r="GW59" s="9" t="str">
        <f t="shared" ca="1" si="38"/>
        <v/>
      </c>
      <c r="GX59" s="9" t="str">
        <f t="shared" ca="1" si="38"/>
        <v/>
      </c>
      <c r="GY59" s="9" t="str">
        <f t="shared" ca="1" si="38"/>
        <v/>
      </c>
      <c r="GZ59" s="9" t="str">
        <f t="shared" ca="1" si="38"/>
        <v/>
      </c>
      <c r="HA59" s="9" t="str">
        <f t="shared" ca="1" si="38"/>
        <v/>
      </c>
      <c r="HB59" s="9" t="str">
        <f t="shared" ca="1" si="38"/>
        <v/>
      </c>
      <c r="HC59" s="9" t="str">
        <f t="shared" ca="1" si="38"/>
        <v/>
      </c>
      <c r="HD59" s="9" t="str">
        <f t="shared" ca="1" si="38"/>
        <v/>
      </c>
      <c r="HE59" s="9" t="str">
        <f t="shared" ca="1" si="38"/>
        <v/>
      </c>
      <c r="HF59" s="9" t="str">
        <f t="shared" ca="1" si="38"/>
        <v/>
      </c>
      <c r="HG59" s="9" t="str">
        <f t="shared" ca="1" si="38"/>
        <v/>
      </c>
      <c r="HH59" s="9" t="str">
        <f t="shared" ca="1" si="38"/>
        <v/>
      </c>
      <c r="HI59" s="9" t="str">
        <f t="shared" ca="1" si="38"/>
        <v/>
      </c>
      <c r="HJ59" s="9" t="str">
        <f t="shared" ca="1" si="38"/>
        <v/>
      </c>
      <c r="HK59" s="9" t="str">
        <f t="shared" ca="1" si="38"/>
        <v/>
      </c>
      <c r="HL59" s="9" t="str">
        <f t="shared" ca="1" si="38"/>
        <v/>
      </c>
      <c r="HM59" s="9" t="str">
        <f t="shared" ca="1" si="38"/>
        <v/>
      </c>
      <c r="HN59" s="9" t="str">
        <f t="shared" ca="1" si="38"/>
        <v/>
      </c>
      <c r="HO59" s="9" t="str">
        <f t="shared" ca="1" si="38"/>
        <v/>
      </c>
      <c r="HP59" s="9" t="str">
        <f t="shared" ca="1" si="38"/>
        <v/>
      </c>
      <c r="HQ59" s="9" t="str">
        <f t="shared" ca="1" si="38"/>
        <v/>
      </c>
      <c r="HR59" s="9" t="str">
        <f t="shared" ca="1" si="38"/>
        <v/>
      </c>
      <c r="HS59" s="9" t="str">
        <f t="shared" ca="1" si="38"/>
        <v/>
      </c>
      <c r="HT59" s="9" t="str">
        <f t="shared" ca="1" si="38"/>
        <v/>
      </c>
      <c r="HU59" s="9" t="str">
        <f t="shared" ca="1" si="38"/>
        <v/>
      </c>
      <c r="HV59" s="9" t="str">
        <f t="shared" ca="1" si="38"/>
        <v/>
      </c>
      <c r="HW59" s="9" t="str">
        <f t="shared" ca="1" si="38"/>
        <v/>
      </c>
      <c r="HX59" s="9" t="str">
        <f t="shared" ca="1" si="38"/>
        <v/>
      </c>
      <c r="HY59" s="9" t="str">
        <f t="shared" ca="1" si="38"/>
        <v/>
      </c>
      <c r="HZ59" s="9" t="str">
        <f t="shared" ca="1" si="38"/>
        <v/>
      </c>
      <c r="IA59" s="9" t="str">
        <f t="shared" ca="1" si="38"/>
        <v/>
      </c>
      <c r="IB59" s="9" t="str">
        <f t="shared" ca="1" si="38"/>
        <v/>
      </c>
      <c r="IC59" s="9" t="str">
        <f t="shared" ca="1" si="38"/>
        <v/>
      </c>
      <c r="ID59" s="9" t="str">
        <f t="shared" ca="1" si="38"/>
        <v/>
      </c>
      <c r="IE59" s="9" t="str">
        <f t="shared" ca="1" si="38"/>
        <v/>
      </c>
      <c r="IF59" s="9" t="str">
        <f t="shared" ca="1" si="38"/>
        <v/>
      </c>
      <c r="IG59" s="9" t="str">
        <f t="shared" ca="1" si="38"/>
        <v/>
      </c>
      <c r="IH59" s="9" t="str">
        <f t="shared" ca="1" si="38"/>
        <v/>
      </c>
      <c r="II59" s="9" t="str">
        <f t="shared" ca="1" si="38"/>
        <v/>
      </c>
      <c r="IJ59" s="9" t="str">
        <f t="shared" ca="1" si="38"/>
        <v/>
      </c>
      <c r="IK59" s="9" t="str">
        <f t="shared" ca="1" si="38"/>
        <v/>
      </c>
      <c r="IL59" s="9" t="str">
        <f t="shared" ca="1" si="38"/>
        <v/>
      </c>
      <c r="IM59" s="9" t="str">
        <f t="shared" ca="1" si="38"/>
        <v/>
      </c>
      <c r="IN59" s="9" t="str">
        <f t="shared" ca="1" si="38"/>
        <v/>
      </c>
      <c r="IO59" s="9" t="str">
        <f t="shared" ca="1" si="38"/>
        <v/>
      </c>
      <c r="IP59" s="9" t="str">
        <f t="shared" ca="1" si="38"/>
        <v/>
      </c>
      <c r="IQ59" s="9" t="str">
        <f t="shared" ca="1" si="38"/>
        <v/>
      </c>
      <c r="IR59" s="9" t="str">
        <f t="shared" ca="1" si="38"/>
        <v/>
      </c>
      <c r="IS59" s="9" t="str">
        <f t="shared" ca="1" si="38"/>
        <v/>
      </c>
      <c r="IT59" s="9" t="str">
        <f t="shared" ca="1" si="38"/>
        <v/>
      </c>
      <c r="IU59" s="9" t="str">
        <f t="shared" ca="1" si="38"/>
        <v/>
      </c>
      <c r="IV59" s="9" t="str">
        <f t="shared" ca="1" si="38"/>
        <v/>
      </c>
      <c r="IW59" s="9" t="str">
        <f t="shared" ca="1" si="38"/>
        <v/>
      </c>
      <c r="IX59" s="9" t="str">
        <f t="shared" ref="IX59:JH59" ca="1" si="39">IF(IX32="","",ABS(IX32))</f>
        <v/>
      </c>
      <c r="IY59" s="9" t="str">
        <f t="shared" ca="1" si="39"/>
        <v/>
      </c>
      <c r="IZ59" s="9" t="str">
        <f t="shared" ca="1" si="39"/>
        <v/>
      </c>
      <c r="JA59" s="9" t="str">
        <f t="shared" ca="1" si="39"/>
        <v/>
      </c>
      <c r="JB59" s="9" t="str">
        <f t="shared" ca="1" si="39"/>
        <v/>
      </c>
      <c r="JC59" s="9" t="str">
        <f t="shared" ca="1" si="39"/>
        <v/>
      </c>
      <c r="JD59" s="9" t="str">
        <f t="shared" ca="1" si="39"/>
        <v/>
      </c>
      <c r="JE59" s="9" t="str">
        <f t="shared" ca="1" si="39"/>
        <v/>
      </c>
      <c r="JF59" s="9" t="str">
        <f t="shared" ca="1" si="39"/>
        <v/>
      </c>
      <c r="JG59" s="9" t="str">
        <f t="shared" ca="1" si="39"/>
        <v/>
      </c>
      <c r="JH59" s="9" t="str">
        <f t="shared" ca="1" si="39"/>
        <v/>
      </c>
      <c r="JI59" s="13">
        <f t="shared" ca="1" si="24"/>
        <v>5.3650162738517297E-3</v>
      </c>
      <c r="JJ59" s="13">
        <f t="shared" ca="1" si="25"/>
        <v>2.5567142093869677E-3</v>
      </c>
      <c r="JK59" s="14">
        <f t="shared" ca="1" si="26"/>
        <v>4.5879226502365121E-5</v>
      </c>
      <c r="JL59" s="17">
        <f t="shared" ca="1" si="34"/>
        <v>6.7734205909839324E-3</v>
      </c>
      <c r="JM59" s="15" t="str">
        <f t="shared" ca="1" si="27"/>
        <v>[ -0,82% ; 1,89% ]</v>
      </c>
      <c r="JN59" s="17">
        <f t="shared" ca="1" si="28"/>
        <v>8.6699783564594332E-3</v>
      </c>
      <c r="LY59" s="1"/>
    </row>
    <row r="60" spans="1:337" x14ac:dyDescent="0.25">
      <c r="A60" s="4">
        <v>4</v>
      </c>
      <c r="B60" s="9">
        <f t="shared" ref="B60:BM60" ca="1" si="40">IF(B33="","",ABS(B33))</f>
        <v>3.4916512991749471E-3</v>
      </c>
      <c r="C60" s="9">
        <f t="shared" ca="1" si="40"/>
        <v>5.7790867670393098E-4</v>
      </c>
      <c r="D60" s="9">
        <f t="shared" ca="1" si="40"/>
        <v>7.8930479378946927E-4</v>
      </c>
      <c r="E60" s="9">
        <f t="shared" ca="1" si="40"/>
        <v>2.6166517416004176E-3</v>
      </c>
      <c r="F60" s="9">
        <f t="shared" ca="1" si="40"/>
        <v>3.1619359611336773E-3</v>
      </c>
      <c r="G60" s="9">
        <f t="shared" ca="1" si="40"/>
        <v>2.0655505129125729E-3</v>
      </c>
      <c r="H60" s="9">
        <f t="shared" ca="1" si="40"/>
        <v>2.2684650445952137E-3</v>
      </c>
      <c r="I60" s="9">
        <f t="shared" ca="1" si="40"/>
        <v>1.0046787068000995E-3</v>
      </c>
      <c r="J60" s="9">
        <f t="shared" ca="1" si="40"/>
        <v>1.0554586667231858E-3</v>
      </c>
      <c r="K60" s="9">
        <f t="shared" ca="1" si="40"/>
        <v>1.7465082935119725E-3</v>
      </c>
      <c r="L60" s="9">
        <f t="shared" ca="1" si="40"/>
        <v>1.1803113620308947E-3</v>
      </c>
      <c r="M60" s="9">
        <f t="shared" ca="1" si="40"/>
        <v>5.4242729973896786E-5</v>
      </c>
      <c r="N60" s="9">
        <f t="shared" ca="1" si="40"/>
        <v>3.0313049672177073E-3</v>
      </c>
      <c r="O60" s="9">
        <f t="shared" ca="1" si="40"/>
        <v>3.9763787184217136E-3</v>
      </c>
      <c r="P60" s="9">
        <f t="shared" ca="1" si="40"/>
        <v>2.1905478293395841E-3</v>
      </c>
      <c r="Q60" s="9">
        <f t="shared" ca="1" si="40"/>
        <v>2.1689590374045498E-3</v>
      </c>
      <c r="R60" s="9">
        <f t="shared" ca="1" si="40"/>
        <v>1.5665968951499298E-3</v>
      </c>
      <c r="S60" s="9">
        <f t="shared" ca="1" si="40"/>
        <v>1.0731742428229385E-3</v>
      </c>
      <c r="T60" s="9">
        <f t="shared" ca="1" si="40"/>
        <v>1.5242572451559244E-3</v>
      </c>
      <c r="U60" s="9">
        <f t="shared" ca="1" si="40"/>
        <v>3.846678016712346E-4</v>
      </c>
      <c r="V60" s="9">
        <f t="shared" ca="1" si="40"/>
        <v>1.6114194370140389E-3</v>
      </c>
      <c r="W60" s="9">
        <f t="shared" ca="1" si="40"/>
        <v>6.6389929698340566E-4</v>
      </c>
      <c r="X60" s="9">
        <f t="shared" ca="1" si="40"/>
        <v>9.4414831991107562E-4</v>
      </c>
      <c r="Y60" s="9">
        <f t="shared" ca="1" si="40"/>
        <v>7.3125587351796639E-4</v>
      </c>
      <c r="Z60" s="9">
        <f t="shared" ca="1" si="40"/>
        <v>1.4589399522904056E-3</v>
      </c>
      <c r="AA60" s="9">
        <f t="shared" ca="1" si="40"/>
        <v>6.2310047476965558E-4</v>
      </c>
      <c r="AB60" s="9">
        <f t="shared" ca="1" si="40"/>
        <v>1.321594652716529E-3</v>
      </c>
      <c r="AC60" s="9">
        <f t="shared" ca="1" si="40"/>
        <v>4.3749641401469308E-4</v>
      </c>
      <c r="AD60" s="9">
        <f t="shared" ca="1" si="40"/>
        <v>2.841062939118455E-4</v>
      </c>
      <c r="AE60" s="9">
        <f t="shared" ca="1" si="40"/>
        <v>1.1240017884892595E-3</v>
      </c>
      <c r="AF60" s="9">
        <f t="shared" ca="1" si="40"/>
        <v>7.1056089732823846E-4</v>
      </c>
      <c r="AG60" s="9">
        <f t="shared" ca="1" si="40"/>
        <v>1.9233898242797531E-3</v>
      </c>
      <c r="AH60" s="9">
        <f t="shared" ca="1" si="40"/>
        <v>3.7243686147169219E-3</v>
      </c>
      <c r="AI60" s="9">
        <f t="shared" ca="1" si="40"/>
        <v>2.8705589181736713E-3</v>
      </c>
      <c r="AJ60" s="9">
        <f t="shared" ca="1" si="40"/>
        <v>2.4843588093853564E-3</v>
      </c>
      <c r="AK60" s="9">
        <f t="shared" ca="1" si="40"/>
        <v>3.621568026769495E-3</v>
      </c>
      <c r="AL60" s="9">
        <f t="shared" ca="1" si="40"/>
        <v>3.1865371097207218E-3</v>
      </c>
      <c r="AM60" s="9">
        <f t="shared" ca="1" si="40"/>
        <v>2.0878218861569708E-3</v>
      </c>
      <c r="AN60" s="9">
        <f t="shared" ca="1" si="40"/>
        <v>1.4687573969508483E-3</v>
      </c>
      <c r="AO60" s="9">
        <f t="shared" ca="1" si="40"/>
        <v>4.3450792432753182E-4</v>
      </c>
      <c r="AP60" s="9">
        <f t="shared" ca="1" si="40"/>
        <v>5.8470072679672747E-5</v>
      </c>
      <c r="AQ60" s="9">
        <f t="shared" ca="1" si="40"/>
        <v>1.9913669851490123E-4</v>
      </c>
      <c r="AR60" s="9">
        <f t="shared" ca="1" si="40"/>
        <v>4.3268965418463701E-4</v>
      </c>
      <c r="AS60" s="9">
        <f t="shared" ca="1" si="40"/>
        <v>1.8589931209254118E-3</v>
      </c>
      <c r="AT60" s="9">
        <f t="shared" ca="1" si="40"/>
        <v>9.5869361116607266E-5</v>
      </c>
      <c r="AU60" s="9">
        <f t="shared" ca="1" si="40"/>
        <v>3.4954692175039881E-3</v>
      </c>
      <c r="AV60" s="9">
        <f t="shared" ca="1" si="40"/>
        <v>6.26694067794209E-3</v>
      </c>
      <c r="AW60" s="9">
        <f t="shared" ca="1" si="40"/>
        <v>6.7477995659115386E-3</v>
      </c>
      <c r="AX60" s="9">
        <f t="shared" ca="1" si="40"/>
        <v>8.5330098558320522E-3</v>
      </c>
      <c r="AY60" s="9">
        <f t="shared" ca="1" si="40"/>
        <v>1.1801037554352689E-2</v>
      </c>
      <c r="AZ60" s="9">
        <f t="shared" ca="1" si="40"/>
        <v>1.347166441365566E-2</v>
      </c>
      <c r="BA60" s="9">
        <f t="shared" ca="1" si="40"/>
        <v>1.2156673677180541E-2</v>
      </c>
      <c r="BB60" s="9">
        <f t="shared" ca="1" si="40"/>
        <v>9.871415530073202E-3</v>
      </c>
      <c r="BC60" s="9">
        <f t="shared" ca="1" si="40"/>
        <v>7.3639498687216864E-4</v>
      </c>
      <c r="BD60" s="9">
        <f t="shared" ca="1" si="40"/>
        <v>5.3252339343543564E-3</v>
      </c>
      <c r="BE60" s="9">
        <f t="shared" ca="1" si="40"/>
        <v>5.2832908072208973E-3</v>
      </c>
      <c r="BF60" s="9">
        <f t="shared" ca="1" si="40"/>
        <v>4.4876838672862629E-3</v>
      </c>
      <c r="BG60" s="9">
        <f t="shared" ca="1" si="40"/>
        <v>1.2295316558172509E-2</v>
      </c>
      <c r="BH60" s="9">
        <f t="shared" ca="1" si="40"/>
        <v>1.2143382853304185E-2</v>
      </c>
      <c r="BI60" s="9">
        <f t="shared" ca="1" si="40"/>
        <v>1.0534234551719424E-2</v>
      </c>
      <c r="BJ60" s="9">
        <f t="shared" ca="1" si="40"/>
        <v>1.1390063126445638E-2</v>
      </c>
      <c r="BK60" s="9">
        <f t="shared" ca="1" si="40"/>
        <v>1.6829716176044451E-3</v>
      </c>
      <c r="BL60" s="9">
        <f t="shared" ca="1" si="40"/>
        <v>1.1518035666355342E-2</v>
      </c>
      <c r="BM60" s="9">
        <f t="shared" ca="1" si="40"/>
        <v>1.1611531832157018E-2</v>
      </c>
      <c r="BN60" s="9">
        <f t="shared" ref="BN60:DY60" ca="1" si="41">IF(BN33="","",ABS(BN33))</f>
        <v>8.0470509395142997E-3</v>
      </c>
      <c r="BO60" s="9">
        <f t="shared" ca="1" si="41"/>
        <v>7.3088599843325053E-3</v>
      </c>
      <c r="BP60" s="9">
        <f t="shared" ca="1" si="41"/>
        <v>5.7763593743703767E-3</v>
      </c>
      <c r="BQ60" s="9">
        <f t="shared" ca="1" si="41"/>
        <v>7.843849551884885E-3</v>
      </c>
      <c r="BR60" s="9">
        <f t="shared" ca="1" si="41"/>
        <v>4.3873647365819668E-3</v>
      </c>
      <c r="BS60" s="9">
        <f t="shared" ca="1" si="41"/>
        <v>3.3043702156221322E-4</v>
      </c>
      <c r="BT60" s="9">
        <f t="shared" ca="1" si="41"/>
        <v>3.4795249227279612E-3</v>
      </c>
      <c r="BU60" s="9">
        <f t="shared" ca="1" si="41"/>
        <v>4.4845391041233862E-3</v>
      </c>
      <c r="BV60" s="9">
        <f t="shared" ca="1" si="41"/>
        <v>2.8475946497483751E-3</v>
      </c>
      <c r="BW60" s="9">
        <f t="shared" ca="1" si="41"/>
        <v>1.6895550821067751E-3</v>
      </c>
      <c r="BX60" s="9">
        <f t="shared" ca="1" si="41"/>
        <v>5.9107462974320457E-3</v>
      </c>
      <c r="BY60" s="9">
        <f t="shared" ca="1" si="41"/>
        <v>4.3021766348320112E-3</v>
      </c>
      <c r="BZ60" s="9">
        <f t="shared" ca="1" si="41"/>
        <v>1.3317248469428833E-3</v>
      </c>
      <c r="CA60" s="9">
        <f t="shared" ca="1" si="41"/>
        <v>1.7569323986632579E-3</v>
      </c>
      <c r="CB60" s="9">
        <f t="shared" ca="1" si="41"/>
        <v>2.3036848427659962E-3</v>
      </c>
      <c r="CC60" s="9">
        <f t="shared" ca="1" si="41"/>
        <v>4.2811209857207544E-4</v>
      </c>
      <c r="CD60" s="9">
        <f t="shared" ca="1" si="41"/>
        <v>3.8179521465374622E-3</v>
      </c>
      <c r="CE60" s="9">
        <f t="shared" ca="1" si="41"/>
        <v>2.1673450990495891E-3</v>
      </c>
      <c r="CF60" s="9">
        <f t="shared" ca="1" si="41"/>
        <v>8.1829728595628204E-4</v>
      </c>
      <c r="CG60" s="9">
        <f t="shared" ca="1" si="41"/>
        <v>2.3482621099035761E-4</v>
      </c>
      <c r="CH60" s="9">
        <f t="shared" ca="1" si="41"/>
        <v>3.4031161236496299E-3</v>
      </c>
      <c r="CI60" s="9">
        <f t="shared" ca="1" si="41"/>
        <v>1.6763197430942345E-3</v>
      </c>
      <c r="CJ60" s="9">
        <f t="shared" ca="1" si="41"/>
        <v>4.6083715098600431E-3</v>
      </c>
      <c r="CK60" s="9">
        <f t="shared" ca="1" si="41"/>
        <v>8.4307352772583499E-4</v>
      </c>
      <c r="CL60" s="9">
        <f t="shared" ca="1" si="41"/>
        <v>4.9253079141891032E-3</v>
      </c>
      <c r="CM60" s="9">
        <f t="shared" ca="1" si="41"/>
        <v>4.3392095362024818E-3</v>
      </c>
      <c r="CN60" s="9">
        <f t="shared" ca="1" si="41"/>
        <v>4.4325367203179589E-4</v>
      </c>
      <c r="CO60" s="9">
        <f t="shared" ca="1" si="41"/>
        <v>6.4757279015603686E-4</v>
      </c>
      <c r="CP60" s="9">
        <f t="shared" ca="1" si="41"/>
        <v>1.4982811549435482E-4</v>
      </c>
      <c r="CQ60" s="9">
        <f t="shared" ca="1" si="41"/>
        <v>7.2985193411365668E-3</v>
      </c>
      <c r="CR60" s="9">
        <f t="shared" ca="1" si="41"/>
        <v>3.1142099429344317E-3</v>
      </c>
      <c r="CS60" s="9">
        <f t="shared" ca="1" si="41"/>
        <v>5.635040562435023E-4</v>
      </c>
      <c r="CT60" s="9">
        <f t="shared" ca="1" si="41"/>
        <v>5.3983228431309094E-4</v>
      </c>
      <c r="CU60" s="9">
        <f t="shared" ca="1" si="41"/>
        <v>8.4523791385227032E-3</v>
      </c>
      <c r="CV60" s="9">
        <f t="shared" ca="1" si="41"/>
        <v>1.7429390431639158E-3</v>
      </c>
      <c r="CW60" s="9">
        <f t="shared" ca="1" si="41"/>
        <v>1.133735611547837E-3</v>
      </c>
      <c r="CX60" s="9">
        <f t="shared" ca="1" si="41"/>
        <v>1.6683103369503627E-3</v>
      </c>
      <c r="CY60" s="9">
        <f t="shared" ca="1" si="41"/>
        <v>2.7471154473270865E-3</v>
      </c>
      <c r="CZ60" s="9">
        <f t="shared" ca="1" si="41"/>
        <v>3.1736681290535085E-3</v>
      </c>
      <c r="DA60" s="9">
        <f t="shared" ca="1" si="41"/>
        <v>4.0450064160240107E-3</v>
      </c>
      <c r="DB60" s="9">
        <f t="shared" ca="1" si="41"/>
        <v>2.6128054134879619E-3</v>
      </c>
      <c r="DC60" s="9">
        <f t="shared" ca="1" si="41"/>
        <v>1.8753945013242346E-3</v>
      </c>
      <c r="DD60" s="9">
        <f t="shared" ca="1" si="41"/>
        <v>6.9966273958077529E-4</v>
      </c>
      <c r="DE60" s="9">
        <f t="shared" ca="1" si="41"/>
        <v>2.460226011398392E-3</v>
      </c>
      <c r="DF60" s="9">
        <f t="shared" ca="1" si="41"/>
        <v>4.6097215881335529E-4</v>
      </c>
      <c r="DG60" s="9">
        <f t="shared" ca="1" si="41"/>
        <v>3.7785396742264776E-3</v>
      </c>
      <c r="DH60" s="9">
        <f t="shared" ca="1" si="41"/>
        <v>9.6989288336464252E-3</v>
      </c>
      <c r="DI60" s="9">
        <f t="shared" ca="1" si="41"/>
        <v>1.0369409853814071E-2</v>
      </c>
      <c r="DJ60" s="9">
        <f t="shared" ca="1" si="41"/>
        <v>1.6533986703126669E-3</v>
      </c>
      <c r="DK60" s="9">
        <f t="shared" ca="1" si="41"/>
        <v>2.9471548022519389E-4</v>
      </c>
      <c r="DL60" s="9">
        <f t="shared" ca="1" si="41"/>
        <v>2.549047469092347E-3</v>
      </c>
      <c r="DM60" s="9">
        <f t="shared" ca="1" si="41"/>
        <v>1.6752696445840876E-3</v>
      </c>
      <c r="DN60" s="9">
        <f t="shared" ca="1" si="41"/>
        <v>1.011477911512626E-2</v>
      </c>
      <c r="DO60" s="9">
        <f t="shared" ca="1" si="41"/>
        <v>6.6821692207670313E-3</v>
      </c>
      <c r="DP60" s="9">
        <f t="shared" ca="1" si="41"/>
        <v>5.7123453406365821E-3</v>
      </c>
      <c r="DQ60" s="9">
        <f t="shared" ca="1" si="41"/>
        <v>1.696722210732915E-3</v>
      </c>
      <c r="DR60" s="9">
        <f t="shared" ca="1" si="41"/>
        <v>6.6524813827562035E-4</v>
      </c>
      <c r="DS60" s="9">
        <f t="shared" ca="1" si="41"/>
        <v>7.7392282512487309E-3</v>
      </c>
      <c r="DT60" s="9">
        <f t="shared" ca="1" si="41"/>
        <v>5.4042326446391842E-3</v>
      </c>
      <c r="DU60" s="9">
        <f t="shared" ca="1" si="41"/>
        <v>2.1803413980412412E-3</v>
      </c>
      <c r="DV60" s="9">
        <f t="shared" ca="1" si="41"/>
        <v>5.514533968333124E-3</v>
      </c>
      <c r="DW60" s="9">
        <f t="shared" ca="1" si="41"/>
        <v>6.7007673218069108E-3</v>
      </c>
      <c r="DX60" s="9">
        <f t="shared" ca="1" si="41"/>
        <v>3.7945318903676029E-3</v>
      </c>
      <c r="DY60" s="9">
        <f t="shared" ca="1" si="41"/>
        <v>1.5514938350795759E-3</v>
      </c>
      <c r="DZ60" s="9">
        <f t="shared" ref="DZ60:GK60" ca="1" si="42">IF(DZ33="","",ABS(DZ33))</f>
        <v>3.5832483306659224E-3</v>
      </c>
      <c r="EA60" s="9">
        <f t="shared" ca="1" si="42"/>
        <v>8.5817206414429137E-5</v>
      </c>
      <c r="EB60" s="9">
        <f t="shared" ca="1" si="42"/>
        <v>2.9253399763951027E-3</v>
      </c>
      <c r="EC60" s="9">
        <f t="shared" ca="1" si="42"/>
        <v>9.7181353748687638E-4</v>
      </c>
      <c r="ED60" s="9">
        <f t="shared" ca="1" si="42"/>
        <v>5.09370636792017E-6</v>
      </c>
      <c r="EE60" s="9">
        <f t="shared" ca="1" si="42"/>
        <v>4.5079670665423288E-3</v>
      </c>
      <c r="EF60" s="9">
        <f t="shared" ca="1" si="42"/>
        <v>2.6258452105941688E-3</v>
      </c>
      <c r="EG60" s="9">
        <f t="shared" ca="1" si="42"/>
        <v>2.7393026226165684E-3</v>
      </c>
      <c r="EH60" s="9">
        <f t="shared" ca="1" si="42"/>
        <v>6.2676993203443221E-3</v>
      </c>
      <c r="EI60" s="9">
        <f t="shared" ca="1" si="42"/>
        <v>5.891218241447671E-3</v>
      </c>
      <c r="EJ60" s="9">
        <f t="shared" ca="1" si="42"/>
        <v>5.9583444011608311E-3</v>
      </c>
      <c r="EK60" s="9">
        <f t="shared" ca="1" si="42"/>
        <v>4.8117816293968829E-4</v>
      </c>
      <c r="EL60" s="9">
        <f t="shared" ca="1" si="42"/>
        <v>1.7866237550421271E-3</v>
      </c>
      <c r="EM60" s="9">
        <f t="shared" ca="1" si="42"/>
        <v>1.0786439647074708E-3</v>
      </c>
      <c r="EN60" s="9">
        <f t="shared" ca="1" si="42"/>
        <v>1.0953334845423823E-3</v>
      </c>
      <c r="EO60" s="9">
        <f t="shared" ca="1" si="42"/>
        <v>4.6067425138973661E-4</v>
      </c>
      <c r="EP60" s="9">
        <f t="shared" ca="1" si="42"/>
        <v>9.2580838017597422E-4</v>
      </c>
      <c r="EQ60" s="9">
        <f t="shared" ca="1" si="42"/>
        <v>6.9177746018422859E-3</v>
      </c>
      <c r="ER60" s="9">
        <f t="shared" ca="1" si="42"/>
        <v>2.6788154936063791E-4</v>
      </c>
      <c r="ES60" s="9">
        <f t="shared" ca="1" si="42"/>
        <v>3.8785926257127734E-3</v>
      </c>
      <c r="ET60" s="9">
        <f t="shared" ca="1" si="42"/>
        <v>2.5421473885809398E-3</v>
      </c>
      <c r="EU60" s="9">
        <f t="shared" ca="1" si="42"/>
        <v>2.6222864313225624E-3</v>
      </c>
      <c r="EV60" s="9">
        <f t="shared" ca="1" si="42"/>
        <v>1.9316758701339865E-3</v>
      </c>
      <c r="EW60" s="9">
        <f t="shared" ca="1" si="42"/>
        <v>2.5259627382657746E-3</v>
      </c>
      <c r="EX60" s="9">
        <f t="shared" ca="1" si="42"/>
        <v>1.989147464515395E-3</v>
      </c>
      <c r="EY60" s="9">
        <f t="shared" ca="1" si="42"/>
        <v>1.4213751782010675E-5</v>
      </c>
      <c r="EZ60" s="9">
        <f t="shared" ca="1" si="42"/>
        <v>8.3746293562425578E-4</v>
      </c>
      <c r="FA60" s="9">
        <f t="shared" ca="1" si="42"/>
        <v>7.2640271899160336E-4</v>
      </c>
      <c r="FB60" s="9">
        <f t="shared" ca="1" si="42"/>
        <v>2.8624584562718658E-3</v>
      </c>
      <c r="FC60" s="9">
        <f t="shared" ca="1" si="42"/>
        <v>5.9954850333605592E-3</v>
      </c>
      <c r="FD60" s="9">
        <f t="shared" ca="1" si="42"/>
        <v>5.4660462426614487E-4</v>
      </c>
      <c r="FE60" s="9">
        <f t="shared" ca="1" si="42"/>
        <v>1.4544383753678503E-3</v>
      </c>
      <c r="FF60" s="9">
        <f t="shared" ca="1" si="42"/>
        <v>5.1984625072956092E-3</v>
      </c>
      <c r="FG60" s="9">
        <f t="shared" ca="1" si="42"/>
        <v>4.5999414366335589E-3</v>
      </c>
      <c r="FH60" s="9">
        <f t="shared" ca="1" si="42"/>
        <v>2.0237678741070741E-3</v>
      </c>
      <c r="FI60" s="9">
        <f t="shared" ca="1" si="42"/>
        <v>2.1495306850649598E-3</v>
      </c>
      <c r="FJ60" s="9">
        <f t="shared" ca="1" si="42"/>
        <v>7.5831971610518245E-4</v>
      </c>
      <c r="FK60" s="9">
        <f t="shared" ca="1" si="42"/>
        <v>3.1169795877659112E-3</v>
      </c>
      <c r="FL60" s="9">
        <f t="shared" ca="1" si="42"/>
        <v>1.4413710420223547E-3</v>
      </c>
      <c r="FM60" s="9">
        <f t="shared" ca="1" si="42"/>
        <v>9.2535520169175767E-3</v>
      </c>
      <c r="FN60" s="9">
        <f t="shared" ca="1" si="42"/>
        <v>1.4166980958893904E-2</v>
      </c>
      <c r="FO60" s="9">
        <f t="shared" ca="1" si="42"/>
        <v>1.2348923028886905E-2</v>
      </c>
      <c r="FP60" s="9">
        <f t="shared" ca="1" si="42"/>
        <v>4.2205768789016496E-4</v>
      </c>
      <c r="FQ60" s="9">
        <f t="shared" ca="1" si="42"/>
        <v>5.7238472557437081E-3</v>
      </c>
      <c r="FR60" s="9">
        <f t="shared" ca="1" si="42"/>
        <v>4.2922736439812148E-3</v>
      </c>
      <c r="FS60" s="9">
        <f t="shared" ca="1" si="42"/>
        <v>1.8920784166733817E-3</v>
      </c>
      <c r="FT60" s="9">
        <f t="shared" ca="1" si="42"/>
        <v>1.2399978508124132E-3</v>
      </c>
      <c r="FU60" s="9">
        <f t="shared" ca="1" si="42"/>
        <v>4.4068741564873282E-4</v>
      </c>
      <c r="FV60" s="9">
        <f t="shared" ca="1" si="42"/>
        <v>3.7402088514153498E-3</v>
      </c>
      <c r="FW60" s="9">
        <f t="shared" ca="1" si="42"/>
        <v>1.3889998841074558E-3</v>
      </c>
      <c r="FX60" s="9">
        <f t="shared" ca="1" si="42"/>
        <v>3.2438384106960871E-3</v>
      </c>
      <c r="FY60" s="9">
        <f t="shared" ca="1" si="42"/>
        <v>2.9737851598452547E-3</v>
      </c>
      <c r="FZ60" s="9">
        <f t="shared" ca="1" si="42"/>
        <v>7.0574612096903078E-3</v>
      </c>
      <c r="GA60" s="9">
        <f t="shared" ca="1" si="42"/>
        <v>2.6479808228931923E-3</v>
      </c>
      <c r="GB60" s="9">
        <f t="shared" ca="1" si="42"/>
        <v>8.0200031414778827E-4</v>
      </c>
      <c r="GC60" s="9">
        <f t="shared" ca="1" si="42"/>
        <v>9.8895205354554427E-4</v>
      </c>
      <c r="GD60" s="9">
        <f t="shared" ca="1" si="42"/>
        <v>3.4175382464418647E-4</v>
      </c>
      <c r="GE60" s="9">
        <f t="shared" ca="1" si="42"/>
        <v>1.4981910455558189E-3</v>
      </c>
      <c r="GF60" s="9">
        <f t="shared" ca="1" si="42"/>
        <v>2.8297631677339785E-3</v>
      </c>
      <c r="GG60" s="9">
        <f t="shared" ca="1" si="42"/>
        <v>2.7660563431405327E-3</v>
      </c>
      <c r="GH60" s="9">
        <f t="shared" ca="1" si="42"/>
        <v>4.6230673926825894E-3</v>
      </c>
      <c r="GI60" s="9">
        <f t="shared" ca="1" si="42"/>
        <v>4.1575027957019284E-4</v>
      </c>
      <c r="GJ60" s="9">
        <f t="shared" ca="1" si="42"/>
        <v>1.327950945882117E-3</v>
      </c>
      <c r="GK60" s="9">
        <f t="shared" ca="1" si="42"/>
        <v>7.1372417717150416E-3</v>
      </c>
      <c r="GL60" s="9">
        <f t="shared" ref="GL60:IW60" ca="1" si="43">IF(GL33="","",ABS(GL33))</f>
        <v>2.307465286657373E-2</v>
      </c>
      <c r="GM60" s="9">
        <f t="shared" ca="1" si="43"/>
        <v>2.3589858396952934E-2</v>
      </c>
      <c r="GN60" s="9">
        <f t="shared" ca="1" si="43"/>
        <v>1.9472604166288932E-2</v>
      </c>
      <c r="GO60" s="9">
        <f t="shared" ca="1" si="43"/>
        <v>2.713943929816276E-3</v>
      </c>
      <c r="GP60" s="9">
        <f t="shared" ca="1" si="43"/>
        <v>2.2586073085151703E-2</v>
      </c>
      <c r="GQ60" s="9">
        <f t="shared" ca="1" si="43"/>
        <v>2.313233058064379E-2</v>
      </c>
      <c r="GR60" s="9">
        <f t="shared" ca="1" si="43"/>
        <v>1.473665934671653E-2</v>
      </c>
      <c r="GS60" s="9">
        <f t="shared" ca="1" si="43"/>
        <v>4.141792533771671E-3</v>
      </c>
      <c r="GT60" s="9">
        <f t="shared" ca="1" si="43"/>
        <v>5.9481695192318274E-3</v>
      </c>
      <c r="GU60" s="9">
        <f t="shared" ca="1" si="43"/>
        <v>1.9570802637169926E-3</v>
      </c>
      <c r="GV60" s="9" t="str">
        <f t="shared" ca="1" si="43"/>
        <v/>
      </c>
      <c r="GW60" s="9" t="str">
        <f t="shared" ca="1" si="43"/>
        <v/>
      </c>
      <c r="GX60" s="9" t="str">
        <f t="shared" ca="1" si="43"/>
        <v/>
      </c>
      <c r="GY60" s="9" t="str">
        <f t="shared" ca="1" si="43"/>
        <v/>
      </c>
      <c r="GZ60" s="9" t="str">
        <f t="shared" ca="1" si="43"/>
        <v/>
      </c>
      <c r="HA60" s="9" t="str">
        <f t="shared" ca="1" si="43"/>
        <v/>
      </c>
      <c r="HB60" s="9" t="str">
        <f t="shared" ca="1" si="43"/>
        <v/>
      </c>
      <c r="HC60" s="9" t="str">
        <f t="shared" ca="1" si="43"/>
        <v/>
      </c>
      <c r="HD60" s="9" t="str">
        <f t="shared" ca="1" si="43"/>
        <v/>
      </c>
      <c r="HE60" s="9" t="str">
        <f t="shared" ca="1" si="43"/>
        <v/>
      </c>
      <c r="HF60" s="9" t="str">
        <f t="shared" ca="1" si="43"/>
        <v/>
      </c>
      <c r="HG60" s="9" t="str">
        <f t="shared" ca="1" si="43"/>
        <v/>
      </c>
      <c r="HH60" s="9" t="str">
        <f t="shared" ca="1" si="43"/>
        <v/>
      </c>
      <c r="HI60" s="9" t="str">
        <f t="shared" ca="1" si="43"/>
        <v/>
      </c>
      <c r="HJ60" s="9" t="str">
        <f t="shared" ca="1" si="43"/>
        <v/>
      </c>
      <c r="HK60" s="9" t="str">
        <f t="shared" ca="1" si="43"/>
        <v/>
      </c>
      <c r="HL60" s="9" t="str">
        <f t="shared" ca="1" si="43"/>
        <v/>
      </c>
      <c r="HM60" s="9" t="str">
        <f t="shared" ca="1" si="43"/>
        <v/>
      </c>
      <c r="HN60" s="9" t="str">
        <f t="shared" ca="1" si="43"/>
        <v/>
      </c>
      <c r="HO60" s="9" t="str">
        <f t="shared" ca="1" si="43"/>
        <v/>
      </c>
      <c r="HP60" s="9" t="str">
        <f t="shared" ca="1" si="43"/>
        <v/>
      </c>
      <c r="HQ60" s="9" t="str">
        <f t="shared" ca="1" si="43"/>
        <v/>
      </c>
      <c r="HR60" s="9" t="str">
        <f t="shared" ca="1" si="43"/>
        <v/>
      </c>
      <c r="HS60" s="9" t="str">
        <f t="shared" ca="1" si="43"/>
        <v/>
      </c>
      <c r="HT60" s="9" t="str">
        <f t="shared" ca="1" si="43"/>
        <v/>
      </c>
      <c r="HU60" s="9" t="str">
        <f t="shared" ca="1" si="43"/>
        <v/>
      </c>
      <c r="HV60" s="9" t="str">
        <f t="shared" ca="1" si="43"/>
        <v/>
      </c>
      <c r="HW60" s="9" t="str">
        <f t="shared" ca="1" si="43"/>
        <v/>
      </c>
      <c r="HX60" s="9" t="str">
        <f t="shared" ca="1" si="43"/>
        <v/>
      </c>
      <c r="HY60" s="9" t="str">
        <f t="shared" ca="1" si="43"/>
        <v/>
      </c>
      <c r="HZ60" s="9" t="str">
        <f t="shared" ca="1" si="43"/>
        <v/>
      </c>
      <c r="IA60" s="9" t="str">
        <f t="shared" ca="1" si="43"/>
        <v/>
      </c>
      <c r="IB60" s="9" t="str">
        <f t="shared" ca="1" si="43"/>
        <v/>
      </c>
      <c r="IC60" s="9" t="str">
        <f t="shared" ca="1" si="43"/>
        <v/>
      </c>
      <c r="ID60" s="9" t="str">
        <f t="shared" ca="1" si="43"/>
        <v/>
      </c>
      <c r="IE60" s="9" t="str">
        <f t="shared" ca="1" si="43"/>
        <v/>
      </c>
      <c r="IF60" s="9" t="str">
        <f t="shared" ca="1" si="43"/>
        <v/>
      </c>
      <c r="IG60" s="9" t="str">
        <f t="shared" ca="1" si="43"/>
        <v/>
      </c>
      <c r="IH60" s="9" t="str">
        <f t="shared" ca="1" si="43"/>
        <v/>
      </c>
      <c r="II60" s="9" t="str">
        <f t="shared" ca="1" si="43"/>
        <v/>
      </c>
      <c r="IJ60" s="9" t="str">
        <f t="shared" ca="1" si="43"/>
        <v/>
      </c>
      <c r="IK60" s="9" t="str">
        <f t="shared" ca="1" si="43"/>
        <v/>
      </c>
      <c r="IL60" s="9" t="str">
        <f t="shared" ca="1" si="43"/>
        <v/>
      </c>
      <c r="IM60" s="9" t="str">
        <f t="shared" ca="1" si="43"/>
        <v/>
      </c>
      <c r="IN60" s="9" t="str">
        <f t="shared" ca="1" si="43"/>
        <v/>
      </c>
      <c r="IO60" s="9" t="str">
        <f t="shared" ca="1" si="43"/>
        <v/>
      </c>
      <c r="IP60" s="9" t="str">
        <f t="shared" ca="1" si="43"/>
        <v/>
      </c>
      <c r="IQ60" s="9" t="str">
        <f t="shared" ca="1" si="43"/>
        <v/>
      </c>
      <c r="IR60" s="9" t="str">
        <f t="shared" ca="1" si="43"/>
        <v/>
      </c>
      <c r="IS60" s="9" t="str">
        <f t="shared" ca="1" si="43"/>
        <v/>
      </c>
      <c r="IT60" s="9" t="str">
        <f t="shared" ca="1" si="43"/>
        <v/>
      </c>
      <c r="IU60" s="9" t="str">
        <f t="shared" ca="1" si="43"/>
        <v/>
      </c>
      <c r="IV60" s="9" t="str">
        <f t="shared" ca="1" si="43"/>
        <v/>
      </c>
      <c r="IW60" s="9" t="str">
        <f t="shared" ca="1" si="43"/>
        <v/>
      </c>
      <c r="IX60" s="9" t="str">
        <f t="shared" ref="IX60:JH60" ca="1" si="44">IF(IX33="","",ABS(IX33))</f>
        <v/>
      </c>
      <c r="IY60" s="9" t="str">
        <f t="shared" ca="1" si="44"/>
        <v/>
      </c>
      <c r="IZ60" s="9" t="str">
        <f t="shared" ca="1" si="44"/>
        <v/>
      </c>
      <c r="JA60" s="9" t="str">
        <f t="shared" ca="1" si="44"/>
        <v/>
      </c>
      <c r="JB60" s="9" t="str">
        <f t="shared" ca="1" si="44"/>
        <v/>
      </c>
      <c r="JC60" s="9" t="str">
        <f t="shared" ca="1" si="44"/>
        <v/>
      </c>
      <c r="JD60" s="9" t="str">
        <f t="shared" ca="1" si="44"/>
        <v/>
      </c>
      <c r="JE60" s="9" t="str">
        <f t="shared" ca="1" si="44"/>
        <v/>
      </c>
      <c r="JF60" s="9" t="str">
        <f t="shared" ca="1" si="44"/>
        <v/>
      </c>
      <c r="JG60" s="9" t="str">
        <f t="shared" ca="1" si="44"/>
        <v/>
      </c>
      <c r="JH60" s="9" t="str">
        <f t="shared" ca="1" si="44"/>
        <v/>
      </c>
      <c r="JI60" s="13">
        <f t="shared" ca="1" si="24"/>
        <v>6.4104855080319122E-3</v>
      </c>
      <c r="JJ60" s="13">
        <f t="shared" ca="1" si="25"/>
        <v>2.9737851598452547E-3</v>
      </c>
      <c r="JK60" s="14">
        <f t="shared" ca="1" si="26"/>
        <v>5.6864738053686102E-5</v>
      </c>
      <c r="JL60" s="17">
        <f t="shared" ca="1" si="34"/>
        <v>7.5408711733914472E-3</v>
      </c>
      <c r="JM60" s="15" t="str">
        <f t="shared" ca="1" si="27"/>
        <v>[ -0,87% ; 2,15% ]</v>
      </c>
      <c r="JN60" s="17">
        <f t="shared" ca="1" si="28"/>
        <v>9.6523151019410527E-3</v>
      </c>
      <c r="LY60" s="1"/>
    </row>
    <row r="61" spans="1:337" x14ac:dyDescent="0.25">
      <c r="A61" s="4">
        <v>5</v>
      </c>
      <c r="B61" s="9">
        <f t="shared" ref="B61:BM61" ca="1" si="45">IF(B34="","",ABS(B34))</f>
        <v>3.3507452497766321E-3</v>
      </c>
      <c r="C61" s="9">
        <f t="shared" ca="1" si="45"/>
        <v>5.0731757640798403E-4</v>
      </c>
      <c r="D61" s="9">
        <f t="shared" ca="1" si="45"/>
        <v>1.8527324193522432E-3</v>
      </c>
      <c r="E61" s="9">
        <f t="shared" ca="1" si="45"/>
        <v>3.9481934787384265E-3</v>
      </c>
      <c r="F61" s="9">
        <f t="shared" ca="1" si="45"/>
        <v>4.062669113144235E-3</v>
      </c>
      <c r="G61" s="9">
        <f t="shared" ca="1" si="45"/>
        <v>2.1257876938776121E-3</v>
      </c>
      <c r="H61" s="9">
        <f t="shared" ca="1" si="45"/>
        <v>2.4345234602234367E-3</v>
      </c>
      <c r="I61" s="9">
        <f t="shared" ca="1" si="45"/>
        <v>5.9528589530000176E-4</v>
      </c>
      <c r="J61" s="9">
        <f t="shared" ca="1" si="45"/>
        <v>1.6322580487806437E-3</v>
      </c>
      <c r="K61" s="9">
        <f t="shared" ca="1" si="45"/>
        <v>1.3950041180744721E-3</v>
      </c>
      <c r="L61" s="9">
        <f t="shared" ca="1" si="45"/>
        <v>6.9294845537071215E-4</v>
      </c>
      <c r="M61" s="9">
        <f t="shared" ca="1" si="45"/>
        <v>8.7327719333685216E-4</v>
      </c>
      <c r="N61" s="9">
        <f t="shared" ca="1" si="45"/>
        <v>3.6618875479725865E-3</v>
      </c>
      <c r="O61" s="9">
        <f t="shared" ca="1" si="45"/>
        <v>4.4290354040075197E-3</v>
      </c>
      <c r="P61" s="9">
        <f t="shared" ca="1" si="45"/>
        <v>3.6050103458842297E-3</v>
      </c>
      <c r="Q61" s="9">
        <f t="shared" ca="1" si="45"/>
        <v>2.9127817083469676E-3</v>
      </c>
      <c r="R61" s="9">
        <f t="shared" ca="1" si="45"/>
        <v>1.4786191739117882E-3</v>
      </c>
      <c r="S61" s="9">
        <f t="shared" ca="1" si="45"/>
        <v>1.2609772031848543E-3</v>
      </c>
      <c r="T61" s="9">
        <f t="shared" ca="1" si="45"/>
        <v>1.4924106736087239E-3</v>
      </c>
      <c r="U61" s="9">
        <f t="shared" ca="1" si="45"/>
        <v>8.6528034290134226E-4</v>
      </c>
      <c r="V61" s="9">
        <f t="shared" ca="1" si="45"/>
        <v>2.0416242138765472E-3</v>
      </c>
      <c r="W61" s="9">
        <f t="shared" ca="1" si="45"/>
        <v>9.7005128872296176E-4</v>
      </c>
      <c r="X61" s="9">
        <f t="shared" ca="1" si="45"/>
        <v>2.7022645484608976E-4</v>
      </c>
      <c r="Y61" s="9">
        <f t="shared" ca="1" si="45"/>
        <v>8.6821338373210821E-4</v>
      </c>
      <c r="Z61" s="9">
        <f t="shared" ca="1" si="45"/>
        <v>1.1595218127606888E-3</v>
      </c>
      <c r="AA61" s="9">
        <f t="shared" ca="1" si="45"/>
        <v>1.2375107696647181E-3</v>
      </c>
      <c r="AB61" s="9">
        <f t="shared" ca="1" si="45"/>
        <v>1.8152327309859384E-3</v>
      </c>
      <c r="AC61" s="9">
        <f t="shared" ca="1" si="45"/>
        <v>1.6193420567445216E-4</v>
      </c>
      <c r="AD61" s="9">
        <f t="shared" ca="1" si="45"/>
        <v>3.1358199385100871E-4</v>
      </c>
      <c r="AE61" s="9">
        <f t="shared" ca="1" si="45"/>
        <v>4.3378981874098166E-4</v>
      </c>
      <c r="AF61" s="9">
        <f t="shared" ca="1" si="45"/>
        <v>1.028760943485918E-3</v>
      </c>
      <c r="AG61" s="9">
        <f t="shared" ca="1" si="45"/>
        <v>2.8486282136478414E-3</v>
      </c>
      <c r="AH61" s="9">
        <f t="shared" ca="1" si="45"/>
        <v>4.9128310720144563E-3</v>
      </c>
      <c r="AI61" s="9">
        <f t="shared" ca="1" si="45"/>
        <v>4.2676397415940537E-3</v>
      </c>
      <c r="AJ61" s="9">
        <f t="shared" ca="1" si="45"/>
        <v>3.7035871679883536E-3</v>
      </c>
      <c r="AK61" s="9">
        <f t="shared" ca="1" si="45"/>
        <v>4.3388582606010972E-3</v>
      </c>
      <c r="AL61" s="9">
        <f t="shared" ca="1" si="45"/>
        <v>3.5002494059075406E-3</v>
      </c>
      <c r="AM61" s="9">
        <f t="shared" ca="1" si="45"/>
        <v>2.5292543182995342E-3</v>
      </c>
      <c r="AN61" s="9">
        <f t="shared" ca="1" si="45"/>
        <v>1.8143176737148714E-3</v>
      </c>
      <c r="AO61" s="9">
        <f t="shared" ca="1" si="45"/>
        <v>3.2360298521827424E-4</v>
      </c>
      <c r="AP61" s="9">
        <f t="shared" ca="1" si="45"/>
        <v>3.2682620755841718E-4</v>
      </c>
      <c r="AQ61" s="9">
        <f t="shared" ca="1" si="45"/>
        <v>5.7483123626722588E-4</v>
      </c>
      <c r="AR61" s="9">
        <f t="shared" ca="1" si="45"/>
        <v>1.3455687324430698E-3</v>
      </c>
      <c r="AS61" s="9">
        <f t="shared" ca="1" si="45"/>
        <v>2.7087240010181812E-3</v>
      </c>
      <c r="AT61" s="9">
        <f t="shared" ca="1" si="45"/>
        <v>8.6516111535295259E-4</v>
      </c>
      <c r="AU61" s="9">
        <f t="shared" ca="1" si="45"/>
        <v>6.0007956918219918E-3</v>
      </c>
      <c r="AV61" s="9">
        <f t="shared" ca="1" si="45"/>
        <v>8.4674114813787504E-3</v>
      </c>
      <c r="AW61" s="9">
        <f t="shared" ca="1" si="45"/>
        <v>1.0946737034531306E-2</v>
      </c>
      <c r="AX61" s="9">
        <f t="shared" ca="1" si="45"/>
        <v>1.3256620476760572E-2</v>
      </c>
      <c r="AY61" s="9">
        <f t="shared" ca="1" si="45"/>
        <v>1.5704897213327573E-2</v>
      </c>
      <c r="AZ61" s="9">
        <f t="shared" ca="1" si="45"/>
        <v>1.7741161869161859E-2</v>
      </c>
      <c r="BA61" s="9">
        <f t="shared" ca="1" si="45"/>
        <v>1.6292576507426437E-2</v>
      </c>
      <c r="BB61" s="9">
        <f t="shared" ca="1" si="45"/>
        <v>1.1603279871465366E-2</v>
      </c>
      <c r="BC61" s="9">
        <f t="shared" ca="1" si="45"/>
        <v>3.1396926557218929E-3</v>
      </c>
      <c r="BD61" s="9">
        <f t="shared" ca="1" si="45"/>
        <v>8.286350334235193E-3</v>
      </c>
      <c r="BE61" s="9">
        <f t="shared" ca="1" si="45"/>
        <v>6.7965846130941809E-3</v>
      </c>
      <c r="BF61" s="9">
        <f t="shared" ca="1" si="45"/>
        <v>9.074072163799185E-3</v>
      </c>
      <c r="BG61" s="9">
        <f t="shared" ca="1" si="45"/>
        <v>1.7712888932082116E-2</v>
      </c>
      <c r="BH61" s="9">
        <f t="shared" ca="1" si="45"/>
        <v>1.4722230808525083E-2</v>
      </c>
      <c r="BI61" s="9">
        <f t="shared" ca="1" si="45"/>
        <v>1.1709428445239478E-2</v>
      </c>
      <c r="BJ61" s="9">
        <f t="shared" ca="1" si="45"/>
        <v>1.1775166418086513E-2</v>
      </c>
      <c r="BK61" s="9">
        <f t="shared" ca="1" si="45"/>
        <v>5.2018138877696352E-3</v>
      </c>
      <c r="BL61" s="9">
        <f t="shared" ca="1" si="45"/>
        <v>1.6054827039156394E-2</v>
      </c>
      <c r="BM61" s="9">
        <f t="shared" ca="1" si="45"/>
        <v>1.6448074792961953E-2</v>
      </c>
      <c r="BN61" s="9">
        <f t="shared" ref="BN61:DY61" ca="1" si="46">IF(BN34="","",ABS(BN34))</f>
        <v>1.2986023014625592E-2</v>
      </c>
      <c r="BO61" s="9">
        <f t="shared" ca="1" si="46"/>
        <v>9.0034105551739518E-3</v>
      </c>
      <c r="BP61" s="9">
        <f t="shared" ca="1" si="46"/>
        <v>7.7687813272814266E-3</v>
      </c>
      <c r="BQ61" s="9">
        <f t="shared" ca="1" si="46"/>
        <v>1.1410475842309364E-2</v>
      </c>
      <c r="BR61" s="9">
        <f t="shared" ca="1" si="46"/>
        <v>6.7910804497857136E-3</v>
      </c>
      <c r="BS61" s="9">
        <f t="shared" ca="1" si="46"/>
        <v>8.8670159754000721E-4</v>
      </c>
      <c r="BT61" s="9">
        <f t="shared" ca="1" si="46"/>
        <v>4.6759780888635527E-3</v>
      </c>
      <c r="BU61" s="9">
        <f t="shared" ca="1" si="46"/>
        <v>6.404485613470845E-3</v>
      </c>
      <c r="BV61" s="9">
        <f t="shared" ca="1" si="46"/>
        <v>4.6231721612089993E-3</v>
      </c>
      <c r="BW61" s="9">
        <f t="shared" ca="1" si="46"/>
        <v>1.2905070480573322E-3</v>
      </c>
      <c r="BX61" s="9">
        <f t="shared" ca="1" si="46"/>
        <v>7.1941318711612467E-3</v>
      </c>
      <c r="BY61" s="9">
        <f t="shared" ca="1" si="46"/>
        <v>3.2039250869314584E-3</v>
      </c>
      <c r="BZ61" s="9">
        <f t="shared" ca="1" si="46"/>
        <v>1.994242600278695E-3</v>
      </c>
      <c r="CA61" s="9">
        <f t="shared" ca="1" si="46"/>
        <v>1.4040354549931244E-3</v>
      </c>
      <c r="CB61" s="9">
        <f t="shared" ca="1" si="46"/>
        <v>2.20139101835648E-3</v>
      </c>
      <c r="CC61" s="9">
        <f t="shared" ca="1" si="46"/>
        <v>8.2674387687364792E-4</v>
      </c>
      <c r="CD61" s="9">
        <f t="shared" ca="1" si="46"/>
        <v>5.3226756615287751E-3</v>
      </c>
      <c r="CE61" s="9">
        <f t="shared" ca="1" si="46"/>
        <v>5.2003454485205491E-4</v>
      </c>
      <c r="CF61" s="9">
        <f t="shared" ca="1" si="46"/>
        <v>1.3927249638645556E-4</v>
      </c>
      <c r="CG61" s="9">
        <f t="shared" ca="1" si="46"/>
        <v>1.5413128587244973E-3</v>
      </c>
      <c r="CH61" s="9">
        <f t="shared" ca="1" si="46"/>
        <v>4.7875428185802926E-3</v>
      </c>
      <c r="CI61" s="9">
        <f t="shared" ca="1" si="46"/>
        <v>1.1655506202157273E-3</v>
      </c>
      <c r="CJ61" s="9">
        <f t="shared" ca="1" si="46"/>
        <v>4.6692948711921645E-3</v>
      </c>
      <c r="CK61" s="9">
        <f t="shared" ca="1" si="46"/>
        <v>3.671103190427738E-3</v>
      </c>
      <c r="CL61" s="9">
        <f t="shared" ca="1" si="46"/>
        <v>5.2189451649087282E-3</v>
      </c>
      <c r="CM61" s="9">
        <f t="shared" ca="1" si="46"/>
        <v>5.4659168133959213E-3</v>
      </c>
      <c r="CN61" s="9">
        <f t="shared" ca="1" si="46"/>
        <v>1.3816109422979395E-3</v>
      </c>
      <c r="CO61" s="9">
        <f t="shared" ca="1" si="46"/>
        <v>1.1124725562172699E-3</v>
      </c>
      <c r="CP61" s="9">
        <f t="shared" ca="1" si="46"/>
        <v>4.4131128293740662E-3</v>
      </c>
      <c r="CQ61" s="9">
        <f t="shared" ca="1" si="46"/>
        <v>4.5160201114688991E-3</v>
      </c>
      <c r="CR61" s="9">
        <f t="shared" ca="1" si="46"/>
        <v>3.4028939961756599E-3</v>
      </c>
      <c r="CS61" s="9">
        <f t="shared" ca="1" si="46"/>
        <v>2.725597693387094E-5</v>
      </c>
      <c r="CT61" s="9">
        <f t="shared" ca="1" si="46"/>
        <v>8.0073365888000403E-5</v>
      </c>
      <c r="CU61" s="9">
        <f t="shared" ca="1" si="46"/>
        <v>1.0336622941175322E-2</v>
      </c>
      <c r="CV61" s="9">
        <f t="shared" ca="1" si="46"/>
        <v>2.1256394336026663E-3</v>
      </c>
      <c r="CW61" s="9">
        <f t="shared" ca="1" si="46"/>
        <v>9.0394203920096672E-4</v>
      </c>
      <c r="CX61" s="9">
        <f t="shared" ca="1" si="46"/>
        <v>2.3166523936224426E-3</v>
      </c>
      <c r="CY61" s="9">
        <f t="shared" ca="1" si="46"/>
        <v>3.3769274141484118E-3</v>
      </c>
      <c r="CZ61" s="9">
        <f t="shared" ca="1" si="46"/>
        <v>4.6433214056633698E-3</v>
      </c>
      <c r="DA61" s="9">
        <f t="shared" ca="1" si="46"/>
        <v>3.6796067577218317E-3</v>
      </c>
      <c r="DB61" s="9">
        <f t="shared" ca="1" si="46"/>
        <v>2.7137617818273618E-3</v>
      </c>
      <c r="DC61" s="9">
        <f t="shared" ca="1" si="46"/>
        <v>1.3681036001017555E-3</v>
      </c>
      <c r="DD61" s="9">
        <f t="shared" ca="1" si="46"/>
        <v>4.8397178790704487E-4</v>
      </c>
      <c r="DE61" s="9">
        <f t="shared" ca="1" si="46"/>
        <v>5.2163389112657166E-3</v>
      </c>
      <c r="DF61" s="9">
        <f t="shared" ca="1" si="46"/>
        <v>2.4809367540280514E-3</v>
      </c>
      <c r="DG61" s="9">
        <f t="shared" ca="1" si="46"/>
        <v>6.645472909393324E-3</v>
      </c>
      <c r="DH61" s="9">
        <f t="shared" ca="1" si="46"/>
        <v>1.2956982251965843E-2</v>
      </c>
      <c r="DI61" s="9">
        <f t="shared" ca="1" si="46"/>
        <v>8.2274721392257E-3</v>
      </c>
      <c r="DJ61" s="9">
        <f t="shared" ca="1" si="46"/>
        <v>2.0245271865452219E-3</v>
      </c>
      <c r="DK61" s="9">
        <f t="shared" ca="1" si="46"/>
        <v>1.3996543622530888E-3</v>
      </c>
      <c r="DL61" s="9">
        <f t="shared" ca="1" si="46"/>
        <v>1.0907973326994558E-3</v>
      </c>
      <c r="DM61" s="9">
        <f t="shared" ca="1" si="46"/>
        <v>1.474637764409259E-5</v>
      </c>
      <c r="DN61" s="9">
        <f t="shared" ca="1" si="46"/>
        <v>1.021403899621065E-2</v>
      </c>
      <c r="DO61" s="9">
        <f t="shared" ca="1" si="46"/>
        <v>9.011379969931177E-3</v>
      </c>
      <c r="DP61" s="9">
        <f t="shared" ca="1" si="46"/>
        <v>7.322508202992406E-3</v>
      </c>
      <c r="DQ61" s="9">
        <f t="shared" ca="1" si="46"/>
        <v>3.9111123810013915E-3</v>
      </c>
      <c r="DR61" s="9">
        <f t="shared" ca="1" si="46"/>
        <v>2.3311270239556592E-4</v>
      </c>
      <c r="DS61" s="9">
        <f t="shared" ca="1" si="46"/>
        <v>8.3717331087570512E-3</v>
      </c>
      <c r="DT61" s="9">
        <f t="shared" ca="1" si="46"/>
        <v>5.0823371982433585E-3</v>
      </c>
      <c r="DU61" s="9">
        <f t="shared" ca="1" si="46"/>
        <v>3.5435082836132725E-4</v>
      </c>
      <c r="DV61" s="9">
        <f t="shared" ca="1" si="46"/>
        <v>6.7029291513300837E-3</v>
      </c>
      <c r="DW61" s="9">
        <f t="shared" ca="1" si="46"/>
        <v>7.8442261305460281E-3</v>
      </c>
      <c r="DX61" s="9">
        <f t="shared" ca="1" si="46"/>
        <v>5.0390957026358318E-3</v>
      </c>
      <c r="DY61" s="9">
        <f t="shared" ca="1" si="46"/>
        <v>1.3995463411409226E-3</v>
      </c>
      <c r="DZ61" s="9">
        <f t="shared" ref="DZ61:GK61" ca="1" si="47">IF(DZ34="","",ABS(DZ34))</f>
        <v>2.9518113609948715E-3</v>
      </c>
      <c r="EA61" s="9">
        <f t="shared" ca="1" si="47"/>
        <v>7.9739692578373322E-4</v>
      </c>
      <c r="EB61" s="9">
        <f t="shared" ca="1" si="47"/>
        <v>7.9537508422133918E-4</v>
      </c>
      <c r="EC61" s="9">
        <f t="shared" ca="1" si="47"/>
        <v>2.3396197287406384E-3</v>
      </c>
      <c r="ED61" s="9">
        <f t="shared" ca="1" si="47"/>
        <v>5.4771472239312224E-5</v>
      </c>
      <c r="EE61" s="9">
        <f t="shared" ca="1" si="47"/>
        <v>4.9440564923243224E-3</v>
      </c>
      <c r="EF61" s="9">
        <f t="shared" ca="1" si="47"/>
        <v>5.8875739953490047E-4</v>
      </c>
      <c r="EG61" s="9">
        <f t="shared" ca="1" si="47"/>
        <v>5.1849011900655384E-3</v>
      </c>
      <c r="EH61" s="9">
        <f t="shared" ca="1" si="47"/>
        <v>7.6987305606144307E-3</v>
      </c>
      <c r="EI61" s="9">
        <f t="shared" ca="1" si="47"/>
        <v>7.0271162962407541E-3</v>
      </c>
      <c r="EJ61" s="9">
        <f t="shared" ca="1" si="47"/>
        <v>6.0623036717351031E-3</v>
      </c>
      <c r="EK61" s="9">
        <f t="shared" ca="1" si="47"/>
        <v>8.0575046485586999E-4</v>
      </c>
      <c r="EL61" s="9">
        <f t="shared" ca="1" si="47"/>
        <v>5.9640995433141164E-4</v>
      </c>
      <c r="EM61" s="9">
        <f t="shared" ca="1" si="47"/>
        <v>6.1333797539608881E-4</v>
      </c>
      <c r="EN61" s="9">
        <f t="shared" ca="1" si="47"/>
        <v>2.5346579222527144E-3</v>
      </c>
      <c r="EO61" s="9">
        <f t="shared" ca="1" si="47"/>
        <v>8.525336902696079E-4</v>
      </c>
      <c r="EP61" s="9">
        <f t="shared" ca="1" si="47"/>
        <v>1.2172830923953271E-3</v>
      </c>
      <c r="EQ61" s="9">
        <f t="shared" ca="1" si="47"/>
        <v>8.1906770941783114E-3</v>
      </c>
      <c r="ER61" s="9">
        <f t="shared" ca="1" si="47"/>
        <v>8.6105501228006531E-4</v>
      </c>
      <c r="ES61" s="9">
        <f t="shared" ca="1" si="47"/>
        <v>4.5589378461587948E-3</v>
      </c>
      <c r="ET61" s="9">
        <f t="shared" ca="1" si="47"/>
        <v>2.6520073097180408E-3</v>
      </c>
      <c r="EU61" s="9">
        <f t="shared" ca="1" si="47"/>
        <v>2.0803040532753059E-3</v>
      </c>
      <c r="EV61" s="9">
        <f t="shared" ca="1" si="47"/>
        <v>1.6505852254584674E-3</v>
      </c>
      <c r="EW61" s="9">
        <f t="shared" ca="1" si="47"/>
        <v>2.7097953330819102E-3</v>
      </c>
      <c r="EX61" s="9">
        <f t="shared" ca="1" si="47"/>
        <v>1.2434046583830183E-3</v>
      </c>
      <c r="EY61" s="9">
        <f t="shared" ca="1" si="47"/>
        <v>1.5854735072013959E-3</v>
      </c>
      <c r="EZ61" s="9">
        <f t="shared" ca="1" si="47"/>
        <v>6.0760133851156528E-4</v>
      </c>
      <c r="FA61" s="9">
        <f t="shared" ca="1" si="47"/>
        <v>1.7145159963606327E-3</v>
      </c>
      <c r="FB61" s="9">
        <f t="shared" ca="1" si="47"/>
        <v>3.8254320474815362E-3</v>
      </c>
      <c r="FC61" s="9">
        <f t="shared" ca="1" si="47"/>
        <v>6.3297643191192465E-3</v>
      </c>
      <c r="FD61" s="9">
        <f t="shared" ca="1" si="47"/>
        <v>3.1541071630172279E-3</v>
      </c>
      <c r="FE61" s="9">
        <f t="shared" ca="1" si="47"/>
        <v>3.0057570462116434E-3</v>
      </c>
      <c r="FF61" s="9">
        <f t="shared" ca="1" si="47"/>
        <v>4.500596994924555E-3</v>
      </c>
      <c r="FG61" s="9">
        <f t="shared" ca="1" si="47"/>
        <v>4.5150022352884456E-3</v>
      </c>
      <c r="FH61" s="9">
        <f t="shared" ca="1" si="47"/>
        <v>3.6930569080595443E-3</v>
      </c>
      <c r="FI61" s="9">
        <f t="shared" ca="1" si="47"/>
        <v>9.1763079698170547E-4</v>
      </c>
      <c r="FJ61" s="9">
        <f t="shared" ca="1" si="47"/>
        <v>3.5243919677908631E-3</v>
      </c>
      <c r="FK61" s="9">
        <f t="shared" ca="1" si="47"/>
        <v>8.2027187295874437E-4</v>
      </c>
      <c r="FL61" s="9">
        <f t="shared" ca="1" si="47"/>
        <v>3.2914797122928219E-3</v>
      </c>
      <c r="FM61" s="9">
        <f t="shared" ca="1" si="47"/>
        <v>1.0305380221136029E-2</v>
      </c>
      <c r="FN61" s="9">
        <f t="shared" ca="1" si="47"/>
        <v>1.5591764325265878E-2</v>
      </c>
      <c r="FO61" s="9">
        <f t="shared" ca="1" si="47"/>
        <v>1.4017679626234902E-2</v>
      </c>
      <c r="FP61" s="9">
        <f t="shared" ca="1" si="47"/>
        <v>2.3550539781684865E-3</v>
      </c>
      <c r="FQ61" s="9">
        <f t="shared" ca="1" si="47"/>
        <v>7.7860750246572241E-3</v>
      </c>
      <c r="FR61" s="9">
        <f t="shared" ca="1" si="47"/>
        <v>3.6421257732861534E-3</v>
      </c>
      <c r="FS61" s="9">
        <f t="shared" ca="1" si="47"/>
        <v>6.1648946254355685E-4</v>
      </c>
      <c r="FT61" s="9">
        <f t="shared" ca="1" si="47"/>
        <v>1.7281612614032937E-3</v>
      </c>
      <c r="FU61" s="9">
        <f t="shared" ca="1" si="47"/>
        <v>8.5714982930018557E-4</v>
      </c>
      <c r="FV61" s="9">
        <f t="shared" ca="1" si="47"/>
        <v>1.9911655743557466E-3</v>
      </c>
      <c r="FW61" s="9">
        <f t="shared" ca="1" si="47"/>
        <v>1.5213895230843377E-3</v>
      </c>
      <c r="FX61" s="9">
        <f t="shared" ca="1" si="47"/>
        <v>4.4997089022911219E-3</v>
      </c>
      <c r="FY61" s="9">
        <f t="shared" ca="1" si="47"/>
        <v>3.7966867266758797E-3</v>
      </c>
      <c r="FZ61" s="9">
        <f t="shared" ca="1" si="47"/>
        <v>8.1133487041114005E-3</v>
      </c>
      <c r="GA61" s="9">
        <f t="shared" ca="1" si="47"/>
        <v>3.035043872748111E-3</v>
      </c>
      <c r="GB61" s="9">
        <f t="shared" ca="1" si="47"/>
        <v>7.7053714169084131E-4</v>
      </c>
      <c r="GC61" s="9">
        <f t="shared" ca="1" si="47"/>
        <v>2.0353292456722905E-3</v>
      </c>
      <c r="GD61" s="9">
        <f t="shared" ca="1" si="47"/>
        <v>1.4869363004125224E-3</v>
      </c>
      <c r="GE61" s="9">
        <f t="shared" ca="1" si="47"/>
        <v>3.1249213311281832E-3</v>
      </c>
      <c r="GF61" s="9">
        <f t="shared" ca="1" si="47"/>
        <v>3.536115566410869E-3</v>
      </c>
      <c r="GG61" s="9">
        <f t="shared" ca="1" si="47"/>
        <v>2.7851992456811026E-3</v>
      </c>
      <c r="GH61" s="9">
        <f t="shared" ca="1" si="47"/>
        <v>4.0050059813477867E-3</v>
      </c>
      <c r="GI61" s="9">
        <f t="shared" ca="1" si="47"/>
        <v>9.5793063777716014E-5</v>
      </c>
      <c r="GJ61" s="9">
        <f t="shared" ca="1" si="47"/>
        <v>8.0321924771225017E-3</v>
      </c>
      <c r="GK61" s="9">
        <f t="shared" ca="1" si="47"/>
        <v>2.456868673053858E-2</v>
      </c>
      <c r="GL61" s="9">
        <f t="shared" ref="GL61:IW61" ca="1" si="48">IF(GL34="","",ABS(GL34))</f>
        <v>2.3962353738594455E-2</v>
      </c>
      <c r="GM61" s="9">
        <f t="shared" ca="1" si="48"/>
        <v>1.8941951453456785E-2</v>
      </c>
      <c r="GN61" s="9">
        <f t="shared" ca="1" si="48"/>
        <v>1.1775854983488987E-2</v>
      </c>
      <c r="GO61" s="9">
        <f t="shared" ca="1" si="48"/>
        <v>9.0137749857222005E-4</v>
      </c>
      <c r="GP61" s="9">
        <f t="shared" ca="1" si="48"/>
        <v>2.6405726864818568E-2</v>
      </c>
      <c r="GQ61" s="9">
        <f t="shared" ca="1" si="48"/>
        <v>2.4972568550711949E-2</v>
      </c>
      <c r="GR61" s="9">
        <f t="shared" ca="1" si="48"/>
        <v>1.7342614569744175E-2</v>
      </c>
      <c r="GS61" s="9">
        <f t="shared" ca="1" si="48"/>
        <v>4.3250023721719266E-3</v>
      </c>
      <c r="GT61" s="9">
        <f t="shared" ca="1" si="48"/>
        <v>6.5960385688994538E-3</v>
      </c>
      <c r="GU61" s="9" t="str">
        <f t="shared" ca="1" si="48"/>
        <v/>
      </c>
      <c r="GV61" s="9" t="str">
        <f t="shared" ca="1" si="48"/>
        <v/>
      </c>
      <c r="GW61" s="9" t="str">
        <f t="shared" ca="1" si="48"/>
        <v/>
      </c>
      <c r="GX61" s="9" t="str">
        <f t="shared" ca="1" si="48"/>
        <v/>
      </c>
      <c r="GY61" s="9" t="str">
        <f t="shared" ca="1" si="48"/>
        <v/>
      </c>
      <c r="GZ61" s="9" t="str">
        <f t="shared" ca="1" si="48"/>
        <v/>
      </c>
      <c r="HA61" s="9" t="str">
        <f t="shared" ca="1" si="48"/>
        <v/>
      </c>
      <c r="HB61" s="9" t="str">
        <f t="shared" ca="1" si="48"/>
        <v/>
      </c>
      <c r="HC61" s="9" t="str">
        <f t="shared" ca="1" si="48"/>
        <v/>
      </c>
      <c r="HD61" s="9" t="str">
        <f t="shared" ca="1" si="48"/>
        <v/>
      </c>
      <c r="HE61" s="9" t="str">
        <f t="shared" ca="1" si="48"/>
        <v/>
      </c>
      <c r="HF61" s="9" t="str">
        <f t="shared" ca="1" si="48"/>
        <v/>
      </c>
      <c r="HG61" s="9" t="str">
        <f t="shared" ca="1" si="48"/>
        <v/>
      </c>
      <c r="HH61" s="9" t="str">
        <f t="shared" ca="1" si="48"/>
        <v/>
      </c>
      <c r="HI61" s="9" t="str">
        <f t="shared" ca="1" si="48"/>
        <v/>
      </c>
      <c r="HJ61" s="9" t="str">
        <f t="shared" ca="1" si="48"/>
        <v/>
      </c>
      <c r="HK61" s="9" t="str">
        <f t="shared" ca="1" si="48"/>
        <v/>
      </c>
      <c r="HL61" s="9" t="str">
        <f t="shared" ca="1" si="48"/>
        <v/>
      </c>
      <c r="HM61" s="9" t="str">
        <f t="shared" ca="1" si="48"/>
        <v/>
      </c>
      <c r="HN61" s="9" t="str">
        <f t="shared" ca="1" si="48"/>
        <v/>
      </c>
      <c r="HO61" s="9" t="str">
        <f t="shared" ca="1" si="48"/>
        <v/>
      </c>
      <c r="HP61" s="9" t="str">
        <f t="shared" ca="1" si="48"/>
        <v/>
      </c>
      <c r="HQ61" s="9" t="str">
        <f t="shared" ca="1" si="48"/>
        <v/>
      </c>
      <c r="HR61" s="9" t="str">
        <f t="shared" ca="1" si="48"/>
        <v/>
      </c>
      <c r="HS61" s="9" t="str">
        <f t="shared" ca="1" si="48"/>
        <v/>
      </c>
      <c r="HT61" s="9" t="str">
        <f t="shared" ca="1" si="48"/>
        <v/>
      </c>
      <c r="HU61" s="9" t="str">
        <f t="shared" ca="1" si="48"/>
        <v/>
      </c>
      <c r="HV61" s="9" t="str">
        <f t="shared" ca="1" si="48"/>
        <v/>
      </c>
      <c r="HW61" s="9" t="str">
        <f t="shared" ca="1" si="48"/>
        <v/>
      </c>
      <c r="HX61" s="9" t="str">
        <f t="shared" ca="1" si="48"/>
        <v/>
      </c>
      <c r="HY61" s="9" t="str">
        <f t="shared" ca="1" si="48"/>
        <v/>
      </c>
      <c r="HZ61" s="9" t="str">
        <f t="shared" ca="1" si="48"/>
        <v/>
      </c>
      <c r="IA61" s="9" t="str">
        <f t="shared" ca="1" si="48"/>
        <v/>
      </c>
      <c r="IB61" s="9" t="str">
        <f t="shared" ca="1" si="48"/>
        <v/>
      </c>
      <c r="IC61" s="9" t="str">
        <f t="shared" ca="1" si="48"/>
        <v/>
      </c>
      <c r="ID61" s="9" t="str">
        <f t="shared" ca="1" si="48"/>
        <v/>
      </c>
      <c r="IE61" s="9" t="str">
        <f t="shared" ca="1" si="48"/>
        <v/>
      </c>
      <c r="IF61" s="9" t="str">
        <f t="shared" ca="1" si="48"/>
        <v/>
      </c>
      <c r="IG61" s="9" t="str">
        <f t="shared" ca="1" si="48"/>
        <v/>
      </c>
      <c r="IH61" s="9" t="str">
        <f t="shared" ca="1" si="48"/>
        <v/>
      </c>
      <c r="II61" s="9" t="str">
        <f t="shared" ca="1" si="48"/>
        <v/>
      </c>
      <c r="IJ61" s="9" t="str">
        <f t="shared" ca="1" si="48"/>
        <v/>
      </c>
      <c r="IK61" s="9" t="str">
        <f t="shared" ca="1" si="48"/>
        <v/>
      </c>
      <c r="IL61" s="9" t="str">
        <f t="shared" ca="1" si="48"/>
        <v/>
      </c>
      <c r="IM61" s="9" t="str">
        <f t="shared" ca="1" si="48"/>
        <v/>
      </c>
      <c r="IN61" s="9" t="str">
        <f t="shared" ca="1" si="48"/>
        <v/>
      </c>
      <c r="IO61" s="9" t="str">
        <f t="shared" ca="1" si="48"/>
        <v/>
      </c>
      <c r="IP61" s="9" t="str">
        <f t="shared" ca="1" si="48"/>
        <v/>
      </c>
      <c r="IQ61" s="9" t="str">
        <f t="shared" ca="1" si="48"/>
        <v/>
      </c>
      <c r="IR61" s="9" t="str">
        <f t="shared" ca="1" si="48"/>
        <v/>
      </c>
      <c r="IS61" s="9" t="str">
        <f t="shared" ca="1" si="48"/>
        <v/>
      </c>
      <c r="IT61" s="9" t="str">
        <f t="shared" ca="1" si="48"/>
        <v/>
      </c>
      <c r="IU61" s="9" t="str">
        <f t="shared" ca="1" si="48"/>
        <v/>
      </c>
      <c r="IV61" s="9" t="str">
        <f t="shared" ca="1" si="48"/>
        <v/>
      </c>
      <c r="IW61" s="9" t="str">
        <f t="shared" ca="1" si="48"/>
        <v/>
      </c>
      <c r="IX61" s="9" t="str">
        <f t="shared" ref="IX61:JH61" ca="1" si="49">IF(IX34="","",ABS(IX34))</f>
        <v/>
      </c>
      <c r="IY61" s="9" t="str">
        <f t="shared" ca="1" si="49"/>
        <v/>
      </c>
      <c r="IZ61" s="9" t="str">
        <f t="shared" ca="1" si="49"/>
        <v/>
      </c>
      <c r="JA61" s="9" t="str">
        <f t="shared" ca="1" si="49"/>
        <v/>
      </c>
      <c r="JB61" s="9" t="str">
        <f t="shared" ca="1" si="49"/>
        <v/>
      </c>
      <c r="JC61" s="9" t="str">
        <f t="shared" ca="1" si="49"/>
        <v/>
      </c>
      <c r="JD61" s="9" t="str">
        <f t="shared" ca="1" si="49"/>
        <v/>
      </c>
      <c r="JE61" s="9" t="str">
        <f t="shared" ca="1" si="49"/>
        <v/>
      </c>
      <c r="JF61" s="9" t="str">
        <f t="shared" ca="1" si="49"/>
        <v/>
      </c>
      <c r="JG61" s="9" t="str">
        <f t="shared" ca="1" si="49"/>
        <v/>
      </c>
      <c r="JH61" s="9" t="str">
        <f t="shared" ca="1" si="49"/>
        <v/>
      </c>
      <c r="JI61" s="13">
        <f t="shared" ca="1" si="24"/>
        <v>7.4417183446232639E-3</v>
      </c>
      <c r="JJ61" s="13">
        <f t="shared" ca="1" si="25"/>
        <v>3.7194062499810165E-3</v>
      </c>
      <c r="JK61" s="14">
        <f t="shared" ca="1" si="26"/>
        <v>6.7003322675684494E-5</v>
      </c>
      <c r="JL61" s="17">
        <f t="shared" ca="1" si="34"/>
        <v>8.1855557340772215E-3</v>
      </c>
      <c r="JM61" s="15" t="str">
        <f t="shared" ca="1" si="27"/>
        <v>[ -0,89% ; 2,38% ]</v>
      </c>
      <c r="JN61" s="17">
        <f t="shared" ca="1" si="28"/>
        <v>1.0477511339618844E-2</v>
      </c>
      <c r="LY61" s="1"/>
    </row>
    <row r="62" spans="1:337" x14ac:dyDescent="0.25">
      <c r="A62" s="4">
        <v>6</v>
      </c>
      <c r="B62" s="9">
        <f t="shared" ref="B62:BM62" ca="1" si="50">IF(B35="","",ABS(B35))</f>
        <v>3.8896903647873682E-3</v>
      </c>
      <c r="C62" s="9">
        <f t="shared" ca="1" si="50"/>
        <v>4.888245278591441E-4</v>
      </c>
      <c r="D62" s="9">
        <f t="shared" ca="1" si="50"/>
        <v>3.1925310431308862E-3</v>
      </c>
      <c r="E62" s="9">
        <f t="shared" ca="1" si="50"/>
        <v>5.1423014203841877E-3</v>
      </c>
      <c r="F62" s="9">
        <f t="shared" ca="1" si="50"/>
        <v>4.7120679639869323E-3</v>
      </c>
      <c r="G62" s="9">
        <f t="shared" ca="1" si="50"/>
        <v>2.2662834946287624E-3</v>
      </c>
      <c r="H62" s="9">
        <f t="shared" ca="1" si="50"/>
        <v>2.09774295777998E-3</v>
      </c>
      <c r="I62" s="9">
        <f t="shared" ca="1" si="50"/>
        <v>1.0704002574857263E-4</v>
      </c>
      <c r="J62" s="9">
        <f t="shared" ca="1" si="50"/>
        <v>8.7025867295165149E-4</v>
      </c>
      <c r="K62" s="9">
        <f t="shared" ca="1" si="50"/>
        <v>9.4120370130768016E-4</v>
      </c>
      <c r="L62" s="9">
        <f t="shared" ca="1" si="50"/>
        <v>1.1877336918875159E-5</v>
      </c>
      <c r="M62" s="9">
        <f t="shared" ca="1" si="50"/>
        <v>1.2100327397794874E-3</v>
      </c>
      <c r="N62" s="9">
        <f t="shared" ca="1" si="50"/>
        <v>4.0998805665590776E-3</v>
      </c>
      <c r="O62" s="9">
        <f t="shared" ca="1" si="50"/>
        <v>5.5758038762447892E-3</v>
      </c>
      <c r="P62" s="9">
        <f t="shared" ca="1" si="50"/>
        <v>4.5281346703829328E-3</v>
      </c>
      <c r="Q62" s="9">
        <f t="shared" ca="1" si="50"/>
        <v>2.9804929975478789E-3</v>
      </c>
      <c r="R62" s="9">
        <f t="shared" ca="1" si="50"/>
        <v>1.7067470866904966E-3</v>
      </c>
      <c r="S62" s="9">
        <f t="shared" ca="1" si="50"/>
        <v>1.198659651263867E-3</v>
      </c>
      <c r="T62" s="9">
        <f t="shared" ca="1" si="50"/>
        <v>9.2171414421637898E-4</v>
      </c>
      <c r="U62" s="9">
        <f t="shared" ca="1" si="50"/>
        <v>1.0812060090799047E-3</v>
      </c>
      <c r="V62" s="9">
        <f t="shared" ca="1" si="50"/>
        <v>2.1693463474394825E-3</v>
      </c>
      <c r="W62" s="9">
        <f t="shared" ca="1" si="50"/>
        <v>3.0026096873547736E-4</v>
      </c>
      <c r="X62" s="9">
        <f t="shared" ca="1" si="50"/>
        <v>6.8106007286683479E-5</v>
      </c>
      <c r="Y62" s="9">
        <f t="shared" ca="1" si="50"/>
        <v>5.4772731558871968E-4</v>
      </c>
      <c r="Z62" s="9">
        <f t="shared" ca="1" si="50"/>
        <v>1.7332329125268053E-3</v>
      </c>
      <c r="AA62" s="9">
        <f t="shared" ca="1" si="50"/>
        <v>1.925966501523213E-3</v>
      </c>
      <c r="AB62" s="9">
        <f t="shared" ca="1" si="50"/>
        <v>2.630057571096911E-3</v>
      </c>
      <c r="AC62" s="9">
        <f t="shared" ca="1" si="50"/>
        <v>1.8508902007630113E-4</v>
      </c>
      <c r="AD62" s="9">
        <f t="shared" ca="1" si="50"/>
        <v>1.1664504943506016E-3</v>
      </c>
      <c r="AE62" s="9">
        <f t="shared" ca="1" si="50"/>
        <v>4.9599052833482205E-4</v>
      </c>
      <c r="AF62" s="9">
        <f t="shared" ca="1" si="50"/>
        <v>1.8546721099069741E-3</v>
      </c>
      <c r="AG62" s="9">
        <f t="shared" ca="1" si="50"/>
        <v>3.9228266115596266E-3</v>
      </c>
      <c r="AH62" s="9">
        <f t="shared" ca="1" si="50"/>
        <v>6.5394755668609639E-3</v>
      </c>
      <c r="AI62" s="9">
        <f t="shared" ca="1" si="50"/>
        <v>5.5687109629469767E-3</v>
      </c>
      <c r="AJ62" s="9">
        <f t="shared" ca="1" si="50"/>
        <v>4.3737931830705179E-3</v>
      </c>
      <c r="AK62" s="9">
        <f t="shared" ca="1" si="50"/>
        <v>4.7987122558716955E-3</v>
      </c>
      <c r="AL62" s="9">
        <f t="shared" ca="1" si="50"/>
        <v>4.2917408877363172E-3</v>
      </c>
      <c r="AM62" s="9">
        <f t="shared" ca="1" si="50"/>
        <v>2.9660170601882863E-3</v>
      </c>
      <c r="AN62" s="9">
        <f t="shared" ca="1" si="50"/>
        <v>1.1368342788435903E-3</v>
      </c>
      <c r="AO62" s="9">
        <f t="shared" ca="1" si="50"/>
        <v>1.618207683338202E-4</v>
      </c>
      <c r="AP62" s="9">
        <f t="shared" ca="1" si="50"/>
        <v>6.3981991513806236E-4</v>
      </c>
      <c r="AQ62" s="9">
        <f t="shared" ca="1" si="50"/>
        <v>7.4263727281698166E-5</v>
      </c>
      <c r="AR62" s="9">
        <f t="shared" ca="1" si="50"/>
        <v>2.1772498881482694E-3</v>
      </c>
      <c r="AS62" s="9">
        <f t="shared" ca="1" si="50"/>
        <v>4.5497255681992144E-3</v>
      </c>
      <c r="AT62" s="9">
        <f t="shared" ca="1" si="50"/>
        <v>3.6174128666444094E-3</v>
      </c>
      <c r="AU62" s="9">
        <f t="shared" ca="1" si="50"/>
        <v>8.1627848508485368E-3</v>
      </c>
      <c r="AV62" s="9">
        <f t="shared" ca="1" si="50"/>
        <v>1.3169487980355887E-2</v>
      </c>
      <c r="AW62" s="9">
        <f t="shared" ca="1" si="50"/>
        <v>1.5929886952237515E-2</v>
      </c>
      <c r="AX62" s="9">
        <f t="shared" ca="1" si="50"/>
        <v>1.7198440602066434E-2</v>
      </c>
      <c r="AY62" s="9">
        <f t="shared" ca="1" si="50"/>
        <v>2.0323955331999155E-2</v>
      </c>
      <c r="AZ62" s="9">
        <f t="shared" ca="1" si="50"/>
        <v>2.3133597158439656E-2</v>
      </c>
      <c r="BA62" s="9">
        <f t="shared" ca="1" si="50"/>
        <v>1.9641615549712999E-2</v>
      </c>
      <c r="BB62" s="9">
        <f t="shared" ca="1" si="50"/>
        <v>1.5665936860011609E-2</v>
      </c>
      <c r="BC62" s="9">
        <f t="shared" ca="1" si="50"/>
        <v>6.0128789854139164E-3</v>
      </c>
      <c r="BD62" s="9">
        <f t="shared" ca="1" si="50"/>
        <v>1.0299683175765129E-2</v>
      </c>
      <c r="BE62" s="9">
        <f t="shared" ca="1" si="50"/>
        <v>1.093746787673977E-2</v>
      </c>
      <c r="BF62" s="9">
        <f t="shared" ca="1" si="50"/>
        <v>1.3228046460037168E-2</v>
      </c>
      <c r="BG62" s="9">
        <f t="shared" ca="1" si="50"/>
        <v>2.1248033604553962E-2</v>
      </c>
      <c r="BH62" s="9">
        <f t="shared" ca="1" si="50"/>
        <v>1.7287464681547071E-2</v>
      </c>
      <c r="BI62" s="9">
        <f t="shared" ca="1" si="50"/>
        <v>1.2042808293247775E-2</v>
      </c>
      <c r="BJ62" s="9">
        <f t="shared" ca="1" si="50"/>
        <v>1.1330063347341435E-2</v>
      </c>
      <c r="BK62" s="9">
        <f t="shared" ca="1" si="50"/>
        <v>8.076243664830729E-3</v>
      </c>
      <c r="BL62" s="9">
        <f t="shared" ca="1" si="50"/>
        <v>2.1774580184602765E-2</v>
      </c>
      <c r="BM62" s="9">
        <f t="shared" ca="1" si="50"/>
        <v>2.2378021659674174E-2</v>
      </c>
      <c r="BN62" s="9">
        <f t="shared" ref="BN62:DY62" ca="1" si="51">IF(BN35="","",ABS(BN35))</f>
        <v>1.6296881637852367E-2</v>
      </c>
      <c r="BO62" s="9">
        <f t="shared" ca="1" si="51"/>
        <v>1.1610853295947021E-2</v>
      </c>
      <c r="BP62" s="9">
        <f t="shared" ca="1" si="51"/>
        <v>1.1149576510555259E-2</v>
      </c>
      <c r="BQ62" s="9">
        <f t="shared" ca="1" si="51"/>
        <v>1.342021099417734E-2</v>
      </c>
      <c r="BR62" s="9">
        <f t="shared" ca="1" si="51"/>
        <v>7.0876936553816439E-3</v>
      </c>
      <c r="BS62" s="9">
        <f t="shared" ca="1" si="51"/>
        <v>9.285675644932212E-5</v>
      </c>
      <c r="BT62" s="9">
        <f t="shared" ca="1" si="51"/>
        <v>6.7198545545199551E-3</v>
      </c>
      <c r="BU62" s="9">
        <f t="shared" ca="1" si="51"/>
        <v>8.8064700717960243E-3</v>
      </c>
      <c r="BV62" s="9">
        <f t="shared" ca="1" si="51"/>
        <v>6.0432753135793993E-3</v>
      </c>
      <c r="BW62" s="9">
        <f t="shared" ca="1" si="51"/>
        <v>1.5117732935587824E-3</v>
      </c>
      <c r="BX62" s="9">
        <f t="shared" ca="1" si="51"/>
        <v>6.784810158199317E-3</v>
      </c>
      <c r="BY62" s="9">
        <f t="shared" ca="1" si="51"/>
        <v>4.2544461907231268E-3</v>
      </c>
      <c r="BZ62" s="9">
        <f t="shared" ca="1" si="51"/>
        <v>3.1815106345338684E-3</v>
      </c>
      <c r="CA62" s="9">
        <f t="shared" ca="1" si="51"/>
        <v>1.6581901161740742E-3</v>
      </c>
      <c r="CB62" s="9">
        <f t="shared" ca="1" si="51"/>
        <v>2.9194486858659108E-3</v>
      </c>
      <c r="CC62" s="9">
        <f t="shared" ca="1" si="51"/>
        <v>8.4219947698205289E-4</v>
      </c>
      <c r="CD62" s="9">
        <f t="shared" ca="1" si="51"/>
        <v>4.1977897139348075E-3</v>
      </c>
      <c r="CE62" s="9">
        <f t="shared" ca="1" si="51"/>
        <v>1.6650699863353102E-3</v>
      </c>
      <c r="CF62" s="9">
        <f t="shared" ca="1" si="51"/>
        <v>1.4680148278508609E-3</v>
      </c>
      <c r="CG62" s="9">
        <f t="shared" ca="1" si="51"/>
        <v>2.5649412188845089E-3</v>
      </c>
      <c r="CH62" s="9">
        <f t="shared" ca="1" si="51"/>
        <v>5.0657586379373454E-3</v>
      </c>
      <c r="CI62" s="9">
        <f t="shared" ca="1" si="51"/>
        <v>5.625900881118806E-4</v>
      </c>
      <c r="CJ62" s="9">
        <f t="shared" ca="1" si="51"/>
        <v>4.8943473462647047E-3</v>
      </c>
      <c r="CK62" s="9">
        <f t="shared" ca="1" si="51"/>
        <v>4.9827862795248645E-3</v>
      </c>
      <c r="CL62" s="9">
        <f t="shared" ca="1" si="51"/>
        <v>6.0088810599252529E-3</v>
      </c>
      <c r="CM62" s="9">
        <f t="shared" ca="1" si="51"/>
        <v>7.1457885652030928E-3</v>
      </c>
      <c r="CN62" s="9">
        <f t="shared" ca="1" si="51"/>
        <v>1.9511508244303144E-3</v>
      </c>
      <c r="CO62" s="9">
        <f t="shared" ca="1" si="51"/>
        <v>6.0106559477994814E-3</v>
      </c>
      <c r="CP62" s="9">
        <f t="shared" ca="1" si="51"/>
        <v>2.616122328121806E-3</v>
      </c>
      <c r="CQ62" s="9">
        <f t="shared" ca="1" si="51"/>
        <v>5.1469044443019918E-3</v>
      </c>
      <c r="CR62" s="9">
        <f t="shared" ca="1" si="51"/>
        <v>3.4096308142230747E-3</v>
      </c>
      <c r="CS62" s="9">
        <f t="shared" ca="1" si="51"/>
        <v>5.0928113718806678E-4</v>
      </c>
      <c r="CT62" s="9">
        <f t="shared" ca="1" si="51"/>
        <v>5.9064023302801694E-4</v>
      </c>
      <c r="CU62" s="9">
        <f t="shared" ca="1" si="51"/>
        <v>1.1888083925798543E-2</v>
      </c>
      <c r="CV62" s="9">
        <f t="shared" ca="1" si="51"/>
        <v>7.013579696709682E-4</v>
      </c>
      <c r="CW62" s="9">
        <f t="shared" ca="1" si="51"/>
        <v>1.7577670069199858E-3</v>
      </c>
      <c r="CX62" s="9">
        <f t="shared" ca="1" si="51"/>
        <v>2.865767405990205E-3</v>
      </c>
      <c r="CY62" s="9">
        <f t="shared" ca="1" si="51"/>
        <v>4.7511779207938254E-3</v>
      </c>
      <c r="CZ62" s="9">
        <f t="shared" ca="1" si="51"/>
        <v>4.4230176984934033E-3</v>
      </c>
      <c r="DA62" s="9">
        <f t="shared" ca="1" si="51"/>
        <v>3.9402898749878457E-3</v>
      </c>
      <c r="DB62" s="9">
        <f t="shared" ca="1" si="51"/>
        <v>1.4279610043397284E-3</v>
      </c>
      <c r="DC62" s="9">
        <f t="shared" ca="1" si="51"/>
        <v>2.9503826997874238E-3</v>
      </c>
      <c r="DD62" s="9">
        <f t="shared" ca="1" si="51"/>
        <v>2.8132569112698791E-3</v>
      </c>
      <c r="DE62" s="9">
        <f t="shared" ca="1" si="51"/>
        <v>8.2590246749609797E-3</v>
      </c>
      <c r="DF62" s="9">
        <f t="shared" ca="1" si="51"/>
        <v>5.1109708220540284E-3</v>
      </c>
      <c r="DG62" s="9">
        <f t="shared" ca="1" si="51"/>
        <v>9.4919085716675955E-3</v>
      </c>
      <c r="DH62" s="9">
        <f t="shared" ca="1" si="51"/>
        <v>1.3507903734742754E-2</v>
      </c>
      <c r="DI62" s="9">
        <f t="shared" ca="1" si="51"/>
        <v>9.3267908775809261E-3</v>
      </c>
      <c r="DJ62" s="9">
        <f t="shared" ca="1" si="51"/>
        <v>3.3611686587233791E-3</v>
      </c>
      <c r="DK62" s="9">
        <f t="shared" ca="1" si="51"/>
        <v>3.8075970473889775E-3</v>
      </c>
      <c r="DL62" s="9">
        <f t="shared" ca="1" si="51"/>
        <v>7.5631640092299612E-4</v>
      </c>
      <c r="DM62" s="9">
        <f t="shared" ca="1" si="51"/>
        <v>1.0678155824577207E-3</v>
      </c>
      <c r="DN62" s="9">
        <f t="shared" ca="1" si="51"/>
        <v>1.2082876018559507E-2</v>
      </c>
      <c r="DO62" s="9">
        <f t="shared" ca="1" si="51"/>
        <v>1.0866534842240316E-2</v>
      </c>
      <c r="DP62" s="9">
        <f t="shared" ca="1" si="51"/>
        <v>1.0153075300547099E-2</v>
      </c>
      <c r="DQ62" s="9">
        <f t="shared" ca="1" si="51"/>
        <v>5.1623017589006448E-3</v>
      </c>
      <c r="DR62" s="9">
        <f t="shared" ca="1" si="51"/>
        <v>4.0032075115870036E-4</v>
      </c>
      <c r="DS62" s="9">
        <f t="shared" ca="1" si="51"/>
        <v>7.9453377028098071E-3</v>
      </c>
      <c r="DT62" s="9">
        <f t="shared" ca="1" si="51"/>
        <v>3.7291528008334129E-3</v>
      </c>
      <c r="DU62" s="9">
        <f t="shared" ca="1" si="51"/>
        <v>6.0059367460008062E-5</v>
      </c>
      <c r="DV62" s="9">
        <f t="shared" ca="1" si="51"/>
        <v>7.4950608554109621E-3</v>
      </c>
      <c r="DW62" s="9">
        <f t="shared" ca="1" si="51"/>
        <v>1.0129515483937146E-2</v>
      </c>
      <c r="DX62" s="9">
        <f t="shared" ca="1" si="51"/>
        <v>6.0188517643533501E-3</v>
      </c>
      <c r="DY62" s="9">
        <f t="shared" ca="1" si="51"/>
        <v>3.2034788515020729E-3</v>
      </c>
      <c r="DZ62" s="9">
        <f t="shared" ref="DZ62:GK62" ca="1" si="52">IF(DZ35="","",ABS(DZ35))</f>
        <v>2.2710413856338318E-3</v>
      </c>
      <c r="EA62" s="9">
        <f t="shared" ca="1" si="52"/>
        <v>7.436241559731771E-4</v>
      </c>
      <c r="EB62" s="9">
        <f t="shared" ca="1" si="52"/>
        <v>1.714087738324821E-4</v>
      </c>
      <c r="EC62" s="9">
        <f t="shared" ca="1" si="52"/>
        <v>2.8076670398333725E-3</v>
      </c>
      <c r="ED62" s="9">
        <f t="shared" ca="1" si="52"/>
        <v>4.5134193268991929E-4</v>
      </c>
      <c r="EE62" s="9">
        <f t="shared" ca="1" si="52"/>
        <v>3.4924392618236322E-3</v>
      </c>
      <c r="EF62" s="9">
        <f t="shared" ca="1" si="52"/>
        <v>1.2964351112039196E-3</v>
      </c>
      <c r="EG62" s="9">
        <f t="shared" ca="1" si="52"/>
        <v>6.4762117263259533E-3</v>
      </c>
      <c r="EH62" s="9">
        <f t="shared" ca="1" si="52"/>
        <v>9.5061638197029286E-3</v>
      </c>
      <c r="EI62" s="9">
        <f t="shared" ca="1" si="52"/>
        <v>7.318345108902724E-3</v>
      </c>
      <c r="EJ62" s="9">
        <f t="shared" ca="1" si="52"/>
        <v>6.640085548186514E-3</v>
      </c>
      <c r="EK62" s="9">
        <f t="shared" ca="1" si="52"/>
        <v>5.9025311553839721E-4</v>
      </c>
      <c r="EL62" s="9">
        <f t="shared" ca="1" si="52"/>
        <v>2.7516026235915314E-3</v>
      </c>
      <c r="EM62" s="9">
        <f t="shared" ca="1" si="52"/>
        <v>1.6912230201844292E-3</v>
      </c>
      <c r="EN62" s="9">
        <f t="shared" ca="1" si="52"/>
        <v>3.4700888862588819E-3</v>
      </c>
      <c r="EO62" s="9">
        <f t="shared" ca="1" si="52"/>
        <v>1.080727293588879E-3</v>
      </c>
      <c r="EP62" s="9">
        <f t="shared" ca="1" si="52"/>
        <v>1.8353875908752038E-3</v>
      </c>
      <c r="EQ62" s="9">
        <f t="shared" ca="1" si="52"/>
        <v>8.3885850230132064E-3</v>
      </c>
      <c r="ER62" s="9">
        <f t="shared" ca="1" si="52"/>
        <v>8.6642026580352471E-4</v>
      </c>
      <c r="ES62" s="9">
        <f t="shared" ca="1" si="52"/>
        <v>4.767596028409482E-3</v>
      </c>
      <c r="ET62" s="9">
        <f t="shared" ca="1" si="52"/>
        <v>2.1469927200332695E-3</v>
      </c>
      <c r="EU62" s="9">
        <f t="shared" ca="1" si="52"/>
        <v>1.8943277229410693E-3</v>
      </c>
      <c r="EV62" s="9">
        <f t="shared" ca="1" si="52"/>
        <v>2.1157217618474888E-3</v>
      </c>
      <c r="EW62" s="9">
        <f t="shared" ca="1" si="52"/>
        <v>2.6435684696966E-3</v>
      </c>
      <c r="EX62" s="9">
        <f t="shared" ca="1" si="52"/>
        <v>2.7195492068495808E-3</v>
      </c>
      <c r="EY62" s="9">
        <f t="shared" ca="1" si="52"/>
        <v>2.4799875867552723E-3</v>
      </c>
      <c r="EZ62" s="9">
        <f t="shared" ca="1" si="52"/>
        <v>1.2243124431514651E-3</v>
      </c>
      <c r="FA62" s="9">
        <f t="shared" ca="1" si="52"/>
        <v>2.1292380376041198E-3</v>
      </c>
      <c r="FB62" s="9">
        <f t="shared" ca="1" si="52"/>
        <v>3.6804963473967556E-3</v>
      </c>
      <c r="FC62" s="9">
        <f t="shared" ca="1" si="52"/>
        <v>4.9689210519664462E-3</v>
      </c>
      <c r="FD62" s="9">
        <f t="shared" ca="1" si="52"/>
        <v>5.0550092161905091E-3</v>
      </c>
      <c r="FE62" s="9">
        <f t="shared" ca="1" si="52"/>
        <v>2.1797775427008226E-3</v>
      </c>
      <c r="FF62" s="9">
        <f t="shared" ca="1" si="52"/>
        <v>4.8239227233637383E-3</v>
      </c>
      <c r="FG62" s="9">
        <f t="shared" ca="1" si="52"/>
        <v>6.676317419554767E-3</v>
      </c>
      <c r="FH62" s="9">
        <f t="shared" ca="1" si="52"/>
        <v>5.8309133017588888E-3</v>
      </c>
      <c r="FI62" s="9">
        <f t="shared" ca="1" si="52"/>
        <v>3.4764950070874656E-3</v>
      </c>
      <c r="FJ62" s="9">
        <f t="shared" ca="1" si="52"/>
        <v>8.5653497315730798E-3</v>
      </c>
      <c r="FK62" s="9">
        <f t="shared" ca="1" si="52"/>
        <v>4.8356189287004359E-3</v>
      </c>
      <c r="FL62" s="9">
        <f t="shared" ca="1" si="52"/>
        <v>4.0751741190467872E-3</v>
      </c>
      <c r="FM62" s="9">
        <f t="shared" ca="1" si="52"/>
        <v>1.1178750135164894E-2</v>
      </c>
      <c r="FN62" s="9">
        <f t="shared" ca="1" si="52"/>
        <v>1.7337280293226121E-2</v>
      </c>
      <c r="FO62" s="9">
        <f t="shared" ca="1" si="52"/>
        <v>1.2248634347130083E-2</v>
      </c>
      <c r="FP62" s="9">
        <f t="shared" ca="1" si="52"/>
        <v>7.2770710423684104E-3</v>
      </c>
      <c r="FQ62" s="9">
        <f t="shared" ca="1" si="52"/>
        <v>8.5930823620470331E-3</v>
      </c>
      <c r="FR62" s="9">
        <f t="shared" ca="1" si="52"/>
        <v>2.955535535346554E-3</v>
      </c>
      <c r="FS62" s="9">
        <f t="shared" ca="1" si="52"/>
        <v>6.1648334066388699E-4</v>
      </c>
      <c r="FT62" s="9">
        <f t="shared" ca="1" si="52"/>
        <v>1.5503848286635424E-3</v>
      </c>
      <c r="FU62" s="9">
        <f t="shared" ca="1" si="52"/>
        <v>1.5306463606192811E-3</v>
      </c>
      <c r="FV62" s="9">
        <f t="shared" ca="1" si="52"/>
        <v>2.1684707953434357E-3</v>
      </c>
      <c r="FW62" s="9">
        <f t="shared" ca="1" si="52"/>
        <v>2.3260280688928159E-3</v>
      </c>
      <c r="FX62" s="9">
        <f t="shared" ca="1" si="52"/>
        <v>6.0840430084330155E-3</v>
      </c>
      <c r="FY62" s="9">
        <f t="shared" ca="1" si="52"/>
        <v>4.2563118636629316E-3</v>
      </c>
      <c r="FZ62" s="9">
        <f t="shared" ca="1" si="52"/>
        <v>8.5848104953536453E-3</v>
      </c>
      <c r="GA62" s="9">
        <f t="shared" ca="1" si="52"/>
        <v>2.5882234770850943E-3</v>
      </c>
      <c r="GB62" s="9">
        <f t="shared" ca="1" si="52"/>
        <v>1.8317740730418031E-3</v>
      </c>
      <c r="GC62" s="9">
        <f t="shared" ca="1" si="52"/>
        <v>6.2390537296419524E-4</v>
      </c>
      <c r="GD62" s="9">
        <f t="shared" ca="1" si="52"/>
        <v>3.3124274921577657E-3</v>
      </c>
      <c r="GE62" s="9">
        <f t="shared" ca="1" si="52"/>
        <v>4.3301477028355739E-3</v>
      </c>
      <c r="GF62" s="9">
        <f t="shared" ca="1" si="52"/>
        <v>3.9860155583475443E-3</v>
      </c>
      <c r="GG62" s="9">
        <f t="shared" ca="1" si="52"/>
        <v>3.4376299197602656E-3</v>
      </c>
      <c r="GH62" s="9">
        <f t="shared" ca="1" si="52"/>
        <v>4.853719621623509E-3</v>
      </c>
      <c r="GI62" s="9">
        <f t="shared" ca="1" si="52"/>
        <v>6.2205339592567022E-3</v>
      </c>
      <c r="GJ62" s="9">
        <f t="shared" ca="1" si="52"/>
        <v>2.5918869214613949E-2</v>
      </c>
      <c r="GK62" s="9">
        <f t="shared" ca="1" si="52"/>
        <v>2.5678547169082133E-2</v>
      </c>
      <c r="GL62" s="9">
        <f t="shared" ref="GL62:IW62" ca="1" si="53">IF(GL35="","",ABS(GL35))</f>
        <v>1.9318174079496986E-2</v>
      </c>
      <c r="GM62" s="9">
        <f t="shared" ca="1" si="53"/>
        <v>1.1725718513343919E-2</v>
      </c>
      <c r="GN62" s="9">
        <f t="shared" ca="1" si="53"/>
        <v>7.2884656680070048E-3</v>
      </c>
      <c r="GO62" s="9">
        <f t="shared" ca="1" si="53"/>
        <v>3.1069738291517046E-3</v>
      </c>
      <c r="GP62" s="9">
        <f t="shared" ca="1" si="53"/>
        <v>3.0724819948471427E-2</v>
      </c>
      <c r="GQ62" s="9">
        <f t="shared" ca="1" si="53"/>
        <v>2.9036704203733277E-2</v>
      </c>
      <c r="GR62" s="9">
        <f t="shared" ca="1" si="53"/>
        <v>1.9570393140372011E-2</v>
      </c>
      <c r="GS62" s="9">
        <f t="shared" ca="1" si="53"/>
        <v>4.8164859343902133E-3</v>
      </c>
      <c r="GT62" s="9" t="str">
        <f t="shared" ca="1" si="53"/>
        <v/>
      </c>
      <c r="GU62" s="9" t="str">
        <f t="shared" ca="1" si="53"/>
        <v/>
      </c>
      <c r="GV62" s="9" t="str">
        <f t="shared" ca="1" si="53"/>
        <v/>
      </c>
      <c r="GW62" s="9" t="str">
        <f t="shared" ca="1" si="53"/>
        <v/>
      </c>
      <c r="GX62" s="9" t="str">
        <f t="shared" ca="1" si="53"/>
        <v/>
      </c>
      <c r="GY62" s="9" t="str">
        <f t="shared" ca="1" si="53"/>
        <v/>
      </c>
      <c r="GZ62" s="9" t="str">
        <f t="shared" ca="1" si="53"/>
        <v/>
      </c>
      <c r="HA62" s="9" t="str">
        <f t="shared" ca="1" si="53"/>
        <v/>
      </c>
      <c r="HB62" s="9" t="str">
        <f t="shared" ca="1" si="53"/>
        <v/>
      </c>
      <c r="HC62" s="9" t="str">
        <f t="shared" ca="1" si="53"/>
        <v/>
      </c>
      <c r="HD62" s="9" t="str">
        <f t="shared" ca="1" si="53"/>
        <v/>
      </c>
      <c r="HE62" s="9" t="str">
        <f t="shared" ca="1" si="53"/>
        <v/>
      </c>
      <c r="HF62" s="9" t="str">
        <f t="shared" ca="1" si="53"/>
        <v/>
      </c>
      <c r="HG62" s="9" t="str">
        <f t="shared" ca="1" si="53"/>
        <v/>
      </c>
      <c r="HH62" s="9" t="str">
        <f t="shared" ca="1" si="53"/>
        <v/>
      </c>
      <c r="HI62" s="9" t="str">
        <f t="shared" ca="1" si="53"/>
        <v/>
      </c>
      <c r="HJ62" s="9" t="str">
        <f t="shared" ca="1" si="53"/>
        <v/>
      </c>
      <c r="HK62" s="9" t="str">
        <f t="shared" ca="1" si="53"/>
        <v/>
      </c>
      <c r="HL62" s="9" t="str">
        <f t="shared" ca="1" si="53"/>
        <v/>
      </c>
      <c r="HM62" s="9" t="str">
        <f t="shared" ca="1" si="53"/>
        <v/>
      </c>
      <c r="HN62" s="9" t="str">
        <f t="shared" ca="1" si="53"/>
        <v/>
      </c>
      <c r="HO62" s="9" t="str">
        <f t="shared" ca="1" si="53"/>
        <v/>
      </c>
      <c r="HP62" s="9" t="str">
        <f t="shared" ca="1" si="53"/>
        <v/>
      </c>
      <c r="HQ62" s="9" t="str">
        <f t="shared" ca="1" si="53"/>
        <v/>
      </c>
      <c r="HR62" s="9" t="str">
        <f t="shared" ca="1" si="53"/>
        <v/>
      </c>
      <c r="HS62" s="9" t="str">
        <f t="shared" ca="1" si="53"/>
        <v/>
      </c>
      <c r="HT62" s="9" t="str">
        <f t="shared" ca="1" si="53"/>
        <v/>
      </c>
      <c r="HU62" s="9" t="str">
        <f t="shared" ca="1" si="53"/>
        <v/>
      </c>
      <c r="HV62" s="9" t="str">
        <f t="shared" ca="1" si="53"/>
        <v/>
      </c>
      <c r="HW62" s="9" t="str">
        <f t="shared" ca="1" si="53"/>
        <v/>
      </c>
      <c r="HX62" s="9" t="str">
        <f t="shared" ca="1" si="53"/>
        <v/>
      </c>
      <c r="HY62" s="9" t="str">
        <f t="shared" ca="1" si="53"/>
        <v/>
      </c>
      <c r="HZ62" s="9" t="str">
        <f t="shared" ca="1" si="53"/>
        <v/>
      </c>
      <c r="IA62" s="9" t="str">
        <f t="shared" ca="1" si="53"/>
        <v/>
      </c>
      <c r="IB62" s="9" t="str">
        <f t="shared" ca="1" si="53"/>
        <v/>
      </c>
      <c r="IC62" s="9" t="str">
        <f t="shared" ca="1" si="53"/>
        <v/>
      </c>
      <c r="ID62" s="9" t="str">
        <f t="shared" ca="1" si="53"/>
        <v/>
      </c>
      <c r="IE62" s="9" t="str">
        <f t="shared" ca="1" si="53"/>
        <v/>
      </c>
      <c r="IF62" s="9" t="str">
        <f t="shared" ca="1" si="53"/>
        <v/>
      </c>
      <c r="IG62" s="9" t="str">
        <f t="shared" ca="1" si="53"/>
        <v/>
      </c>
      <c r="IH62" s="9" t="str">
        <f t="shared" ca="1" si="53"/>
        <v/>
      </c>
      <c r="II62" s="9" t="str">
        <f t="shared" ca="1" si="53"/>
        <v/>
      </c>
      <c r="IJ62" s="9" t="str">
        <f t="shared" ca="1" si="53"/>
        <v/>
      </c>
      <c r="IK62" s="9" t="str">
        <f t="shared" ca="1" si="53"/>
        <v/>
      </c>
      <c r="IL62" s="9" t="str">
        <f t="shared" ca="1" si="53"/>
        <v/>
      </c>
      <c r="IM62" s="9" t="str">
        <f t="shared" ca="1" si="53"/>
        <v/>
      </c>
      <c r="IN62" s="9" t="str">
        <f t="shared" ca="1" si="53"/>
        <v/>
      </c>
      <c r="IO62" s="9" t="str">
        <f t="shared" ca="1" si="53"/>
        <v/>
      </c>
      <c r="IP62" s="9" t="str">
        <f t="shared" ca="1" si="53"/>
        <v/>
      </c>
      <c r="IQ62" s="9" t="str">
        <f t="shared" ca="1" si="53"/>
        <v/>
      </c>
      <c r="IR62" s="9" t="str">
        <f t="shared" ca="1" si="53"/>
        <v/>
      </c>
      <c r="IS62" s="9" t="str">
        <f t="shared" ca="1" si="53"/>
        <v/>
      </c>
      <c r="IT62" s="9" t="str">
        <f t="shared" ca="1" si="53"/>
        <v/>
      </c>
      <c r="IU62" s="9" t="str">
        <f t="shared" ca="1" si="53"/>
        <v/>
      </c>
      <c r="IV62" s="9" t="str">
        <f t="shared" ca="1" si="53"/>
        <v/>
      </c>
      <c r="IW62" s="9" t="str">
        <f t="shared" ca="1" si="53"/>
        <v/>
      </c>
      <c r="IX62" s="9" t="str">
        <f t="shared" ref="IX62:JH62" ca="1" si="54">IF(IX35="","",ABS(IX35))</f>
        <v/>
      </c>
      <c r="IY62" s="9" t="str">
        <f t="shared" ca="1" si="54"/>
        <v/>
      </c>
      <c r="IZ62" s="9" t="str">
        <f t="shared" ca="1" si="54"/>
        <v/>
      </c>
      <c r="JA62" s="9" t="str">
        <f t="shared" ca="1" si="54"/>
        <v/>
      </c>
      <c r="JB62" s="9" t="str">
        <f t="shared" ca="1" si="54"/>
        <v/>
      </c>
      <c r="JC62" s="9" t="str">
        <f t="shared" ca="1" si="54"/>
        <v/>
      </c>
      <c r="JD62" s="9" t="str">
        <f t="shared" ca="1" si="54"/>
        <v/>
      </c>
      <c r="JE62" s="9" t="str">
        <f t="shared" ca="1" si="54"/>
        <v/>
      </c>
      <c r="JF62" s="9" t="str">
        <f t="shared" ca="1" si="54"/>
        <v/>
      </c>
      <c r="JG62" s="9" t="str">
        <f t="shared" ca="1" si="54"/>
        <v/>
      </c>
      <c r="JH62" s="9" t="str">
        <f t="shared" ca="1" si="54"/>
        <v/>
      </c>
      <c r="JI62" s="13">
        <f t="shared" ca="1" si="24"/>
        <v>8.5184595012676289E-3</v>
      </c>
      <c r="JJ62" s="13">
        <f t="shared" ca="1" si="25"/>
        <v>4.3301477028355739E-3</v>
      </c>
      <c r="JK62" s="14">
        <f t="shared" ca="1" si="26"/>
        <v>8.1047914712731014E-5</v>
      </c>
      <c r="JL62" s="17">
        <f t="shared" ca="1" si="34"/>
        <v>9.0026615349423755E-3</v>
      </c>
      <c r="JM62" s="15" t="str">
        <f t="shared" ca="1" si="27"/>
        <v>[ -0,95% ; 2,65% ]</v>
      </c>
      <c r="JN62" s="17">
        <f t="shared" ca="1" si="28"/>
        <v>1.1523406764726241E-2</v>
      </c>
      <c r="LY62" s="1"/>
    </row>
    <row r="63" spans="1:337" x14ac:dyDescent="0.25">
      <c r="A63" s="4">
        <v>7</v>
      </c>
      <c r="B63" s="9">
        <f t="shared" ref="B63:BM63" ca="1" si="55">IF(B36="","",ABS(B36))</f>
        <v>3.4158526465776218E-3</v>
      </c>
      <c r="C63" s="9">
        <f t="shared" ca="1" si="55"/>
        <v>1.7366144882122736E-3</v>
      </c>
      <c r="D63" s="9">
        <f t="shared" ca="1" si="55"/>
        <v>4.2659482299591822E-3</v>
      </c>
      <c r="E63" s="9">
        <f t="shared" ca="1" si="55"/>
        <v>5.7373899099519843E-3</v>
      </c>
      <c r="F63" s="9">
        <f t="shared" ca="1" si="55"/>
        <v>5.1773136055448532E-3</v>
      </c>
      <c r="G63" s="9">
        <f t="shared" ca="1" si="55"/>
        <v>1.9099608025614501E-3</v>
      </c>
      <c r="H63" s="9">
        <f t="shared" ca="1" si="55"/>
        <v>1.9840023956245734E-3</v>
      </c>
      <c r="I63" s="9">
        <f t="shared" ca="1" si="55"/>
        <v>1.1293810417980499E-3</v>
      </c>
      <c r="J63" s="9">
        <f t="shared" ca="1" si="55"/>
        <v>3.2926767632135423E-4</v>
      </c>
      <c r="K63" s="9">
        <f t="shared" ca="1" si="55"/>
        <v>2.6626646364191764E-4</v>
      </c>
      <c r="L63" s="9">
        <f t="shared" ca="1" si="55"/>
        <v>2.4690865736332057E-4</v>
      </c>
      <c r="M63" s="9">
        <f t="shared" ca="1" si="55"/>
        <v>1.3844844980650528E-3</v>
      </c>
      <c r="N63" s="9">
        <f t="shared" ca="1" si="55"/>
        <v>5.3706134568691777E-3</v>
      </c>
      <c r="O63" s="9">
        <f t="shared" ca="1" si="55"/>
        <v>6.6479138178412445E-3</v>
      </c>
      <c r="P63" s="9">
        <f t="shared" ca="1" si="55"/>
        <v>4.7963468927594288E-3</v>
      </c>
      <c r="Q63" s="9">
        <f t="shared" ca="1" si="55"/>
        <v>3.388403126056927E-3</v>
      </c>
      <c r="R63" s="9">
        <f t="shared" ca="1" si="55"/>
        <v>1.6755111000692491E-3</v>
      </c>
      <c r="S63" s="9">
        <f t="shared" ca="1" si="55"/>
        <v>5.1054045107323809E-4</v>
      </c>
      <c r="T63" s="9">
        <f t="shared" ca="1" si="55"/>
        <v>1.0500650924869515E-3</v>
      </c>
      <c r="U63" s="9">
        <f t="shared" ca="1" si="55"/>
        <v>1.1909403260944584E-3</v>
      </c>
      <c r="V63" s="9">
        <f t="shared" ca="1" si="55"/>
        <v>1.5773321162023679E-3</v>
      </c>
      <c r="W63" s="9">
        <f t="shared" ca="1" si="55"/>
        <v>3.3624342536286989E-5</v>
      </c>
      <c r="X63" s="9">
        <f t="shared" ca="1" si="55"/>
        <v>3.5986207134730552E-4</v>
      </c>
      <c r="Y63" s="9">
        <f t="shared" ca="1" si="55"/>
        <v>7.9137081547897559E-4</v>
      </c>
      <c r="Z63" s="9">
        <f t="shared" ca="1" si="55"/>
        <v>2.0473338120450268E-3</v>
      </c>
      <c r="AA63" s="9">
        <f t="shared" ca="1" si="55"/>
        <v>2.8580604097860896E-3</v>
      </c>
      <c r="AB63" s="9">
        <f t="shared" ca="1" si="55"/>
        <v>2.5372361558424483E-3</v>
      </c>
      <c r="AC63" s="9">
        <f t="shared" ca="1" si="55"/>
        <v>1.0800012356672051E-3</v>
      </c>
      <c r="AD63" s="9">
        <f t="shared" ca="1" si="55"/>
        <v>1.387962867175796E-3</v>
      </c>
      <c r="AE63" s="9">
        <f t="shared" ca="1" si="55"/>
        <v>7.9338742095735881E-4</v>
      </c>
      <c r="AF63" s="9">
        <f t="shared" ca="1" si="55"/>
        <v>2.9351890427552485E-3</v>
      </c>
      <c r="AG63" s="9">
        <f t="shared" ca="1" si="55"/>
        <v>5.399543623873404E-3</v>
      </c>
      <c r="AH63" s="9">
        <f t="shared" ca="1" si="55"/>
        <v>8.3470931158120543E-3</v>
      </c>
      <c r="AI63" s="9">
        <f t="shared" ca="1" si="55"/>
        <v>6.4193857990891834E-3</v>
      </c>
      <c r="AJ63" s="9">
        <f t="shared" ca="1" si="55"/>
        <v>5.0232465826069994E-3</v>
      </c>
      <c r="AK63" s="9">
        <f t="shared" ca="1" si="55"/>
        <v>5.6561617922310514E-3</v>
      </c>
      <c r="AL63" s="9">
        <f t="shared" ca="1" si="55"/>
        <v>5.215585138782064E-3</v>
      </c>
      <c r="AM63" s="9">
        <f t="shared" ca="1" si="55"/>
        <v>2.4018701153022404E-3</v>
      </c>
      <c r="AN63" s="9">
        <f t="shared" ca="1" si="55"/>
        <v>1.3870160592684977E-3</v>
      </c>
      <c r="AO63" s="9">
        <f t="shared" ca="1" si="55"/>
        <v>5.76068212879699E-5</v>
      </c>
      <c r="AP63" s="9">
        <f t="shared" ca="1" si="55"/>
        <v>2.3927184301508753E-4</v>
      </c>
      <c r="AQ63" s="9">
        <f t="shared" ca="1" si="55"/>
        <v>8.6109261839428797E-4</v>
      </c>
      <c r="AR63" s="9">
        <f t="shared" ca="1" si="55"/>
        <v>4.1613904476094365E-3</v>
      </c>
      <c r="AS63" s="9">
        <f t="shared" ca="1" si="55"/>
        <v>7.3240425199156967E-3</v>
      </c>
      <c r="AT63" s="9">
        <f t="shared" ca="1" si="55"/>
        <v>5.8284482910357926E-3</v>
      </c>
      <c r="AU63" s="9">
        <f t="shared" ca="1" si="55"/>
        <v>1.2826338248081104E-2</v>
      </c>
      <c r="AV63" s="9">
        <f t="shared" ca="1" si="55"/>
        <v>1.8623203231179719E-2</v>
      </c>
      <c r="AW63" s="9">
        <f t="shared" ca="1" si="55"/>
        <v>2.0082717082992474E-2</v>
      </c>
      <c r="AX63" s="9">
        <f t="shared" ca="1" si="55"/>
        <v>2.2104369060072626E-2</v>
      </c>
      <c r="AY63" s="9">
        <f t="shared" ca="1" si="55"/>
        <v>2.5581336890698081E-2</v>
      </c>
      <c r="AZ63" s="9">
        <f t="shared" ca="1" si="55"/>
        <v>2.6750223657563188E-2</v>
      </c>
      <c r="BA63" s="9">
        <f t="shared" ca="1" si="55"/>
        <v>2.5897709585516626E-2</v>
      </c>
      <c r="BB63" s="9">
        <f t="shared" ca="1" si="55"/>
        <v>2.0397793099984129E-2</v>
      </c>
      <c r="BC63" s="9">
        <f t="shared" ca="1" si="55"/>
        <v>7.3973521500703132E-3</v>
      </c>
      <c r="BD63" s="9">
        <f t="shared" ca="1" si="55"/>
        <v>1.5260965956939598E-2</v>
      </c>
      <c r="BE63" s="9">
        <f t="shared" ca="1" si="55"/>
        <v>1.5575959012681162E-2</v>
      </c>
      <c r="BF63" s="9">
        <f t="shared" ca="1" si="55"/>
        <v>1.5640232771301443E-2</v>
      </c>
      <c r="BG63" s="9">
        <f t="shared" ca="1" si="55"/>
        <v>2.4796217274921872E-2</v>
      </c>
      <c r="BH63" s="9">
        <f t="shared" ca="1" si="55"/>
        <v>1.8865103336805022E-2</v>
      </c>
      <c r="BI63" s="9">
        <f t="shared" ca="1" si="55"/>
        <v>1.1550972675682614E-2</v>
      </c>
      <c r="BJ63" s="9">
        <f t="shared" ca="1" si="55"/>
        <v>1.185239192801979E-2</v>
      </c>
      <c r="BK63" s="9">
        <f t="shared" ca="1" si="55"/>
        <v>1.1566138587003505E-2</v>
      </c>
      <c r="BL63" s="9">
        <f t="shared" ca="1" si="55"/>
        <v>2.8727762682666191E-2</v>
      </c>
      <c r="BM63" s="9">
        <f t="shared" ca="1" si="55"/>
        <v>2.7548808224859167E-2</v>
      </c>
      <c r="BN63" s="9">
        <f t="shared" ref="BN63:DY63" ca="1" si="56">IF(BN36="","",ABS(BN36))</f>
        <v>2.0181842058674238E-2</v>
      </c>
      <c r="BO63" s="9">
        <f t="shared" ca="1" si="56"/>
        <v>1.5767179015298893E-2</v>
      </c>
      <c r="BP63" s="9">
        <f t="shared" ca="1" si="56"/>
        <v>1.2775472833272072E-2</v>
      </c>
      <c r="BQ63" s="9">
        <f t="shared" ca="1" si="56"/>
        <v>1.4470396107805872E-2</v>
      </c>
      <c r="BR63" s="9">
        <f t="shared" ca="1" si="56"/>
        <v>9.0742099687842748E-3</v>
      </c>
      <c r="BS63" s="9">
        <f t="shared" ca="1" si="56"/>
        <v>1.1509926216862754E-3</v>
      </c>
      <c r="BT63" s="9">
        <f t="shared" ca="1" si="56"/>
        <v>9.2077014962859138E-3</v>
      </c>
      <c r="BU63" s="9">
        <f t="shared" ca="1" si="56"/>
        <v>1.1154031221456084E-2</v>
      </c>
      <c r="BV63" s="9">
        <f t="shared" ca="1" si="56"/>
        <v>7.1617419137501859E-3</v>
      </c>
      <c r="BW63" s="9">
        <f t="shared" ca="1" si="56"/>
        <v>2.7659363517904545E-3</v>
      </c>
      <c r="BX63" s="9">
        <f t="shared" ca="1" si="56"/>
        <v>8.0689515307583726E-3</v>
      </c>
      <c r="BY63" s="9">
        <f t="shared" ca="1" si="56"/>
        <v>5.9289699857740796E-3</v>
      </c>
      <c r="BZ63" s="9">
        <f t="shared" ca="1" si="56"/>
        <v>3.8089950551934981E-3</v>
      </c>
      <c r="CA63" s="9">
        <f t="shared" ca="1" si="56"/>
        <v>2.3933452140514344E-3</v>
      </c>
      <c r="CB63" s="9">
        <f t="shared" ca="1" si="56"/>
        <v>3.8248224373595985E-3</v>
      </c>
      <c r="CC63" s="9">
        <f t="shared" ca="1" si="56"/>
        <v>2.1843370745906476E-3</v>
      </c>
      <c r="CD63" s="9">
        <f t="shared" ca="1" si="56"/>
        <v>6.4515604488264433E-3</v>
      </c>
      <c r="CE63" s="9">
        <f t="shared" ca="1" si="56"/>
        <v>3.1737547903050167E-3</v>
      </c>
      <c r="CF63" s="9">
        <f t="shared" ca="1" si="56"/>
        <v>2.5270332578289922E-3</v>
      </c>
      <c r="CG63" s="9">
        <f t="shared" ca="1" si="56"/>
        <v>2.4676475184429725E-3</v>
      </c>
      <c r="CH63" s="9">
        <f t="shared" ca="1" si="56"/>
        <v>5.1432822142426504E-3</v>
      </c>
      <c r="CI63" s="9">
        <f t="shared" ca="1" si="56"/>
        <v>1.470886466836685E-4</v>
      </c>
      <c r="CJ63" s="9">
        <f t="shared" ca="1" si="56"/>
        <v>5.3057330621533172E-3</v>
      </c>
      <c r="CK63" s="9">
        <f t="shared" ca="1" si="56"/>
        <v>6.4441312969014675E-3</v>
      </c>
      <c r="CL63" s="9">
        <f t="shared" ca="1" si="56"/>
        <v>7.8145094834356499E-3</v>
      </c>
      <c r="CM63" s="9">
        <f t="shared" ca="1" si="56"/>
        <v>8.4620963134087734E-3</v>
      </c>
      <c r="CN63" s="9">
        <f t="shared" ca="1" si="56"/>
        <v>6.6089311756254432E-3</v>
      </c>
      <c r="CO63" s="9">
        <f t="shared" ca="1" si="56"/>
        <v>3.0092609314671392E-3</v>
      </c>
      <c r="CP63" s="9">
        <f t="shared" ca="1" si="56"/>
        <v>2.5120051553879641E-3</v>
      </c>
      <c r="CQ63" s="9">
        <f t="shared" ca="1" si="56"/>
        <v>5.6045844264529521E-3</v>
      </c>
      <c r="CR63" s="9">
        <f t="shared" ca="1" si="56"/>
        <v>3.4168553428137738E-3</v>
      </c>
      <c r="CS63" s="9">
        <f t="shared" ca="1" si="56"/>
        <v>9.5336484926566989E-4</v>
      </c>
      <c r="CT63" s="9">
        <f t="shared" ca="1" si="56"/>
        <v>1.0241301955647986E-3</v>
      </c>
      <c r="CU63" s="9">
        <f t="shared" ca="1" si="56"/>
        <v>1.1903523043294895E-2</v>
      </c>
      <c r="CV63" s="9">
        <f t="shared" ca="1" si="56"/>
        <v>7.6298103354599522E-4</v>
      </c>
      <c r="CW63" s="9">
        <f t="shared" ca="1" si="56"/>
        <v>2.2135332697474919E-3</v>
      </c>
      <c r="CX63" s="9">
        <f t="shared" ca="1" si="56"/>
        <v>4.23030268576019E-3</v>
      </c>
      <c r="CY63" s="9">
        <f t="shared" ca="1" si="56"/>
        <v>4.4758531286710479E-3</v>
      </c>
      <c r="CZ63" s="9">
        <f t="shared" ca="1" si="56"/>
        <v>4.231268095808316E-3</v>
      </c>
      <c r="DA63" s="9">
        <f t="shared" ca="1" si="56"/>
        <v>6.0296254772533864E-3</v>
      </c>
      <c r="DB63" s="9">
        <f t="shared" ca="1" si="56"/>
        <v>3.0980474084260079E-3</v>
      </c>
      <c r="DC63" s="9">
        <f t="shared" ca="1" si="56"/>
        <v>5.6746829593350423E-3</v>
      </c>
      <c r="DD63" s="9">
        <f t="shared" ca="1" si="56"/>
        <v>4.8356110066876123E-3</v>
      </c>
      <c r="DE63" s="9">
        <f t="shared" ca="1" si="56"/>
        <v>1.1581025661252409E-2</v>
      </c>
      <c r="DF63" s="9">
        <f t="shared" ca="1" si="56"/>
        <v>7.6320134299391329E-3</v>
      </c>
      <c r="DG63" s="9">
        <f t="shared" ca="1" si="56"/>
        <v>9.4086009834480899E-3</v>
      </c>
      <c r="DH63" s="9">
        <f t="shared" ca="1" si="56"/>
        <v>1.5880935881615654E-2</v>
      </c>
      <c r="DI63" s="9">
        <f t="shared" ca="1" si="56"/>
        <v>1.1544742419840492E-2</v>
      </c>
      <c r="DJ63" s="9">
        <f t="shared" ca="1" si="56"/>
        <v>5.7934506339036851E-3</v>
      </c>
      <c r="DK63" s="9">
        <f t="shared" ca="1" si="56"/>
        <v>6.2921896668234334E-3</v>
      </c>
      <c r="DL63" s="9">
        <f t="shared" ca="1" si="56"/>
        <v>3.4454123318761187E-4</v>
      </c>
      <c r="DM63" s="9">
        <f t="shared" ca="1" si="56"/>
        <v>1.2095391440114511E-4</v>
      </c>
      <c r="DN63" s="9">
        <f t="shared" ca="1" si="56"/>
        <v>1.5353683613591018E-2</v>
      </c>
      <c r="DO63" s="9">
        <f t="shared" ca="1" si="56"/>
        <v>1.3422144593985275E-2</v>
      </c>
      <c r="DP63" s="9">
        <f t="shared" ca="1" si="56"/>
        <v>1.2481135204730265E-2</v>
      </c>
      <c r="DQ63" s="9">
        <f t="shared" ca="1" si="56"/>
        <v>5.8281872194985151E-3</v>
      </c>
      <c r="DR63" s="9">
        <f t="shared" ca="1" si="56"/>
        <v>1.7027076620388382E-3</v>
      </c>
      <c r="DS63" s="9">
        <f t="shared" ca="1" si="56"/>
        <v>7.2580724557089749E-3</v>
      </c>
      <c r="DT63" s="9">
        <f t="shared" ca="1" si="56"/>
        <v>3.8863168903333634E-3</v>
      </c>
      <c r="DU63" s="9">
        <f t="shared" ca="1" si="56"/>
        <v>3.3044049683050858E-4</v>
      </c>
      <c r="DV63" s="9">
        <f t="shared" ca="1" si="56"/>
        <v>9.1728240360677837E-3</v>
      </c>
      <c r="DW63" s="9">
        <f t="shared" ca="1" si="56"/>
        <v>1.1627032544448523E-2</v>
      </c>
      <c r="DX63" s="9">
        <f t="shared" ca="1" si="56"/>
        <v>8.8338042871651812E-3</v>
      </c>
      <c r="DY63" s="9">
        <f t="shared" ca="1" si="56"/>
        <v>3.4936390431379305E-3</v>
      </c>
      <c r="DZ63" s="9">
        <f t="shared" ref="DZ63:GK63" ca="1" si="57">IF(DZ36="","",ABS(DZ36))</f>
        <v>4.5208294231133817E-3</v>
      </c>
      <c r="EA63" s="9">
        <f t="shared" ca="1" si="57"/>
        <v>2.3208210204294089E-3</v>
      </c>
      <c r="EB63" s="9">
        <f t="shared" ca="1" si="57"/>
        <v>2.849854892259529E-4</v>
      </c>
      <c r="EC63" s="9">
        <f t="shared" ca="1" si="57"/>
        <v>2.8543895125479057E-3</v>
      </c>
      <c r="ED63" s="9">
        <f t="shared" ca="1" si="57"/>
        <v>2.91828264164673E-3</v>
      </c>
      <c r="EE63" s="9">
        <f t="shared" ca="1" si="57"/>
        <v>2.1870758120402511E-3</v>
      </c>
      <c r="EF63" s="9">
        <f t="shared" ca="1" si="57"/>
        <v>2.05186897151588E-3</v>
      </c>
      <c r="EG63" s="9">
        <f t="shared" ca="1" si="57"/>
        <v>7.8595749742189636E-3</v>
      </c>
      <c r="EH63" s="9">
        <f t="shared" ca="1" si="57"/>
        <v>1.0163182881087307E-2</v>
      </c>
      <c r="EI63" s="9">
        <f t="shared" ca="1" si="57"/>
        <v>8.130168672047855E-3</v>
      </c>
      <c r="EJ63" s="9">
        <f t="shared" ca="1" si="57"/>
        <v>9.1002723357220816E-3</v>
      </c>
      <c r="EK63" s="9">
        <f t="shared" ca="1" si="57"/>
        <v>1.2894228023496712E-3</v>
      </c>
      <c r="EL63" s="9">
        <f t="shared" ca="1" si="57"/>
        <v>3.9607806003637558E-3</v>
      </c>
      <c r="EM63" s="9">
        <f t="shared" ca="1" si="57"/>
        <v>1.7764131718843723E-3</v>
      </c>
      <c r="EN63" s="9">
        <f t="shared" ca="1" si="57"/>
        <v>3.9093388577109422E-3</v>
      </c>
      <c r="EO63" s="9">
        <f t="shared" ca="1" si="57"/>
        <v>1.304623731188892E-3</v>
      </c>
      <c r="EP63" s="9">
        <f t="shared" ca="1" si="57"/>
        <v>1.0178005436267679E-3</v>
      </c>
      <c r="EQ63" s="9">
        <f t="shared" ca="1" si="57"/>
        <v>9.21860567731414E-3</v>
      </c>
      <c r="ER63" s="9">
        <f t="shared" ca="1" si="57"/>
        <v>4.7215167152891979E-4</v>
      </c>
      <c r="ES63" s="9">
        <f t="shared" ca="1" si="57"/>
        <v>4.5199760019292157E-3</v>
      </c>
      <c r="ET63" s="9">
        <f t="shared" ca="1" si="57"/>
        <v>2.0084059350815586E-3</v>
      </c>
      <c r="EU63" s="9">
        <f t="shared" ca="1" si="57"/>
        <v>2.1995068400273432E-3</v>
      </c>
      <c r="EV63" s="9">
        <f t="shared" ca="1" si="57"/>
        <v>2.9655700036612664E-3</v>
      </c>
      <c r="EW63" s="9">
        <f t="shared" ca="1" si="57"/>
        <v>4.621587123633919E-3</v>
      </c>
      <c r="EX63" s="9">
        <f t="shared" ca="1" si="57"/>
        <v>3.6002593952270123E-3</v>
      </c>
      <c r="EY63" s="9">
        <f t="shared" ca="1" si="57"/>
        <v>3.9455967404135039E-3</v>
      </c>
      <c r="EZ63" s="9">
        <f t="shared" ca="1" si="57"/>
        <v>1.5481261222556331E-3</v>
      </c>
      <c r="FA63" s="9">
        <f t="shared" ca="1" si="57"/>
        <v>1.8480189178934348E-3</v>
      </c>
      <c r="FB63" s="9">
        <f t="shared" ca="1" si="57"/>
        <v>1.4454708225769552E-3</v>
      </c>
      <c r="FC63" s="9">
        <f t="shared" ca="1" si="57"/>
        <v>4.2793000321632579E-3</v>
      </c>
      <c r="FD63" s="9">
        <f t="shared" ca="1" si="57"/>
        <v>4.6170642088778635E-3</v>
      </c>
      <c r="FE63" s="9">
        <f t="shared" ca="1" si="57"/>
        <v>2.104505737449136E-3</v>
      </c>
      <c r="FF63" s="9">
        <f t="shared" ca="1" si="57"/>
        <v>7.4055998138959911E-3</v>
      </c>
      <c r="FG63" s="9">
        <f t="shared" ca="1" si="57"/>
        <v>8.9476672792743184E-3</v>
      </c>
      <c r="FH63" s="9">
        <f t="shared" ca="1" si="57"/>
        <v>4.1751424023277472E-3</v>
      </c>
      <c r="FI63" s="9">
        <f t="shared" ca="1" si="57"/>
        <v>9.1641125426931147E-3</v>
      </c>
      <c r="FJ63" s="9">
        <f t="shared" ca="1" si="57"/>
        <v>1.109271449928062E-2</v>
      </c>
      <c r="FK63" s="9">
        <f t="shared" ca="1" si="57"/>
        <v>5.5028678617581317E-3</v>
      </c>
      <c r="FL63" s="9">
        <f t="shared" ca="1" si="57"/>
        <v>4.1979326409146145E-3</v>
      </c>
      <c r="FM63" s="9">
        <f t="shared" ca="1" si="57"/>
        <v>1.2429756998583619E-2</v>
      </c>
      <c r="FN63" s="9">
        <f t="shared" ca="1" si="57"/>
        <v>1.7719208497777084E-2</v>
      </c>
      <c r="FO63" s="9">
        <f t="shared" ca="1" si="57"/>
        <v>8.8347849578617188E-3</v>
      </c>
      <c r="FP63" s="9">
        <f t="shared" ca="1" si="57"/>
        <v>6.5758389313304022E-3</v>
      </c>
      <c r="FQ63" s="9">
        <f t="shared" ca="1" si="57"/>
        <v>8.9089118469047879E-3</v>
      </c>
      <c r="FR63" s="9">
        <f t="shared" ca="1" si="57"/>
        <v>3.7376854895401213E-3</v>
      </c>
      <c r="FS63" s="9">
        <f t="shared" ca="1" si="57"/>
        <v>5.4247402624585384E-4</v>
      </c>
      <c r="FT63" s="9">
        <f t="shared" ca="1" si="57"/>
        <v>3.7149414591721719E-3</v>
      </c>
      <c r="FU63" s="9">
        <f t="shared" ca="1" si="57"/>
        <v>2.55670672973074E-3</v>
      </c>
      <c r="FV63" s="9">
        <f t="shared" ca="1" si="57"/>
        <v>2.2397361817191319E-3</v>
      </c>
      <c r="FW63" s="9">
        <f t="shared" ca="1" si="57"/>
        <v>3.34300947075028E-3</v>
      </c>
      <c r="FX63" s="9">
        <f t="shared" ca="1" si="57"/>
        <v>7.6094934817185766E-3</v>
      </c>
      <c r="FY63" s="9">
        <f t="shared" ca="1" si="57"/>
        <v>4.6581375459038288E-3</v>
      </c>
      <c r="FZ63" s="9">
        <f t="shared" ca="1" si="57"/>
        <v>1.064038662675415E-2</v>
      </c>
      <c r="GA63" s="9">
        <f t="shared" ca="1" si="57"/>
        <v>5.3371439260485598E-4</v>
      </c>
      <c r="GB63" s="9">
        <f t="shared" ca="1" si="57"/>
        <v>4.5716649387594899E-4</v>
      </c>
      <c r="GC63" s="9">
        <f t="shared" ca="1" si="57"/>
        <v>1.021663580366039E-3</v>
      </c>
      <c r="GD63" s="9">
        <f t="shared" ca="1" si="57"/>
        <v>4.1244134737681293E-3</v>
      </c>
      <c r="GE63" s="9">
        <f t="shared" ca="1" si="57"/>
        <v>5.3774284656018523E-3</v>
      </c>
      <c r="GF63" s="9">
        <f t="shared" ca="1" si="57"/>
        <v>4.4460575055932372E-3</v>
      </c>
      <c r="GG63" s="9">
        <f t="shared" ca="1" si="57"/>
        <v>3.6390394198869691E-3</v>
      </c>
      <c r="GH63" s="9">
        <f t="shared" ca="1" si="57"/>
        <v>7.4522394861498142E-4</v>
      </c>
      <c r="GI63" s="9">
        <f t="shared" ca="1" si="57"/>
        <v>2.2826086255631983E-2</v>
      </c>
      <c r="GJ63" s="9">
        <f t="shared" ca="1" si="57"/>
        <v>2.7270461615849007E-2</v>
      </c>
      <c r="GK63" s="9">
        <f t="shared" ca="1" si="57"/>
        <v>2.1314746830490172E-2</v>
      </c>
      <c r="GL63" s="9">
        <f t="shared" ref="GL63:IW63" ca="1" si="58">IF(GL36="","",ABS(GL36))</f>
        <v>1.2187091775762049E-2</v>
      </c>
      <c r="GM63" s="9">
        <f t="shared" ca="1" si="58"/>
        <v>6.6367841354249002E-3</v>
      </c>
      <c r="GN63" s="9">
        <f t="shared" ca="1" si="58"/>
        <v>7.9739977629889047E-3</v>
      </c>
      <c r="GO63" s="9">
        <f t="shared" ca="1" si="58"/>
        <v>4.4648799256066241E-3</v>
      </c>
      <c r="GP63" s="9">
        <f t="shared" ca="1" si="58"/>
        <v>3.5626297527077133E-2</v>
      </c>
      <c r="GQ63" s="9">
        <f t="shared" ca="1" si="58"/>
        <v>3.3147459829825254E-2</v>
      </c>
      <c r="GR63" s="9">
        <f t="shared" ca="1" si="58"/>
        <v>2.0819749572014379E-2</v>
      </c>
      <c r="GS63" s="9" t="str">
        <f t="shared" ca="1" si="58"/>
        <v/>
      </c>
      <c r="GT63" s="9" t="str">
        <f t="shared" ca="1" si="58"/>
        <v/>
      </c>
      <c r="GU63" s="9" t="str">
        <f t="shared" ca="1" si="58"/>
        <v/>
      </c>
      <c r="GV63" s="9" t="str">
        <f t="shared" ca="1" si="58"/>
        <v/>
      </c>
      <c r="GW63" s="9" t="str">
        <f t="shared" ca="1" si="58"/>
        <v/>
      </c>
      <c r="GX63" s="9" t="str">
        <f t="shared" ca="1" si="58"/>
        <v/>
      </c>
      <c r="GY63" s="9" t="str">
        <f t="shared" ca="1" si="58"/>
        <v/>
      </c>
      <c r="GZ63" s="9" t="str">
        <f t="shared" ca="1" si="58"/>
        <v/>
      </c>
      <c r="HA63" s="9" t="str">
        <f t="shared" ca="1" si="58"/>
        <v/>
      </c>
      <c r="HB63" s="9" t="str">
        <f t="shared" ca="1" si="58"/>
        <v/>
      </c>
      <c r="HC63" s="9" t="str">
        <f t="shared" ca="1" si="58"/>
        <v/>
      </c>
      <c r="HD63" s="9" t="str">
        <f t="shared" ca="1" si="58"/>
        <v/>
      </c>
      <c r="HE63" s="9" t="str">
        <f t="shared" ca="1" si="58"/>
        <v/>
      </c>
      <c r="HF63" s="9" t="str">
        <f t="shared" ca="1" si="58"/>
        <v/>
      </c>
      <c r="HG63" s="9" t="str">
        <f t="shared" ca="1" si="58"/>
        <v/>
      </c>
      <c r="HH63" s="9" t="str">
        <f t="shared" ca="1" si="58"/>
        <v/>
      </c>
      <c r="HI63" s="9" t="str">
        <f t="shared" ca="1" si="58"/>
        <v/>
      </c>
      <c r="HJ63" s="9" t="str">
        <f t="shared" ca="1" si="58"/>
        <v/>
      </c>
      <c r="HK63" s="9" t="str">
        <f t="shared" ca="1" si="58"/>
        <v/>
      </c>
      <c r="HL63" s="9" t="str">
        <f t="shared" ca="1" si="58"/>
        <v/>
      </c>
      <c r="HM63" s="9" t="str">
        <f t="shared" ca="1" si="58"/>
        <v/>
      </c>
      <c r="HN63" s="9" t="str">
        <f t="shared" ca="1" si="58"/>
        <v/>
      </c>
      <c r="HO63" s="9" t="str">
        <f t="shared" ca="1" si="58"/>
        <v/>
      </c>
      <c r="HP63" s="9" t="str">
        <f t="shared" ca="1" si="58"/>
        <v/>
      </c>
      <c r="HQ63" s="9" t="str">
        <f t="shared" ca="1" si="58"/>
        <v/>
      </c>
      <c r="HR63" s="9" t="str">
        <f t="shared" ca="1" si="58"/>
        <v/>
      </c>
      <c r="HS63" s="9" t="str">
        <f t="shared" ca="1" si="58"/>
        <v/>
      </c>
      <c r="HT63" s="9" t="str">
        <f t="shared" ca="1" si="58"/>
        <v/>
      </c>
      <c r="HU63" s="9" t="str">
        <f t="shared" ca="1" si="58"/>
        <v/>
      </c>
      <c r="HV63" s="9" t="str">
        <f t="shared" ca="1" si="58"/>
        <v/>
      </c>
      <c r="HW63" s="9" t="str">
        <f t="shared" ca="1" si="58"/>
        <v/>
      </c>
      <c r="HX63" s="9" t="str">
        <f t="shared" ca="1" si="58"/>
        <v/>
      </c>
      <c r="HY63" s="9" t="str">
        <f t="shared" ca="1" si="58"/>
        <v/>
      </c>
      <c r="HZ63" s="9" t="str">
        <f t="shared" ca="1" si="58"/>
        <v/>
      </c>
      <c r="IA63" s="9" t="str">
        <f t="shared" ca="1" si="58"/>
        <v/>
      </c>
      <c r="IB63" s="9" t="str">
        <f t="shared" ca="1" si="58"/>
        <v/>
      </c>
      <c r="IC63" s="9" t="str">
        <f t="shared" ca="1" si="58"/>
        <v/>
      </c>
      <c r="ID63" s="9" t="str">
        <f t="shared" ca="1" si="58"/>
        <v/>
      </c>
      <c r="IE63" s="9" t="str">
        <f t="shared" ca="1" si="58"/>
        <v/>
      </c>
      <c r="IF63" s="9" t="str">
        <f t="shared" ca="1" si="58"/>
        <v/>
      </c>
      <c r="IG63" s="9" t="str">
        <f t="shared" ca="1" si="58"/>
        <v/>
      </c>
      <c r="IH63" s="9" t="str">
        <f t="shared" ca="1" si="58"/>
        <v/>
      </c>
      <c r="II63" s="9" t="str">
        <f t="shared" ca="1" si="58"/>
        <v/>
      </c>
      <c r="IJ63" s="9" t="str">
        <f t="shared" ca="1" si="58"/>
        <v/>
      </c>
      <c r="IK63" s="9" t="str">
        <f t="shared" ca="1" si="58"/>
        <v/>
      </c>
      <c r="IL63" s="9" t="str">
        <f t="shared" ca="1" si="58"/>
        <v/>
      </c>
      <c r="IM63" s="9" t="str">
        <f t="shared" ca="1" si="58"/>
        <v/>
      </c>
      <c r="IN63" s="9" t="str">
        <f t="shared" ca="1" si="58"/>
        <v/>
      </c>
      <c r="IO63" s="9" t="str">
        <f t="shared" ca="1" si="58"/>
        <v/>
      </c>
      <c r="IP63" s="9" t="str">
        <f t="shared" ca="1" si="58"/>
        <v/>
      </c>
      <c r="IQ63" s="9" t="str">
        <f t="shared" ca="1" si="58"/>
        <v/>
      </c>
      <c r="IR63" s="9" t="str">
        <f t="shared" ca="1" si="58"/>
        <v/>
      </c>
      <c r="IS63" s="9" t="str">
        <f t="shared" ca="1" si="58"/>
        <v/>
      </c>
      <c r="IT63" s="9" t="str">
        <f t="shared" ca="1" si="58"/>
        <v/>
      </c>
      <c r="IU63" s="9" t="str">
        <f t="shared" ca="1" si="58"/>
        <v/>
      </c>
      <c r="IV63" s="9" t="str">
        <f t="shared" ca="1" si="58"/>
        <v/>
      </c>
      <c r="IW63" s="9" t="str">
        <f t="shared" ca="1" si="58"/>
        <v/>
      </c>
      <c r="IX63" s="9" t="str">
        <f t="shared" ref="IX63:JH63" ca="1" si="59">IF(IX36="","",ABS(IX36))</f>
        <v/>
      </c>
      <c r="IY63" s="9" t="str">
        <f t="shared" ca="1" si="59"/>
        <v/>
      </c>
      <c r="IZ63" s="9" t="str">
        <f t="shared" ca="1" si="59"/>
        <v/>
      </c>
      <c r="JA63" s="9" t="str">
        <f t="shared" ca="1" si="59"/>
        <v/>
      </c>
      <c r="JB63" s="9" t="str">
        <f t="shared" ca="1" si="59"/>
        <v/>
      </c>
      <c r="JC63" s="9" t="str">
        <f t="shared" ca="1" si="59"/>
        <v/>
      </c>
      <c r="JD63" s="9" t="str">
        <f t="shared" ca="1" si="59"/>
        <v/>
      </c>
      <c r="JE63" s="9" t="str">
        <f t="shared" ca="1" si="59"/>
        <v/>
      </c>
      <c r="JF63" s="9" t="str">
        <f t="shared" ca="1" si="59"/>
        <v/>
      </c>
      <c r="JG63" s="9" t="str">
        <f t="shared" ca="1" si="59"/>
        <v/>
      </c>
      <c r="JH63" s="9" t="str">
        <f t="shared" ca="1" si="59"/>
        <v/>
      </c>
      <c r="JI63" s="13">
        <f t="shared" ca="1" si="24"/>
        <v>9.30584804890793E-3</v>
      </c>
      <c r="JJ63" s="13">
        <f t="shared" ca="1" si="25"/>
        <v>4.5615087357552264E-3</v>
      </c>
      <c r="JK63" s="14">
        <f t="shared" ca="1" si="26"/>
        <v>9.9136254507057987E-5</v>
      </c>
      <c r="JL63" s="17">
        <f t="shared" ca="1" si="34"/>
        <v>9.9567190633791606E-3</v>
      </c>
      <c r="JM63" s="15" t="str">
        <f t="shared" ca="1" si="27"/>
        <v>[ -1,06% ; 2,92% ]</v>
      </c>
      <c r="JN63" s="17">
        <f t="shared" ca="1" si="28"/>
        <v>1.2744600401125326E-2</v>
      </c>
      <c r="LY63" s="1"/>
    </row>
    <row r="64" spans="1:337" x14ac:dyDescent="0.25">
      <c r="A64" s="4">
        <v>8</v>
      </c>
      <c r="B64" s="9">
        <f t="shared" ref="B64:BM64" ca="1" si="60">IF(B37="","",ABS(B37))</f>
        <v>2.9380529964874169E-3</v>
      </c>
      <c r="C64" s="9">
        <f t="shared" ca="1" si="60"/>
        <v>2.5998453288034185E-3</v>
      </c>
      <c r="D64" s="9">
        <f t="shared" ca="1" si="60"/>
        <v>4.9863146342021825E-3</v>
      </c>
      <c r="E64" s="9">
        <f t="shared" ca="1" si="60"/>
        <v>6.4094221166866028E-3</v>
      </c>
      <c r="F64" s="9">
        <f t="shared" ca="1" si="60"/>
        <v>5.2641933126968965E-3</v>
      </c>
      <c r="G64" s="9">
        <f t="shared" ca="1" si="60"/>
        <v>1.7727833523843994E-3</v>
      </c>
      <c r="H64" s="9">
        <f t="shared" ca="1" si="60"/>
        <v>3.1597902985756043E-3</v>
      </c>
      <c r="I64" s="9">
        <f t="shared" ca="1" si="60"/>
        <v>1.8134760650296844E-3</v>
      </c>
      <c r="J64" s="9">
        <f t="shared" ca="1" si="60"/>
        <v>1.6221973502084097E-4</v>
      </c>
      <c r="K64" s="9">
        <f t="shared" ca="1" si="60"/>
        <v>5.1380334897266344E-5</v>
      </c>
      <c r="L64" s="9">
        <f t="shared" ca="1" si="60"/>
        <v>3.3434169337454023E-4</v>
      </c>
      <c r="M64" s="9">
        <f t="shared" ca="1" si="60"/>
        <v>2.3811232358339485E-3</v>
      </c>
      <c r="N64" s="9">
        <f t="shared" ca="1" si="60"/>
        <v>6.3905448265331177E-3</v>
      </c>
      <c r="O64" s="9">
        <f t="shared" ca="1" si="60"/>
        <v>7.2413686074170869E-3</v>
      </c>
      <c r="P64" s="9">
        <f t="shared" ca="1" si="60"/>
        <v>5.4136514991567353E-3</v>
      </c>
      <c r="Q64" s="9">
        <f t="shared" ca="1" si="60"/>
        <v>3.560914362758405E-3</v>
      </c>
      <c r="R64" s="9">
        <f t="shared" ca="1" si="60"/>
        <v>1.2427484389558874E-3</v>
      </c>
      <c r="S64" s="9">
        <f t="shared" ca="1" si="60"/>
        <v>5.9656006682606844E-4</v>
      </c>
      <c r="T64" s="9">
        <f t="shared" ca="1" si="60"/>
        <v>1.1692628699115915E-3</v>
      </c>
      <c r="U64" s="9">
        <f t="shared" ca="1" si="60"/>
        <v>4.2405507916987162E-4</v>
      </c>
      <c r="V64" s="9">
        <f t="shared" ca="1" si="60"/>
        <v>1.3034330124335192E-3</v>
      </c>
      <c r="W64" s="9">
        <f t="shared" ca="1" si="60"/>
        <v>4.4814757559019647E-4</v>
      </c>
      <c r="X64" s="9">
        <f t="shared" ca="1" si="60"/>
        <v>1.2513981381578887E-5</v>
      </c>
      <c r="Y64" s="9">
        <f t="shared" ca="1" si="60"/>
        <v>1.2382973392288665E-3</v>
      </c>
      <c r="Z64" s="9">
        <f t="shared" ca="1" si="60"/>
        <v>2.6174185109553161E-3</v>
      </c>
      <c r="AA64" s="9">
        <f t="shared" ca="1" si="60"/>
        <v>2.4888923203671975E-3</v>
      </c>
      <c r="AB64" s="9">
        <f t="shared" ca="1" si="60"/>
        <v>1.8634644324360128E-3</v>
      </c>
      <c r="AC64" s="9">
        <f t="shared" ca="1" si="60"/>
        <v>1.3335905577841478E-3</v>
      </c>
      <c r="AD64" s="9">
        <f t="shared" ca="1" si="60"/>
        <v>2.4286262656622037E-3</v>
      </c>
      <c r="AE64" s="9">
        <f t="shared" ca="1" si="60"/>
        <v>1.376693873233803E-3</v>
      </c>
      <c r="AF64" s="9">
        <f t="shared" ca="1" si="60"/>
        <v>4.0248499931889725E-3</v>
      </c>
      <c r="AG64" s="9">
        <f t="shared" ca="1" si="60"/>
        <v>6.9210039439492332E-3</v>
      </c>
      <c r="AH64" s="9">
        <f t="shared" ca="1" si="60"/>
        <v>9.5834105770171707E-3</v>
      </c>
      <c r="AI64" s="9">
        <f t="shared" ca="1" si="60"/>
        <v>7.0347095259659653E-3</v>
      </c>
      <c r="AJ64" s="9">
        <f t="shared" ca="1" si="60"/>
        <v>5.8561428991776854E-3</v>
      </c>
      <c r="AK64" s="9">
        <f t="shared" ca="1" si="60"/>
        <v>6.527407116809103E-3</v>
      </c>
      <c r="AL64" s="9">
        <f t="shared" ca="1" si="60"/>
        <v>5.0114430709735647E-3</v>
      </c>
      <c r="AM64" s="9">
        <f t="shared" ca="1" si="60"/>
        <v>2.8878151082999404E-3</v>
      </c>
      <c r="AN64" s="9">
        <f t="shared" ca="1" si="60"/>
        <v>1.695084119359147E-3</v>
      </c>
      <c r="AO64" s="9">
        <f t="shared" ca="1" si="60"/>
        <v>7.4363413294120662E-4</v>
      </c>
      <c r="AP64" s="9">
        <f t="shared" ca="1" si="60"/>
        <v>1.0333557000448135E-3</v>
      </c>
      <c r="AQ64" s="9">
        <f t="shared" ca="1" si="60"/>
        <v>1.8524218977411522E-3</v>
      </c>
      <c r="AR64" s="9">
        <f t="shared" ca="1" si="60"/>
        <v>6.7473133128301832E-3</v>
      </c>
      <c r="AS64" s="9">
        <f t="shared" ca="1" si="60"/>
        <v>9.8984581390648696E-3</v>
      </c>
      <c r="AT64" s="9">
        <f t="shared" ca="1" si="60"/>
        <v>9.955995088164693E-3</v>
      </c>
      <c r="AU64" s="9">
        <f t="shared" ca="1" si="60"/>
        <v>1.8246296257429684E-2</v>
      </c>
      <c r="AV64" s="9">
        <f t="shared" ca="1" si="60"/>
        <v>2.2836574038371804E-2</v>
      </c>
      <c r="AW64" s="9">
        <f t="shared" ca="1" si="60"/>
        <v>2.5293507326350273E-2</v>
      </c>
      <c r="AX64" s="9">
        <f t="shared" ca="1" si="60"/>
        <v>2.7175950612634558E-2</v>
      </c>
      <c r="AY64" s="9">
        <f t="shared" ca="1" si="60"/>
        <v>2.968522346197755E-2</v>
      </c>
      <c r="AZ64" s="9">
        <f t="shared" ca="1" si="60"/>
        <v>3.2763219704316615E-2</v>
      </c>
      <c r="BA64" s="9">
        <f t="shared" ca="1" si="60"/>
        <v>3.2488550089471824E-2</v>
      </c>
      <c r="BB64" s="9">
        <f t="shared" ca="1" si="60"/>
        <v>2.4271889052867701E-2</v>
      </c>
      <c r="BC64" s="9">
        <f t="shared" ca="1" si="60"/>
        <v>1.1980817226345142E-2</v>
      </c>
      <c r="BD64" s="9">
        <f t="shared" ca="1" si="60"/>
        <v>2.0523747950215387E-2</v>
      </c>
      <c r="BE64" s="9">
        <f t="shared" ca="1" si="60"/>
        <v>1.8359304873805105E-2</v>
      </c>
      <c r="BF64" s="9">
        <f t="shared" ca="1" si="60"/>
        <v>1.7497407399434062E-2</v>
      </c>
      <c r="BG64" s="9">
        <f t="shared" ca="1" si="60"/>
        <v>2.7373337328255198E-2</v>
      </c>
      <c r="BH64" s="9">
        <f t="shared" ca="1" si="60"/>
        <v>1.9002216129188287E-2</v>
      </c>
      <c r="BI64" s="9">
        <f t="shared" ca="1" si="60"/>
        <v>1.2013497222376213E-2</v>
      </c>
      <c r="BJ64" s="9">
        <f t="shared" ca="1" si="60"/>
        <v>1.1806063382050258E-2</v>
      </c>
      <c r="BK64" s="9">
        <f t="shared" ca="1" si="60"/>
        <v>1.8007753069358312E-2</v>
      </c>
      <c r="BL64" s="9">
        <f t="shared" ca="1" si="60"/>
        <v>3.4736656767000773E-2</v>
      </c>
      <c r="BM64" s="9">
        <f t="shared" ca="1" si="60"/>
        <v>3.2970089210472953E-2</v>
      </c>
      <c r="BN64" s="9">
        <f t="shared" ref="BN64:DY64" ca="1" si="61">IF(BN37="","",ABS(BN37))</f>
        <v>2.5452874050461816E-2</v>
      </c>
      <c r="BO64" s="9">
        <f t="shared" ca="1" si="61"/>
        <v>1.9450663427914794E-2</v>
      </c>
      <c r="BP64" s="9">
        <f t="shared" ca="1" si="61"/>
        <v>1.3712963501578246E-2</v>
      </c>
      <c r="BQ64" s="9">
        <f t="shared" ca="1" si="61"/>
        <v>1.7673389050402499E-2</v>
      </c>
      <c r="BR64" s="9">
        <f t="shared" ca="1" si="61"/>
        <v>1.2403852289310957E-2</v>
      </c>
      <c r="BS64" s="9">
        <f t="shared" ca="1" si="61"/>
        <v>2.9741856138383316E-3</v>
      </c>
      <c r="BT64" s="9">
        <f t="shared" ca="1" si="61"/>
        <v>1.1637327761797156E-2</v>
      </c>
      <c r="BU64" s="9">
        <f t="shared" ca="1" si="61"/>
        <v>1.310448656949581E-2</v>
      </c>
      <c r="BV64" s="9">
        <f t="shared" ca="1" si="61"/>
        <v>7.108110129280476E-3</v>
      </c>
      <c r="BW64" s="9">
        <f t="shared" ca="1" si="61"/>
        <v>2.8593881338765392E-3</v>
      </c>
      <c r="BX64" s="9">
        <f t="shared" ca="1" si="61"/>
        <v>9.6866103492210254E-3</v>
      </c>
      <c r="BY64" s="9">
        <f t="shared" ca="1" si="61"/>
        <v>7.2473366783184501E-3</v>
      </c>
      <c r="BZ64" s="9">
        <f t="shared" ca="1" si="61"/>
        <v>3.8485042740921127E-3</v>
      </c>
      <c r="CA64" s="9">
        <f t="shared" ca="1" si="61"/>
        <v>2.1952281589125988E-3</v>
      </c>
      <c r="CB64" s="9">
        <f t="shared" ca="1" si="61"/>
        <v>5.5345087566243123E-3</v>
      </c>
      <c r="CC64" s="9">
        <f t="shared" ca="1" si="61"/>
        <v>6.2813191643806832E-4</v>
      </c>
      <c r="CD64" s="9">
        <f t="shared" ca="1" si="61"/>
        <v>8.7616377235455456E-3</v>
      </c>
      <c r="CE64" s="9">
        <f t="shared" ca="1" si="61"/>
        <v>4.6916884522402169E-3</v>
      </c>
      <c r="CF64" s="9">
        <f t="shared" ca="1" si="61"/>
        <v>2.4461461371192428E-3</v>
      </c>
      <c r="CG64" s="9">
        <f t="shared" ca="1" si="61"/>
        <v>2.0346689950403452E-3</v>
      </c>
      <c r="CH64" s="9">
        <f t="shared" ca="1" si="61"/>
        <v>5.1697468715961037E-3</v>
      </c>
      <c r="CI64" s="9">
        <f t="shared" ca="1" si="61"/>
        <v>5.310809464676991E-4</v>
      </c>
      <c r="CJ64" s="9">
        <f t="shared" ca="1" si="61"/>
        <v>5.4592342263283244E-3</v>
      </c>
      <c r="CK64" s="9">
        <f t="shared" ca="1" si="61"/>
        <v>8.369567463697658E-3</v>
      </c>
      <c r="CL64" s="9">
        <f t="shared" ca="1" si="61"/>
        <v>9.2558148901022985E-3</v>
      </c>
      <c r="CM64" s="9">
        <f t="shared" ca="1" si="61"/>
        <v>1.4094383164201751E-2</v>
      </c>
      <c r="CN64" s="9">
        <f t="shared" ca="1" si="61"/>
        <v>4.5608605804319247E-3</v>
      </c>
      <c r="CO64" s="9">
        <f t="shared" ca="1" si="61"/>
        <v>3.5729550936083321E-3</v>
      </c>
      <c r="CP64" s="9">
        <f t="shared" ca="1" si="61"/>
        <v>2.0056803615382535E-3</v>
      </c>
      <c r="CQ64" s="9">
        <f t="shared" ca="1" si="61"/>
        <v>5.657470769163675E-3</v>
      </c>
      <c r="CR64" s="9">
        <f t="shared" ca="1" si="61"/>
        <v>3.1766134354982434E-3</v>
      </c>
      <c r="CS64" s="9">
        <f t="shared" ca="1" si="61"/>
        <v>1.4788509027466867E-3</v>
      </c>
      <c r="CT64" s="9">
        <f t="shared" ca="1" si="61"/>
        <v>5.6491395157287627E-6</v>
      </c>
      <c r="CU64" s="9">
        <f t="shared" ca="1" si="61"/>
        <v>1.3359890265862595E-2</v>
      </c>
      <c r="CV64" s="9">
        <f t="shared" ca="1" si="61"/>
        <v>4.9877197862324696E-4</v>
      </c>
      <c r="CW64" s="9">
        <f t="shared" ca="1" si="61"/>
        <v>3.38535994583955E-3</v>
      </c>
      <c r="CX64" s="9">
        <f t="shared" ca="1" si="61"/>
        <v>4.0449374460560517E-3</v>
      </c>
      <c r="CY64" s="9">
        <f t="shared" ca="1" si="61"/>
        <v>3.7665669081643482E-3</v>
      </c>
      <c r="CZ64" s="9">
        <f t="shared" ca="1" si="61"/>
        <v>7.3054719531879808E-3</v>
      </c>
      <c r="DA64" s="9">
        <f t="shared" ca="1" si="61"/>
        <v>5.2912138855438773E-3</v>
      </c>
      <c r="DB64" s="9">
        <f t="shared" ca="1" si="61"/>
        <v>5.9451976686959451E-3</v>
      </c>
      <c r="DC64" s="9">
        <f t="shared" ca="1" si="61"/>
        <v>8.4031437009528531E-3</v>
      </c>
      <c r="DD64" s="9">
        <f t="shared" ca="1" si="61"/>
        <v>7.6860480862703806E-3</v>
      </c>
      <c r="DE64" s="9">
        <f t="shared" ca="1" si="61"/>
        <v>1.5063548045673891E-2</v>
      </c>
      <c r="DF64" s="9">
        <f t="shared" ca="1" si="61"/>
        <v>6.9906043285515862E-3</v>
      </c>
      <c r="DG64" s="9">
        <f t="shared" ca="1" si="61"/>
        <v>1.1455337712289571E-2</v>
      </c>
      <c r="DH64" s="9">
        <f t="shared" ca="1" si="61"/>
        <v>1.9263852110653068E-2</v>
      </c>
      <c r="DI64" s="9">
        <f t="shared" ca="1" si="61"/>
        <v>1.500708915582516E-2</v>
      </c>
      <c r="DJ64" s="9">
        <f t="shared" ca="1" si="61"/>
        <v>8.4702860661596269E-3</v>
      </c>
      <c r="DK64" s="9">
        <f t="shared" ca="1" si="61"/>
        <v>6.0983926669032629E-3</v>
      </c>
      <c r="DL64" s="9">
        <f t="shared" ca="1" si="61"/>
        <v>1.3681531954290449E-3</v>
      </c>
      <c r="DM64" s="9">
        <f t="shared" ca="1" si="61"/>
        <v>1.1684984120171604E-3</v>
      </c>
      <c r="DN64" s="9">
        <f t="shared" ca="1" si="61"/>
        <v>1.9936799763599522E-2</v>
      </c>
      <c r="DO64" s="9">
        <f t="shared" ca="1" si="61"/>
        <v>1.5621210079407644E-2</v>
      </c>
      <c r="DP64" s="9">
        <f t="shared" ca="1" si="61"/>
        <v>1.4658908193330711E-2</v>
      </c>
      <c r="DQ64" s="9">
        <f t="shared" ca="1" si="61"/>
        <v>5.390928159533015E-3</v>
      </c>
      <c r="DR64" s="9">
        <f t="shared" ca="1" si="61"/>
        <v>4.0870438363178607E-3</v>
      </c>
      <c r="DS64" s="9">
        <f t="shared" ca="1" si="61"/>
        <v>7.3971716426056711E-3</v>
      </c>
      <c r="DT64" s="9">
        <f t="shared" ca="1" si="61"/>
        <v>4.5975580547347183E-3</v>
      </c>
      <c r="DU64" s="9">
        <f t="shared" ca="1" si="61"/>
        <v>2.5466024810749666E-4</v>
      </c>
      <c r="DV64" s="9">
        <f t="shared" ca="1" si="61"/>
        <v>1.0045345085440305E-2</v>
      </c>
      <c r="DW64" s="9">
        <f t="shared" ca="1" si="61"/>
        <v>1.4657193213495789E-2</v>
      </c>
      <c r="DX64" s="9">
        <f t="shared" ca="1" si="61"/>
        <v>9.1436335170327343E-3</v>
      </c>
      <c r="DY64" s="9">
        <f t="shared" ca="1" si="61"/>
        <v>2.8726221272101782E-3</v>
      </c>
      <c r="DZ64" s="9">
        <f t="shared" ref="DZ64:GK64" ca="1" si="62">IF(DZ37="","",ABS(DZ37))</f>
        <v>6.2540435843249087E-3</v>
      </c>
      <c r="EA64" s="9">
        <f t="shared" ca="1" si="62"/>
        <v>3.0783161706987583E-3</v>
      </c>
      <c r="EB64" s="9">
        <f t="shared" ca="1" si="62"/>
        <v>1.6352449665202329E-4</v>
      </c>
      <c r="EC64" s="9">
        <f t="shared" ca="1" si="62"/>
        <v>1.205075183595139E-3</v>
      </c>
      <c r="ED64" s="9">
        <f t="shared" ca="1" si="62"/>
        <v>5.1693192651087738E-3</v>
      </c>
      <c r="EE64" s="9">
        <f t="shared" ca="1" si="62"/>
        <v>1.9292163547308672E-3</v>
      </c>
      <c r="EF64" s="9">
        <f t="shared" ca="1" si="62"/>
        <v>2.9104835372113502E-3</v>
      </c>
      <c r="EG64" s="9">
        <f t="shared" ca="1" si="62"/>
        <v>8.838457216995721E-3</v>
      </c>
      <c r="EH64" s="9">
        <f t="shared" ca="1" si="62"/>
        <v>1.1078837179830936E-2</v>
      </c>
      <c r="EI64" s="9">
        <f t="shared" ca="1" si="62"/>
        <v>1.073589786257978E-2</v>
      </c>
      <c r="EJ64" s="9">
        <f t="shared" ca="1" si="62"/>
        <v>8.7782764491892706E-3</v>
      </c>
      <c r="EK64" s="9">
        <f t="shared" ca="1" si="62"/>
        <v>2.8739548024024897E-3</v>
      </c>
      <c r="EL64" s="9">
        <f t="shared" ca="1" si="62"/>
        <v>3.5540749675897487E-3</v>
      </c>
      <c r="EM64" s="9">
        <f t="shared" ca="1" si="62"/>
        <v>2.074555449367077E-3</v>
      </c>
      <c r="EN64" s="9">
        <f t="shared" ca="1" si="62"/>
        <v>4.6397642557473029E-3</v>
      </c>
      <c r="EO64" s="9">
        <f t="shared" ca="1" si="62"/>
        <v>2.9772438655100153E-3</v>
      </c>
      <c r="EP64" s="9">
        <f t="shared" ca="1" si="62"/>
        <v>1.5687147318532713E-4</v>
      </c>
      <c r="EQ64" s="9">
        <f t="shared" ca="1" si="62"/>
        <v>1.0336561599478489E-2</v>
      </c>
      <c r="ER64" s="9">
        <f t="shared" ca="1" si="62"/>
        <v>3.7372428685944481E-4</v>
      </c>
      <c r="ES64" s="9">
        <f t="shared" ca="1" si="62"/>
        <v>4.9135123335961595E-3</v>
      </c>
      <c r="ET64" s="9">
        <f t="shared" ca="1" si="62"/>
        <v>2.3345050548111423E-3</v>
      </c>
      <c r="EU64" s="9">
        <f t="shared" ca="1" si="62"/>
        <v>3.2620219307597509E-3</v>
      </c>
      <c r="EV64" s="9">
        <f t="shared" ca="1" si="62"/>
        <v>1.4630180204153742E-3</v>
      </c>
      <c r="EW64" s="9">
        <f t="shared" ca="1" si="62"/>
        <v>5.829529425442681E-3</v>
      </c>
      <c r="EX64" s="9">
        <f t="shared" ca="1" si="62"/>
        <v>4.9770887038930178E-3</v>
      </c>
      <c r="EY64" s="9">
        <f t="shared" ca="1" si="62"/>
        <v>4.7877034794235884E-3</v>
      </c>
      <c r="EZ64" s="9">
        <f t="shared" ca="1" si="62"/>
        <v>9.6880904765750397E-4</v>
      </c>
      <c r="FA64" s="9">
        <f t="shared" ca="1" si="62"/>
        <v>5.7479257913650716E-4</v>
      </c>
      <c r="FB64" s="9">
        <f t="shared" ca="1" si="62"/>
        <v>1.6233139620291936E-5</v>
      </c>
      <c r="FC64" s="9">
        <f t="shared" ca="1" si="62"/>
        <v>5.8434593608959196E-3</v>
      </c>
      <c r="FD64" s="9">
        <f t="shared" ca="1" si="62"/>
        <v>4.7233391662513391E-3</v>
      </c>
      <c r="FE64" s="9">
        <f t="shared" ca="1" si="62"/>
        <v>4.4224053044810141E-3</v>
      </c>
      <c r="FF64" s="9">
        <f t="shared" ca="1" si="62"/>
        <v>1.007986774785663E-2</v>
      </c>
      <c r="FG64" s="9">
        <f t="shared" ca="1" si="62"/>
        <v>8.1412538689209502E-3</v>
      </c>
      <c r="FH64" s="9">
        <f t="shared" ca="1" si="62"/>
        <v>7.1940259908953585E-4</v>
      </c>
      <c r="FI64" s="9">
        <f t="shared" ca="1" si="62"/>
        <v>1.2091210140918185E-2</v>
      </c>
      <c r="FJ64" s="9">
        <f t="shared" ca="1" si="62"/>
        <v>1.1915972046477097E-2</v>
      </c>
      <c r="FK64" s="9">
        <f t="shared" ca="1" si="62"/>
        <v>5.7838120912520052E-3</v>
      </c>
      <c r="FL64" s="9">
        <f t="shared" ca="1" si="62"/>
        <v>4.7263583267880271E-3</v>
      </c>
      <c r="FM64" s="9">
        <f t="shared" ca="1" si="62"/>
        <v>1.223335412942117E-2</v>
      </c>
      <c r="FN64" s="9">
        <f t="shared" ca="1" si="62"/>
        <v>1.7655455087013161E-2</v>
      </c>
      <c r="FO64" s="9">
        <f t="shared" ca="1" si="62"/>
        <v>1.1688695598706444E-2</v>
      </c>
      <c r="FP64" s="9">
        <f t="shared" ca="1" si="62"/>
        <v>5.0544725619394715E-3</v>
      </c>
      <c r="FQ64" s="9">
        <f t="shared" ca="1" si="62"/>
        <v>1.0064577264333741E-2</v>
      </c>
      <c r="FR64" s="9">
        <f t="shared" ca="1" si="62"/>
        <v>3.1339151781133445E-3</v>
      </c>
      <c r="FS64" s="9">
        <f t="shared" ca="1" si="62"/>
        <v>3.6141190322456218E-3</v>
      </c>
      <c r="FT64" s="9">
        <f t="shared" ca="1" si="62"/>
        <v>4.887733481817147E-3</v>
      </c>
      <c r="FU64" s="9">
        <f t="shared" ca="1" si="62"/>
        <v>2.7529896673517129E-3</v>
      </c>
      <c r="FV64" s="9">
        <f t="shared" ca="1" si="62"/>
        <v>2.5308797182304055E-3</v>
      </c>
      <c r="FW64" s="9">
        <f t="shared" ca="1" si="62"/>
        <v>3.6127182916154688E-3</v>
      </c>
      <c r="FX64" s="9">
        <f t="shared" ca="1" si="62"/>
        <v>8.6635104323935508E-3</v>
      </c>
      <c r="FY64" s="9">
        <f t="shared" ca="1" si="62"/>
        <v>5.7672478449080078E-3</v>
      </c>
      <c r="FZ64" s="9">
        <f t="shared" ca="1" si="62"/>
        <v>1.2264792250558543E-2</v>
      </c>
      <c r="GA64" s="9">
        <f t="shared" ca="1" si="62"/>
        <v>3.0558181102713355E-3</v>
      </c>
      <c r="GB64" s="9">
        <f t="shared" ca="1" si="62"/>
        <v>1.1979665627410707E-3</v>
      </c>
      <c r="GC64" s="9">
        <f t="shared" ca="1" si="62"/>
        <v>1.4938165602944586E-3</v>
      </c>
      <c r="GD64" s="9">
        <f t="shared" ca="1" si="62"/>
        <v>6.0613035909442559E-3</v>
      </c>
      <c r="GE64" s="9">
        <f t="shared" ca="1" si="62"/>
        <v>4.9668391878409102E-3</v>
      </c>
      <c r="GF64" s="9">
        <f t="shared" ca="1" si="62"/>
        <v>5.3560602227111787E-3</v>
      </c>
      <c r="GG64" s="9">
        <f t="shared" ca="1" si="62"/>
        <v>2.221481714149931E-3</v>
      </c>
      <c r="GH64" s="9">
        <f t="shared" ca="1" si="62"/>
        <v>1.7428006999750778E-2</v>
      </c>
      <c r="GI64" s="9">
        <f t="shared" ca="1" si="62"/>
        <v>2.3820427125582633E-2</v>
      </c>
      <c r="GJ64" s="9">
        <f t="shared" ca="1" si="62"/>
        <v>2.3064998808850268E-2</v>
      </c>
      <c r="GK64" s="9">
        <f t="shared" ca="1" si="62"/>
        <v>1.4376643953835533E-2</v>
      </c>
      <c r="GL64" s="9">
        <f t="shared" ref="GL64:IW64" ca="1" si="63">IF(GL37="","",ABS(GL37))</f>
        <v>8.4202749491926188E-3</v>
      </c>
      <c r="GM64" s="9">
        <f t="shared" ca="1" si="63"/>
        <v>7.3214433070216689E-3</v>
      </c>
      <c r="GN64" s="9">
        <f t="shared" ca="1" si="63"/>
        <v>8.6170029646850388E-3</v>
      </c>
      <c r="GO64" s="9">
        <f t="shared" ca="1" si="63"/>
        <v>6.458882536396704E-3</v>
      </c>
      <c r="GP64" s="9">
        <f t="shared" ca="1" si="63"/>
        <v>4.0195108584206496E-2</v>
      </c>
      <c r="GQ64" s="9">
        <f t="shared" ca="1" si="63"/>
        <v>3.4761951366380273E-2</v>
      </c>
      <c r="GR64" s="9" t="str">
        <f t="shared" ca="1" si="63"/>
        <v/>
      </c>
      <c r="GS64" s="9" t="str">
        <f t="shared" ca="1" si="63"/>
        <v/>
      </c>
      <c r="GT64" s="9" t="str">
        <f t="shared" ca="1" si="63"/>
        <v/>
      </c>
      <c r="GU64" s="9" t="str">
        <f t="shared" ca="1" si="63"/>
        <v/>
      </c>
      <c r="GV64" s="9" t="str">
        <f t="shared" ca="1" si="63"/>
        <v/>
      </c>
      <c r="GW64" s="9" t="str">
        <f t="shared" ca="1" si="63"/>
        <v/>
      </c>
      <c r="GX64" s="9" t="str">
        <f t="shared" ca="1" si="63"/>
        <v/>
      </c>
      <c r="GY64" s="9" t="str">
        <f t="shared" ca="1" si="63"/>
        <v/>
      </c>
      <c r="GZ64" s="9" t="str">
        <f t="shared" ca="1" si="63"/>
        <v/>
      </c>
      <c r="HA64" s="9" t="str">
        <f t="shared" ca="1" si="63"/>
        <v/>
      </c>
      <c r="HB64" s="9" t="str">
        <f t="shared" ca="1" si="63"/>
        <v/>
      </c>
      <c r="HC64" s="9" t="str">
        <f t="shared" ca="1" si="63"/>
        <v/>
      </c>
      <c r="HD64" s="9" t="str">
        <f t="shared" ca="1" si="63"/>
        <v/>
      </c>
      <c r="HE64" s="9" t="str">
        <f t="shared" ca="1" si="63"/>
        <v/>
      </c>
      <c r="HF64" s="9" t="str">
        <f t="shared" ca="1" si="63"/>
        <v/>
      </c>
      <c r="HG64" s="9" t="str">
        <f t="shared" ca="1" si="63"/>
        <v/>
      </c>
      <c r="HH64" s="9" t="str">
        <f t="shared" ca="1" si="63"/>
        <v/>
      </c>
      <c r="HI64" s="9" t="str">
        <f t="shared" ca="1" si="63"/>
        <v/>
      </c>
      <c r="HJ64" s="9" t="str">
        <f t="shared" ca="1" si="63"/>
        <v/>
      </c>
      <c r="HK64" s="9" t="str">
        <f t="shared" ca="1" si="63"/>
        <v/>
      </c>
      <c r="HL64" s="9" t="str">
        <f t="shared" ca="1" si="63"/>
        <v/>
      </c>
      <c r="HM64" s="9" t="str">
        <f t="shared" ca="1" si="63"/>
        <v/>
      </c>
      <c r="HN64" s="9" t="str">
        <f t="shared" ca="1" si="63"/>
        <v/>
      </c>
      <c r="HO64" s="9" t="str">
        <f t="shared" ca="1" si="63"/>
        <v/>
      </c>
      <c r="HP64" s="9" t="str">
        <f t="shared" ca="1" si="63"/>
        <v/>
      </c>
      <c r="HQ64" s="9" t="str">
        <f t="shared" ca="1" si="63"/>
        <v/>
      </c>
      <c r="HR64" s="9" t="str">
        <f t="shared" ca="1" si="63"/>
        <v/>
      </c>
      <c r="HS64" s="9" t="str">
        <f t="shared" ca="1" si="63"/>
        <v/>
      </c>
      <c r="HT64" s="9" t="str">
        <f t="shared" ca="1" si="63"/>
        <v/>
      </c>
      <c r="HU64" s="9" t="str">
        <f t="shared" ca="1" si="63"/>
        <v/>
      </c>
      <c r="HV64" s="9" t="str">
        <f t="shared" ca="1" si="63"/>
        <v/>
      </c>
      <c r="HW64" s="9" t="str">
        <f t="shared" ca="1" si="63"/>
        <v/>
      </c>
      <c r="HX64" s="9" t="str">
        <f t="shared" ca="1" si="63"/>
        <v/>
      </c>
      <c r="HY64" s="9" t="str">
        <f t="shared" ca="1" si="63"/>
        <v/>
      </c>
      <c r="HZ64" s="9" t="str">
        <f t="shared" ca="1" si="63"/>
        <v/>
      </c>
      <c r="IA64" s="9" t="str">
        <f t="shared" ca="1" si="63"/>
        <v/>
      </c>
      <c r="IB64" s="9" t="str">
        <f t="shared" ca="1" si="63"/>
        <v/>
      </c>
      <c r="IC64" s="9" t="str">
        <f t="shared" ca="1" si="63"/>
        <v/>
      </c>
      <c r="ID64" s="9" t="str">
        <f t="shared" ca="1" si="63"/>
        <v/>
      </c>
      <c r="IE64" s="9" t="str">
        <f t="shared" ca="1" si="63"/>
        <v/>
      </c>
      <c r="IF64" s="9" t="str">
        <f t="shared" ca="1" si="63"/>
        <v/>
      </c>
      <c r="IG64" s="9" t="str">
        <f t="shared" ca="1" si="63"/>
        <v/>
      </c>
      <c r="IH64" s="9" t="str">
        <f t="shared" ca="1" si="63"/>
        <v/>
      </c>
      <c r="II64" s="9" t="str">
        <f t="shared" ca="1" si="63"/>
        <v/>
      </c>
      <c r="IJ64" s="9" t="str">
        <f t="shared" ca="1" si="63"/>
        <v/>
      </c>
      <c r="IK64" s="9" t="str">
        <f t="shared" ca="1" si="63"/>
        <v/>
      </c>
      <c r="IL64" s="9" t="str">
        <f t="shared" ca="1" si="63"/>
        <v/>
      </c>
      <c r="IM64" s="9" t="str">
        <f t="shared" ca="1" si="63"/>
        <v/>
      </c>
      <c r="IN64" s="9" t="str">
        <f t="shared" ca="1" si="63"/>
        <v/>
      </c>
      <c r="IO64" s="9" t="str">
        <f t="shared" ca="1" si="63"/>
        <v/>
      </c>
      <c r="IP64" s="9" t="str">
        <f t="shared" ca="1" si="63"/>
        <v/>
      </c>
      <c r="IQ64" s="9" t="str">
        <f t="shared" ca="1" si="63"/>
        <v/>
      </c>
      <c r="IR64" s="9" t="str">
        <f t="shared" ca="1" si="63"/>
        <v/>
      </c>
      <c r="IS64" s="9" t="str">
        <f t="shared" ca="1" si="63"/>
        <v/>
      </c>
      <c r="IT64" s="9" t="str">
        <f t="shared" ca="1" si="63"/>
        <v/>
      </c>
      <c r="IU64" s="9" t="str">
        <f t="shared" ca="1" si="63"/>
        <v/>
      </c>
      <c r="IV64" s="9" t="str">
        <f t="shared" ca="1" si="63"/>
        <v/>
      </c>
      <c r="IW64" s="9" t="str">
        <f t="shared" ca="1" si="63"/>
        <v/>
      </c>
      <c r="IX64" s="9" t="str">
        <f t="shared" ref="IX64:JH64" ca="1" si="64">IF(IX37="","",ABS(IX37))</f>
        <v/>
      </c>
      <c r="IY64" s="9" t="str">
        <f t="shared" ca="1" si="64"/>
        <v/>
      </c>
      <c r="IZ64" s="9" t="str">
        <f t="shared" ca="1" si="64"/>
        <v/>
      </c>
      <c r="JA64" s="9" t="str">
        <f t="shared" ca="1" si="64"/>
        <v/>
      </c>
      <c r="JB64" s="9" t="str">
        <f t="shared" ca="1" si="64"/>
        <v/>
      </c>
      <c r="JC64" s="9" t="str">
        <f t="shared" ca="1" si="64"/>
        <v/>
      </c>
      <c r="JD64" s="9" t="str">
        <f t="shared" ca="1" si="64"/>
        <v/>
      </c>
      <c r="JE64" s="9" t="str">
        <f t="shared" ca="1" si="64"/>
        <v/>
      </c>
      <c r="JF64" s="9" t="str">
        <f t="shared" ca="1" si="64"/>
        <v/>
      </c>
      <c r="JG64" s="9" t="str">
        <f t="shared" ca="1" si="64"/>
        <v/>
      </c>
      <c r="JH64" s="9" t="str">
        <f t="shared" ca="1" si="64"/>
        <v/>
      </c>
      <c r="JI64" s="13">
        <f t="shared" ca="1" si="24"/>
        <v>9.8559448039415819E-3</v>
      </c>
      <c r="JJ64" s="13">
        <f t="shared" ca="1" si="25"/>
        <v>6.0613035909442559E-3</v>
      </c>
      <c r="JK64" s="14">
        <f t="shared" ca="1" si="26"/>
        <v>9.6053991797949144E-5</v>
      </c>
      <c r="JL64" s="17">
        <f t="shared" ca="1" si="34"/>
        <v>9.8007138412438688E-3</v>
      </c>
      <c r="JM64" s="15" t="str">
        <f t="shared" ca="1" si="27"/>
        <v>[ -0,97% ; 2,95% ]</v>
      </c>
      <c r="JN64" s="17">
        <f t="shared" ca="1" si="28"/>
        <v>1.2544913716792153E-2</v>
      </c>
      <c r="LY64" s="1"/>
    </row>
    <row r="65" spans="1:337" x14ac:dyDescent="0.25">
      <c r="A65" s="4">
        <v>9</v>
      </c>
      <c r="B65" s="9">
        <f t="shared" ref="B65:BM65" ca="1" si="65">IF(B38="","",ABS(B38))</f>
        <v>2.3958419301292055E-3</v>
      </c>
      <c r="C65" s="9">
        <f t="shared" ca="1" si="65"/>
        <v>3.2262529340911783E-3</v>
      </c>
      <c r="D65" s="9">
        <f t="shared" ca="1" si="65"/>
        <v>5.6013642950736298E-3</v>
      </c>
      <c r="E65" s="9">
        <f t="shared" ca="1" si="65"/>
        <v>6.5467910071892454E-3</v>
      </c>
      <c r="F65" s="9">
        <f t="shared" ca="1" si="65"/>
        <v>5.4180235901502005E-3</v>
      </c>
      <c r="G65" s="9">
        <f t="shared" ca="1" si="65"/>
        <v>2.9303890144363187E-3</v>
      </c>
      <c r="H65" s="9">
        <f t="shared" ca="1" si="65"/>
        <v>4.0739189016278932E-3</v>
      </c>
      <c r="I65" s="9">
        <f t="shared" ca="1" si="65"/>
        <v>2.6527632902140219E-3</v>
      </c>
      <c r="J65" s="9">
        <f t="shared" ca="1" si="65"/>
        <v>6.7743048351065482E-4</v>
      </c>
      <c r="K65" s="9">
        <f t="shared" ca="1" si="65"/>
        <v>1.2460157510219005E-5</v>
      </c>
      <c r="L65" s="9">
        <f t="shared" ca="1" si="65"/>
        <v>1.2338794466026926E-3</v>
      </c>
      <c r="M65" s="9">
        <f t="shared" ca="1" si="65"/>
        <v>3.1905140275065857E-3</v>
      </c>
      <c r="N65" s="9">
        <f t="shared" ca="1" si="65"/>
        <v>6.75086249086565E-3</v>
      </c>
      <c r="O65" s="9">
        <f t="shared" ca="1" si="65"/>
        <v>8.0495622672529521E-3</v>
      </c>
      <c r="P65" s="9">
        <f t="shared" ca="1" si="65"/>
        <v>5.7877476951697648E-3</v>
      </c>
      <c r="Q65" s="9">
        <f t="shared" ca="1" si="65"/>
        <v>3.3366115905646421E-3</v>
      </c>
      <c r="R65" s="9">
        <f t="shared" ca="1" si="65"/>
        <v>1.1607606739960641E-3</v>
      </c>
      <c r="S65" s="9">
        <f t="shared" ca="1" si="65"/>
        <v>7.8858185140662229E-4</v>
      </c>
      <c r="T65" s="9">
        <f t="shared" ca="1" si="65"/>
        <v>2.1033517874011753E-3</v>
      </c>
      <c r="U65" s="9">
        <f t="shared" ca="1" si="65"/>
        <v>7.5457162165282199E-5</v>
      </c>
      <c r="V65" s="9">
        <f t="shared" ca="1" si="65"/>
        <v>1.6651725808235485E-3</v>
      </c>
      <c r="W65" s="9">
        <f t="shared" ca="1" si="65"/>
        <v>1.1152082434051636E-4</v>
      </c>
      <c r="X65" s="9">
        <f t="shared" ca="1" si="65"/>
        <v>5.1098884576195047E-4</v>
      </c>
      <c r="Y65" s="9">
        <f t="shared" ca="1" si="65"/>
        <v>1.9840463941656061E-3</v>
      </c>
      <c r="Z65" s="9">
        <f t="shared" ca="1" si="65"/>
        <v>2.287600504875309E-3</v>
      </c>
      <c r="AA65" s="9">
        <f t="shared" ca="1" si="65"/>
        <v>1.8001023572786767E-3</v>
      </c>
      <c r="AB65" s="9">
        <f t="shared" ca="1" si="65"/>
        <v>1.8014919794997475E-3</v>
      </c>
      <c r="AC65" s="9">
        <f t="shared" ca="1" si="65"/>
        <v>2.0853599931289768E-3</v>
      </c>
      <c r="AD65" s="9">
        <f t="shared" ca="1" si="65"/>
        <v>3.3579749034078343E-3</v>
      </c>
      <c r="AE65" s="9">
        <f t="shared" ca="1" si="65"/>
        <v>2.504736310348421E-3</v>
      </c>
      <c r="AF65" s="9">
        <f t="shared" ca="1" si="65"/>
        <v>5.2536247990377927E-3</v>
      </c>
      <c r="AG65" s="9">
        <f t="shared" ca="1" si="65"/>
        <v>7.9278939620841538E-3</v>
      </c>
      <c r="AH65" s="9">
        <f t="shared" ca="1" si="65"/>
        <v>1.0498543153394158E-2</v>
      </c>
      <c r="AI65" s="9">
        <f t="shared" ca="1" si="65"/>
        <v>8.0136049013073141E-3</v>
      </c>
      <c r="AJ65" s="9">
        <f t="shared" ca="1" si="65"/>
        <v>6.6676178989723001E-3</v>
      </c>
      <c r="AK65" s="9">
        <f t="shared" ca="1" si="65"/>
        <v>6.4523878519019418E-3</v>
      </c>
      <c r="AL65" s="9">
        <f t="shared" ca="1" si="65"/>
        <v>5.415751311304895E-3</v>
      </c>
      <c r="AM65" s="9">
        <f t="shared" ca="1" si="65"/>
        <v>3.4978240626858392E-3</v>
      </c>
      <c r="AN65" s="9">
        <f t="shared" ca="1" si="65"/>
        <v>8.9375046781114964E-4</v>
      </c>
      <c r="AO65" s="9">
        <f t="shared" ca="1" si="65"/>
        <v>1.8813384259463994E-3</v>
      </c>
      <c r="AP65" s="9">
        <f t="shared" ca="1" si="65"/>
        <v>2.1585597601172513E-3</v>
      </c>
      <c r="AQ65" s="9">
        <f t="shared" ca="1" si="65"/>
        <v>4.7969228276916187E-3</v>
      </c>
      <c r="AR65" s="9">
        <f t="shared" ca="1" si="65"/>
        <v>8.9350991331893503E-3</v>
      </c>
      <c r="AS65" s="9">
        <f t="shared" ca="1" si="65"/>
        <v>1.4414594139090076E-2</v>
      </c>
      <c r="AT65" s="9">
        <f t="shared" ca="1" si="65"/>
        <v>1.4918025589013784E-2</v>
      </c>
      <c r="AU65" s="9">
        <f t="shared" ca="1" si="65"/>
        <v>2.2430947302993332E-2</v>
      </c>
      <c r="AV65" s="9">
        <f t="shared" ca="1" si="65"/>
        <v>2.798042370523679E-2</v>
      </c>
      <c r="AW65" s="9">
        <f t="shared" ca="1" si="65"/>
        <v>3.0911595181986717E-2</v>
      </c>
      <c r="AX65" s="9">
        <f t="shared" ca="1" si="65"/>
        <v>3.1208100434595432E-2</v>
      </c>
      <c r="AY65" s="9">
        <f t="shared" ca="1" si="65"/>
        <v>3.6353612619559827E-2</v>
      </c>
      <c r="AZ65" s="9">
        <f t="shared" ca="1" si="65"/>
        <v>3.9548387154590747E-2</v>
      </c>
      <c r="BA65" s="9">
        <f t="shared" ca="1" si="65"/>
        <v>3.8418282849056906E-2</v>
      </c>
      <c r="BB65" s="9">
        <f t="shared" ca="1" si="65"/>
        <v>3.1452569989142809E-2</v>
      </c>
      <c r="BC65" s="9">
        <f t="shared" ca="1" si="65"/>
        <v>1.6708725490609977E-2</v>
      </c>
      <c r="BD65" s="9">
        <f t="shared" ca="1" si="65"/>
        <v>2.3908520571078062E-2</v>
      </c>
      <c r="BE65" s="9">
        <f t="shared" ca="1" si="65"/>
        <v>1.9796267193621597E-2</v>
      </c>
      <c r="BF65" s="9">
        <f t="shared" ca="1" si="65"/>
        <v>1.7507443276113532E-2</v>
      </c>
      <c r="BG65" s="9">
        <f t="shared" ca="1" si="65"/>
        <v>2.8502029763074033E-2</v>
      </c>
      <c r="BH65" s="9">
        <f t="shared" ca="1" si="65"/>
        <v>1.9653523170947818E-2</v>
      </c>
      <c r="BI65" s="9">
        <f t="shared" ca="1" si="65"/>
        <v>1.1903973866597584E-2</v>
      </c>
      <c r="BJ65" s="9">
        <f t="shared" ca="1" si="65"/>
        <v>8.9531288984401325E-3</v>
      </c>
      <c r="BK65" s="9">
        <f t="shared" ca="1" si="65"/>
        <v>2.2405956039939223E-2</v>
      </c>
      <c r="BL65" s="9">
        <f t="shared" ca="1" si="65"/>
        <v>4.1335794775705814E-2</v>
      </c>
      <c r="BM65" s="9">
        <f t="shared" ca="1" si="65"/>
        <v>3.9463799136126743E-2</v>
      </c>
      <c r="BN65" s="9">
        <f t="shared" ref="BN65:DY65" ca="1" si="66">IF(BN38="","",ABS(BN38))</f>
        <v>2.8942186986629759E-2</v>
      </c>
      <c r="BO65" s="9">
        <f t="shared" ca="1" si="66"/>
        <v>2.1083723511501673E-2</v>
      </c>
      <c r="BP65" s="9">
        <f t="shared" ca="1" si="66"/>
        <v>1.6804497730494639E-2</v>
      </c>
      <c r="BQ65" s="9">
        <f t="shared" ca="1" si="66"/>
        <v>2.119088535220659E-2</v>
      </c>
      <c r="BR65" s="9">
        <f t="shared" ca="1" si="66"/>
        <v>1.6026077187392351E-2</v>
      </c>
      <c r="BS65" s="9">
        <f t="shared" ca="1" si="66"/>
        <v>4.7385740273694354E-3</v>
      </c>
      <c r="BT65" s="9">
        <f t="shared" ca="1" si="66"/>
        <v>1.3550196506577183E-2</v>
      </c>
      <c r="BU65" s="9">
        <f t="shared" ca="1" si="66"/>
        <v>1.418730064122542E-2</v>
      </c>
      <c r="BV65" s="9">
        <f t="shared" ca="1" si="66"/>
        <v>8.1000431727632494E-3</v>
      </c>
      <c r="BW65" s="9">
        <f t="shared" ca="1" si="66"/>
        <v>2.7895941325752904E-3</v>
      </c>
      <c r="BX65" s="9">
        <f t="shared" ca="1" si="66"/>
        <v>1.1096370043731207E-2</v>
      </c>
      <c r="BY65" s="9">
        <f t="shared" ca="1" si="66"/>
        <v>7.9324692311973921E-3</v>
      </c>
      <c r="BZ65" s="9">
        <f t="shared" ca="1" si="66"/>
        <v>4.1778671766201647E-3</v>
      </c>
      <c r="CA65" s="9">
        <f t="shared" ca="1" si="66"/>
        <v>3.8259576535653039E-3</v>
      </c>
      <c r="CB65" s="9">
        <f t="shared" ca="1" si="66"/>
        <v>4.2895169201533356E-3</v>
      </c>
      <c r="CC65" s="9">
        <f t="shared" ca="1" si="66"/>
        <v>8.4407749865367254E-4</v>
      </c>
      <c r="CD65" s="9">
        <f t="shared" ca="1" si="66"/>
        <v>1.0832527712631768E-2</v>
      </c>
      <c r="CE65" s="9">
        <f t="shared" ca="1" si="66"/>
        <v>5.2746868447336448E-3</v>
      </c>
      <c r="CF65" s="9">
        <f t="shared" ca="1" si="66"/>
        <v>2.0696177488939149E-3</v>
      </c>
      <c r="CG65" s="9">
        <f t="shared" ca="1" si="66"/>
        <v>1.4607320796121703E-3</v>
      </c>
      <c r="CH65" s="9">
        <f t="shared" ca="1" si="66"/>
        <v>5.3216003474456652E-3</v>
      </c>
      <c r="CI65" s="9">
        <f t="shared" ca="1" si="66"/>
        <v>2.7383233808553342E-4</v>
      </c>
      <c r="CJ65" s="9">
        <f t="shared" ca="1" si="66"/>
        <v>4.9440142902830164E-3</v>
      </c>
      <c r="CK65" s="9">
        <f t="shared" ca="1" si="66"/>
        <v>9.994201744668807E-3</v>
      </c>
      <c r="CL65" s="9">
        <f t="shared" ca="1" si="66"/>
        <v>1.5012501284584978E-2</v>
      </c>
      <c r="CM65" s="9">
        <f t="shared" ca="1" si="66"/>
        <v>1.1839629168737043E-2</v>
      </c>
      <c r="CN65" s="9">
        <f t="shared" ca="1" si="66"/>
        <v>5.1534045324268529E-3</v>
      </c>
      <c r="CO65" s="9">
        <f t="shared" ca="1" si="66"/>
        <v>4.1722261038967812E-3</v>
      </c>
      <c r="CP65" s="9">
        <f t="shared" ca="1" si="66"/>
        <v>1.2718882519990871E-3</v>
      </c>
      <c r="CQ65" s="9">
        <f t="shared" ca="1" si="66"/>
        <v>5.474222880709867E-3</v>
      </c>
      <c r="CR65" s="9">
        <f t="shared" ca="1" si="66"/>
        <v>3.6003148878065439E-3</v>
      </c>
      <c r="CS65" s="9">
        <f t="shared" ca="1" si="66"/>
        <v>6.3259254622494154E-4</v>
      </c>
      <c r="CT65" s="9">
        <f t="shared" ca="1" si="66"/>
        <v>3.3225564600503077E-4</v>
      </c>
      <c r="CU65" s="9">
        <f t="shared" ca="1" si="66"/>
        <v>1.4570124860917022E-2</v>
      </c>
      <c r="CV65" s="9">
        <f t="shared" ca="1" si="66"/>
        <v>7.3813507497710873E-4</v>
      </c>
      <c r="CW65" s="9">
        <f t="shared" ca="1" si="66"/>
        <v>3.1217519210722244E-3</v>
      </c>
      <c r="CX65" s="9">
        <f t="shared" ca="1" si="66"/>
        <v>4.0391144914828647E-3</v>
      </c>
      <c r="CY65" s="9">
        <f t="shared" ca="1" si="66"/>
        <v>7.3604453404401138E-3</v>
      </c>
      <c r="CZ65" s="9">
        <f t="shared" ca="1" si="66"/>
        <v>6.7600101027005532E-3</v>
      </c>
      <c r="DA65" s="9">
        <f t="shared" ca="1" si="66"/>
        <v>3.4591358985869292E-3</v>
      </c>
      <c r="DB65" s="9">
        <f t="shared" ca="1" si="66"/>
        <v>8.7909218123598531E-3</v>
      </c>
      <c r="DC65" s="9">
        <f t="shared" ca="1" si="66"/>
        <v>1.1890262321129441E-2</v>
      </c>
      <c r="DD65" s="9">
        <f t="shared" ca="1" si="66"/>
        <v>1.0614272840446248E-2</v>
      </c>
      <c r="DE65" s="9">
        <f t="shared" ca="1" si="66"/>
        <v>1.5504618074617338E-2</v>
      </c>
      <c r="DF65" s="9">
        <f t="shared" ca="1" si="66"/>
        <v>8.9432566587961393E-3</v>
      </c>
      <c r="DG65" s="9">
        <f t="shared" ca="1" si="66"/>
        <v>1.4359865640581115E-2</v>
      </c>
      <c r="DH65" s="9">
        <f t="shared" ca="1" si="66"/>
        <v>2.3829235877850352E-2</v>
      </c>
      <c r="DI65" s="9">
        <f t="shared" ca="1" si="66"/>
        <v>1.8694824642785712E-2</v>
      </c>
      <c r="DJ65" s="9">
        <f t="shared" ca="1" si="66"/>
        <v>8.3434513812994382E-3</v>
      </c>
      <c r="DK65" s="9">
        <f t="shared" ca="1" si="66"/>
        <v>8.6877588178649878E-3</v>
      </c>
      <c r="DL65" s="9">
        <f t="shared" ca="1" si="66"/>
        <v>2.9652687791525967E-3</v>
      </c>
      <c r="DM65" s="9">
        <f t="shared" ca="1" si="66"/>
        <v>3.9160540233066365E-3</v>
      </c>
      <c r="DN65" s="9">
        <f t="shared" ca="1" si="66"/>
        <v>2.3118156768284437E-2</v>
      </c>
      <c r="DO65" s="9">
        <f t="shared" ca="1" si="66"/>
        <v>1.7771101898392372E-2</v>
      </c>
      <c r="DP65" s="9">
        <f t="shared" ca="1" si="66"/>
        <v>1.5347337683371709E-2</v>
      </c>
      <c r="DQ65" s="9">
        <f t="shared" ca="1" si="66"/>
        <v>3.9062458641304643E-3</v>
      </c>
      <c r="DR65" s="9">
        <f t="shared" ca="1" si="66"/>
        <v>4.9339204499292411E-3</v>
      </c>
      <c r="DS65" s="9">
        <f t="shared" ca="1" si="66"/>
        <v>7.878487380206356E-3</v>
      </c>
      <c r="DT65" s="9">
        <f t="shared" ca="1" si="66"/>
        <v>4.4602838304262926E-3</v>
      </c>
      <c r="DU65" s="9">
        <f t="shared" ca="1" si="66"/>
        <v>2.3315280603508626E-5</v>
      </c>
      <c r="DV65" s="9">
        <f t="shared" ca="1" si="66"/>
        <v>1.2070391898837185E-2</v>
      </c>
      <c r="DW65" s="9">
        <f t="shared" ca="1" si="66"/>
        <v>1.6182128894153491E-2</v>
      </c>
      <c r="DX65" s="9">
        <f t="shared" ca="1" si="66"/>
        <v>9.6717410115036984E-3</v>
      </c>
      <c r="DY65" s="9">
        <f t="shared" ca="1" si="66"/>
        <v>1.9109378156434431E-3</v>
      </c>
      <c r="DZ65" s="9">
        <f t="shared" ref="DZ65:GK65" ca="1" si="67">IF(DZ38="","",ABS(DZ38))</f>
        <v>7.1117007155121481E-3</v>
      </c>
      <c r="EA65" s="9">
        <f t="shared" ca="1" si="67"/>
        <v>3.3434222450060558E-3</v>
      </c>
      <c r="EB65" s="9">
        <f t="shared" ca="1" si="67"/>
        <v>2.580831902555758E-3</v>
      </c>
      <c r="EC65" s="9">
        <f t="shared" ca="1" si="67"/>
        <v>1.1080454157963437E-4</v>
      </c>
      <c r="ED65" s="9">
        <f t="shared" ca="1" si="67"/>
        <v>6.2992879782672873E-3</v>
      </c>
      <c r="EE65" s="9">
        <f t="shared" ca="1" si="67"/>
        <v>1.4845739600822805E-3</v>
      </c>
      <c r="EF65" s="9">
        <f t="shared" ca="1" si="67"/>
        <v>2.7842623457507987E-3</v>
      </c>
      <c r="EG65" s="9">
        <f t="shared" ca="1" si="67"/>
        <v>1.0271221008518294E-2</v>
      </c>
      <c r="EH65" s="9">
        <f t="shared" ca="1" si="67"/>
        <v>1.4933001261159928E-2</v>
      </c>
      <c r="EI65" s="9">
        <f t="shared" ca="1" si="67"/>
        <v>1.0625351275107331E-2</v>
      </c>
      <c r="EJ65" s="9">
        <f t="shared" ca="1" si="67"/>
        <v>8.0939168509857051E-3</v>
      </c>
      <c r="EK65" s="9">
        <f t="shared" ca="1" si="67"/>
        <v>3.101035029740129E-3</v>
      </c>
      <c r="EL65" s="9">
        <f t="shared" ca="1" si="67"/>
        <v>3.5726367836871331E-3</v>
      </c>
      <c r="EM65" s="9">
        <f t="shared" ca="1" si="67"/>
        <v>2.3939041243840053E-3</v>
      </c>
      <c r="EN65" s="9">
        <f t="shared" ca="1" si="67"/>
        <v>4.1423693541637885E-3</v>
      </c>
      <c r="EO65" s="9">
        <f t="shared" ca="1" si="67"/>
        <v>3.9324936396205601E-3</v>
      </c>
      <c r="EP65" s="9">
        <f t="shared" ca="1" si="67"/>
        <v>6.9387206557680603E-4</v>
      </c>
      <c r="EQ65" s="9">
        <f t="shared" ca="1" si="67"/>
        <v>1.229888940618129E-2</v>
      </c>
      <c r="ER65" s="9">
        <f t="shared" ca="1" si="67"/>
        <v>5.8545461371484198E-4</v>
      </c>
      <c r="ES65" s="9">
        <f t="shared" ca="1" si="67"/>
        <v>5.5656844133189498E-3</v>
      </c>
      <c r="ET65" s="9">
        <f t="shared" ca="1" si="67"/>
        <v>3.4282506155993708E-3</v>
      </c>
      <c r="EU65" s="9">
        <f t="shared" ca="1" si="67"/>
        <v>2.0228815235181496E-3</v>
      </c>
      <c r="EV65" s="9">
        <f t="shared" ca="1" si="67"/>
        <v>8.0170904937015841E-4</v>
      </c>
      <c r="EW65" s="9">
        <f t="shared" ca="1" si="67"/>
        <v>6.8935961722356165E-3</v>
      </c>
      <c r="EX65" s="9">
        <f t="shared" ca="1" si="67"/>
        <v>5.8997277666478221E-3</v>
      </c>
      <c r="EY65" s="9">
        <f t="shared" ca="1" si="67"/>
        <v>4.7098125170503824E-3</v>
      </c>
      <c r="EZ65" s="9">
        <f t="shared" ca="1" si="67"/>
        <v>1.3038432647394238E-3</v>
      </c>
      <c r="FA65" s="9">
        <f t="shared" ca="1" si="67"/>
        <v>9.0866703971781426E-4</v>
      </c>
      <c r="FB65" s="9">
        <f t="shared" ca="1" si="67"/>
        <v>1.1012149498833557E-3</v>
      </c>
      <c r="FC65" s="9">
        <f t="shared" ca="1" si="67"/>
        <v>6.7279774652801994E-3</v>
      </c>
      <c r="FD65" s="9">
        <f t="shared" ca="1" si="67"/>
        <v>6.8668293727223162E-3</v>
      </c>
      <c r="FE65" s="9">
        <f t="shared" ca="1" si="67"/>
        <v>6.6215857638849407E-3</v>
      </c>
      <c r="FF65" s="9">
        <f t="shared" ca="1" si="67"/>
        <v>8.7745941409440587E-3</v>
      </c>
      <c r="FG65" s="9">
        <f t="shared" ca="1" si="67"/>
        <v>4.0392312370429728E-3</v>
      </c>
      <c r="FH65" s="9">
        <f t="shared" ca="1" si="67"/>
        <v>2.9684455128321519E-3</v>
      </c>
      <c r="FI65" s="9">
        <f t="shared" ca="1" si="67"/>
        <v>1.3037729052669866E-2</v>
      </c>
      <c r="FJ65" s="9">
        <f t="shared" ca="1" si="67"/>
        <v>1.4298341040779539E-2</v>
      </c>
      <c r="FK65" s="9">
        <f t="shared" ca="1" si="67"/>
        <v>6.4313022570120504E-3</v>
      </c>
      <c r="FL65" s="9">
        <f t="shared" ca="1" si="67"/>
        <v>4.128594344024239E-3</v>
      </c>
      <c r="FM65" s="9">
        <f t="shared" ca="1" si="67"/>
        <v>1.1625677649860111E-2</v>
      </c>
      <c r="FN65" s="9">
        <f t="shared" ca="1" si="67"/>
        <v>1.9801229572907419E-2</v>
      </c>
      <c r="FO65" s="9">
        <f t="shared" ca="1" si="67"/>
        <v>1.4878177449374697E-2</v>
      </c>
      <c r="FP65" s="9">
        <f t="shared" ca="1" si="67"/>
        <v>6.666455608747901E-3</v>
      </c>
      <c r="FQ65" s="9">
        <f t="shared" ca="1" si="67"/>
        <v>1.0125971355931407E-2</v>
      </c>
      <c r="FR65" s="9">
        <f t="shared" ca="1" si="67"/>
        <v>6.2601418915739782E-3</v>
      </c>
      <c r="FS65" s="9">
        <f t="shared" ca="1" si="67"/>
        <v>3.9364698213673055E-3</v>
      </c>
      <c r="FT65" s="9">
        <f t="shared" ca="1" si="67"/>
        <v>5.834678479465838E-3</v>
      </c>
      <c r="FU65" s="9">
        <f t="shared" ca="1" si="67"/>
        <v>3.8088457618321581E-3</v>
      </c>
      <c r="FV65" s="9">
        <f t="shared" ca="1" si="67"/>
        <v>2.3658431506540234E-3</v>
      </c>
      <c r="FW65" s="9">
        <f t="shared" ca="1" si="67"/>
        <v>3.5971940462267149E-3</v>
      </c>
      <c r="FX65" s="9">
        <f t="shared" ca="1" si="67"/>
        <v>1.0024329816324062E-2</v>
      </c>
      <c r="FY65" s="9">
        <f t="shared" ca="1" si="67"/>
        <v>8.2370247863075008E-3</v>
      </c>
      <c r="FZ65" s="9">
        <f t="shared" ca="1" si="67"/>
        <v>1.2009751719078254E-2</v>
      </c>
      <c r="GA65" s="9">
        <f t="shared" ca="1" si="67"/>
        <v>6.0849447218482844E-3</v>
      </c>
      <c r="GB65" s="9">
        <f t="shared" ca="1" si="67"/>
        <v>1.6605340403639257E-3</v>
      </c>
      <c r="GC65" s="9">
        <f t="shared" ca="1" si="67"/>
        <v>2.3937980633775835E-3</v>
      </c>
      <c r="GD65" s="9">
        <f t="shared" ca="1" si="67"/>
        <v>4.5739420632968653E-3</v>
      </c>
      <c r="GE65" s="9">
        <f t="shared" ca="1" si="67"/>
        <v>6.0975862208938469E-3</v>
      </c>
      <c r="GF65" s="9">
        <f t="shared" ca="1" si="67"/>
        <v>5.2507736020301898E-4</v>
      </c>
      <c r="GG65" s="9">
        <f t="shared" ca="1" si="67"/>
        <v>1.8381182859060541E-2</v>
      </c>
      <c r="GH65" s="9">
        <f t="shared" ca="1" si="67"/>
        <v>1.8030241641482814E-2</v>
      </c>
      <c r="GI65" s="9">
        <f t="shared" ca="1" si="67"/>
        <v>1.9284560268640005E-2</v>
      </c>
      <c r="GJ65" s="9">
        <f t="shared" ca="1" si="67"/>
        <v>1.6237063882905689E-2</v>
      </c>
      <c r="GK65" s="9">
        <f t="shared" ca="1" si="67"/>
        <v>1.0492916556198439E-2</v>
      </c>
      <c r="GL65" s="9">
        <f t="shared" ref="GL65:IW65" ca="1" si="68">IF(GL38="","",ABS(GL38))</f>
        <v>8.5862543278989456E-3</v>
      </c>
      <c r="GM65" s="9">
        <f t="shared" ca="1" si="68"/>
        <v>7.5354636934261698E-3</v>
      </c>
      <c r="GN65" s="9">
        <f t="shared" ca="1" si="68"/>
        <v>6.8799193773505518E-3</v>
      </c>
      <c r="GO65" s="9">
        <f t="shared" ca="1" si="68"/>
        <v>9.1180998602312657E-3</v>
      </c>
      <c r="GP65" s="9">
        <f t="shared" ca="1" si="68"/>
        <v>4.1997858980859726E-2</v>
      </c>
      <c r="GQ65" s="9" t="str">
        <f t="shared" ca="1" si="68"/>
        <v/>
      </c>
      <c r="GR65" s="9" t="str">
        <f t="shared" ca="1" si="68"/>
        <v/>
      </c>
      <c r="GS65" s="9" t="str">
        <f t="shared" ca="1" si="68"/>
        <v/>
      </c>
      <c r="GT65" s="9" t="str">
        <f t="shared" ca="1" si="68"/>
        <v/>
      </c>
      <c r="GU65" s="9" t="str">
        <f t="shared" ca="1" si="68"/>
        <v/>
      </c>
      <c r="GV65" s="9" t="str">
        <f t="shared" ca="1" si="68"/>
        <v/>
      </c>
      <c r="GW65" s="9" t="str">
        <f t="shared" ca="1" si="68"/>
        <v/>
      </c>
      <c r="GX65" s="9" t="str">
        <f t="shared" ca="1" si="68"/>
        <v/>
      </c>
      <c r="GY65" s="9" t="str">
        <f t="shared" ca="1" si="68"/>
        <v/>
      </c>
      <c r="GZ65" s="9" t="str">
        <f t="shared" ca="1" si="68"/>
        <v/>
      </c>
      <c r="HA65" s="9" t="str">
        <f t="shared" ca="1" si="68"/>
        <v/>
      </c>
      <c r="HB65" s="9" t="str">
        <f t="shared" ca="1" si="68"/>
        <v/>
      </c>
      <c r="HC65" s="9" t="str">
        <f t="shared" ca="1" si="68"/>
        <v/>
      </c>
      <c r="HD65" s="9" t="str">
        <f t="shared" ca="1" si="68"/>
        <v/>
      </c>
      <c r="HE65" s="9" t="str">
        <f t="shared" ca="1" si="68"/>
        <v/>
      </c>
      <c r="HF65" s="9" t="str">
        <f t="shared" ca="1" si="68"/>
        <v/>
      </c>
      <c r="HG65" s="9" t="str">
        <f t="shared" ca="1" si="68"/>
        <v/>
      </c>
      <c r="HH65" s="9" t="str">
        <f t="shared" ca="1" si="68"/>
        <v/>
      </c>
      <c r="HI65" s="9" t="str">
        <f t="shared" ca="1" si="68"/>
        <v/>
      </c>
      <c r="HJ65" s="9" t="str">
        <f t="shared" ca="1" si="68"/>
        <v/>
      </c>
      <c r="HK65" s="9" t="str">
        <f t="shared" ca="1" si="68"/>
        <v/>
      </c>
      <c r="HL65" s="9" t="str">
        <f t="shared" ca="1" si="68"/>
        <v/>
      </c>
      <c r="HM65" s="9" t="str">
        <f t="shared" ca="1" si="68"/>
        <v/>
      </c>
      <c r="HN65" s="9" t="str">
        <f t="shared" ca="1" si="68"/>
        <v/>
      </c>
      <c r="HO65" s="9" t="str">
        <f t="shared" ca="1" si="68"/>
        <v/>
      </c>
      <c r="HP65" s="9" t="str">
        <f t="shared" ca="1" si="68"/>
        <v/>
      </c>
      <c r="HQ65" s="9" t="str">
        <f t="shared" ca="1" si="68"/>
        <v/>
      </c>
      <c r="HR65" s="9" t="str">
        <f t="shared" ca="1" si="68"/>
        <v/>
      </c>
      <c r="HS65" s="9" t="str">
        <f t="shared" ca="1" si="68"/>
        <v/>
      </c>
      <c r="HT65" s="9" t="str">
        <f t="shared" ca="1" si="68"/>
        <v/>
      </c>
      <c r="HU65" s="9" t="str">
        <f t="shared" ca="1" si="68"/>
        <v/>
      </c>
      <c r="HV65" s="9" t="str">
        <f t="shared" ca="1" si="68"/>
        <v/>
      </c>
      <c r="HW65" s="9" t="str">
        <f t="shared" ca="1" si="68"/>
        <v/>
      </c>
      <c r="HX65" s="9" t="str">
        <f t="shared" ca="1" si="68"/>
        <v/>
      </c>
      <c r="HY65" s="9" t="str">
        <f t="shared" ca="1" si="68"/>
        <v/>
      </c>
      <c r="HZ65" s="9" t="str">
        <f t="shared" ca="1" si="68"/>
        <v/>
      </c>
      <c r="IA65" s="9" t="str">
        <f t="shared" ca="1" si="68"/>
        <v/>
      </c>
      <c r="IB65" s="9" t="str">
        <f t="shared" ca="1" si="68"/>
        <v/>
      </c>
      <c r="IC65" s="9" t="str">
        <f t="shared" ca="1" si="68"/>
        <v/>
      </c>
      <c r="ID65" s="9" t="str">
        <f t="shared" ca="1" si="68"/>
        <v/>
      </c>
      <c r="IE65" s="9" t="str">
        <f t="shared" ca="1" si="68"/>
        <v/>
      </c>
      <c r="IF65" s="9" t="str">
        <f t="shared" ca="1" si="68"/>
        <v/>
      </c>
      <c r="IG65" s="9" t="str">
        <f t="shared" ca="1" si="68"/>
        <v/>
      </c>
      <c r="IH65" s="9" t="str">
        <f t="shared" ca="1" si="68"/>
        <v/>
      </c>
      <c r="II65" s="9" t="str">
        <f t="shared" ca="1" si="68"/>
        <v/>
      </c>
      <c r="IJ65" s="9" t="str">
        <f t="shared" ca="1" si="68"/>
        <v/>
      </c>
      <c r="IK65" s="9" t="str">
        <f t="shared" ca="1" si="68"/>
        <v/>
      </c>
      <c r="IL65" s="9" t="str">
        <f t="shared" ca="1" si="68"/>
        <v/>
      </c>
      <c r="IM65" s="9" t="str">
        <f t="shared" ca="1" si="68"/>
        <v/>
      </c>
      <c r="IN65" s="9" t="str">
        <f t="shared" ca="1" si="68"/>
        <v/>
      </c>
      <c r="IO65" s="9" t="str">
        <f t="shared" ca="1" si="68"/>
        <v/>
      </c>
      <c r="IP65" s="9" t="str">
        <f t="shared" ca="1" si="68"/>
        <v/>
      </c>
      <c r="IQ65" s="9" t="str">
        <f t="shared" ca="1" si="68"/>
        <v/>
      </c>
      <c r="IR65" s="9" t="str">
        <f t="shared" ca="1" si="68"/>
        <v/>
      </c>
      <c r="IS65" s="9" t="str">
        <f t="shared" ca="1" si="68"/>
        <v/>
      </c>
      <c r="IT65" s="9" t="str">
        <f t="shared" ca="1" si="68"/>
        <v/>
      </c>
      <c r="IU65" s="9" t="str">
        <f t="shared" ca="1" si="68"/>
        <v/>
      </c>
      <c r="IV65" s="9" t="str">
        <f t="shared" ca="1" si="68"/>
        <v/>
      </c>
      <c r="IW65" s="9" t="str">
        <f t="shared" ca="1" si="68"/>
        <v/>
      </c>
      <c r="IX65" s="9" t="str">
        <f t="shared" ref="IX65:JH65" ca="1" si="69">IF(IX38="","",ABS(IX38))</f>
        <v/>
      </c>
      <c r="IY65" s="9" t="str">
        <f t="shared" ca="1" si="69"/>
        <v/>
      </c>
      <c r="IZ65" s="9" t="str">
        <f t="shared" ca="1" si="69"/>
        <v/>
      </c>
      <c r="JA65" s="9" t="str">
        <f t="shared" ca="1" si="69"/>
        <v/>
      </c>
      <c r="JB65" s="9" t="str">
        <f t="shared" ca="1" si="69"/>
        <v/>
      </c>
      <c r="JC65" s="9" t="str">
        <f t="shared" ca="1" si="69"/>
        <v/>
      </c>
      <c r="JD65" s="9" t="str">
        <f t="shared" ca="1" si="69"/>
        <v/>
      </c>
      <c r="JE65" s="9" t="str">
        <f t="shared" ca="1" si="69"/>
        <v/>
      </c>
      <c r="JF65" s="9" t="str">
        <f t="shared" ca="1" si="69"/>
        <v/>
      </c>
      <c r="JG65" s="9" t="str">
        <f t="shared" ca="1" si="69"/>
        <v/>
      </c>
      <c r="JH65" s="9" t="str">
        <f t="shared" ca="1" si="69"/>
        <v/>
      </c>
      <c r="JI65" s="13">
        <f t="shared" ca="1" si="24"/>
        <v>9.3876805671845743E-3</v>
      </c>
      <c r="JJ65" s="13">
        <f t="shared" ca="1" si="25"/>
        <v>7.2076915353883608E-3</v>
      </c>
      <c r="JK65" s="14">
        <f t="shared" ca="1" si="26"/>
        <v>6.8570109174069486E-5</v>
      </c>
      <c r="JL65" s="17">
        <f t="shared" ca="1" si="34"/>
        <v>8.2807070455408263E-3</v>
      </c>
      <c r="JM65" s="15" t="str">
        <f t="shared" ca="1" si="27"/>
        <v>[ -0,72% ; 2,59% ]</v>
      </c>
      <c r="JN65" s="17">
        <f t="shared" ca="1" si="28"/>
        <v>1.0599305018292258E-2</v>
      </c>
      <c r="LY65" s="1"/>
    </row>
    <row r="66" spans="1:337" x14ac:dyDescent="0.25">
      <c r="A66" s="4">
        <v>10</v>
      </c>
      <c r="B66" s="9">
        <f t="shared" ref="B66:BM66" ca="1" si="70">IF(B39="","",ABS(B39))</f>
        <v>2.4798943437760457E-3</v>
      </c>
      <c r="C66" s="9">
        <f t="shared" ca="1" si="70"/>
        <v>3.703290210343102E-3</v>
      </c>
      <c r="D66" s="9">
        <f t="shared" ca="1" si="70"/>
        <v>5.713467675960926E-3</v>
      </c>
      <c r="E66" s="9">
        <f t="shared" ca="1" si="70"/>
        <v>6.4825673410497942E-3</v>
      </c>
      <c r="F66" s="9">
        <f t="shared" ca="1" si="70"/>
        <v>7.0159409133951911E-3</v>
      </c>
      <c r="G66" s="9">
        <f t="shared" ca="1" si="70"/>
        <v>3.8260588731715561E-3</v>
      </c>
      <c r="H66" s="9">
        <f t="shared" ca="1" si="70"/>
        <v>4.9167571736208338E-3</v>
      </c>
      <c r="I66" s="9">
        <f t="shared" ca="1" si="70"/>
        <v>3.3256218512180968E-3</v>
      </c>
      <c r="J66" s="9">
        <f t="shared" ca="1" si="70"/>
        <v>7.6970443281898504E-4</v>
      </c>
      <c r="K66" s="9">
        <f t="shared" ca="1" si="70"/>
        <v>8.9032343137707137E-4</v>
      </c>
      <c r="L66" s="9">
        <f t="shared" ca="1" si="70"/>
        <v>1.8806513104936418E-3</v>
      </c>
      <c r="M66" s="9">
        <f t="shared" ca="1" si="70"/>
        <v>3.5437415160828323E-3</v>
      </c>
      <c r="N66" s="9">
        <f t="shared" ca="1" si="70"/>
        <v>7.4627678675927012E-3</v>
      </c>
      <c r="O66" s="9">
        <f t="shared" ca="1" si="70"/>
        <v>8.5480565009787846E-3</v>
      </c>
      <c r="P66" s="9">
        <f t="shared" ca="1" si="70"/>
        <v>5.5694750464136966E-3</v>
      </c>
      <c r="Q66" s="9">
        <f t="shared" ca="1" si="70"/>
        <v>4.021360187104861E-3</v>
      </c>
      <c r="R66" s="9">
        <f t="shared" ca="1" si="70"/>
        <v>1.6452274924547705E-3</v>
      </c>
      <c r="S66" s="9">
        <f t="shared" ca="1" si="70"/>
        <v>1.6881158358126314E-3</v>
      </c>
      <c r="T66" s="9">
        <f t="shared" ca="1" si="70"/>
        <v>2.6074642994624586E-3</v>
      </c>
      <c r="U66" s="9">
        <f t="shared" ca="1" si="70"/>
        <v>4.4838368689303909E-4</v>
      </c>
      <c r="V66" s="9">
        <f t="shared" ca="1" si="70"/>
        <v>1.328466872747458E-3</v>
      </c>
      <c r="W66" s="9">
        <f t="shared" ca="1" si="70"/>
        <v>3.9868211595273095E-4</v>
      </c>
      <c r="X66" s="9">
        <f t="shared" ca="1" si="70"/>
        <v>1.1946705466292507E-3</v>
      </c>
      <c r="Y66" s="9">
        <f t="shared" ca="1" si="70"/>
        <v>1.5795383783334671E-3</v>
      </c>
      <c r="Z66" s="9">
        <f t="shared" ca="1" si="70"/>
        <v>1.4196996913593551E-3</v>
      </c>
      <c r="AA66" s="9">
        <f t="shared" ca="1" si="70"/>
        <v>1.8357489724294407E-3</v>
      </c>
      <c r="AB66" s="9">
        <f t="shared" ca="1" si="70"/>
        <v>1.2199393026302019E-3</v>
      </c>
      <c r="AC66" s="9">
        <f t="shared" ca="1" si="70"/>
        <v>3.1646369358677706E-3</v>
      </c>
      <c r="AD66" s="9">
        <f t="shared" ca="1" si="70"/>
        <v>4.4968747467585279E-3</v>
      </c>
      <c r="AE66" s="9">
        <f t="shared" ca="1" si="70"/>
        <v>3.4999253878653658E-3</v>
      </c>
      <c r="AF66" s="9">
        <f t="shared" ca="1" si="70"/>
        <v>6.0679334306553701E-3</v>
      </c>
      <c r="AG66" s="9">
        <f t="shared" ca="1" si="70"/>
        <v>8.680400042962555E-3</v>
      </c>
      <c r="AH66" s="9">
        <f t="shared" ca="1" si="70"/>
        <v>1.1773350319166487E-2</v>
      </c>
      <c r="AI66" s="9">
        <f t="shared" ca="1" si="70"/>
        <v>8.9170496534934918E-3</v>
      </c>
      <c r="AJ66" s="9">
        <f t="shared" ca="1" si="70"/>
        <v>6.1905460111901789E-3</v>
      </c>
      <c r="AK66" s="9">
        <f t="shared" ca="1" si="70"/>
        <v>7.0618316567484518E-3</v>
      </c>
      <c r="AL66" s="9">
        <f t="shared" ca="1" si="70"/>
        <v>5.9807066775047213E-3</v>
      </c>
      <c r="AM66" s="9">
        <f t="shared" ca="1" si="70"/>
        <v>3.0565357764084089E-3</v>
      </c>
      <c r="AN66" s="9">
        <f t="shared" ca="1" si="70"/>
        <v>2.671226760371237E-4</v>
      </c>
      <c r="AO66" s="9">
        <f t="shared" ca="1" si="70"/>
        <v>3.2170144768557396E-3</v>
      </c>
      <c r="AP66" s="9">
        <f t="shared" ca="1" si="70"/>
        <v>5.0542772212773812E-3</v>
      </c>
      <c r="AQ66" s="9">
        <f t="shared" ca="1" si="70"/>
        <v>7.1872834697586097E-3</v>
      </c>
      <c r="AR66" s="9">
        <f t="shared" ca="1" si="70"/>
        <v>1.3718069878626338E-2</v>
      </c>
      <c r="AS66" s="9">
        <f t="shared" ca="1" si="70"/>
        <v>1.9460108554127498E-2</v>
      </c>
      <c r="AT66" s="9">
        <f t="shared" ca="1" si="70"/>
        <v>1.9064508680470382E-2</v>
      </c>
      <c r="AU66" s="9">
        <f t="shared" ca="1" si="70"/>
        <v>2.7546042859045272E-2</v>
      </c>
      <c r="AV66" s="9">
        <f t="shared" ca="1" si="70"/>
        <v>3.3887317376899651E-2</v>
      </c>
      <c r="AW66" s="9">
        <f t="shared" ca="1" si="70"/>
        <v>3.5131992126999689E-2</v>
      </c>
      <c r="AX66" s="9">
        <f t="shared" ca="1" si="70"/>
        <v>3.8128388418380288E-2</v>
      </c>
      <c r="AY66" s="9">
        <f t="shared" ca="1" si="70"/>
        <v>4.3379251757204251E-2</v>
      </c>
      <c r="AZ66" s="9">
        <f t="shared" ca="1" si="70"/>
        <v>4.5335566240369607E-2</v>
      </c>
      <c r="BA66" s="9">
        <f t="shared" ca="1" si="70"/>
        <v>4.6813246828481203E-2</v>
      </c>
      <c r="BB66" s="9">
        <f t="shared" ca="1" si="70"/>
        <v>3.8474740771224925E-2</v>
      </c>
      <c r="BC66" s="9">
        <f t="shared" ca="1" si="70"/>
        <v>1.9821371344696859E-2</v>
      </c>
      <c r="BD66" s="9">
        <f t="shared" ca="1" si="70"/>
        <v>2.5986054115467061E-2</v>
      </c>
      <c r="BE66" s="9">
        <f t="shared" ca="1" si="70"/>
        <v>2.0058242166655749E-2</v>
      </c>
      <c r="BF66" s="9">
        <f t="shared" ca="1" si="70"/>
        <v>1.6841922952852029E-2</v>
      </c>
      <c r="BG66" s="9">
        <f t="shared" ca="1" si="70"/>
        <v>3.0163025490093975E-2</v>
      </c>
      <c r="BH66" s="9">
        <f t="shared" ca="1" si="70"/>
        <v>1.990470146330181E-2</v>
      </c>
      <c r="BI66" s="9">
        <f t="shared" ca="1" si="70"/>
        <v>8.989290606614242E-3</v>
      </c>
      <c r="BJ66" s="9">
        <f t="shared" ca="1" si="70"/>
        <v>7.6330058738907081E-3</v>
      </c>
      <c r="BK66" s="9">
        <f t="shared" ca="1" si="70"/>
        <v>2.7754225170413704E-2</v>
      </c>
      <c r="BL66" s="9">
        <f t="shared" ca="1" si="70"/>
        <v>4.895553392598706E-2</v>
      </c>
      <c r="BM66" s="9">
        <f t="shared" ca="1" si="70"/>
        <v>4.7480592265664812E-2</v>
      </c>
      <c r="BN66" s="9">
        <f t="shared" ref="BN66:DY66" ca="1" si="71">IF(BN39="","",ABS(BN39))</f>
        <v>3.1675911758133002E-2</v>
      </c>
      <c r="BO66" s="9">
        <f t="shared" ca="1" si="71"/>
        <v>2.4845654079441504E-2</v>
      </c>
      <c r="BP66" s="9">
        <f t="shared" ca="1" si="71"/>
        <v>2.0203404479095188E-2</v>
      </c>
      <c r="BQ66" s="9">
        <f t="shared" ca="1" si="71"/>
        <v>2.5186898497129184E-2</v>
      </c>
      <c r="BR66" s="9">
        <f t="shared" ca="1" si="71"/>
        <v>1.9470564346470542E-2</v>
      </c>
      <c r="BS66" s="9">
        <f t="shared" ca="1" si="71"/>
        <v>5.2976243869430339E-3</v>
      </c>
      <c r="BT66" s="9">
        <f t="shared" ca="1" si="71"/>
        <v>1.4438691595467845E-2</v>
      </c>
      <c r="BU66" s="9">
        <f t="shared" ca="1" si="71"/>
        <v>1.716621036633359E-2</v>
      </c>
      <c r="BV66" s="9">
        <f t="shared" ca="1" si="71"/>
        <v>9.6972853141564785E-3</v>
      </c>
      <c r="BW66" s="9">
        <f t="shared" ca="1" si="71"/>
        <v>2.9752853951825475E-3</v>
      </c>
      <c r="BX66" s="9">
        <f t="shared" ca="1" si="71"/>
        <v>1.1741456961422814E-2</v>
      </c>
      <c r="BY66" s="9">
        <f t="shared" ca="1" si="71"/>
        <v>7.8034071128042504E-3</v>
      </c>
      <c r="BZ66" s="9">
        <f t="shared" ca="1" si="71"/>
        <v>3.1241615161052838E-3</v>
      </c>
      <c r="CA66" s="9">
        <f t="shared" ca="1" si="71"/>
        <v>2.7035868423035403E-3</v>
      </c>
      <c r="CB66" s="9">
        <f t="shared" ca="1" si="71"/>
        <v>3.118877161363498E-3</v>
      </c>
      <c r="CC66" s="9">
        <f t="shared" ca="1" si="71"/>
        <v>1.9579311102928543E-3</v>
      </c>
      <c r="CD66" s="9">
        <f t="shared" ca="1" si="71"/>
        <v>1.195207826892497E-2</v>
      </c>
      <c r="CE66" s="9">
        <f t="shared" ca="1" si="71"/>
        <v>5.3063248476066249E-3</v>
      </c>
      <c r="CF66" s="9">
        <f t="shared" ca="1" si="71"/>
        <v>1.6890089564557398E-3</v>
      </c>
      <c r="CG66" s="9">
        <f t="shared" ca="1" si="71"/>
        <v>1.8704633762599565E-3</v>
      </c>
      <c r="CH66" s="9">
        <f t="shared" ca="1" si="71"/>
        <v>5.1703979805298728E-3</v>
      </c>
      <c r="CI66" s="9">
        <f t="shared" ca="1" si="71"/>
        <v>7.5233551442099866E-4</v>
      </c>
      <c r="CJ66" s="9">
        <f t="shared" ca="1" si="71"/>
        <v>4.7680542570653905E-3</v>
      </c>
      <c r="CK66" s="9">
        <f t="shared" ca="1" si="71"/>
        <v>1.626343073225156E-2</v>
      </c>
      <c r="CL66" s="9">
        <f t="shared" ca="1" si="71"/>
        <v>1.3293908761677242E-2</v>
      </c>
      <c r="CM66" s="9">
        <f t="shared" ca="1" si="71"/>
        <v>1.2745267341162769E-2</v>
      </c>
      <c r="CN66" s="9">
        <f t="shared" ca="1" si="71"/>
        <v>5.4016111961807667E-3</v>
      </c>
      <c r="CO66" s="9">
        <f t="shared" ca="1" si="71"/>
        <v>4.4764520335074387E-3</v>
      </c>
      <c r="CP66" s="9">
        <f t="shared" ca="1" si="71"/>
        <v>8.7716814012717137E-4</v>
      </c>
      <c r="CQ66" s="9">
        <f t="shared" ca="1" si="71"/>
        <v>6.266392390822384E-3</v>
      </c>
      <c r="CR66" s="9">
        <f t="shared" ca="1" si="71"/>
        <v>5.0275971476816395E-3</v>
      </c>
      <c r="CS66" s="9">
        <f t="shared" ca="1" si="71"/>
        <v>4.1676899290243874E-5</v>
      </c>
      <c r="CT66" s="9">
        <f t="shared" ca="1" si="71"/>
        <v>3.9890893276961492E-4</v>
      </c>
      <c r="CU66" s="9">
        <f t="shared" ca="1" si="71"/>
        <v>1.4807892069769624E-2</v>
      </c>
      <c r="CV66" s="9">
        <f t="shared" ca="1" si="71"/>
        <v>1.765249225949006E-4</v>
      </c>
      <c r="CW66" s="9">
        <f t="shared" ca="1" si="71"/>
        <v>3.4624902261675139E-3</v>
      </c>
      <c r="CX66" s="9">
        <f t="shared" ca="1" si="71"/>
        <v>7.3800522962528259E-3</v>
      </c>
      <c r="CY66" s="9">
        <f t="shared" ca="1" si="71"/>
        <v>6.8253230320833858E-3</v>
      </c>
      <c r="CZ66" s="9">
        <f t="shared" ca="1" si="71"/>
        <v>4.9610274039417757E-3</v>
      </c>
      <c r="DA66" s="9">
        <f t="shared" ca="1" si="71"/>
        <v>1.6781902030464924E-3</v>
      </c>
      <c r="DB66" s="9">
        <f t="shared" ca="1" si="71"/>
        <v>1.2272674765723468E-2</v>
      </c>
      <c r="DC66" s="9">
        <f t="shared" ca="1" si="71"/>
        <v>1.5380250245054183E-2</v>
      </c>
      <c r="DD66" s="9">
        <f t="shared" ca="1" si="71"/>
        <v>1.1095468900942707E-2</v>
      </c>
      <c r="DE66" s="9">
        <f t="shared" ca="1" si="71"/>
        <v>1.7962269446707202E-2</v>
      </c>
      <c r="DF66" s="9">
        <f t="shared" ca="1" si="71"/>
        <v>1.1506681289719434E-2</v>
      </c>
      <c r="DG66" s="9">
        <f t="shared" ca="1" si="71"/>
        <v>1.8170672361231599E-2</v>
      </c>
      <c r="DH66" s="9">
        <f t="shared" ca="1" si="71"/>
        <v>2.8420895570396065E-2</v>
      </c>
      <c r="DI66" s="9">
        <f t="shared" ca="1" si="71"/>
        <v>1.9617483198446917E-2</v>
      </c>
      <c r="DJ66" s="9">
        <f t="shared" ca="1" si="71"/>
        <v>1.0636105003890783E-2</v>
      </c>
      <c r="DK66" s="9">
        <f t="shared" ca="1" si="71"/>
        <v>1.0387489722212484E-2</v>
      </c>
      <c r="DL66" s="9">
        <f t="shared" ca="1" si="71"/>
        <v>5.8162140735759094E-3</v>
      </c>
      <c r="DM66" s="9">
        <f t="shared" ca="1" si="71"/>
        <v>5.7017645012168439E-3</v>
      </c>
      <c r="DN66" s="9">
        <f t="shared" ca="1" si="71"/>
        <v>2.5381410885936151E-2</v>
      </c>
      <c r="DO66" s="9">
        <f t="shared" ca="1" si="71"/>
        <v>1.8058565912110969E-2</v>
      </c>
      <c r="DP66" s="9">
        <f t="shared" ca="1" si="71"/>
        <v>1.3768159533406488E-2</v>
      </c>
      <c r="DQ66" s="9">
        <f t="shared" ca="1" si="71"/>
        <v>3.9462836168341342E-3</v>
      </c>
      <c r="DR66" s="9">
        <f t="shared" ca="1" si="71"/>
        <v>5.2384099631450631E-3</v>
      </c>
      <c r="DS66" s="9">
        <f t="shared" ca="1" si="71"/>
        <v>7.1996160542764365E-3</v>
      </c>
      <c r="DT66" s="9">
        <f t="shared" ca="1" si="71"/>
        <v>5.1160449298689459E-3</v>
      </c>
      <c r="DU66" s="9">
        <f t="shared" ca="1" si="71"/>
        <v>8.9727826823504664E-4</v>
      </c>
      <c r="DV66" s="9">
        <f t="shared" ca="1" si="71"/>
        <v>1.3909208082384383E-2</v>
      </c>
      <c r="DW66" s="9">
        <f t="shared" ca="1" si="71"/>
        <v>1.7359591630770499E-2</v>
      </c>
      <c r="DX66" s="9">
        <f t="shared" ca="1" si="71"/>
        <v>8.4361632579321721E-3</v>
      </c>
      <c r="DY66" s="9">
        <f t="shared" ca="1" si="71"/>
        <v>1.3775565584788207E-3</v>
      </c>
      <c r="DZ66" s="9">
        <f t="shared" ref="DZ66:GK66" ca="1" si="72">IF(DZ39="","",ABS(DZ39))</f>
        <v>7.4186515131304809E-3</v>
      </c>
      <c r="EA66" s="9">
        <f t="shared" ca="1" si="72"/>
        <v>8.06418832346667E-4</v>
      </c>
      <c r="EB66" s="9">
        <f t="shared" ca="1" si="72"/>
        <v>4.8519529848940479E-3</v>
      </c>
      <c r="EC66" s="9">
        <f t="shared" ca="1" si="72"/>
        <v>5.1702298748335096E-4</v>
      </c>
      <c r="ED66" s="9">
        <f t="shared" ca="1" si="72"/>
        <v>7.6297166404164507E-3</v>
      </c>
      <c r="EE66" s="9">
        <f t="shared" ca="1" si="72"/>
        <v>2.10647541641662E-3</v>
      </c>
      <c r="EF66" s="9">
        <f t="shared" ca="1" si="72"/>
        <v>3.3730745425155639E-3</v>
      </c>
      <c r="EG66" s="9">
        <f t="shared" ca="1" si="72"/>
        <v>1.5520682694398547E-2</v>
      </c>
      <c r="EH66" s="9">
        <f t="shared" ca="1" si="72"/>
        <v>1.4514846337110088E-2</v>
      </c>
      <c r="EI66" s="9">
        <f t="shared" ca="1" si="72"/>
        <v>1.0028650471944012E-2</v>
      </c>
      <c r="EJ66" s="9">
        <f t="shared" ca="1" si="72"/>
        <v>8.3752905530991573E-3</v>
      </c>
      <c r="EK66" s="9">
        <f t="shared" ca="1" si="72"/>
        <v>3.5998297969371817E-3</v>
      </c>
      <c r="EL66" s="9">
        <f t="shared" ca="1" si="72"/>
        <v>4.0465434263219358E-3</v>
      </c>
      <c r="EM66" s="9">
        <f t="shared" ca="1" si="72"/>
        <v>1.5543210398203389E-3</v>
      </c>
      <c r="EN66" s="9">
        <f t="shared" ca="1" si="72"/>
        <v>4.1101834027230666E-3</v>
      </c>
      <c r="EO66" s="9">
        <f t="shared" ca="1" si="72"/>
        <v>4.1312538464672866E-3</v>
      </c>
      <c r="EP66" s="9">
        <f t="shared" ca="1" si="72"/>
        <v>1.6438915963024048E-3</v>
      </c>
      <c r="EQ66" s="9">
        <f t="shared" ca="1" si="72"/>
        <v>1.3837272190049377E-2</v>
      </c>
      <c r="ER66" s="9">
        <f t="shared" ca="1" si="72"/>
        <v>5.3089569558750771E-4</v>
      </c>
      <c r="ES66" s="9">
        <f t="shared" ca="1" si="72"/>
        <v>7.5129387670278547E-3</v>
      </c>
      <c r="ET66" s="9">
        <f t="shared" ca="1" si="72"/>
        <v>2.4618077512539305E-3</v>
      </c>
      <c r="EU66" s="9">
        <f t="shared" ca="1" si="72"/>
        <v>1.409265143888172E-3</v>
      </c>
      <c r="EV66" s="9">
        <f t="shared" ca="1" si="72"/>
        <v>9.5417113056273095E-5</v>
      </c>
      <c r="EW66" s="9">
        <f t="shared" ca="1" si="72"/>
        <v>7.6213477305501209E-3</v>
      </c>
      <c r="EX66" s="9">
        <f t="shared" ca="1" si="72"/>
        <v>6.1177136166766788E-3</v>
      </c>
      <c r="EY66" s="9">
        <f t="shared" ca="1" si="72"/>
        <v>2.5526234196331377E-3</v>
      </c>
      <c r="EZ66" s="9">
        <f t="shared" ca="1" si="72"/>
        <v>2.850342808970785E-3</v>
      </c>
      <c r="FA66" s="9">
        <f t="shared" ca="1" si="72"/>
        <v>2.8890168410411476E-4</v>
      </c>
      <c r="FB66" s="9">
        <f t="shared" ca="1" si="72"/>
        <v>1.3450735926776591E-3</v>
      </c>
      <c r="FC66" s="9">
        <f t="shared" ca="1" si="72"/>
        <v>5.6531061749263145E-3</v>
      </c>
      <c r="FD66" s="9">
        <f t="shared" ca="1" si="72"/>
        <v>9.4661985150434891E-3</v>
      </c>
      <c r="FE66" s="9">
        <f t="shared" ca="1" si="72"/>
        <v>6.275868630702508E-3</v>
      </c>
      <c r="FF66" s="9">
        <f t="shared" ca="1" si="72"/>
        <v>5.2971434529456296E-3</v>
      </c>
      <c r="FG66" s="9">
        <f t="shared" ca="1" si="72"/>
        <v>1.9508094936129261E-3</v>
      </c>
      <c r="FH66" s="9">
        <f t="shared" ca="1" si="72"/>
        <v>3.4320341630488249E-3</v>
      </c>
      <c r="FI66" s="9">
        <f t="shared" ca="1" si="72"/>
        <v>1.5085878720789703E-2</v>
      </c>
      <c r="FJ66" s="9">
        <f t="shared" ca="1" si="72"/>
        <v>1.6683624693004551E-2</v>
      </c>
      <c r="FK66" s="9">
        <f t="shared" ca="1" si="72"/>
        <v>5.7000721679815181E-3</v>
      </c>
      <c r="FL66" s="9">
        <f t="shared" ca="1" si="72"/>
        <v>2.9571586197646438E-3</v>
      </c>
      <c r="FM66" s="9">
        <f t="shared" ca="1" si="72"/>
        <v>1.3289995162310442E-2</v>
      </c>
      <c r="FN66" s="9">
        <f t="shared" ca="1" si="72"/>
        <v>2.2101093092047996E-2</v>
      </c>
      <c r="FO66" s="9">
        <f t="shared" ca="1" si="72"/>
        <v>1.5384879437042476E-2</v>
      </c>
      <c r="FP66" s="9">
        <f t="shared" ca="1" si="72"/>
        <v>6.9497082019249756E-3</v>
      </c>
      <c r="FQ66" s="9">
        <f t="shared" ca="1" si="72"/>
        <v>1.343454114145981E-2</v>
      </c>
      <c r="FR66" s="9">
        <f t="shared" ca="1" si="72"/>
        <v>7.7915845585383448E-3</v>
      </c>
      <c r="FS66" s="9">
        <f t="shared" ca="1" si="72"/>
        <v>4.7796873768044534E-3</v>
      </c>
      <c r="FT66" s="9">
        <f t="shared" ca="1" si="72"/>
        <v>6.3969539620416516E-3</v>
      </c>
      <c r="FU66" s="9">
        <f t="shared" ca="1" si="72"/>
        <v>4.8667987956851899E-3</v>
      </c>
      <c r="FV66" s="9">
        <f t="shared" ca="1" si="72"/>
        <v>2.3379919768744539E-3</v>
      </c>
      <c r="FW66" s="9">
        <f t="shared" ca="1" si="72"/>
        <v>5.546497913525128E-3</v>
      </c>
      <c r="FX66" s="9">
        <f t="shared" ca="1" si="72"/>
        <v>1.1096983820032769E-2</v>
      </c>
      <c r="FY66" s="9">
        <f t="shared" ca="1" si="72"/>
        <v>6.4808170350403316E-3</v>
      </c>
      <c r="FZ66" s="9">
        <f t="shared" ca="1" si="72"/>
        <v>1.0076931331578276E-2</v>
      </c>
      <c r="GA66" s="9">
        <f t="shared" ca="1" si="72"/>
        <v>7.2910434976719563E-3</v>
      </c>
      <c r="GB66" s="9">
        <f t="shared" ca="1" si="72"/>
        <v>2.8282030617139409E-3</v>
      </c>
      <c r="GC66" s="9">
        <f t="shared" ca="1" si="72"/>
        <v>1.5595785795882167E-3</v>
      </c>
      <c r="GD66" s="9">
        <f t="shared" ca="1" si="72"/>
        <v>5.5628150229940498E-3</v>
      </c>
      <c r="GE66" s="9">
        <f t="shared" ca="1" si="72"/>
        <v>2.7903962004072191E-4</v>
      </c>
      <c r="GF66" s="9">
        <f t="shared" ca="1" si="72"/>
        <v>1.7526212622512638E-2</v>
      </c>
      <c r="GG66" s="9">
        <f t="shared" ca="1" si="72"/>
        <v>1.8593830013583279E-2</v>
      </c>
      <c r="GH66" s="9">
        <f t="shared" ca="1" si="72"/>
        <v>1.3098108005968223E-2</v>
      </c>
      <c r="GI66" s="9">
        <f t="shared" ca="1" si="72"/>
        <v>1.2135523376594959E-2</v>
      </c>
      <c r="GJ66" s="9">
        <f t="shared" ca="1" si="72"/>
        <v>1.1812756324534712E-2</v>
      </c>
      <c r="GK66" s="9">
        <f t="shared" ca="1" si="72"/>
        <v>1.083377817344533E-2</v>
      </c>
      <c r="GL66" s="9">
        <f t="shared" ref="GL66:IW66" ca="1" si="73">IF(GL39="","",ABS(GL39))</f>
        <v>8.1950934953898269E-3</v>
      </c>
      <c r="GM66" s="9">
        <f t="shared" ca="1" si="73"/>
        <v>5.4286449705174267E-3</v>
      </c>
      <c r="GN66" s="9">
        <f t="shared" ca="1" si="73"/>
        <v>5.4043329149777719E-3</v>
      </c>
      <c r="GO66" s="9">
        <f t="shared" ca="1" si="73"/>
        <v>8.2185695653171909E-3</v>
      </c>
      <c r="GP66" s="9" t="str">
        <f t="shared" ca="1" si="73"/>
        <v/>
      </c>
      <c r="GQ66" s="9" t="str">
        <f t="shared" ca="1" si="73"/>
        <v/>
      </c>
      <c r="GR66" s="9" t="str">
        <f t="shared" ca="1" si="73"/>
        <v/>
      </c>
      <c r="GS66" s="9" t="str">
        <f t="shared" ca="1" si="73"/>
        <v/>
      </c>
      <c r="GT66" s="9" t="str">
        <f t="shared" ca="1" si="73"/>
        <v/>
      </c>
      <c r="GU66" s="9" t="str">
        <f t="shared" ca="1" si="73"/>
        <v/>
      </c>
      <c r="GV66" s="9" t="str">
        <f t="shared" ca="1" si="73"/>
        <v/>
      </c>
      <c r="GW66" s="9" t="str">
        <f t="shared" ca="1" si="73"/>
        <v/>
      </c>
      <c r="GX66" s="9" t="str">
        <f t="shared" ca="1" si="73"/>
        <v/>
      </c>
      <c r="GY66" s="9" t="str">
        <f t="shared" ca="1" si="73"/>
        <v/>
      </c>
      <c r="GZ66" s="9" t="str">
        <f t="shared" ca="1" si="73"/>
        <v/>
      </c>
      <c r="HA66" s="9" t="str">
        <f t="shared" ca="1" si="73"/>
        <v/>
      </c>
      <c r="HB66" s="9" t="str">
        <f t="shared" ca="1" si="73"/>
        <v/>
      </c>
      <c r="HC66" s="9" t="str">
        <f t="shared" ca="1" si="73"/>
        <v/>
      </c>
      <c r="HD66" s="9" t="str">
        <f t="shared" ca="1" si="73"/>
        <v/>
      </c>
      <c r="HE66" s="9" t="str">
        <f t="shared" ca="1" si="73"/>
        <v/>
      </c>
      <c r="HF66" s="9" t="str">
        <f t="shared" ca="1" si="73"/>
        <v/>
      </c>
      <c r="HG66" s="9" t="str">
        <f t="shared" ca="1" si="73"/>
        <v/>
      </c>
      <c r="HH66" s="9" t="str">
        <f t="shared" ca="1" si="73"/>
        <v/>
      </c>
      <c r="HI66" s="9" t="str">
        <f t="shared" ca="1" si="73"/>
        <v/>
      </c>
      <c r="HJ66" s="9" t="str">
        <f t="shared" ca="1" si="73"/>
        <v/>
      </c>
      <c r="HK66" s="9" t="str">
        <f t="shared" ca="1" si="73"/>
        <v/>
      </c>
      <c r="HL66" s="9" t="str">
        <f t="shared" ca="1" si="73"/>
        <v/>
      </c>
      <c r="HM66" s="9" t="str">
        <f t="shared" ca="1" si="73"/>
        <v/>
      </c>
      <c r="HN66" s="9" t="str">
        <f t="shared" ca="1" si="73"/>
        <v/>
      </c>
      <c r="HO66" s="9" t="str">
        <f t="shared" ca="1" si="73"/>
        <v/>
      </c>
      <c r="HP66" s="9" t="str">
        <f t="shared" ca="1" si="73"/>
        <v/>
      </c>
      <c r="HQ66" s="9" t="str">
        <f t="shared" ca="1" si="73"/>
        <v/>
      </c>
      <c r="HR66" s="9" t="str">
        <f t="shared" ca="1" si="73"/>
        <v/>
      </c>
      <c r="HS66" s="9" t="str">
        <f t="shared" ca="1" si="73"/>
        <v/>
      </c>
      <c r="HT66" s="9" t="str">
        <f t="shared" ca="1" si="73"/>
        <v/>
      </c>
      <c r="HU66" s="9" t="str">
        <f t="shared" ca="1" si="73"/>
        <v/>
      </c>
      <c r="HV66" s="9" t="str">
        <f t="shared" ca="1" si="73"/>
        <v/>
      </c>
      <c r="HW66" s="9" t="str">
        <f t="shared" ca="1" si="73"/>
        <v/>
      </c>
      <c r="HX66" s="9" t="str">
        <f t="shared" ca="1" si="73"/>
        <v/>
      </c>
      <c r="HY66" s="9" t="str">
        <f t="shared" ca="1" si="73"/>
        <v/>
      </c>
      <c r="HZ66" s="9" t="str">
        <f t="shared" ca="1" si="73"/>
        <v/>
      </c>
      <c r="IA66" s="9" t="str">
        <f t="shared" ca="1" si="73"/>
        <v/>
      </c>
      <c r="IB66" s="9" t="str">
        <f t="shared" ca="1" si="73"/>
        <v/>
      </c>
      <c r="IC66" s="9" t="str">
        <f t="shared" ca="1" si="73"/>
        <v/>
      </c>
      <c r="ID66" s="9" t="str">
        <f t="shared" ca="1" si="73"/>
        <v/>
      </c>
      <c r="IE66" s="9" t="str">
        <f t="shared" ca="1" si="73"/>
        <v/>
      </c>
      <c r="IF66" s="9" t="str">
        <f t="shared" ca="1" si="73"/>
        <v/>
      </c>
      <c r="IG66" s="9" t="str">
        <f t="shared" ca="1" si="73"/>
        <v/>
      </c>
      <c r="IH66" s="9" t="str">
        <f t="shared" ca="1" si="73"/>
        <v/>
      </c>
      <c r="II66" s="9" t="str">
        <f t="shared" ca="1" si="73"/>
        <v/>
      </c>
      <c r="IJ66" s="9" t="str">
        <f t="shared" ca="1" si="73"/>
        <v/>
      </c>
      <c r="IK66" s="9" t="str">
        <f t="shared" ca="1" si="73"/>
        <v/>
      </c>
      <c r="IL66" s="9" t="str">
        <f t="shared" ca="1" si="73"/>
        <v/>
      </c>
      <c r="IM66" s="9" t="str">
        <f t="shared" ca="1" si="73"/>
        <v/>
      </c>
      <c r="IN66" s="9" t="str">
        <f t="shared" ca="1" si="73"/>
        <v/>
      </c>
      <c r="IO66" s="9" t="str">
        <f t="shared" ca="1" si="73"/>
        <v/>
      </c>
      <c r="IP66" s="9" t="str">
        <f t="shared" ca="1" si="73"/>
        <v/>
      </c>
      <c r="IQ66" s="9" t="str">
        <f t="shared" ca="1" si="73"/>
        <v/>
      </c>
      <c r="IR66" s="9" t="str">
        <f t="shared" ca="1" si="73"/>
        <v/>
      </c>
      <c r="IS66" s="9" t="str">
        <f t="shared" ca="1" si="73"/>
        <v/>
      </c>
      <c r="IT66" s="9" t="str">
        <f t="shared" ca="1" si="73"/>
        <v/>
      </c>
      <c r="IU66" s="9" t="str">
        <f t="shared" ca="1" si="73"/>
        <v/>
      </c>
      <c r="IV66" s="9" t="str">
        <f t="shared" ca="1" si="73"/>
        <v/>
      </c>
      <c r="IW66" s="9" t="str">
        <f t="shared" ca="1" si="73"/>
        <v/>
      </c>
      <c r="IX66" s="9" t="str">
        <f t="shared" ref="IX66:JH66" ca="1" si="74">IF(IX39="","",ABS(IX39))</f>
        <v/>
      </c>
      <c r="IY66" s="9" t="str">
        <f t="shared" ca="1" si="74"/>
        <v/>
      </c>
      <c r="IZ66" s="9" t="str">
        <f t="shared" ca="1" si="74"/>
        <v/>
      </c>
      <c r="JA66" s="9" t="str">
        <f t="shared" ca="1" si="74"/>
        <v/>
      </c>
      <c r="JB66" s="9" t="str">
        <f t="shared" ca="1" si="74"/>
        <v/>
      </c>
      <c r="JC66" s="9" t="str">
        <f t="shared" ca="1" si="74"/>
        <v/>
      </c>
      <c r="JD66" s="9" t="str">
        <f t="shared" ca="1" si="74"/>
        <v/>
      </c>
      <c r="JE66" s="9" t="str">
        <f t="shared" ca="1" si="74"/>
        <v/>
      </c>
      <c r="JF66" s="9" t="str">
        <f t="shared" ca="1" si="74"/>
        <v/>
      </c>
      <c r="JG66" s="9" t="str">
        <f t="shared" ca="1" si="74"/>
        <v/>
      </c>
      <c r="JH66" s="9" t="str">
        <f t="shared" ca="1" si="74"/>
        <v/>
      </c>
      <c r="JI66" s="13">
        <f t="shared" ca="1" si="24"/>
        <v>8.0630526862572258E-3</v>
      </c>
      <c r="JJ66" s="13">
        <f t="shared" ca="1" si="25"/>
        <v>7.2910434976719563E-3</v>
      </c>
      <c r="JK66" s="14">
        <f t="shared" ca="1" si="26"/>
        <v>2.0915293150829873E-5</v>
      </c>
      <c r="JL66" s="17">
        <f t="shared" ca="1" si="34"/>
        <v>4.573324081106638E-3</v>
      </c>
      <c r="JM66" s="15" t="str">
        <f t="shared" ca="1" si="27"/>
        <v>[ -0,11% ; 1,72% ]</v>
      </c>
      <c r="JN66" s="17">
        <f t="shared" ca="1" si="28"/>
        <v>5.8538548238164971E-3</v>
      </c>
      <c r="LY66" s="1"/>
    </row>
    <row r="67" spans="1:337" x14ac:dyDescent="0.25">
      <c r="A67" s="4">
        <v>11</v>
      </c>
      <c r="B67" s="9">
        <f t="shared" ref="B67:BM67" ca="1" si="75">IF(B40="","",ABS(B40))</f>
        <v>2.5050235383529129E-3</v>
      </c>
      <c r="C67" s="9">
        <f t="shared" ca="1" si="75"/>
        <v>3.8568791882518383E-3</v>
      </c>
      <c r="D67" s="9">
        <f t="shared" ca="1" si="75"/>
        <v>5.714070678592531E-3</v>
      </c>
      <c r="E67" s="9">
        <f t="shared" ca="1" si="75"/>
        <v>8.3091327515445457E-3</v>
      </c>
      <c r="F67" s="9">
        <f t="shared" ca="1" si="75"/>
        <v>8.3143699215586508E-3</v>
      </c>
      <c r="G67" s="9">
        <f t="shared" ca="1" si="75"/>
        <v>4.6467198201369797E-3</v>
      </c>
      <c r="H67" s="9">
        <f t="shared" ca="1" si="75"/>
        <v>5.8309761704897767E-3</v>
      </c>
      <c r="I67" s="9">
        <f t="shared" ca="1" si="75"/>
        <v>3.6487744198792083E-3</v>
      </c>
      <c r="J67" s="9">
        <f t="shared" ca="1" si="75"/>
        <v>1.6581255777607939E-3</v>
      </c>
      <c r="K67" s="9">
        <f t="shared" ca="1" si="75"/>
        <v>1.5172527620039844E-3</v>
      </c>
      <c r="L67" s="9">
        <f t="shared" ca="1" si="75"/>
        <v>1.9252546858190556E-3</v>
      </c>
      <c r="M67" s="9">
        <f t="shared" ca="1" si="75"/>
        <v>4.0367554352431778E-3</v>
      </c>
      <c r="N67" s="9">
        <f t="shared" ca="1" si="75"/>
        <v>7.9302264562559621E-3</v>
      </c>
      <c r="O67" s="9">
        <f t="shared" ca="1" si="75"/>
        <v>9.156266458882456E-3</v>
      </c>
      <c r="P67" s="9">
        <f t="shared" ca="1" si="75"/>
        <v>6.5945164067766626E-3</v>
      </c>
      <c r="Q67" s="9">
        <f t="shared" ca="1" si="75"/>
        <v>4.1680839262030478E-3</v>
      </c>
      <c r="R67" s="9">
        <f t="shared" ca="1" si="75"/>
        <v>2.6042118768867528E-3</v>
      </c>
      <c r="S67" s="9">
        <f t="shared" ca="1" si="75"/>
        <v>2.1793408246730817E-3</v>
      </c>
      <c r="T67" s="9">
        <f t="shared" ca="1" si="75"/>
        <v>2.4281901582525744E-3</v>
      </c>
      <c r="U67" s="9">
        <f t="shared" ca="1" si="75"/>
        <v>1.2164862782659824E-4</v>
      </c>
      <c r="V67" s="9">
        <f t="shared" ca="1" si="75"/>
        <v>8.8968285362789334E-4</v>
      </c>
      <c r="W67" s="9">
        <f t="shared" ca="1" si="75"/>
        <v>1.0740219425138253E-3</v>
      </c>
      <c r="X67" s="9">
        <f t="shared" ca="1" si="75"/>
        <v>8.6728056752671812E-4</v>
      </c>
      <c r="Y67" s="9">
        <f t="shared" ca="1" si="75"/>
        <v>7.6303655985121566E-4</v>
      </c>
      <c r="Z67" s="9">
        <f t="shared" ca="1" si="75"/>
        <v>1.335816865715822E-3</v>
      </c>
      <c r="AA67" s="9">
        <f t="shared" ca="1" si="75"/>
        <v>6.4560434784732834E-4</v>
      </c>
      <c r="AB67" s="9">
        <f t="shared" ca="1" si="75"/>
        <v>3.0212101356630328E-4</v>
      </c>
      <c r="AC67" s="9">
        <f t="shared" ca="1" si="75"/>
        <v>4.14400674276727E-3</v>
      </c>
      <c r="AD67" s="9">
        <f t="shared" ca="1" si="75"/>
        <v>5.8502169098402224E-3</v>
      </c>
      <c r="AE67" s="9">
        <f t="shared" ca="1" si="75"/>
        <v>4.0159233332761612E-3</v>
      </c>
      <c r="AF67" s="9">
        <f t="shared" ca="1" si="75"/>
        <v>6.6340677189434816E-3</v>
      </c>
      <c r="AG67" s="9">
        <f t="shared" ca="1" si="75"/>
        <v>9.7952668356463546E-3</v>
      </c>
      <c r="AH67" s="9">
        <f t="shared" ca="1" si="75"/>
        <v>1.3017603327052596E-2</v>
      </c>
      <c r="AI67" s="9">
        <f t="shared" ca="1" si="75"/>
        <v>9.0855925471303722E-3</v>
      </c>
      <c r="AJ67" s="9">
        <f t="shared" ca="1" si="75"/>
        <v>7.1125694122270433E-3</v>
      </c>
      <c r="AK67" s="9">
        <f t="shared" ca="1" si="75"/>
        <v>7.6744541484465856E-3</v>
      </c>
      <c r="AL67" s="9">
        <f t="shared" ca="1" si="75"/>
        <v>5.7007543078202438E-3</v>
      </c>
      <c r="AM67" s="9">
        <f t="shared" ca="1" si="75"/>
        <v>2.2516341186775701E-3</v>
      </c>
      <c r="AN67" s="9">
        <f t="shared" ca="1" si="75"/>
        <v>1.4487354797423357E-3</v>
      </c>
      <c r="AO67" s="9">
        <f t="shared" ca="1" si="75"/>
        <v>6.0606371831590788E-3</v>
      </c>
      <c r="AP67" s="9">
        <f t="shared" ca="1" si="75"/>
        <v>7.5060089056087076E-3</v>
      </c>
      <c r="AQ67" s="9">
        <f t="shared" ca="1" si="75"/>
        <v>1.1529845163900099E-2</v>
      </c>
      <c r="AR67" s="9">
        <f t="shared" ca="1" si="75"/>
        <v>1.922570671061985E-2</v>
      </c>
      <c r="AS67" s="9">
        <f t="shared" ca="1" si="75"/>
        <v>2.3759456026773096E-2</v>
      </c>
      <c r="AT67" s="9">
        <f t="shared" ca="1" si="75"/>
        <v>2.4235277682419953E-2</v>
      </c>
      <c r="AU67" s="9">
        <f t="shared" ca="1" si="75"/>
        <v>3.3420625635493195E-2</v>
      </c>
      <c r="AV67" s="9">
        <f t="shared" ca="1" si="75"/>
        <v>3.8445083144825976E-2</v>
      </c>
      <c r="AW67" s="9">
        <f t="shared" ca="1" si="75"/>
        <v>4.2066685005931692E-2</v>
      </c>
      <c r="AX67" s="9">
        <f t="shared" ca="1" si="75"/>
        <v>4.5278810530335667E-2</v>
      </c>
      <c r="AY67" s="9">
        <f t="shared" ca="1" si="75"/>
        <v>4.9413571686989011E-2</v>
      </c>
      <c r="AZ67" s="9">
        <f t="shared" ca="1" si="75"/>
        <v>5.4557469893848909E-2</v>
      </c>
      <c r="BA67" s="9">
        <f t="shared" ca="1" si="75"/>
        <v>5.5704858422904957E-2</v>
      </c>
      <c r="BB67" s="9">
        <f t="shared" ca="1" si="75"/>
        <v>4.3292051539311593E-2</v>
      </c>
      <c r="BC67" s="9">
        <f t="shared" ca="1" si="75"/>
        <v>2.1840944365032477E-2</v>
      </c>
      <c r="BD67" s="9">
        <f t="shared" ca="1" si="75"/>
        <v>2.6898583360829953E-2</v>
      </c>
      <c r="BE67" s="9">
        <f t="shared" ca="1" si="75"/>
        <v>1.9572657141360361E-2</v>
      </c>
      <c r="BF67" s="9">
        <f t="shared" ca="1" si="75"/>
        <v>1.6389710665283497E-2</v>
      </c>
      <c r="BG67" s="9">
        <f t="shared" ca="1" si="75"/>
        <v>3.1451897619505731E-2</v>
      </c>
      <c r="BH67" s="9">
        <f t="shared" ca="1" si="75"/>
        <v>1.7941451494458471E-2</v>
      </c>
      <c r="BI67" s="9">
        <f t="shared" ca="1" si="75"/>
        <v>7.6181025380832601E-3</v>
      </c>
      <c r="BJ67" s="9">
        <f t="shared" ca="1" si="75"/>
        <v>6.160191368018042E-3</v>
      </c>
      <c r="BK67" s="9">
        <f t="shared" ca="1" si="75"/>
        <v>3.4491592709705254E-2</v>
      </c>
      <c r="BL67" s="9">
        <f t="shared" ca="1" si="75"/>
        <v>5.7654603667151139E-2</v>
      </c>
      <c r="BM67" s="9">
        <f t="shared" ca="1" si="75"/>
        <v>5.2759108654195974E-2</v>
      </c>
      <c r="BN67" s="9">
        <f t="shared" ref="BN67:DY67" ca="1" si="76">IF(BN40="","",ABS(BN40))</f>
        <v>3.6534131341949383E-2</v>
      </c>
      <c r="BO67" s="9">
        <f t="shared" ca="1" si="76"/>
        <v>2.8955226107763576E-2</v>
      </c>
      <c r="BP67" s="9">
        <f t="shared" ca="1" si="76"/>
        <v>2.4072033389413772E-2</v>
      </c>
      <c r="BQ67" s="9">
        <f t="shared" ca="1" si="76"/>
        <v>2.9168222478000438E-2</v>
      </c>
      <c r="BR67" s="9">
        <f t="shared" ca="1" si="76"/>
        <v>2.2367646416340814E-2</v>
      </c>
      <c r="BS67" s="9">
        <f t="shared" ca="1" si="76"/>
        <v>5.2704504946058384E-3</v>
      </c>
      <c r="BT67" s="9">
        <f t="shared" ca="1" si="76"/>
        <v>1.6425943110600638E-2</v>
      </c>
      <c r="BU67" s="9">
        <f t="shared" ca="1" si="76"/>
        <v>1.9514978288525331E-2</v>
      </c>
      <c r="BV67" s="9">
        <f t="shared" ca="1" si="76"/>
        <v>1.1006587435934301E-2</v>
      </c>
      <c r="BW67" s="9">
        <f t="shared" ca="1" si="76"/>
        <v>3.556088408754432E-3</v>
      </c>
      <c r="BX67" s="9">
        <f t="shared" ca="1" si="76"/>
        <v>1.39543058586169E-2</v>
      </c>
      <c r="BY67" s="9">
        <f t="shared" ca="1" si="76"/>
        <v>7.0907677038049011E-3</v>
      </c>
      <c r="BZ67" s="9">
        <f t="shared" ca="1" si="76"/>
        <v>5.0343310949573228E-3</v>
      </c>
      <c r="CA67" s="9">
        <f t="shared" ca="1" si="76"/>
        <v>1.6471783085769687E-3</v>
      </c>
      <c r="CB67" s="9">
        <f t="shared" ca="1" si="76"/>
        <v>2.3239422969594248E-3</v>
      </c>
      <c r="CC67" s="9">
        <f t="shared" ca="1" si="76"/>
        <v>1.9260966708913863E-3</v>
      </c>
      <c r="CD67" s="9">
        <f t="shared" ca="1" si="76"/>
        <v>1.2007607720547431E-2</v>
      </c>
      <c r="CE67" s="9">
        <f t="shared" ca="1" si="76"/>
        <v>5.0624361906855819E-3</v>
      </c>
      <c r="CF67" s="9">
        <f t="shared" ca="1" si="76"/>
        <v>1.9299040543621082E-3</v>
      </c>
      <c r="CG67" s="9">
        <f t="shared" ca="1" si="76"/>
        <v>1.4496588648758024E-3</v>
      </c>
      <c r="CH67" s="9">
        <f t="shared" ca="1" si="76"/>
        <v>4.4626757410657358E-3</v>
      </c>
      <c r="CI67" s="9">
        <f t="shared" ca="1" si="76"/>
        <v>1.3670867338786419E-3</v>
      </c>
      <c r="CJ67" s="9">
        <f t="shared" ca="1" si="76"/>
        <v>4.1364544649014068E-4</v>
      </c>
      <c r="CK67" s="9">
        <f t="shared" ca="1" si="76"/>
        <v>1.3781560089666245E-2</v>
      </c>
      <c r="CL67" s="9">
        <f t="shared" ca="1" si="76"/>
        <v>1.3863657445077004E-2</v>
      </c>
      <c r="CM67" s="9">
        <f t="shared" ca="1" si="76"/>
        <v>1.3251492848917357E-2</v>
      </c>
      <c r="CN67" s="9">
        <f t="shared" ca="1" si="76"/>
        <v>5.4179702324514967E-3</v>
      </c>
      <c r="CO67" s="9">
        <f t="shared" ca="1" si="76"/>
        <v>4.5466087789280962E-3</v>
      </c>
      <c r="CP67" s="9">
        <f t="shared" ca="1" si="76"/>
        <v>9.0936598915281053E-4</v>
      </c>
      <c r="CQ67" s="9">
        <f t="shared" ca="1" si="76"/>
        <v>8.0538942352328391E-3</v>
      </c>
      <c r="CR67" s="9">
        <f t="shared" ca="1" si="76"/>
        <v>6.1924527810175434E-3</v>
      </c>
      <c r="CS67" s="9">
        <f t="shared" ca="1" si="76"/>
        <v>3.0557774655770586E-5</v>
      </c>
      <c r="CT67" s="9">
        <f t="shared" ca="1" si="76"/>
        <v>1.1578835696590684E-3</v>
      </c>
      <c r="CU67" s="9">
        <f t="shared" ca="1" si="76"/>
        <v>1.6511995028980153E-2</v>
      </c>
      <c r="CV67" s="9">
        <f t="shared" ca="1" si="76"/>
        <v>3.6900745226109422E-5</v>
      </c>
      <c r="CW67" s="9">
        <f t="shared" ca="1" si="76"/>
        <v>6.2872405369427398E-3</v>
      </c>
      <c r="CX67" s="9">
        <f t="shared" ca="1" si="76"/>
        <v>6.9105616977411799E-3</v>
      </c>
      <c r="CY67" s="9">
        <f t="shared" ca="1" si="76"/>
        <v>5.0359027627664421E-3</v>
      </c>
      <c r="CZ67" s="9">
        <f t="shared" ca="1" si="76"/>
        <v>3.0297480564771551E-3</v>
      </c>
      <c r="DA67" s="9">
        <f t="shared" ca="1" si="76"/>
        <v>8.7184606072965298E-4</v>
      </c>
      <c r="DB67" s="9">
        <f t="shared" ca="1" si="76"/>
        <v>1.5596146414602829E-2</v>
      </c>
      <c r="DC67" s="9">
        <f t="shared" ca="1" si="76"/>
        <v>1.6004667744874967E-2</v>
      </c>
      <c r="DD67" s="9">
        <f t="shared" ca="1" si="76"/>
        <v>1.3151698965483405E-2</v>
      </c>
      <c r="DE67" s="9">
        <f t="shared" ca="1" si="76"/>
        <v>2.139847883024848E-2</v>
      </c>
      <c r="DF67" s="9">
        <f t="shared" ca="1" si="76"/>
        <v>1.4214568038940278E-2</v>
      </c>
      <c r="DG67" s="9">
        <f t="shared" ca="1" si="76"/>
        <v>2.2421890767668984E-2</v>
      </c>
      <c r="DH67" s="9">
        <f t="shared" ca="1" si="76"/>
        <v>3.0513758665628776E-2</v>
      </c>
      <c r="DI67" s="9">
        <f t="shared" ca="1" si="76"/>
        <v>2.2601313474284179E-2</v>
      </c>
      <c r="DJ67" s="9">
        <f t="shared" ca="1" si="76"/>
        <v>1.2560790326265447E-2</v>
      </c>
      <c r="DK67" s="9">
        <f t="shared" ca="1" si="76"/>
        <v>1.2329389846754912E-2</v>
      </c>
      <c r="DL67" s="9">
        <f t="shared" ca="1" si="76"/>
        <v>7.6981247859722046E-3</v>
      </c>
      <c r="DM67" s="9">
        <f t="shared" ca="1" si="76"/>
        <v>6.9035276714094485E-3</v>
      </c>
      <c r="DN67" s="9">
        <f t="shared" ca="1" si="76"/>
        <v>2.6691222404320092E-2</v>
      </c>
      <c r="DO67" s="9">
        <f t="shared" ca="1" si="76"/>
        <v>1.667326887855225E-2</v>
      </c>
      <c r="DP67" s="9">
        <f t="shared" ca="1" si="76"/>
        <v>1.5404536458680562E-2</v>
      </c>
      <c r="DQ67" s="9">
        <f t="shared" ca="1" si="76"/>
        <v>4.5398633165665281E-3</v>
      </c>
      <c r="DR67" s="9">
        <f t="shared" ca="1" si="76"/>
        <v>6.4265987816016779E-3</v>
      </c>
      <c r="DS67" s="9">
        <f t="shared" ca="1" si="76"/>
        <v>7.0409123250757544E-3</v>
      </c>
      <c r="DT67" s="9">
        <f t="shared" ca="1" si="76"/>
        <v>4.6827885646131273E-3</v>
      </c>
      <c r="DU67" s="9">
        <f t="shared" ca="1" si="76"/>
        <v>1.5995667459185459E-3</v>
      </c>
      <c r="DV67" s="9">
        <f t="shared" ca="1" si="76"/>
        <v>1.437886785618514E-2</v>
      </c>
      <c r="DW67" s="9">
        <f t="shared" ca="1" si="76"/>
        <v>1.7686474043951961E-2</v>
      </c>
      <c r="DX67" s="9">
        <f t="shared" ca="1" si="76"/>
        <v>9.2519414329814698E-3</v>
      </c>
      <c r="DY67" s="9">
        <f t="shared" ca="1" si="76"/>
        <v>1.4303979867236194E-3</v>
      </c>
      <c r="DZ67" s="9">
        <f t="shared" ref="DZ67:GK67" ca="1" si="77">IF(DZ40="","",ABS(DZ40))</f>
        <v>5.4921152561410169E-3</v>
      </c>
      <c r="EA67" s="9">
        <f t="shared" ca="1" si="77"/>
        <v>2.5813315498286471E-3</v>
      </c>
      <c r="EB67" s="9">
        <f t="shared" ca="1" si="77"/>
        <v>5.9564544830521537E-3</v>
      </c>
      <c r="EC67" s="9">
        <f t="shared" ca="1" si="77"/>
        <v>1.0954170185097922E-3</v>
      </c>
      <c r="ED67" s="9">
        <f t="shared" ca="1" si="77"/>
        <v>7.823007360924672E-3</v>
      </c>
      <c r="EE67" s="9">
        <f t="shared" ca="1" si="77"/>
        <v>1.9735349032676819E-3</v>
      </c>
      <c r="EF67" s="9">
        <f t="shared" ca="1" si="77"/>
        <v>5.6857963185090732E-3</v>
      </c>
      <c r="EG67" s="9">
        <f t="shared" ca="1" si="77"/>
        <v>1.5273179726341679E-2</v>
      </c>
      <c r="EH67" s="9">
        <f t="shared" ca="1" si="77"/>
        <v>1.29345765529707E-2</v>
      </c>
      <c r="EI67" s="9">
        <f t="shared" ca="1" si="77"/>
        <v>1.1046194017052979E-2</v>
      </c>
      <c r="EJ67" s="9">
        <f t="shared" ca="1" si="77"/>
        <v>8.2597797383794358E-3</v>
      </c>
      <c r="EK67" s="9">
        <f t="shared" ca="1" si="77"/>
        <v>5.6103289469064954E-3</v>
      </c>
      <c r="EL67" s="9">
        <f t="shared" ca="1" si="77"/>
        <v>3.9533320761533375E-3</v>
      </c>
      <c r="EM67" s="9">
        <f t="shared" ca="1" si="77"/>
        <v>1.4137998395624685E-3</v>
      </c>
      <c r="EN67" s="9">
        <f t="shared" ca="1" si="77"/>
        <v>4.7746706911547809E-3</v>
      </c>
      <c r="EO67" s="9">
        <f t="shared" ca="1" si="77"/>
        <v>3.6632182218419018E-3</v>
      </c>
      <c r="EP67" s="9">
        <f t="shared" ca="1" si="77"/>
        <v>2.048037990809104E-3</v>
      </c>
      <c r="EQ67" s="9">
        <f t="shared" ca="1" si="77"/>
        <v>1.4807523444149484E-2</v>
      </c>
      <c r="ER67" s="9">
        <f t="shared" ca="1" si="77"/>
        <v>4.3967160766533731E-4</v>
      </c>
      <c r="ES67" s="9">
        <f t="shared" ca="1" si="77"/>
        <v>6.7721176506334579E-3</v>
      </c>
      <c r="ET67" s="9">
        <f t="shared" ca="1" si="77"/>
        <v>1.7003615475437162E-3</v>
      </c>
      <c r="EU67" s="9">
        <f t="shared" ca="1" si="77"/>
        <v>4.9217039216142844E-4</v>
      </c>
      <c r="EV67" s="9">
        <f t="shared" ca="1" si="77"/>
        <v>3.1055990523765065E-4</v>
      </c>
      <c r="EW67" s="9">
        <f t="shared" ca="1" si="77"/>
        <v>8.1357392865401001E-3</v>
      </c>
      <c r="EX67" s="9">
        <f t="shared" ca="1" si="77"/>
        <v>4.337552185258442E-3</v>
      </c>
      <c r="EY67" s="9">
        <f t="shared" ca="1" si="77"/>
        <v>7.2260179831240556E-4</v>
      </c>
      <c r="EZ67" s="9">
        <f t="shared" ca="1" si="77"/>
        <v>2.0855214667379052E-3</v>
      </c>
      <c r="FA67" s="9">
        <f t="shared" ca="1" si="77"/>
        <v>7.1908783661611686E-4</v>
      </c>
      <c r="FB67" s="9">
        <f t="shared" ca="1" si="77"/>
        <v>1.918809056900006E-4</v>
      </c>
      <c r="FC67" s="9">
        <f t="shared" ca="1" si="77"/>
        <v>4.2517894731466388E-3</v>
      </c>
      <c r="FD67" s="9">
        <f t="shared" ca="1" si="77"/>
        <v>8.2626980710394093E-3</v>
      </c>
      <c r="FE67" s="9">
        <f t="shared" ca="1" si="77"/>
        <v>2.145751803070306E-3</v>
      </c>
      <c r="FF67" s="9">
        <f t="shared" ca="1" si="77"/>
        <v>4.1781900960717877E-3</v>
      </c>
      <c r="FG67" s="9">
        <f t="shared" ca="1" si="77"/>
        <v>1.8216646248538915E-3</v>
      </c>
      <c r="FH67" s="9">
        <f t="shared" ca="1" si="77"/>
        <v>3.7401061462652985E-3</v>
      </c>
      <c r="FI67" s="9">
        <f t="shared" ca="1" si="77"/>
        <v>1.7617566855881783E-2</v>
      </c>
      <c r="FJ67" s="9">
        <f t="shared" ca="1" si="77"/>
        <v>1.6751174984627748E-2</v>
      </c>
      <c r="FK67" s="9">
        <f t="shared" ca="1" si="77"/>
        <v>4.4340253391266238E-3</v>
      </c>
      <c r="FL67" s="9">
        <f t="shared" ca="1" si="77"/>
        <v>3.8488720011590205E-3</v>
      </c>
      <c r="FM67" s="9">
        <f t="shared" ca="1" si="77"/>
        <v>1.5128452523649583E-2</v>
      </c>
      <c r="FN67" s="9">
        <f t="shared" ca="1" si="77"/>
        <v>2.2749933997235461E-2</v>
      </c>
      <c r="FO67" s="9">
        <f t="shared" ca="1" si="77"/>
        <v>1.6829221013480944E-2</v>
      </c>
      <c r="FP67" s="9">
        <f t="shared" ca="1" si="77"/>
        <v>1.080577742221811E-2</v>
      </c>
      <c r="FQ67" s="9">
        <f t="shared" ca="1" si="77"/>
        <v>1.6110305094259036E-2</v>
      </c>
      <c r="FR67" s="9">
        <f t="shared" ca="1" si="77"/>
        <v>8.1743331506551886E-3</v>
      </c>
      <c r="FS67" s="9">
        <f t="shared" ca="1" si="77"/>
        <v>5.9561787734223604E-3</v>
      </c>
      <c r="FT67" s="9">
        <f t="shared" ca="1" si="77"/>
        <v>7.1079608332356159E-3</v>
      </c>
      <c r="FU67" s="9">
        <f t="shared" ca="1" si="77"/>
        <v>5.4280951623149054E-3</v>
      </c>
      <c r="FV67" s="9">
        <f t="shared" ca="1" si="77"/>
        <v>1.4552345129891231E-3</v>
      </c>
      <c r="FW67" s="9">
        <f t="shared" ca="1" si="77"/>
        <v>7.1158876044541408E-3</v>
      </c>
      <c r="FX67" s="9">
        <f t="shared" ca="1" si="77"/>
        <v>1.0605608594109972E-2</v>
      </c>
      <c r="FY67" s="9">
        <f t="shared" ca="1" si="77"/>
        <v>4.3684774735177623E-3</v>
      </c>
      <c r="FZ67" s="9">
        <f t="shared" ca="1" si="77"/>
        <v>9.729375012136332E-3</v>
      </c>
      <c r="GA67" s="9">
        <f t="shared" ca="1" si="77"/>
        <v>8.747119413010096E-3</v>
      </c>
      <c r="GB67" s="9">
        <f t="shared" ca="1" si="77"/>
        <v>1.6065570288481545E-3</v>
      </c>
      <c r="GC67" s="9">
        <f t="shared" ca="1" si="77"/>
        <v>2.2365845563719899E-3</v>
      </c>
      <c r="GD67" s="9">
        <f t="shared" ca="1" si="77"/>
        <v>5.8535180348151528E-5</v>
      </c>
      <c r="GE67" s="9">
        <f t="shared" ca="1" si="77"/>
        <v>1.6651868687318272E-2</v>
      </c>
      <c r="GF67" s="9">
        <f t="shared" ca="1" si="77"/>
        <v>1.8134122257603025E-2</v>
      </c>
      <c r="GG67" s="9">
        <f t="shared" ca="1" si="77"/>
        <v>1.3392781327764114E-2</v>
      </c>
      <c r="GH67" s="9">
        <f t="shared" ca="1" si="77"/>
        <v>5.7276894426467884E-3</v>
      </c>
      <c r="GI67" s="9">
        <f t="shared" ca="1" si="77"/>
        <v>7.1617093707936341E-3</v>
      </c>
      <c r="GJ67" s="9">
        <f t="shared" ca="1" si="77"/>
        <v>1.2789950168530906E-2</v>
      </c>
      <c r="GK67" s="9">
        <f t="shared" ca="1" si="77"/>
        <v>1.152963018153863E-2</v>
      </c>
      <c r="GL67" s="9">
        <f t="shared" ref="GL67:IW67" ca="1" si="78">IF(GL40="","",ABS(GL40))</f>
        <v>6.4611939409080499E-3</v>
      </c>
      <c r="GM67" s="9">
        <f t="shared" ca="1" si="78"/>
        <v>4.0367383555488523E-3</v>
      </c>
      <c r="GN67" s="9">
        <f t="shared" ca="1" si="78"/>
        <v>4.9998632065237913E-3</v>
      </c>
      <c r="GO67" s="9" t="str">
        <f t="shared" ca="1" si="78"/>
        <v/>
      </c>
      <c r="GP67" s="9" t="str">
        <f t="shared" ca="1" si="78"/>
        <v/>
      </c>
      <c r="GQ67" s="9" t="str">
        <f t="shared" ca="1" si="78"/>
        <v/>
      </c>
      <c r="GR67" s="9" t="str">
        <f t="shared" ca="1" si="78"/>
        <v/>
      </c>
      <c r="GS67" s="9" t="str">
        <f t="shared" ca="1" si="78"/>
        <v/>
      </c>
      <c r="GT67" s="9" t="str">
        <f t="shared" ca="1" si="78"/>
        <v/>
      </c>
      <c r="GU67" s="9" t="str">
        <f t="shared" ca="1" si="78"/>
        <v/>
      </c>
      <c r="GV67" s="9" t="str">
        <f t="shared" ca="1" si="78"/>
        <v/>
      </c>
      <c r="GW67" s="9" t="str">
        <f t="shared" ca="1" si="78"/>
        <v/>
      </c>
      <c r="GX67" s="9" t="str">
        <f t="shared" ca="1" si="78"/>
        <v/>
      </c>
      <c r="GY67" s="9" t="str">
        <f t="shared" ca="1" si="78"/>
        <v/>
      </c>
      <c r="GZ67" s="9" t="str">
        <f t="shared" ca="1" si="78"/>
        <v/>
      </c>
      <c r="HA67" s="9" t="str">
        <f t="shared" ca="1" si="78"/>
        <v/>
      </c>
      <c r="HB67" s="9" t="str">
        <f t="shared" ca="1" si="78"/>
        <v/>
      </c>
      <c r="HC67" s="9" t="str">
        <f t="shared" ca="1" si="78"/>
        <v/>
      </c>
      <c r="HD67" s="9" t="str">
        <f t="shared" ca="1" si="78"/>
        <v/>
      </c>
      <c r="HE67" s="9" t="str">
        <f t="shared" ca="1" si="78"/>
        <v/>
      </c>
      <c r="HF67" s="9" t="str">
        <f t="shared" ca="1" si="78"/>
        <v/>
      </c>
      <c r="HG67" s="9" t="str">
        <f t="shared" ca="1" si="78"/>
        <v/>
      </c>
      <c r="HH67" s="9" t="str">
        <f t="shared" ca="1" si="78"/>
        <v/>
      </c>
      <c r="HI67" s="9" t="str">
        <f t="shared" ca="1" si="78"/>
        <v/>
      </c>
      <c r="HJ67" s="9" t="str">
        <f t="shared" ca="1" si="78"/>
        <v/>
      </c>
      <c r="HK67" s="9" t="str">
        <f t="shared" ca="1" si="78"/>
        <v/>
      </c>
      <c r="HL67" s="9" t="str">
        <f t="shared" ca="1" si="78"/>
        <v/>
      </c>
      <c r="HM67" s="9" t="str">
        <f t="shared" ca="1" si="78"/>
        <v/>
      </c>
      <c r="HN67" s="9" t="str">
        <f t="shared" ca="1" si="78"/>
        <v/>
      </c>
      <c r="HO67" s="9" t="str">
        <f t="shared" ca="1" si="78"/>
        <v/>
      </c>
      <c r="HP67" s="9" t="str">
        <f t="shared" ca="1" si="78"/>
        <v/>
      </c>
      <c r="HQ67" s="9" t="str">
        <f t="shared" ca="1" si="78"/>
        <v/>
      </c>
      <c r="HR67" s="9" t="str">
        <f t="shared" ca="1" si="78"/>
        <v/>
      </c>
      <c r="HS67" s="9" t="str">
        <f t="shared" ca="1" si="78"/>
        <v/>
      </c>
      <c r="HT67" s="9" t="str">
        <f t="shared" ca="1" si="78"/>
        <v/>
      </c>
      <c r="HU67" s="9" t="str">
        <f t="shared" ca="1" si="78"/>
        <v/>
      </c>
      <c r="HV67" s="9" t="str">
        <f t="shared" ca="1" si="78"/>
        <v/>
      </c>
      <c r="HW67" s="9" t="str">
        <f t="shared" ca="1" si="78"/>
        <v/>
      </c>
      <c r="HX67" s="9" t="str">
        <f t="shared" ca="1" si="78"/>
        <v/>
      </c>
      <c r="HY67" s="9" t="str">
        <f t="shared" ca="1" si="78"/>
        <v/>
      </c>
      <c r="HZ67" s="9" t="str">
        <f t="shared" ca="1" si="78"/>
        <v/>
      </c>
      <c r="IA67" s="9" t="str">
        <f t="shared" ca="1" si="78"/>
        <v/>
      </c>
      <c r="IB67" s="9" t="str">
        <f t="shared" ca="1" si="78"/>
        <v/>
      </c>
      <c r="IC67" s="9" t="str">
        <f t="shared" ca="1" si="78"/>
        <v/>
      </c>
      <c r="ID67" s="9" t="str">
        <f t="shared" ca="1" si="78"/>
        <v/>
      </c>
      <c r="IE67" s="9" t="str">
        <f t="shared" ca="1" si="78"/>
        <v/>
      </c>
      <c r="IF67" s="9" t="str">
        <f t="shared" ca="1" si="78"/>
        <v/>
      </c>
      <c r="IG67" s="9" t="str">
        <f t="shared" ca="1" si="78"/>
        <v/>
      </c>
      <c r="IH67" s="9" t="str">
        <f t="shared" ca="1" si="78"/>
        <v/>
      </c>
      <c r="II67" s="9" t="str">
        <f t="shared" ca="1" si="78"/>
        <v/>
      </c>
      <c r="IJ67" s="9" t="str">
        <f t="shared" ca="1" si="78"/>
        <v/>
      </c>
      <c r="IK67" s="9" t="str">
        <f t="shared" ca="1" si="78"/>
        <v/>
      </c>
      <c r="IL67" s="9" t="str">
        <f t="shared" ca="1" si="78"/>
        <v/>
      </c>
      <c r="IM67" s="9" t="str">
        <f t="shared" ca="1" si="78"/>
        <v/>
      </c>
      <c r="IN67" s="9" t="str">
        <f t="shared" ca="1" si="78"/>
        <v/>
      </c>
      <c r="IO67" s="9" t="str">
        <f t="shared" ca="1" si="78"/>
        <v/>
      </c>
      <c r="IP67" s="9" t="str">
        <f t="shared" ca="1" si="78"/>
        <v/>
      </c>
      <c r="IQ67" s="9" t="str">
        <f t="shared" ca="1" si="78"/>
        <v/>
      </c>
      <c r="IR67" s="9" t="str">
        <f t="shared" ca="1" si="78"/>
        <v/>
      </c>
      <c r="IS67" s="9" t="str">
        <f t="shared" ca="1" si="78"/>
        <v/>
      </c>
      <c r="IT67" s="9" t="str">
        <f t="shared" ca="1" si="78"/>
        <v/>
      </c>
      <c r="IU67" s="9" t="str">
        <f t="shared" ca="1" si="78"/>
        <v/>
      </c>
      <c r="IV67" s="9" t="str">
        <f t="shared" ca="1" si="78"/>
        <v/>
      </c>
      <c r="IW67" s="9" t="str">
        <f t="shared" ca="1" si="78"/>
        <v/>
      </c>
      <c r="IX67" s="9" t="str">
        <f t="shared" ref="IX67:JH67" ca="1" si="79">IF(IX40="","",ABS(IX40))</f>
        <v/>
      </c>
      <c r="IY67" s="9" t="str">
        <f t="shared" ca="1" si="79"/>
        <v/>
      </c>
      <c r="IZ67" s="9" t="str">
        <f t="shared" ca="1" si="79"/>
        <v/>
      </c>
      <c r="JA67" s="9" t="str">
        <f t="shared" ca="1" si="79"/>
        <v/>
      </c>
      <c r="JB67" s="9" t="str">
        <f t="shared" ca="1" si="79"/>
        <v/>
      </c>
      <c r="JC67" s="9" t="str">
        <f t="shared" ca="1" si="79"/>
        <v/>
      </c>
      <c r="JD67" s="9" t="str">
        <f t="shared" ca="1" si="79"/>
        <v/>
      </c>
      <c r="JE67" s="9" t="str">
        <f t="shared" ca="1" si="79"/>
        <v/>
      </c>
      <c r="JF67" s="9" t="str">
        <f t="shared" ca="1" si="79"/>
        <v/>
      </c>
      <c r="JG67" s="9" t="str">
        <f t="shared" ca="1" si="79"/>
        <v/>
      </c>
      <c r="JH67" s="9" t="str">
        <f t="shared" ca="1" si="79"/>
        <v/>
      </c>
      <c r="JI67" s="13">
        <f t="shared" ca="1" si="24"/>
        <v>7.8994083053687044E-3</v>
      </c>
      <c r="JJ67" s="13">
        <f t="shared" ca="1" si="25"/>
        <v>7.1119242188448784E-3</v>
      </c>
      <c r="JK67" s="14">
        <f t="shared" ca="1" si="26"/>
        <v>2.3184809559649688E-5</v>
      </c>
      <c r="JL67" s="17">
        <f t="shared" ca="1" si="34"/>
        <v>4.8150607015539993E-3</v>
      </c>
      <c r="JM67" s="15" t="str">
        <f t="shared" ca="1" si="27"/>
        <v>[ -0,17% ; 1,75% ]</v>
      </c>
      <c r="JN67" s="17">
        <f t="shared" ca="1" si="28"/>
        <v>6.1632776979891196E-3</v>
      </c>
      <c r="LY67" s="1"/>
    </row>
    <row r="68" spans="1:337" x14ac:dyDescent="0.25">
      <c r="A68" s="4">
        <v>12</v>
      </c>
      <c r="B68" s="9">
        <f t="shared" ref="B68:BM68" ca="1" si="80">IF(B41="","",ABS(B41))</f>
        <v>2.8540406704369303E-3</v>
      </c>
      <c r="C68" s="9">
        <f t="shared" ca="1" si="80"/>
        <v>3.8959250885517438E-3</v>
      </c>
      <c r="D68" s="9">
        <f t="shared" ca="1" si="80"/>
        <v>7.4669683680885779E-3</v>
      </c>
      <c r="E68" s="9">
        <f t="shared" ca="1" si="80"/>
        <v>9.6436255138232507E-3</v>
      </c>
      <c r="F68" s="9">
        <f t="shared" ca="1" si="80"/>
        <v>9.2249928058583119E-3</v>
      </c>
      <c r="G68" s="9">
        <f t="shared" ca="1" si="80"/>
        <v>5.5383018947414708E-3</v>
      </c>
      <c r="H68" s="9">
        <f t="shared" ca="1" si="80"/>
        <v>6.1615906538872167E-3</v>
      </c>
      <c r="I68" s="9">
        <f t="shared" ca="1" si="80"/>
        <v>4.7358910929335973E-3</v>
      </c>
      <c r="J68" s="9">
        <f t="shared" ca="1" si="80"/>
        <v>2.3522694985651516E-3</v>
      </c>
      <c r="K68" s="9">
        <f t="shared" ca="1" si="80"/>
        <v>1.5461314868896459E-3</v>
      </c>
      <c r="L68" s="9">
        <f t="shared" ca="1" si="80"/>
        <v>2.3188218898495538E-3</v>
      </c>
      <c r="M68" s="9">
        <f t="shared" ca="1" si="80"/>
        <v>4.1370851649209506E-3</v>
      </c>
      <c r="N68" s="9">
        <f t="shared" ca="1" si="80"/>
        <v>7.7987761357818375E-3</v>
      </c>
      <c r="O68" s="9">
        <f t="shared" ca="1" si="80"/>
        <v>9.5324694299949719E-3</v>
      </c>
      <c r="P68" s="9">
        <f t="shared" ca="1" si="80"/>
        <v>6.9774233982828893E-3</v>
      </c>
      <c r="Q68" s="9">
        <f t="shared" ca="1" si="80"/>
        <v>5.3198447966635865E-3</v>
      </c>
      <c r="R68" s="9">
        <f t="shared" ca="1" si="80"/>
        <v>3.0539765414039355E-3</v>
      </c>
      <c r="S68" s="9">
        <f t="shared" ca="1" si="80"/>
        <v>1.966520206659883E-3</v>
      </c>
      <c r="T68" s="9">
        <f t="shared" ca="1" si="80"/>
        <v>2.9364610398150415E-3</v>
      </c>
      <c r="U68" s="9">
        <f t="shared" ca="1" si="80"/>
        <v>3.9923512340966916E-4</v>
      </c>
      <c r="V68" s="9">
        <f t="shared" ca="1" si="80"/>
        <v>3.18922386923437E-4</v>
      </c>
      <c r="W68" s="9">
        <f t="shared" ca="1" si="80"/>
        <v>5.2158329548879223E-4</v>
      </c>
      <c r="X68" s="9">
        <f t="shared" ca="1" si="80"/>
        <v>1.1013987562669136E-4</v>
      </c>
      <c r="Y68" s="9">
        <f t="shared" ca="1" si="80"/>
        <v>6.1229106586191406E-4</v>
      </c>
      <c r="Z68" s="9">
        <f t="shared" ca="1" si="80"/>
        <v>7.5892521311082817E-4</v>
      </c>
      <c r="AA68" s="9">
        <f t="shared" ca="1" si="80"/>
        <v>3.40180658915612E-4</v>
      </c>
      <c r="AB68" s="9">
        <f t="shared" ca="1" si="80"/>
        <v>4.6028460173763719E-4</v>
      </c>
      <c r="AC68" s="9">
        <f t="shared" ca="1" si="80"/>
        <v>5.3206745683318513E-3</v>
      </c>
      <c r="AD68" s="9">
        <f t="shared" ca="1" si="80"/>
        <v>6.7488452424866452E-3</v>
      </c>
      <c r="AE68" s="9">
        <f t="shared" ca="1" si="80"/>
        <v>4.715226931014227E-3</v>
      </c>
      <c r="AF68" s="9">
        <f t="shared" ca="1" si="80"/>
        <v>7.5494984328493553E-3</v>
      </c>
      <c r="AG68" s="9">
        <f t="shared" ca="1" si="80"/>
        <v>1.0817975623302667E-2</v>
      </c>
      <c r="AH68" s="9">
        <f t="shared" ca="1" si="80"/>
        <v>1.3294708845800418E-2</v>
      </c>
      <c r="AI68" s="9">
        <f t="shared" ca="1" si="80"/>
        <v>9.9461667892375427E-3</v>
      </c>
      <c r="AJ68" s="9">
        <f t="shared" ca="1" si="80"/>
        <v>7.8916810963131079E-3</v>
      </c>
      <c r="AK68" s="9">
        <f t="shared" ca="1" si="80"/>
        <v>7.2735467663000986E-3</v>
      </c>
      <c r="AL68" s="9">
        <f t="shared" ca="1" si="80"/>
        <v>4.7102326741228495E-3</v>
      </c>
      <c r="AM68" s="9">
        <f t="shared" ca="1" si="80"/>
        <v>1.5464861400643626E-3</v>
      </c>
      <c r="AN68" s="9">
        <f t="shared" ca="1" si="80"/>
        <v>4.1502319802735332E-3</v>
      </c>
      <c r="AO68" s="9">
        <f t="shared" ca="1" si="80"/>
        <v>8.6848550360871801E-3</v>
      </c>
      <c r="AP68" s="9">
        <f t="shared" ca="1" si="80"/>
        <v>1.1805343997286721E-2</v>
      </c>
      <c r="AQ68" s="9">
        <f t="shared" ca="1" si="80"/>
        <v>1.6680522791383101E-2</v>
      </c>
      <c r="AR68" s="9">
        <f t="shared" ca="1" si="80"/>
        <v>2.3530415553075779E-2</v>
      </c>
      <c r="AS68" s="9">
        <f t="shared" ca="1" si="80"/>
        <v>2.9332798279363415E-2</v>
      </c>
      <c r="AT68" s="9">
        <f t="shared" ca="1" si="80"/>
        <v>2.9874434601264932E-2</v>
      </c>
      <c r="AU68" s="9">
        <f t="shared" ca="1" si="80"/>
        <v>3.7937545215153579E-2</v>
      </c>
      <c r="AV68" s="9">
        <f t="shared" ca="1" si="80"/>
        <v>4.5545273174387724E-2</v>
      </c>
      <c r="AW68" s="9">
        <f t="shared" ca="1" si="80"/>
        <v>4.9532909055913787E-2</v>
      </c>
      <c r="AX68" s="9">
        <f t="shared" ca="1" si="80"/>
        <v>5.1812586784810266E-2</v>
      </c>
      <c r="AY68" s="9">
        <f t="shared" ca="1" si="80"/>
        <v>5.9052299863732616E-2</v>
      </c>
      <c r="AZ68" s="9">
        <f t="shared" ca="1" si="80"/>
        <v>6.41741291125697E-2</v>
      </c>
      <c r="BA68" s="9">
        <f t="shared" ca="1" si="80"/>
        <v>6.2755759302611569E-2</v>
      </c>
      <c r="BB68" s="9">
        <f t="shared" ca="1" si="80"/>
        <v>4.8040779680563972E-2</v>
      </c>
      <c r="BC68" s="9">
        <f t="shared" ca="1" si="80"/>
        <v>2.2443030995617175E-2</v>
      </c>
      <c r="BD68" s="9">
        <f t="shared" ca="1" si="80"/>
        <v>2.7050183030913111E-2</v>
      </c>
      <c r="BE68" s="9">
        <f t="shared" ca="1" si="80"/>
        <v>1.927419329141955E-2</v>
      </c>
      <c r="BF68" s="9">
        <f t="shared" ca="1" si="80"/>
        <v>1.4743560360117591E-2</v>
      </c>
      <c r="BG68" s="9">
        <f t="shared" ca="1" si="80"/>
        <v>3.0535961003214762E-2</v>
      </c>
      <c r="BH68" s="9">
        <f t="shared" ca="1" si="80"/>
        <v>1.7985324105010969E-2</v>
      </c>
      <c r="BI68" s="9">
        <f t="shared" ca="1" si="80"/>
        <v>6.1054315611601684E-3</v>
      </c>
      <c r="BJ68" s="9">
        <f t="shared" ca="1" si="80"/>
        <v>3.6517674455145421E-3</v>
      </c>
      <c r="BK68" s="9">
        <f t="shared" ca="1" si="80"/>
        <v>4.1481804622090279E-2</v>
      </c>
      <c r="BL68" s="9">
        <f t="shared" ca="1" si="80"/>
        <v>6.4247502199931583E-2</v>
      </c>
      <c r="BM68" s="9">
        <f t="shared" ca="1" si="80"/>
        <v>5.9159313197064467E-2</v>
      </c>
      <c r="BN68" s="9">
        <f t="shared" ref="BN68:DY68" ca="1" si="81">IF(BN41="","",ABS(BN41))</f>
        <v>4.1773983600519426E-2</v>
      </c>
      <c r="BO68" s="9">
        <f t="shared" ca="1" si="81"/>
        <v>3.3587907317933374E-2</v>
      </c>
      <c r="BP68" s="9">
        <f t="shared" ca="1" si="81"/>
        <v>2.7919396095930082E-2</v>
      </c>
      <c r="BQ68" s="9">
        <f t="shared" ca="1" si="81"/>
        <v>3.198801964869924E-2</v>
      </c>
      <c r="BR68" s="9">
        <f t="shared" ca="1" si="81"/>
        <v>2.3202426424376643E-2</v>
      </c>
      <c r="BS68" s="9">
        <f t="shared" ca="1" si="81"/>
        <v>6.1383072007841211E-3</v>
      </c>
      <c r="BT68" s="9">
        <f t="shared" ca="1" si="81"/>
        <v>1.8647699667434625E-2</v>
      </c>
      <c r="BU68" s="9">
        <f t="shared" ca="1" si="81"/>
        <v>2.1571767826404131E-2</v>
      </c>
      <c r="BV68" s="9">
        <f t="shared" ca="1" si="81"/>
        <v>1.1767430810577073E-2</v>
      </c>
      <c r="BW68" s="9">
        <f t="shared" ca="1" si="81"/>
        <v>3.1165193039990324E-3</v>
      </c>
      <c r="BX68" s="9">
        <f t="shared" ca="1" si="81"/>
        <v>1.3865014936155884E-2</v>
      </c>
      <c r="BY68" s="9">
        <f t="shared" ca="1" si="81"/>
        <v>9.3209038243986519E-3</v>
      </c>
      <c r="BZ68" s="9">
        <f t="shared" ca="1" si="81"/>
        <v>6.9229370112041666E-3</v>
      </c>
      <c r="CA68" s="9">
        <f t="shared" ca="1" si="81"/>
        <v>9.7276802758683445E-4</v>
      </c>
      <c r="CB68" s="9">
        <f t="shared" ca="1" si="81"/>
        <v>2.6999124678355191E-3</v>
      </c>
      <c r="CC68" s="9">
        <f t="shared" ca="1" si="81"/>
        <v>9.4121889909526413E-4</v>
      </c>
      <c r="CD68" s="9">
        <f t="shared" ca="1" si="81"/>
        <v>1.1476212846535216E-2</v>
      </c>
      <c r="CE68" s="9">
        <f t="shared" ca="1" si="81"/>
        <v>6.2875101887212015E-3</v>
      </c>
      <c r="CF68" s="9">
        <f t="shared" ca="1" si="81"/>
        <v>1.6876902642158909E-3</v>
      </c>
      <c r="CG68" s="9">
        <f t="shared" ca="1" si="81"/>
        <v>3.6161336796114441E-4</v>
      </c>
      <c r="CH68" s="9">
        <f t="shared" ca="1" si="81"/>
        <v>3.9209961478579025E-3</v>
      </c>
      <c r="CI68" s="9">
        <f t="shared" ca="1" si="81"/>
        <v>5.7579897306330174E-3</v>
      </c>
      <c r="CJ68" s="9">
        <f t="shared" ca="1" si="81"/>
        <v>2.4740736502568694E-3</v>
      </c>
      <c r="CK68" s="9">
        <f t="shared" ca="1" si="81"/>
        <v>1.5333101497516877E-2</v>
      </c>
      <c r="CL68" s="9">
        <f t="shared" ca="1" si="81"/>
        <v>1.4451144717826603E-2</v>
      </c>
      <c r="CM68" s="9">
        <f t="shared" ca="1" si="81"/>
        <v>1.3501086716265265E-2</v>
      </c>
      <c r="CN68" s="9">
        <f t="shared" ca="1" si="81"/>
        <v>5.5424347750185898E-3</v>
      </c>
      <c r="CO68" s="9">
        <f t="shared" ca="1" si="81"/>
        <v>4.8623041569444414E-3</v>
      </c>
      <c r="CP68" s="9">
        <f t="shared" ca="1" si="81"/>
        <v>3.6002415188014503E-3</v>
      </c>
      <c r="CQ68" s="9">
        <f t="shared" ca="1" si="81"/>
        <v>9.1283682686014167E-3</v>
      </c>
      <c r="CR68" s="9">
        <f t="shared" ca="1" si="81"/>
        <v>6.7778178962689672E-3</v>
      </c>
      <c r="CS68" s="9">
        <f t="shared" ca="1" si="81"/>
        <v>4.9297645014223512E-4</v>
      </c>
      <c r="CT68" s="9">
        <f t="shared" ca="1" si="81"/>
        <v>3.4566683620429473E-4</v>
      </c>
      <c r="CU68" s="9">
        <f t="shared" ca="1" si="81"/>
        <v>1.5537163478786864E-2</v>
      </c>
      <c r="CV68" s="9">
        <f t="shared" ca="1" si="81"/>
        <v>2.7178910549785495E-3</v>
      </c>
      <c r="CW68" s="9">
        <f t="shared" ca="1" si="81"/>
        <v>5.7395454109732125E-3</v>
      </c>
      <c r="CX68" s="9">
        <f t="shared" ca="1" si="81"/>
        <v>5.0678373646659836E-3</v>
      </c>
      <c r="CY68" s="9">
        <f t="shared" ca="1" si="81"/>
        <v>3.1110893098795778E-3</v>
      </c>
      <c r="CZ68" s="9">
        <f t="shared" ca="1" si="81"/>
        <v>4.2833626925808943E-4</v>
      </c>
      <c r="DA68" s="9">
        <f t="shared" ca="1" si="81"/>
        <v>3.3982550642936982E-3</v>
      </c>
      <c r="DB68" s="9">
        <f t="shared" ca="1" si="81"/>
        <v>1.610548176711335E-2</v>
      </c>
      <c r="DC68" s="9">
        <f t="shared" ca="1" si="81"/>
        <v>1.8553886473022918E-2</v>
      </c>
      <c r="DD68" s="9">
        <f t="shared" ca="1" si="81"/>
        <v>1.6207936507209864E-2</v>
      </c>
      <c r="DE68" s="9">
        <f t="shared" ca="1" si="81"/>
        <v>2.5844325921927314E-2</v>
      </c>
      <c r="DF68" s="9">
        <f t="shared" ca="1" si="81"/>
        <v>1.7728201503328656E-2</v>
      </c>
      <c r="DG68" s="9">
        <f t="shared" ca="1" si="81"/>
        <v>2.2559364520347902E-2</v>
      </c>
      <c r="DH68" s="9">
        <f t="shared" ca="1" si="81"/>
        <v>3.4852892784508094E-2</v>
      </c>
      <c r="DI68" s="9">
        <f t="shared" ca="1" si="81"/>
        <v>2.5435501349555412E-2</v>
      </c>
      <c r="DJ68" s="9">
        <f t="shared" ca="1" si="81"/>
        <v>1.5447818225778787E-2</v>
      </c>
      <c r="DK68" s="9">
        <f t="shared" ca="1" si="81"/>
        <v>1.3213213618013975E-2</v>
      </c>
      <c r="DL68" s="9">
        <f t="shared" ca="1" si="81"/>
        <v>8.9505499477117167E-3</v>
      </c>
      <c r="DM68" s="9">
        <f t="shared" ca="1" si="81"/>
        <v>7.0080627110483684E-3</v>
      </c>
      <c r="DN68" s="9">
        <f t="shared" ca="1" si="81"/>
        <v>2.5726999812504814E-2</v>
      </c>
      <c r="DO68" s="9">
        <f t="shared" ca="1" si="81"/>
        <v>1.8498403300383659E-2</v>
      </c>
      <c r="DP68" s="9">
        <f t="shared" ca="1" si="81"/>
        <v>1.7419820408898556E-2</v>
      </c>
      <c r="DQ68" s="9">
        <f t="shared" ca="1" si="81"/>
        <v>4.2793127423066402E-3</v>
      </c>
      <c r="DR68" s="9">
        <f t="shared" ca="1" si="81"/>
        <v>6.7934467283146116E-3</v>
      </c>
      <c r="DS68" s="9">
        <f t="shared" ca="1" si="81"/>
        <v>6.4763175864508415E-3</v>
      </c>
      <c r="DT68" s="9">
        <f t="shared" ca="1" si="81"/>
        <v>4.3994945927945395E-3</v>
      </c>
      <c r="DU68" s="9">
        <f t="shared" ca="1" si="81"/>
        <v>9.7297233298854202E-4</v>
      </c>
      <c r="DV68" s="9">
        <f t="shared" ca="1" si="81"/>
        <v>1.4583108407599354E-2</v>
      </c>
      <c r="DW68" s="9">
        <f t="shared" ca="1" si="81"/>
        <v>1.6215496455793454E-2</v>
      </c>
      <c r="DX68" s="9">
        <f t="shared" ca="1" si="81"/>
        <v>1.0436925305143729E-2</v>
      </c>
      <c r="DY68" s="9">
        <f t="shared" ca="1" si="81"/>
        <v>4.3392727718412072E-3</v>
      </c>
      <c r="DZ68" s="9">
        <f t="shared" ref="DZ68:GK68" ca="1" si="82">IF(DZ41="","",ABS(DZ41))</f>
        <v>3.2722550254075111E-3</v>
      </c>
      <c r="EA68" s="9">
        <f t="shared" ca="1" si="82"/>
        <v>2.8746436449618162E-3</v>
      </c>
      <c r="EB68" s="9">
        <f t="shared" ca="1" si="82"/>
        <v>7.1486787399952512E-3</v>
      </c>
      <c r="EC68" s="9">
        <f t="shared" ca="1" si="82"/>
        <v>7.4775020496353761E-4</v>
      </c>
      <c r="ED68" s="9">
        <f t="shared" ca="1" si="82"/>
        <v>8.8221173605556036E-3</v>
      </c>
      <c r="EE68" s="9">
        <f t="shared" ca="1" si="82"/>
        <v>1.7273368126069499E-5</v>
      </c>
      <c r="EF68" s="9">
        <f t="shared" ca="1" si="82"/>
        <v>4.6523071214714662E-3</v>
      </c>
      <c r="EG68" s="9">
        <f t="shared" ca="1" si="82"/>
        <v>1.3840853493668481E-2</v>
      </c>
      <c r="EH68" s="9">
        <f t="shared" ca="1" si="82"/>
        <v>1.4704520129415366E-2</v>
      </c>
      <c r="EI68" s="9">
        <f t="shared" ca="1" si="82"/>
        <v>9.4683467821552458E-3</v>
      </c>
      <c r="EJ68" s="9">
        <f t="shared" ca="1" si="82"/>
        <v>6.6148880103642504E-3</v>
      </c>
      <c r="EK68" s="9">
        <f t="shared" ca="1" si="82"/>
        <v>4.302909493308027E-3</v>
      </c>
      <c r="EL68" s="9">
        <f t="shared" ca="1" si="82"/>
        <v>4.8414806076951811E-3</v>
      </c>
      <c r="EM68" s="9">
        <f t="shared" ca="1" si="82"/>
        <v>2.1253638752418702E-3</v>
      </c>
      <c r="EN68" s="9">
        <f t="shared" ca="1" si="82"/>
        <v>5.9998083743501018E-3</v>
      </c>
      <c r="EO68" s="9">
        <f t="shared" ca="1" si="82"/>
        <v>3.5971624155970439E-3</v>
      </c>
      <c r="EP68" s="9">
        <f t="shared" ca="1" si="82"/>
        <v>2.284082418711697E-3</v>
      </c>
      <c r="EQ68" s="9">
        <f t="shared" ca="1" si="82"/>
        <v>1.5798647705395741E-2</v>
      </c>
      <c r="ER68" s="9">
        <f t="shared" ca="1" si="82"/>
        <v>1.9772567965615773E-3</v>
      </c>
      <c r="ES68" s="9">
        <f t="shared" ca="1" si="82"/>
        <v>5.6147046232244424E-3</v>
      </c>
      <c r="ET68" s="9">
        <f t="shared" ca="1" si="82"/>
        <v>6.64079638058368E-4</v>
      </c>
      <c r="EU68" s="9">
        <f t="shared" ca="1" si="82"/>
        <v>1.4217297442076227E-4</v>
      </c>
      <c r="EV68" s="9">
        <f t="shared" ca="1" si="82"/>
        <v>1.9360245912736218E-4</v>
      </c>
      <c r="EW68" s="9">
        <f t="shared" ca="1" si="82"/>
        <v>6.291902863865384E-3</v>
      </c>
      <c r="EX68" s="9">
        <f t="shared" ca="1" si="82"/>
        <v>2.7249408987173318E-3</v>
      </c>
      <c r="EY68" s="9">
        <f t="shared" ca="1" si="82"/>
        <v>1.9994218647421125E-3</v>
      </c>
      <c r="EZ68" s="9">
        <f t="shared" ca="1" si="82"/>
        <v>1.8611786256008678E-3</v>
      </c>
      <c r="FA68" s="9">
        <f t="shared" ca="1" si="82"/>
        <v>1.1115669403090056E-3</v>
      </c>
      <c r="FB68" s="9">
        <f t="shared" ca="1" si="82"/>
        <v>2.0834935808797805E-3</v>
      </c>
      <c r="FC68" s="9">
        <f t="shared" ca="1" si="82"/>
        <v>6.4617363566339403E-3</v>
      </c>
      <c r="FD68" s="9">
        <f t="shared" ca="1" si="82"/>
        <v>3.7735294712457623E-3</v>
      </c>
      <c r="FE68" s="9">
        <f t="shared" ca="1" si="82"/>
        <v>8.5129420203422512E-4</v>
      </c>
      <c r="FF68" s="9">
        <f t="shared" ca="1" si="82"/>
        <v>3.387137543655383E-3</v>
      </c>
      <c r="FG68" s="9">
        <f t="shared" ca="1" si="82"/>
        <v>2.1533665175628158E-3</v>
      </c>
      <c r="FH68" s="9">
        <f t="shared" ca="1" si="82"/>
        <v>4.4137802980764862E-3</v>
      </c>
      <c r="FI68" s="9">
        <f t="shared" ca="1" si="82"/>
        <v>1.6949008132436938E-2</v>
      </c>
      <c r="FJ68" s="9">
        <f t="shared" ca="1" si="82"/>
        <v>1.5254236223717244E-2</v>
      </c>
      <c r="FK68" s="9">
        <f t="shared" ca="1" si="82"/>
        <v>5.6569168770018718E-3</v>
      </c>
      <c r="FL68" s="9">
        <f t="shared" ca="1" si="82"/>
        <v>5.0575882596268773E-3</v>
      </c>
      <c r="FM68" s="9">
        <f t="shared" ca="1" si="82"/>
        <v>1.5308866999189652E-2</v>
      </c>
      <c r="FN68" s="9">
        <f t="shared" ca="1" si="82"/>
        <v>2.4280422575775673E-2</v>
      </c>
      <c r="FO68" s="9">
        <f t="shared" ca="1" si="82"/>
        <v>1.3186936200879851E-2</v>
      </c>
      <c r="FP68" s="9">
        <f t="shared" ca="1" si="82"/>
        <v>1.1611750392014342E-2</v>
      </c>
      <c r="FQ68" s="9">
        <f t="shared" ca="1" si="82"/>
        <v>1.8196420792786938E-2</v>
      </c>
      <c r="FR68" s="9">
        <f t="shared" ca="1" si="82"/>
        <v>8.9544875449341088E-3</v>
      </c>
      <c r="FS68" s="9">
        <f t="shared" ca="1" si="82"/>
        <v>6.9349389477229018E-3</v>
      </c>
      <c r="FT68" s="9">
        <f t="shared" ca="1" si="82"/>
        <v>7.6589971328828721E-3</v>
      </c>
      <c r="FU68" s="9">
        <f t="shared" ca="1" si="82"/>
        <v>6.0217774724788953E-3</v>
      </c>
      <c r="FV68" s="9">
        <f t="shared" ca="1" si="82"/>
        <v>4.7212574472077495E-4</v>
      </c>
      <c r="FW68" s="9">
        <f t="shared" ca="1" si="82"/>
        <v>6.9199003505191481E-3</v>
      </c>
      <c r="FX68" s="9">
        <f t="shared" ca="1" si="82"/>
        <v>9.7711193070388891E-3</v>
      </c>
      <c r="FY68" s="9">
        <f t="shared" ca="1" si="82"/>
        <v>4.0435899522424101E-3</v>
      </c>
      <c r="FZ68" s="9">
        <f t="shared" ca="1" si="82"/>
        <v>9.3361532107620882E-3</v>
      </c>
      <c r="GA68" s="9">
        <f t="shared" ca="1" si="82"/>
        <v>6.5025118778880842E-3</v>
      </c>
      <c r="GB68" s="9">
        <f t="shared" ca="1" si="82"/>
        <v>2.3864745379934549E-3</v>
      </c>
      <c r="GC68" s="9">
        <f t="shared" ca="1" si="82"/>
        <v>3.4633280406148881E-3</v>
      </c>
      <c r="GD68" s="9">
        <f t="shared" ca="1" si="82"/>
        <v>1.74310826319648E-2</v>
      </c>
      <c r="GE68" s="9">
        <f t="shared" ca="1" si="82"/>
        <v>1.7208408857767532E-2</v>
      </c>
      <c r="GF68" s="9">
        <f t="shared" ca="1" si="82"/>
        <v>1.3210731357641059E-2</v>
      </c>
      <c r="GG68" s="9">
        <f t="shared" ca="1" si="82"/>
        <v>6.2735049863305026E-3</v>
      </c>
      <c r="GH68" s="9">
        <f t="shared" ca="1" si="82"/>
        <v>1.275756880338319E-3</v>
      </c>
      <c r="GI68" s="9">
        <f t="shared" ca="1" si="82"/>
        <v>8.034649541583283E-3</v>
      </c>
      <c r="GJ68" s="9">
        <f t="shared" ca="1" si="82"/>
        <v>1.3695451895899158E-2</v>
      </c>
      <c r="GK68" s="9">
        <f t="shared" ca="1" si="82"/>
        <v>1.0096106896287482E-2</v>
      </c>
      <c r="GL68" s="9">
        <f t="shared" ref="GL68:IW68" ca="1" si="83">IF(GL41="","",ABS(GL41))</f>
        <v>5.2181429975379778E-3</v>
      </c>
      <c r="GM68" s="9">
        <f t="shared" ca="1" si="83"/>
        <v>3.3797420723093996E-3</v>
      </c>
      <c r="GN68" s="9" t="str">
        <f t="shared" ca="1" si="83"/>
        <v/>
      </c>
      <c r="GO68" s="9" t="str">
        <f t="shared" ca="1" si="83"/>
        <v/>
      </c>
      <c r="GP68" s="9" t="str">
        <f t="shared" ca="1" si="83"/>
        <v/>
      </c>
      <c r="GQ68" s="9" t="str">
        <f t="shared" ca="1" si="83"/>
        <v/>
      </c>
      <c r="GR68" s="9" t="str">
        <f t="shared" ca="1" si="83"/>
        <v/>
      </c>
      <c r="GS68" s="9" t="str">
        <f t="shared" ca="1" si="83"/>
        <v/>
      </c>
      <c r="GT68" s="9" t="str">
        <f t="shared" ca="1" si="83"/>
        <v/>
      </c>
      <c r="GU68" s="9" t="str">
        <f t="shared" ca="1" si="83"/>
        <v/>
      </c>
      <c r="GV68" s="9" t="str">
        <f t="shared" ca="1" si="83"/>
        <v/>
      </c>
      <c r="GW68" s="9" t="str">
        <f t="shared" ca="1" si="83"/>
        <v/>
      </c>
      <c r="GX68" s="9" t="str">
        <f t="shared" ca="1" si="83"/>
        <v/>
      </c>
      <c r="GY68" s="9" t="str">
        <f t="shared" ca="1" si="83"/>
        <v/>
      </c>
      <c r="GZ68" s="9" t="str">
        <f t="shared" ca="1" si="83"/>
        <v/>
      </c>
      <c r="HA68" s="9" t="str">
        <f t="shared" ca="1" si="83"/>
        <v/>
      </c>
      <c r="HB68" s="9" t="str">
        <f t="shared" ca="1" si="83"/>
        <v/>
      </c>
      <c r="HC68" s="9" t="str">
        <f t="shared" ca="1" si="83"/>
        <v/>
      </c>
      <c r="HD68" s="9" t="str">
        <f t="shared" ca="1" si="83"/>
        <v/>
      </c>
      <c r="HE68" s="9" t="str">
        <f t="shared" ca="1" si="83"/>
        <v/>
      </c>
      <c r="HF68" s="9" t="str">
        <f t="shared" ca="1" si="83"/>
        <v/>
      </c>
      <c r="HG68" s="9" t="str">
        <f t="shared" ca="1" si="83"/>
        <v/>
      </c>
      <c r="HH68" s="9" t="str">
        <f t="shared" ca="1" si="83"/>
        <v/>
      </c>
      <c r="HI68" s="9" t="str">
        <f t="shared" ca="1" si="83"/>
        <v/>
      </c>
      <c r="HJ68" s="9" t="str">
        <f t="shared" ca="1" si="83"/>
        <v/>
      </c>
      <c r="HK68" s="9" t="str">
        <f t="shared" ca="1" si="83"/>
        <v/>
      </c>
      <c r="HL68" s="9" t="str">
        <f t="shared" ca="1" si="83"/>
        <v/>
      </c>
      <c r="HM68" s="9" t="str">
        <f t="shared" ca="1" si="83"/>
        <v/>
      </c>
      <c r="HN68" s="9" t="str">
        <f t="shared" ca="1" si="83"/>
        <v/>
      </c>
      <c r="HO68" s="9" t="str">
        <f t="shared" ca="1" si="83"/>
        <v/>
      </c>
      <c r="HP68" s="9" t="str">
        <f t="shared" ca="1" si="83"/>
        <v/>
      </c>
      <c r="HQ68" s="9" t="str">
        <f t="shared" ca="1" si="83"/>
        <v/>
      </c>
      <c r="HR68" s="9" t="str">
        <f t="shared" ca="1" si="83"/>
        <v/>
      </c>
      <c r="HS68" s="9" t="str">
        <f t="shared" ca="1" si="83"/>
        <v/>
      </c>
      <c r="HT68" s="9" t="str">
        <f t="shared" ca="1" si="83"/>
        <v/>
      </c>
      <c r="HU68" s="9" t="str">
        <f t="shared" ca="1" si="83"/>
        <v/>
      </c>
      <c r="HV68" s="9" t="str">
        <f t="shared" ca="1" si="83"/>
        <v/>
      </c>
      <c r="HW68" s="9" t="str">
        <f t="shared" ca="1" si="83"/>
        <v/>
      </c>
      <c r="HX68" s="9" t="str">
        <f t="shared" ca="1" si="83"/>
        <v/>
      </c>
      <c r="HY68" s="9" t="str">
        <f t="shared" ca="1" si="83"/>
        <v/>
      </c>
      <c r="HZ68" s="9" t="str">
        <f t="shared" ca="1" si="83"/>
        <v/>
      </c>
      <c r="IA68" s="9" t="str">
        <f t="shared" ca="1" si="83"/>
        <v/>
      </c>
      <c r="IB68" s="9" t="str">
        <f t="shared" ca="1" si="83"/>
        <v/>
      </c>
      <c r="IC68" s="9" t="str">
        <f t="shared" ca="1" si="83"/>
        <v/>
      </c>
      <c r="ID68" s="9" t="str">
        <f t="shared" ca="1" si="83"/>
        <v/>
      </c>
      <c r="IE68" s="9" t="str">
        <f t="shared" ca="1" si="83"/>
        <v/>
      </c>
      <c r="IF68" s="9" t="str">
        <f t="shared" ca="1" si="83"/>
        <v/>
      </c>
      <c r="IG68" s="9" t="str">
        <f t="shared" ca="1" si="83"/>
        <v/>
      </c>
      <c r="IH68" s="9" t="str">
        <f t="shared" ca="1" si="83"/>
        <v/>
      </c>
      <c r="II68" s="9" t="str">
        <f t="shared" ca="1" si="83"/>
        <v/>
      </c>
      <c r="IJ68" s="9" t="str">
        <f t="shared" ca="1" si="83"/>
        <v/>
      </c>
      <c r="IK68" s="9" t="str">
        <f t="shared" ca="1" si="83"/>
        <v/>
      </c>
      <c r="IL68" s="9" t="str">
        <f t="shared" ca="1" si="83"/>
        <v/>
      </c>
      <c r="IM68" s="9" t="str">
        <f t="shared" ca="1" si="83"/>
        <v/>
      </c>
      <c r="IN68" s="9" t="str">
        <f t="shared" ca="1" si="83"/>
        <v/>
      </c>
      <c r="IO68" s="9" t="str">
        <f t="shared" ca="1" si="83"/>
        <v/>
      </c>
      <c r="IP68" s="9" t="str">
        <f t="shared" ca="1" si="83"/>
        <v/>
      </c>
      <c r="IQ68" s="9" t="str">
        <f t="shared" ca="1" si="83"/>
        <v/>
      </c>
      <c r="IR68" s="9" t="str">
        <f t="shared" ca="1" si="83"/>
        <v/>
      </c>
      <c r="IS68" s="9" t="str">
        <f t="shared" ca="1" si="83"/>
        <v/>
      </c>
      <c r="IT68" s="9" t="str">
        <f t="shared" ca="1" si="83"/>
        <v/>
      </c>
      <c r="IU68" s="9" t="str">
        <f t="shared" ca="1" si="83"/>
        <v/>
      </c>
      <c r="IV68" s="9" t="str">
        <f t="shared" ca="1" si="83"/>
        <v/>
      </c>
      <c r="IW68" s="9" t="str">
        <f t="shared" ca="1" si="83"/>
        <v/>
      </c>
      <c r="IX68" s="9" t="str">
        <f t="shared" ref="IX68:JH68" ca="1" si="84">IF(IX41="","",ABS(IX41))</f>
        <v/>
      </c>
      <c r="IY68" s="9" t="str">
        <f t="shared" ca="1" si="84"/>
        <v/>
      </c>
      <c r="IZ68" s="9" t="str">
        <f t="shared" ca="1" si="84"/>
        <v/>
      </c>
      <c r="JA68" s="9" t="str">
        <f t="shared" ca="1" si="84"/>
        <v/>
      </c>
      <c r="JB68" s="9" t="str">
        <f t="shared" ca="1" si="84"/>
        <v/>
      </c>
      <c r="JC68" s="9" t="str">
        <f t="shared" ca="1" si="84"/>
        <v/>
      </c>
      <c r="JD68" s="9" t="str">
        <f t="shared" ca="1" si="84"/>
        <v/>
      </c>
      <c r="JE68" s="9" t="str">
        <f t="shared" ca="1" si="84"/>
        <v/>
      </c>
      <c r="JF68" s="9" t="str">
        <f t="shared" ca="1" si="84"/>
        <v/>
      </c>
      <c r="JG68" s="9" t="str">
        <f t="shared" ca="1" si="84"/>
        <v/>
      </c>
      <c r="JH68" s="9" t="str">
        <f t="shared" ca="1" si="84"/>
        <v/>
      </c>
      <c r="JI68" s="13">
        <f t="shared" ca="1" si="24"/>
        <v>8.1080610013149982E-3</v>
      </c>
      <c r="JJ68" s="13">
        <f t="shared" ca="1" si="25"/>
        <v>6.9349389477229018E-3</v>
      </c>
      <c r="JK68" s="14">
        <f t="shared" ca="1" si="26"/>
        <v>2.4240281361957101E-5</v>
      </c>
      <c r="JL68" s="17">
        <f t="shared" ca="1" si="34"/>
        <v>4.9234420238240947E-3</v>
      </c>
      <c r="JM68" s="15" t="str">
        <f t="shared" ca="1" si="27"/>
        <v>[ -0,17% ; 1,80% ]</v>
      </c>
      <c r="JN68" s="17">
        <f t="shared" ca="1" si="28"/>
        <v>6.3020057904948417E-3</v>
      </c>
      <c r="LY68" s="1"/>
    </row>
    <row r="70" spans="1:337" hidden="1" x14ac:dyDescent="0.25"/>
    <row r="71" spans="1:337" hidden="1" x14ac:dyDescent="0.25"/>
    <row r="72" spans="1:337" hidden="1" x14ac:dyDescent="0.25"/>
    <row r="73" spans="1:337" hidden="1" x14ac:dyDescent="0.25"/>
    <row r="74" spans="1:337" hidden="1" x14ac:dyDescent="0.25"/>
    <row r="75" spans="1:337" hidden="1" x14ac:dyDescent="0.25"/>
    <row r="76" spans="1:337" hidden="1" x14ac:dyDescent="0.25"/>
    <row r="77" spans="1:337" hidden="1" x14ac:dyDescent="0.25"/>
    <row r="78" spans="1:337" hidden="1" x14ac:dyDescent="0.25"/>
    <row r="79" spans="1:337" hidden="1" x14ac:dyDescent="0.25"/>
    <row r="80" spans="1:337" hidden="1" x14ac:dyDescent="0.25"/>
    <row r="81" spans="1:336" hidden="1" x14ac:dyDescent="0.25"/>
    <row r="82" spans="1:336" x14ac:dyDescent="0.25">
      <c r="A82" s="3" t="s">
        <v>1</v>
      </c>
      <c r="B82" s="7">
        <v>37986</v>
      </c>
      <c r="C82" s="7">
        <v>38017</v>
      </c>
      <c r="D82" s="7">
        <v>38046</v>
      </c>
      <c r="E82" s="7">
        <v>38077</v>
      </c>
      <c r="F82" s="7">
        <v>38107</v>
      </c>
      <c r="G82" s="7">
        <v>38138</v>
      </c>
      <c r="H82" s="7">
        <v>38168</v>
      </c>
      <c r="I82" s="7">
        <v>38199</v>
      </c>
      <c r="J82" s="7">
        <v>38230</v>
      </c>
      <c r="K82" s="7">
        <v>38260</v>
      </c>
      <c r="L82" s="7">
        <v>38291</v>
      </c>
      <c r="M82" s="7">
        <v>38321</v>
      </c>
      <c r="N82" s="7">
        <v>38352</v>
      </c>
      <c r="O82" s="7">
        <v>38383</v>
      </c>
      <c r="P82" s="7">
        <v>38411</v>
      </c>
      <c r="Q82" s="7">
        <v>38442</v>
      </c>
      <c r="R82" s="7">
        <v>38472</v>
      </c>
      <c r="S82" s="7">
        <v>38503</v>
      </c>
      <c r="T82" s="7">
        <v>38533</v>
      </c>
      <c r="U82" s="7">
        <v>38564</v>
      </c>
      <c r="V82" s="7">
        <v>38595</v>
      </c>
      <c r="W82" s="7">
        <v>38625</v>
      </c>
      <c r="X82" s="7">
        <v>38656</v>
      </c>
      <c r="Y82" s="7">
        <v>38686</v>
      </c>
      <c r="Z82" s="7">
        <v>38717</v>
      </c>
      <c r="AA82" s="7">
        <v>38748</v>
      </c>
      <c r="AB82" s="7">
        <v>38776</v>
      </c>
      <c r="AC82" s="7">
        <v>38807</v>
      </c>
      <c r="AD82" s="7">
        <v>38837</v>
      </c>
      <c r="AE82" s="7">
        <v>38868</v>
      </c>
      <c r="AF82" s="7">
        <v>38898</v>
      </c>
      <c r="AG82" s="7">
        <v>38929</v>
      </c>
      <c r="AH82" s="7">
        <v>38960</v>
      </c>
      <c r="AI82" s="7">
        <v>38990</v>
      </c>
      <c r="AJ82" s="7">
        <v>39021</v>
      </c>
      <c r="AK82" s="7">
        <v>39051</v>
      </c>
      <c r="AL82" s="7">
        <v>39082</v>
      </c>
      <c r="AM82" s="7">
        <v>39113</v>
      </c>
      <c r="AN82" s="7">
        <v>39141</v>
      </c>
      <c r="AO82" s="7">
        <v>39172</v>
      </c>
      <c r="AP82" s="7">
        <v>39202</v>
      </c>
      <c r="AQ82" s="7">
        <v>39233</v>
      </c>
      <c r="AR82" s="7">
        <v>39263</v>
      </c>
      <c r="AS82" s="7">
        <v>39294</v>
      </c>
      <c r="AT82" s="7">
        <v>39325</v>
      </c>
      <c r="AU82" s="7">
        <v>39355</v>
      </c>
      <c r="AV82" s="7">
        <v>39386</v>
      </c>
      <c r="AW82" s="7">
        <v>39416</v>
      </c>
      <c r="AX82" s="7">
        <v>39447</v>
      </c>
      <c r="AY82" s="7">
        <v>39478</v>
      </c>
      <c r="AZ82" s="7">
        <v>39507</v>
      </c>
      <c r="BA82" s="7">
        <v>39538</v>
      </c>
      <c r="BB82" s="7">
        <v>39568</v>
      </c>
      <c r="BC82" s="7">
        <v>39599</v>
      </c>
      <c r="BD82" s="7">
        <v>39629</v>
      </c>
      <c r="BE82" s="7">
        <v>39660</v>
      </c>
      <c r="BF82" s="7">
        <v>39691</v>
      </c>
      <c r="BG82" s="7">
        <v>39721</v>
      </c>
      <c r="BH82" s="7">
        <v>39752</v>
      </c>
      <c r="BI82" s="7">
        <v>39782</v>
      </c>
      <c r="BJ82" s="7">
        <v>39813</v>
      </c>
      <c r="BK82" s="7">
        <v>39844</v>
      </c>
      <c r="BL82" s="7">
        <v>39872</v>
      </c>
      <c r="BM82" s="7">
        <v>39903</v>
      </c>
      <c r="BN82" s="7">
        <v>39933</v>
      </c>
      <c r="BO82" s="7">
        <v>39964</v>
      </c>
      <c r="BP82" s="7">
        <v>39994</v>
      </c>
      <c r="BQ82" s="7">
        <v>40025</v>
      </c>
      <c r="BR82" s="7">
        <v>40056</v>
      </c>
      <c r="BS82" s="7">
        <v>40086</v>
      </c>
      <c r="BT82" s="7">
        <v>40117</v>
      </c>
      <c r="BU82" s="7">
        <v>40147</v>
      </c>
      <c r="BV82" s="7">
        <v>40178</v>
      </c>
      <c r="BW82" s="7">
        <v>40209</v>
      </c>
      <c r="BX82" s="7">
        <v>40237</v>
      </c>
      <c r="BY82" s="7">
        <v>40268</v>
      </c>
      <c r="BZ82" s="7">
        <v>40298</v>
      </c>
      <c r="CA82" s="7">
        <v>40329</v>
      </c>
      <c r="CB82" s="7">
        <v>40359</v>
      </c>
      <c r="CC82" s="7">
        <v>40390</v>
      </c>
      <c r="CD82" s="7">
        <v>40421</v>
      </c>
      <c r="CE82" s="7">
        <v>40451</v>
      </c>
      <c r="CF82" s="7">
        <v>40482</v>
      </c>
      <c r="CG82" s="7">
        <v>40512</v>
      </c>
      <c r="CH82" s="7">
        <v>40543</v>
      </c>
      <c r="CI82" s="7">
        <v>40574</v>
      </c>
      <c r="CJ82" s="7">
        <v>40602</v>
      </c>
      <c r="CK82" s="7">
        <v>40633</v>
      </c>
      <c r="CL82" s="7">
        <v>40663</v>
      </c>
      <c r="CM82" s="7">
        <v>40694</v>
      </c>
      <c r="CN82" s="7">
        <v>40724</v>
      </c>
      <c r="CO82" s="7">
        <v>40755</v>
      </c>
      <c r="CP82" s="7">
        <v>40786</v>
      </c>
      <c r="CQ82" s="7">
        <v>40816</v>
      </c>
      <c r="CR82" s="7">
        <v>40847</v>
      </c>
      <c r="CS82" s="7">
        <v>40877</v>
      </c>
      <c r="CT82" s="7">
        <v>40908</v>
      </c>
      <c r="CU82" s="7">
        <v>40939</v>
      </c>
      <c r="CV82" s="7">
        <v>40968</v>
      </c>
      <c r="CW82" s="7">
        <v>40999</v>
      </c>
      <c r="CX82" s="7">
        <v>41029</v>
      </c>
      <c r="CY82" s="7">
        <v>41060</v>
      </c>
      <c r="CZ82" s="7">
        <v>41090</v>
      </c>
      <c r="DA82" s="7">
        <v>41121</v>
      </c>
      <c r="DB82" s="7">
        <v>41152</v>
      </c>
      <c r="DC82" s="7">
        <v>41182</v>
      </c>
      <c r="DD82" s="7">
        <v>41213</v>
      </c>
      <c r="DE82" s="7">
        <v>41243</v>
      </c>
      <c r="DF82" s="7">
        <v>41274</v>
      </c>
      <c r="DG82" s="7">
        <v>41305</v>
      </c>
      <c r="DH82" s="7">
        <v>41333</v>
      </c>
      <c r="DI82" s="7">
        <v>41364</v>
      </c>
      <c r="DJ82" s="7">
        <v>41394</v>
      </c>
      <c r="DK82" s="7">
        <v>41425</v>
      </c>
      <c r="DL82" s="7">
        <v>41455</v>
      </c>
      <c r="DM82" s="7">
        <v>41486</v>
      </c>
      <c r="DN82" s="7">
        <v>41517</v>
      </c>
      <c r="DO82" s="7">
        <v>41547</v>
      </c>
      <c r="DP82" s="7">
        <v>41578</v>
      </c>
      <c r="DQ82" s="7">
        <v>41608</v>
      </c>
      <c r="DR82" s="7">
        <v>41639</v>
      </c>
      <c r="DS82" s="7">
        <v>41670</v>
      </c>
      <c r="DT82" s="7">
        <v>41698</v>
      </c>
      <c r="DU82" s="7">
        <v>41729</v>
      </c>
      <c r="DV82" s="7">
        <v>41759</v>
      </c>
      <c r="DW82" s="7">
        <v>41790</v>
      </c>
      <c r="DX82" s="7">
        <v>41820</v>
      </c>
      <c r="DY82" s="7">
        <v>41851</v>
      </c>
      <c r="DZ82" s="7">
        <v>41882</v>
      </c>
      <c r="EA82" s="7">
        <v>41912</v>
      </c>
      <c r="EB82" s="7">
        <v>41943</v>
      </c>
      <c r="EC82" s="7">
        <v>41973</v>
      </c>
      <c r="ED82" s="7">
        <v>42004</v>
      </c>
      <c r="EE82" s="7">
        <v>42035</v>
      </c>
      <c r="EF82" s="7">
        <v>42063</v>
      </c>
      <c r="EG82" s="7">
        <v>42094</v>
      </c>
      <c r="EH82" s="7">
        <v>42124</v>
      </c>
      <c r="EI82" s="7">
        <v>42155</v>
      </c>
      <c r="EJ82" s="7">
        <v>42185</v>
      </c>
      <c r="EK82" s="7">
        <v>42216</v>
      </c>
      <c r="EL82" s="7">
        <v>42247</v>
      </c>
      <c r="EM82" s="7">
        <v>42277</v>
      </c>
      <c r="EN82" s="7">
        <v>42308</v>
      </c>
      <c r="EO82" s="7">
        <v>42338</v>
      </c>
      <c r="EP82" s="7">
        <v>42369</v>
      </c>
      <c r="EQ82" s="7">
        <v>42400</v>
      </c>
      <c r="ER82" s="7">
        <v>42429</v>
      </c>
      <c r="ES82" s="7">
        <v>42460</v>
      </c>
      <c r="ET82" s="7">
        <v>42490</v>
      </c>
      <c r="EU82" s="7">
        <v>42521</v>
      </c>
      <c r="EV82" s="7">
        <v>42551</v>
      </c>
      <c r="EW82" s="7">
        <v>42582</v>
      </c>
      <c r="EX82" s="7">
        <v>42613</v>
      </c>
      <c r="EY82" s="7">
        <v>42643</v>
      </c>
      <c r="EZ82" s="7">
        <v>42674</v>
      </c>
      <c r="FA82" s="7">
        <v>42704</v>
      </c>
      <c r="FB82" s="7">
        <v>42735</v>
      </c>
      <c r="FC82" s="7">
        <v>42766</v>
      </c>
      <c r="FD82" s="7">
        <v>42794</v>
      </c>
      <c r="FE82" s="7">
        <v>42825</v>
      </c>
      <c r="FF82" s="7">
        <v>42855</v>
      </c>
      <c r="FG82" s="7">
        <v>42886</v>
      </c>
      <c r="FH82" s="7">
        <v>42916</v>
      </c>
      <c r="FI82" s="7">
        <v>42947</v>
      </c>
      <c r="FJ82" s="7">
        <v>42978</v>
      </c>
      <c r="FK82" s="7">
        <v>43008</v>
      </c>
      <c r="FL82" s="7">
        <v>43039</v>
      </c>
      <c r="FM82" s="7">
        <v>43069</v>
      </c>
      <c r="FN82" s="7">
        <v>43100</v>
      </c>
      <c r="FO82" s="7">
        <v>43131</v>
      </c>
      <c r="FP82" s="7">
        <v>43159</v>
      </c>
      <c r="FQ82" s="7">
        <v>43190</v>
      </c>
      <c r="FR82" s="7">
        <v>43220</v>
      </c>
      <c r="FS82" s="7">
        <v>43251</v>
      </c>
      <c r="FT82" s="7">
        <v>43281</v>
      </c>
      <c r="FU82" s="7">
        <v>43312</v>
      </c>
      <c r="FV82" s="7">
        <v>43343</v>
      </c>
      <c r="FW82" s="7">
        <v>43373</v>
      </c>
      <c r="FX82" s="7">
        <v>43404</v>
      </c>
      <c r="FY82" s="7">
        <v>43434</v>
      </c>
      <c r="FZ82" s="7">
        <v>43465</v>
      </c>
      <c r="GA82" s="7">
        <v>43496</v>
      </c>
      <c r="GB82" s="7">
        <v>43524</v>
      </c>
      <c r="GC82" s="7">
        <v>43555</v>
      </c>
      <c r="GD82" s="7">
        <v>43585</v>
      </c>
      <c r="GE82" s="7">
        <v>43616</v>
      </c>
      <c r="GF82" s="7">
        <v>43646</v>
      </c>
      <c r="GG82" s="7">
        <v>43677</v>
      </c>
      <c r="GH82" s="7">
        <v>43708</v>
      </c>
      <c r="GI82" s="7">
        <v>43738</v>
      </c>
      <c r="GJ82" s="7">
        <v>43769</v>
      </c>
      <c r="GK82" s="7">
        <v>43799</v>
      </c>
      <c r="GL82" s="7">
        <v>43830</v>
      </c>
      <c r="GM82" s="7">
        <v>43861</v>
      </c>
      <c r="GN82" s="7">
        <v>43890</v>
      </c>
      <c r="GO82" s="7">
        <v>43921</v>
      </c>
      <c r="GP82" s="7">
        <v>43951</v>
      </c>
      <c r="GQ82" s="7">
        <v>43982</v>
      </c>
      <c r="GR82" s="7">
        <v>44012</v>
      </c>
      <c r="GS82" s="7">
        <v>44043</v>
      </c>
      <c r="GT82" s="7">
        <v>44074</v>
      </c>
      <c r="GU82" s="7">
        <v>44104</v>
      </c>
      <c r="GV82" s="7">
        <v>44135</v>
      </c>
      <c r="GW82" s="7">
        <v>44165</v>
      </c>
      <c r="GX82" s="7">
        <v>44196</v>
      </c>
      <c r="GY82" s="7">
        <v>44227</v>
      </c>
      <c r="GZ82" s="7">
        <v>44255</v>
      </c>
      <c r="HA82" s="7">
        <v>44286</v>
      </c>
      <c r="HB82" s="7">
        <v>44316</v>
      </c>
      <c r="HC82" s="7">
        <v>44347</v>
      </c>
      <c r="HD82" s="7">
        <v>44377</v>
      </c>
      <c r="HE82" s="7">
        <v>44408</v>
      </c>
      <c r="HF82" s="7">
        <v>44439</v>
      </c>
      <c r="HG82" s="7">
        <v>44469</v>
      </c>
      <c r="HH82" s="7">
        <v>44500</v>
      </c>
      <c r="HI82" s="7">
        <v>44530</v>
      </c>
      <c r="HJ82" s="7">
        <v>44561</v>
      </c>
      <c r="HK82" s="7">
        <v>44592</v>
      </c>
      <c r="HL82" s="7">
        <v>44620</v>
      </c>
      <c r="HM82" s="7">
        <v>44651</v>
      </c>
      <c r="HN82" s="7">
        <v>44681</v>
      </c>
      <c r="HO82" s="7">
        <v>44712</v>
      </c>
      <c r="HP82" s="7">
        <v>44742</v>
      </c>
      <c r="HQ82" s="7">
        <v>44773</v>
      </c>
      <c r="HR82" s="7">
        <v>44804</v>
      </c>
      <c r="HS82" s="7">
        <v>44834</v>
      </c>
      <c r="HT82" s="7">
        <v>44865</v>
      </c>
      <c r="HU82" s="7">
        <v>44895</v>
      </c>
      <c r="HV82" s="7">
        <v>44926</v>
      </c>
      <c r="HW82" s="7">
        <v>44957</v>
      </c>
      <c r="HX82" s="7">
        <v>44985</v>
      </c>
      <c r="HY82" s="7">
        <v>45016</v>
      </c>
      <c r="HZ82" s="7">
        <v>45046</v>
      </c>
      <c r="IA82" s="7">
        <v>45077</v>
      </c>
      <c r="IB82" s="7">
        <v>45107</v>
      </c>
      <c r="IC82" s="7">
        <v>45138</v>
      </c>
      <c r="ID82" s="7">
        <v>45169</v>
      </c>
      <c r="IE82" s="7">
        <v>45199</v>
      </c>
      <c r="IF82" s="7">
        <v>45230</v>
      </c>
      <c r="IG82" s="7">
        <v>45260</v>
      </c>
      <c r="IH82" s="7">
        <v>45291</v>
      </c>
      <c r="II82" s="7">
        <v>45322</v>
      </c>
      <c r="IJ82" s="7">
        <v>45351</v>
      </c>
      <c r="IK82" s="7">
        <v>45382</v>
      </c>
      <c r="IL82" s="7">
        <v>45412</v>
      </c>
      <c r="IM82" s="7">
        <v>45443</v>
      </c>
      <c r="IN82" s="7">
        <v>45473</v>
      </c>
      <c r="IO82" s="7">
        <v>45504</v>
      </c>
      <c r="IP82" s="7">
        <v>45535</v>
      </c>
      <c r="IQ82" s="7">
        <v>45565</v>
      </c>
      <c r="IR82" s="7">
        <v>45596</v>
      </c>
      <c r="IS82" s="7">
        <v>45626</v>
      </c>
      <c r="IT82" s="7">
        <v>45657</v>
      </c>
      <c r="IU82" s="7">
        <v>45688</v>
      </c>
      <c r="IV82" s="7">
        <v>45716</v>
      </c>
      <c r="IW82" s="7">
        <v>45747</v>
      </c>
      <c r="IX82" s="7">
        <v>45777</v>
      </c>
      <c r="IY82" s="7">
        <v>45808</v>
      </c>
      <c r="IZ82" s="7">
        <v>45838</v>
      </c>
      <c r="JA82" s="7">
        <v>45869</v>
      </c>
      <c r="JB82" s="7">
        <v>45900</v>
      </c>
      <c r="JC82" s="7">
        <v>45930</v>
      </c>
      <c r="JD82" s="7">
        <v>45961</v>
      </c>
      <c r="JE82" s="7">
        <v>45991</v>
      </c>
      <c r="JF82" s="7">
        <v>46022</v>
      </c>
      <c r="JG82" s="7">
        <v>46053</v>
      </c>
      <c r="JH82" s="7">
        <v>46081</v>
      </c>
      <c r="LT82"/>
      <c r="LU82"/>
      <c r="LV82"/>
      <c r="LW82"/>
      <c r="LX82"/>
    </row>
    <row r="83" spans="1:336" x14ac:dyDescent="0.25"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>
        <f t="shared" ref="AA83:CL83" ca="1" si="85">IF(AA3="","",AVERAGE(Y57:Z57)+CONFIDENCE(0.05,STDEV(B57:Z57),COUNT(B57:Z57)))</f>
        <v>3.91714405384101E-4</v>
      </c>
      <c r="AB83" s="21">
        <f t="shared" ca="1" si="85"/>
        <v>3.266724941636633E-4</v>
      </c>
      <c r="AC83" s="21">
        <f t="shared" ca="1" si="85"/>
        <v>5.5513329810822417E-4</v>
      </c>
      <c r="AD83" s="21">
        <f t="shared" ca="1" si="85"/>
        <v>6.0460441578860256E-4</v>
      </c>
      <c r="AE83" s="21">
        <f t="shared" ca="1" si="85"/>
        <v>5.1743178642922464E-4</v>
      </c>
      <c r="AF83" s="21">
        <f t="shared" ca="1" si="85"/>
        <v>6.1551388227721856E-4</v>
      </c>
      <c r="AG83" s="21">
        <f t="shared" ca="1" si="85"/>
        <v>4.2171896984101692E-4</v>
      </c>
      <c r="AH83" s="21">
        <f t="shared" ca="1" si="85"/>
        <v>3.9527778603233051E-4</v>
      </c>
      <c r="AI83" s="21">
        <f t="shared" ca="1" si="85"/>
        <v>7.0642787108465149E-4</v>
      </c>
      <c r="AJ83" s="21">
        <f t="shared" ca="1" si="85"/>
        <v>1.0308892049246494E-3</v>
      </c>
      <c r="AK83" s="21">
        <f t="shared" ca="1" si="85"/>
        <v>6.7266748637179804E-4</v>
      </c>
      <c r="AL83" s="21">
        <f t="shared" ca="1" si="85"/>
        <v>5.0700273109722735E-4</v>
      </c>
      <c r="AM83" s="21">
        <f t="shared" ca="1" si="85"/>
        <v>6.5101860304578947E-4</v>
      </c>
      <c r="AN83" s="21">
        <f t="shared" ca="1" si="85"/>
        <v>6.6051739987390656E-4</v>
      </c>
      <c r="AO83" s="21">
        <f t="shared" ca="1" si="85"/>
        <v>8.0380621140681741E-4</v>
      </c>
      <c r="AP83" s="21">
        <f t="shared" ca="1" si="85"/>
        <v>4.8065445319234933E-4</v>
      </c>
      <c r="AQ83" s="21">
        <f t="shared" ca="1" si="85"/>
        <v>1.5244902851757334E-4</v>
      </c>
      <c r="AR83" s="21">
        <f t="shared" ca="1" si="85"/>
        <v>3.9167127274454137E-4</v>
      </c>
      <c r="AS83" s="21">
        <f t="shared" ca="1" si="85"/>
        <v>4.671856174889886E-4</v>
      </c>
      <c r="AT83" s="21">
        <f t="shared" ca="1" si="85"/>
        <v>6.525572466203446E-4</v>
      </c>
      <c r="AU83" s="21">
        <f t="shared" ca="1" si="85"/>
        <v>8.2388956108510466E-4</v>
      </c>
      <c r="AV83" s="21">
        <f t="shared" ca="1" si="85"/>
        <v>4.7009721619741072E-4</v>
      </c>
      <c r="AW83" s="21">
        <f t="shared" ca="1" si="85"/>
        <v>5.4527162974432207E-4</v>
      </c>
      <c r="AX83" s="21">
        <f t="shared" ca="1" si="85"/>
        <v>9.0609360752225035E-4</v>
      </c>
      <c r="AY83" s="21">
        <f t="shared" ca="1" si="85"/>
        <v>7.4908520862216742E-4</v>
      </c>
      <c r="AZ83" s="21">
        <f t="shared" ca="1" si="85"/>
        <v>1.3972369598677431E-3</v>
      </c>
      <c r="BA83" s="21">
        <f t="shared" ca="1" si="85"/>
        <v>2.0099109822529853E-3</v>
      </c>
      <c r="BB83" s="21">
        <f t="shared" ca="1" si="85"/>
        <v>2.0947351773867584E-3</v>
      </c>
      <c r="BC83" s="21">
        <f t="shared" ca="1" si="85"/>
        <v>2.4487780822265832E-3</v>
      </c>
      <c r="BD83" s="21">
        <f t="shared" ca="1" si="85"/>
        <v>1.4469787928286005E-3</v>
      </c>
      <c r="BE83" s="21">
        <f t="shared" ca="1" si="85"/>
        <v>8.1329215440139766E-4</v>
      </c>
      <c r="BF83" s="21">
        <f t="shared" ca="1" si="85"/>
        <v>1.2616183328891385E-3</v>
      </c>
      <c r="BG83" s="21">
        <f t="shared" ca="1" si="85"/>
        <v>1.0882906916849027E-3</v>
      </c>
      <c r="BH83" s="21">
        <f t="shared" ca="1" si="85"/>
        <v>1.948623051453756E-3</v>
      </c>
      <c r="BI83" s="21">
        <f t="shared" ca="1" si="85"/>
        <v>2.9339920515415868E-3</v>
      </c>
      <c r="BJ83" s="21">
        <f t="shared" ca="1" si="85"/>
        <v>1.9277991965424924E-3</v>
      </c>
      <c r="BK83" s="21">
        <f t="shared" ca="1" si="85"/>
        <v>2.4055425244304662E-3</v>
      </c>
      <c r="BL83" s="21">
        <f t="shared" ca="1" si="85"/>
        <v>2.716355552955491E-3</v>
      </c>
      <c r="BM83" s="21">
        <f t="shared" ca="1" si="85"/>
        <v>1.5002141982769837E-3</v>
      </c>
      <c r="BN83" s="21">
        <f t="shared" ca="1" si="85"/>
        <v>1.6364942024385746E-3</v>
      </c>
      <c r="BO83" s="21">
        <f t="shared" ca="1" si="85"/>
        <v>1.8350803365243435E-3</v>
      </c>
      <c r="BP83" s="21">
        <f t="shared" ca="1" si="85"/>
        <v>1.3687170801700739E-3</v>
      </c>
      <c r="BQ83" s="21">
        <f t="shared" ca="1" si="85"/>
        <v>7.2392779196441557E-4</v>
      </c>
      <c r="BR83" s="21">
        <f t="shared" ca="1" si="85"/>
        <v>8.6642797899597903E-4</v>
      </c>
      <c r="BS83" s="21">
        <f t="shared" ca="1" si="85"/>
        <v>1.8903504113268674E-3</v>
      </c>
      <c r="BT83" s="21">
        <f t="shared" ca="1" si="85"/>
        <v>1.6805048558747803E-3</v>
      </c>
      <c r="BU83" s="21">
        <f t="shared" ca="1" si="85"/>
        <v>8.0497200523321072E-4</v>
      </c>
      <c r="BV83" s="21">
        <f t="shared" ca="1" si="85"/>
        <v>1.2574004407675599E-3</v>
      </c>
      <c r="BW83" s="21">
        <f t="shared" ca="1" si="85"/>
        <v>1.9150901979045334E-3</v>
      </c>
      <c r="BX83" s="21">
        <f t="shared" ca="1" si="85"/>
        <v>1.9583266463926987E-3</v>
      </c>
      <c r="BY83" s="21">
        <f t="shared" ca="1" si="85"/>
        <v>1.4783588386909745E-3</v>
      </c>
      <c r="BZ83" s="21">
        <f t="shared" ca="1" si="85"/>
        <v>1.0398638154589233E-3</v>
      </c>
      <c r="CA83" s="21">
        <f t="shared" ca="1" si="85"/>
        <v>1.2449415336783143E-3</v>
      </c>
      <c r="CB83" s="21">
        <f t="shared" ca="1" si="85"/>
        <v>1.1246094957485138E-3</v>
      </c>
      <c r="CC83" s="21">
        <f t="shared" ca="1" si="85"/>
        <v>7.6438851760616427E-4</v>
      </c>
      <c r="CD83" s="21">
        <f t="shared" ca="1" si="85"/>
        <v>1.1857634151410603E-3</v>
      </c>
      <c r="CE83" s="21">
        <f t="shared" ca="1" si="85"/>
        <v>1.438120468457783E-3</v>
      </c>
      <c r="CF83" s="21">
        <f t="shared" ca="1" si="85"/>
        <v>1.1939852308373649E-3</v>
      </c>
      <c r="CG83" s="21">
        <f t="shared" ca="1" si="85"/>
        <v>8.2630055256227727E-4</v>
      </c>
      <c r="CH83" s="21">
        <f t="shared" ca="1" si="85"/>
        <v>6.1073388960424684E-4</v>
      </c>
      <c r="CI83" s="21">
        <f t="shared" ca="1" si="85"/>
        <v>9.1040296102357565E-4</v>
      </c>
      <c r="CJ83" s="21">
        <f t="shared" ca="1" si="85"/>
        <v>1.0859524722133544E-3</v>
      </c>
      <c r="CK83" s="21">
        <f t="shared" ca="1" si="85"/>
        <v>1.4172818287708935E-3</v>
      </c>
      <c r="CL83" s="21">
        <f t="shared" ca="1" si="85"/>
        <v>1.4296175162208248E-3</v>
      </c>
      <c r="CM83" s="21">
        <f t="shared" ref="CM83:EX83" ca="1" si="86">IF(CM3="","",AVERAGE(CK57:CL57)+CONFIDENCE(0.05,STDEV(BN57:CL57),COUNT(BN57:CL57)))</f>
        <v>7.2800925851689968E-4</v>
      </c>
      <c r="CN83" s="21">
        <f t="shared" ca="1" si="86"/>
        <v>8.2824104623643944E-4</v>
      </c>
      <c r="CO83" s="21">
        <f t="shared" ca="1" si="86"/>
        <v>1.0869781871961741E-3</v>
      </c>
      <c r="CP83" s="21">
        <f t="shared" ca="1" si="86"/>
        <v>6.2803557374092596E-4</v>
      </c>
      <c r="CQ83" s="21">
        <f t="shared" ca="1" si="86"/>
        <v>5.3959682250651715E-4</v>
      </c>
      <c r="CR83" s="21">
        <f t="shared" ca="1" si="86"/>
        <v>5.7048070443184331E-4</v>
      </c>
      <c r="CS83" s="21">
        <f t="shared" ca="1" si="86"/>
        <v>6.333656422818309E-4</v>
      </c>
      <c r="CT83" s="21">
        <f t="shared" ca="1" si="86"/>
        <v>5.714036908855513E-4</v>
      </c>
      <c r="CU83" s="21">
        <f t="shared" ca="1" si="86"/>
        <v>2.7186107203477153E-3</v>
      </c>
      <c r="CV83" s="21">
        <f t="shared" ca="1" si="86"/>
        <v>3.9782273858819149E-3</v>
      </c>
      <c r="CW83" s="21">
        <f t="shared" ca="1" si="86"/>
        <v>1.7757632055607066E-3</v>
      </c>
      <c r="CX83" s="21">
        <f t="shared" ca="1" si="86"/>
        <v>4.3842730361679427E-4</v>
      </c>
      <c r="CY83" s="21">
        <f t="shared" ca="1" si="86"/>
        <v>4.5498309169739008E-4</v>
      </c>
      <c r="CZ83" s="21">
        <f t="shared" ca="1" si="86"/>
        <v>5.0909320423394113E-4</v>
      </c>
      <c r="DA83" s="21">
        <f t="shared" ca="1" si="86"/>
        <v>5.9772101349461499E-4</v>
      </c>
      <c r="DB83" s="21">
        <f t="shared" ca="1" si="86"/>
        <v>1.4198298231814733E-3</v>
      </c>
      <c r="DC83" s="21">
        <f t="shared" ca="1" si="86"/>
        <v>1.3761891700992692E-3</v>
      </c>
      <c r="DD83" s="21">
        <f t="shared" ca="1" si="86"/>
        <v>6.81546108952738E-4</v>
      </c>
      <c r="DE83" s="21">
        <f t="shared" ca="1" si="86"/>
        <v>9.2311546618779005E-4</v>
      </c>
      <c r="DF83" s="21">
        <f t="shared" ca="1" si="86"/>
        <v>1.360317462096444E-3</v>
      </c>
      <c r="DG83" s="21">
        <f t="shared" ca="1" si="86"/>
        <v>1.3221771724495929E-3</v>
      </c>
      <c r="DH83" s="21">
        <f t="shared" ca="1" si="86"/>
        <v>1.3854180101373823E-3</v>
      </c>
      <c r="DI83" s="21">
        <f t="shared" ca="1" si="86"/>
        <v>1.6470798149857621E-3</v>
      </c>
      <c r="DJ83" s="21">
        <f t="shared" ca="1" si="86"/>
        <v>1.9582009553140108E-3</v>
      </c>
      <c r="DK83" s="21">
        <f t="shared" ca="1" si="86"/>
        <v>1.7388073663099492E-3</v>
      </c>
      <c r="DL83" s="21">
        <f t="shared" ca="1" si="86"/>
        <v>1.2819176280498288E-3</v>
      </c>
      <c r="DM83" s="21">
        <f t="shared" ca="1" si="86"/>
        <v>1.0884914422982588E-3</v>
      </c>
      <c r="DN83" s="21">
        <f t="shared" ca="1" si="86"/>
        <v>1.8502552773347603E-3</v>
      </c>
      <c r="DO83" s="21">
        <f t="shared" ca="1" si="86"/>
        <v>2.3382751432289217E-3</v>
      </c>
      <c r="DP83" s="21">
        <f t="shared" ca="1" si="86"/>
        <v>1.7437764634385408E-3</v>
      </c>
      <c r="DQ83" s="21">
        <f t="shared" ca="1" si="86"/>
        <v>2.1629303212332487E-3</v>
      </c>
      <c r="DR83" s="21">
        <f t="shared" ca="1" si="86"/>
        <v>2.1903602864304659E-3</v>
      </c>
      <c r="DS83" s="21">
        <f t="shared" ca="1" si="86"/>
        <v>2.1831937659846003E-3</v>
      </c>
      <c r="DT83" s="21">
        <f t="shared" ca="1" si="86"/>
        <v>1.6685116957773482E-3</v>
      </c>
      <c r="DU83" s="21">
        <f t="shared" ca="1" si="86"/>
        <v>1.083638180802861E-3</v>
      </c>
      <c r="DV83" s="21">
        <f t="shared" ca="1" si="86"/>
        <v>1.7319677586441554E-3</v>
      </c>
      <c r="DW83" s="21">
        <f t="shared" ca="1" si="86"/>
        <v>1.2656540936849762E-3</v>
      </c>
      <c r="DX83" s="21">
        <f t="shared" ca="1" si="86"/>
        <v>6.0165544138608934E-4</v>
      </c>
      <c r="DY83" s="21">
        <f t="shared" ca="1" si="86"/>
        <v>1.12207101696186E-3</v>
      </c>
      <c r="DZ83" s="21">
        <f t="shared" ca="1" si="86"/>
        <v>1.5722445253021004E-3</v>
      </c>
      <c r="EA83" s="21">
        <f t="shared" ca="1" si="86"/>
        <v>1.3218863264196161E-3</v>
      </c>
      <c r="EB83" s="21">
        <f t="shared" ca="1" si="86"/>
        <v>8.2257763003289533E-4</v>
      </c>
      <c r="EC83" s="21">
        <f t="shared" ca="1" si="86"/>
        <v>8.1306777661149137E-4</v>
      </c>
      <c r="ED83" s="21">
        <f t="shared" ca="1" si="86"/>
        <v>7.8065624223316128E-4</v>
      </c>
      <c r="EE83" s="21">
        <f t="shared" ca="1" si="86"/>
        <v>1.2935689389055385E-3</v>
      </c>
      <c r="EF83" s="21">
        <f t="shared" ca="1" si="86"/>
        <v>1.6099093933159168E-3</v>
      </c>
      <c r="EG83" s="21">
        <f t="shared" ca="1" si="86"/>
        <v>1.2037599825197314E-3</v>
      </c>
      <c r="EH83" s="21">
        <f t="shared" ca="1" si="86"/>
        <v>1.0012473456416007E-3</v>
      </c>
      <c r="EI83" s="21">
        <f t="shared" ca="1" si="86"/>
        <v>7.7994438064533022E-4</v>
      </c>
      <c r="EJ83" s="21">
        <f t="shared" ca="1" si="86"/>
        <v>6.5851978744037721E-4</v>
      </c>
      <c r="EK83" s="21">
        <f t="shared" ca="1" si="86"/>
        <v>1.4884527441463868E-3</v>
      </c>
      <c r="EL83" s="21">
        <f t="shared" ca="1" si="86"/>
        <v>1.7986656232087807E-3</v>
      </c>
      <c r="EM83" s="21">
        <f t="shared" ca="1" si="86"/>
        <v>9.6113939096363924E-4</v>
      </c>
      <c r="EN83" s="21">
        <f t="shared" ca="1" si="86"/>
        <v>5.2221181632809807E-4</v>
      </c>
      <c r="EO83" s="21">
        <f t="shared" ca="1" si="86"/>
        <v>7.4544792691822685E-4</v>
      </c>
      <c r="EP83" s="21">
        <f t="shared" ca="1" si="86"/>
        <v>9.2559295547679072E-4</v>
      </c>
      <c r="EQ83" s="21">
        <f t="shared" ca="1" si="86"/>
        <v>1.353844066408269E-3</v>
      </c>
      <c r="ER83" s="21">
        <f t="shared" ca="1" si="86"/>
        <v>2.5838836204974771E-3</v>
      </c>
      <c r="ES83" s="21">
        <f t="shared" ca="1" si="86"/>
        <v>2.1287326546544599E-3</v>
      </c>
      <c r="ET83" s="21">
        <f t="shared" ca="1" si="86"/>
        <v>1.162482494504027E-3</v>
      </c>
      <c r="EU83" s="21">
        <f t="shared" ca="1" si="86"/>
        <v>9.1370579806930683E-4</v>
      </c>
      <c r="EV83" s="21">
        <f t="shared" ca="1" si="86"/>
        <v>5.139280441763597E-4</v>
      </c>
      <c r="EW83" s="21">
        <f t="shared" ca="1" si="86"/>
        <v>1.0376012651384901E-3</v>
      </c>
      <c r="EX83" s="21">
        <f t="shared" ca="1" si="86"/>
        <v>1.0080285310270888E-3</v>
      </c>
      <c r="EY83" s="21">
        <f t="shared" ref="EY83:HJ83" ca="1" si="87">IF(EY3="","",AVERAGE(EW57:EX57)+CONFIDENCE(0.05,STDEV(DZ57:EX57),COUNT(DZ57:EX57)))</f>
        <v>5.0320743527091966E-4</v>
      </c>
      <c r="EZ83" s="21">
        <f t="shared" ca="1" si="87"/>
        <v>8.2317272008947497E-4</v>
      </c>
      <c r="FA83" s="21">
        <f t="shared" ca="1" si="87"/>
        <v>6.9262300429879186E-4</v>
      </c>
      <c r="FB83" s="21">
        <f t="shared" ca="1" si="87"/>
        <v>4.2876380697188902E-4</v>
      </c>
      <c r="FC83" s="21">
        <f t="shared" ca="1" si="87"/>
        <v>8.8717151253434262E-4</v>
      </c>
      <c r="FD83" s="21">
        <f t="shared" ca="1" si="87"/>
        <v>1.8978478023494623E-3</v>
      </c>
      <c r="FE83" s="21">
        <f t="shared" ca="1" si="87"/>
        <v>1.4842105717507725E-3</v>
      </c>
      <c r="FF83" s="21">
        <f t="shared" ca="1" si="87"/>
        <v>6.0942067641926321E-4</v>
      </c>
      <c r="FG83" s="21">
        <f t="shared" ca="1" si="87"/>
        <v>5.4374466141249734E-4</v>
      </c>
      <c r="FH83" s="21">
        <f t="shared" ca="1" si="87"/>
        <v>6.6250243889357646E-4</v>
      </c>
      <c r="FI83" s="21">
        <f t="shared" ca="1" si="87"/>
        <v>1.6408511728060774E-3</v>
      </c>
      <c r="FJ83" s="21">
        <f t="shared" ca="1" si="87"/>
        <v>1.4795055905292846E-3</v>
      </c>
      <c r="FK83" s="21">
        <f t="shared" ca="1" si="87"/>
        <v>1.480968885061579E-3</v>
      </c>
      <c r="FL83" s="21">
        <f t="shared" ca="1" si="87"/>
        <v>1.3307245323578361E-3</v>
      </c>
      <c r="FM83" s="21">
        <f t="shared" ca="1" si="87"/>
        <v>1.4247700044492367E-3</v>
      </c>
      <c r="FN83" s="21">
        <f t="shared" ca="1" si="87"/>
        <v>1.9350572476308481E-3</v>
      </c>
      <c r="FO83" s="21">
        <f t="shared" ca="1" si="87"/>
        <v>2.3558564098967909E-3</v>
      </c>
      <c r="FP83" s="21">
        <f t="shared" ca="1" si="87"/>
        <v>4.5390301114678622E-3</v>
      </c>
      <c r="FQ83" s="21">
        <f t="shared" ca="1" si="87"/>
        <v>3.4836562798932929E-3</v>
      </c>
      <c r="FR83" s="21">
        <f t="shared" ca="1" si="87"/>
        <v>1.4202058826074527E-3</v>
      </c>
      <c r="FS83" s="21">
        <f t="shared" ca="1" si="87"/>
        <v>1.1216670441702675E-3</v>
      </c>
      <c r="FT83" s="21">
        <f t="shared" ca="1" si="87"/>
        <v>7.7472561951895673E-4</v>
      </c>
      <c r="FU83" s="21">
        <f t="shared" ca="1" si="87"/>
        <v>1.3561856937422908E-3</v>
      </c>
      <c r="FV83" s="21">
        <f t="shared" ca="1" si="87"/>
        <v>1.6420517499431242E-3</v>
      </c>
      <c r="FW83" s="21">
        <f t="shared" ca="1" si="87"/>
        <v>1.6936400722502643E-3</v>
      </c>
      <c r="FX83" s="21">
        <f t="shared" ca="1" si="87"/>
        <v>1.5803130852192803E-3</v>
      </c>
      <c r="FY83" s="21">
        <f t="shared" ca="1" si="87"/>
        <v>1.3146796167513267E-3</v>
      </c>
      <c r="FZ83" s="21">
        <f t="shared" ca="1" si="87"/>
        <v>1.0319581069186323E-3</v>
      </c>
      <c r="GA83" s="21">
        <f t="shared" ca="1" si="87"/>
        <v>1.8329867143708188E-3</v>
      </c>
      <c r="GB83" s="21">
        <f t="shared" ca="1" si="87"/>
        <v>2.4312251870768917E-3</v>
      </c>
      <c r="GC83" s="21">
        <f t="shared" ca="1" si="87"/>
        <v>1.3183789918747031E-3</v>
      </c>
      <c r="GD83" s="21">
        <f t="shared" ca="1" si="87"/>
        <v>6.4366636577245582E-4</v>
      </c>
      <c r="GE83" s="21">
        <f t="shared" ca="1" si="87"/>
        <v>5.3937434543423874E-4</v>
      </c>
      <c r="GF83" s="21">
        <f t="shared" ca="1" si="87"/>
        <v>6.4434666135714197E-4</v>
      </c>
      <c r="GG83" s="21">
        <f t="shared" ca="1" si="87"/>
        <v>6.6597379092265966E-4</v>
      </c>
      <c r="GH83" s="21">
        <f t="shared" ca="1" si="87"/>
        <v>5.6675871534243936E-4</v>
      </c>
      <c r="GI83" s="21">
        <f t="shared" ca="1" si="87"/>
        <v>1.1580863267797354E-3</v>
      </c>
      <c r="GJ83" s="21">
        <f t="shared" ca="1" si="87"/>
        <v>1.4895474735620914E-3</v>
      </c>
      <c r="GK83" s="21">
        <f t="shared" ca="1" si="87"/>
        <v>8.2110026557845751E-4</v>
      </c>
      <c r="GL83" s="21">
        <f t="shared" ca="1" si="87"/>
        <v>4.9760361746189531E-4</v>
      </c>
      <c r="GM83" s="21">
        <f t="shared" ca="1" si="87"/>
        <v>9.0635666967914935E-4</v>
      </c>
      <c r="GN83" s="21">
        <f t="shared" ca="1" si="87"/>
        <v>9.5581951986195709E-4</v>
      </c>
      <c r="GO83" s="21">
        <f t="shared" ca="1" si="87"/>
        <v>3.6495740796972619E-3</v>
      </c>
      <c r="GP83" s="21">
        <f t="shared" ca="1" si="87"/>
        <v>1.2373130374718601E-2</v>
      </c>
      <c r="GQ83" s="21">
        <f t="shared" ca="1" si="87"/>
        <v>1.0872958380935454E-2</v>
      </c>
      <c r="GR83" s="21">
        <f t="shared" ca="1" si="87"/>
        <v>6.1231760740659957E-3</v>
      </c>
      <c r="GS83" s="21">
        <f t="shared" ca="1" si="87"/>
        <v>8.3287289934105557E-3</v>
      </c>
      <c r="GT83" s="21">
        <f t="shared" ca="1" si="87"/>
        <v>6.3071204060074337E-3</v>
      </c>
      <c r="GU83" s="21">
        <f t="shared" ca="1" si="87"/>
        <v>4.101184458625653E-3</v>
      </c>
      <c r="GV83" s="21">
        <f t="shared" ca="1" si="87"/>
        <v>2.9551789273180064E-3</v>
      </c>
      <c r="GW83" s="21">
        <f t="shared" ca="1" si="87"/>
        <v>2.1761735186532571E-3</v>
      </c>
      <c r="GX83" s="21">
        <f t="shared" ca="1" si="87"/>
        <v>2.4335475883394907E-3</v>
      </c>
      <c r="GY83" s="21">
        <f t="shared" ca="1" si="87"/>
        <v>1.8464754141367936E-3</v>
      </c>
      <c r="GZ83" s="21">
        <f t="shared" ca="1" si="87"/>
        <v>1.703535153883697E-3</v>
      </c>
      <c r="HA83" s="21" t="str">
        <f t="shared" si="87"/>
        <v/>
      </c>
      <c r="HB83" s="21" t="str">
        <f t="shared" si="87"/>
        <v/>
      </c>
      <c r="HC83" s="21" t="str">
        <f t="shared" si="87"/>
        <v/>
      </c>
      <c r="HD83" s="21" t="str">
        <f t="shared" si="87"/>
        <v/>
      </c>
      <c r="HE83" s="21" t="str">
        <f t="shared" si="87"/>
        <v/>
      </c>
      <c r="HF83" s="21" t="str">
        <f t="shared" si="87"/>
        <v/>
      </c>
      <c r="HG83" s="21" t="str">
        <f t="shared" si="87"/>
        <v/>
      </c>
      <c r="HH83" s="21" t="str">
        <f t="shared" si="87"/>
        <v/>
      </c>
      <c r="HI83" s="21" t="str">
        <f t="shared" si="87"/>
        <v/>
      </c>
      <c r="HJ83" s="21" t="str">
        <f t="shared" si="87"/>
        <v/>
      </c>
      <c r="HK83" s="21" t="str">
        <f t="shared" ref="HK83:JH83" si="88">IF(HK3="","",AVERAGE(HI57:HJ57)+CONFIDENCE(0.05,STDEV(GL57:HJ57),COUNT(GL57:HJ57)))</f>
        <v/>
      </c>
      <c r="HL83" s="21" t="str">
        <f t="shared" si="88"/>
        <v/>
      </c>
      <c r="HM83" s="21" t="str">
        <f t="shared" si="88"/>
        <v/>
      </c>
      <c r="HN83" s="21" t="str">
        <f t="shared" si="88"/>
        <v/>
      </c>
      <c r="HO83" s="21" t="str">
        <f t="shared" si="88"/>
        <v/>
      </c>
      <c r="HP83" s="21" t="str">
        <f t="shared" si="88"/>
        <v/>
      </c>
      <c r="HQ83" s="21" t="str">
        <f t="shared" si="88"/>
        <v/>
      </c>
      <c r="HR83" s="21" t="str">
        <f t="shared" si="88"/>
        <v/>
      </c>
      <c r="HS83" s="21" t="str">
        <f t="shared" si="88"/>
        <v/>
      </c>
      <c r="HT83" s="21" t="str">
        <f t="shared" si="88"/>
        <v/>
      </c>
      <c r="HU83" s="21" t="str">
        <f t="shared" si="88"/>
        <v/>
      </c>
      <c r="HV83" s="21" t="str">
        <f t="shared" si="88"/>
        <v/>
      </c>
      <c r="HW83" s="21" t="str">
        <f t="shared" si="88"/>
        <v/>
      </c>
      <c r="HX83" s="21" t="str">
        <f t="shared" si="88"/>
        <v/>
      </c>
      <c r="HY83" s="21" t="str">
        <f t="shared" si="88"/>
        <v/>
      </c>
      <c r="HZ83" s="21" t="str">
        <f t="shared" si="88"/>
        <v/>
      </c>
      <c r="IA83" s="21" t="str">
        <f t="shared" si="88"/>
        <v/>
      </c>
      <c r="IB83" s="21" t="str">
        <f t="shared" si="88"/>
        <v/>
      </c>
      <c r="IC83" s="21" t="str">
        <f t="shared" si="88"/>
        <v/>
      </c>
      <c r="ID83" s="21" t="str">
        <f t="shared" si="88"/>
        <v/>
      </c>
      <c r="IE83" s="21" t="str">
        <f t="shared" si="88"/>
        <v/>
      </c>
      <c r="IF83" s="21" t="str">
        <f t="shared" si="88"/>
        <v/>
      </c>
      <c r="IG83" s="21" t="str">
        <f t="shared" si="88"/>
        <v/>
      </c>
      <c r="IH83" s="21" t="str">
        <f t="shared" si="88"/>
        <v/>
      </c>
      <c r="II83" s="21" t="str">
        <f t="shared" si="88"/>
        <v/>
      </c>
      <c r="IJ83" s="21" t="str">
        <f t="shared" si="88"/>
        <v/>
      </c>
      <c r="IK83" s="21" t="str">
        <f t="shared" si="88"/>
        <v/>
      </c>
      <c r="IL83" s="21" t="str">
        <f t="shared" si="88"/>
        <v/>
      </c>
      <c r="IM83" s="21" t="str">
        <f t="shared" si="88"/>
        <v/>
      </c>
      <c r="IN83" s="21" t="str">
        <f t="shared" si="88"/>
        <v/>
      </c>
      <c r="IO83" s="21" t="str">
        <f t="shared" si="88"/>
        <v/>
      </c>
      <c r="IP83" s="21" t="str">
        <f t="shared" si="88"/>
        <v/>
      </c>
      <c r="IQ83" s="21" t="str">
        <f t="shared" si="88"/>
        <v/>
      </c>
      <c r="IR83" s="21" t="str">
        <f t="shared" si="88"/>
        <v/>
      </c>
      <c r="IS83" s="21" t="str">
        <f t="shared" si="88"/>
        <v/>
      </c>
      <c r="IT83" s="21" t="str">
        <f t="shared" si="88"/>
        <v/>
      </c>
      <c r="IU83" s="21" t="str">
        <f t="shared" si="88"/>
        <v/>
      </c>
      <c r="IV83" s="21" t="str">
        <f t="shared" si="88"/>
        <v/>
      </c>
      <c r="IW83" s="21" t="str">
        <f t="shared" si="88"/>
        <v/>
      </c>
      <c r="IX83" s="21" t="str">
        <f t="shared" si="88"/>
        <v/>
      </c>
      <c r="IY83" s="21" t="str">
        <f t="shared" si="88"/>
        <v/>
      </c>
      <c r="IZ83" s="21" t="str">
        <f t="shared" si="88"/>
        <v/>
      </c>
      <c r="JA83" s="21" t="str">
        <f t="shared" si="88"/>
        <v/>
      </c>
      <c r="JB83" s="21" t="str">
        <f t="shared" si="88"/>
        <v/>
      </c>
      <c r="JC83" s="21" t="str">
        <f t="shared" si="88"/>
        <v/>
      </c>
      <c r="JD83" s="21" t="str">
        <f t="shared" si="88"/>
        <v/>
      </c>
      <c r="JE83" s="21" t="str">
        <f t="shared" si="88"/>
        <v/>
      </c>
      <c r="JF83" s="21" t="str">
        <f t="shared" si="88"/>
        <v/>
      </c>
      <c r="JG83" s="21" t="str">
        <f t="shared" si="88"/>
        <v/>
      </c>
      <c r="JH83" s="21" t="str">
        <f t="shared" si="88"/>
        <v/>
      </c>
    </row>
    <row r="84" spans="1:336" x14ac:dyDescent="0.25"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>
        <f t="shared" ref="AA84:CL84" ca="1" si="89">IF(AA4="","",AVERAGE(X58:Z58)+CONFIDENCE(0.05,STDEV(B58:Z58),COUNT(B58:Z58)))</f>
        <v>6.5949212257625884E-4</v>
      </c>
      <c r="AB84" s="21">
        <f t="shared" ca="1" si="89"/>
        <v>6.5258724429033562E-4</v>
      </c>
      <c r="AC84" s="21">
        <f t="shared" ca="1" si="89"/>
        <v>9.0469375180983989E-4</v>
      </c>
      <c r="AD84" s="21">
        <f t="shared" ca="1" si="89"/>
        <v>1.055634889188002E-3</v>
      </c>
      <c r="AE84" s="21">
        <f t="shared" ca="1" si="89"/>
        <v>9.4934456538957562E-4</v>
      </c>
      <c r="AF84" s="21">
        <f t="shared" ca="1" si="89"/>
        <v>8.7672132110873835E-4</v>
      </c>
      <c r="AG84" s="21">
        <f t="shared" ca="1" si="89"/>
        <v>8.1311329640550763E-4</v>
      </c>
      <c r="AH84" s="21">
        <f t="shared" ca="1" si="89"/>
        <v>7.8470465652303277E-4</v>
      </c>
      <c r="AI84" s="21">
        <f t="shared" ca="1" si="89"/>
        <v>1.2341708011735239E-3</v>
      </c>
      <c r="AJ84" s="21">
        <f t="shared" ca="1" si="89"/>
        <v>1.4098283709052285E-3</v>
      </c>
      <c r="AK84" s="21">
        <f t="shared" ca="1" si="89"/>
        <v>1.5763203498666959E-3</v>
      </c>
      <c r="AL84" s="21">
        <f t="shared" ca="1" si="89"/>
        <v>1.3020050517770858E-3</v>
      </c>
      <c r="AM84" s="21">
        <f t="shared" ca="1" si="89"/>
        <v>1.3478478048659214E-3</v>
      </c>
      <c r="AN84" s="21">
        <f t="shared" ca="1" si="89"/>
        <v>1.6363638591652611E-3</v>
      </c>
      <c r="AO84" s="21">
        <f t="shared" ca="1" si="89"/>
        <v>1.5034509163427768E-3</v>
      </c>
      <c r="AP84" s="21">
        <f t="shared" ca="1" si="89"/>
        <v>1.072708817134315E-3</v>
      </c>
      <c r="AQ84" s="21">
        <f t="shared" ca="1" si="89"/>
        <v>6.3671809547575142E-4</v>
      </c>
      <c r="AR84" s="21">
        <f t="shared" ca="1" si="89"/>
        <v>6.7320077041146541E-4</v>
      </c>
      <c r="AS84" s="21">
        <f t="shared" ca="1" si="89"/>
        <v>8.662064977387182E-4</v>
      </c>
      <c r="AT84" s="21">
        <f t="shared" ca="1" si="89"/>
        <v>1.0055841304858356E-3</v>
      </c>
      <c r="AU84" s="21">
        <f t="shared" ca="1" si="89"/>
        <v>1.032175010118166E-3</v>
      </c>
      <c r="AV84" s="21">
        <f t="shared" ca="1" si="89"/>
        <v>1.0010689769197976E-3</v>
      </c>
      <c r="AW84" s="21">
        <f t="shared" ca="1" si="89"/>
        <v>1.3849721493923329E-3</v>
      </c>
      <c r="AX84" s="21">
        <f t="shared" ca="1" si="89"/>
        <v>1.6638500355751478E-3</v>
      </c>
      <c r="AY84" s="21">
        <f t="shared" ca="1" si="89"/>
        <v>2.4682254251914182E-3</v>
      </c>
      <c r="AZ84" s="21">
        <f t="shared" ca="1" si="89"/>
        <v>3.1248677539376987E-3</v>
      </c>
      <c r="BA84" s="21">
        <f t="shared" ca="1" si="89"/>
        <v>4.4954101370528665E-3</v>
      </c>
      <c r="BB84" s="21">
        <f t="shared" ca="1" si="89"/>
        <v>5.4626721289267616E-3</v>
      </c>
      <c r="BC84" s="21">
        <f t="shared" ca="1" si="89"/>
        <v>5.4864616376445706E-3</v>
      </c>
      <c r="BD84" s="21">
        <f t="shared" ca="1" si="89"/>
        <v>3.7627870332997979E-3</v>
      </c>
      <c r="BE84" s="21">
        <f t="shared" ca="1" si="89"/>
        <v>2.7734545528396676E-3</v>
      </c>
      <c r="BF84" s="21">
        <f t="shared" ca="1" si="89"/>
        <v>1.7486430026702041E-3</v>
      </c>
      <c r="BG84" s="21">
        <f t="shared" ca="1" si="89"/>
        <v>1.9844484428772425E-3</v>
      </c>
      <c r="BH84" s="21">
        <f t="shared" ca="1" si="89"/>
        <v>3.107097538481921E-3</v>
      </c>
      <c r="BI84" s="21">
        <f t="shared" ca="1" si="89"/>
        <v>4.0867069336494276E-3</v>
      </c>
      <c r="BJ84" s="21">
        <f t="shared" ca="1" si="89"/>
        <v>5.2599306666857425E-3</v>
      </c>
      <c r="BK84" s="21">
        <f t="shared" ca="1" si="89"/>
        <v>6.2643838241398632E-3</v>
      </c>
      <c r="BL84" s="21">
        <f t="shared" ca="1" si="89"/>
        <v>5.5546632041630697E-3</v>
      </c>
      <c r="BM84" s="21">
        <f t="shared" ca="1" si="89"/>
        <v>5.0403214729619599E-3</v>
      </c>
      <c r="BN84" s="21">
        <f t="shared" ca="1" si="89"/>
        <v>3.8063738580413394E-3</v>
      </c>
      <c r="BO84" s="21">
        <f t="shared" ca="1" si="89"/>
        <v>4.5913943813108782E-3</v>
      </c>
      <c r="BP84" s="21">
        <f t="shared" ca="1" si="89"/>
        <v>3.9790029465056687E-3</v>
      </c>
      <c r="BQ84" s="21">
        <f t="shared" ca="1" si="89"/>
        <v>2.7532381308017712E-3</v>
      </c>
      <c r="BR84" s="21">
        <f t="shared" ca="1" si="89"/>
        <v>2.9438846684119511E-3</v>
      </c>
      <c r="BS84" s="21">
        <f t="shared" ca="1" si="89"/>
        <v>3.1863629112500081E-3</v>
      </c>
      <c r="BT84" s="21">
        <f t="shared" ca="1" si="89"/>
        <v>3.3327850321168053E-3</v>
      </c>
      <c r="BU84" s="21">
        <f t="shared" ca="1" si="89"/>
        <v>2.4498447180781781E-3</v>
      </c>
      <c r="BV84" s="21">
        <f t="shared" ca="1" si="89"/>
        <v>3.0154239677023797E-3</v>
      </c>
      <c r="BW84" s="21">
        <f t="shared" ca="1" si="89"/>
        <v>2.9608397908742626E-3</v>
      </c>
      <c r="BX84" s="21">
        <f t="shared" ca="1" si="89"/>
        <v>3.1139124727502091E-3</v>
      </c>
      <c r="BY84" s="21">
        <f t="shared" ca="1" si="89"/>
        <v>2.6375453225382321E-3</v>
      </c>
      <c r="BZ84" s="21">
        <f t="shared" ca="1" si="89"/>
        <v>2.9992564279195185E-3</v>
      </c>
      <c r="CA84" s="21">
        <f t="shared" ca="1" si="89"/>
        <v>3.0225544169161854E-3</v>
      </c>
      <c r="CB84" s="21">
        <f t="shared" ca="1" si="89"/>
        <v>2.3035981417636776E-3</v>
      </c>
      <c r="CC84" s="21">
        <f t="shared" ca="1" si="89"/>
        <v>2.2656271118277E-3</v>
      </c>
      <c r="CD84" s="21">
        <f t="shared" ca="1" si="89"/>
        <v>1.879324683212447E-3</v>
      </c>
      <c r="CE84" s="21">
        <f t="shared" ca="1" si="89"/>
        <v>2.5306542418222816E-3</v>
      </c>
      <c r="CF84" s="21">
        <f t="shared" ca="1" si="89"/>
        <v>2.1904922476504388E-3</v>
      </c>
      <c r="CG84" s="21">
        <f t="shared" ca="1" si="89"/>
        <v>1.832178603955355E-3</v>
      </c>
      <c r="CH84" s="21">
        <f t="shared" ca="1" si="89"/>
        <v>1.2287027620765901E-3</v>
      </c>
      <c r="CI84" s="21">
        <f t="shared" ca="1" si="89"/>
        <v>9.1423322351091927E-4</v>
      </c>
      <c r="CJ84" s="21">
        <f t="shared" ca="1" si="89"/>
        <v>7.7044986173640184E-4</v>
      </c>
      <c r="CK84" s="21">
        <f t="shared" ca="1" si="89"/>
        <v>1.755497646062519E-3</v>
      </c>
      <c r="CL84" s="21">
        <f t="shared" ca="1" si="89"/>
        <v>2.2420897258879752E-3</v>
      </c>
      <c r="CM84" s="21">
        <f t="shared" ref="CM84:EX84" ca="1" si="90">IF(CM4="","",AVERAGE(CJ58:CL58)+CONFIDENCE(0.05,STDEV(BN58:CL58),COUNT(BN58:CL58)))</f>
        <v>2.538585443808394E-3</v>
      </c>
      <c r="CN84" s="21">
        <f t="shared" ca="1" si="90"/>
        <v>2.2676535737131409E-3</v>
      </c>
      <c r="CO84" s="21">
        <f t="shared" ca="1" si="90"/>
        <v>1.9994329038394115E-3</v>
      </c>
      <c r="CP84" s="21">
        <f t="shared" ca="1" si="90"/>
        <v>1.6557111590833797E-3</v>
      </c>
      <c r="CQ84" s="21">
        <f t="shared" ca="1" si="90"/>
        <v>9.6778730386292366E-4</v>
      </c>
      <c r="CR84" s="21">
        <f t="shared" ca="1" si="90"/>
        <v>1.1026017623507465E-3</v>
      </c>
      <c r="CS84" s="21">
        <f t="shared" ca="1" si="90"/>
        <v>1.3081115701105148E-3</v>
      </c>
      <c r="CT84" s="21">
        <f t="shared" ca="1" si="90"/>
        <v>2.6035068970680299E-3</v>
      </c>
      <c r="CU84" s="21">
        <f t="shared" ca="1" si="90"/>
        <v>2.5410621750385836E-3</v>
      </c>
      <c r="CV84" s="21">
        <f t="shared" ca="1" si="90"/>
        <v>3.7083796419175499E-3</v>
      </c>
      <c r="CW84" s="21">
        <f t="shared" ca="1" si="90"/>
        <v>2.4687893801260095E-3</v>
      </c>
      <c r="CX84" s="21">
        <f t="shared" ca="1" si="90"/>
        <v>2.1704661350086026E-3</v>
      </c>
      <c r="CY84" s="21">
        <f t="shared" ca="1" si="90"/>
        <v>9.07307743822254E-4</v>
      </c>
      <c r="CZ84" s="21">
        <f t="shared" ca="1" si="90"/>
        <v>8.1298838738771452E-4</v>
      </c>
      <c r="DA84" s="21">
        <f t="shared" ca="1" si="90"/>
        <v>1.4078180827915949E-3</v>
      </c>
      <c r="DB84" s="21">
        <f t="shared" ca="1" si="90"/>
        <v>2.071913155663135E-3</v>
      </c>
      <c r="DC84" s="21">
        <f t="shared" ca="1" si="90"/>
        <v>2.2274568795004235E-3</v>
      </c>
      <c r="DD84" s="21">
        <f t="shared" ca="1" si="90"/>
        <v>1.5610018036798857E-3</v>
      </c>
      <c r="DE84" s="21">
        <f t="shared" ca="1" si="90"/>
        <v>9.0445240706982645E-4</v>
      </c>
      <c r="DF84" s="21">
        <f t="shared" ca="1" si="90"/>
        <v>1.17439700448825E-3</v>
      </c>
      <c r="DG84" s="21">
        <f t="shared" ca="1" si="90"/>
        <v>1.9112586296191805E-3</v>
      </c>
      <c r="DH84" s="21">
        <f t="shared" ca="1" si="90"/>
        <v>1.8953240170984831E-3</v>
      </c>
      <c r="DI84" s="21">
        <f t="shared" ca="1" si="90"/>
        <v>2.5834269738097371E-3</v>
      </c>
      <c r="DJ84" s="21">
        <f t="shared" ca="1" si="90"/>
        <v>3.3482229461319346E-3</v>
      </c>
      <c r="DK84" s="21">
        <f t="shared" ca="1" si="90"/>
        <v>3.8681400355736603E-3</v>
      </c>
      <c r="DL84" s="21">
        <f t="shared" ca="1" si="90"/>
        <v>3.3505367106575834E-3</v>
      </c>
      <c r="DM84" s="21">
        <f t="shared" ca="1" si="90"/>
        <v>2.633431543783035E-3</v>
      </c>
      <c r="DN84" s="21">
        <f t="shared" ca="1" si="90"/>
        <v>3.0912407723798978E-3</v>
      </c>
      <c r="DO84" s="21">
        <f t="shared" ca="1" si="90"/>
        <v>3.526510997010286E-3</v>
      </c>
      <c r="DP84" s="21">
        <f t="shared" ca="1" si="90"/>
        <v>4.0434003214848318E-3</v>
      </c>
      <c r="DQ84" s="21">
        <f t="shared" ca="1" si="90"/>
        <v>4.4397708749535905E-3</v>
      </c>
      <c r="DR84" s="21">
        <f t="shared" ca="1" si="90"/>
        <v>3.5982350438881466E-3</v>
      </c>
      <c r="DS84" s="21">
        <f t="shared" ca="1" si="90"/>
        <v>2.9984858604891664E-3</v>
      </c>
      <c r="DT84" s="21">
        <f t="shared" ca="1" si="90"/>
        <v>2.2996112858064861E-3</v>
      </c>
      <c r="DU84" s="21">
        <f t="shared" ca="1" si="90"/>
        <v>3.1128499961585706E-3</v>
      </c>
      <c r="DV84" s="21">
        <f t="shared" ca="1" si="90"/>
        <v>3.2965153186971089E-3</v>
      </c>
      <c r="DW84" s="21">
        <f t="shared" ca="1" si="90"/>
        <v>2.7393354664699407E-3</v>
      </c>
      <c r="DX84" s="21">
        <f t="shared" ca="1" si="90"/>
        <v>2.5465329393795869E-3</v>
      </c>
      <c r="DY84" s="21">
        <f t="shared" ca="1" si="90"/>
        <v>2.6765310868250578E-3</v>
      </c>
      <c r="DZ84" s="21">
        <f t="shared" ca="1" si="90"/>
        <v>2.8260220161202077E-3</v>
      </c>
      <c r="EA84" s="21">
        <f t="shared" ca="1" si="90"/>
        <v>2.6031005829936188E-3</v>
      </c>
      <c r="EB84" s="21">
        <f t="shared" ca="1" si="90"/>
        <v>1.6220046251953859E-3</v>
      </c>
      <c r="EC84" s="21">
        <f t="shared" ca="1" si="90"/>
        <v>1.3254614911917548E-3</v>
      </c>
      <c r="ED84" s="21">
        <f t="shared" ca="1" si="90"/>
        <v>7.9963251022415415E-4</v>
      </c>
      <c r="EE84" s="21">
        <f t="shared" ca="1" si="90"/>
        <v>1.2636531738947057E-3</v>
      </c>
      <c r="EF84" s="21">
        <f t="shared" ca="1" si="90"/>
        <v>1.954985966883521E-3</v>
      </c>
      <c r="EG84" s="21">
        <f t="shared" ca="1" si="90"/>
        <v>2.5056088816014458E-3</v>
      </c>
      <c r="EH84" s="21">
        <f t="shared" ca="1" si="90"/>
        <v>2.1594913630895089E-3</v>
      </c>
      <c r="EI84" s="21">
        <f t="shared" ca="1" si="90"/>
        <v>1.8171646146908575E-3</v>
      </c>
      <c r="EJ84" s="21">
        <f t="shared" ca="1" si="90"/>
        <v>2.0396363724126108E-3</v>
      </c>
      <c r="EK84" s="21">
        <f t="shared" ca="1" si="90"/>
        <v>3.3356300356118941E-3</v>
      </c>
      <c r="EL84" s="21">
        <f t="shared" ca="1" si="90"/>
        <v>3.1443449330384962E-3</v>
      </c>
      <c r="EM84" s="21">
        <f t="shared" ca="1" si="90"/>
        <v>2.3904246120999648E-3</v>
      </c>
      <c r="EN84" s="21">
        <f t="shared" ca="1" si="90"/>
        <v>1.1836725777803305E-3</v>
      </c>
      <c r="EO84" s="21">
        <f t="shared" ca="1" si="90"/>
        <v>1.3252758820571225E-3</v>
      </c>
      <c r="EP84" s="21">
        <f t="shared" ca="1" si="90"/>
        <v>2.0825643528399212E-3</v>
      </c>
      <c r="EQ84" s="21">
        <f t="shared" ca="1" si="90"/>
        <v>2.0657452658207703E-3</v>
      </c>
      <c r="ER84" s="21">
        <f t="shared" ca="1" si="90"/>
        <v>3.3276269684594838E-3</v>
      </c>
      <c r="ES84" s="21">
        <f t="shared" ca="1" si="90"/>
        <v>2.4816738670817972E-3</v>
      </c>
      <c r="ET84" s="21">
        <f t="shared" ca="1" si="90"/>
        <v>2.839304040473503E-3</v>
      </c>
      <c r="EU84" s="21">
        <f t="shared" ca="1" si="90"/>
        <v>1.5797443911707593E-3</v>
      </c>
      <c r="EV84" s="21">
        <f t="shared" ca="1" si="90"/>
        <v>1.8839989189397303E-3</v>
      </c>
      <c r="EW84" s="21">
        <f t="shared" ca="1" si="90"/>
        <v>2.0054405507215949E-3</v>
      </c>
      <c r="EX84" s="21">
        <f t="shared" ca="1" si="90"/>
        <v>1.7643038826288409E-3</v>
      </c>
      <c r="EY84" s="21">
        <f t="shared" ref="EY84:HJ84" ca="1" si="91">IF(EY4="","",AVERAGE(EV58:EX58)+CONFIDENCE(0.05,STDEV(DZ58:EX58),COUNT(DZ58:EX58)))</f>
        <v>1.7861442925355378E-3</v>
      </c>
      <c r="EZ84" s="21">
        <f t="shared" ca="1" si="91"/>
        <v>1.4444920793606447E-3</v>
      </c>
      <c r="FA84" s="21">
        <f t="shared" ca="1" si="91"/>
        <v>1.4625301953844604E-3</v>
      </c>
      <c r="FB84" s="21">
        <f t="shared" ca="1" si="91"/>
        <v>1.4473751667733927E-3</v>
      </c>
      <c r="FC84" s="21">
        <f t="shared" ca="1" si="91"/>
        <v>1.3246226211151362E-3</v>
      </c>
      <c r="FD84" s="21">
        <f t="shared" ca="1" si="91"/>
        <v>2.3177595587018478E-3</v>
      </c>
      <c r="FE84" s="21">
        <f t="shared" ca="1" si="91"/>
        <v>2.0110695077854646E-3</v>
      </c>
      <c r="FF84" s="21">
        <f t="shared" ca="1" si="91"/>
        <v>1.9584140261198276E-3</v>
      </c>
      <c r="FG84" s="21">
        <f t="shared" ca="1" si="91"/>
        <v>1.2057616451570761E-3</v>
      </c>
      <c r="FH84" s="21">
        <f t="shared" ca="1" si="91"/>
        <v>2.1064867609513994E-3</v>
      </c>
      <c r="FI84" s="21">
        <f t="shared" ca="1" si="91"/>
        <v>3.0342563865897597E-3</v>
      </c>
      <c r="FJ84" s="21">
        <f t="shared" ca="1" si="91"/>
        <v>3.1264285153151344E-3</v>
      </c>
      <c r="FK84" s="21">
        <f t="shared" ca="1" si="91"/>
        <v>3.1179206363525663E-3</v>
      </c>
      <c r="FL84" s="21">
        <f t="shared" ca="1" si="91"/>
        <v>2.5099560729542345E-3</v>
      </c>
      <c r="FM84" s="21">
        <f t="shared" ca="1" si="91"/>
        <v>3.4678948886311929E-3</v>
      </c>
      <c r="FN84" s="21">
        <f t="shared" ca="1" si="91"/>
        <v>2.7386819981437549E-3</v>
      </c>
      <c r="FO84" s="21">
        <f t="shared" ca="1" si="91"/>
        <v>5.5002721845504206E-3</v>
      </c>
      <c r="FP84" s="21">
        <f t="shared" ca="1" si="91"/>
        <v>7.2521567511313612E-3</v>
      </c>
      <c r="FQ84" s="21">
        <f t="shared" ca="1" si="91"/>
        <v>7.1670679566150147E-3</v>
      </c>
      <c r="FR84" s="21">
        <f t="shared" ca="1" si="91"/>
        <v>5.0777056041747095E-3</v>
      </c>
      <c r="FS84" s="21">
        <f t="shared" ca="1" si="91"/>
        <v>2.0977654172907034E-3</v>
      </c>
      <c r="FT84" s="21">
        <f t="shared" ca="1" si="91"/>
        <v>2.0000542676384351E-3</v>
      </c>
      <c r="FU84" s="21">
        <f t="shared" ca="1" si="91"/>
        <v>2.1383459269818934E-3</v>
      </c>
      <c r="FV84" s="21">
        <f t="shared" ca="1" si="91"/>
        <v>2.2565588355435459E-3</v>
      </c>
      <c r="FW84" s="21">
        <f t="shared" ca="1" si="91"/>
        <v>3.1555216847313451E-3</v>
      </c>
      <c r="FX84" s="21">
        <f t="shared" ca="1" si="91"/>
        <v>2.2322959347379325E-3</v>
      </c>
      <c r="FY84" s="21">
        <f t="shared" ca="1" si="91"/>
        <v>2.4030214137846927E-3</v>
      </c>
      <c r="FZ84" s="21">
        <f t="shared" ca="1" si="91"/>
        <v>2.0419866625076789E-3</v>
      </c>
      <c r="GA84" s="21">
        <f t="shared" ca="1" si="91"/>
        <v>3.1157738413542611E-3</v>
      </c>
      <c r="GB84" s="21">
        <f t="shared" ca="1" si="91"/>
        <v>3.4846778063006788E-3</v>
      </c>
      <c r="GC84" s="21">
        <f t="shared" ca="1" si="91"/>
        <v>3.043086847692898E-3</v>
      </c>
      <c r="GD84" s="21">
        <f t="shared" ca="1" si="91"/>
        <v>1.8942849353293472E-3</v>
      </c>
      <c r="GE84" s="21">
        <f t="shared" ca="1" si="91"/>
        <v>1.3358568021758475E-3</v>
      </c>
      <c r="GF84" s="21">
        <f t="shared" ca="1" si="91"/>
        <v>1.1302955099398355E-3</v>
      </c>
      <c r="GG84" s="21">
        <f t="shared" ca="1" si="91"/>
        <v>1.1421928739568093E-3</v>
      </c>
      <c r="GH84" s="21">
        <f t="shared" ca="1" si="91"/>
        <v>1.4270681281405974E-3</v>
      </c>
      <c r="GI84" s="21">
        <f t="shared" ca="1" si="91"/>
        <v>2.4443214093419329E-3</v>
      </c>
      <c r="GJ84" s="21">
        <f t="shared" ca="1" si="91"/>
        <v>2.6583747540105218E-3</v>
      </c>
      <c r="GK84" s="21">
        <f t="shared" ca="1" si="91"/>
        <v>2.3644263989951917E-3</v>
      </c>
      <c r="GL84" s="21">
        <f t="shared" ca="1" si="91"/>
        <v>1.6912241627965216E-3</v>
      </c>
      <c r="GM84" s="21">
        <f t="shared" ca="1" si="91"/>
        <v>1.480224964824273E-3</v>
      </c>
      <c r="GN84" s="21">
        <f t="shared" ca="1" si="91"/>
        <v>3.1728807845515369E-3</v>
      </c>
      <c r="GO84" s="21">
        <f t="shared" ca="1" si="91"/>
        <v>1.1726324501177315E-2</v>
      </c>
      <c r="GP84" s="21">
        <f t="shared" ca="1" si="91"/>
        <v>1.7645531653961002E-2</v>
      </c>
      <c r="GQ84" s="21">
        <f t="shared" ca="1" si="91"/>
        <v>1.8919472522841943E-2</v>
      </c>
      <c r="GR84" s="21">
        <f t="shared" ca="1" si="91"/>
        <v>1.6235286133311475E-2</v>
      </c>
      <c r="GS84" s="21">
        <f t="shared" ca="1" si="91"/>
        <v>1.476385839839082E-2</v>
      </c>
      <c r="GT84" s="21">
        <f t="shared" ca="1" si="91"/>
        <v>1.1891558198900086E-2</v>
      </c>
      <c r="GU84" s="21">
        <f t="shared" ca="1" si="91"/>
        <v>8.6691749644803983E-3</v>
      </c>
      <c r="GV84" s="21">
        <f t="shared" ca="1" si="91"/>
        <v>5.068207202476349E-3</v>
      </c>
      <c r="GW84" s="21">
        <f t="shared" ca="1" si="91"/>
        <v>5.6838170981979748E-3</v>
      </c>
      <c r="GX84" s="21">
        <f t="shared" ca="1" si="91"/>
        <v>4.0940008571543202E-3</v>
      </c>
      <c r="GY84" s="21">
        <f t="shared" ca="1" si="91"/>
        <v>4.2482566543436927E-3</v>
      </c>
      <c r="GZ84" s="21">
        <f t="shared" ca="1" si="91"/>
        <v>3.4183149169131123E-3</v>
      </c>
      <c r="HA84" s="21" t="str">
        <f t="shared" si="91"/>
        <v/>
      </c>
      <c r="HB84" s="21" t="str">
        <f t="shared" si="91"/>
        <v/>
      </c>
      <c r="HC84" s="21" t="str">
        <f t="shared" si="91"/>
        <v/>
      </c>
      <c r="HD84" s="21" t="str">
        <f t="shared" si="91"/>
        <v/>
      </c>
      <c r="HE84" s="21" t="str">
        <f t="shared" si="91"/>
        <v/>
      </c>
      <c r="HF84" s="21" t="str">
        <f t="shared" si="91"/>
        <v/>
      </c>
      <c r="HG84" s="21" t="str">
        <f t="shared" si="91"/>
        <v/>
      </c>
      <c r="HH84" s="21" t="str">
        <f t="shared" si="91"/>
        <v/>
      </c>
      <c r="HI84" s="21" t="str">
        <f t="shared" si="91"/>
        <v/>
      </c>
      <c r="HJ84" s="21" t="str">
        <f t="shared" si="91"/>
        <v/>
      </c>
      <c r="HK84" s="21" t="str">
        <f t="shared" ref="HK84:JH84" si="92">IF(HK4="","",AVERAGE(HH58:HJ58)+CONFIDENCE(0.05,STDEV(GL58:HJ58),COUNT(GL58:HJ58)))</f>
        <v/>
      </c>
      <c r="HL84" s="21" t="str">
        <f t="shared" si="92"/>
        <v/>
      </c>
      <c r="HM84" s="21" t="str">
        <f t="shared" si="92"/>
        <v/>
      </c>
      <c r="HN84" s="21" t="str">
        <f t="shared" si="92"/>
        <v/>
      </c>
      <c r="HO84" s="21" t="str">
        <f t="shared" si="92"/>
        <v/>
      </c>
      <c r="HP84" s="21" t="str">
        <f t="shared" si="92"/>
        <v/>
      </c>
      <c r="HQ84" s="21" t="str">
        <f t="shared" si="92"/>
        <v/>
      </c>
      <c r="HR84" s="21" t="str">
        <f t="shared" si="92"/>
        <v/>
      </c>
      <c r="HS84" s="21" t="str">
        <f t="shared" si="92"/>
        <v/>
      </c>
      <c r="HT84" s="21" t="str">
        <f t="shared" si="92"/>
        <v/>
      </c>
      <c r="HU84" s="21" t="str">
        <f t="shared" si="92"/>
        <v/>
      </c>
      <c r="HV84" s="21" t="str">
        <f t="shared" si="92"/>
        <v/>
      </c>
      <c r="HW84" s="21" t="str">
        <f t="shared" si="92"/>
        <v/>
      </c>
      <c r="HX84" s="21" t="str">
        <f t="shared" si="92"/>
        <v/>
      </c>
      <c r="HY84" s="21" t="str">
        <f t="shared" si="92"/>
        <v/>
      </c>
      <c r="HZ84" s="21" t="str">
        <f t="shared" si="92"/>
        <v/>
      </c>
      <c r="IA84" s="21" t="str">
        <f t="shared" si="92"/>
        <v/>
      </c>
      <c r="IB84" s="21" t="str">
        <f t="shared" si="92"/>
        <v/>
      </c>
      <c r="IC84" s="21" t="str">
        <f t="shared" si="92"/>
        <v/>
      </c>
      <c r="ID84" s="21" t="str">
        <f t="shared" si="92"/>
        <v/>
      </c>
      <c r="IE84" s="21" t="str">
        <f t="shared" si="92"/>
        <v/>
      </c>
      <c r="IF84" s="21" t="str">
        <f t="shared" si="92"/>
        <v/>
      </c>
      <c r="IG84" s="21" t="str">
        <f t="shared" si="92"/>
        <v/>
      </c>
      <c r="IH84" s="21" t="str">
        <f t="shared" si="92"/>
        <v/>
      </c>
      <c r="II84" s="21" t="str">
        <f t="shared" si="92"/>
        <v/>
      </c>
      <c r="IJ84" s="21" t="str">
        <f t="shared" si="92"/>
        <v/>
      </c>
      <c r="IK84" s="21" t="str">
        <f t="shared" si="92"/>
        <v/>
      </c>
      <c r="IL84" s="21" t="str">
        <f t="shared" si="92"/>
        <v/>
      </c>
      <c r="IM84" s="21" t="str">
        <f t="shared" si="92"/>
        <v/>
      </c>
      <c r="IN84" s="21" t="str">
        <f t="shared" si="92"/>
        <v/>
      </c>
      <c r="IO84" s="21" t="str">
        <f t="shared" si="92"/>
        <v/>
      </c>
      <c r="IP84" s="21" t="str">
        <f t="shared" si="92"/>
        <v/>
      </c>
      <c r="IQ84" s="21" t="str">
        <f t="shared" si="92"/>
        <v/>
      </c>
      <c r="IR84" s="21" t="str">
        <f t="shared" si="92"/>
        <v/>
      </c>
      <c r="IS84" s="21" t="str">
        <f t="shared" si="92"/>
        <v/>
      </c>
      <c r="IT84" s="21" t="str">
        <f t="shared" si="92"/>
        <v/>
      </c>
      <c r="IU84" s="21" t="str">
        <f t="shared" si="92"/>
        <v/>
      </c>
      <c r="IV84" s="21" t="str">
        <f t="shared" si="92"/>
        <v/>
      </c>
      <c r="IW84" s="21" t="str">
        <f t="shared" si="92"/>
        <v/>
      </c>
      <c r="IX84" s="21" t="str">
        <f t="shared" si="92"/>
        <v/>
      </c>
      <c r="IY84" s="21" t="str">
        <f t="shared" si="92"/>
        <v/>
      </c>
      <c r="IZ84" s="21" t="str">
        <f t="shared" si="92"/>
        <v/>
      </c>
      <c r="JA84" s="21" t="str">
        <f t="shared" si="92"/>
        <v/>
      </c>
      <c r="JB84" s="21" t="str">
        <f t="shared" si="92"/>
        <v/>
      </c>
      <c r="JC84" s="21" t="str">
        <f t="shared" si="92"/>
        <v/>
      </c>
      <c r="JD84" s="21" t="str">
        <f t="shared" si="92"/>
        <v/>
      </c>
      <c r="JE84" s="21" t="str">
        <f t="shared" si="92"/>
        <v/>
      </c>
      <c r="JF84" s="21" t="str">
        <f t="shared" si="92"/>
        <v/>
      </c>
      <c r="JG84" s="21" t="str">
        <f t="shared" si="92"/>
        <v/>
      </c>
      <c r="JH84" s="21" t="str">
        <f t="shared" si="92"/>
        <v/>
      </c>
    </row>
    <row r="85" spans="1:336" x14ac:dyDescent="0.25"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>
        <f t="shared" ref="AA85:CL85" ca="1" si="93">IF(AA5="","",AVERAGE(W59:Z59)+CONFIDENCE(0.05,STDEV(B59:Z59),COUNT(B59:Z59)))</f>
        <v>1.1046484644503093E-3</v>
      </c>
      <c r="AB85" s="21">
        <f t="shared" ca="1" si="93"/>
        <v>9.8121332557248942E-4</v>
      </c>
      <c r="AC85" s="21">
        <f t="shared" ca="1" si="93"/>
        <v>1.0192317341056788E-3</v>
      </c>
      <c r="AD85" s="21">
        <f t="shared" ca="1" si="93"/>
        <v>1.1769688689278082E-3</v>
      </c>
      <c r="AE85" s="21">
        <f t="shared" ca="1" si="93"/>
        <v>9.1515046911414726E-4</v>
      </c>
      <c r="AF85" s="21">
        <f t="shared" ca="1" si="93"/>
        <v>1.109769379349292E-3</v>
      </c>
      <c r="AG85" s="21">
        <f t="shared" ca="1" si="93"/>
        <v>9.8313519383737931E-4</v>
      </c>
      <c r="AH85" s="21">
        <f t="shared" ca="1" si="93"/>
        <v>1.15125723871301E-3</v>
      </c>
      <c r="AI85" s="21">
        <f t="shared" ca="1" si="93"/>
        <v>1.788510483386606E-3</v>
      </c>
      <c r="AJ85" s="21">
        <f t="shared" ca="1" si="93"/>
        <v>1.9556757780833209E-3</v>
      </c>
      <c r="AK85" s="21">
        <f t="shared" ca="1" si="93"/>
        <v>2.1735977828024758E-3</v>
      </c>
      <c r="AL85" s="21">
        <f t="shared" ca="1" si="93"/>
        <v>2.4391933857843707E-3</v>
      </c>
      <c r="AM85" s="21">
        <f t="shared" ca="1" si="93"/>
        <v>2.4073056017472625E-3</v>
      </c>
      <c r="AN85" s="21">
        <f t="shared" ca="1" si="93"/>
        <v>2.3610754320973898E-3</v>
      </c>
      <c r="AO85" s="21">
        <f t="shared" ca="1" si="93"/>
        <v>2.3022941709171939E-3</v>
      </c>
      <c r="AP85" s="21">
        <f t="shared" ca="1" si="93"/>
        <v>1.7377365337848908E-3</v>
      </c>
      <c r="AQ85" s="21">
        <f t="shared" ca="1" si="93"/>
        <v>1.2832134945800959E-3</v>
      </c>
      <c r="AR85" s="21">
        <f t="shared" ca="1" si="93"/>
        <v>8.2912060188106043E-4</v>
      </c>
      <c r="AS85" s="21">
        <f t="shared" ca="1" si="93"/>
        <v>7.0670542856438479E-4</v>
      </c>
      <c r="AT85" s="21">
        <f t="shared" ca="1" si="93"/>
        <v>8.3380507587193196E-4</v>
      </c>
      <c r="AU85" s="21">
        <f t="shared" ca="1" si="93"/>
        <v>8.4503027619604702E-4</v>
      </c>
      <c r="AV85" s="21">
        <f t="shared" ca="1" si="93"/>
        <v>1.1573881771612864E-3</v>
      </c>
      <c r="AW85" s="21">
        <f t="shared" ca="1" si="93"/>
        <v>2.0169079463051927E-3</v>
      </c>
      <c r="AX85" s="21">
        <f t="shared" ca="1" si="93"/>
        <v>3.0795078728240496E-3</v>
      </c>
      <c r="AY85" s="21">
        <f t="shared" ca="1" si="93"/>
        <v>4.1401880932946415E-3</v>
      </c>
      <c r="AZ85" s="21">
        <f t="shared" ca="1" si="93"/>
        <v>5.764398074119886E-3</v>
      </c>
      <c r="BA85" s="21">
        <f t="shared" ca="1" si="93"/>
        <v>7.6412609068594491E-3</v>
      </c>
      <c r="BB85" s="21">
        <f t="shared" ca="1" si="93"/>
        <v>8.6551264438362203E-3</v>
      </c>
      <c r="BC85" s="21">
        <f t="shared" ca="1" si="93"/>
        <v>9.1001839361448556E-3</v>
      </c>
      <c r="BD85" s="21">
        <f t="shared" ca="1" si="93"/>
        <v>7.5956914594111913E-3</v>
      </c>
      <c r="BE85" s="21">
        <f t="shared" ca="1" si="93"/>
        <v>5.6875604515186327E-3</v>
      </c>
      <c r="BF85" s="21">
        <f t="shared" ca="1" si="93"/>
        <v>4.2876878675984775E-3</v>
      </c>
      <c r="BG85" s="21">
        <f t="shared" ca="1" si="93"/>
        <v>3.5090991121738413E-3</v>
      </c>
      <c r="BH85" s="21">
        <f t="shared" ca="1" si="93"/>
        <v>5.1974630299882084E-3</v>
      </c>
      <c r="BI85" s="21">
        <f t="shared" ca="1" si="93"/>
        <v>6.5261690628736213E-3</v>
      </c>
      <c r="BJ85" s="21">
        <f t="shared" ca="1" si="93"/>
        <v>8.1163506508432626E-3</v>
      </c>
      <c r="BK85" s="21">
        <f t="shared" ca="1" si="93"/>
        <v>9.9408215712264037E-3</v>
      </c>
      <c r="BL85" s="21">
        <f t="shared" ca="1" si="93"/>
        <v>8.1697350644331142E-3</v>
      </c>
      <c r="BM85" s="21">
        <f t="shared" ca="1" si="93"/>
        <v>8.0122908115083935E-3</v>
      </c>
      <c r="BN85" s="21">
        <f t="shared" ca="1" si="93"/>
        <v>7.7375194092444907E-3</v>
      </c>
      <c r="BO85" s="21">
        <f t="shared" ca="1" si="93"/>
        <v>6.5814119940406117E-3</v>
      </c>
      <c r="BP85" s="21">
        <f t="shared" ca="1" si="93"/>
        <v>7.216809169228065E-3</v>
      </c>
      <c r="BQ85" s="21">
        <f t="shared" ca="1" si="93"/>
        <v>6.4964762378367747E-3</v>
      </c>
      <c r="BR85" s="21">
        <f t="shared" ca="1" si="93"/>
        <v>5.9438127188053379E-3</v>
      </c>
      <c r="BS85" s="21">
        <f t="shared" ca="1" si="93"/>
        <v>5.1160147733980907E-3</v>
      </c>
      <c r="BT85" s="21">
        <f t="shared" ca="1" si="93"/>
        <v>4.4704731276297444E-3</v>
      </c>
      <c r="BU85" s="21">
        <f t="shared" ca="1" si="93"/>
        <v>4.2667393778021839E-3</v>
      </c>
      <c r="BV85" s="21">
        <f t="shared" ca="1" si="93"/>
        <v>3.675318764002667E-3</v>
      </c>
      <c r="BW85" s="21">
        <f t="shared" ca="1" si="93"/>
        <v>3.4235522202011445E-3</v>
      </c>
      <c r="BX85" s="21">
        <f t="shared" ca="1" si="93"/>
        <v>3.8055275206085749E-3</v>
      </c>
      <c r="BY85" s="21">
        <f t="shared" ca="1" si="93"/>
        <v>3.962021569754481E-3</v>
      </c>
      <c r="BZ85" s="21">
        <f t="shared" ca="1" si="93"/>
        <v>3.9844428540892927E-3</v>
      </c>
      <c r="CA85" s="21">
        <f t="shared" ca="1" si="93"/>
        <v>4.2668165694833048E-3</v>
      </c>
      <c r="CB85" s="21">
        <f t="shared" ca="1" si="93"/>
        <v>4.17764317777072E-3</v>
      </c>
      <c r="CC85" s="21">
        <f t="shared" ca="1" si="93"/>
        <v>3.7698759158944122E-3</v>
      </c>
      <c r="CD85" s="21">
        <f t="shared" ca="1" si="93"/>
        <v>2.9926408351597508E-3</v>
      </c>
      <c r="CE85" s="21">
        <f t="shared" ca="1" si="93"/>
        <v>3.0987495436972535E-3</v>
      </c>
      <c r="CF85" s="21">
        <f t="shared" ca="1" si="93"/>
        <v>3.0216233667607465E-3</v>
      </c>
      <c r="CG85" s="21">
        <f t="shared" ca="1" si="93"/>
        <v>2.3936098501103594E-3</v>
      </c>
      <c r="CH85" s="21">
        <f t="shared" ca="1" si="93"/>
        <v>2.4576599223624773E-3</v>
      </c>
      <c r="CI85" s="21">
        <f t="shared" ca="1" si="93"/>
        <v>2.0072279332579235E-3</v>
      </c>
      <c r="CJ85" s="21">
        <f t="shared" ca="1" si="93"/>
        <v>1.8062644068265151E-3</v>
      </c>
      <c r="CK85" s="21">
        <f t="shared" ca="1" si="93"/>
        <v>2.846456428166398E-3</v>
      </c>
      <c r="CL85" s="21">
        <f t="shared" ca="1" si="93"/>
        <v>2.8484820829146021E-3</v>
      </c>
      <c r="CM85" s="21">
        <f t="shared" ref="CM85:EX85" ca="1" si="94">IF(CM5="","",AVERAGE(CI59:CL59)+CONFIDENCE(0.05,STDEV(BN59:CL59),COUNT(BN59:CL59)))</f>
        <v>2.9971364548596132E-3</v>
      </c>
      <c r="CN85" s="21">
        <f t="shared" ca="1" si="94"/>
        <v>3.5486733529275006E-3</v>
      </c>
      <c r="CO85" s="21">
        <f t="shared" ca="1" si="94"/>
        <v>2.5169832035421571E-3</v>
      </c>
      <c r="CP85" s="21">
        <f t="shared" ca="1" si="94"/>
        <v>2.272721017188401E-3</v>
      </c>
      <c r="CQ85" s="21">
        <f t="shared" ca="1" si="94"/>
        <v>1.5724190002281645E-3</v>
      </c>
      <c r="CR85" s="21">
        <f t="shared" ca="1" si="94"/>
        <v>1.1187163116199649E-3</v>
      </c>
      <c r="CS85" s="21">
        <f t="shared" ca="1" si="94"/>
        <v>2.6126745058730619E-3</v>
      </c>
      <c r="CT85" s="21">
        <f t="shared" ca="1" si="94"/>
        <v>2.7930141380090446E-3</v>
      </c>
      <c r="CU85" s="21">
        <f t="shared" ca="1" si="94"/>
        <v>3.0148875634999619E-3</v>
      </c>
      <c r="CV85" s="21">
        <f t="shared" ca="1" si="94"/>
        <v>4.2001738686627413E-3</v>
      </c>
      <c r="CW85" s="21">
        <f t="shared" ca="1" si="94"/>
        <v>3.0088244983494743E-3</v>
      </c>
      <c r="CX85" s="21">
        <f t="shared" ca="1" si="94"/>
        <v>2.960976939894026E-3</v>
      </c>
      <c r="CY85" s="21">
        <f t="shared" ca="1" si="94"/>
        <v>2.7124605358954095E-3</v>
      </c>
      <c r="CZ85" s="21">
        <f t="shared" ca="1" si="94"/>
        <v>1.6576007214566492E-3</v>
      </c>
      <c r="DA85" s="21">
        <f t="shared" ca="1" si="94"/>
        <v>2.010793427749573E-3</v>
      </c>
      <c r="DB85" s="21">
        <f t="shared" ca="1" si="94"/>
        <v>2.5508727762056744E-3</v>
      </c>
      <c r="DC85" s="21">
        <f t="shared" ca="1" si="94"/>
        <v>2.7795844613738032E-3</v>
      </c>
      <c r="DD85" s="21">
        <f t="shared" ca="1" si="94"/>
        <v>2.6154623397709967E-3</v>
      </c>
      <c r="DE85" s="21">
        <f t="shared" ca="1" si="94"/>
        <v>1.9917175245221016E-3</v>
      </c>
      <c r="DF85" s="21">
        <f t="shared" ca="1" si="94"/>
        <v>1.4954506048427169E-3</v>
      </c>
      <c r="DG85" s="21">
        <f t="shared" ca="1" si="94"/>
        <v>1.78936796526703E-3</v>
      </c>
      <c r="DH85" s="21">
        <f t="shared" ca="1" si="94"/>
        <v>1.8540390829480976E-3</v>
      </c>
      <c r="DI85" s="21">
        <f t="shared" ca="1" si="94"/>
        <v>3.4895318376699591E-3</v>
      </c>
      <c r="DJ85" s="21">
        <f t="shared" ca="1" si="94"/>
        <v>5.2191725763105516E-3</v>
      </c>
      <c r="DK85" s="21">
        <f t="shared" ca="1" si="94"/>
        <v>5.4996329950259114E-3</v>
      </c>
      <c r="DL85" s="21">
        <f t="shared" ca="1" si="94"/>
        <v>5.1658989803744539E-3</v>
      </c>
      <c r="DM85" s="21">
        <f t="shared" ca="1" si="94"/>
        <v>4.3162445799112357E-3</v>
      </c>
      <c r="DN85" s="21">
        <f t="shared" ca="1" si="94"/>
        <v>3.2137833692704428E-3</v>
      </c>
      <c r="DO85" s="21">
        <f t="shared" ca="1" si="94"/>
        <v>4.0801879052835893E-3</v>
      </c>
      <c r="DP85" s="21">
        <f t="shared" ca="1" si="94"/>
        <v>5.6851342999374201E-3</v>
      </c>
      <c r="DQ85" s="21">
        <f t="shared" ca="1" si="94"/>
        <v>5.9111871277420644E-3</v>
      </c>
      <c r="DR85" s="21">
        <f t="shared" ca="1" si="94"/>
        <v>5.1611002699180914E-3</v>
      </c>
      <c r="DS85" s="21">
        <f t="shared" ca="1" si="94"/>
        <v>4.0280884720776348E-3</v>
      </c>
      <c r="DT85" s="21">
        <f t="shared" ca="1" si="94"/>
        <v>3.7766352534837717E-3</v>
      </c>
      <c r="DU85" s="21">
        <f t="shared" ca="1" si="94"/>
        <v>3.9580657015556905E-3</v>
      </c>
      <c r="DV85" s="21">
        <f t="shared" ca="1" si="94"/>
        <v>4.6656700695489085E-3</v>
      </c>
      <c r="DW85" s="21">
        <f t="shared" ca="1" si="94"/>
        <v>4.7666720303410001E-3</v>
      </c>
      <c r="DX85" s="21">
        <f t="shared" ca="1" si="94"/>
        <v>4.6871259244794508E-3</v>
      </c>
      <c r="DY85" s="21">
        <f t="shared" ca="1" si="94"/>
        <v>4.4325108197485596E-3</v>
      </c>
      <c r="DZ85" s="21">
        <f t="shared" ca="1" si="94"/>
        <v>3.8619242968651562E-3</v>
      </c>
      <c r="EA85" s="21">
        <f t="shared" ca="1" si="94"/>
        <v>3.8346677282928791E-3</v>
      </c>
      <c r="EB85" s="21">
        <f t="shared" ca="1" si="94"/>
        <v>2.9287430176388064E-3</v>
      </c>
      <c r="EC85" s="21">
        <f t="shared" ca="1" si="94"/>
        <v>2.6325662839138844E-3</v>
      </c>
      <c r="ED85" s="21">
        <f t="shared" ca="1" si="94"/>
        <v>2.5754901272677082E-3</v>
      </c>
      <c r="EE85" s="21">
        <f t="shared" ca="1" si="94"/>
        <v>2.1883708434498501E-3</v>
      </c>
      <c r="EF85" s="21">
        <f t="shared" ca="1" si="94"/>
        <v>2.6935548741900315E-3</v>
      </c>
      <c r="EG85" s="21">
        <f t="shared" ca="1" si="94"/>
        <v>2.7427375730960379E-3</v>
      </c>
      <c r="EH85" s="21">
        <f t="shared" ca="1" si="94"/>
        <v>2.6660673615235475E-3</v>
      </c>
      <c r="EI85" s="21">
        <f t="shared" ca="1" si="94"/>
        <v>3.3143511049601939E-3</v>
      </c>
      <c r="EJ85" s="21">
        <f t="shared" ca="1" si="94"/>
        <v>3.6709527124941317E-3</v>
      </c>
      <c r="EK85" s="21">
        <f t="shared" ca="1" si="94"/>
        <v>4.2355982453890252E-3</v>
      </c>
      <c r="EL85" s="21">
        <f t="shared" ca="1" si="94"/>
        <v>4.3802541888301599E-3</v>
      </c>
      <c r="EM85" s="21">
        <f t="shared" ca="1" si="94"/>
        <v>3.8537724456195088E-3</v>
      </c>
      <c r="EN85" s="21">
        <f t="shared" ca="1" si="94"/>
        <v>2.7760334489161853E-3</v>
      </c>
      <c r="EO85" s="21">
        <f t="shared" ca="1" si="94"/>
        <v>1.5989825325006717E-3</v>
      </c>
      <c r="EP85" s="21">
        <f t="shared" ca="1" si="94"/>
        <v>1.8603748061834489E-3</v>
      </c>
      <c r="EQ85" s="21">
        <f t="shared" ca="1" si="94"/>
        <v>1.5802639696988331E-3</v>
      </c>
      <c r="ER85" s="21">
        <f t="shared" ca="1" si="94"/>
        <v>2.8339116283058745E-3</v>
      </c>
      <c r="ES85" s="21">
        <f t="shared" ca="1" si="94"/>
        <v>2.7544064923724146E-3</v>
      </c>
      <c r="ET85" s="21">
        <f t="shared" ca="1" si="94"/>
        <v>2.8643545616898495E-3</v>
      </c>
      <c r="EU85" s="21">
        <f t="shared" ca="1" si="94"/>
        <v>2.8818905123185103E-3</v>
      </c>
      <c r="EV85" s="21">
        <f t="shared" ca="1" si="94"/>
        <v>2.0417068629029057E-3</v>
      </c>
      <c r="EW85" s="21">
        <f t="shared" ca="1" si="94"/>
        <v>2.5388988944690999E-3</v>
      </c>
      <c r="EX85" s="21">
        <f t="shared" ca="1" si="94"/>
        <v>2.3696810856296832E-3</v>
      </c>
      <c r="EY85" s="21">
        <f t="shared" ref="EY85:HJ85" ca="1" si="95">IF(EY5="","",AVERAGE(EU59:EX59)+CONFIDENCE(0.05,STDEV(DZ59:EX59),COUNT(DZ59:EX59)))</f>
        <v>2.6718431150075097E-3</v>
      </c>
      <c r="EZ85" s="21">
        <f t="shared" ca="1" si="95"/>
        <v>2.3490902494447971E-3</v>
      </c>
      <c r="FA85" s="21">
        <f t="shared" ca="1" si="95"/>
        <v>2.2676791602231263E-3</v>
      </c>
      <c r="FB85" s="21">
        <f t="shared" ca="1" si="95"/>
        <v>1.9113666625652282E-3</v>
      </c>
      <c r="FC85" s="21">
        <f t="shared" ca="1" si="95"/>
        <v>1.811038916631403E-3</v>
      </c>
      <c r="FD85" s="21">
        <f t="shared" ca="1" si="95"/>
        <v>2.7883391233527034E-3</v>
      </c>
      <c r="FE85" s="21">
        <f t="shared" ca="1" si="95"/>
        <v>2.354723787561238E-3</v>
      </c>
      <c r="FF85" s="21">
        <f t="shared" ca="1" si="95"/>
        <v>2.3564273308596755E-3</v>
      </c>
      <c r="FG85" s="21">
        <f t="shared" ca="1" si="95"/>
        <v>2.7887121202367924E-3</v>
      </c>
      <c r="FH85" s="21">
        <f t="shared" ca="1" si="95"/>
        <v>2.9062232397908463E-3</v>
      </c>
      <c r="FI85" s="21">
        <f t="shared" ca="1" si="95"/>
        <v>3.3661910381298688E-3</v>
      </c>
      <c r="FJ85" s="21">
        <f t="shared" ca="1" si="95"/>
        <v>4.0331875034802199E-3</v>
      </c>
      <c r="FK85" s="21">
        <f t="shared" ca="1" si="95"/>
        <v>3.7234110930235917E-3</v>
      </c>
      <c r="FL85" s="21">
        <f t="shared" ca="1" si="95"/>
        <v>3.3423750448988315E-3</v>
      </c>
      <c r="FM85" s="21">
        <f t="shared" ca="1" si="95"/>
        <v>3.4029791179675398E-3</v>
      </c>
      <c r="FN85" s="21">
        <f t="shared" ca="1" si="95"/>
        <v>4.3569111250784474E-3</v>
      </c>
      <c r="FO85" s="21">
        <f t="shared" ca="1" si="95"/>
        <v>7.3537415248358853E-3</v>
      </c>
      <c r="FP85" s="21">
        <f t="shared" ca="1" si="95"/>
        <v>9.336288483196481E-3</v>
      </c>
      <c r="FQ85" s="21">
        <f t="shared" ca="1" si="95"/>
        <v>8.8650464132064167E-3</v>
      </c>
      <c r="FR85" s="21">
        <f t="shared" ca="1" si="95"/>
        <v>8.2365515162682416E-3</v>
      </c>
      <c r="FS85" s="21">
        <f t="shared" ca="1" si="95"/>
        <v>5.5069941081867255E-3</v>
      </c>
      <c r="FT85" s="21">
        <f t="shared" ca="1" si="95"/>
        <v>3.4036169631308823E-3</v>
      </c>
      <c r="FU85" s="21">
        <f t="shared" ca="1" si="95"/>
        <v>3.7549694566552374E-3</v>
      </c>
      <c r="FV85" s="21">
        <f t="shared" ca="1" si="95"/>
        <v>2.8711220208747926E-3</v>
      </c>
      <c r="FW85" s="21">
        <f t="shared" ca="1" si="95"/>
        <v>3.1863152763859735E-3</v>
      </c>
      <c r="FX85" s="21">
        <f t="shared" ca="1" si="95"/>
        <v>2.7863678773226625E-3</v>
      </c>
      <c r="FY85" s="21">
        <f t="shared" ca="1" si="95"/>
        <v>3.0821764518669014E-3</v>
      </c>
      <c r="FZ85" s="21">
        <f t="shared" ca="1" si="95"/>
        <v>3.5732131081368398E-3</v>
      </c>
      <c r="GA85" s="21">
        <f t="shared" ca="1" si="95"/>
        <v>4.2647089582636237E-3</v>
      </c>
      <c r="GB85" s="21">
        <f t="shared" ca="1" si="95"/>
        <v>4.5783381986742623E-3</v>
      </c>
      <c r="GC85" s="21">
        <f t="shared" ca="1" si="95"/>
        <v>3.9845490396975452E-3</v>
      </c>
      <c r="GD85" s="21">
        <f t="shared" ca="1" si="95"/>
        <v>3.4483207369063974E-3</v>
      </c>
      <c r="GE85" s="21">
        <f t="shared" ca="1" si="95"/>
        <v>2.2477570825369798E-3</v>
      </c>
      <c r="GF85" s="21">
        <f t="shared" ca="1" si="95"/>
        <v>1.7486687363941977E-3</v>
      </c>
      <c r="GG85" s="21">
        <f t="shared" ca="1" si="95"/>
        <v>1.7897919980652943E-3</v>
      </c>
      <c r="GH85" s="21">
        <f t="shared" ca="1" si="95"/>
        <v>2.2672532692514097E-3</v>
      </c>
      <c r="GI85" s="21">
        <f t="shared" ca="1" si="95"/>
        <v>2.9802021070470695E-3</v>
      </c>
      <c r="GJ85" s="21">
        <f t="shared" ca="1" si="95"/>
        <v>3.1605723369393431E-3</v>
      </c>
      <c r="GK85" s="21">
        <f t="shared" ca="1" si="95"/>
        <v>3.1413027091803597E-3</v>
      </c>
      <c r="GL85" s="21">
        <f t="shared" ca="1" si="95"/>
        <v>2.8676872814287556E-3</v>
      </c>
      <c r="GM85" s="21">
        <f t="shared" ca="1" si="95"/>
        <v>3.3620238633020041E-3</v>
      </c>
      <c r="GN85" s="21">
        <f t="shared" ca="1" si="95"/>
        <v>9.4916789968446276E-3</v>
      </c>
      <c r="GO85" s="21">
        <f t="shared" ca="1" si="95"/>
        <v>1.5894618678333861E-2</v>
      </c>
      <c r="GP85" s="21">
        <f t="shared" ca="1" si="95"/>
        <v>1.8165222265290767E-2</v>
      </c>
      <c r="GQ85" s="21">
        <f t="shared" ca="1" si="95"/>
        <v>2.1372721154045423E-2</v>
      </c>
      <c r="GR85" s="21">
        <f t="shared" ca="1" si="95"/>
        <v>2.1345007736999041E-2</v>
      </c>
      <c r="GS85" s="21">
        <f t="shared" ca="1" si="95"/>
        <v>1.8653633147801246E-2</v>
      </c>
      <c r="GT85" s="21">
        <f t="shared" ca="1" si="95"/>
        <v>1.7234969993225283E-2</v>
      </c>
      <c r="GU85" s="21">
        <f t="shared" ca="1" si="95"/>
        <v>1.4161729035425128E-2</v>
      </c>
      <c r="GV85" s="21">
        <f t="shared" ca="1" si="95"/>
        <v>9.4336652091290066E-3</v>
      </c>
      <c r="GW85" s="21">
        <f t="shared" ca="1" si="95"/>
        <v>6.9733995057484378E-3</v>
      </c>
      <c r="GX85" s="21">
        <f t="shared" ca="1" si="95"/>
        <v>7.0146147008904747E-3</v>
      </c>
      <c r="GY85" s="21">
        <f t="shared" ca="1" si="95"/>
        <v>6.3026724612059264E-3</v>
      </c>
      <c r="GZ85" s="21">
        <f t="shared" ca="1" si="95"/>
        <v>6.9981591551715686E-3</v>
      </c>
      <c r="HA85" s="21" t="str">
        <f t="shared" si="95"/>
        <v/>
      </c>
      <c r="HB85" s="21" t="str">
        <f t="shared" si="95"/>
        <v/>
      </c>
      <c r="HC85" s="21" t="str">
        <f t="shared" si="95"/>
        <v/>
      </c>
      <c r="HD85" s="21" t="str">
        <f t="shared" si="95"/>
        <v/>
      </c>
      <c r="HE85" s="21" t="str">
        <f t="shared" si="95"/>
        <v/>
      </c>
      <c r="HF85" s="21" t="str">
        <f t="shared" si="95"/>
        <v/>
      </c>
      <c r="HG85" s="21" t="str">
        <f t="shared" si="95"/>
        <v/>
      </c>
      <c r="HH85" s="21" t="str">
        <f t="shared" si="95"/>
        <v/>
      </c>
      <c r="HI85" s="21" t="str">
        <f t="shared" si="95"/>
        <v/>
      </c>
      <c r="HJ85" s="21" t="str">
        <f t="shared" si="95"/>
        <v/>
      </c>
      <c r="HK85" s="21" t="str">
        <f t="shared" ref="HK85:JH85" si="96">IF(HK5="","",AVERAGE(HG59:HJ59)+CONFIDENCE(0.05,STDEV(GL59:HJ59),COUNT(GL59:HJ59)))</f>
        <v/>
      </c>
      <c r="HL85" s="21" t="str">
        <f t="shared" si="96"/>
        <v/>
      </c>
      <c r="HM85" s="21" t="str">
        <f t="shared" si="96"/>
        <v/>
      </c>
      <c r="HN85" s="21" t="str">
        <f t="shared" si="96"/>
        <v/>
      </c>
      <c r="HO85" s="21" t="str">
        <f t="shared" si="96"/>
        <v/>
      </c>
      <c r="HP85" s="21" t="str">
        <f t="shared" si="96"/>
        <v/>
      </c>
      <c r="HQ85" s="21" t="str">
        <f t="shared" si="96"/>
        <v/>
      </c>
      <c r="HR85" s="21" t="str">
        <f t="shared" si="96"/>
        <v/>
      </c>
      <c r="HS85" s="21" t="str">
        <f t="shared" si="96"/>
        <v/>
      </c>
      <c r="HT85" s="21" t="str">
        <f t="shared" si="96"/>
        <v/>
      </c>
      <c r="HU85" s="21" t="str">
        <f t="shared" si="96"/>
        <v/>
      </c>
      <c r="HV85" s="21" t="str">
        <f t="shared" si="96"/>
        <v/>
      </c>
      <c r="HW85" s="21" t="str">
        <f t="shared" si="96"/>
        <v/>
      </c>
      <c r="HX85" s="21" t="str">
        <f t="shared" si="96"/>
        <v/>
      </c>
      <c r="HY85" s="21" t="str">
        <f t="shared" si="96"/>
        <v/>
      </c>
      <c r="HZ85" s="21" t="str">
        <f t="shared" si="96"/>
        <v/>
      </c>
      <c r="IA85" s="21" t="str">
        <f t="shared" si="96"/>
        <v/>
      </c>
      <c r="IB85" s="21" t="str">
        <f t="shared" si="96"/>
        <v/>
      </c>
      <c r="IC85" s="21" t="str">
        <f t="shared" si="96"/>
        <v/>
      </c>
      <c r="ID85" s="21" t="str">
        <f t="shared" si="96"/>
        <v/>
      </c>
      <c r="IE85" s="21" t="str">
        <f t="shared" si="96"/>
        <v/>
      </c>
      <c r="IF85" s="21" t="str">
        <f t="shared" si="96"/>
        <v/>
      </c>
      <c r="IG85" s="21" t="str">
        <f t="shared" si="96"/>
        <v/>
      </c>
      <c r="IH85" s="21" t="str">
        <f t="shared" si="96"/>
        <v/>
      </c>
      <c r="II85" s="21" t="str">
        <f t="shared" si="96"/>
        <v/>
      </c>
      <c r="IJ85" s="21" t="str">
        <f t="shared" si="96"/>
        <v/>
      </c>
      <c r="IK85" s="21" t="str">
        <f t="shared" si="96"/>
        <v/>
      </c>
      <c r="IL85" s="21" t="str">
        <f t="shared" si="96"/>
        <v/>
      </c>
      <c r="IM85" s="21" t="str">
        <f t="shared" si="96"/>
        <v/>
      </c>
      <c r="IN85" s="21" t="str">
        <f t="shared" si="96"/>
        <v/>
      </c>
      <c r="IO85" s="21" t="str">
        <f t="shared" si="96"/>
        <v/>
      </c>
      <c r="IP85" s="21" t="str">
        <f t="shared" si="96"/>
        <v/>
      </c>
      <c r="IQ85" s="21" t="str">
        <f t="shared" si="96"/>
        <v/>
      </c>
      <c r="IR85" s="21" t="str">
        <f t="shared" si="96"/>
        <v/>
      </c>
      <c r="IS85" s="21" t="str">
        <f t="shared" si="96"/>
        <v/>
      </c>
      <c r="IT85" s="21" t="str">
        <f t="shared" si="96"/>
        <v/>
      </c>
      <c r="IU85" s="21" t="str">
        <f t="shared" si="96"/>
        <v/>
      </c>
      <c r="IV85" s="21" t="str">
        <f t="shared" si="96"/>
        <v/>
      </c>
      <c r="IW85" s="21" t="str">
        <f t="shared" si="96"/>
        <v/>
      </c>
      <c r="IX85" s="21" t="str">
        <f t="shared" si="96"/>
        <v/>
      </c>
      <c r="IY85" s="21" t="str">
        <f t="shared" si="96"/>
        <v/>
      </c>
      <c r="IZ85" s="21" t="str">
        <f t="shared" si="96"/>
        <v/>
      </c>
      <c r="JA85" s="21" t="str">
        <f t="shared" si="96"/>
        <v/>
      </c>
      <c r="JB85" s="21" t="str">
        <f t="shared" si="96"/>
        <v/>
      </c>
      <c r="JC85" s="21" t="str">
        <f t="shared" si="96"/>
        <v/>
      </c>
      <c r="JD85" s="21" t="str">
        <f t="shared" si="96"/>
        <v/>
      </c>
      <c r="JE85" s="21" t="str">
        <f t="shared" si="96"/>
        <v/>
      </c>
      <c r="JF85" s="21" t="str">
        <f t="shared" si="96"/>
        <v/>
      </c>
      <c r="JG85" s="21" t="str">
        <f t="shared" si="96"/>
        <v/>
      </c>
      <c r="JH85" s="21" t="str">
        <f t="shared" si="96"/>
        <v/>
      </c>
    </row>
    <row r="86" spans="1:336" x14ac:dyDescent="0.25"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>
        <f t="shared" ref="AA86:CL86" ca="1" si="97">IF(AA6="","",AVERAGE(V60:Z60)+CONFIDENCE(0.05,STDEV(B60:Z60),COUNT(B60:Z60)))</f>
        <v>1.4803583524751625E-3</v>
      </c>
      <c r="AB86" s="21">
        <f t="shared" ca="1" si="97"/>
        <v>1.2608347261293628E-3</v>
      </c>
      <c r="AC86" s="21">
        <f t="shared" ca="1" si="97"/>
        <v>1.3846587853972398E-3</v>
      </c>
      <c r="AD86" s="21">
        <f t="shared" ca="1" si="97"/>
        <v>1.2890733263175875E-3</v>
      </c>
      <c r="AE86" s="21">
        <f t="shared" ca="1" si="97"/>
        <v>1.2019260828469924E-3</v>
      </c>
      <c r="AF86" s="21">
        <f t="shared" ca="1" si="97"/>
        <v>1.1090324071635672E-3</v>
      </c>
      <c r="AG86" s="21">
        <f t="shared" ca="1" si="97"/>
        <v>1.1256455940910912E-3</v>
      </c>
      <c r="AH86" s="21">
        <f t="shared" ca="1" si="97"/>
        <v>1.2410639500931211E-3</v>
      </c>
      <c r="AI86" s="21">
        <f t="shared" ca="1" si="97"/>
        <v>1.9455904598522007E-3</v>
      </c>
      <c r="AJ86" s="21">
        <f t="shared" ca="1" si="97"/>
        <v>2.4776020408983721E-3</v>
      </c>
      <c r="AK86" s="21">
        <f t="shared" ca="1" si="97"/>
        <v>2.7566658492438343E-3</v>
      </c>
      <c r="AL86" s="21">
        <f t="shared" ca="1" si="97"/>
        <v>3.3690825101397566E-3</v>
      </c>
      <c r="AM86" s="21">
        <f t="shared" ca="1" si="97"/>
        <v>3.6188836634358122E-3</v>
      </c>
      <c r="AN86" s="21">
        <f t="shared" ca="1" si="97"/>
        <v>3.2800244398851906E-3</v>
      </c>
      <c r="AO86" s="21">
        <f t="shared" ca="1" si="97"/>
        <v>2.9578547204545127E-3</v>
      </c>
      <c r="AP86" s="21">
        <f t="shared" ca="1" si="97"/>
        <v>2.5553400024035575E-3</v>
      </c>
      <c r="AQ86" s="21">
        <f t="shared" ca="1" si="97"/>
        <v>1.8555389809116814E-3</v>
      </c>
      <c r="AR86" s="21">
        <f t="shared" ca="1" si="97"/>
        <v>1.2695312669043991E-3</v>
      </c>
      <c r="AS86" s="21">
        <f t="shared" ca="1" si="97"/>
        <v>9.446369418246094E-4</v>
      </c>
      <c r="AT86" s="21">
        <f t="shared" ca="1" si="97"/>
        <v>1.0242534293209492E-3</v>
      </c>
      <c r="AU86" s="21">
        <f t="shared" ca="1" si="97"/>
        <v>9.6142755813262014E-4</v>
      </c>
      <c r="AV86" s="21">
        <f t="shared" ca="1" si="97"/>
        <v>1.6795772248723319E-3</v>
      </c>
      <c r="AW86" s="21">
        <f t="shared" ca="1" si="97"/>
        <v>3.0225181070592192E-3</v>
      </c>
      <c r="AX86" s="21">
        <f t="shared" ca="1" si="97"/>
        <v>4.4028642479807681E-3</v>
      </c>
      <c r="AY86" s="21">
        <f t="shared" ca="1" si="97"/>
        <v>5.8999687610731275E-3</v>
      </c>
      <c r="AZ86" s="21">
        <f t="shared" ca="1" si="97"/>
        <v>8.5166889657535064E-3</v>
      </c>
      <c r="BA86" s="21">
        <f t="shared" ca="1" si="97"/>
        <v>1.077891961716842E-2</v>
      </c>
      <c r="BB86" s="21">
        <f t="shared" ca="1" si="97"/>
        <v>1.2113738395418027E-2</v>
      </c>
      <c r="BC86" s="21">
        <f t="shared" ca="1" si="97"/>
        <v>1.2790879726189353E-2</v>
      </c>
      <c r="BD86" s="21">
        <f t="shared" ca="1" si="97"/>
        <v>1.1225384555113582E-2</v>
      </c>
      <c r="BE86" s="21">
        <f t="shared" ca="1" si="97"/>
        <v>9.9163007001488186E-3</v>
      </c>
      <c r="BF86" s="21">
        <f t="shared" ca="1" si="97"/>
        <v>8.2558860556463456E-3</v>
      </c>
      <c r="BG86" s="21">
        <f t="shared" ca="1" si="97"/>
        <v>6.7098810998985235E-3</v>
      </c>
      <c r="BH86" s="21">
        <f t="shared" ca="1" si="97"/>
        <v>7.3097145901335897E-3</v>
      </c>
      <c r="BI86" s="21">
        <f t="shared" ca="1" si="97"/>
        <v>9.6787476230698402E-3</v>
      </c>
      <c r="BJ86" s="21">
        <f t="shared" ca="1" si="97"/>
        <v>1.0755303754768148E-2</v>
      </c>
      <c r="BK86" s="21">
        <f t="shared" ca="1" si="97"/>
        <v>1.2027876586321835E-2</v>
      </c>
      <c r="BL86" s="21">
        <f t="shared" ca="1" si="97"/>
        <v>1.1484005808596504E-2</v>
      </c>
      <c r="BM86" s="21">
        <f t="shared" ca="1" si="97"/>
        <v>1.1357311612232484E-2</v>
      </c>
      <c r="BN86" s="21">
        <f t="shared" ca="1" si="97"/>
        <v>1.1259305762621012E-2</v>
      </c>
      <c r="BO86" s="21">
        <f t="shared" ca="1" si="97"/>
        <v>1.06994467733464E-2</v>
      </c>
      <c r="BP86" s="21">
        <f t="shared" ca="1" si="97"/>
        <v>9.7994083700947837E-3</v>
      </c>
      <c r="BQ86" s="21">
        <f t="shared" ca="1" si="97"/>
        <v>1.053067111467733E-2</v>
      </c>
      <c r="BR86" s="21">
        <f t="shared" ca="1" si="97"/>
        <v>9.6990422477948764E-3</v>
      </c>
      <c r="BS86" s="21">
        <f t="shared" ca="1" si="97"/>
        <v>8.2070492292304828E-3</v>
      </c>
      <c r="BT86" s="21">
        <f t="shared" ca="1" si="97"/>
        <v>6.6563639691386844E-3</v>
      </c>
      <c r="BU86" s="21">
        <f t="shared" ca="1" si="97"/>
        <v>5.8907799835578546E-3</v>
      </c>
      <c r="BV86" s="21">
        <f t="shared" ca="1" si="97"/>
        <v>5.6495783344492094E-3</v>
      </c>
      <c r="BW86" s="21">
        <f t="shared" ca="1" si="97"/>
        <v>4.6945483243249E-3</v>
      </c>
      <c r="BX86" s="21">
        <f t="shared" ca="1" si="97"/>
        <v>4.2157611260844096E-3</v>
      </c>
      <c r="BY86" s="21">
        <f t="shared" ca="1" si="97"/>
        <v>5.2912311091881138E-3</v>
      </c>
      <c r="BZ86" s="21">
        <f t="shared" ca="1" si="97"/>
        <v>5.3777606324844143E-3</v>
      </c>
      <c r="CA86" s="21">
        <f t="shared" ca="1" si="97"/>
        <v>4.7315928437504356E-3</v>
      </c>
      <c r="CB86" s="21">
        <f t="shared" ca="1" si="97"/>
        <v>4.5205859084917191E-3</v>
      </c>
      <c r="CC86" s="21">
        <f t="shared" ca="1" si="97"/>
        <v>4.6143196086204348E-3</v>
      </c>
      <c r="CD86" s="21">
        <f t="shared" ca="1" si="97"/>
        <v>3.5784638276359377E-3</v>
      </c>
      <c r="CE86" s="21">
        <f t="shared" ca="1" si="97"/>
        <v>3.4885288935542387E-3</v>
      </c>
      <c r="CF86" s="21">
        <f t="shared" ca="1" si="97"/>
        <v>3.6773405043102805E-3</v>
      </c>
      <c r="CG86" s="21">
        <f t="shared" ca="1" si="97"/>
        <v>3.4323587094610463E-3</v>
      </c>
      <c r="CH86" s="21">
        <f t="shared" ca="1" si="97"/>
        <v>2.951594081073425E-3</v>
      </c>
      <c r="CI86" s="21">
        <f t="shared" ca="1" si="97"/>
        <v>3.4670584932740018E-3</v>
      </c>
      <c r="CJ86" s="21">
        <f t="shared" ca="1" si="97"/>
        <v>2.9272015258081968E-3</v>
      </c>
      <c r="CK86" s="21">
        <f t="shared" ca="1" si="97"/>
        <v>3.4023449163236366E-3</v>
      </c>
      <c r="CL86" s="21">
        <f t="shared" ca="1" si="97"/>
        <v>3.2743299889685966E-3</v>
      </c>
      <c r="CM86" s="21">
        <f t="shared" ref="CM86:EX86" ca="1" si="98">IF(CM6="","",AVERAGE(CH60:CL60)+CONFIDENCE(0.05,STDEV(BN60:CL60),COUNT(BN60:CL60)))</f>
        <v>4.0135983549397323E-3</v>
      </c>
      <c r="CN86" s="21">
        <f t="shared" ca="1" si="98"/>
        <v>4.1234943320679228E-3</v>
      </c>
      <c r="CO86" s="21">
        <f t="shared" ca="1" si="98"/>
        <v>3.8356799474953147E-3</v>
      </c>
      <c r="CP86" s="21">
        <f t="shared" ca="1" si="98"/>
        <v>3.0291533613552076E-3</v>
      </c>
      <c r="CQ86" s="21">
        <f t="shared" ca="1" si="98"/>
        <v>2.7984081209197777E-3</v>
      </c>
      <c r="CR86" s="21">
        <f t="shared" ca="1" si="98"/>
        <v>3.3570367789147442E-3</v>
      </c>
      <c r="CS86" s="21">
        <f t="shared" ca="1" si="98"/>
        <v>3.0911634165801767E-3</v>
      </c>
      <c r="CT86" s="21">
        <f t="shared" ca="1" si="98"/>
        <v>3.1298282614499796E-3</v>
      </c>
      <c r="CU86" s="21">
        <f t="shared" ca="1" si="98"/>
        <v>3.1074048276491812E-3</v>
      </c>
      <c r="CV86" s="21">
        <f t="shared" ca="1" si="98"/>
        <v>4.9015244971174019E-3</v>
      </c>
      <c r="CW86" s="21">
        <f t="shared" ca="1" si="98"/>
        <v>3.7900637164460316E-3</v>
      </c>
      <c r="CX86" s="21">
        <f t="shared" ca="1" si="98"/>
        <v>3.3601412582839078E-3</v>
      </c>
      <c r="CY86" s="21">
        <f t="shared" ca="1" si="98"/>
        <v>3.5695174405170269E-3</v>
      </c>
      <c r="CZ86" s="21">
        <f t="shared" ca="1" si="98"/>
        <v>4.0075486189429486E-3</v>
      </c>
      <c r="DA86" s="21">
        <f t="shared" ca="1" si="98"/>
        <v>2.9522712592266196E-3</v>
      </c>
      <c r="DB86" s="21">
        <f t="shared" ca="1" si="98"/>
        <v>3.421591334534371E-3</v>
      </c>
      <c r="DC86" s="21">
        <f t="shared" ca="1" si="98"/>
        <v>3.7004405418457655E-3</v>
      </c>
      <c r="DD86" s="21">
        <f t="shared" ca="1" si="98"/>
        <v>3.7377723396255398E-3</v>
      </c>
      <c r="DE86" s="21">
        <f t="shared" ca="1" si="98"/>
        <v>3.3400281654726843E-3</v>
      </c>
      <c r="DF86" s="21">
        <f t="shared" ca="1" si="98"/>
        <v>3.1866989650550844E-3</v>
      </c>
      <c r="DG86" s="21">
        <f t="shared" ca="1" si="98"/>
        <v>2.4661405844707187E-3</v>
      </c>
      <c r="DH86" s="21">
        <f t="shared" ca="1" si="98"/>
        <v>2.7022382309107433E-3</v>
      </c>
      <c r="DI86" s="21">
        <f t="shared" ca="1" si="98"/>
        <v>4.4309501817526176E-3</v>
      </c>
      <c r="DJ86" s="21">
        <f t="shared" ca="1" si="98"/>
        <v>6.5172840057486307E-3</v>
      </c>
      <c r="DK86" s="21">
        <f t="shared" ca="1" si="98"/>
        <v>6.3475095339344473E-3</v>
      </c>
      <c r="DL86" s="21">
        <f t="shared" ca="1" si="98"/>
        <v>6.3255237326353235E-3</v>
      </c>
      <c r="DM86" s="21">
        <f t="shared" ca="1" si="98"/>
        <v>6.0744910515717161E-3</v>
      </c>
      <c r="DN86" s="21">
        <f t="shared" ca="1" si="98"/>
        <v>4.457109953923853E-3</v>
      </c>
      <c r="DO86" s="21">
        <f t="shared" ca="1" si="98"/>
        <v>4.5196027058063519E-3</v>
      </c>
      <c r="DP86" s="21">
        <f t="shared" ca="1" si="98"/>
        <v>5.5243777316432291E-3</v>
      </c>
      <c r="DQ86" s="21">
        <f t="shared" ca="1" si="98"/>
        <v>6.5838314140877026E-3</v>
      </c>
      <c r="DR86" s="21">
        <f t="shared" ca="1" si="98"/>
        <v>6.4212560945687237E-3</v>
      </c>
      <c r="DS86" s="21">
        <f t="shared" ca="1" si="98"/>
        <v>6.2177630230866249E-3</v>
      </c>
      <c r="DT86" s="21">
        <f t="shared" ca="1" si="98"/>
        <v>5.7623441952783022E-3</v>
      </c>
      <c r="DU86" s="21">
        <f t="shared" ca="1" si="98"/>
        <v>5.4556489843553815E-3</v>
      </c>
      <c r="DV86" s="21">
        <f t="shared" ca="1" si="98"/>
        <v>4.7453760810164062E-3</v>
      </c>
      <c r="DW86" s="21">
        <f t="shared" ca="1" si="98"/>
        <v>5.4994499751030435E-3</v>
      </c>
      <c r="DX86" s="21">
        <f t="shared" ca="1" si="98"/>
        <v>6.7136557193320841E-3</v>
      </c>
      <c r="DY86" s="21">
        <f t="shared" ca="1" si="98"/>
        <v>5.9204249077842606E-3</v>
      </c>
      <c r="DZ86" s="21">
        <f t="shared" ca="1" si="98"/>
        <v>5.1642013799124394E-3</v>
      </c>
      <c r="EA86" s="21">
        <f t="shared" ca="1" si="98"/>
        <v>5.4452053553222784E-3</v>
      </c>
      <c r="EB86" s="21">
        <f t="shared" ca="1" si="98"/>
        <v>4.3932950861636051E-3</v>
      </c>
      <c r="EC86" s="21">
        <f t="shared" ca="1" si="98"/>
        <v>3.6301269276482005E-3</v>
      </c>
      <c r="ED86" s="21">
        <f t="shared" ca="1" si="98"/>
        <v>3.0612417086831696E-3</v>
      </c>
      <c r="EE86" s="21">
        <f t="shared" ca="1" si="98"/>
        <v>2.7851559203221684E-3</v>
      </c>
      <c r="EF86" s="21">
        <f t="shared" ca="1" si="98"/>
        <v>2.9406281981496727E-3</v>
      </c>
      <c r="EG86" s="21">
        <f t="shared" ca="1" si="98"/>
        <v>3.4531967112368259E-3</v>
      </c>
      <c r="EH86" s="21">
        <f t="shared" ca="1" si="98"/>
        <v>3.3265885057219349E-3</v>
      </c>
      <c r="EI86" s="21">
        <f t="shared" ca="1" si="98"/>
        <v>4.2728348234598174E-3</v>
      </c>
      <c r="EJ86" s="21">
        <f t="shared" ca="1" si="98"/>
        <v>5.4547783680603508E-3</v>
      </c>
      <c r="EK86" s="21">
        <f t="shared" ca="1" si="98"/>
        <v>5.7217047431470606E-3</v>
      </c>
      <c r="EL86" s="21">
        <f t="shared" ca="1" si="98"/>
        <v>5.322622234724606E-3</v>
      </c>
      <c r="EM86" s="21">
        <f t="shared" ca="1" si="98"/>
        <v>5.1306730776753276E-3</v>
      </c>
      <c r="EN86" s="21">
        <f t="shared" ca="1" si="98"/>
        <v>3.9794727943388781E-3</v>
      </c>
      <c r="EO86" s="21">
        <f t="shared" ca="1" si="98"/>
        <v>2.9995824124696424E-3</v>
      </c>
      <c r="EP86" s="21">
        <f t="shared" ca="1" si="98"/>
        <v>1.9017643534017868E-3</v>
      </c>
      <c r="EQ86" s="21">
        <f t="shared" ca="1" si="98"/>
        <v>1.9997629355198274E-3</v>
      </c>
      <c r="ER86" s="21">
        <f t="shared" ca="1" si="98"/>
        <v>3.0543407212189721E-3</v>
      </c>
      <c r="ES86" s="21">
        <f t="shared" ca="1" si="98"/>
        <v>2.8459018243491702E-3</v>
      </c>
      <c r="ET86" s="21">
        <f t="shared" ca="1" si="98"/>
        <v>3.3839169912328812E-3</v>
      </c>
      <c r="EU86" s="21">
        <f t="shared" ca="1" si="98"/>
        <v>3.7988269967215967E-3</v>
      </c>
      <c r="EV86" s="21">
        <f t="shared" ca="1" si="98"/>
        <v>4.1123530516443347E-3</v>
      </c>
      <c r="EW86" s="21">
        <f t="shared" ca="1" si="98"/>
        <v>3.055852057303873E-3</v>
      </c>
      <c r="EX86" s="21">
        <f t="shared" ca="1" si="98"/>
        <v>3.5015131955278733E-3</v>
      </c>
      <c r="EY86" s="21">
        <f t="shared" ref="EY86:HJ86" ca="1" si="99">IF(EY6="","",AVERAGE(ET60:EX60)+CONFIDENCE(0.05,STDEV(DZ60:EX60),COUNT(DZ60:EX60)))</f>
        <v>3.1208797846949232E-3</v>
      </c>
      <c r="EZ86" s="21">
        <f t="shared" ca="1" si="99"/>
        <v>2.6348670800200101E-3</v>
      </c>
      <c r="FA86" s="21">
        <f t="shared" ca="1" si="99"/>
        <v>2.2662130794514328E-3</v>
      </c>
      <c r="FB86" s="21">
        <f t="shared" ca="1" si="99"/>
        <v>2.0352213388486664E-3</v>
      </c>
      <c r="FC86" s="21">
        <f t="shared" ca="1" si="99"/>
        <v>2.0953343797676309E-3</v>
      </c>
      <c r="FD86" s="21">
        <f t="shared" ca="1" si="99"/>
        <v>2.917322971984361E-3</v>
      </c>
      <c r="FE86" s="21">
        <f t="shared" ca="1" si="99"/>
        <v>3.0259581786171818E-3</v>
      </c>
      <c r="FF86" s="21">
        <f t="shared" ca="1" si="99"/>
        <v>3.1534449619443549E-3</v>
      </c>
      <c r="FG86" s="21">
        <f t="shared" ca="1" si="99"/>
        <v>4.0746816583665255E-3</v>
      </c>
      <c r="FH86" s="21">
        <f t="shared" ca="1" si="99"/>
        <v>4.3855669312332663E-3</v>
      </c>
      <c r="FI86" s="21">
        <f t="shared" ca="1" si="99"/>
        <v>3.5440032785711917E-3</v>
      </c>
      <c r="FJ86" s="21">
        <f t="shared" ca="1" si="99"/>
        <v>3.8067044438621729E-3</v>
      </c>
      <c r="FK86" s="21">
        <f t="shared" ca="1" si="99"/>
        <v>3.6635787083668151E-3</v>
      </c>
      <c r="FL86" s="21">
        <f t="shared" ca="1" si="99"/>
        <v>3.2498604815481727E-3</v>
      </c>
      <c r="FM86" s="21">
        <f t="shared" ca="1" si="99"/>
        <v>2.6148883010081491E-3</v>
      </c>
      <c r="FN86" s="21">
        <f t="shared" ca="1" si="99"/>
        <v>4.2382382816247939E-3</v>
      </c>
      <c r="FO86" s="21">
        <f t="shared" ca="1" si="99"/>
        <v>7.0038893781475308E-3</v>
      </c>
      <c r="FP86" s="21">
        <f t="shared" ca="1" si="99"/>
        <v>9.4992153580803068E-3</v>
      </c>
      <c r="FQ86" s="21">
        <f t="shared" ca="1" si="99"/>
        <v>8.9546208676096369E-3</v>
      </c>
      <c r="FR86" s="21">
        <f t="shared" ca="1" si="99"/>
        <v>9.799813410954792E-3</v>
      </c>
      <c r="FS86" s="21">
        <f t="shared" ca="1" si="99"/>
        <v>8.8085144637951793E-3</v>
      </c>
      <c r="FT86" s="21">
        <f t="shared" ca="1" si="99"/>
        <v>6.3574965602814634E-3</v>
      </c>
      <c r="FU86" s="21">
        <f t="shared" ca="1" si="99"/>
        <v>4.1456184054509196E-3</v>
      </c>
      <c r="FV86" s="21">
        <f t="shared" ca="1" si="99"/>
        <v>4.1644974537410531E-3</v>
      </c>
      <c r="FW86" s="21">
        <f t="shared" ca="1" si="99"/>
        <v>3.765984430284829E-3</v>
      </c>
      <c r="FX86" s="21">
        <f t="shared" ca="1" si="99"/>
        <v>3.1900774479135174E-3</v>
      </c>
      <c r="FY86" s="21">
        <f t="shared" ca="1" si="99"/>
        <v>3.4330566963205163E-3</v>
      </c>
      <c r="FZ86" s="21">
        <f t="shared" ca="1" si="99"/>
        <v>3.7630627101232694E-3</v>
      </c>
      <c r="GA86" s="21">
        <f t="shared" ca="1" si="99"/>
        <v>5.0888744094784834E-3</v>
      </c>
      <c r="GB86" s="21">
        <f t="shared" ca="1" si="99"/>
        <v>4.871573069966122E-3</v>
      </c>
      <c r="GC86" s="21">
        <f t="shared" ca="1" si="99"/>
        <v>4.7640979715538583E-3</v>
      </c>
      <c r="GD86" s="21">
        <f t="shared" ca="1" si="99"/>
        <v>4.3072049591064135E-3</v>
      </c>
      <c r="GE86" s="21">
        <f t="shared" ca="1" si="99"/>
        <v>3.7949153108949728E-3</v>
      </c>
      <c r="GF86" s="21">
        <f t="shared" ca="1" si="99"/>
        <v>2.6874997390563759E-3</v>
      </c>
      <c r="GG86" s="21">
        <f t="shared" ca="1" si="99"/>
        <v>2.7222078197356855E-3</v>
      </c>
      <c r="GH86" s="21">
        <f t="shared" ca="1" si="99"/>
        <v>3.1113879035551961E-3</v>
      </c>
      <c r="GI86" s="21">
        <f t="shared" ca="1" si="99"/>
        <v>3.8363868787147353E-3</v>
      </c>
      <c r="GJ86" s="21">
        <f t="shared" ca="1" si="99"/>
        <v>3.8558066910725003E-3</v>
      </c>
      <c r="GK86" s="21">
        <f t="shared" ca="1" si="99"/>
        <v>3.8323622425579119E-3</v>
      </c>
      <c r="GL86" s="21">
        <f t="shared" ca="1" si="99"/>
        <v>4.7104953010199402E-3</v>
      </c>
      <c r="GM86" s="21">
        <f t="shared" ca="1" si="99"/>
        <v>9.3823130500167579E-3</v>
      </c>
      <c r="GN86" s="21">
        <f t="shared" ca="1" si="99"/>
        <v>1.3560128473180005E-2</v>
      </c>
      <c r="GO86" s="21">
        <f t="shared" ca="1" si="99"/>
        <v>1.7569940296251817E-2</v>
      </c>
      <c r="GP86" s="21">
        <f t="shared" ca="1" si="99"/>
        <v>1.7828045548255803E-2</v>
      </c>
      <c r="GQ86" s="21">
        <f t="shared" ca="1" si="99"/>
        <v>2.1255973693455953E-2</v>
      </c>
      <c r="GR86" s="21">
        <f t="shared" ca="1" si="99"/>
        <v>2.1562188525762378E-2</v>
      </c>
      <c r="GS86" s="21">
        <f t="shared" ca="1" si="99"/>
        <v>1.9831137935326926E-2</v>
      </c>
      <c r="GT86" s="21">
        <f t="shared" ca="1" si="99"/>
        <v>1.6740370315421423E-2</v>
      </c>
      <c r="GU86" s="21">
        <f t="shared" ca="1" si="99"/>
        <v>1.7343658097255878E-2</v>
      </c>
      <c r="GV86" s="21">
        <f t="shared" ca="1" si="99"/>
        <v>1.3233502289917268E-2</v>
      </c>
      <c r="GW86" s="21">
        <f t="shared" ca="1" si="99"/>
        <v>1.0047575008817922E-2</v>
      </c>
      <c r="GX86" s="21">
        <f t="shared" ca="1" si="99"/>
        <v>7.4958048065095753E-3</v>
      </c>
      <c r="GY86" s="21">
        <f t="shared" ca="1" si="99"/>
        <v>7.5681119589993597E-3</v>
      </c>
      <c r="GZ86" s="21">
        <f t="shared" ca="1" si="99"/>
        <v>5.7481391312678987E-3</v>
      </c>
      <c r="HA86" s="21" t="str">
        <f t="shared" si="99"/>
        <v/>
      </c>
      <c r="HB86" s="21" t="str">
        <f t="shared" si="99"/>
        <v/>
      </c>
      <c r="HC86" s="21" t="str">
        <f t="shared" si="99"/>
        <v/>
      </c>
      <c r="HD86" s="21" t="str">
        <f t="shared" si="99"/>
        <v/>
      </c>
      <c r="HE86" s="21" t="str">
        <f t="shared" si="99"/>
        <v/>
      </c>
      <c r="HF86" s="21" t="str">
        <f t="shared" si="99"/>
        <v/>
      </c>
      <c r="HG86" s="21" t="str">
        <f t="shared" si="99"/>
        <v/>
      </c>
      <c r="HH86" s="21" t="str">
        <f t="shared" si="99"/>
        <v/>
      </c>
      <c r="HI86" s="21" t="str">
        <f t="shared" si="99"/>
        <v/>
      </c>
      <c r="HJ86" s="21" t="str">
        <f t="shared" si="99"/>
        <v/>
      </c>
      <c r="HK86" s="21" t="str">
        <f t="shared" ref="HK86:JH86" si="100">IF(HK6="","",AVERAGE(HF60:HJ60)+CONFIDENCE(0.05,STDEV(GL60:HJ60),COUNT(GL60:HJ60)))</f>
        <v/>
      </c>
      <c r="HL86" s="21" t="str">
        <f t="shared" si="100"/>
        <v/>
      </c>
      <c r="HM86" s="21" t="str">
        <f t="shared" si="100"/>
        <v/>
      </c>
      <c r="HN86" s="21" t="str">
        <f t="shared" si="100"/>
        <v/>
      </c>
      <c r="HO86" s="21" t="str">
        <f t="shared" si="100"/>
        <v/>
      </c>
      <c r="HP86" s="21" t="str">
        <f t="shared" si="100"/>
        <v/>
      </c>
      <c r="HQ86" s="21" t="str">
        <f t="shared" si="100"/>
        <v/>
      </c>
      <c r="HR86" s="21" t="str">
        <f t="shared" si="100"/>
        <v/>
      </c>
      <c r="HS86" s="21" t="str">
        <f t="shared" si="100"/>
        <v/>
      </c>
      <c r="HT86" s="21" t="str">
        <f t="shared" si="100"/>
        <v/>
      </c>
      <c r="HU86" s="21" t="str">
        <f t="shared" si="100"/>
        <v/>
      </c>
      <c r="HV86" s="21" t="str">
        <f t="shared" si="100"/>
        <v/>
      </c>
      <c r="HW86" s="21" t="str">
        <f t="shared" si="100"/>
        <v/>
      </c>
      <c r="HX86" s="21" t="str">
        <f t="shared" si="100"/>
        <v/>
      </c>
      <c r="HY86" s="21" t="str">
        <f t="shared" si="100"/>
        <v/>
      </c>
      <c r="HZ86" s="21" t="str">
        <f t="shared" si="100"/>
        <v/>
      </c>
      <c r="IA86" s="21" t="str">
        <f t="shared" si="100"/>
        <v/>
      </c>
      <c r="IB86" s="21" t="str">
        <f t="shared" si="100"/>
        <v/>
      </c>
      <c r="IC86" s="21" t="str">
        <f t="shared" si="100"/>
        <v/>
      </c>
      <c r="ID86" s="21" t="str">
        <f t="shared" si="100"/>
        <v/>
      </c>
      <c r="IE86" s="21" t="str">
        <f t="shared" si="100"/>
        <v/>
      </c>
      <c r="IF86" s="21" t="str">
        <f t="shared" si="100"/>
        <v/>
      </c>
      <c r="IG86" s="21" t="str">
        <f t="shared" si="100"/>
        <v/>
      </c>
      <c r="IH86" s="21" t="str">
        <f t="shared" si="100"/>
        <v/>
      </c>
      <c r="II86" s="21" t="str">
        <f t="shared" si="100"/>
        <v/>
      </c>
      <c r="IJ86" s="21" t="str">
        <f t="shared" si="100"/>
        <v/>
      </c>
      <c r="IK86" s="21" t="str">
        <f t="shared" si="100"/>
        <v/>
      </c>
      <c r="IL86" s="21" t="str">
        <f t="shared" si="100"/>
        <v/>
      </c>
      <c r="IM86" s="21" t="str">
        <f t="shared" si="100"/>
        <v/>
      </c>
      <c r="IN86" s="21" t="str">
        <f t="shared" si="100"/>
        <v/>
      </c>
      <c r="IO86" s="21" t="str">
        <f t="shared" si="100"/>
        <v/>
      </c>
      <c r="IP86" s="21" t="str">
        <f t="shared" si="100"/>
        <v/>
      </c>
      <c r="IQ86" s="21" t="str">
        <f t="shared" si="100"/>
        <v/>
      </c>
      <c r="IR86" s="21" t="str">
        <f t="shared" si="100"/>
        <v/>
      </c>
      <c r="IS86" s="21" t="str">
        <f t="shared" si="100"/>
        <v/>
      </c>
      <c r="IT86" s="21" t="str">
        <f t="shared" si="100"/>
        <v/>
      </c>
      <c r="IU86" s="21" t="str">
        <f t="shared" si="100"/>
        <v/>
      </c>
      <c r="IV86" s="21" t="str">
        <f t="shared" si="100"/>
        <v/>
      </c>
      <c r="IW86" s="21" t="str">
        <f t="shared" si="100"/>
        <v/>
      </c>
      <c r="IX86" s="21" t="str">
        <f t="shared" si="100"/>
        <v/>
      </c>
      <c r="IY86" s="21" t="str">
        <f t="shared" si="100"/>
        <v/>
      </c>
      <c r="IZ86" s="21" t="str">
        <f t="shared" si="100"/>
        <v/>
      </c>
      <c r="JA86" s="21" t="str">
        <f t="shared" si="100"/>
        <v/>
      </c>
      <c r="JB86" s="21" t="str">
        <f t="shared" si="100"/>
        <v/>
      </c>
      <c r="JC86" s="21" t="str">
        <f t="shared" si="100"/>
        <v/>
      </c>
      <c r="JD86" s="21" t="str">
        <f t="shared" si="100"/>
        <v/>
      </c>
      <c r="JE86" s="21" t="str">
        <f t="shared" si="100"/>
        <v/>
      </c>
      <c r="JF86" s="21" t="str">
        <f t="shared" si="100"/>
        <v/>
      </c>
      <c r="JG86" s="21" t="str">
        <f t="shared" si="100"/>
        <v/>
      </c>
      <c r="JH86" s="21" t="str">
        <f t="shared" si="100"/>
        <v/>
      </c>
    </row>
    <row r="87" spans="1:336" x14ac:dyDescent="0.25"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>
        <f t="shared" ref="AA87:CL87" ca="1" si="101">IF(AA7="","",AVERAGE(U61:Z61)+CONFIDENCE(0.05,STDEV(B61:Z61),COUNT(B61:Z61)))</f>
        <v>1.5234774803048203E-3</v>
      </c>
      <c r="AB87" s="21">
        <f t="shared" ca="1" si="101"/>
        <v>1.5745294801543363E-3</v>
      </c>
      <c r="AC87" s="21">
        <f t="shared" ca="1" si="101"/>
        <v>1.5241617001482152E-3</v>
      </c>
      <c r="AD87" s="21">
        <f t="shared" ca="1" si="101"/>
        <v>1.4089894519185154E-3</v>
      </c>
      <c r="AE87" s="21">
        <f t="shared" ca="1" si="101"/>
        <v>1.3986222105202984E-3</v>
      </c>
      <c r="AF87" s="21">
        <f t="shared" ca="1" si="101"/>
        <v>1.2943412183834204E-3</v>
      </c>
      <c r="AG87" s="21">
        <f t="shared" ca="1" si="101"/>
        <v>1.2717479315545695E-3</v>
      </c>
      <c r="AH87" s="21">
        <f t="shared" ca="1" si="101"/>
        <v>1.5470141432572149E-3</v>
      </c>
      <c r="AI87" s="21">
        <f t="shared" ca="1" si="101"/>
        <v>2.1293149031888282E-3</v>
      </c>
      <c r="AJ87" s="21">
        <f t="shared" ca="1" si="101"/>
        <v>2.8517603484751702E-3</v>
      </c>
      <c r="AK87" s="21">
        <f t="shared" ca="1" si="101"/>
        <v>3.4353172324920744E-3</v>
      </c>
      <c r="AL87" s="21">
        <f t="shared" ca="1" si="101"/>
        <v>4.1083085296968183E-3</v>
      </c>
      <c r="AM87" s="21">
        <f t="shared" ca="1" si="101"/>
        <v>4.5229511947764839E-3</v>
      </c>
      <c r="AN87" s="21">
        <f t="shared" ca="1" si="101"/>
        <v>4.4577030295418468E-3</v>
      </c>
      <c r="AO87" s="21">
        <f t="shared" ca="1" si="101"/>
        <v>3.9094772740002875E-3</v>
      </c>
      <c r="AP87" s="21">
        <f t="shared" ca="1" si="101"/>
        <v>3.2507354456204904E-3</v>
      </c>
      <c r="AQ87" s="21">
        <f t="shared" ca="1" si="101"/>
        <v>2.693654950418426E-3</v>
      </c>
      <c r="AR87" s="21">
        <f t="shared" ca="1" si="101"/>
        <v>2.0737119360922239E-3</v>
      </c>
      <c r="AS87" s="21">
        <f t="shared" ca="1" si="101"/>
        <v>1.7141929600392137E-3</v>
      </c>
      <c r="AT87" s="21">
        <f t="shared" ca="1" si="101"/>
        <v>1.7489418021066211E-3</v>
      </c>
      <c r="AU87" s="21">
        <f t="shared" ca="1" si="101"/>
        <v>1.590750267227819E-3</v>
      </c>
      <c r="AV87" s="21">
        <f t="shared" ca="1" si="101"/>
        <v>2.626794233742325E-3</v>
      </c>
      <c r="AW87" s="21">
        <f t="shared" ca="1" si="101"/>
        <v>4.1541394396562752E-3</v>
      </c>
      <c r="AX87" s="21">
        <f t="shared" ca="1" si="101"/>
        <v>6.1123037426427697E-3</v>
      </c>
      <c r="AY87" s="21">
        <f t="shared" ca="1" si="101"/>
        <v>8.3733654842737329E-3</v>
      </c>
      <c r="AZ87" s="21">
        <f t="shared" ca="1" si="101"/>
        <v>1.0851350916189465E-2</v>
      </c>
      <c r="BA87" s="21">
        <f t="shared" ca="1" si="101"/>
        <v>1.3981732206661289E-2</v>
      </c>
      <c r="BB87" s="21">
        <f t="shared" ca="1" si="101"/>
        <v>1.5893494115601307E-2</v>
      </c>
      <c r="BC87" s="21">
        <f t="shared" ca="1" si="101"/>
        <v>1.6439007029434488E-2</v>
      </c>
      <c r="BD87" s="21">
        <f t="shared" ca="1" si="101"/>
        <v>1.5106387142999467E-2</v>
      </c>
      <c r="BE87" s="21">
        <f t="shared" ca="1" si="101"/>
        <v>1.424634756187694E-2</v>
      </c>
      <c r="BF87" s="21">
        <f t="shared" ca="1" si="101"/>
        <v>1.272534058425414E-2</v>
      </c>
      <c r="BG87" s="21">
        <f t="shared" ca="1" si="101"/>
        <v>1.1275938192797421E-2</v>
      </c>
      <c r="BH87" s="21">
        <f t="shared" ca="1" si="101"/>
        <v>1.1691057251683498E-2</v>
      </c>
      <c r="BI87" s="21">
        <f t="shared" ca="1" si="101"/>
        <v>1.228196155156407E-2</v>
      </c>
      <c r="BJ87" s="21">
        <f t="shared" ca="1" si="101"/>
        <v>1.3716308765130752E-2</v>
      </c>
      <c r="BK87" s="21">
        <f t="shared" ca="1" si="101"/>
        <v>1.4304239122439803E-2</v>
      </c>
      <c r="BL87" s="21">
        <f t="shared" ca="1" si="101"/>
        <v>1.4021749934143781E-2</v>
      </c>
      <c r="BM87" s="21">
        <f t="shared" ca="1" si="101"/>
        <v>1.5224575157982506E-2</v>
      </c>
      <c r="BN87" s="21">
        <f t="shared" ca="1" si="101"/>
        <v>1.502724943501319E-2</v>
      </c>
      <c r="BO87" s="21">
        <f t="shared" ca="1" si="101"/>
        <v>1.4644523068414397E-2</v>
      </c>
      <c r="BP87" s="21">
        <f t="shared" ca="1" si="101"/>
        <v>1.4065842732406887E-2</v>
      </c>
      <c r="BQ87" s="21">
        <f t="shared" ca="1" si="101"/>
        <v>1.3267842820582224E-2</v>
      </c>
      <c r="BR87" s="21">
        <f t="shared" ca="1" si="101"/>
        <v>1.4169362099372338E-2</v>
      </c>
      <c r="BS87" s="21">
        <f t="shared" ca="1" si="101"/>
        <v>1.2541155296143891E-2</v>
      </c>
      <c r="BT87" s="21">
        <f t="shared" ca="1" si="101"/>
        <v>9.9468360244030912E-3</v>
      </c>
      <c r="BU87" s="21">
        <f t="shared" ca="1" si="101"/>
        <v>8.5871399919641572E-3</v>
      </c>
      <c r="BV87" s="21">
        <f t="shared" ca="1" si="101"/>
        <v>8.1773589982400436E-3</v>
      </c>
      <c r="BW87" s="21">
        <f t="shared" ca="1" si="101"/>
        <v>7.7120667600789903E-3</v>
      </c>
      <c r="BX87" s="21">
        <f t="shared" ca="1" si="101"/>
        <v>6.1378136827329455E-3</v>
      </c>
      <c r="BY87" s="21">
        <f t="shared" ca="1" si="101"/>
        <v>6.1588567616040705E-3</v>
      </c>
      <c r="BZ87" s="21">
        <f t="shared" ca="1" si="101"/>
        <v>6.4888047697521335E-3</v>
      </c>
      <c r="CA87" s="21">
        <f t="shared" ca="1" si="101"/>
        <v>6.0214104985455456E-3</v>
      </c>
      <c r="CB87" s="21">
        <f t="shared" ca="1" si="101"/>
        <v>5.2462229440810651E-3</v>
      </c>
      <c r="CC87" s="21">
        <f t="shared" ca="1" si="101"/>
        <v>4.8588608342142866E-3</v>
      </c>
      <c r="CD87" s="21">
        <f t="shared" ca="1" si="101"/>
        <v>4.8592361990138066E-3</v>
      </c>
      <c r="CE87" s="21">
        <f t="shared" ca="1" si="101"/>
        <v>4.5546480537604853E-3</v>
      </c>
      <c r="CF87" s="21">
        <f t="shared" ca="1" si="101"/>
        <v>4.1767787409561921E-3</v>
      </c>
      <c r="CG87" s="21">
        <f t="shared" ca="1" si="101"/>
        <v>3.7597447990768904E-3</v>
      </c>
      <c r="CH87" s="21">
        <f t="shared" ca="1" si="101"/>
        <v>3.7055651770345191E-3</v>
      </c>
      <c r="CI87" s="21">
        <f t="shared" ca="1" si="101"/>
        <v>4.0827705055036436E-3</v>
      </c>
      <c r="CJ87" s="21">
        <f t="shared" ca="1" si="101"/>
        <v>4.1065082892727152E-3</v>
      </c>
      <c r="CK87" s="21">
        <f t="shared" ca="1" si="101"/>
        <v>3.9983583801938734E-3</v>
      </c>
      <c r="CL87" s="21">
        <f t="shared" ca="1" si="101"/>
        <v>4.3074474565746894E-3</v>
      </c>
      <c r="CM87" s="21">
        <f t="shared" ref="CM87:EX87" ca="1" si="102">IF(CM7="","",AVERAGE(CG61:CL61)+CONFIDENCE(0.05,STDEV(BN61:CL61),COUNT(BN61:CL61)))</f>
        <v>4.8550160786844402E-3</v>
      </c>
      <c r="CN87" s="21">
        <f t="shared" ca="1" si="102"/>
        <v>5.3169761030761875E-3</v>
      </c>
      <c r="CO87" s="21">
        <f t="shared" ca="1" si="102"/>
        <v>4.6948473167395671E-3</v>
      </c>
      <c r="CP87" s="21">
        <f t="shared" ca="1" si="102"/>
        <v>4.6548845848960949E-3</v>
      </c>
      <c r="CQ87" s="21">
        <f t="shared" ca="1" si="102"/>
        <v>4.4011402072628028E-3</v>
      </c>
      <c r="CR87" s="21">
        <f t="shared" ca="1" si="102"/>
        <v>4.4990394983074628E-3</v>
      </c>
      <c r="CS87" s="21">
        <f t="shared" ca="1" si="102"/>
        <v>4.1753063276758337E-3</v>
      </c>
      <c r="CT87" s="21">
        <f t="shared" ca="1" si="102"/>
        <v>3.2983757071999623E-3</v>
      </c>
      <c r="CU87" s="21">
        <f t="shared" ca="1" si="102"/>
        <v>3.0661103114567358E-3</v>
      </c>
      <c r="CV87" s="21">
        <f t="shared" ca="1" si="102"/>
        <v>4.788732914015088E-3</v>
      </c>
      <c r="CW87" s="21">
        <f t="shared" ca="1" si="102"/>
        <v>4.400221452562505E-3</v>
      </c>
      <c r="CX87" s="21">
        <f t="shared" ca="1" si="102"/>
        <v>3.7519247698148692E-3</v>
      </c>
      <c r="CY87" s="21">
        <f t="shared" ca="1" si="102"/>
        <v>3.5711217630990835E-3</v>
      </c>
      <c r="CZ87" s="21">
        <f t="shared" ca="1" si="102"/>
        <v>4.1282325909465329E-3</v>
      </c>
      <c r="DA87" s="21">
        <f t="shared" ca="1" si="102"/>
        <v>4.8914625998319732E-3</v>
      </c>
      <c r="DB87" s="21">
        <f t="shared" ca="1" si="102"/>
        <v>3.7813993090268687E-3</v>
      </c>
      <c r="DC87" s="21">
        <f t="shared" ca="1" si="102"/>
        <v>3.8626551064644436E-3</v>
      </c>
      <c r="DD87" s="21">
        <f t="shared" ca="1" si="102"/>
        <v>3.9311121752117614E-3</v>
      </c>
      <c r="DE87" s="21">
        <f t="shared" ca="1" si="102"/>
        <v>3.6262811856053127E-3</v>
      </c>
      <c r="DF87" s="21">
        <f t="shared" ca="1" si="102"/>
        <v>3.9197812454906814E-3</v>
      </c>
      <c r="DG87" s="21">
        <f t="shared" ca="1" si="102"/>
        <v>3.5516672199510635E-3</v>
      </c>
      <c r="DH87" s="21">
        <f t="shared" ca="1" si="102"/>
        <v>4.078588380514659E-3</v>
      </c>
      <c r="DI87" s="21">
        <f t="shared" ca="1" si="102"/>
        <v>6.0412027838231816E-3</v>
      </c>
      <c r="DJ87" s="21">
        <f t="shared" ca="1" si="102"/>
        <v>7.2344041493481162E-3</v>
      </c>
      <c r="DK87" s="21">
        <f t="shared" ca="1" si="102"/>
        <v>7.4996009006088821E-3</v>
      </c>
      <c r="DL87" s="21">
        <f t="shared" ca="1" si="102"/>
        <v>6.8717167980314551E-3</v>
      </c>
      <c r="DM87" s="21">
        <f t="shared" ca="1" si="102"/>
        <v>6.6464260853320951E-3</v>
      </c>
      <c r="DN87" s="21">
        <f t="shared" ca="1" si="102"/>
        <v>5.560337628537193E-3</v>
      </c>
      <c r="DO87" s="21">
        <f t="shared" ca="1" si="102"/>
        <v>5.1940673404609382E-3</v>
      </c>
      <c r="DP87" s="21">
        <f t="shared" ca="1" si="102"/>
        <v>5.3845077350190024E-3</v>
      </c>
      <c r="DQ87" s="21">
        <f t="shared" ca="1" si="102"/>
        <v>6.2911704137026412E-3</v>
      </c>
      <c r="DR87" s="21">
        <f t="shared" ca="1" si="102"/>
        <v>6.7087679982936414E-3</v>
      </c>
      <c r="DS87" s="21">
        <f t="shared" ca="1" si="102"/>
        <v>6.5621963068331892E-3</v>
      </c>
      <c r="DT87" s="21">
        <f t="shared" ca="1" si="102"/>
        <v>7.9531503533197528E-3</v>
      </c>
      <c r="DU87" s="21">
        <f t="shared" ca="1" si="102"/>
        <v>7.0169654906357586E-3</v>
      </c>
      <c r="DV87" s="21">
        <f t="shared" ca="1" si="102"/>
        <v>5.5985383575997442E-3</v>
      </c>
      <c r="DW87" s="21">
        <f t="shared" ca="1" si="102"/>
        <v>5.4825112815044966E-3</v>
      </c>
      <c r="DX87" s="21">
        <f t="shared" ca="1" si="102"/>
        <v>6.1527994358665482E-3</v>
      </c>
      <c r="DY87" s="21">
        <f t="shared" ca="1" si="102"/>
        <v>6.9504186658827689E-3</v>
      </c>
      <c r="DZ87" s="21">
        <f t="shared" ca="1" si="102"/>
        <v>5.8121074499116673E-3</v>
      </c>
      <c r="EA87" s="21">
        <f t="shared" ca="1" si="102"/>
        <v>5.4610547388653386E-3</v>
      </c>
      <c r="EB87" s="21">
        <f t="shared" ca="1" si="102"/>
        <v>5.5584027353538365E-3</v>
      </c>
      <c r="EC87" s="21">
        <f t="shared" ca="1" si="102"/>
        <v>4.5823465083999274E-3</v>
      </c>
      <c r="ED87" s="21">
        <f t="shared" ca="1" si="102"/>
        <v>3.6396189526702316E-3</v>
      </c>
      <c r="EE87" s="21">
        <f t="shared" ca="1" si="102"/>
        <v>2.8492685962479515E-3</v>
      </c>
      <c r="EF87" s="21">
        <f t="shared" ca="1" si="102"/>
        <v>3.4332254255007855E-3</v>
      </c>
      <c r="EG87" s="21">
        <f t="shared" ca="1" si="102"/>
        <v>3.0566553408540717E-3</v>
      </c>
      <c r="EH87" s="21">
        <f t="shared" ca="1" si="102"/>
        <v>3.6045234118591025E-3</v>
      </c>
      <c r="EI87" s="21">
        <f t="shared" ca="1" si="102"/>
        <v>4.744149487594408E-3</v>
      </c>
      <c r="EJ87" s="21">
        <f t="shared" ca="1" si="102"/>
        <v>5.5406460500262772E-3</v>
      </c>
      <c r="EK87" s="21">
        <f t="shared" ca="1" si="102"/>
        <v>6.5331482015346058E-3</v>
      </c>
      <c r="EL87" s="21">
        <f t="shared" ca="1" si="102"/>
        <v>5.8480445898634525E-3</v>
      </c>
      <c r="EM87" s="21">
        <f t="shared" ca="1" si="102"/>
        <v>5.8379944720870882E-3</v>
      </c>
      <c r="EN87" s="21">
        <f t="shared" ca="1" si="102"/>
        <v>5.0071007238040189E-3</v>
      </c>
      <c r="EO87" s="21">
        <f t="shared" ca="1" si="102"/>
        <v>4.0729265785850871E-3</v>
      </c>
      <c r="EP87" s="21">
        <f t="shared" ca="1" si="102"/>
        <v>3.0199341042012871E-3</v>
      </c>
      <c r="EQ87" s="21">
        <f t="shared" ca="1" si="102"/>
        <v>2.2231609156966037E-3</v>
      </c>
      <c r="ER87" s="21">
        <f t="shared" ca="1" si="102"/>
        <v>3.4919664535203797E-3</v>
      </c>
      <c r="ES87" s="21">
        <f t="shared" ca="1" si="102"/>
        <v>3.4831737618517219E-3</v>
      </c>
      <c r="ET87" s="21">
        <f t="shared" ca="1" si="102"/>
        <v>4.1358814276417685E-3</v>
      </c>
      <c r="EU87" s="21">
        <f t="shared" ca="1" si="102"/>
        <v>4.1318727838965874E-3</v>
      </c>
      <c r="EV87" s="21">
        <f t="shared" ca="1" si="102"/>
        <v>4.3032268520505979E-3</v>
      </c>
      <c r="EW87" s="21">
        <f t="shared" ca="1" si="102"/>
        <v>4.3060974915312741E-3</v>
      </c>
      <c r="EX87" s="21">
        <f t="shared" ca="1" si="102"/>
        <v>3.3762290005229919E-3</v>
      </c>
      <c r="EY87" s="21">
        <f t="shared" ref="EY87:HJ87" ca="1" si="103">IF(EY7="","",AVERAGE(ES61:EX61)+CONFIDENCE(0.05,STDEV(DZ61:EX61),COUNT(DZ61:EX61)))</f>
        <v>3.4414584892052901E-3</v>
      </c>
      <c r="EZ87" s="21">
        <f t="shared" ca="1" si="103"/>
        <v>2.9501090470241626E-3</v>
      </c>
      <c r="FA87" s="21">
        <f t="shared" ca="1" si="103"/>
        <v>2.6118940206413272E-3</v>
      </c>
      <c r="FB87" s="21">
        <f t="shared" ca="1" si="103"/>
        <v>2.5419809209642212E-3</v>
      </c>
      <c r="FC87" s="21">
        <f t="shared" ca="1" si="103"/>
        <v>2.9076102787740344E-3</v>
      </c>
      <c r="FD87" s="21">
        <f t="shared" ca="1" si="103"/>
        <v>3.5222703752536659E-3</v>
      </c>
      <c r="FE87" s="21">
        <f t="shared" ca="1" si="103"/>
        <v>3.8283772938433212E-3</v>
      </c>
      <c r="FF87" s="21">
        <f t="shared" ca="1" si="103"/>
        <v>4.0451156727810671E-3</v>
      </c>
      <c r="FG87" s="21">
        <f t="shared" ca="1" si="103"/>
        <v>4.6855773776757126E-3</v>
      </c>
      <c r="FH87" s="21">
        <f t="shared" ca="1" si="103"/>
        <v>5.0810928941550544E-3</v>
      </c>
      <c r="FI87" s="21">
        <f t="shared" ca="1" si="103"/>
        <v>4.9942106538538814E-3</v>
      </c>
      <c r="FJ87" s="21">
        <f t="shared" ca="1" si="103"/>
        <v>4.0578465125864068E-3</v>
      </c>
      <c r="FK87" s="21">
        <f t="shared" ca="1" si="103"/>
        <v>4.1088159376586096E-3</v>
      </c>
      <c r="FL87" s="21">
        <f t="shared" ca="1" si="103"/>
        <v>3.7407691047596429E-3</v>
      </c>
      <c r="FM87" s="21">
        <f t="shared" ca="1" si="103"/>
        <v>3.52072598215221E-3</v>
      </c>
      <c r="FN87" s="21">
        <f t="shared" ca="1" si="103"/>
        <v>4.6931802158889889E-3</v>
      </c>
      <c r="FO87" s="21">
        <f t="shared" ca="1" si="103"/>
        <v>7.0767425296533572E-3</v>
      </c>
      <c r="FP87" s="21">
        <f t="shared" ca="1" si="103"/>
        <v>9.4684880679087799E-3</v>
      </c>
      <c r="FQ87" s="21">
        <f t="shared" ca="1" si="103"/>
        <v>9.2448683676835449E-3</v>
      </c>
      <c r="FR87" s="21">
        <f t="shared" ca="1" si="103"/>
        <v>1.041181370381904E-2</v>
      </c>
      <c r="FS87" s="21">
        <f t="shared" ca="1" si="103"/>
        <v>1.0470789555496079E-2</v>
      </c>
      <c r="FT87" s="21">
        <f t="shared" ca="1" si="103"/>
        <v>8.8776317533272881E-3</v>
      </c>
      <c r="FU87" s="21">
        <f t="shared" ca="1" si="103"/>
        <v>6.5702838784247024E-3</v>
      </c>
      <c r="FV87" s="21">
        <f t="shared" ca="1" si="103"/>
        <v>4.3862166459807958E-3</v>
      </c>
      <c r="FW87" s="21">
        <f t="shared" ca="1" si="103"/>
        <v>4.3306738174289736E-3</v>
      </c>
      <c r="FX87" s="21">
        <f t="shared" ca="1" si="103"/>
        <v>3.2834908596900275E-3</v>
      </c>
      <c r="FY87" s="21">
        <f t="shared" ca="1" si="103"/>
        <v>3.413288421504854E-3</v>
      </c>
      <c r="FZ87" s="21">
        <f t="shared" ca="1" si="103"/>
        <v>3.9159194929382331E-3</v>
      </c>
      <c r="GA87" s="21">
        <f t="shared" ca="1" si="103"/>
        <v>4.9926493528326208E-3</v>
      </c>
      <c r="GB87" s="21">
        <f t="shared" ca="1" si="103"/>
        <v>5.3593658111467796E-3</v>
      </c>
      <c r="GC87" s="21">
        <f t="shared" ca="1" si="103"/>
        <v>5.1762925581873686E-3</v>
      </c>
      <c r="GD87" s="21">
        <f t="shared" ca="1" si="103"/>
        <v>5.2697903704482093E-3</v>
      </c>
      <c r="GE87" s="21">
        <f t="shared" ca="1" si="103"/>
        <v>4.7800716627971664E-3</v>
      </c>
      <c r="GF87" s="21">
        <f t="shared" ca="1" si="103"/>
        <v>4.67021493487472E-3</v>
      </c>
      <c r="GG87" s="21">
        <f t="shared" ca="1" si="103"/>
        <v>3.9078053437333225E-3</v>
      </c>
      <c r="GH87" s="21">
        <f t="shared" ca="1" si="103"/>
        <v>3.8693510415175438E-3</v>
      </c>
      <c r="GI87" s="21">
        <f t="shared" ca="1" si="103"/>
        <v>4.3871815255226848E-3</v>
      </c>
      <c r="GJ87" s="21">
        <f t="shared" ca="1" si="103"/>
        <v>4.0964212590664326E-3</v>
      </c>
      <c r="GK87" s="21">
        <f t="shared" ca="1" si="103"/>
        <v>5.1933708005400554E-3</v>
      </c>
      <c r="GL87" s="21">
        <f t="shared" ca="1" si="103"/>
        <v>9.4157370454628336E-3</v>
      </c>
      <c r="GM87" s="21">
        <f t="shared" ca="1" si="103"/>
        <v>1.3235358300907756E-2</v>
      </c>
      <c r="GN87" s="21">
        <f t="shared" ca="1" si="103"/>
        <v>1.6018849127459739E-2</v>
      </c>
      <c r="GO87" s="21">
        <f t="shared" ca="1" si="103"/>
        <v>1.7276964252520552E-2</v>
      </c>
      <c r="GP87" s="21">
        <f t="shared" ca="1" si="103"/>
        <v>1.742540565719345E-2</v>
      </c>
      <c r="GQ87" s="21">
        <f t="shared" ca="1" si="103"/>
        <v>2.0931309436687699E-2</v>
      </c>
      <c r="GR87" s="21">
        <f t="shared" ca="1" si="103"/>
        <v>2.1302321232113224E-2</v>
      </c>
      <c r="GS87" s="21">
        <f t="shared" ca="1" si="103"/>
        <v>2.0238937456686656E-2</v>
      </c>
      <c r="GT87" s="21">
        <f t="shared" ca="1" si="103"/>
        <v>1.7778877797949424E-2</v>
      </c>
      <c r="GU87" s="21">
        <f t="shared" ca="1" si="103"/>
        <v>1.6867859036165639E-2</v>
      </c>
      <c r="GV87" s="21">
        <f t="shared" ca="1" si="103"/>
        <v>1.9477992742487349E-2</v>
      </c>
      <c r="GW87" s="21">
        <f t="shared" ca="1" si="103"/>
        <v>1.6962422420389096E-2</v>
      </c>
      <c r="GX87" s="21">
        <f t="shared" ca="1" si="103"/>
        <v>1.322234455620286E-2</v>
      </c>
      <c r="GY87" s="21">
        <f t="shared" ca="1" si="103"/>
        <v>9.4129918221765533E-3</v>
      </c>
      <c r="GZ87" s="21">
        <f t="shared" ca="1" si="103"/>
        <v>1.0749306872043587E-2</v>
      </c>
      <c r="HA87" s="21" t="str">
        <f t="shared" si="103"/>
        <v/>
      </c>
      <c r="HB87" s="21" t="str">
        <f t="shared" si="103"/>
        <v/>
      </c>
      <c r="HC87" s="21" t="str">
        <f t="shared" si="103"/>
        <v/>
      </c>
      <c r="HD87" s="21" t="str">
        <f t="shared" si="103"/>
        <v/>
      </c>
      <c r="HE87" s="21" t="str">
        <f t="shared" si="103"/>
        <v/>
      </c>
      <c r="HF87" s="21" t="str">
        <f t="shared" si="103"/>
        <v/>
      </c>
      <c r="HG87" s="21" t="str">
        <f t="shared" si="103"/>
        <v/>
      </c>
      <c r="HH87" s="21" t="str">
        <f t="shared" si="103"/>
        <v/>
      </c>
      <c r="HI87" s="21" t="str">
        <f t="shared" si="103"/>
        <v/>
      </c>
      <c r="HJ87" s="21" t="str">
        <f t="shared" si="103"/>
        <v/>
      </c>
      <c r="HK87" s="21" t="str">
        <f t="shared" ref="HK87:JH87" si="104">IF(HK7="","",AVERAGE(HE61:HJ61)+CONFIDENCE(0.05,STDEV(GL61:HJ61),COUNT(GL61:HJ61)))</f>
        <v/>
      </c>
      <c r="HL87" s="21" t="str">
        <f t="shared" si="104"/>
        <v/>
      </c>
      <c r="HM87" s="21" t="str">
        <f t="shared" si="104"/>
        <v/>
      </c>
      <c r="HN87" s="21" t="str">
        <f t="shared" si="104"/>
        <v/>
      </c>
      <c r="HO87" s="21" t="str">
        <f t="shared" si="104"/>
        <v/>
      </c>
      <c r="HP87" s="21" t="str">
        <f t="shared" si="104"/>
        <v/>
      </c>
      <c r="HQ87" s="21" t="str">
        <f t="shared" si="104"/>
        <v/>
      </c>
      <c r="HR87" s="21" t="str">
        <f t="shared" si="104"/>
        <v/>
      </c>
      <c r="HS87" s="21" t="str">
        <f t="shared" si="104"/>
        <v/>
      </c>
      <c r="HT87" s="21" t="str">
        <f t="shared" si="104"/>
        <v/>
      </c>
      <c r="HU87" s="21" t="str">
        <f t="shared" si="104"/>
        <v/>
      </c>
      <c r="HV87" s="21" t="str">
        <f t="shared" si="104"/>
        <v/>
      </c>
      <c r="HW87" s="21" t="str">
        <f t="shared" si="104"/>
        <v/>
      </c>
      <c r="HX87" s="21" t="str">
        <f t="shared" si="104"/>
        <v/>
      </c>
      <c r="HY87" s="21" t="str">
        <f t="shared" si="104"/>
        <v/>
      </c>
      <c r="HZ87" s="21" t="str">
        <f t="shared" si="104"/>
        <v/>
      </c>
      <c r="IA87" s="21" t="str">
        <f t="shared" si="104"/>
        <v/>
      </c>
      <c r="IB87" s="21" t="str">
        <f t="shared" si="104"/>
        <v/>
      </c>
      <c r="IC87" s="21" t="str">
        <f t="shared" si="104"/>
        <v/>
      </c>
      <c r="ID87" s="21" t="str">
        <f t="shared" si="104"/>
        <v/>
      </c>
      <c r="IE87" s="21" t="str">
        <f t="shared" si="104"/>
        <v/>
      </c>
      <c r="IF87" s="21" t="str">
        <f t="shared" si="104"/>
        <v/>
      </c>
      <c r="IG87" s="21" t="str">
        <f t="shared" si="104"/>
        <v/>
      </c>
      <c r="IH87" s="21" t="str">
        <f t="shared" si="104"/>
        <v/>
      </c>
      <c r="II87" s="21" t="str">
        <f t="shared" si="104"/>
        <v/>
      </c>
      <c r="IJ87" s="21" t="str">
        <f t="shared" si="104"/>
        <v/>
      </c>
      <c r="IK87" s="21" t="str">
        <f t="shared" si="104"/>
        <v/>
      </c>
      <c r="IL87" s="21" t="str">
        <f t="shared" si="104"/>
        <v/>
      </c>
      <c r="IM87" s="21" t="str">
        <f t="shared" si="104"/>
        <v/>
      </c>
      <c r="IN87" s="21" t="str">
        <f t="shared" si="104"/>
        <v/>
      </c>
      <c r="IO87" s="21" t="str">
        <f t="shared" si="104"/>
        <v/>
      </c>
      <c r="IP87" s="21" t="str">
        <f t="shared" si="104"/>
        <v/>
      </c>
      <c r="IQ87" s="21" t="str">
        <f t="shared" si="104"/>
        <v/>
      </c>
      <c r="IR87" s="21" t="str">
        <f t="shared" si="104"/>
        <v/>
      </c>
      <c r="IS87" s="21" t="str">
        <f t="shared" si="104"/>
        <v/>
      </c>
      <c r="IT87" s="21" t="str">
        <f t="shared" si="104"/>
        <v/>
      </c>
      <c r="IU87" s="21" t="str">
        <f t="shared" si="104"/>
        <v/>
      </c>
      <c r="IV87" s="21" t="str">
        <f t="shared" si="104"/>
        <v/>
      </c>
      <c r="IW87" s="21" t="str">
        <f t="shared" si="104"/>
        <v/>
      </c>
      <c r="IX87" s="21" t="str">
        <f t="shared" si="104"/>
        <v/>
      </c>
      <c r="IY87" s="21" t="str">
        <f t="shared" si="104"/>
        <v/>
      </c>
      <c r="IZ87" s="21" t="str">
        <f t="shared" si="104"/>
        <v/>
      </c>
      <c r="JA87" s="21" t="str">
        <f t="shared" si="104"/>
        <v/>
      </c>
      <c r="JB87" s="21" t="str">
        <f t="shared" si="104"/>
        <v/>
      </c>
      <c r="JC87" s="21" t="str">
        <f t="shared" si="104"/>
        <v/>
      </c>
      <c r="JD87" s="21" t="str">
        <f t="shared" si="104"/>
        <v/>
      </c>
      <c r="JE87" s="21" t="str">
        <f t="shared" si="104"/>
        <v/>
      </c>
      <c r="JF87" s="21" t="str">
        <f t="shared" si="104"/>
        <v/>
      </c>
      <c r="JG87" s="21" t="str">
        <f t="shared" si="104"/>
        <v/>
      </c>
      <c r="JH87" s="21" t="str">
        <f t="shared" si="104"/>
        <v/>
      </c>
    </row>
    <row r="88" spans="1:336" x14ac:dyDescent="0.25"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>
        <f t="shared" ref="AA88:CL88" ca="1" si="105">IF(AA8="","",AVERAGE(T62:Z62)+CONFIDENCE(0.05,STDEV(B62:Z62),COUNT(B62:Z62)))</f>
        <v>1.6493137632233573E-3</v>
      </c>
      <c r="AB88" s="21">
        <f t="shared" ca="1" si="105"/>
        <v>1.776303387446472E-3</v>
      </c>
      <c r="AC88" s="21">
        <f t="shared" ca="1" si="105"/>
        <v>1.9875273390840419E-3</v>
      </c>
      <c r="AD88" s="21">
        <f t="shared" ca="1" si="105"/>
        <v>1.7138427844601437E-3</v>
      </c>
      <c r="AE88" s="21">
        <f t="shared" ca="1" si="105"/>
        <v>1.7863290859291398E-3</v>
      </c>
      <c r="AF88" s="21">
        <f t="shared" ca="1" si="105"/>
        <v>1.8066278327069421E-3</v>
      </c>
      <c r="AG88" s="21">
        <f t="shared" ca="1" si="105"/>
        <v>1.9913007777735948E-3</v>
      </c>
      <c r="AH88" s="21">
        <f t="shared" ca="1" si="105"/>
        <v>2.3315581600327501E-3</v>
      </c>
      <c r="AI88" s="21">
        <f t="shared" ca="1" si="105"/>
        <v>3.0875175344320959E-3</v>
      </c>
      <c r="AJ88" s="21">
        <f t="shared" ca="1" si="105"/>
        <v>3.5570523196187935E-3</v>
      </c>
      <c r="AK88" s="21">
        <f t="shared" ca="1" si="105"/>
        <v>4.168845077299756E-3</v>
      </c>
      <c r="AL88" s="21">
        <f t="shared" ca="1" si="105"/>
        <v>4.689275979964466E-3</v>
      </c>
      <c r="AM88" s="21">
        <f t="shared" ca="1" si="105"/>
        <v>5.237423107549169E-3</v>
      </c>
      <c r="AN88" s="21">
        <f t="shared" ca="1" si="105"/>
        <v>5.3868592944097474E-3</v>
      </c>
      <c r="AO88" s="21">
        <f t="shared" ca="1" si="105"/>
        <v>4.9537670103911103E-3</v>
      </c>
      <c r="AP88" s="21">
        <f t="shared" ca="1" si="105"/>
        <v>4.0399831907910258E-3</v>
      </c>
      <c r="AQ88" s="21">
        <f t="shared" ca="1" si="105"/>
        <v>3.3428133785308144E-3</v>
      </c>
      <c r="AR88" s="21">
        <f t="shared" ca="1" si="105"/>
        <v>2.7454448093666853E-3</v>
      </c>
      <c r="AS88" s="21">
        <f t="shared" ca="1" si="105"/>
        <v>2.3678626628293635E-3</v>
      </c>
      <c r="AT88" s="21">
        <f t="shared" ca="1" si="105"/>
        <v>2.4233157723450027E-3</v>
      </c>
      <c r="AU88" s="21">
        <f t="shared" ca="1" si="105"/>
        <v>2.5181909583555356E-3</v>
      </c>
      <c r="AV88" s="21">
        <f t="shared" ca="1" si="105"/>
        <v>3.6501369471759943E-3</v>
      </c>
      <c r="AW88" s="21">
        <f t="shared" ca="1" si="105"/>
        <v>5.8200083134311194E-3</v>
      </c>
      <c r="AX88" s="21">
        <f t="shared" ca="1" si="105"/>
        <v>8.3475440977657141E-3</v>
      </c>
      <c r="AY88" s="21">
        <f t="shared" ca="1" si="105"/>
        <v>1.1099111915357292E-2</v>
      </c>
      <c r="AZ88" s="21">
        <f t="shared" ca="1" si="105"/>
        <v>1.4060809481350085E-2</v>
      </c>
      <c r="BA88" s="21">
        <f t="shared" ca="1" si="105"/>
        <v>1.7109910836288371E-2</v>
      </c>
      <c r="BB88" s="21">
        <f t="shared" ca="1" si="105"/>
        <v>1.9593874560381877E-2</v>
      </c>
      <c r="BC88" s="21">
        <f t="shared" ca="1" si="105"/>
        <v>2.0699980044664328E-2</v>
      </c>
      <c r="BD88" s="21">
        <f t="shared" ca="1" si="105"/>
        <v>1.9636026198970275E-2</v>
      </c>
      <c r="BE88" s="21">
        <f t="shared" ca="1" si="105"/>
        <v>1.8780562963473628E-2</v>
      </c>
      <c r="BF88" s="21">
        <f t="shared" ca="1" si="105"/>
        <v>1.7851250635283068E-2</v>
      </c>
      <c r="BG88" s="21">
        <f t="shared" ca="1" si="105"/>
        <v>1.6841455568699395E-2</v>
      </c>
      <c r="BH88" s="21">
        <f t="shared" ca="1" si="105"/>
        <v>1.6741099361613811E-2</v>
      </c>
      <c r="BI88" s="21">
        <f t="shared" ca="1" si="105"/>
        <v>1.6456994968975083E-2</v>
      </c>
      <c r="BJ88" s="21">
        <f t="shared" ca="1" si="105"/>
        <v>1.5912715598602089E-2</v>
      </c>
      <c r="BK88" s="21">
        <f t="shared" ca="1" si="105"/>
        <v>1.6643171965077197E-2</v>
      </c>
      <c r="BL88" s="21">
        <f t="shared" ca="1" si="105"/>
        <v>1.6290773161672278E-2</v>
      </c>
      <c r="BM88" s="21">
        <f t="shared" ca="1" si="105"/>
        <v>1.7907359559481688E-2</v>
      </c>
      <c r="BN88" s="21">
        <f t="shared" ca="1" si="105"/>
        <v>1.9224755765522687E-2</v>
      </c>
      <c r="BO88" s="21">
        <f t="shared" ca="1" si="105"/>
        <v>1.8370222569407547E-2</v>
      </c>
      <c r="BP88" s="21">
        <f t="shared" ca="1" si="105"/>
        <v>1.7383920792634389E-2</v>
      </c>
      <c r="BQ88" s="21">
        <f t="shared" ca="1" si="105"/>
        <v>1.7038086687384935E-2</v>
      </c>
      <c r="BR88" s="21">
        <f t="shared" ca="1" si="105"/>
        <v>1.7150355875669956E-2</v>
      </c>
      <c r="BS88" s="21">
        <f t="shared" ca="1" si="105"/>
        <v>1.6947707587548978E-2</v>
      </c>
      <c r="BT88" s="21">
        <f t="shared" ca="1" si="105"/>
        <v>1.3974972269101778E-2</v>
      </c>
      <c r="BU88" s="21">
        <f t="shared" ca="1" si="105"/>
        <v>1.1764274566614592E-2</v>
      </c>
      <c r="BV88" s="21">
        <f t="shared" ca="1" si="105"/>
        <v>1.0727843103945534E-2</v>
      </c>
      <c r="BW88" s="21">
        <f t="shared" ca="1" si="105"/>
        <v>9.999400741479602E-3</v>
      </c>
      <c r="BX88" s="21">
        <f t="shared" ca="1" si="105"/>
        <v>8.7699290602540388E-3</v>
      </c>
      <c r="BY88" s="21">
        <f t="shared" ca="1" si="105"/>
        <v>7.781237812558392E-3</v>
      </c>
      <c r="BZ88" s="21">
        <f t="shared" ca="1" si="105"/>
        <v>7.2789827063593441E-3</v>
      </c>
      <c r="CA88" s="21">
        <f t="shared" ca="1" si="105"/>
        <v>7.702849745626409E-3</v>
      </c>
      <c r="CB88" s="21">
        <f t="shared" ca="1" si="105"/>
        <v>7.0448761815665069E-3</v>
      </c>
      <c r="CC88" s="21">
        <f t="shared" ca="1" si="105"/>
        <v>6.2489395423918096E-3</v>
      </c>
      <c r="CD88" s="21">
        <f t="shared" ca="1" si="105"/>
        <v>5.6073423041593119E-3</v>
      </c>
      <c r="CE88" s="21">
        <f t="shared" ca="1" si="105"/>
        <v>6.0229860498067916E-3</v>
      </c>
      <c r="CF88" s="21">
        <f t="shared" ca="1" si="105"/>
        <v>5.3386840576897278E-3</v>
      </c>
      <c r="CG88" s="21">
        <f t="shared" ca="1" si="105"/>
        <v>4.8011182342659452E-3</v>
      </c>
      <c r="CH88" s="21">
        <f t="shared" ca="1" si="105"/>
        <v>4.6327471784042753E-3</v>
      </c>
      <c r="CI88" s="21">
        <f t="shared" ca="1" si="105"/>
        <v>5.0979099804543734E-3</v>
      </c>
      <c r="CJ88" s="21">
        <f t="shared" ca="1" si="105"/>
        <v>4.7915902000563535E-3</v>
      </c>
      <c r="CK88" s="21">
        <f t="shared" ca="1" si="105"/>
        <v>5.3725963575665617E-3</v>
      </c>
      <c r="CL88" s="21">
        <f t="shared" ca="1" si="105"/>
        <v>5.1544755235877378E-3</v>
      </c>
      <c r="CM88" s="21">
        <f t="shared" ref="CM88:EX88" ca="1" si="106">IF(CM8="","",AVERAGE(CF62:CL62)+CONFIDENCE(0.05,STDEV(BN62:CL62),COUNT(BN62:CL62)))</f>
        <v>5.3026952991805619E-3</v>
      </c>
      <c r="CN88" s="21">
        <f t="shared" ca="1" si="106"/>
        <v>5.8624503096417393E-3</v>
      </c>
      <c r="CO88" s="21">
        <f t="shared" ca="1" si="106"/>
        <v>5.6840926541064365E-3</v>
      </c>
      <c r="CP88" s="21">
        <f t="shared" ca="1" si="106"/>
        <v>5.7122415962975086E-3</v>
      </c>
      <c r="CQ88" s="21">
        <f t="shared" ca="1" si="106"/>
        <v>5.7599297456956177E-3</v>
      </c>
      <c r="CR88" s="21">
        <f t="shared" ca="1" si="106"/>
        <v>5.7671242523215432E-3</v>
      </c>
      <c r="CS88" s="21">
        <f t="shared" ca="1" si="106"/>
        <v>5.4907239296620655E-3</v>
      </c>
      <c r="CT88" s="21">
        <f t="shared" ca="1" si="106"/>
        <v>4.7175553380760984E-3</v>
      </c>
      <c r="CU88" s="21">
        <f t="shared" ca="1" si="106"/>
        <v>3.7138988646898473E-3</v>
      </c>
      <c r="CV88" s="21">
        <f t="shared" ca="1" si="106"/>
        <v>5.3506802310667526E-3</v>
      </c>
      <c r="CW88" s="21">
        <f t="shared" ca="1" si="106"/>
        <v>4.6048506876968515E-3</v>
      </c>
      <c r="CX88" s="21">
        <f t="shared" ca="1" si="106"/>
        <v>4.4596455288332766E-3</v>
      </c>
      <c r="CY88" s="21">
        <f t="shared" ca="1" si="106"/>
        <v>4.1324899073102031E-3</v>
      </c>
      <c r="CZ88" s="21">
        <f t="shared" ca="1" si="106"/>
        <v>4.3295031120313635E-3</v>
      </c>
      <c r="DA88" s="21">
        <f t="shared" ca="1" si="106"/>
        <v>4.8806792801689633E-3</v>
      </c>
      <c r="DB88" s="21">
        <f t="shared" ca="1" si="106"/>
        <v>5.3582573484227021E-3</v>
      </c>
      <c r="DC88" s="21">
        <f t="shared" ca="1" si="106"/>
        <v>3.8548648105703647E-3</v>
      </c>
      <c r="DD88" s="21">
        <f t="shared" ca="1" si="106"/>
        <v>4.1763331205393918E-3</v>
      </c>
      <c r="DE88" s="21">
        <f t="shared" ca="1" si="106"/>
        <v>4.3172686077057737E-3</v>
      </c>
      <c r="DF88" s="21">
        <f t="shared" ca="1" si="106"/>
        <v>5.1345640026610496E-3</v>
      </c>
      <c r="DG88" s="21">
        <f t="shared" ca="1" si="106"/>
        <v>5.1843768245145002E-3</v>
      </c>
      <c r="DH88" s="21">
        <f t="shared" ca="1" si="106"/>
        <v>5.9913910247950276E-3</v>
      </c>
      <c r="DI88" s="21">
        <f t="shared" ca="1" si="106"/>
        <v>7.5348633434960139E-3</v>
      </c>
      <c r="DJ88" s="21">
        <f t="shared" ca="1" si="106"/>
        <v>8.7128590643175009E-3</v>
      </c>
      <c r="DK88" s="21">
        <f t="shared" ca="1" si="106"/>
        <v>8.7765598891023956E-3</v>
      </c>
      <c r="DL88" s="21">
        <f t="shared" ca="1" si="106"/>
        <v>8.9170229844656411E-3</v>
      </c>
      <c r="DM88" s="21">
        <f t="shared" ca="1" si="106"/>
        <v>7.8640132393578421E-3</v>
      </c>
      <c r="DN88" s="21">
        <f t="shared" ca="1" si="106"/>
        <v>7.298335698053827E-3</v>
      </c>
      <c r="DO88" s="21">
        <f t="shared" ca="1" si="106"/>
        <v>7.7888038088344807E-3</v>
      </c>
      <c r="DP88" s="21">
        <f t="shared" ca="1" si="106"/>
        <v>7.4767470327676356E-3</v>
      </c>
      <c r="DQ88" s="21">
        <f t="shared" ca="1" si="106"/>
        <v>7.6458033815591624E-3</v>
      </c>
      <c r="DR88" s="21">
        <f t="shared" ca="1" si="106"/>
        <v>7.8966194948767356E-3</v>
      </c>
      <c r="DS88" s="21">
        <f t="shared" ca="1" si="106"/>
        <v>7.4119267493377499E-3</v>
      </c>
      <c r="DT88" s="21">
        <f t="shared" ca="1" si="106"/>
        <v>8.4056791675314567E-3</v>
      </c>
      <c r="DU88" s="21">
        <f t="shared" ca="1" si="106"/>
        <v>8.7045468696056259E-3</v>
      </c>
      <c r="DV88" s="21">
        <f t="shared" ca="1" si="106"/>
        <v>7.0000588660334619E-3</v>
      </c>
      <c r="DW88" s="21">
        <f t="shared" ca="1" si="106"/>
        <v>6.5017441118865177E-3</v>
      </c>
      <c r="DX88" s="21">
        <f t="shared" ca="1" si="106"/>
        <v>6.5265243368348149E-3</v>
      </c>
      <c r="DY88" s="21">
        <f t="shared" ca="1" si="106"/>
        <v>6.646981342864065E-3</v>
      </c>
      <c r="DZ88" s="21">
        <f t="shared" ca="1" si="106"/>
        <v>7.0572330119736681E-3</v>
      </c>
      <c r="EA88" s="21">
        <f t="shared" ca="1" si="106"/>
        <v>6.2643823214566501E-3</v>
      </c>
      <c r="EB88" s="21">
        <f t="shared" ca="1" si="106"/>
        <v>5.8505963079101232E-3</v>
      </c>
      <c r="EC88" s="21">
        <f t="shared" ca="1" si="106"/>
        <v>5.9111628462649819E-3</v>
      </c>
      <c r="ED88" s="21">
        <f t="shared" ca="1" si="106"/>
        <v>5.2415949291307632E-3</v>
      </c>
      <c r="EE88" s="21">
        <f t="shared" ca="1" si="106"/>
        <v>3.8897296716930052E-3</v>
      </c>
      <c r="EF88" s="21">
        <f t="shared" ca="1" si="106"/>
        <v>3.5342684974041432E-3</v>
      </c>
      <c r="EG88" s="21">
        <f t="shared" ca="1" si="106"/>
        <v>3.2485457415157839E-3</v>
      </c>
      <c r="EH88" s="21">
        <f t="shared" ca="1" si="106"/>
        <v>3.696457597805407E-3</v>
      </c>
      <c r="EI88" s="21">
        <f t="shared" ca="1" si="106"/>
        <v>4.9520047478240183E-3</v>
      </c>
      <c r="EJ88" s="21">
        <f t="shared" ca="1" si="106"/>
        <v>5.9851910766322057E-3</v>
      </c>
      <c r="EK88" s="21">
        <f t="shared" ca="1" si="106"/>
        <v>6.5383334488719243E-3</v>
      </c>
      <c r="EL88" s="21">
        <f t="shared" ca="1" si="106"/>
        <v>6.5610806031041139E-3</v>
      </c>
      <c r="EM88" s="21">
        <f t="shared" ca="1" si="106"/>
        <v>6.4342781321350484E-3</v>
      </c>
      <c r="EN88" s="21">
        <f t="shared" ca="1" si="106"/>
        <v>6.3881283772829565E-3</v>
      </c>
      <c r="EO88" s="21">
        <f t="shared" ca="1" si="106"/>
        <v>5.8576636360066752E-3</v>
      </c>
      <c r="EP88" s="21">
        <f t="shared" ca="1" si="106"/>
        <v>4.5780252308739861E-3</v>
      </c>
      <c r="EQ88" s="21">
        <f t="shared" ca="1" si="106"/>
        <v>3.7987843191683319E-3</v>
      </c>
      <c r="ER88" s="21">
        <f t="shared" ca="1" si="106"/>
        <v>4.0723252549137202E-3</v>
      </c>
      <c r="ES88" s="21">
        <f t="shared" ca="1" si="106"/>
        <v>4.0910007070123263E-3</v>
      </c>
      <c r="ET88" s="21">
        <f t="shared" ca="1" si="106"/>
        <v>4.3818705204473158E-3</v>
      </c>
      <c r="EU88" s="21">
        <f t="shared" ca="1" si="106"/>
        <v>4.4173941344465978E-3</v>
      </c>
      <c r="EV88" s="21">
        <f t="shared" ca="1" si="106"/>
        <v>4.1624407036816311E-3</v>
      </c>
      <c r="EW88" s="21">
        <f t="shared" ca="1" si="106"/>
        <v>4.1855045731911296E-3</v>
      </c>
      <c r="EX88" s="21">
        <f t="shared" ca="1" si="106"/>
        <v>4.2774557574286054E-3</v>
      </c>
      <c r="EY88" s="21">
        <f t="shared" ref="EY88:HJ88" ca="1" si="107">IF(EY8="","",AVERAGE(ER62:EX62)+CONFIDENCE(0.05,STDEV(DZ62:EX62),COUNT(DZ62:EX62)))</f>
        <v>3.468122352916954E-3</v>
      </c>
      <c r="EZ88" s="21">
        <f t="shared" ca="1" si="107"/>
        <v>3.6976400063494707E-3</v>
      </c>
      <c r="FA88" s="21">
        <f t="shared" ca="1" si="107"/>
        <v>3.184897626522232E-3</v>
      </c>
      <c r="FB88" s="21">
        <f t="shared" ca="1" si="107"/>
        <v>3.1566930179788137E-3</v>
      </c>
      <c r="FC88" s="21">
        <f t="shared" ca="1" si="107"/>
        <v>3.4118330208092805E-3</v>
      </c>
      <c r="FD88" s="21">
        <f t="shared" ca="1" si="107"/>
        <v>3.80024814399756E-3</v>
      </c>
      <c r="FE88" s="21">
        <f t="shared" ca="1" si="107"/>
        <v>4.1529508136570496E-3</v>
      </c>
      <c r="FF88" s="21">
        <f t="shared" ca="1" si="107"/>
        <v>4.0653889149253174E-3</v>
      </c>
      <c r="FG88" s="21">
        <f t="shared" ca="1" si="107"/>
        <v>4.3764500623751689E-3</v>
      </c>
      <c r="FH88" s="21">
        <f t="shared" ca="1" si="107"/>
        <v>5.0604317686020316E-3</v>
      </c>
      <c r="FI88" s="21">
        <f t="shared" ca="1" si="107"/>
        <v>5.5518788702512952E-3</v>
      </c>
      <c r="FJ88" s="21">
        <f t="shared" ca="1" si="107"/>
        <v>5.475793231026491E-3</v>
      </c>
      <c r="FK88" s="21">
        <f t="shared" ca="1" si="107"/>
        <v>6.0686901191338823E-3</v>
      </c>
      <c r="FL88" s="21">
        <f t="shared" ca="1" si="107"/>
        <v>6.0413693154729702E-3</v>
      </c>
      <c r="FM88" s="21">
        <f t="shared" ca="1" si="107"/>
        <v>6.2985175942244743E-3</v>
      </c>
      <c r="FN88" s="21">
        <f t="shared" ca="1" si="107"/>
        <v>7.3931653739078536E-3</v>
      </c>
      <c r="FO88" s="21">
        <f t="shared" ca="1" si="107"/>
        <v>9.3325422515336855E-3</v>
      </c>
      <c r="FP88" s="21">
        <f t="shared" ca="1" si="107"/>
        <v>1.0348233706095935E-2</v>
      </c>
      <c r="FQ88" s="21">
        <f t="shared" ca="1" si="107"/>
        <v>1.0878093833948086E-2</v>
      </c>
      <c r="FR88" s="21">
        <f t="shared" ca="1" si="107"/>
        <v>1.0867892865776715E-2</v>
      </c>
      <c r="FS88" s="21">
        <f t="shared" ca="1" si="107"/>
        <v>1.0610215416758207E-2</v>
      </c>
      <c r="FT88" s="21">
        <f t="shared" ca="1" si="107"/>
        <v>1.014070113509931E-2</v>
      </c>
      <c r="FU88" s="21">
        <f t="shared" ca="1" si="107"/>
        <v>8.7701523300378562E-3</v>
      </c>
      <c r="FV88" s="21">
        <f t="shared" ca="1" si="107"/>
        <v>6.5201274043494156E-3</v>
      </c>
      <c r="FW88" s="21">
        <f t="shared" ca="1" si="107"/>
        <v>5.0854440581431359E-3</v>
      </c>
      <c r="FX88" s="21">
        <f t="shared" ca="1" si="107"/>
        <v>4.3823451790641257E-3</v>
      </c>
      <c r="FY88" s="21">
        <f t="shared" ca="1" si="107"/>
        <v>4.0105396406491427E-3</v>
      </c>
      <c r="FZ88" s="21">
        <f t="shared" ca="1" si="107"/>
        <v>4.1637381001647968E-3</v>
      </c>
      <c r="GA88" s="21">
        <f t="shared" ca="1" si="107"/>
        <v>5.2980066659694446E-3</v>
      </c>
      <c r="GB88" s="21">
        <f t="shared" ca="1" si="107"/>
        <v>5.4576895970191094E-3</v>
      </c>
      <c r="GC88" s="21">
        <f t="shared" ca="1" si="107"/>
        <v>5.5285101674112458E-3</v>
      </c>
      <c r="GD88" s="21">
        <f t="shared" ca="1" si="107"/>
        <v>5.353590548836335E-3</v>
      </c>
      <c r="GE88" s="21">
        <f t="shared" ca="1" si="107"/>
        <v>5.4828151285754119E-3</v>
      </c>
      <c r="GF88" s="21">
        <f t="shared" ca="1" si="107"/>
        <v>5.233747445659704E-3</v>
      </c>
      <c r="GG88" s="21">
        <f t="shared" ca="1" si="107"/>
        <v>5.1943648611996393E-3</v>
      </c>
      <c r="GH88" s="21">
        <f t="shared" ca="1" si="107"/>
        <v>4.4641111616581571E-3</v>
      </c>
      <c r="GI88" s="21">
        <f t="shared" ca="1" si="107"/>
        <v>4.7823511916967043E-3</v>
      </c>
      <c r="GJ88" s="21">
        <f t="shared" ca="1" si="107"/>
        <v>5.387642219173888E-3</v>
      </c>
      <c r="GK88" s="21">
        <f t="shared" ca="1" si="107"/>
        <v>9.6986451424498875E-3</v>
      </c>
      <c r="GL88" s="21">
        <f t="shared" ca="1" si="107"/>
        <v>1.3366121450522031E-2</v>
      </c>
      <c r="GM88" s="21">
        <f t="shared" ca="1" si="107"/>
        <v>1.5661256945416965E-2</v>
      </c>
      <c r="GN88" s="21">
        <f t="shared" ca="1" si="107"/>
        <v>1.6671568831258841E-2</v>
      </c>
      <c r="GO88" s="21">
        <f t="shared" ca="1" si="107"/>
        <v>1.7187509768079076E-2</v>
      </c>
      <c r="GP88" s="21">
        <f t="shared" ca="1" si="107"/>
        <v>1.6951558459780015E-2</v>
      </c>
      <c r="GQ88" s="21">
        <f t="shared" ca="1" si="107"/>
        <v>2.1039245997621355E-2</v>
      </c>
      <c r="GR88" s="21">
        <f t="shared" ca="1" si="107"/>
        <v>2.1864530590454821E-2</v>
      </c>
      <c r="GS88" s="21">
        <f t="shared" ca="1" si="107"/>
        <v>2.1032943762867625E-2</v>
      </c>
      <c r="GT88" s="21">
        <f t="shared" ca="1" si="107"/>
        <v>1.8927465076295495E-2</v>
      </c>
      <c r="GU88" s="21">
        <f t="shared" ca="1" si="107"/>
        <v>1.9605977358484253E-2</v>
      </c>
      <c r="GV88" s="21">
        <f t="shared" ca="1" si="107"/>
        <v>2.1415225078102434E-2</v>
      </c>
      <c r="GW88" s="21">
        <f t="shared" ca="1" si="107"/>
        <v>2.5123833049864732E-2</v>
      </c>
      <c r="GX88" s="21">
        <f t="shared" ca="1" si="107"/>
        <v>2.2073848285563594E-2</v>
      </c>
      <c r="GY88" s="21">
        <f t="shared" ca="1" si="107"/>
        <v>1.6631457338955633E-2</v>
      </c>
      <c r="GZ88" s="21">
        <f t="shared" ca="1" si="107"/>
        <v>9.4880918124398226E-3</v>
      </c>
      <c r="HA88" s="21" t="str">
        <f t="shared" si="107"/>
        <v/>
      </c>
      <c r="HB88" s="21" t="str">
        <f t="shared" si="107"/>
        <v/>
      </c>
      <c r="HC88" s="21" t="str">
        <f t="shared" si="107"/>
        <v/>
      </c>
      <c r="HD88" s="21" t="str">
        <f t="shared" si="107"/>
        <v/>
      </c>
      <c r="HE88" s="21" t="str">
        <f t="shared" si="107"/>
        <v/>
      </c>
      <c r="HF88" s="21" t="str">
        <f t="shared" si="107"/>
        <v/>
      </c>
      <c r="HG88" s="21" t="str">
        <f t="shared" si="107"/>
        <v/>
      </c>
      <c r="HH88" s="21" t="str">
        <f t="shared" si="107"/>
        <v/>
      </c>
      <c r="HI88" s="21" t="str">
        <f t="shared" si="107"/>
        <v/>
      </c>
      <c r="HJ88" s="21" t="str">
        <f t="shared" si="107"/>
        <v/>
      </c>
      <c r="HK88" s="21" t="str">
        <f t="shared" ref="HK88:JH88" si="108">IF(HK8="","",AVERAGE(HD62:HJ62)+CONFIDENCE(0.05,STDEV(GL62:HJ62),COUNT(GL62:HJ62)))</f>
        <v/>
      </c>
      <c r="HL88" s="21" t="str">
        <f t="shared" si="108"/>
        <v/>
      </c>
      <c r="HM88" s="21" t="str">
        <f t="shared" si="108"/>
        <v/>
      </c>
      <c r="HN88" s="21" t="str">
        <f t="shared" si="108"/>
        <v/>
      </c>
      <c r="HO88" s="21" t="str">
        <f t="shared" si="108"/>
        <v/>
      </c>
      <c r="HP88" s="21" t="str">
        <f t="shared" si="108"/>
        <v/>
      </c>
      <c r="HQ88" s="21" t="str">
        <f t="shared" si="108"/>
        <v/>
      </c>
      <c r="HR88" s="21" t="str">
        <f t="shared" si="108"/>
        <v/>
      </c>
      <c r="HS88" s="21" t="str">
        <f t="shared" si="108"/>
        <v/>
      </c>
      <c r="HT88" s="21" t="str">
        <f t="shared" si="108"/>
        <v/>
      </c>
      <c r="HU88" s="21" t="str">
        <f t="shared" si="108"/>
        <v/>
      </c>
      <c r="HV88" s="21" t="str">
        <f t="shared" si="108"/>
        <v/>
      </c>
      <c r="HW88" s="21" t="str">
        <f t="shared" si="108"/>
        <v/>
      </c>
      <c r="HX88" s="21" t="str">
        <f t="shared" si="108"/>
        <v/>
      </c>
      <c r="HY88" s="21" t="str">
        <f t="shared" si="108"/>
        <v/>
      </c>
      <c r="HZ88" s="21" t="str">
        <f t="shared" si="108"/>
        <v/>
      </c>
      <c r="IA88" s="21" t="str">
        <f t="shared" si="108"/>
        <v/>
      </c>
      <c r="IB88" s="21" t="str">
        <f t="shared" si="108"/>
        <v/>
      </c>
      <c r="IC88" s="21" t="str">
        <f t="shared" si="108"/>
        <v/>
      </c>
      <c r="ID88" s="21" t="str">
        <f t="shared" si="108"/>
        <v/>
      </c>
      <c r="IE88" s="21" t="str">
        <f t="shared" si="108"/>
        <v/>
      </c>
      <c r="IF88" s="21" t="str">
        <f t="shared" si="108"/>
        <v/>
      </c>
      <c r="IG88" s="21" t="str">
        <f t="shared" si="108"/>
        <v/>
      </c>
      <c r="IH88" s="21" t="str">
        <f t="shared" si="108"/>
        <v/>
      </c>
      <c r="II88" s="21" t="str">
        <f t="shared" si="108"/>
        <v/>
      </c>
      <c r="IJ88" s="21" t="str">
        <f t="shared" si="108"/>
        <v/>
      </c>
      <c r="IK88" s="21" t="str">
        <f t="shared" si="108"/>
        <v/>
      </c>
      <c r="IL88" s="21" t="str">
        <f t="shared" si="108"/>
        <v/>
      </c>
      <c r="IM88" s="21" t="str">
        <f t="shared" si="108"/>
        <v/>
      </c>
      <c r="IN88" s="21" t="str">
        <f t="shared" si="108"/>
        <v/>
      </c>
      <c r="IO88" s="21" t="str">
        <f t="shared" si="108"/>
        <v/>
      </c>
      <c r="IP88" s="21" t="str">
        <f t="shared" si="108"/>
        <v/>
      </c>
      <c r="IQ88" s="21" t="str">
        <f t="shared" si="108"/>
        <v/>
      </c>
      <c r="IR88" s="21" t="str">
        <f t="shared" si="108"/>
        <v/>
      </c>
      <c r="IS88" s="21" t="str">
        <f t="shared" si="108"/>
        <v/>
      </c>
      <c r="IT88" s="21" t="str">
        <f t="shared" si="108"/>
        <v/>
      </c>
      <c r="IU88" s="21" t="str">
        <f t="shared" si="108"/>
        <v/>
      </c>
      <c r="IV88" s="21" t="str">
        <f t="shared" si="108"/>
        <v/>
      </c>
      <c r="IW88" s="21" t="str">
        <f t="shared" si="108"/>
        <v/>
      </c>
      <c r="IX88" s="21" t="str">
        <f t="shared" si="108"/>
        <v/>
      </c>
      <c r="IY88" s="21" t="str">
        <f t="shared" si="108"/>
        <v/>
      </c>
      <c r="IZ88" s="21" t="str">
        <f t="shared" si="108"/>
        <v/>
      </c>
      <c r="JA88" s="21" t="str">
        <f t="shared" si="108"/>
        <v/>
      </c>
      <c r="JB88" s="21" t="str">
        <f t="shared" si="108"/>
        <v/>
      </c>
      <c r="JC88" s="21" t="str">
        <f t="shared" si="108"/>
        <v/>
      </c>
      <c r="JD88" s="21" t="str">
        <f t="shared" si="108"/>
        <v/>
      </c>
      <c r="JE88" s="21" t="str">
        <f t="shared" si="108"/>
        <v/>
      </c>
      <c r="JF88" s="21" t="str">
        <f t="shared" si="108"/>
        <v/>
      </c>
      <c r="JG88" s="21" t="str">
        <f t="shared" si="108"/>
        <v/>
      </c>
      <c r="JH88" s="21" t="str">
        <f t="shared" si="108"/>
        <v/>
      </c>
    </row>
    <row r="89" spans="1:336" x14ac:dyDescent="0.25"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>
        <f t="shared" ref="AA89:CL89" ca="1" si="109">IF(AA9="","",AVERAGE(S63:Z63)+CONFIDENCE(0.05,STDEV(B63:Z63),COUNT(B63:Z63)))</f>
        <v>1.7213431148853605E-3</v>
      </c>
      <c r="AB89" s="21">
        <f t="shared" ca="1" si="109"/>
        <v>2.0107830229016419E-3</v>
      </c>
      <c r="AC89" s="21">
        <f t="shared" ca="1" si="109"/>
        <v>2.1957647762747448E-3</v>
      </c>
      <c r="AD89" s="21">
        <f t="shared" ca="1" si="109"/>
        <v>2.1700094377498434E-3</v>
      </c>
      <c r="AE89" s="21">
        <f t="shared" ca="1" si="109"/>
        <v>2.0897202660152023E-3</v>
      </c>
      <c r="AF89" s="21">
        <f t="shared" ca="1" si="109"/>
        <v>2.139984150075225E-3</v>
      </c>
      <c r="AG89" s="21">
        <f t="shared" ca="1" si="109"/>
        <v>2.4677410144220485E-3</v>
      </c>
      <c r="AH89" s="21">
        <f t="shared" ca="1" si="109"/>
        <v>3.0996615369523117E-3</v>
      </c>
      <c r="AI89" s="21">
        <f t="shared" ca="1" si="109"/>
        <v>4.0383205937934933E-3</v>
      </c>
      <c r="AJ89" s="21">
        <f t="shared" ca="1" si="109"/>
        <v>4.5259763456062816E-3</v>
      </c>
      <c r="AK89" s="21">
        <f t="shared" ca="1" si="109"/>
        <v>4.8375874808968093E-3</v>
      </c>
      <c r="AL89" s="21">
        <f t="shared" ca="1" si="109"/>
        <v>5.414490213337576E-3</v>
      </c>
      <c r="AM89" s="21">
        <f t="shared" ca="1" si="109"/>
        <v>5.9007268393323434E-3</v>
      </c>
      <c r="AN89" s="21">
        <f t="shared" ca="1" si="109"/>
        <v>6.0839434384310871E-3</v>
      </c>
      <c r="AO89" s="21">
        <f t="shared" ca="1" si="109"/>
        <v>5.8464692139600007E-3</v>
      </c>
      <c r="AP89" s="21">
        <f t="shared" ca="1" si="109"/>
        <v>5.1868511248802851E-3</v>
      </c>
      <c r="AQ89" s="21">
        <f t="shared" ca="1" si="109"/>
        <v>4.1891181000228385E-3</v>
      </c>
      <c r="AR89" s="21">
        <f t="shared" ca="1" si="109"/>
        <v>3.50107612275169E-3</v>
      </c>
      <c r="AS89" s="21">
        <f t="shared" ca="1" si="109"/>
        <v>3.3895925092371003E-3</v>
      </c>
      <c r="AT89" s="21">
        <f t="shared" ca="1" si="109"/>
        <v>3.6636211853765623E-3</v>
      </c>
      <c r="AU89" s="21">
        <f t="shared" ca="1" si="109"/>
        <v>3.7590658736321057E-3</v>
      </c>
      <c r="AV89" s="21">
        <f t="shared" ca="1" si="109"/>
        <v>5.321745496380155E-3</v>
      </c>
      <c r="AW89" s="21">
        <f t="shared" ca="1" si="109"/>
        <v>7.9258063717165487E-3</v>
      </c>
      <c r="AX89" s="21">
        <f t="shared" ca="1" si="109"/>
        <v>1.0808943967187996E-2</v>
      </c>
      <c r="AY89" s="21">
        <f t="shared" ca="1" si="109"/>
        <v>1.3909143943367456E-2</v>
      </c>
      <c r="AZ89" s="21">
        <f t="shared" ca="1" si="109"/>
        <v>1.7427262801655467E-2</v>
      </c>
      <c r="BA89" s="21">
        <f t="shared" ca="1" si="109"/>
        <v>2.0630033390845692E-2</v>
      </c>
      <c r="BB89" s="21">
        <f t="shared" ca="1" si="109"/>
        <v>2.3219043054064522E-2</v>
      </c>
      <c r="BC89" s="21">
        <f t="shared" ca="1" si="109"/>
        <v>2.5099558734043619E-2</v>
      </c>
      <c r="BD89" s="21">
        <f t="shared" ca="1" si="109"/>
        <v>2.4364878758744022E-2</v>
      </c>
      <c r="BE89" s="21">
        <f t="shared" ca="1" si="109"/>
        <v>2.3893283237459002E-2</v>
      </c>
      <c r="BF89" s="21">
        <f t="shared" ca="1" si="109"/>
        <v>2.330070108097726E-2</v>
      </c>
      <c r="BG89" s="21">
        <f t="shared" ca="1" si="109"/>
        <v>2.2484306761712581E-2</v>
      </c>
      <c r="BH89" s="21">
        <f t="shared" ca="1" si="109"/>
        <v>2.2539114560412698E-2</v>
      </c>
      <c r="BI89" s="21">
        <f t="shared" ca="1" si="109"/>
        <v>2.1566223767258884E-2</v>
      </c>
      <c r="BJ89" s="21">
        <f t="shared" ca="1" si="109"/>
        <v>1.9724064836740721E-2</v>
      </c>
      <c r="BK89" s="21">
        <f t="shared" ca="1" si="109"/>
        <v>1.8611336304020405E-2</v>
      </c>
      <c r="BL89" s="21">
        <f t="shared" ca="1" si="109"/>
        <v>1.907892142689796E-2</v>
      </c>
      <c r="BM89" s="21">
        <f t="shared" ca="1" si="109"/>
        <v>2.0856851595837288E-2</v>
      </c>
      <c r="BN89" s="21">
        <f t="shared" ca="1" si="109"/>
        <v>2.2344464865717204E-2</v>
      </c>
      <c r="BO89" s="21">
        <f t="shared" ca="1" si="109"/>
        <v>2.2706529366188964E-2</v>
      </c>
      <c r="BP89" s="21">
        <f t="shared" ca="1" si="109"/>
        <v>2.1319545202038388E-2</v>
      </c>
      <c r="BQ89" s="21">
        <f t="shared" ca="1" si="109"/>
        <v>2.0297438977547766E-2</v>
      </c>
      <c r="BR89" s="21">
        <f t="shared" ca="1" si="109"/>
        <v>2.0467721184712611E-2</v>
      </c>
      <c r="BS89" s="21">
        <f t="shared" ca="1" si="109"/>
        <v>2.0080017970099319E-2</v>
      </c>
      <c r="BT89" s="21">
        <f t="shared" ca="1" si="109"/>
        <v>1.8936424723928775E-2</v>
      </c>
      <c r="BU89" s="21">
        <f t="shared" ca="1" si="109"/>
        <v>1.6549386413718118E-2</v>
      </c>
      <c r="BV89" s="21">
        <f t="shared" ca="1" si="109"/>
        <v>1.4537594938647622E-2</v>
      </c>
      <c r="BW89" s="21">
        <f t="shared" ca="1" si="109"/>
        <v>1.299846217331461E-2</v>
      </c>
      <c r="BX89" s="21">
        <f t="shared" ca="1" si="109"/>
        <v>1.1522828117643182E-2</v>
      </c>
      <c r="BY89" s="21">
        <f t="shared" ca="1" si="109"/>
        <v>1.087776784324463E-2</v>
      </c>
      <c r="BZ89" s="21">
        <f t="shared" ca="1" si="109"/>
        <v>9.7283605821420795E-3</v>
      </c>
      <c r="CA89" s="21">
        <f t="shared" ca="1" si="109"/>
        <v>9.0121883132549471E-3</v>
      </c>
      <c r="CB89" s="21">
        <f t="shared" ca="1" si="109"/>
        <v>9.2262908468808153E-3</v>
      </c>
      <c r="CC89" s="21">
        <f t="shared" ca="1" si="109"/>
        <v>8.6065005360728385E-3</v>
      </c>
      <c r="CD89" s="21">
        <f t="shared" ca="1" si="109"/>
        <v>7.5791599541366814E-3</v>
      </c>
      <c r="CE89" s="21">
        <f t="shared" ca="1" si="109"/>
        <v>7.5026767820835834E-3</v>
      </c>
      <c r="CF89" s="21">
        <f t="shared" ca="1" si="109"/>
        <v>7.6005578296551015E-3</v>
      </c>
      <c r="CG89" s="21">
        <f t="shared" ca="1" si="109"/>
        <v>6.7614564899567834E-3</v>
      </c>
      <c r="CH89" s="21">
        <f t="shared" ca="1" si="109"/>
        <v>6.2966078297913286E-3</v>
      </c>
      <c r="CI89" s="21">
        <f t="shared" ca="1" si="109"/>
        <v>6.4766932521439511E-3</v>
      </c>
      <c r="CJ89" s="21">
        <f t="shared" ca="1" si="109"/>
        <v>6.2695627141177001E-3</v>
      </c>
      <c r="CK89" s="21">
        <f t="shared" ca="1" si="109"/>
        <v>6.4566040139764132E-3</v>
      </c>
      <c r="CL89" s="21">
        <f t="shared" ca="1" si="109"/>
        <v>6.4988135857395116E-3</v>
      </c>
      <c r="CM89" s="21">
        <f t="shared" ref="CM89:EX89" ca="1" si="110">IF(CM9="","",AVERAGE(CE63:CL63)+CONFIDENCE(0.05,STDEV(BN63:CL63),COUNT(BN63:CL63)))</f>
        <v>6.0777676971562056E-3</v>
      </c>
      <c r="CN89" s="21">
        <f t="shared" ca="1" si="110"/>
        <v>6.412010908636352E-3</v>
      </c>
      <c r="CO89" s="21">
        <f t="shared" ca="1" si="110"/>
        <v>6.727628287432107E-3</v>
      </c>
      <c r="CP89" s="21">
        <f t="shared" ca="1" si="110"/>
        <v>6.6980330124212567E-3</v>
      </c>
      <c r="CQ89" s="21">
        <f t="shared" ca="1" si="110"/>
        <v>6.1715354042612648E-3</v>
      </c>
      <c r="CR89" s="21">
        <f t="shared" ca="1" si="110"/>
        <v>6.8069576088401109E-3</v>
      </c>
      <c r="CS89" s="21">
        <f t="shared" ca="1" si="110"/>
        <v>6.5342684225984365E-3</v>
      </c>
      <c r="CT89" s="21">
        <f t="shared" ca="1" si="110"/>
        <v>5.8366848877101172E-3</v>
      </c>
      <c r="CU89" s="21">
        <f t="shared" ca="1" si="110"/>
        <v>4.8827992337382659E-3</v>
      </c>
      <c r="CV89" s="21">
        <f t="shared" ca="1" si="110"/>
        <v>5.4675846800343805E-3</v>
      </c>
      <c r="CW89" s="21">
        <f t="shared" ca="1" si="110"/>
        <v>4.767892210540403E-3</v>
      </c>
      <c r="CX89" s="21">
        <f t="shared" ca="1" si="110"/>
        <v>4.6392252341029483E-3</v>
      </c>
      <c r="CY89" s="21">
        <f t="shared" ca="1" si="110"/>
        <v>4.8444937087002054E-3</v>
      </c>
      <c r="CZ89" s="21">
        <f t="shared" ca="1" si="110"/>
        <v>4.7035349146587286E-3</v>
      </c>
      <c r="DA89" s="21">
        <f t="shared" ca="1" si="110"/>
        <v>4.796080555659072E-3</v>
      </c>
      <c r="DB89" s="21">
        <f t="shared" ca="1" si="110"/>
        <v>5.4396296519691762E-3</v>
      </c>
      <c r="DC89" s="21">
        <f t="shared" ca="1" si="110"/>
        <v>5.6898407343942449E-3</v>
      </c>
      <c r="DD89" s="21">
        <f t="shared" ca="1" si="110"/>
        <v>4.9030442963870786E-3</v>
      </c>
      <c r="DE89" s="21">
        <f t="shared" ca="1" si="110"/>
        <v>5.4089375915340829E-3</v>
      </c>
      <c r="DF89" s="21">
        <f t="shared" ca="1" si="110"/>
        <v>6.7095537247874228E-3</v>
      </c>
      <c r="DG89" s="21">
        <f t="shared" ca="1" si="110"/>
        <v>7.1411007620573123E-3</v>
      </c>
      <c r="DH89" s="21">
        <f t="shared" ca="1" si="110"/>
        <v>7.8083485420005014E-3</v>
      </c>
      <c r="DI89" s="21">
        <f t="shared" ca="1" si="110"/>
        <v>9.4596630004049609E-3</v>
      </c>
      <c r="DJ89" s="21">
        <f t="shared" ca="1" si="110"/>
        <v>1.0218720430990074E-2</v>
      </c>
      <c r="DK89" s="21">
        <f t="shared" ca="1" si="110"/>
        <v>1.0555211200743873E-2</v>
      </c>
      <c r="DL89" s="21">
        <f t="shared" ca="1" si="110"/>
        <v>1.0625057462296056E-2</v>
      </c>
      <c r="DM89" s="21">
        <f t="shared" ca="1" si="110"/>
        <v>1.0108667284955348E-2</v>
      </c>
      <c r="DN89" s="21">
        <f t="shared" ca="1" si="110"/>
        <v>8.7306512377492256E-3</v>
      </c>
      <c r="DO89" s="21">
        <f t="shared" ca="1" si="110"/>
        <v>9.8658500255014332E-3</v>
      </c>
      <c r="DP89" s="21">
        <f t="shared" ca="1" si="110"/>
        <v>1.0442833452626022E-2</v>
      </c>
      <c r="DQ89" s="21">
        <f t="shared" ca="1" si="110"/>
        <v>1.008043530567606E-2</v>
      </c>
      <c r="DR89" s="21">
        <f t="shared" ca="1" si="110"/>
        <v>9.3501807493989696E-3</v>
      </c>
      <c r="DS89" s="21">
        <f t="shared" ca="1" si="110"/>
        <v>8.8253978945173582E-3</v>
      </c>
      <c r="DT89" s="21">
        <f t="shared" ca="1" si="110"/>
        <v>8.8897698168108694E-3</v>
      </c>
      <c r="DU89" s="21">
        <f t="shared" ca="1" si="110"/>
        <v>9.2992615972172371E-3</v>
      </c>
      <c r="DV89" s="21">
        <f t="shared" ca="1" si="110"/>
        <v>9.3347048709892747E-3</v>
      </c>
      <c r="DW89" s="21">
        <f t="shared" ca="1" si="110"/>
        <v>8.5373978449719227E-3</v>
      </c>
      <c r="DX89" s="21">
        <f t="shared" ca="1" si="110"/>
        <v>8.3383132252036474E-3</v>
      </c>
      <c r="DY89" s="21">
        <f t="shared" ca="1" si="110"/>
        <v>7.8738228741091678E-3</v>
      </c>
      <c r="DZ89" s="21">
        <f t="shared" ca="1" si="110"/>
        <v>7.5909784334050549E-3</v>
      </c>
      <c r="EA89" s="21">
        <f t="shared" ca="1" si="110"/>
        <v>7.9537132547948634E-3</v>
      </c>
      <c r="EB89" s="21">
        <f t="shared" ca="1" si="110"/>
        <v>7.3488086050473855E-3</v>
      </c>
      <c r="EC89" s="21">
        <f t="shared" ca="1" si="110"/>
        <v>6.9743069683902877E-3</v>
      </c>
      <c r="ED89" s="21">
        <f t="shared" ca="1" si="110"/>
        <v>7.3101960211442987E-3</v>
      </c>
      <c r="EE89" s="21">
        <f t="shared" ca="1" si="110"/>
        <v>6.5126090114186134E-3</v>
      </c>
      <c r="EF89" s="21">
        <f t="shared" ca="1" si="110"/>
        <v>5.3601057514428285E-3</v>
      </c>
      <c r="EG89" s="21">
        <f t="shared" ca="1" si="110"/>
        <v>4.522983354604904E-3</v>
      </c>
      <c r="EH89" s="21">
        <f t="shared" ca="1" si="110"/>
        <v>4.9028659294537025E-3</v>
      </c>
      <c r="EI89" s="21">
        <f t="shared" ca="1" si="110"/>
        <v>5.5821914128310664E-3</v>
      </c>
      <c r="EJ89" s="21">
        <f t="shared" ca="1" si="110"/>
        <v>6.3191786596706748E-3</v>
      </c>
      <c r="EK89" s="21">
        <f t="shared" ca="1" si="110"/>
        <v>7.440385348719894E-3</v>
      </c>
      <c r="EL89" s="21">
        <f t="shared" ca="1" si="110"/>
        <v>7.2275341049895456E-3</v>
      </c>
      <c r="EM89" s="21">
        <f t="shared" ca="1" si="110"/>
        <v>7.3023238846295947E-3</v>
      </c>
      <c r="EN89" s="21">
        <f t="shared" ca="1" si="110"/>
        <v>7.1023937797621318E-3</v>
      </c>
      <c r="EO89" s="21">
        <f t="shared" ca="1" si="110"/>
        <v>7.1975458131860598E-3</v>
      </c>
      <c r="EP89" s="21">
        <f t="shared" ca="1" si="110"/>
        <v>6.2739145310579678E-3</v>
      </c>
      <c r="EQ89" s="21">
        <f t="shared" ca="1" si="110"/>
        <v>5.1573453421372454E-3</v>
      </c>
      <c r="ER89" s="21">
        <f t="shared" ca="1" si="110"/>
        <v>5.3228228316802408E-3</v>
      </c>
      <c r="ES89" s="21">
        <f t="shared" ca="1" si="110"/>
        <v>4.2686627735585023E-3</v>
      </c>
      <c r="ET89" s="21">
        <f t="shared" ca="1" si="110"/>
        <v>4.6715632775586281E-3</v>
      </c>
      <c r="EU89" s="21">
        <f t="shared" ca="1" si="110"/>
        <v>4.401185691201231E-3</v>
      </c>
      <c r="EV89" s="21">
        <f t="shared" ca="1" si="110"/>
        <v>4.4136104299211457E-3</v>
      </c>
      <c r="EW89" s="21">
        <f t="shared" ca="1" si="110"/>
        <v>4.1574150784299182E-3</v>
      </c>
      <c r="EX89" s="21">
        <f t="shared" ca="1" si="110"/>
        <v>4.5061323139754649E-3</v>
      </c>
      <c r="EY89" s="21">
        <f t="shared" ref="EY89:HJ89" ca="1" si="111">IF(EY9="","",AVERAGE(EQ63:EX63)+CONFIDENCE(0.05,STDEV(DZ63:EX63),COUNT(DZ63:EX63)))</f>
        <v>4.8287816427079154E-3</v>
      </c>
      <c r="EZ89" s="21">
        <f t="shared" ca="1" si="111"/>
        <v>4.1682360912523196E-3</v>
      </c>
      <c r="FA89" s="21">
        <f t="shared" ca="1" si="111"/>
        <v>4.3107721305626172E-3</v>
      </c>
      <c r="FB89" s="21">
        <f t="shared" ca="1" si="111"/>
        <v>3.9525190966603931E-3</v>
      </c>
      <c r="FC89" s="21">
        <f t="shared" ca="1" si="111"/>
        <v>3.8954020664032948E-3</v>
      </c>
      <c r="FD89" s="21">
        <f t="shared" ca="1" si="111"/>
        <v>4.1538947089836834E-3</v>
      </c>
      <c r="FE89" s="21">
        <f t="shared" ca="1" si="111"/>
        <v>4.3538875377431537E-3</v>
      </c>
      <c r="FF89" s="21">
        <f t="shared" ca="1" si="111"/>
        <v>4.0386973586868571E-3</v>
      </c>
      <c r="FG89" s="21">
        <f t="shared" ca="1" si="111"/>
        <v>4.5046122639327965E-3</v>
      </c>
      <c r="FH89" s="21">
        <f t="shared" ca="1" si="111"/>
        <v>5.0891198397939354E-3</v>
      </c>
      <c r="FI89" s="21">
        <f t="shared" ca="1" si="111"/>
        <v>5.3592420219037568E-3</v>
      </c>
      <c r="FJ89" s="21">
        <f t="shared" ca="1" si="111"/>
        <v>6.275960544524911E-3</v>
      </c>
      <c r="FK89" s="21">
        <f t="shared" ca="1" si="111"/>
        <v>7.6161319374933095E-3</v>
      </c>
      <c r="FL89" s="21">
        <f t="shared" ca="1" si="111"/>
        <v>7.7743789576837641E-3</v>
      </c>
      <c r="FM89" s="21">
        <f t="shared" ca="1" si="111"/>
        <v>7.7055464961758979E-3</v>
      </c>
      <c r="FN89" s="21">
        <f t="shared" ca="1" si="111"/>
        <v>9.1646487767907403E-3</v>
      </c>
      <c r="FO89" s="21">
        <f t="shared" ca="1" si="111"/>
        <v>1.0783693951376815E-2</v>
      </c>
      <c r="FP89" s="21">
        <f t="shared" ca="1" si="111"/>
        <v>1.0755028809531926E-2</v>
      </c>
      <c r="FQ89" s="21">
        <f t="shared" ca="1" si="111"/>
        <v>1.102982761415915E-2</v>
      </c>
      <c r="FR89" s="21">
        <f t="shared" ca="1" si="111"/>
        <v>1.0966118947292134E-2</v>
      </c>
      <c r="FS89" s="21">
        <f t="shared" ca="1" si="111"/>
        <v>1.0052008260912784E-2</v>
      </c>
      <c r="FT89" s="21">
        <f t="shared" ca="1" si="111"/>
        <v>9.4584468670071871E-3</v>
      </c>
      <c r="FU89" s="21">
        <f t="shared" ca="1" si="111"/>
        <v>9.3810836936308196E-3</v>
      </c>
      <c r="FV89" s="21">
        <f t="shared" ca="1" si="111"/>
        <v>8.1519161425113538E-3</v>
      </c>
      <c r="FW89" s="21">
        <f t="shared" ca="1" si="111"/>
        <v>6.2386945414577653E-3</v>
      </c>
      <c r="FX89" s="21">
        <f t="shared" ca="1" si="111"/>
        <v>5.5544536495439317E-3</v>
      </c>
      <c r="FY89" s="21">
        <f t="shared" ca="1" si="111"/>
        <v>5.6846731180819517E-3</v>
      </c>
      <c r="FZ89" s="21">
        <f t="shared" ca="1" si="111"/>
        <v>5.1189144170412093E-3</v>
      </c>
      <c r="GA89" s="21">
        <f t="shared" ca="1" si="111"/>
        <v>5.9875660452034154E-3</v>
      </c>
      <c r="GB89" s="21">
        <f t="shared" ca="1" si="111"/>
        <v>6.0058168295860316E-3</v>
      </c>
      <c r="GC89" s="21">
        <f t="shared" ca="1" si="111"/>
        <v>5.6555620159431733E-3</v>
      </c>
      <c r="GD89" s="21">
        <f t="shared" ca="1" si="111"/>
        <v>5.5074060927876034E-3</v>
      </c>
      <c r="GE89" s="21">
        <f t="shared" ca="1" si="111"/>
        <v>5.7210943054515073E-3</v>
      </c>
      <c r="GF89" s="21">
        <f t="shared" ca="1" si="111"/>
        <v>5.9720805845937218E-3</v>
      </c>
      <c r="GG89" s="21">
        <f t="shared" ca="1" si="111"/>
        <v>5.5616896535285671E-3</v>
      </c>
      <c r="GH89" s="21">
        <f t="shared" ca="1" si="111"/>
        <v>5.438087366820471E-3</v>
      </c>
      <c r="GI89" s="21">
        <f t="shared" ca="1" si="111"/>
        <v>4.2205731023973268E-3</v>
      </c>
      <c r="GJ89" s="21">
        <f t="shared" ca="1" si="111"/>
        <v>7.4550850005879049E-3</v>
      </c>
      <c r="GK89" s="21">
        <f t="shared" ca="1" si="111"/>
        <v>1.138899111112371E-2</v>
      </c>
      <c r="GL89" s="21">
        <f t="shared" ca="1" si="111"/>
        <v>1.414680468736482E-2</v>
      </c>
      <c r="GM89" s="21">
        <f t="shared" ca="1" si="111"/>
        <v>1.5152037692908217E-2</v>
      </c>
      <c r="GN89" s="21">
        <f t="shared" ca="1" si="111"/>
        <v>1.5185632625892084E-2</v>
      </c>
      <c r="GO89" s="21">
        <f t="shared" ca="1" si="111"/>
        <v>1.5623744801042104E-2</v>
      </c>
      <c r="GP89" s="21">
        <f t="shared" ca="1" si="111"/>
        <v>1.5733535984794988E-2</v>
      </c>
      <c r="GQ89" s="21">
        <f t="shared" ca="1" si="111"/>
        <v>2.0888921364329807E-2</v>
      </c>
      <c r="GR89" s="21">
        <f t="shared" ca="1" si="111"/>
        <v>2.2666210787690346E-2</v>
      </c>
      <c r="GS89" s="21">
        <f t="shared" ca="1" si="111"/>
        <v>2.1897537928035588E-2</v>
      </c>
      <c r="GT89" s="21">
        <f t="shared" ca="1" si="111"/>
        <v>2.1534700010579486E-2</v>
      </c>
      <c r="GU89" s="21">
        <f t="shared" ca="1" si="111"/>
        <v>2.2519351086627538E-2</v>
      </c>
      <c r="GV89" s="21">
        <f t="shared" ca="1" si="111"/>
        <v>2.4954951914953998E-2</v>
      </c>
      <c r="GW89" s="21">
        <f t="shared" ca="1" si="111"/>
        <v>2.8228027896853823E-2</v>
      </c>
      <c r="GX89" s="21">
        <f t="shared" ca="1" si="111"/>
        <v>3.4805858439653295E-2</v>
      </c>
      <c r="GY89" s="21">
        <f t="shared" ca="1" si="111"/>
        <v>3.2140473977160057E-2</v>
      </c>
      <c r="GZ89" s="21">
        <f t="shared" ca="1" si="111"/>
        <v>2.6270034407810741E-2</v>
      </c>
      <c r="HA89" s="21" t="str">
        <f t="shared" si="111"/>
        <v/>
      </c>
      <c r="HB89" s="21" t="str">
        <f t="shared" si="111"/>
        <v/>
      </c>
      <c r="HC89" s="21" t="str">
        <f t="shared" si="111"/>
        <v/>
      </c>
      <c r="HD89" s="21" t="str">
        <f t="shared" si="111"/>
        <v/>
      </c>
      <c r="HE89" s="21" t="str">
        <f t="shared" si="111"/>
        <v/>
      </c>
      <c r="HF89" s="21" t="str">
        <f t="shared" si="111"/>
        <v/>
      </c>
      <c r="HG89" s="21" t="str">
        <f t="shared" si="111"/>
        <v/>
      </c>
      <c r="HH89" s="21" t="str">
        <f t="shared" si="111"/>
        <v/>
      </c>
      <c r="HI89" s="21" t="str">
        <f t="shared" si="111"/>
        <v/>
      </c>
      <c r="HJ89" s="21" t="str">
        <f t="shared" si="111"/>
        <v/>
      </c>
      <c r="HK89" s="21" t="str">
        <f t="shared" ref="HK89:JH89" si="112">IF(HK9="","",AVERAGE(HC63:HJ63)+CONFIDENCE(0.05,STDEV(GL63:HJ63),COUNT(GL63:HJ63)))</f>
        <v/>
      </c>
      <c r="HL89" s="21" t="str">
        <f t="shared" si="112"/>
        <v/>
      </c>
      <c r="HM89" s="21" t="str">
        <f t="shared" si="112"/>
        <v/>
      </c>
      <c r="HN89" s="21" t="str">
        <f t="shared" si="112"/>
        <v/>
      </c>
      <c r="HO89" s="21" t="str">
        <f t="shared" si="112"/>
        <v/>
      </c>
      <c r="HP89" s="21" t="str">
        <f t="shared" si="112"/>
        <v/>
      </c>
      <c r="HQ89" s="21" t="str">
        <f t="shared" si="112"/>
        <v/>
      </c>
      <c r="HR89" s="21" t="str">
        <f t="shared" si="112"/>
        <v/>
      </c>
      <c r="HS89" s="21" t="str">
        <f t="shared" si="112"/>
        <v/>
      </c>
      <c r="HT89" s="21" t="str">
        <f t="shared" si="112"/>
        <v/>
      </c>
      <c r="HU89" s="21" t="str">
        <f t="shared" si="112"/>
        <v/>
      </c>
      <c r="HV89" s="21" t="str">
        <f t="shared" si="112"/>
        <v/>
      </c>
      <c r="HW89" s="21" t="str">
        <f t="shared" si="112"/>
        <v/>
      </c>
      <c r="HX89" s="21" t="str">
        <f t="shared" si="112"/>
        <v/>
      </c>
      <c r="HY89" s="21" t="str">
        <f t="shared" si="112"/>
        <v/>
      </c>
      <c r="HZ89" s="21" t="str">
        <f t="shared" si="112"/>
        <v/>
      </c>
      <c r="IA89" s="21" t="str">
        <f t="shared" si="112"/>
        <v/>
      </c>
      <c r="IB89" s="21" t="str">
        <f t="shared" si="112"/>
        <v/>
      </c>
      <c r="IC89" s="21" t="str">
        <f t="shared" si="112"/>
        <v/>
      </c>
      <c r="ID89" s="21" t="str">
        <f t="shared" si="112"/>
        <v/>
      </c>
      <c r="IE89" s="21" t="str">
        <f t="shared" si="112"/>
        <v/>
      </c>
      <c r="IF89" s="21" t="str">
        <f t="shared" si="112"/>
        <v/>
      </c>
      <c r="IG89" s="21" t="str">
        <f t="shared" si="112"/>
        <v/>
      </c>
      <c r="IH89" s="21" t="str">
        <f t="shared" si="112"/>
        <v/>
      </c>
      <c r="II89" s="21" t="str">
        <f t="shared" si="112"/>
        <v/>
      </c>
      <c r="IJ89" s="21" t="str">
        <f t="shared" si="112"/>
        <v/>
      </c>
      <c r="IK89" s="21" t="str">
        <f t="shared" si="112"/>
        <v/>
      </c>
      <c r="IL89" s="21" t="str">
        <f t="shared" si="112"/>
        <v/>
      </c>
      <c r="IM89" s="21" t="str">
        <f t="shared" si="112"/>
        <v/>
      </c>
      <c r="IN89" s="21" t="str">
        <f t="shared" si="112"/>
        <v/>
      </c>
      <c r="IO89" s="21" t="str">
        <f t="shared" si="112"/>
        <v/>
      </c>
      <c r="IP89" s="21" t="str">
        <f t="shared" si="112"/>
        <v/>
      </c>
      <c r="IQ89" s="21" t="str">
        <f t="shared" si="112"/>
        <v/>
      </c>
      <c r="IR89" s="21" t="str">
        <f t="shared" si="112"/>
        <v/>
      </c>
      <c r="IS89" s="21" t="str">
        <f t="shared" si="112"/>
        <v/>
      </c>
      <c r="IT89" s="21" t="str">
        <f t="shared" si="112"/>
        <v/>
      </c>
      <c r="IU89" s="21" t="str">
        <f t="shared" si="112"/>
        <v/>
      </c>
      <c r="IV89" s="21" t="str">
        <f t="shared" si="112"/>
        <v/>
      </c>
      <c r="IW89" s="21" t="str">
        <f t="shared" si="112"/>
        <v/>
      </c>
      <c r="IX89" s="21" t="str">
        <f t="shared" si="112"/>
        <v/>
      </c>
      <c r="IY89" s="21" t="str">
        <f t="shared" si="112"/>
        <v/>
      </c>
      <c r="IZ89" s="21" t="str">
        <f t="shared" si="112"/>
        <v/>
      </c>
      <c r="JA89" s="21" t="str">
        <f t="shared" si="112"/>
        <v/>
      </c>
      <c r="JB89" s="21" t="str">
        <f t="shared" si="112"/>
        <v/>
      </c>
      <c r="JC89" s="21" t="str">
        <f t="shared" si="112"/>
        <v/>
      </c>
      <c r="JD89" s="21" t="str">
        <f t="shared" si="112"/>
        <v/>
      </c>
      <c r="JE89" s="21" t="str">
        <f t="shared" si="112"/>
        <v/>
      </c>
      <c r="JF89" s="21" t="str">
        <f t="shared" si="112"/>
        <v/>
      </c>
      <c r="JG89" s="21" t="str">
        <f t="shared" si="112"/>
        <v/>
      </c>
      <c r="JH89" s="21" t="str">
        <f t="shared" si="112"/>
        <v/>
      </c>
    </row>
    <row r="90" spans="1:336" x14ac:dyDescent="0.25"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>
        <f t="shared" ref="AA90:CL90" ca="1" si="113">IF(AA10="","",AVERAGE(R64:Z64)+CONFIDENCE(0.05,STDEV(B64:Z64),COUNT(B64:Z64)))</f>
        <v>1.8780181950770938E-3</v>
      </c>
      <c r="AB90" s="21">
        <f t="shared" ca="1" si="113"/>
        <v>2.0158810446599738E-3</v>
      </c>
      <c r="AC90" s="21">
        <f t="shared" ca="1" si="113"/>
        <v>2.1581448566102826E-3</v>
      </c>
      <c r="AD90" s="21">
        <f t="shared" ca="1" si="113"/>
        <v>2.1563750292749469E-3</v>
      </c>
      <c r="AE90" s="21">
        <f t="shared" ca="1" si="113"/>
        <v>2.3122212774831625E-3</v>
      </c>
      <c r="AF90" s="21">
        <f t="shared" ca="1" si="113"/>
        <v>2.2810831500492392E-3</v>
      </c>
      <c r="AG90" s="21">
        <f t="shared" ca="1" si="113"/>
        <v>2.6941745478393825E-3</v>
      </c>
      <c r="AH90" s="21">
        <f t="shared" ca="1" si="113"/>
        <v>3.546793985002729E-3</v>
      </c>
      <c r="AI90" s="21">
        <f t="shared" ca="1" si="113"/>
        <v>4.6480557390960403E-3</v>
      </c>
      <c r="AJ90" s="21">
        <f t="shared" ca="1" si="113"/>
        <v>5.1759507827613361E-3</v>
      </c>
      <c r="AK90" s="21">
        <f t="shared" ca="1" si="113"/>
        <v>5.5493321413951219E-3</v>
      </c>
      <c r="AL90" s="21">
        <f t="shared" ca="1" si="113"/>
        <v>6.0755971879811865E-3</v>
      </c>
      <c r="AM90" s="21">
        <f t="shared" ca="1" si="113"/>
        <v>6.4890474884979968E-3</v>
      </c>
      <c r="AN90" s="21">
        <f t="shared" ca="1" si="113"/>
        <v>6.5132418583858332E-3</v>
      </c>
      <c r="AO90" s="21">
        <f t="shared" ca="1" si="113"/>
        <v>6.5043138783206543E-3</v>
      </c>
      <c r="AP90" s="21">
        <f t="shared" ca="1" si="113"/>
        <v>6.1370497080458896E-3</v>
      </c>
      <c r="AQ90" s="21">
        <f t="shared" ca="1" si="113"/>
        <v>5.4917208370128994E-3</v>
      </c>
      <c r="AR90" s="21">
        <f t="shared" ca="1" si="113"/>
        <v>4.6278238602284931E-3</v>
      </c>
      <c r="AS90" s="21">
        <f t="shared" ca="1" si="113"/>
        <v>4.6242119774090856E-3</v>
      </c>
      <c r="AT90" s="21">
        <f t="shared" ca="1" si="113"/>
        <v>5.191195252978285E-3</v>
      </c>
      <c r="AU90" s="21">
        <f t="shared" ca="1" si="113"/>
        <v>5.6535989140754569E-3</v>
      </c>
      <c r="AV90" s="21">
        <f t="shared" ca="1" si="113"/>
        <v>7.5487929006273448E-3</v>
      </c>
      <c r="AW90" s="21">
        <f t="shared" ca="1" si="113"/>
        <v>1.0270825602190951E-2</v>
      </c>
      <c r="AX90" s="21">
        <f t="shared" ca="1" si="113"/>
        <v>1.3352265129690599E-2</v>
      </c>
      <c r="AY90" s="21">
        <f t="shared" ca="1" si="113"/>
        <v>1.6717696685231574E-2</v>
      </c>
      <c r="AZ90" s="21">
        <f t="shared" ca="1" si="113"/>
        <v>2.0336206724950616E-2</v>
      </c>
      <c r="BA90" s="21">
        <f t="shared" ca="1" si="113"/>
        <v>2.4216557470824379E-2</v>
      </c>
      <c r="BB90" s="21">
        <f t="shared" ca="1" si="113"/>
        <v>2.7405075789223195E-2</v>
      </c>
      <c r="BC90" s="21">
        <f t="shared" ca="1" si="113"/>
        <v>2.9050434998232167E-2</v>
      </c>
      <c r="BD90" s="21">
        <f t="shared" ca="1" si="113"/>
        <v>2.9206085988856476E-2</v>
      </c>
      <c r="BE90" s="21">
        <f t="shared" ca="1" si="113"/>
        <v>2.9410560938607881E-2</v>
      </c>
      <c r="BF90" s="21">
        <f t="shared" ca="1" si="113"/>
        <v>2.8866876388136044E-2</v>
      </c>
      <c r="BG90" s="21">
        <f t="shared" ca="1" si="113"/>
        <v>2.797476407108522E-2</v>
      </c>
      <c r="BH90" s="21">
        <f t="shared" ca="1" si="113"/>
        <v>2.810934329998744E-2</v>
      </c>
      <c r="BI90" s="21">
        <f t="shared" ca="1" si="113"/>
        <v>2.6887201302529428E-2</v>
      </c>
      <c r="BJ90" s="21">
        <f t="shared" ca="1" si="113"/>
        <v>2.4521269081379995E-2</v>
      </c>
      <c r="BK90" s="21">
        <f t="shared" ca="1" si="113"/>
        <v>2.2170742351385678E-2</v>
      </c>
      <c r="BL90" s="21">
        <f t="shared" ca="1" si="113"/>
        <v>2.1384037059895559E-2</v>
      </c>
      <c r="BM90" s="21">
        <f t="shared" ca="1" si="113"/>
        <v>2.4013929198400015E-2</v>
      </c>
      <c r="BN90" s="21">
        <f t="shared" ca="1" si="113"/>
        <v>2.5360834226801215E-2</v>
      </c>
      <c r="BO90" s="21">
        <f t="shared" ca="1" si="113"/>
        <v>2.5904064476771828E-2</v>
      </c>
      <c r="BP90" s="21">
        <f t="shared" ca="1" si="113"/>
        <v>2.5804341116336206E-2</v>
      </c>
      <c r="BQ90" s="21">
        <f t="shared" ca="1" si="113"/>
        <v>2.3994414238163356E-2</v>
      </c>
      <c r="BR90" s="21">
        <f t="shared" ca="1" si="113"/>
        <v>2.3645924407500518E-2</v>
      </c>
      <c r="BS90" s="21">
        <f t="shared" ca="1" si="113"/>
        <v>2.3634090328814882E-2</v>
      </c>
      <c r="BT90" s="21">
        <f t="shared" ca="1" si="113"/>
        <v>2.2869855300667753E-2</v>
      </c>
      <c r="BU90" s="21">
        <f t="shared" ca="1" si="113"/>
        <v>2.2242325459297798E-2</v>
      </c>
      <c r="BV90" s="21">
        <f t="shared" ca="1" si="113"/>
        <v>1.989059965268912E-2</v>
      </c>
      <c r="BW90" s="21">
        <f t="shared" ca="1" si="113"/>
        <v>1.7153186462532877E-2</v>
      </c>
      <c r="BX90" s="21">
        <f t="shared" ca="1" si="113"/>
        <v>1.4831174114289898E-2</v>
      </c>
      <c r="BY90" s="21">
        <f t="shared" ca="1" si="113"/>
        <v>1.3700268999667213E-2</v>
      </c>
      <c r="BZ90" s="21">
        <f t="shared" ca="1" si="113"/>
        <v>1.2864611428575461E-2</v>
      </c>
      <c r="CA90" s="21">
        <f t="shared" ca="1" si="113"/>
        <v>1.1233365302089533E-2</v>
      </c>
      <c r="CB90" s="21">
        <f t="shared" ca="1" si="113"/>
        <v>1.018848231934401E-2</v>
      </c>
      <c r="CC90" s="21">
        <f t="shared" ca="1" si="113"/>
        <v>1.0544727187793167E-2</v>
      </c>
      <c r="CD90" s="21">
        <f t="shared" ca="1" si="113"/>
        <v>9.4533839632738245E-3</v>
      </c>
      <c r="CE90" s="21">
        <f t="shared" ca="1" si="113"/>
        <v>8.9731820882785421E-3</v>
      </c>
      <c r="CF90" s="21">
        <f t="shared" ca="1" si="113"/>
        <v>8.7527634642499547E-3</v>
      </c>
      <c r="CG90" s="21">
        <f t="shared" ca="1" si="113"/>
        <v>8.6013278206889306E-3</v>
      </c>
      <c r="CH90" s="21">
        <f t="shared" ca="1" si="113"/>
        <v>7.7853892373553769E-3</v>
      </c>
      <c r="CI90" s="21">
        <f t="shared" ca="1" si="113"/>
        <v>7.585676667873101E-3</v>
      </c>
      <c r="CJ90" s="21">
        <f t="shared" ca="1" si="113"/>
        <v>7.3076413593442351E-3</v>
      </c>
      <c r="CK90" s="21">
        <f t="shared" ca="1" si="113"/>
        <v>7.6404375925309496E-3</v>
      </c>
      <c r="CL90" s="21">
        <f t="shared" ca="1" si="113"/>
        <v>7.3650733809242242E-3</v>
      </c>
      <c r="CM90" s="21">
        <f t="shared" ref="CM90:EX90" ca="1" si="114">IF(CM10="","",AVERAGE(CD64:CL64)+CONFIDENCE(0.05,STDEV(BN64:CL64),COUNT(BN64:CL64)))</f>
        <v>7.6411206500931195E-3</v>
      </c>
      <c r="CN90" s="21">
        <f t="shared" ca="1" si="114"/>
        <v>7.850073501512525E-3</v>
      </c>
      <c r="CO90" s="21">
        <f t="shared" ca="1" si="114"/>
        <v>7.6076032169221149E-3</v>
      </c>
      <c r="CP90" s="21">
        <f t="shared" ca="1" si="114"/>
        <v>7.6678791697249032E-3</v>
      </c>
      <c r="CQ90" s="21">
        <f t="shared" ca="1" si="114"/>
        <v>7.4530081320338063E-3</v>
      </c>
      <c r="CR90" s="21">
        <f t="shared" ca="1" si="114"/>
        <v>7.4172733048944572E-3</v>
      </c>
      <c r="CS90" s="21">
        <f t="shared" ca="1" si="114"/>
        <v>7.7088722294730901E-3</v>
      </c>
      <c r="CT90" s="21">
        <f t="shared" ca="1" si="114"/>
        <v>7.2209468634145853E-3</v>
      </c>
      <c r="CU90" s="21">
        <f t="shared" ca="1" si="114"/>
        <v>6.2017502902243053E-3</v>
      </c>
      <c r="CV90" s="21">
        <f t="shared" ca="1" si="114"/>
        <v>6.8081069707666697E-3</v>
      </c>
      <c r="CW90" s="21">
        <f t="shared" ca="1" si="114"/>
        <v>5.3310967458769058E-3</v>
      </c>
      <c r="CX90" s="21">
        <f t="shared" ca="1" si="114"/>
        <v>5.1548580349542227E-3</v>
      </c>
      <c r="CY90" s="21">
        <f t="shared" ca="1" si="114"/>
        <v>5.1934309773335359E-3</v>
      </c>
      <c r="CZ90" s="21">
        <f t="shared" ca="1" si="114"/>
        <v>5.3893660864451614E-3</v>
      </c>
      <c r="DA90" s="21">
        <f t="shared" ca="1" si="114"/>
        <v>5.573838586860059E-3</v>
      </c>
      <c r="DB90" s="21">
        <f t="shared" ca="1" si="114"/>
        <v>5.8081263890662517E-3</v>
      </c>
      <c r="DC90" s="21">
        <f t="shared" ca="1" si="114"/>
        <v>6.2665384666375518E-3</v>
      </c>
      <c r="DD90" s="21">
        <f t="shared" ca="1" si="114"/>
        <v>7.1937782264522628E-3</v>
      </c>
      <c r="DE90" s="21">
        <f t="shared" ca="1" si="114"/>
        <v>6.5788176018359559E-3</v>
      </c>
      <c r="DF90" s="21">
        <f t="shared" ca="1" si="114"/>
        <v>8.3777407445935724E-3</v>
      </c>
      <c r="DG90" s="21">
        <f t="shared" ca="1" si="114"/>
        <v>8.7546997236089674E-3</v>
      </c>
      <c r="DH90" s="21">
        <f t="shared" ca="1" si="114"/>
        <v>9.6373633351940838E-3</v>
      </c>
      <c r="DI90" s="21">
        <f t="shared" ca="1" si="114"/>
        <v>1.1594892891181549E-2</v>
      </c>
      <c r="DJ90" s="21">
        <f t="shared" ca="1" si="114"/>
        <v>1.2552960241829281E-2</v>
      </c>
      <c r="DK90" s="21">
        <f t="shared" ca="1" si="114"/>
        <v>1.2906590581857664E-2</v>
      </c>
      <c r="DL90" s="21">
        <f t="shared" ca="1" si="114"/>
        <v>1.2918001666014456E-2</v>
      </c>
      <c r="DM90" s="21">
        <f t="shared" ca="1" si="114"/>
        <v>1.2098021243440078E-2</v>
      </c>
      <c r="DN90" s="21">
        <f t="shared" ca="1" si="114"/>
        <v>1.1413941165051684E-2</v>
      </c>
      <c r="DO90" s="21">
        <f t="shared" ca="1" si="114"/>
        <v>1.220450319220103E-2</v>
      </c>
      <c r="DP90" s="21">
        <f t="shared" ca="1" si="114"/>
        <v>1.3220085337210492E-2</v>
      </c>
      <c r="DQ90" s="21">
        <f t="shared" ca="1" si="114"/>
        <v>1.3634736817577181E-2</v>
      </c>
      <c r="DR90" s="21">
        <f t="shared" ca="1" si="114"/>
        <v>1.2070604751432278E-2</v>
      </c>
      <c r="DS90" s="21">
        <f t="shared" ca="1" si="114"/>
        <v>1.0818603580034985E-2</v>
      </c>
      <c r="DT90" s="21">
        <f t="shared" ca="1" si="114"/>
        <v>1.0601662409945017E-2</v>
      </c>
      <c r="DU90" s="21">
        <f t="shared" ca="1" si="114"/>
        <v>1.0417202941370957E-2</v>
      </c>
      <c r="DV90" s="21">
        <f t="shared" ca="1" si="114"/>
        <v>1.0299045423672134E-2</v>
      </c>
      <c r="DW90" s="21">
        <f t="shared" ca="1" si="114"/>
        <v>1.1255278515867211E-2</v>
      </c>
      <c r="DX90" s="21">
        <f t="shared" ca="1" si="114"/>
        <v>1.0692783022925909E-2</v>
      </c>
      <c r="DY90" s="21">
        <f t="shared" ca="1" si="114"/>
        <v>9.9338248983624911E-3</v>
      </c>
      <c r="DZ90" s="21">
        <f t="shared" ca="1" si="114"/>
        <v>8.6747275818713637E-3</v>
      </c>
      <c r="EA90" s="21">
        <f t="shared" ca="1" si="114"/>
        <v>8.7619007176346249E-3</v>
      </c>
      <c r="EB90" s="21">
        <f t="shared" ca="1" si="114"/>
        <v>8.6858959084152847E-3</v>
      </c>
      <c r="EC90" s="21">
        <f t="shared" ca="1" si="114"/>
        <v>7.9828498391480863E-3</v>
      </c>
      <c r="ED90" s="21">
        <f t="shared" ca="1" si="114"/>
        <v>7.6741651396899464E-3</v>
      </c>
      <c r="EE90" s="21">
        <f t="shared" ca="1" si="114"/>
        <v>8.1623882346480593E-3</v>
      </c>
      <c r="EF90" s="21">
        <f t="shared" ca="1" si="114"/>
        <v>7.3050656747168097E-3</v>
      </c>
      <c r="EG90" s="21">
        <f t="shared" ca="1" si="114"/>
        <v>6.0049151646333968E-3</v>
      </c>
      <c r="EH90" s="21">
        <f t="shared" ca="1" si="114"/>
        <v>5.763855273904008E-3</v>
      </c>
      <c r="EI90" s="21">
        <f t="shared" ca="1" si="114"/>
        <v>6.6009628440195627E-3</v>
      </c>
      <c r="EJ90" s="21">
        <f t="shared" ca="1" si="114"/>
        <v>7.1190214681349801E-3</v>
      </c>
      <c r="EK90" s="21">
        <f t="shared" ca="1" si="114"/>
        <v>7.7575419478376345E-3</v>
      </c>
      <c r="EL90" s="21">
        <f t="shared" ca="1" si="114"/>
        <v>8.0368480590574908E-3</v>
      </c>
      <c r="EM90" s="21">
        <f t="shared" ca="1" si="114"/>
        <v>8.2639585708331603E-3</v>
      </c>
      <c r="EN90" s="21">
        <f t="shared" ca="1" si="114"/>
        <v>7.6617440649992897E-3</v>
      </c>
      <c r="EO90" s="21">
        <f t="shared" ca="1" si="114"/>
        <v>7.7966518363247247E-3</v>
      </c>
      <c r="EP90" s="21">
        <f t="shared" ca="1" si="114"/>
        <v>7.650329850128295E-3</v>
      </c>
      <c r="EQ90" s="21">
        <f t="shared" ca="1" si="114"/>
        <v>6.7415570444123336E-3</v>
      </c>
      <c r="ER90" s="21">
        <f t="shared" ca="1" si="114"/>
        <v>6.7080693678654019E-3</v>
      </c>
      <c r="ES90" s="21">
        <f t="shared" ca="1" si="114"/>
        <v>5.5960852734440996E-3</v>
      </c>
      <c r="ET90" s="21">
        <f t="shared" ca="1" si="114"/>
        <v>5.1661697179139323E-3</v>
      </c>
      <c r="EU90" s="21">
        <f t="shared" ca="1" si="114"/>
        <v>5.0738207546910281E-3</v>
      </c>
      <c r="EV90" s="21">
        <f t="shared" ca="1" si="114"/>
        <v>4.9985592104552813E-3</v>
      </c>
      <c r="EW90" s="21">
        <f t="shared" ca="1" si="114"/>
        <v>4.7351894809298063E-3</v>
      </c>
      <c r="EX90" s="21">
        <f t="shared" ca="1" si="114"/>
        <v>4.8176566465396743E-3</v>
      </c>
      <c r="EY90" s="21">
        <f t="shared" ref="EY90:HJ90" ca="1" si="115">IF(EY10="","",AVERAGE(EP64:EX64)+CONFIDENCE(0.05,STDEV(DZ64:EX64),COUNT(DZ64:EX64)))</f>
        <v>5.035408380051223E-3</v>
      </c>
      <c r="EZ90" s="21">
        <f t="shared" ca="1" si="115"/>
        <v>5.5415651379423121E-3</v>
      </c>
      <c r="FA90" s="21">
        <f t="shared" ca="1" si="115"/>
        <v>4.5243018117573953E-3</v>
      </c>
      <c r="FB90" s="21">
        <f t="shared" ca="1" si="115"/>
        <v>4.5388081349971975E-3</v>
      </c>
      <c r="FC90" s="21">
        <f t="shared" ca="1" si="115"/>
        <v>4.0157114027429743E-3</v>
      </c>
      <c r="FD90" s="21">
        <f t="shared" ca="1" si="115"/>
        <v>4.4097271839979198E-3</v>
      </c>
      <c r="FE90" s="21">
        <f t="shared" ca="1" si="115"/>
        <v>4.5588595847789529E-3</v>
      </c>
      <c r="FF90" s="21">
        <f t="shared" ca="1" si="115"/>
        <v>4.8823397265651243E-3</v>
      </c>
      <c r="FG90" s="21">
        <f t="shared" ca="1" si="115"/>
        <v>5.3846498716084244E-3</v>
      </c>
      <c r="FH90" s="21">
        <f t="shared" ca="1" si="115"/>
        <v>5.6612219811198695E-3</v>
      </c>
      <c r="FI90" s="21">
        <f t="shared" ca="1" si="115"/>
        <v>5.1267435768887204E-3</v>
      </c>
      <c r="FJ90" s="21">
        <f t="shared" ca="1" si="115"/>
        <v>6.4724498381867127E-3</v>
      </c>
      <c r="FK90" s="21">
        <f t="shared" ca="1" si="115"/>
        <v>7.8657671727379204E-3</v>
      </c>
      <c r="FL90" s="21">
        <f t="shared" ca="1" si="115"/>
        <v>8.5083821951384506E-3</v>
      </c>
      <c r="FM90" s="21">
        <f t="shared" ca="1" si="115"/>
        <v>8.3700576419173216E-3</v>
      </c>
      <c r="FN90" s="21">
        <f t="shared" ca="1" si="115"/>
        <v>9.3246274062362602E-3</v>
      </c>
      <c r="FO90" s="21">
        <f t="shared" ca="1" si="115"/>
        <v>1.1079539292133121E-2</v>
      </c>
      <c r="FP90" s="21">
        <f t="shared" ca="1" si="115"/>
        <v>1.1264738367874791E-2</v>
      </c>
      <c r="FQ90" s="21">
        <f t="shared" ca="1" si="115"/>
        <v>1.0887975645471814E-2</v>
      </c>
      <c r="FR90" s="21">
        <f t="shared" ca="1" si="115"/>
        <v>1.1899885313137022E-2</v>
      </c>
      <c r="FS90" s="21">
        <f t="shared" ca="1" si="115"/>
        <v>1.0918208755738882E-2</v>
      </c>
      <c r="FT90" s="21">
        <f t="shared" ca="1" si="115"/>
        <v>9.9812069036508046E-3</v>
      </c>
      <c r="FU90" s="21">
        <f t="shared" ca="1" si="115"/>
        <v>9.8691574476044569E-3</v>
      </c>
      <c r="FV90" s="21">
        <f t="shared" ca="1" si="115"/>
        <v>9.6302931857876178E-3</v>
      </c>
      <c r="FW90" s="21">
        <f t="shared" ca="1" si="115"/>
        <v>8.5767154097668857E-3</v>
      </c>
      <c r="FX90" s="21">
        <f t="shared" ca="1" si="115"/>
        <v>7.025406685302495E-3</v>
      </c>
      <c r="FY90" s="21">
        <f t="shared" ca="1" si="115"/>
        <v>6.6972289981334192E-3</v>
      </c>
      <c r="FZ90" s="21">
        <f t="shared" ca="1" si="115"/>
        <v>6.7243134166001918E-3</v>
      </c>
      <c r="GA90" s="21">
        <f t="shared" ca="1" si="115"/>
        <v>6.9582300768917631E-3</v>
      </c>
      <c r="GB90" s="21">
        <f t="shared" ca="1" si="115"/>
        <v>6.8867383798378156E-3</v>
      </c>
      <c r="GC90" s="21">
        <f t="shared" ca="1" si="115"/>
        <v>6.6786021253242914E-3</v>
      </c>
      <c r="GD90" s="21">
        <f t="shared" ca="1" si="115"/>
        <v>6.345220176292036E-3</v>
      </c>
      <c r="GE90" s="21">
        <f t="shared" ca="1" si="115"/>
        <v>6.7038453873801019E-3</v>
      </c>
      <c r="GF90" s="21">
        <f t="shared" ca="1" si="115"/>
        <v>6.958318216574718E-3</v>
      </c>
      <c r="GG90" s="21">
        <f t="shared" ca="1" si="115"/>
        <v>7.1495299044975411E-3</v>
      </c>
      <c r="GH90" s="21">
        <f t="shared" ca="1" si="115"/>
        <v>6.405568443575608E-3</v>
      </c>
      <c r="GI90" s="21">
        <f t="shared" ca="1" si="115"/>
        <v>7.8579696117036003E-3</v>
      </c>
      <c r="GJ90" s="21">
        <f t="shared" ca="1" si="115"/>
        <v>9.5463631242892876E-3</v>
      </c>
      <c r="GK90" s="21">
        <f t="shared" ca="1" si="115"/>
        <v>1.2084707253057419E-2</v>
      </c>
      <c r="GL90" s="21">
        <f t="shared" ca="1" si="115"/>
        <v>1.3583973495395521E-2</v>
      </c>
      <c r="GM90" s="21">
        <f t="shared" ca="1" si="115"/>
        <v>1.4333612851462289E-2</v>
      </c>
      <c r="GN90" s="21">
        <f t="shared" ca="1" si="115"/>
        <v>1.4354030606977415E-2</v>
      </c>
      <c r="GO90" s="21">
        <f t="shared" ca="1" si="115"/>
        <v>1.4739588603318792E-2</v>
      </c>
      <c r="GP90" s="21">
        <f t="shared" ca="1" si="115"/>
        <v>1.4855277282827834E-2</v>
      </c>
      <c r="GQ90" s="21">
        <f t="shared" ca="1" si="115"/>
        <v>2.0165093066368225E-2</v>
      </c>
      <c r="GR90" s="21">
        <f t="shared" ca="1" si="115"/>
        <v>2.2597457488604422E-2</v>
      </c>
      <c r="GS90" s="21">
        <f t="shared" ca="1" si="115"/>
        <v>2.2075194670706545E-2</v>
      </c>
      <c r="GT90" s="21">
        <f t="shared" ca="1" si="115"/>
        <v>2.1495618765384562E-2</v>
      </c>
      <c r="GU90" s="21">
        <f t="shared" ca="1" si="115"/>
        <v>2.2101972537894376E-2</v>
      </c>
      <c r="GV90" s="21">
        <f t="shared" ca="1" si="115"/>
        <v>2.4088496263422181E-2</v>
      </c>
      <c r="GW90" s="21">
        <f t="shared" ca="1" si="115"/>
        <v>2.7296276820459306E-2</v>
      </c>
      <c r="GX90" s="21">
        <f t="shared" ca="1" si="115"/>
        <v>3.2174327465664419E-2</v>
      </c>
      <c r="GY90" s="21">
        <f t="shared" ca="1" si="115"/>
        <v>4.2754565558489485E-2</v>
      </c>
      <c r="GZ90" s="21">
        <f t="shared" ca="1" si="115"/>
        <v>4.0358031761132437E-2</v>
      </c>
      <c r="HA90" s="21" t="str">
        <f t="shared" si="115"/>
        <v/>
      </c>
      <c r="HB90" s="21" t="str">
        <f t="shared" si="115"/>
        <v/>
      </c>
      <c r="HC90" s="21" t="str">
        <f t="shared" si="115"/>
        <v/>
      </c>
      <c r="HD90" s="21" t="str">
        <f t="shared" si="115"/>
        <v/>
      </c>
      <c r="HE90" s="21" t="str">
        <f t="shared" si="115"/>
        <v/>
      </c>
      <c r="HF90" s="21" t="str">
        <f t="shared" si="115"/>
        <v/>
      </c>
      <c r="HG90" s="21" t="str">
        <f t="shared" si="115"/>
        <v/>
      </c>
      <c r="HH90" s="21" t="str">
        <f t="shared" si="115"/>
        <v/>
      </c>
      <c r="HI90" s="21" t="str">
        <f t="shared" si="115"/>
        <v/>
      </c>
      <c r="HJ90" s="21" t="str">
        <f t="shared" si="115"/>
        <v/>
      </c>
      <c r="HK90" s="21" t="str">
        <f t="shared" ref="HK90:JH90" si="116">IF(HK10="","",AVERAGE(HB64:HJ64)+CONFIDENCE(0.05,STDEV(GL64:HJ64),COUNT(GL64:HJ64)))</f>
        <v/>
      </c>
      <c r="HL90" s="21" t="str">
        <f t="shared" si="116"/>
        <v/>
      </c>
      <c r="HM90" s="21" t="str">
        <f t="shared" si="116"/>
        <v/>
      </c>
      <c r="HN90" s="21" t="str">
        <f t="shared" si="116"/>
        <v/>
      </c>
      <c r="HO90" s="21" t="str">
        <f t="shared" si="116"/>
        <v/>
      </c>
      <c r="HP90" s="21" t="str">
        <f t="shared" si="116"/>
        <v/>
      </c>
      <c r="HQ90" s="21" t="str">
        <f t="shared" si="116"/>
        <v/>
      </c>
      <c r="HR90" s="21" t="str">
        <f t="shared" si="116"/>
        <v/>
      </c>
      <c r="HS90" s="21" t="str">
        <f t="shared" si="116"/>
        <v/>
      </c>
      <c r="HT90" s="21" t="str">
        <f t="shared" si="116"/>
        <v/>
      </c>
      <c r="HU90" s="21" t="str">
        <f t="shared" si="116"/>
        <v/>
      </c>
      <c r="HV90" s="21" t="str">
        <f t="shared" si="116"/>
        <v/>
      </c>
      <c r="HW90" s="21" t="str">
        <f t="shared" si="116"/>
        <v/>
      </c>
      <c r="HX90" s="21" t="str">
        <f t="shared" si="116"/>
        <v/>
      </c>
      <c r="HY90" s="21" t="str">
        <f t="shared" si="116"/>
        <v/>
      </c>
      <c r="HZ90" s="21" t="str">
        <f t="shared" si="116"/>
        <v/>
      </c>
      <c r="IA90" s="21" t="str">
        <f t="shared" si="116"/>
        <v/>
      </c>
      <c r="IB90" s="21" t="str">
        <f t="shared" si="116"/>
        <v/>
      </c>
      <c r="IC90" s="21" t="str">
        <f t="shared" si="116"/>
        <v/>
      </c>
      <c r="ID90" s="21" t="str">
        <f t="shared" si="116"/>
        <v/>
      </c>
      <c r="IE90" s="21" t="str">
        <f t="shared" si="116"/>
        <v/>
      </c>
      <c r="IF90" s="21" t="str">
        <f t="shared" si="116"/>
        <v/>
      </c>
      <c r="IG90" s="21" t="str">
        <f t="shared" si="116"/>
        <v/>
      </c>
      <c r="IH90" s="21" t="str">
        <f t="shared" si="116"/>
        <v/>
      </c>
      <c r="II90" s="21" t="str">
        <f t="shared" si="116"/>
        <v/>
      </c>
      <c r="IJ90" s="21" t="str">
        <f t="shared" si="116"/>
        <v/>
      </c>
      <c r="IK90" s="21" t="str">
        <f t="shared" si="116"/>
        <v/>
      </c>
      <c r="IL90" s="21" t="str">
        <f t="shared" si="116"/>
        <v/>
      </c>
      <c r="IM90" s="21" t="str">
        <f t="shared" si="116"/>
        <v/>
      </c>
      <c r="IN90" s="21" t="str">
        <f t="shared" si="116"/>
        <v/>
      </c>
      <c r="IO90" s="21" t="str">
        <f t="shared" si="116"/>
        <v/>
      </c>
      <c r="IP90" s="21" t="str">
        <f t="shared" si="116"/>
        <v/>
      </c>
      <c r="IQ90" s="21" t="str">
        <f t="shared" si="116"/>
        <v/>
      </c>
      <c r="IR90" s="21" t="str">
        <f t="shared" si="116"/>
        <v/>
      </c>
      <c r="IS90" s="21" t="str">
        <f t="shared" si="116"/>
        <v/>
      </c>
      <c r="IT90" s="21" t="str">
        <f t="shared" si="116"/>
        <v/>
      </c>
      <c r="IU90" s="21" t="str">
        <f t="shared" si="116"/>
        <v/>
      </c>
      <c r="IV90" s="21" t="str">
        <f t="shared" si="116"/>
        <v/>
      </c>
      <c r="IW90" s="21" t="str">
        <f t="shared" si="116"/>
        <v/>
      </c>
      <c r="IX90" s="21" t="str">
        <f t="shared" si="116"/>
        <v/>
      </c>
      <c r="IY90" s="21" t="str">
        <f t="shared" si="116"/>
        <v/>
      </c>
      <c r="IZ90" s="21" t="str">
        <f t="shared" si="116"/>
        <v/>
      </c>
      <c r="JA90" s="21" t="str">
        <f t="shared" si="116"/>
        <v/>
      </c>
      <c r="JB90" s="21" t="str">
        <f t="shared" si="116"/>
        <v/>
      </c>
      <c r="JC90" s="21" t="str">
        <f t="shared" si="116"/>
        <v/>
      </c>
      <c r="JD90" s="21" t="str">
        <f t="shared" si="116"/>
        <v/>
      </c>
      <c r="JE90" s="21" t="str">
        <f t="shared" si="116"/>
        <v/>
      </c>
      <c r="JF90" s="21" t="str">
        <f t="shared" si="116"/>
        <v/>
      </c>
      <c r="JG90" s="21" t="str">
        <f t="shared" si="116"/>
        <v/>
      </c>
      <c r="JH90" s="21" t="str">
        <f t="shared" si="116"/>
        <v/>
      </c>
    </row>
    <row r="91" spans="1:336" x14ac:dyDescent="0.25"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>
        <f t="shared" ref="AA91:CL91" ca="1" si="117">IF(AA11="","",AVERAGE(Q65:Z65)+CONFIDENCE(0.05,STDEV(B65:Z65),COUNT(B65:Z65)))</f>
        <v>2.304382690682112E-3</v>
      </c>
      <c r="AB91" s="21">
        <f t="shared" ca="1" si="117"/>
        <v>2.1540788745444081E-3</v>
      </c>
      <c r="AC91" s="21">
        <f t="shared" ca="1" si="117"/>
        <v>2.2215380172900044E-3</v>
      </c>
      <c r="AD91" s="21">
        <f t="shared" ca="1" si="117"/>
        <v>2.3237586443980917E-3</v>
      </c>
      <c r="AE91" s="21">
        <f t="shared" ca="1" si="117"/>
        <v>2.393360813602296E-3</v>
      </c>
      <c r="AF91" s="21">
        <f t="shared" ca="1" si="117"/>
        <v>2.6024722776176205E-3</v>
      </c>
      <c r="AG91" s="21">
        <f t="shared" ca="1" si="117"/>
        <v>2.9909813897903825E-3</v>
      </c>
      <c r="AH91" s="21">
        <f t="shared" ca="1" si="117"/>
        <v>3.868933593196702E-3</v>
      </c>
      <c r="AI91" s="21">
        <f t="shared" ca="1" si="117"/>
        <v>5.0533445416702473E-3</v>
      </c>
      <c r="AJ91" s="21">
        <f t="shared" ca="1" si="117"/>
        <v>5.7062816446600646E-3</v>
      </c>
      <c r="AK91" s="21">
        <f t="shared" ca="1" si="117"/>
        <v>6.1411472403409134E-3</v>
      </c>
      <c r="AL91" s="21">
        <f t="shared" ca="1" si="117"/>
        <v>6.6116181339332999E-3</v>
      </c>
      <c r="AM91" s="21">
        <f t="shared" ca="1" si="117"/>
        <v>6.9790952873509792E-3</v>
      </c>
      <c r="AN91" s="21">
        <f t="shared" ca="1" si="117"/>
        <v>7.0961709471859986E-3</v>
      </c>
      <c r="AO91" s="21">
        <f t="shared" ca="1" si="117"/>
        <v>6.8133398939352798E-3</v>
      </c>
      <c r="AP91" s="21">
        <f t="shared" ca="1" si="117"/>
        <v>6.7401915744783811E-3</v>
      </c>
      <c r="AQ91" s="21">
        <f t="shared" ca="1" si="117"/>
        <v>6.4342216080121653E-3</v>
      </c>
      <c r="AR91" s="21">
        <f t="shared" ca="1" si="117"/>
        <v>6.11408036141671E-3</v>
      </c>
      <c r="AS91" s="21">
        <f t="shared" ca="1" si="117"/>
        <v>6.0192463252387585E-3</v>
      </c>
      <c r="AT91" s="21">
        <f t="shared" ca="1" si="117"/>
        <v>6.9243785566061016E-3</v>
      </c>
      <c r="AU91" s="21">
        <f t="shared" ca="1" si="117"/>
        <v>7.938537491699706E-3</v>
      </c>
      <c r="AV91" s="21">
        <f t="shared" ca="1" si="117"/>
        <v>1.0028408745043751E-2</v>
      </c>
      <c r="AW91" s="21">
        <f t="shared" ca="1" si="117"/>
        <v>1.287252120027E-2</v>
      </c>
      <c r="AX91" s="21">
        <f t="shared" ca="1" si="117"/>
        <v>1.6164463002555036E-2</v>
      </c>
      <c r="AY91" s="21">
        <f t="shared" ca="1" si="117"/>
        <v>1.9632748536088391E-2</v>
      </c>
      <c r="AZ91" s="21">
        <f t="shared" ca="1" si="117"/>
        <v>2.3607657798901109E-2</v>
      </c>
      <c r="BA91" s="21">
        <f t="shared" ca="1" si="117"/>
        <v>2.7858614547226299E-2</v>
      </c>
      <c r="BB91" s="21">
        <f t="shared" ca="1" si="117"/>
        <v>3.1574916416509564E-2</v>
      </c>
      <c r="BC91" s="21">
        <f t="shared" ca="1" si="117"/>
        <v>3.3926708955678654E-2</v>
      </c>
      <c r="BD91" s="21">
        <f t="shared" ca="1" si="117"/>
        <v>3.4074867878050016E-2</v>
      </c>
      <c r="BE91" s="21">
        <f t="shared" ca="1" si="117"/>
        <v>3.4909022697579048E-2</v>
      </c>
      <c r="BF91" s="21">
        <f t="shared" ca="1" si="117"/>
        <v>3.4574682918006652E-2</v>
      </c>
      <c r="BG91" s="21">
        <f t="shared" ca="1" si="117"/>
        <v>3.3476511382843938E-2</v>
      </c>
      <c r="BH91" s="21">
        <f t="shared" ca="1" si="117"/>
        <v>3.3285909094649742E-2</v>
      </c>
      <c r="BI91" s="21">
        <f t="shared" ca="1" si="117"/>
        <v>3.2068123223604639E-2</v>
      </c>
      <c r="BJ91" s="21">
        <f t="shared" ca="1" si="117"/>
        <v>2.9561005928321504E-2</v>
      </c>
      <c r="BK91" s="21">
        <f t="shared" ca="1" si="117"/>
        <v>2.6465701998157037E-2</v>
      </c>
      <c r="BL91" s="21">
        <f t="shared" ca="1" si="117"/>
        <v>2.4751407349115205E-2</v>
      </c>
      <c r="BM91" s="21">
        <f t="shared" ca="1" si="117"/>
        <v>2.5867326514365945E-2</v>
      </c>
      <c r="BN91" s="21">
        <f t="shared" ca="1" si="117"/>
        <v>2.8076953172622827E-2</v>
      </c>
      <c r="BO91" s="21">
        <f t="shared" ca="1" si="117"/>
        <v>2.830315535856763E-2</v>
      </c>
      <c r="BP91" s="21">
        <f t="shared" ca="1" si="117"/>
        <v>2.8090932274136299E-2</v>
      </c>
      <c r="BQ91" s="21">
        <f t="shared" ca="1" si="117"/>
        <v>2.7760220861463587E-2</v>
      </c>
      <c r="BR91" s="21">
        <f t="shared" ca="1" si="117"/>
        <v>2.6825843545602489E-2</v>
      </c>
      <c r="BS91" s="21">
        <f t="shared" ca="1" si="117"/>
        <v>2.6435182955741217E-2</v>
      </c>
      <c r="BT91" s="21">
        <f t="shared" ca="1" si="117"/>
        <v>2.5980113293252092E-2</v>
      </c>
      <c r="BU91" s="21">
        <f t="shared" ca="1" si="117"/>
        <v>2.653409719222917E-2</v>
      </c>
      <c r="BV91" s="21">
        <f t="shared" ca="1" si="117"/>
        <v>2.5777687240452221E-2</v>
      </c>
      <c r="BW91" s="21">
        <f t="shared" ca="1" si="117"/>
        <v>2.2589756030183664E-2</v>
      </c>
      <c r="BX91" s="21">
        <f t="shared" ca="1" si="117"/>
        <v>1.9147049081099345E-2</v>
      </c>
      <c r="BY91" s="21">
        <f t="shared" ca="1" si="117"/>
        <v>1.7269839229848587E-2</v>
      </c>
      <c r="BZ91" s="21">
        <f t="shared" ca="1" si="117"/>
        <v>1.5779870217942128E-2</v>
      </c>
      <c r="CA91" s="21">
        <f t="shared" ca="1" si="117"/>
        <v>1.4381223115167509E-2</v>
      </c>
      <c r="CB91" s="21">
        <f t="shared" ca="1" si="117"/>
        <v>1.2640160921592834E-2</v>
      </c>
      <c r="CC91" s="21">
        <f t="shared" ca="1" si="117"/>
        <v>1.1588667975070677E-2</v>
      </c>
      <c r="CD91" s="21">
        <f t="shared" ca="1" si="117"/>
        <v>1.1327997885835682E-2</v>
      </c>
      <c r="CE91" s="21">
        <f t="shared" ca="1" si="117"/>
        <v>1.1057181545853592E-2</v>
      </c>
      <c r="CF91" s="21">
        <f t="shared" ca="1" si="117"/>
        <v>1.0231208921020078E-2</v>
      </c>
      <c r="CG91" s="21">
        <f t="shared" ca="1" si="117"/>
        <v>9.5848742337290519E-3</v>
      </c>
      <c r="CH91" s="21">
        <f t="shared" ca="1" si="117"/>
        <v>9.5260040827398976E-3</v>
      </c>
      <c r="CI91" s="21">
        <f t="shared" ca="1" si="117"/>
        <v>8.9889416409666169E-3</v>
      </c>
      <c r="CJ91" s="21">
        <f t="shared" ca="1" si="117"/>
        <v>8.3218121894335813E-3</v>
      </c>
      <c r="CK91" s="21">
        <f t="shared" ca="1" si="117"/>
        <v>8.3557578991167378E-3</v>
      </c>
      <c r="CL91" s="21">
        <f t="shared" ca="1" si="117"/>
        <v>8.2513670776238578E-3</v>
      </c>
      <c r="CM91" s="21">
        <f t="shared" ref="CM91:EX91" ca="1" si="118">IF(CM11="","",AVERAGE(CC65:CL65)+CONFIDENCE(0.05,STDEV(BN65:CL65),COUNT(BN65:CL65)))</f>
        <v>8.5027954991297831E-3</v>
      </c>
      <c r="CN91" s="21">
        <f t="shared" ca="1" si="118"/>
        <v>9.1367023043235195E-3</v>
      </c>
      <c r="CO91" s="21">
        <f t="shared" ca="1" si="118"/>
        <v>8.361784278218886E-3</v>
      </c>
      <c r="CP91" s="21">
        <f t="shared" ca="1" si="118"/>
        <v>8.152312898090399E-3</v>
      </c>
      <c r="CQ91" s="21">
        <f t="shared" ca="1" si="118"/>
        <v>7.8130738952618944E-3</v>
      </c>
      <c r="CR91" s="21">
        <f t="shared" ca="1" si="118"/>
        <v>8.0560895434343902E-3</v>
      </c>
      <c r="CS91" s="21">
        <f t="shared" ca="1" si="118"/>
        <v>7.8931097647746661E-3</v>
      </c>
      <c r="CT91" s="21">
        <f t="shared" ca="1" si="118"/>
        <v>7.87770880700738E-3</v>
      </c>
      <c r="CU91" s="21">
        <f t="shared" ca="1" si="118"/>
        <v>7.3204992414231266E-3</v>
      </c>
      <c r="CV91" s="21">
        <f t="shared" ca="1" si="118"/>
        <v>7.9283922812993443E-3</v>
      </c>
      <c r="CW91" s="21">
        <f t="shared" ca="1" si="118"/>
        <v>6.5288108623911042E-3</v>
      </c>
      <c r="CX91" s="21">
        <f t="shared" ca="1" si="118"/>
        <v>5.6018038957070344E-3</v>
      </c>
      <c r="CY91" s="21">
        <f t="shared" ca="1" si="118"/>
        <v>5.4759427694459715E-3</v>
      </c>
      <c r="CZ91" s="21">
        <f t="shared" ca="1" si="118"/>
        <v>5.804132509427521E-3</v>
      </c>
      <c r="DA91" s="21">
        <f t="shared" ca="1" si="118"/>
        <v>6.3549034639584457E-3</v>
      </c>
      <c r="DB91" s="21">
        <f t="shared" ca="1" si="118"/>
        <v>6.1574256892619039E-3</v>
      </c>
      <c r="DC91" s="21">
        <f t="shared" ca="1" si="118"/>
        <v>6.6619176115315284E-3</v>
      </c>
      <c r="DD91" s="21">
        <f t="shared" ca="1" si="118"/>
        <v>7.8112026571159517E-3</v>
      </c>
      <c r="DE91" s="21">
        <f t="shared" ca="1" si="118"/>
        <v>8.8856047037403161E-3</v>
      </c>
      <c r="DF91" s="21">
        <f t="shared" ca="1" si="118"/>
        <v>9.1116887665494781E-3</v>
      </c>
      <c r="DG91" s="21">
        <f t="shared" ca="1" si="118"/>
        <v>9.9014087664058524E-3</v>
      </c>
      <c r="DH91" s="21">
        <f t="shared" ca="1" si="118"/>
        <v>1.1119842251324091E-2</v>
      </c>
      <c r="DI91" s="21">
        <f t="shared" ca="1" si="118"/>
        <v>1.3431732351920606E-2</v>
      </c>
      <c r="DJ91" s="21">
        <f t="shared" ca="1" si="118"/>
        <v>1.4703359322173787E-2</v>
      </c>
      <c r="DK91" s="21">
        <f t="shared" ca="1" si="118"/>
        <v>1.4858225055795931E-2</v>
      </c>
      <c r="DL91" s="21">
        <f t="shared" ca="1" si="118"/>
        <v>1.5319332152719885E-2</v>
      </c>
      <c r="DM91" s="21">
        <f t="shared" ca="1" si="118"/>
        <v>1.4748985011613029E-2</v>
      </c>
      <c r="DN91" s="21">
        <f t="shared" ca="1" si="118"/>
        <v>1.3962165539207733E-2</v>
      </c>
      <c r="DO91" s="21">
        <f t="shared" ca="1" si="118"/>
        <v>1.5482256636109365E-2</v>
      </c>
      <c r="DP91" s="21">
        <f t="shared" ca="1" si="118"/>
        <v>1.5738710646163293E-2</v>
      </c>
      <c r="DQ91" s="21">
        <f t="shared" ca="1" si="118"/>
        <v>1.6405275111327878E-2</v>
      </c>
      <c r="DR91" s="21">
        <f t="shared" ca="1" si="118"/>
        <v>1.5355742770304786E-2</v>
      </c>
      <c r="DS91" s="21">
        <f t="shared" ca="1" si="118"/>
        <v>1.3395769234612552E-2</v>
      </c>
      <c r="DT91" s="21">
        <f t="shared" ca="1" si="118"/>
        <v>1.2206652120007558E-2</v>
      </c>
      <c r="DU91" s="21">
        <f t="shared" ca="1" si="118"/>
        <v>1.182511653226927E-2</v>
      </c>
      <c r="DV91" s="21">
        <f t="shared" ca="1" si="118"/>
        <v>1.0975249955549982E-2</v>
      </c>
      <c r="DW91" s="21">
        <f t="shared" ca="1" si="118"/>
        <v>1.1837278733682377E-2</v>
      </c>
      <c r="DX91" s="21">
        <f t="shared" ca="1" si="118"/>
        <v>1.3062672170778397E-2</v>
      </c>
      <c r="DY91" s="21">
        <f t="shared" ca="1" si="118"/>
        <v>1.1706594902068428E-2</v>
      </c>
      <c r="DZ91" s="21">
        <f t="shared" ca="1" si="118"/>
        <v>1.0195161103858576E-2</v>
      </c>
      <c r="EA91" s="21">
        <f t="shared" ca="1" si="118"/>
        <v>9.3247153947773522E-3</v>
      </c>
      <c r="EB91" s="21">
        <f t="shared" ca="1" si="118"/>
        <v>9.3269618443773961E-3</v>
      </c>
      <c r="EC91" s="21">
        <f t="shared" ca="1" si="118"/>
        <v>9.1557713283975696E-3</v>
      </c>
      <c r="ED91" s="21">
        <f t="shared" ca="1" si="118"/>
        <v>8.4860138624080379E-3</v>
      </c>
      <c r="EE91" s="21">
        <f t="shared" ca="1" si="118"/>
        <v>8.6339771929166004E-3</v>
      </c>
      <c r="EF91" s="21">
        <f t="shared" ca="1" si="118"/>
        <v>8.844605663205881E-3</v>
      </c>
      <c r="EG91" s="21">
        <f t="shared" ca="1" si="118"/>
        <v>7.9148269516026958E-3</v>
      </c>
      <c r="EH91" s="21">
        <f t="shared" ca="1" si="118"/>
        <v>7.0244267368157207E-3</v>
      </c>
      <c r="EI91" s="21">
        <f t="shared" ca="1" si="118"/>
        <v>7.4597231203889043E-3</v>
      </c>
      <c r="EJ91" s="21">
        <f t="shared" ca="1" si="118"/>
        <v>8.3424147446290176E-3</v>
      </c>
      <c r="EK91" s="21">
        <f t="shared" ca="1" si="118"/>
        <v>8.4395100981582878E-3</v>
      </c>
      <c r="EL91" s="21">
        <f t="shared" ca="1" si="118"/>
        <v>8.4135805165049329E-3</v>
      </c>
      <c r="EM91" s="21">
        <f t="shared" ca="1" si="118"/>
        <v>8.5163773382120889E-3</v>
      </c>
      <c r="EN91" s="21">
        <f t="shared" ca="1" si="118"/>
        <v>8.4162091853090121E-3</v>
      </c>
      <c r="EO91" s="21">
        <f t="shared" ca="1" si="118"/>
        <v>8.0051225481508025E-3</v>
      </c>
      <c r="EP91" s="21">
        <f t="shared" ca="1" si="118"/>
        <v>8.103950417925547E-3</v>
      </c>
      <c r="EQ91" s="21">
        <f t="shared" ca="1" si="118"/>
        <v>7.9359218495969573E-3</v>
      </c>
      <c r="ER91" s="21">
        <f t="shared" ca="1" si="118"/>
        <v>8.2112705285436252E-3</v>
      </c>
      <c r="ES91" s="21">
        <f t="shared" ca="1" si="118"/>
        <v>6.8173641364065877E-3</v>
      </c>
      <c r="ET91" s="21">
        <f t="shared" ca="1" si="118"/>
        <v>6.3086896827407772E-3</v>
      </c>
      <c r="EU91" s="21">
        <f t="shared" ca="1" si="118"/>
        <v>5.7937932754509956E-3</v>
      </c>
      <c r="EV91" s="21">
        <f t="shared" ca="1" si="118"/>
        <v>5.6373180659961292E-3</v>
      </c>
      <c r="EW91" s="21">
        <f t="shared" ca="1" si="118"/>
        <v>5.165559243010211E-3</v>
      </c>
      <c r="EX91" s="21">
        <f t="shared" ca="1" si="118"/>
        <v>5.5759693129449096E-3</v>
      </c>
      <c r="EY91" s="21">
        <f t="shared" ref="EY91:HJ91" ca="1" si="119">IF(EY11="","",AVERAGE(EO65:EX65)+CONFIDENCE(0.05,STDEV(DZ65:EX65),COUNT(DZ65:EX65)))</f>
        <v>5.7361368251200263E-3</v>
      </c>
      <c r="EZ91" s="21">
        <f t="shared" ca="1" si="119"/>
        <v>5.8033377950200259E-3</v>
      </c>
      <c r="FA91" s="21">
        <f t="shared" ca="1" si="119"/>
        <v>5.8854005717052056E-3</v>
      </c>
      <c r="FB91" s="21">
        <f t="shared" ca="1" si="119"/>
        <v>4.7669142356670281E-3</v>
      </c>
      <c r="FC91" s="21">
        <f t="shared" ca="1" si="119"/>
        <v>4.8017288580063759E-3</v>
      </c>
      <c r="FD91" s="21">
        <f t="shared" ca="1" si="119"/>
        <v>4.9211508760677088E-3</v>
      </c>
      <c r="FE91" s="21">
        <f t="shared" ca="1" si="119"/>
        <v>5.2501146672936814E-3</v>
      </c>
      <c r="FF91" s="21">
        <f t="shared" ca="1" si="119"/>
        <v>5.7048234183689804E-3</v>
      </c>
      <c r="FG91" s="21">
        <f t="shared" ca="1" si="119"/>
        <v>6.4738013513288388E-3</v>
      </c>
      <c r="FH91" s="21">
        <f t="shared" ca="1" si="119"/>
        <v>5.95173169843481E-3</v>
      </c>
      <c r="FI91" s="21">
        <f t="shared" ca="1" si="119"/>
        <v>5.5634703897657449E-3</v>
      </c>
      <c r="FJ91" s="21">
        <f t="shared" ca="1" si="119"/>
        <v>6.5537345807680416E-3</v>
      </c>
      <c r="FK91" s="21">
        <f t="shared" ca="1" si="119"/>
        <v>8.0542274853476672E-3</v>
      </c>
      <c r="FL91" s="21">
        <f t="shared" ca="1" si="119"/>
        <v>8.6065055376914387E-3</v>
      </c>
      <c r="FM91" s="21">
        <f t="shared" ca="1" si="119"/>
        <v>8.8958006799996926E-3</v>
      </c>
      <c r="FN91" s="21">
        <f t="shared" ca="1" si="119"/>
        <v>9.4663266792795759E-3</v>
      </c>
      <c r="FO91" s="21">
        <f t="shared" ca="1" si="119"/>
        <v>1.1112520207809432E-2</v>
      </c>
      <c r="FP91" s="21">
        <f t="shared" ca="1" si="119"/>
        <v>1.2004502923885305E-2</v>
      </c>
      <c r="FQ91" s="21">
        <f t="shared" ca="1" si="119"/>
        <v>1.17396367666822E-2</v>
      </c>
      <c r="FR91" s="21">
        <f t="shared" ca="1" si="119"/>
        <v>1.2309162680373008E-2</v>
      </c>
      <c r="FS91" s="21">
        <f t="shared" ca="1" si="119"/>
        <v>1.2636271745875319E-2</v>
      </c>
      <c r="FT91" s="21">
        <f t="shared" ca="1" si="119"/>
        <v>1.1720790458535538E-2</v>
      </c>
      <c r="FU91" s="21">
        <f t="shared" ca="1" si="119"/>
        <v>1.0835860089127656E-2</v>
      </c>
      <c r="FV91" s="21">
        <f t="shared" ca="1" si="119"/>
        <v>1.0524071101986127E-2</v>
      </c>
      <c r="FW91" s="21">
        <f t="shared" ca="1" si="119"/>
        <v>1.0385457985957745E-2</v>
      </c>
      <c r="FX91" s="21">
        <f t="shared" ca="1" si="119"/>
        <v>9.5994620759878753E-3</v>
      </c>
      <c r="FY91" s="21">
        <f t="shared" ca="1" si="119"/>
        <v>8.6295360562819515E-3</v>
      </c>
      <c r="FZ91" s="21">
        <f t="shared" ca="1" si="119"/>
        <v>7.9075337726525283E-3</v>
      </c>
      <c r="GA91" s="21">
        <f t="shared" ca="1" si="119"/>
        <v>8.3990126962473245E-3</v>
      </c>
      <c r="GB91" s="21">
        <f t="shared" ca="1" si="119"/>
        <v>7.9165376335751242E-3</v>
      </c>
      <c r="GC91" s="21">
        <f t="shared" ca="1" si="119"/>
        <v>7.525215704404651E-3</v>
      </c>
      <c r="GD91" s="21">
        <f t="shared" ca="1" si="119"/>
        <v>7.4195464544305218E-3</v>
      </c>
      <c r="GE91" s="21">
        <f t="shared" ca="1" si="119"/>
        <v>7.3074511124613896E-3</v>
      </c>
      <c r="GF91" s="21">
        <f t="shared" ca="1" si="119"/>
        <v>7.5364458480311385E-3</v>
      </c>
      <c r="GG91" s="21">
        <f t="shared" ca="1" si="119"/>
        <v>7.4132920716656744E-3</v>
      </c>
      <c r="GH91" s="21">
        <f t="shared" ca="1" si="119"/>
        <v>9.0474960777068222E-3</v>
      </c>
      <c r="GI91" s="21">
        <f t="shared" ca="1" si="119"/>
        <v>9.962868442913643E-3</v>
      </c>
      <c r="GJ91" s="21">
        <f t="shared" ca="1" si="119"/>
        <v>1.1191292954726633E-2</v>
      </c>
      <c r="GK91" s="21">
        <f t="shared" ca="1" si="119"/>
        <v>1.1691426703667202E-2</v>
      </c>
      <c r="GL91" s="21">
        <f t="shared" ca="1" si="119"/>
        <v>1.2106592672836222E-2</v>
      </c>
      <c r="GM91" s="21">
        <f t="shared" ca="1" si="119"/>
        <v>1.2788746399305974E-2</v>
      </c>
      <c r="GN91" s="21">
        <f t="shared" ca="1" si="119"/>
        <v>1.3123385459189719E-2</v>
      </c>
      <c r="GO91" s="21">
        <f t="shared" ca="1" si="119"/>
        <v>1.3287818042225287E-2</v>
      </c>
      <c r="GP91" s="21">
        <f t="shared" ca="1" si="119"/>
        <v>1.3588799260784842E-2</v>
      </c>
      <c r="GQ91" s="21">
        <f t="shared" ca="1" si="119"/>
        <v>1.9032339489725179E-2</v>
      </c>
      <c r="GR91" s="21">
        <f t="shared" ca="1" si="119"/>
        <v>1.8863274868282751E-2</v>
      </c>
      <c r="GS91" s="21">
        <f t="shared" ca="1" si="119"/>
        <v>1.8651153038357533E-2</v>
      </c>
      <c r="GT91" s="21">
        <f t="shared" ca="1" si="119"/>
        <v>1.8193209884348565E-2</v>
      </c>
      <c r="GU91" s="21">
        <f t="shared" ca="1" si="119"/>
        <v>1.8027877392710862E-2</v>
      </c>
      <c r="GV91" s="21">
        <f t="shared" ca="1" si="119"/>
        <v>1.887151386777889E-2</v>
      </c>
      <c r="GW91" s="21">
        <f t="shared" ca="1" si="119"/>
        <v>2.0581552683583425E-2</v>
      </c>
      <c r="GX91" s="21">
        <f t="shared" ca="1" si="119"/>
        <v>2.3769500174532766E-2</v>
      </c>
      <c r="GY91" s="21">
        <f t="shared" ca="1" si="119"/>
        <v>3.0252497637936363E-2</v>
      </c>
      <c r="GZ91" s="21">
        <f t="shared" ca="1" si="119"/>
        <v>4.6994355164848324E-2</v>
      </c>
      <c r="HA91" s="21" t="str">
        <f t="shared" si="119"/>
        <v/>
      </c>
      <c r="HB91" s="21" t="str">
        <f t="shared" si="119"/>
        <v/>
      </c>
      <c r="HC91" s="21" t="str">
        <f t="shared" si="119"/>
        <v/>
      </c>
      <c r="HD91" s="21" t="str">
        <f t="shared" si="119"/>
        <v/>
      </c>
      <c r="HE91" s="21" t="str">
        <f t="shared" si="119"/>
        <v/>
      </c>
      <c r="HF91" s="21" t="str">
        <f t="shared" si="119"/>
        <v/>
      </c>
      <c r="HG91" s="21" t="str">
        <f t="shared" si="119"/>
        <v/>
      </c>
      <c r="HH91" s="21" t="str">
        <f t="shared" si="119"/>
        <v/>
      </c>
      <c r="HI91" s="21" t="str">
        <f t="shared" si="119"/>
        <v/>
      </c>
      <c r="HJ91" s="21" t="str">
        <f t="shared" si="119"/>
        <v/>
      </c>
      <c r="HK91" s="21" t="str">
        <f t="shared" ref="HK91:JH91" si="120">IF(HK11="","",AVERAGE(HA65:HJ65)+CONFIDENCE(0.05,STDEV(GL65:HJ65),COUNT(GL65:HJ65)))</f>
        <v/>
      </c>
      <c r="HL91" s="21" t="str">
        <f t="shared" si="120"/>
        <v/>
      </c>
      <c r="HM91" s="21" t="str">
        <f t="shared" si="120"/>
        <v/>
      </c>
      <c r="HN91" s="21" t="str">
        <f t="shared" si="120"/>
        <v/>
      </c>
      <c r="HO91" s="21" t="str">
        <f t="shared" si="120"/>
        <v/>
      </c>
      <c r="HP91" s="21" t="str">
        <f t="shared" si="120"/>
        <v/>
      </c>
      <c r="HQ91" s="21" t="str">
        <f t="shared" si="120"/>
        <v/>
      </c>
      <c r="HR91" s="21" t="str">
        <f t="shared" si="120"/>
        <v/>
      </c>
      <c r="HS91" s="21" t="str">
        <f t="shared" si="120"/>
        <v/>
      </c>
      <c r="HT91" s="21" t="str">
        <f t="shared" si="120"/>
        <v/>
      </c>
      <c r="HU91" s="21" t="str">
        <f t="shared" si="120"/>
        <v/>
      </c>
      <c r="HV91" s="21" t="str">
        <f t="shared" si="120"/>
        <v/>
      </c>
      <c r="HW91" s="21" t="str">
        <f t="shared" si="120"/>
        <v/>
      </c>
      <c r="HX91" s="21" t="str">
        <f t="shared" si="120"/>
        <v/>
      </c>
      <c r="HY91" s="21" t="str">
        <f t="shared" si="120"/>
        <v/>
      </c>
      <c r="HZ91" s="21" t="str">
        <f t="shared" si="120"/>
        <v/>
      </c>
      <c r="IA91" s="21" t="str">
        <f t="shared" si="120"/>
        <v/>
      </c>
      <c r="IB91" s="21" t="str">
        <f t="shared" si="120"/>
        <v/>
      </c>
      <c r="IC91" s="21" t="str">
        <f t="shared" si="120"/>
        <v/>
      </c>
      <c r="ID91" s="21" t="str">
        <f t="shared" si="120"/>
        <v/>
      </c>
      <c r="IE91" s="21" t="str">
        <f t="shared" si="120"/>
        <v/>
      </c>
      <c r="IF91" s="21" t="str">
        <f t="shared" si="120"/>
        <v/>
      </c>
      <c r="IG91" s="21" t="str">
        <f t="shared" si="120"/>
        <v/>
      </c>
      <c r="IH91" s="21" t="str">
        <f t="shared" si="120"/>
        <v/>
      </c>
      <c r="II91" s="21" t="str">
        <f t="shared" si="120"/>
        <v/>
      </c>
      <c r="IJ91" s="21" t="str">
        <f t="shared" si="120"/>
        <v/>
      </c>
      <c r="IK91" s="21" t="str">
        <f t="shared" si="120"/>
        <v/>
      </c>
      <c r="IL91" s="21" t="str">
        <f t="shared" si="120"/>
        <v/>
      </c>
      <c r="IM91" s="21" t="str">
        <f t="shared" si="120"/>
        <v/>
      </c>
      <c r="IN91" s="21" t="str">
        <f t="shared" si="120"/>
        <v/>
      </c>
      <c r="IO91" s="21" t="str">
        <f t="shared" si="120"/>
        <v/>
      </c>
      <c r="IP91" s="21" t="str">
        <f t="shared" si="120"/>
        <v/>
      </c>
      <c r="IQ91" s="21" t="str">
        <f t="shared" si="120"/>
        <v/>
      </c>
      <c r="IR91" s="21" t="str">
        <f t="shared" si="120"/>
        <v/>
      </c>
      <c r="IS91" s="21" t="str">
        <f t="shared" si="120"/>
        <v/>
      </c>
      <c r="IT91" s="21" t="str">
        <f t="shared" si="120"/>
        <v/>
      </c>
      <c r="IU91" s="21" t="str">
        <f t="shared" si="120"/>
        <v/>
      </c>
      <c r="IV91" s="21" t="str">
        <f t="shared" si="120"/>
        <v/>
      </c>
      <c r="IW91" s="21" t="str">
        <f t="shared" si="120"/>
        <v/>
      </c>
      <c r="IX91" s="21" t="str">
        <f t="shared" si="120"/>
        <v/>
      </c>
      <c r="IY91" s="21" t="str">
        <f t="shared" si="120"/>
        <v/>
      </c>
      <c r="IZ91" s="21" t="str">
        <f t="shared" si="120"/>
        <v/>
      </c>
      <c r="JA91" s="21" t="str">
        <f t="shared" si="120"/>
        <v/>
      </c>
      <c r="JB91" s="21" t="str">
        <f t="shared" si="120"/>
        <v/>
      </c>
      <c r="JC91" s="21" t="str">
        <f t="shared" si="120"/>
        <v/>
      </c>
      <c r="JD91" s="21" t="str">
        <f t="shared" si="120"/>
        <v/>
      </c>
      <c r="JE91" s="21" t="str">
        <f t="shared" si="120"/>
        <v/>
      </c>
      <c r="JF91" s="21" t="str">
        <f t="shared" si="120"/>
        <v/>
      </c>
      <c r="JG91" s="21" t="str">
        <f t="shared" si="120"/>
        <v/>
      </c>
      <c r="JH91" s="21" t="str">
        <f t="shared" si="120"/>
        <v/>
      </c>
    </row>
    <row r="92" spans="1:336" x14ac:dyDescent="0.25"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>
        <f t="shared" ref="AA92:CL92" ca="1" si="121">IF(AA12="","",AVERAGE(P66:Z66)+CONFIDENCE(0.05,STDEV(B66:Z66),COUNT(B66:Z66)))</f>
        <v>2.9223962644080604E-3</v>
      </c>
      <c r="AB92" s="21">
        <f t="shared" ca="1" si="121"/>
        <v>2.587946618527741E-3</v>
      </c>
      <c r="AC92" s="21">
        <f t="shared" ca="1" si="121"/>
        <v>2.3461116328512832E-3</v>
      </c>
      <c r="AD92" s="21">
        <f t="shared" ca="1" si="121"/>
        <v>2.4613260499699854E-3</v>
      </c>
      <c r="AE92" s="21">
        <f t="shared" ca="1" si="121"/>
        <v>2.6822929986338576E-3</v>
      </c>
      <c r="AF92" s="21">
        <f t="shared" ca="1" si="121"/>
        <v>2.702369509474068E-3</v>
      </c>
      <c r="AG92" s="21">
        <f t="shared" ca="1" si="121"/>
        <v>3.2479425609441342E-3</v>
      </c>
      <c r="AH92" s="21">
        <f t="shared" ca="1" si="121"/>
        <v>4.0158697640814804E-3</v>
      </c>
      <c r="AI92" s="21">
        <f t="shared" ca="1" si="121"/>
        <v>5.266082011474783E-3</v>
      </c>
      <c r="AJ92" s="21">
        <f t="shared" ca="1" si="121"/>
        <v>6.0221240343910683E-3</v>
      </c>
      <c r="AK92" s="21">
        <f t="shared" ca="1" si="121"/>
        <v>6.4324604166663846E-3</v>
      </c>
      <c r="AL92" s="21">
        <f t="shared" ca="1" si="121"/>
        <v>6.9561614128179341E-3</v>
      </c>
      <c r="AM92" s="21">
        <f t="shared" ca="1" si="121"/>
        <v>7.3397535285287425E-3</v>
      </c>
      <c r="AN92" s="21">
        <f t="shared" ca="1" si="121"/>
        <v>7.4820780501065783E-3</v>
      </c>
      <c r="AO92" s="21">
        <f t="shared" ca="1" si="121"/>
        <v>7.1977295579093515E-3</v>
      </c>
      <c r="AP92" s="21">
        <f t="shared" ca="1" si="121"/>
        <v>7.0728557740127066E-3</v>
      </c>
      <c r="AQ92" s="21">
        <f t="shared" ca="1" si="121"/>
        <v>7.2188570024400989E-3</v>
      </c>
      <c r="AR92" s="21">
        <f t="shared" ca="1" si="121"/>
        <v>7.338120633650214E-3</v>
      </c>
      <c r="AS92" s="21">
        <f t="shared" ca="1" si="121"/>
        <v>8.0027236024720737E-3</v>
      </c>
      <c r="AT92" s="21">
        <f t="shared" ca="1" si="121"/>
        <v>9.1181186961846097E-3</v>
      </c>
      <c r="AU92" s="21">
        <f t="shared" ca="1" si="121"/>
        <v>1.0301077804479539E-2</v>
      </c>
      <c r="AV92" s="21">
        <f t="shared" ca="1" si="121"/>
        <v>1.2812162812811785E-2</v>
      </c>
      <c r="AW92" s="21">
        <f t="shared" ca="1" si="121"/>
        <v>1.5934635567273533E-2</v>
      </c>
      <c r="AX92" s="21">
        <f t="shared" ca="1" si="121"/>
        <v>1.9139702527186463E-2</v>
      </c>
      <c r="AY92" s="21">
        <f t="shared" ca="1" si="121"/>
        <v>2.2863368791243975E-2</v>
      </c>
      <c r="AZ92" s="21">
        <f t="shared" ca="1" si="121"/>
        <v>2.737911707193301E-2</v>
      </c>
      <c r="BA92" s="21">
        <f t="shared" ca="1" si="121"/>
        <v>3.1733484496299008E-2</v>
      </c>
      <c r="BB92" s="21">
        <f t="shared" ca="1" si="121"/>
        <v>3.5966387611846763E-2</v>
      </c>
      <c r="BC92" s="21">
        <f t="shared" ca="1" si="121"/>
        <v>3.8953371379748865E-2</v>
      </c>
      <c r="BD92" s="21">
        <f t="shared" ca="1" si="121"/>
        <v>3.9414139518238946E-2</v>
      </c>
      <c r="BE92" s="21">
        <f t="shared" ca="1" si="121"/>
        <v>3.9911037662518321E-2</v>
      </c>
      <c r="BF92" s="21">
        <f t="shared" ca="1" si="121"/>
        <v>3.9903863489402822E-2</v>
      </c>
      <c r="BG92" s="21">
        <f t="shared" ca="1" si="121"/>
        <v>3.8866396326262272E-2</v>
      </c>
      <c r="BH92" s="21">
        <f t="shared" ca="1" si="121"/>
        <v>3.8538113433019897E-2</v>
      </c>
      <c r="BI92" s="21">
        <f t="shared" ca="1" si="121"/>
        <v>3.7072710139620768E-2</v>
      </c>
      <c r="BJ92" s="21">
        <f t="shared" ca="1" si="121"/>
        <v>3.4380491944311954E-2</v>
      </c>
      <c r="BK92" s="21">
        <f t="shared" ca="1" si="121"/>
        <v>3.1121774451264329E-2</v>
      </c>
      <c r="BL92" s="21">
        <f t="shared" ca="1" si="121"/>
        <v>2.9399776836994487E-2</v>
      </c>
      <c r="BM92" s="21">
        <f t="shared" ca="1" si="121"/>
        <v>2.97417512649398E-2</v>
      </c>
      <c r="BN92" s="21">
        <f t="shared" ca="1" si="121"/>
        <v>3.0497345253068034E-2</v>
      </c>
      <c r="BO92" s="21">
        <f t="shared" ca="1" si="121"/>
        <v>3.1271387294642648E-2</v>
      </c>
      <c r="BP92" s="21">
        <f t="shared" ca="1" si="121"/>
        <v>3.0859166894588799E-2</v>
      </c>
      <c r="BQ92" s="21">
        <f t="shared" ca="1" si="121"/>
        <v>3.062535197848127E-2</v>
      </c>
      <c r="BR92" s="21">
        <f t="shared" ca="1" si="121"/>
        <v>3.1239658828632742E-2</v>
      </c>
      <c r="BS92" s="21">
        <f t="shared" ca="1" si="121"/>
        <v>3.026748013233892E-2</v>
      </c>
      <c r="BT92" s="21">
        <f t="shared" ca="1" si="121"/>
        <v>2.924333462763147E-2</v>
      </c>
      <c r="BU92" s="21">
        <f t="shared" ca="1" si="121"/>
        <v>2.985831213604332E-2</v>
      </c>
      <c r="BV92" s="21">
        <f t="shared" ca="1" si="121"/>
        <v>3.0766661118320975E-2</v>
      </c>
      <c r="BW92" s="21">
        <f t="shared" ca="1" si="121"/>
        <v>2.9259150733803915E-2</v>
      </c>
      <c r="BX92" s="21">
        <f t="shared" ca="1" si="121"/>
        <v>2.5285959445015712E-2</v>
      </c>
      <c r="BY92" s="21">
        <f t="shared" ca="1" si="121"/>
        <v>2.1906591661162302E-2</v>
      </c>
      <c r="BZ92" s="21">
        <f t="shared" ca="1" si="121"/>
        <v>1.9559047052307352E-2</v>
      </c>
      <c r="CA92" s="21">
        <f t="shared" ca="1" si="121"/>
        <v>1.7368547368216115E-2</v>
      </c>
      <c r="CB92" s="21">
        <f t="shared" ca="1" si="121"/>
        <v>1.5727101112754726E-2</v>
      </c>
      <c r="CC92" s="21">
        <f t="shared" ca="1" si="121"/>
        <v>1.3872600518932325E-2</v>
      </c>
      <c r="CD92" s="21">
        <f t="shared" ca="1" si="121"/>
        <v>1.2392273864502767E-2</v>
      </c>
      <c r="CE92" s="21">
        <f t="shared" ca="1" si="121"/>
        <v>1.3007358242527391E-2</v>
      </c>
      <c r="CF92" s="21">
        <f t="shared" ca="1" si="121"/>
        <v>1.2256307389445114E-2</v>
      </c>
      <c r="CG92" s="21">
        <f t="shared" ca="1" si="121"/>
        <v>1.0845307604895845E-2</v>
      </c>
      <c r="CH92" s="21">
        <f t="shared" ca="1" si="121"/>
        <v>1.0221688498381475E-2</v>
      </c>
      <c r="CI92" s="21">
        <f t="shared" ca="1" si="121"/>
        <v>1.0455173938421863E-2</v>
      </c>
      <c r="CJ92" s="21">
        <f t="shared" ca="1" si="121"/>
        <v>9.5385800727777054E-3</v>
      </c>
      <c r="CK92" s="21">
        <f t="shared" ca="1" si="121"/>
        <v>9.1906472390964854E-3</v>
      </c>
      <c r="CL92" s="21">
        <f t="shared" ca="1" si="121"/>
        <v>9.5281092911340612E-3</v>
      </c>
      <c r="CM92" s="21">
        <f t="shared" ref="CM92:EX92" ca="1" si="122">IF(CM12="","",AVERAGE(CB66:CL66)+CONFIDENCE(0.05,STDEV(BN66:CL66),COUNT(BN66:CL66)))</f>
        <v>9.4253884211062018E-3</v>
      </c>
      <c r="CN92" s="21">
        <f t="shared" ca="1" si="122"/>
        <v>9.8400196069259264E-3</v>
      </c>
      <c r="CO92" s="21">
        <f t="shared" ca="1" si="122"/>
        <v>9.89875620874614E-3</v>
      </c>
      <c r="CP92" s="21">
        <f t="shared" ca="1" si="122"/>
        <v>9.0776907298462349E-3</v>
      </c>
      <c r="CQ92" s="21">
        <f t="shared" ca="1" si="122"/>
        <v>8.3370850093793872E-3</v>
      </c>
      <c r="CR92" s="21">
        <f t="shared" ca="1" si="122"/>
        <v>8.5211632028158579E-3</v>
      </c>
      <c r="CS92" s="21">
        <f t="shared" ca="1" si="122"/>
        <v>8.8096252636346017E-3</v>
      </c>
      <c r="CT92" s="21">
        <f t="shared" ca="1" si="122"/>
        <v>8.3104267316635901E-3</v>
      </c>
      <c r="CU92" s="21">
        <f t="shared" ca="1" si="122"/>
        <v>8.1137269547372649E-3</v>
      </c>
      <c r="CV92" s="21">
        <f t="shared" ca="1" si="122"/>
        <v>9.1428129237509596E-3</v>
      </c>
      <c r="CW92" s="21">
        <f t="shared" ca="1" si="122"/>
        <v>7.7189776919526706E-3</v>
      </c>
      <c r="CX92" s="21">
        <f t="shared" ca="1" si="122"/>
        <v>6.7671678609798639E-3</v>
      </c>
      <c r="CY92" s="21">
        <f t="shared" ca="1" si="122"/>
        <v>6.2761691217720871E-3</v>
      </c>
      <c r="CZ92" s="21">
        <f t="shared" ca="1" si="122"/>
        <v>6.4002992797204117E-3</v>
      </c>
      <c r="DA92" s="21">
        <f t="shared" ca="1" si="122"/>
        <v>6.431363534007326E-3</v>
      </c>
      <c r="DB92" s="21">
        <f t="shared" ca="1" si="122"/>
        <v>6.51960792317676E-3</v>
      </c>
      <c r="DC92" s="21">
        <f t="shared" ca="1" si="122"/>
        <v>7.1144021474370215E-3</v>
      </c>
      <c r="DD92" s="21">
        <f t="shared" ca="1" si="122"/>
        <v>8.1410482709137755E-3</v>
      </c>
      <c r="DE92" s="21">
        <f t="shared" ca="1" si="122"/>
        <v>9.1829977507005105E-3</v>
      </c>
      <c r="DF92" s="21">
        <f t="shared" ca="1" si="122"/>
        <v>1.0936957144534272E-2</v>
      </c>
      <c r="DG92" s="21">
        <f t="shared" ca="1" si="122"/>
        <v>1.0624572007140344E-2</v>
      </c>
      <c r="DH92" s="21">
        <f t="shared" ca="1" si="122"/>
        <v>1.2410260068486247E-2</v>
      </c>
      <c r="DI92" s="21">
        <f t="shared" ca="1" si="122"/>
        <v>1.5107575573601133E-2</v>
      </c>
      <c r="DJ92" s="21">
        <f t="shared" ca="1" si="122"/>
        <v>1.6319324118213071E-2</v>
      </c>
      <c r="DK92" s="21">
        <f t="shared" ca="1" si="122"/>
        <v>1.6614902447448468E-2</v>
      </c>
      <c r="DL92" s="21">
        <f t="shared" ca="1" si="122"/>
        <v>1.7091141111992517E-2</v>
      </c>
      <c r="DM92" s="21">
        <f t="shared" ca="1" si="122"/>
        <v>1.7463841590690553E-2</v>
      </c>
      <c r="DN92" s="21">
        <f t="shared" ca="1" si="122"/>
        <v>1.6864170682712048E-2</v>
      </c>
      <c r="DO92" s="21">
        <f t="shared" ca="1" si="122"/>
        <v>1.8028259836259046E-2</v>
      </c>
      <c r="DP92" s="21">
        <f t="shared" ca="1" si="122"/>
        <v>1.8637930063923735E-2</v>
      </c>
      <c r="DQ92" s="21">
        <f t="shared" ca="1" si="122"/>
        <v>1.8247286464095906E-2</v>
      </c>
      <c r="DR92" s="21">
        <f t="shared" ca="1" si="122"/>
        <v>1.7574253797548997E-2</v>
      </c>
      <c r="DS92" s="21">
        <f t="shared" ca="1" si="122"/>
        <v>1.6307650344476211E-2</v>
      </c>
      <c r="DT92" s="21">
        <f t="shared" ca="1" si="122"/>
        <v>1.42691508987102E-2</v>
      </c>
      <c r="DU92" s="21">
        <f t="shared" ca="1" si="122"/>
        <v>1.2973455865867831E-2</v>
      </c>
      <c r="DV92" s="21">
        <f t="shared" ca="1" si="122"/>
        <v>1.2071465506136579E-2</v>
      </c>
      <c r="DW92" s="21">
        <f t="shared" ca="1" si="122"/>
        <v>1.2335591192182277E-2</v>
      </c>
      <c r="DX92" s="21">
        <f t="shared" ca="1" si="122"/>
        <v>1.3405935022183421E-2</v>
      </c>
      <c r="DY92" s="21">
        <f t="shared" ca="1" si="122"/>
        <v>1.363958876582546E-2</v>
      </c>
      <c r="DZ92" s="21">
        <f t="shared" ca="1" si="122"/>
        <v>1.1526193145849633E-2</v>
      </c>
      <c r="EA92" s="21">
        <f t="shared" ca="1" si="122"/>
        <v>1.0465721595904223E-2</v>
      </c>
      <c r="EB92" s="21">
        <f t="shared" ca="1" si="122"/>
        <v>9.4177887463971922E-3</v>
      </c>
      <c r="EC92" s="21">
        <f t="shared" ca="1" si="122"/>
        <v>9.5236882325404615E-3</v>
      </c>
      <c r="ED92" s="21">
        <f t="shared" ca="1" si="122"/>
        <v>9.2060156690620381E-3</v>
      </c>
      <c r="EE92" s="21">
        <f t="shared" ca="1" si="122"/>
        <v>9.1900544054792158E-3</v>
      </c>
      <c r="EF92" s="21">
        <f t="shared" ca="1" si="122"/>
        <v>8.978282823786916E-3</v>
      </c>
      <c r="EG92" s="21">
        <f t="shared" ca="1" si="122"/>
        <v>9.1607788538544226E-3</v>
      </c>
      <c r="EH92" s="21">
        <f t="shared" ca="1" si="122"/>
        <v>8.9213191012721179E-3</v>
      </c>
      <c r="EI92" s="21">
        <f t="shared" ca="1" si="122"/>
        <v>8.5533043252392117E-3</v>
      </c>
      <c r="EJ92" s="21">
        <f t="shared" ca="1" si="122"/>
        <v>8.6950507784385629E-3</v>
      </c>
      <c r="EK92" s="21">
        <f t="shared" ca="1" si="122"/>
        <v>9.3258063423949933E-3</v>
      </c>
      <c r="EL92" s="21">
        <f t="shared" ca="1" si="122"/>
        <v>8.9987057397121588E-3</v>
      </c>
      <c r="EM92" s="21">
        <f t="shared" ca="1" si="122"/>
        <v>9.3071228951492613E-3</v>
      </c>
      <c r="EN92" s="21">
        <f t="shared" ca="1" si="122"/>
        <v>8.6287567121487441E-3</v>
      </c>
      <c r="EO92" s="21">
        <f t="shared" ca="1" si="122"/>
        <v>8.7742639664604542E-3</v>
      </c>
      <c r="EP92" s="21">
        <f t="shared" ca="1" si="122"/>
        <v>8.3757835435176384E-3</v>
      </c>
      <c r="EQ92" s="21">
        <f t="shared" ca="1" si="122"/>
        <v>8.3600982512310497E-3</v>
      </c>
      <c r="ER92" s="21">
        <f t="shared" ca="1" si="122"/>
        <v>9.4017068614339599E-3</v>
      </c>
      <c r="ES92" s="21">
        <f t="shared" ca="1" si="122"/>
        <v>8.0914584308013349E-3</v>
      </c>
      <c r="ET92" s="21">
        <f t="shared" ca="1" si="122"/>
        <v>7.4552110508218821E-3</v>
      </c>
      <c r="EU92" s="21">
        <f t="shared" ca="1" si="122"/>
        <v>6.744431237374243E-3</v>
      </c>
      <c r="EV92" s="21">
        <f t="shared" ca="1" si="122"/>
        <v>6.0503491084434174E-3</v>
      </c>
      <c r="EW92" s="21">
        <f t="shared" ca="1" si="122"/>
        <v>5.5444617684399927E-3</v>
      </c>
      <c r="EX92" s="21">
        <f t="shared" ca="1" si="122"/>
        <v>5.8611053888271659E-3</v>
      </c>
      <c r="EY92" s="21">
        <f t="shared" ref="EY92:HJ92" ca="1" si="123">IF(EY12="","",AVERAGE(EN66:EX66)+CONFIDENCE(0.05,STDEV(DZ66:EX66),COUNT(DZ66:EX66)))</f>
        <v>6.2500000006824622E-3</v>
      </c>
      <c r="EZ92" s="21">
        <f t="shared" ca="1" si="123"/>
        <v>6.1131907618514805E-3</v>
      </c>
      <c r="FA92" s="21">
        <f t="shared" ca="1" si="123"/>
        <v>5.9714640393374882E-3</v>
      </c>
      <c r="FB92" s="21">
        <f t="shared" ca="1" si="123"/>
        <v>5.8912345991043724E-3</v>
      </c>
      <c r="FC92" s="21">
        <f t="shared" ca="1" si="123"/>
        <v>4.7431633711287439E-3</v>
      </c>
      <c r="FD92" s="21">
        <f t="shared" ca="1" si="123"/>
        <v>5.1973612991176943E-3</v>
      </c>
      <c r="FE92" s="21">
        <f t="shared" ca="1" si="123"/>
        <v>5.3917446873763455E-3</v>
      </c>
      <c r="FF92" s="21">
        <f t="shared" ca="1" si="123"/>
        <v>5.7327997609650985E-3</v>
      </c>
      <c r="FG92" s="21">
        <f t="shared" ca="1" si="123"/>
        <v>5.8815210060372295E-3</v>
      </c>
      <c r="FH92" s="21">
        <f t="shared" ca="1" si="123"/>
        <v>5.8592073263583266E-3</v>
      </c>
      <c r="FI92" s="21">
        <f t="shared" ca="1" si="123"/>
        <v>5.4036268589026876E-3</v>
      </c>
      <c r="FJ92" s="21">
        <f t="shared" ca="1" si="123"/>
        <v>6.4437902995413358E-3</v>
      </c>
      <c r="FK92" s="21">
        <f t="shared" ca="1" si="123"/>
        <v>8.0003708577532397E-3</v>
      </c>
      <c r="FL92" s="21">
        <f t="shared" ca="1" si="123"/>
        <v>8.2582652089400535E-3</v>
      </c>
      <c r="FM92" s="21">
        <f t="shared" ca="1" si="123"/>
        <v>8.4863207796344858E-3</v>
      </c>
      <c r="FN92" s="21">
        <f t="shared" ca="1" si="123"/>
        <v>9.6801878769138677E-3</v>
      </c>
      <c r="FO92" s="21">
        <f t="shared" ca="1" si="123"/>
        <v>1.1575173801479367E-2</v>
      </c>
      <c r="FP92" s="21">
        <f t="shared" ca="1" si="123"/>
        <v>1.2188867328876852E-2</v>
      </c>
      <c r="FQ92" s="21">
        <f t="shared" ca="1" si="123"/>
        <v>1.217915339264841E-2</v>
      </c>
      <c r="FR92" s="21">
        <f t="shared" ca="1" si="123"/>
        <v>1.2926282888425138E-2</v>
      </c>
      <c r="FS92" s="21">
        <f t="shared" ca="1" si="123"/>
        <v>1.345773704491097E-2</v>
      </c>
      <c r="FT92" s="21">
        <f t="shared" ca="1" si="123"/>
        <v>1.3557661209624563E-2</v>
      </c>
      <c r="FU92" s="21">
        <f t="shared" ca="1" si="123"/>
        <v>1.2720328614848583E-2</v>
      </c>
      <c r="FV92" s="21">
        <f t="shared" ca="1" si="123"/>
        <v>1.1576916589740091E-2</v>
      </c>
      <c r="FW92" s="21">
        <f t="shared" ca="1" si="123"/>
        <v>1.130934256024943E-2</v>
      </c>
      <c r="FX92" s="21">
        <f t="shared" ca="1" si="123"/>
        <v>1.1547198306540298E-2</v>
      </c>
      <c r="FY92" s="21">
        <f t="shared" ca="1" si="123"/>
        <v>1.1331750240132134E-2</v>
      </c>
      <c r="FZ92" s="21">
        <f t="shared" ca="1" si="123"/>
        <v>9.8789828086505542E-3</v>
      </c>
      <c r="GA92" s="21">
        <f t="shared" ca="1" si="123"/>
        <v>9.3131474174711921E-3</v>
      </c>
      <c r="GB92" s="21">
        <f t="shared" ca="1" si="123"/>
        <v>9.2694295325399037E-3</v>
      </c>
      <c r="GC92" s="21">
        <f t="shared" ca="1" si="123"/>
        <v>8.3423233113241076E-3</v>
      </c>
      <c r="GD92" s="21">
        <f t="shared" ca="1" si="123"/>
        <v>7.8404748689437712E-3</v>
      </c>
      <c r="GE92" s="21">
        <f t="shared" ca="1" si="123"/>
        <v>7.9161431304463348E-3</v>
      </c>
      <c r="GF92" s="21">
        <f t="shared" ca="1" si="123"/>
        <v>7.4363209660651191E-3</v>
      </c>
      <c r="GG92" s="21">
        <f t="shared" ca="1" si="123"/>
        <v>8.6627076446293503E-3</v>
      </c>
      <c r="GH92" s="21">
        <f t="shared" ca="1" si="123"/>
        <v>1.0239147742051256E-2</v>
      </c>
      <c r="GI92" s="21">
        <f t="shared" ca="1" si="123"/>
        <v>1.089754538026895E-2</v>
      </c>
      <c r="GJ92" s="21">
        <f t="shared" ca="1" si="123"/>
        <v>1.0920507818369143E-2</v>
      </c>
      <c r="GK92" s="21">
        <f t="shared" ca="1" si="123"/>
        <v>1.140368649229714E-2</v>
      </c>
      <c r="GL92" s="21">
        <f t="shared" ca="1" si="123"/>
        <v>1.1421805748590958E-2</v>
      </c>
      <c r="GM92" s="21">
        <f t="shared" ca="1" si="123"/>
        <v>1.1480626385981109E-2</v>
      </c>
      <c r="GN92" s="21">
        <f t="shared" ca="1" si="123"/>
        <v>1.1454076278610746E-2</v>
      </c>
      <c r="GO92" s="21">
        <f t="shared" ca="1" si="123"/>
        <v>1.1728974643267671E-2</v>
      </c>
      <c r="GP92" s="21">
        <f t="shared" ca="1" si="123"/>
        <v>1.1968394271081397E-2</v>
      </c>
      <c r="GQ92" s="21">
        <f t="shared" ca="1" si="123"/>
        <v>1.297662064343073E-2</v>
      </c>
      <c r="GR92" s="21">
        <f t="shared" ca="1" si="123"/>
        <v>1.2347683193528417E-2</v>
      </c>
      <c r="GS92" s="21">
        <f t="shared" ca="1" si="123"/>
        <v>1.139491684811118E-2</v>
      </c>
      <c r="GT92" s="21">
        <f t="shared" ca="1" si="123"/>
        <v>1.0957401455616888E-2</v>
      </c>
      <c r="GU92" s="21">
        <f t="shared" ca="1" si="123"/>
        <v>1.0494621394954644E-2</v>
      </c>
      <c r="GV92" s="21">
        <f t="shared" ca="1" si="123"/>
        <v>9.8223534223276267E-3</v>
      </c>
      <c r="GW92" s="21">
        <f t="shared" ca="1" si="123"/>
        <v>9.1187699946658814E-3</v>
      </c>
      <c r="GX92" s="21">
        <f t="shared" ca="1" si="123"/>
        <v>8.779810600726929E-3</v>
      </c>
      <c r="GY92" s="21">
        <f t="shared" ca="1" si="123"/>
        <v>9.3835369864057605E-3</v>
      </c>
      <c r="GZ92" s="21">
        <f t="shared" ca="1" si="123"/>
        <v>1.0961290260775983E-2</v>
      </c>
      <c r="HA92" s="21" t="str">
        <f t="shared" si="123"/>
        <v/>
      </c>
      <c r="HB92" s="21" t="str">
        <f t="shared" si="123"/>
        <v/>
      </c>
      <c r="HC92" s="21" t="str">
        <f t="shared" si="123"/>
        <v/>
      </c>
      <c r="HD92" s="21" t="str">
        <f t="shared" si="123"/>
        <v/>
      </c>
      <c r="HE92" s="21" t="str">
        <f t="shared" si="123"/>
        <v/>
      </c>
      <c r="HF92" s="21" t="str">
        <f t="shared" si="123"/>
        <v/>
      </c>
      <c r="HG92" s="21" t="str">
        <f t="shared" si="123"/>
        <v/>
      </c>
      <c r="HH92" s="21" t="str">
        <f t="shared" si="123"/>
        <v/>
      </c>
      <c r="HI92" s="21" t="str">
        <f t="shared" si="123"/>
        <v/>
      </c>
      <c r="HJ92" s="21" t="str">
        <f t="shared" si="123"/>
        <v/>
      </c>
      <c r="HK92" s="21" t="str">
        <f t="shared" ref="HK92:JH92" si="124">IF(HK12="","",AVERAGE(GZ66:HJ66)+CONFIDENCE(0.05,STDEV(GL66:HJ66),COUNT(GL66:HJ66)))</f>
        <v/>
      </c>
      <c r="HL92" s="21" t="str">
        <f t="shared" si="124"/>
        <v/>
      </c>
      <c r="HM92" s="21" t="str">
        <f t="shared" si="124"/>
        <v/>
      </c>
      <c r="HN92" s="21" t="str">
        <f t="shared" si="124"/>
        <v/>
      </c>
      <c r="HO92" s="21" t="str">
        <f t="shared" si="124"/>
        <v/>
      </c>
      <c r="HP92" s="21" t="str">
        <f t="shared" si="124"/>
        <v/>
      </c>
      <c r="HQ92" s="21" t="str">
        <f t="shared" si="124"/>
        <v/>
      </c>
      <c r="HR92" s="21" t="str">
        <f t="shared" si="124"/>
        <v/>
      </c>
      <c r="HS92" s="21" t="str">
        <f t="shared" si="124"/>
        <v/>
      </c>
      <c r="HT92" s="21" t="str">
        <f t="shared" si="124"/>
        <v/>
      </c>
      <c r="HU92" s="21" t="str">
        <f t="shared" si="124"/>
        <v/>
      </c>
      <c r="HV92" s="21" t="str">
        <f t="shared" si="124"/>
        <v/>
      </c>
      <c r="HW92" s="21" t="str">
        <f t="shared" si="124"/>
        <v/>
      </c>
      <c r="HX92" s="21" t="str">
        <f t="shared" si="124"/>
        <v/>
      </c>
      <c r="HY92" s="21" t="str">
        <f t="shared" si="124"/>
        <v/>
      </c>
      <c r="HZ92" s="21" t="str">
        <f t="shared" si="124"/>
        <v/>
      </c>
      <c r="IA92" s="21" t="str">
        <f t="shared" si="124"/>
        <v/>
      </c>
      <c r="IB92" s="21" t="str">
        <f t="shared" si="124"/>
        <v/>
      </c>
      <c r="IC92" s="21" t="str">
        <f t="shared" si="124"/>
        <v/>
      </c>
      <c r="ID92" s="21" t="str">
        <f t="shared" si="124"/>
        <v/>
      </c>
      <c r="IE92" s="21" t="str">
        <f t="shared" si="124"/>
        <v/>
      </c>
      <c r="IF92" s="21" t="str">
        <f t="shared" si="124"/>
        <v/>
      </c>
      <c r="IG92" s="21" t="str">
        <f t="shared" si="124"/>
        <v/>
      </c>
      <c r="IH92" s="21" t="str">
        <f t="shared" si="124"/>
        <v/>
      </c>
      <c r="II92" s="21" t="str">
        <f t="shared" si="124"/>
        <v/>
      </c>
      <c r="IJ92" s="21" t="str">
        <f t="shared" si="124"/>
        <v/>
      </c>
      <c r="IK92" s="21" t="str">
        <f t="shared" si="124"/>
        <v/>
      </c>
      <c r="IL92" s="21" t="str">
        <f t="shared" si="124"/>
        <v/>
      </c>
      <c r="IM92" s="21" t="str">
        <f t="shared" si="124"/>
        <v/>
      </c>
      <c r="IN92" s="21" t="str">
        <f t="shared" si="124"/>
        <v/>
      </c>
      <c r="IO92" s="21" t="str">
        <f t="shared" si="124"/>
        <v/>
      </c>
      <c r="IP92" s="21" t="str">
        <f t="shared" si="124"/>
        <v/>
      </c>
      <c r="IQ92" s="21" t="str">
        <f t="shared" si="124"/>
        <v/>
      </c>
      <c r="IR92" s="21" t="str">
        <f t="shared" si="124"/>
        <v/>
      </c>
      <c r="IS92" s="21" t="str">
        <f t="shared" si="124"/>
        <v/>
      </c>
      <c r="IT92" s="21" t="str">
        <f t="shared" si="124"/>
        <v/>
      </c>
      <c r="IU92" s="21" t="str">
        <f t="shared" si="124"/>
        <v/>
      </c>
      <c r="IV92" s="21" t="str">
        <f t="shared" si="124"/>
        <v/>
      </c>
      <c r="IW92" s="21" t="str">
        <f t="shared" si="124"/>
        <v/>
      </c>
      <c r="IX92" s="21" t="str">
        <f t="shared" si="124"/>
        <v/>
      </c>
      <c r="IY92" s="21" t="str">
        <f t="shared" si="124"/>
        <v/>
      </c>
      <c r="IZ92" s="21" t="str">
        <f t="shared" si="124"/>
        <v/>
      </c>
      <c r="JA92" s="21" t="str">
        <f t="shared" si="124"/>
        <v/>
      </c>
      <c r="JB92" s="21" t="str">
        <f t="shared" si="124"/>
        <v/>
      </c>
      <c r="JC92" s="21" t="str">
        <f t="shared" si="124"/>
        <v/>
      </c>
      <c r="JD92" s="21" t="str">
        <f t="shared" si="124"/>
        <v/>
      </c>
      <c r="JE92" s="21" t="str">
        <f t="shared" si="124"/>
        <v/>
      </c>
      <c r="JF92" s="21" t="str">
        <f t="shared" si="124"/>
        <v/>
      </c>
      <c r="JG92" s="21" t="str">
        <f t="shared" si="124"/>
        <v/>
      </c>
      <c r="JH92" s="21" t="str">
        <f t="shared" si="124"/>
        <v/>
      </c>
    </row>
    <row r="93" spans="1:336" x14ac:dyDescent="0.25"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>
        <f t="shared" ref="AA93:CL93" ca="1" si="125">IF(AA13="","",AVERAGE(O67:Z67)+CONFIDENCE(0.05,STDEV(B67:Z67),COUNT(B67:Z67)))</f>
        <v>3.7460928330176795E-3</v>
      </c>
      <c r="AB93" s="21">
        <f t="shared" ca="1" si="125"/>
        <v>3.059785357905279E-3</v>
      </c>
      <c r="AC93" s="21">
        <f t="shared" ca="1" si="125"/>
        <v>2.5655256106453736E-3</v>
      </c>
      <c r="AD93" s="21">
        <f t="shared" ca="1" si="125"/>
        <v>2.5499958206029001E-3</v>
      </c>
      <c r="AE93" s="21">
        <f t="shared" ca="1" si="125"/>
        <v>2.7660184237466041E-3</v>
      </c>
      <c r="AF93" s="21">
        <f t="shared" ca="1" si="125"/>
        <v>2.8387278357372963E-3</v>
      </c>
      <c r="AG93" s="21">
        <f t="shared" ca="1" si="125"/>
        <v>3.2210932968021432E-3</v>
      </c>
      <c r="AH93" s="21">
        <f t="shared" ca="1" si="125"/>
        <v>4.1359748256425636E-3</v>
      </c>
      <c r="AI93" s="21">
        <f t="shared" ca="1" si="125"/>
        <v>5.3801655407026694E-3</v>
      </c>
      <c r="AJ93" s="21">
        <f t="shared" ca="1" si="125"/>
        <v>6.0991158252826499E-3</v>
      </c>
      <c r="AK93" s="21">
        <f t="shared" ca="1" si="125"/>
        <v>6.6236540403379462E-3</v>
      </c>
      <c r="AL93" s="21">
        <f t="shared" ca="1" si="125"/>
        <v>7.2105586206345938E-3</v>
      </c>
      <c r="AM93" s="21">
        <f t="shared" ca="1" si="125"/>
        <v>7.5768590633669333E-3</v>
      </c>
      <c r="AN93" s="21">
        <f t="shared" ca="1" si="125"/>
        <v>7.6940957240792477E-3</v>
      </c>
      <c r="AO93" s="21">
        <f t="shared" ca="1" si="125"/>
        <v>7.7494545380634387E-3</v>
      </c>
      <c r="AP93" s="21">
        <f t="shared" ca="1" si="125"/>
        <v>7.903334695530749E-3</v>
      </c>
      <c r="AQ93" s="21">
        <f t="shared" ca="1" si="125"/>
        <v>8.0689631214861356E-3</v>
      </c>
      <c r="AR93" s="21">
        <f t="shared" ca="1" si="125"/>
        <v>8.8048030754024724E-3</v>
      </c>
      <c r="AS93" s="21">
        <f t="shared" ca="1" si="125"/>
        <v>1.0235639804428395E-2</v>
      </c>
      <c r="AT93" s="21">
        <f t="shared" ca="1" si="125"/>
        <v>1.1883871654567568E-2</v>
      </c>
      <c r="AU93" s="21">
        <f t="shared" ca="1" si="125"/>
        <v>1.3164854171548349E-2</v>
      </c>
      <c r="AV93" s="21">
        <f t="shared" ca="1" si="125"/>
        <v>1.5847136978663887E-2</v>
      </c>
      <c r="AW93" s="21">
        <f t="shared" ca="1" si="125"/>
        <v>1.9151051948716843E-2</v>
      </c>
      <c r="AX93" s="21">
        <f t="shared" ca="1" si="125"/>
        <v>2.2671469984036567E-2</v>
      </c>
      <c r="AY93" s="21">
        <f t="shared" ca="1" si="125"/>
        <v>2.657836096520335E-2</v>
      </c>
      <c r="AZ93" s="21">
        <f t="shared" ca="1" si="125"/>
        <v>3.1121926067975595E-2</v>
      </c>
      <c r="BA93" s="21">
        <f t="shared" ca="1" si="125"/>
        <v>3.6177305085682288E-2</v>
      </c>
      <c r="BB93" s="21">
        <f t="shared" ca="1" si="125"/>
        <v>4.0814603632790679E-2</v>
      </c>
      <c r="BC93" s="21">
        <f t="shared" ca="1" si="125"/>
        <v>4.3917205540179728E-2</v>
      </c>
      <c r="BD93" s="21">
        <f t="shared" ca="1" si="125"/>
        <v>4.4667773442707996E-2</v>
      </c>
      <c r="BE93" s="21">
        <f t="shared" ca="1" si="125"/>
        <v>4.5166344169773887E-2</v>
      </c>
      <c r="BF93" s="21">
        <f t="shared" ca="1" si="125"/>
        <v>4.4699257132611164E-2</v>
      </c>
      <c r="BG93" s="21">
        <f t="shared" ca="1" si="125"/>
        <v>4.3981912272579422E-2</v>
      </c>
      <c r="BH93" s="21">
        <f t="shared" ca="1" si="125"/>
        <v>4.3790600366202533E-2</v>
      </c>
      <c r="BI93" s="21">
        <f t="shared" ca="1" si="125"/>
        <v>4.1989963586405263E-2</v>
      </c>
      <c r="BJ93" s="21">
        <f t="shared" ca="1" si="125"/>
        <v>3.9110858459672181E-2</v>
      </c>
      <c r="BK93" s="21">
        <f t="shared" ca="1" si="125"/>
        <v>3.5876697548955686E-2</v>
      </c>
      <c r="BL93" s="21">
        <f t="shared" ca="1" si="125"/>
        <v>3.4494316057327973E-2</v>
      </c>
      <c r="BM93" s="21">
        <f t="shared" ca="1" si="125"/>
        <v>3.4925928558475171E-2</v>
      </c>
      <c r="BN93" s="21">
        <f t="shared" ca="1" si="125"/>
        <v>3.4593211980471404E-2</v>
      </c>
      <c r="BO93" s="21">
        <f t="shared" ca="1" si="125"/>
        <v>3.3751586929063292E-2</v>
      </c>
      <c r="BP93" s="21">
        <f t="shared" ca="1" si="125"/>
        <v>3.4047781293591838E-2</v>
      </c>
      <c r="BQ93" s="21">
        <f t="shared" ca="1" si="125"/>
        <v>3.3616479819226573E-2</v>
      </c>
      <c r="BR93" s="21">
        <f t="shared" ca="1" si="125"/>
        <v>3.4322645462577059E-2</v>
      </c>
      <c r="BS93" s="21">
        <f t="shared" ca="1" si="125"/>
        <v>3.4836008223717012E-2</v>
      </c>
      <c r="BT93" s="21">
        <f t="shared" ca="1" si="125"/>
        <v>3.3016864003268351E-2</v>
      </c>
      <c r="BU93" s="21">
        <f t="shared" ca="1" si="125"/>
        <v>3.3010489515088691E-2</v>
      </c>
      <c r="BV93" s="21">
        <f t="shared" ca="1" si="125"/>
        <v>3.404102352800889E-2</v>
      </c>
      <c r="BW93" s="21">
        <f t="shared" ca="1" si="125"/>
        <v>3.4553801020894129E-2</v>
      </c>
      <c r="BX93" s="21">
        <f t="shared" ca="1" si="125"/>
        <v>3.2146436576716918E-2</v>
      </c>
      <c r="BY93" s="21">
        <f t="shared" ca="1" si="125"/>
        <v>2.8339901041989971E-2</v>
      </c>
      <c r="BZ93" s="21">
        <f t="shared" ca="1" si="125"/>
        <v>2.4267010606327348E-2</v>
      </c>
      <c r="CA93" s="21">
        <f t="shared" ca="1" si="125"/>
        <v>2.1258393488411624E-2</v>
      </c>
      <c r="CB93" s="21">
        <f t="shared" ca="1" si="125"/>
        <v>1.8938688273838818E-2</v>
      </c>
      <c r="CC93" s="21">
        <f t="shared" ca="1" si="125"/>
        <v>1.7304451067791472E-2</v>
      </c>
      <c r="CD93" s="21">
        <f t="shared" ca="1" si="125"/>
        <v>1.5169262296876838E-2</v>
      </c>
      <c r="CE93" s="21">
        <f t="shared" ca="1" si="125"/>
        <v>1.432991475203365E-2</v>
      </c>
      <c r="CF93" s="21">
        <f t="shared" ca="1" si="125"/>
        <v>1.4404214848428753E-2</v>
      </c>
      <c r="CG93" s="21">
        <f t="shared" ca="1" si="125"/>
        <v>1.3223333674450579E-2</v>
      </c>
      <c r="CH93" s="21">
        <f t="shared" ca="1" si="125"/>
        <v>1.1836411211316372E-2</v>
      </c>
      <c r="CI93" s="21">
        <f t="shared" ca="1" si="125"/>
        <v>1.1323998720431059E-2</v>
      </c>
      <c r="CJ93" s="21">
        <f t="shared" ca="1" si="125"/>
        <v>1.1201498478847287E-2</v>
      </c>
      <c r="CK93" s="21">
        <f t="shared" ca="1" si="125"/>
        <v>9.9993609531195543E-3</v>
      </c>
      <c r="CL93" s="21">
        <f t="shared" ca="1" si="125"/>
        <v>9.4815535922134694E-3</v>
      </c>
      <c r="CM93" s="21">
        <f t="shared" ref="CM93:EX93" ca="1" si="126">IF(CM13="","",AVERAGE(CA67:CL67)+CONFIDENCE(0.05,STDEV(BN67:CL67),COUNT(BN67:CL67)))</f>
        <v>9.0760364251933935E-3</v>
      </c>
      <c r="CN93" s="21">
        <f t="shared" ca="1" si="126"/>
        <v>9.4897065775253441E-3</v>
      </c>
      <c r="CO93" s="21">
        <f t="shared" ca="1" si="126"/>
        <v>9.4198508221033251E-3</v>
      </c>
      <c r="CP93" s="21">
        <f t="shared" ca="1" si="126"/>
        <v>9.424540848544407E-3</v>
      </c>
      <c r="CQ93" s="21">
        <f t="shared" ca="1" si="126"/>
        <v>8.0407663163260604E-3</v>
      </c>
      <c r="CR93" s="21">
        <f t="shared" ca="1" si="126"/>
        <v>7.9795529790455001E-3</v>
      </c>
      <c r="CS93" s="21">
        <f t="shared" ca="1" si="126"/>
        <v>8.331376119958208E-3</v>
      </c>
      <c r="CT93" s="21">
        <f t="shared" ca="1" si="126"/>
        <v>8.1375504656394961E-3</v>
      </c>
      <c r="CU93" s="21">
        <f t="shared" ca="1" si="126"/>
        <v>7.604412768765818E-3</v>
      </c>
      <c r="CV93" s="21">
        <f t="shared" ca="1" si="126"/>
        <v>9.0132526664638331E-3</v>
      </c>
      <c r="CW93" s="21">
        <f t="shared" ca="1" si="126"/>
        <v>9.0260518214948376E-3</v>
      </c>
      <c r="CX93" s="21">
        <f t="shared" ca="1" si="126"/>
        <v>8.2886234013366429E-3</v>
      </c>
      <c r="CY93" s="21">
        <f t="shared" ca="1" si="126"/>
        <v>7.708235476164442E-3</v>
      </c>
      <c r="CZ93" s="21">
        <f t="shared" ca="1" si="126"/>
        <v>7.0236011571927961E-3</v>
      </c>
      <c r="DA93" s="21">
        <f t="shared" ca="1" si="126"/>
        <v>6.8104594341179634E-3</v>
      </c>
      <c r="DB93" s="21">
        <f t="shared" ca="1" si="126"/>
        <v>6.5226111353238235E-3</v>
      </c>
      <c r="DC93" s="21">
        <f t="shared" ca="1" si="126"/>
        <v>7.8821686099116283E-3</v>
      </c>
      <c r="DD93" s="21">
        <f t="shared" ca="1" si="126"/>
        <v>8.6412529886408379E-3</v>
      </c>
      <c r="DE93" s="21">
        <f t="shared" ca="1" si="126"/>
        <v>9.2883947817761076E-3</v>
      </c>
      <c r="DF93" s="21">
        <f t="shared" ca="1" si="126"/>
        <v>1.1325474304125373E-2</v>
      </c>
      <c r="DG93" s="21">
        <f t="shared" ca="1" si="126"/>
        <v>1.2426202671481854E-2</v>
      </c>
      <c r="DH93" s="21">
        <f t="shared" ca="1" si="126"/>
        <v>1.315463903310591E-2</v>
      </c>
      <c r="DI93" s="21">
        <f t="shared" ca="1" si="126"/>
        <v>1.6131839315547319E-2</v>
      </c>
      <c r="DJ93" s="21">
        <f t="shared" ca="1" si="126"/>
        <v>1.7556790116472865E-2</v>
      </c>
      <c r="DK93" s="21">
        <f t="shared" ca="1" si="126"/>
        <v>1.8021073533019891E-2</v>
      </c>
      <c r="DL93" s="21">
        <f t="shared" ca="1" si="126"/>
        <v>1.8620648739085928E-2</v>
      </c>
      <c r="DM93" s="21">
        <f t="shared" ca="1" si="126"/>
        <v>1.9007208728362507E-2</v>
      </c>
      <c r="DN93" s="21">
        <f t="shared" ca="1" si="126"/>
        <v>1.9498013105304836E-2</v>
      </c>
      <c r="DO93" s="21">
        <f t="shared" ca="1" si="126"/>
        <v>2.0635065994525071E-2</v>
      </c>
      <c r="DP93" s="21">
        <f t="shared" ca="1" si="126"/>
        <v>2.0613093576097252E-2</v>
      </c>
      <c r="DQ93" s="21">
        <f t="shared" ca="1" si="126"/>
        <v>2.0798962294507551E-2</v>
      </c>
      <c r="DR93" s="21">
        <f t="shared" ca="1" si="126"/>
        <v>1.9414901729633883E-2</v>
      </c>
      <c r="DS93" s="21">
        <f t="shared" ca="1" si="126"/>
        <v>1.8656649736653673E-2</v>
      </c>
      <c r="DT93" s="21">
        <f t="shared" ca="1" si="126"/>
        <v>1.727852595354586E-2</v>
      </c>
      <c r="DU93" s="21">
        <f t="shared" ca="1" si="126"/>
        <v>1.5164028954347158E-2</v>
      </c>
      <c r="DV93" s="21">
        <f t="shared" ca="1" si="126"/>
        <v>1.3378769498767793E-2</v>
      </c>
      <c r="DW93" s="21">
        <f t="shared" ca="1" si="126"/>
        <v>1.3499821693085282E-2</v>
      </c>
      <c r="DX93" s="21">
        <f t="shared" ca="1" si="126"/>
        <v>1.3940427098481329E-2</v>
      </c>
      <c r="DY93" s="21">
        <f t="shared" ca="1" si="126"/>
        <v>1.4020199086262248E-2</v>
      </c>
      <c r="DZ93" s="21">
        <f t="shared" ca="1" si="126"/>
        <v>1.3599422379592892E-2</v>
      </c>
      <c r="EA93" s="21">
        <f t="shared" ca="1" si="126"/>
        <v>1.1738415684321941E-2</v>
      </c>
      <c r="EB93" s="21">
        <f t="shared" ca="1" si="126"/>
        <v>1.0664968769906793E-2</v>
      </c>
      <c r="EC93" s="21">
        <f t="shared" ca="1" si="126"/>
        <v>9.905642731470949E-3</v>
      </c>
      <c r="ED93" s="21">
        <f t="shared" ca="1" si="126"/>
        <v>9.7336481271401258E-3</v>
      </c>
      <c r="EE93" s="21">
        <f t="shared" ca="1" si="126"/>
        <v>9.7631626410125041E-3</v>
      </c>
      <c r="EF93" s="21">
        <f t="shared" ca="1" si="126"/>
        <v>9.4087353414363008E-3</v>
      </c>
      <c r="EG93" s="21">
        <f t="shared" ca="1" si="126"/>
        <v>9.3657941233101592E-3</v>
      </c>
      <c r="EH93" s="21">
        <f t="shared" ca="1" si="126"/>
        <v>1.0059335040358912E-2</v>
      </c>
      <c r="EI93" s="21">
        <f t="shared" ca="1" si="126"/>
        <v>9.7316262350585284E-3</v>
      </c>
      <c r="EJ93" s="21">
        <f t="shared" ca="1" si="126"/>
        <v>9.1669621441201853E-3</v>
      </c>
      <c r="EK93" s="21">
        <f t="shared" ca="1" si="126"/>
        <v>9.0686089911088848E-3</v>
      </c>
      <c r="EL93" s="21">
        <f t="shared" ca="1" si="126"/>
        <v>9.4281183172545777E-3</v>
      </c>
      <c r="EM93" s="21">
        <f t="shared" ca="1" si="126"/>
        <v>9.3242021129493046E-3</v>
      </c>
      <c r="EN93" s="21">
        <f t="shared" ca="1" si="126"/>
        <v>8.7957878511879493E-3</v>
      </c>
      <c r="EO93" s="21">
        <f t="shared" ca="1" si="126"/>
        <v>8.5650432021643977E-3</v>
      </c>
      <c r="EP93" s="21">
        <f t="shared" ca="1" si="126"/>
        <v>8.6690425723193465E-3</v>
      </c>
      <c r="EQ93" s="21">
        <f t="shared" ca="1" si="126"/>
        <v>8.2162570343143459E-3</v>
      </c>
      <c r="ER93" s="21">
        <f t="shared" ca="1" si="126"/>
        <v>9.3985785939443307E-3</v>
      </c>
      <c r="ES93" s="21">
        <f t="shared" ca="1" si="126"/>
        <v>9.0244731135042024E-3</v>
      </c>
      <c r="ET93" s="21">
        <f t="shared" ca="1" si="126"/>
        <v>8.3102486592266534E-3</v>
      </c>
      <c r="EU93" s="21">
        <f t="shared" ca="1" si="126"/>
        <v>7.3724532720838513E-3</v>
      </c>
      <c r="EV93" s="21">
        <f t="shared" ca="1" si="126"/>
        <v>6.4447121283073934E-3</v>
      </c>
      <c r="EW93" s="21">
        <f t="shared" ca="1" si="126"/>
        <v>5.5865125706545966E-3</v>
      </c>
      <c r="EX93" s="21">
        <f t="shared" ca="1" si="126"/>
        <v>5.7833680450005984E-3</v>
      </c>
      <c r="EY93" s="21">
        <f t="shared" ref="EY93:HJ93" ca="1" si="127">IF(EY13="","",AVERAGE(EM67:EX67)+CONFIDENCE(0.05,STDEV(DZ67:EX67),COUNT(DZ67:EX67)))</f>
        <v>5.7882179489025867E-3</v>
      </c>
      <c r="EZ93" s="21">
        <f t="shared" ca="1" si="127"/>
        <v>5.770437233854642E-3</v>
      </c>
      <c r="FA93" s="21">
        <f t="shared" ca="1" si="127"/>
        <v>5.551636307250655E-3</v>
      </c>
      <c r="FB93" s="21">
        <f t="shared" ca="1" si="127"/>
        <v>5.3404713698541658E-3</v>
      </c>
      <c r="FC93" s="21">
        <f t="shared" ca="1" si="127"/>
        <v>5.1998730212305787E-3</v>
      </c>
      <c r="FD93" s="21">
        <f t="shared" ca="1" si="127"/>
        <v>4.3062320614851383E-3</v>
      </c>
      <c r="FE93" s="21">
        <f t="shared" ca="1" si="127"/>
        <v>4.9610279599892702E-3</v>
      </c>
      <c r="FF93" s="21">
        <f t="shared" ca="1" si="127"/>
        <v>4.5896915396756452E-3</v>
      </c>
      <c r="FG93" s="21">
        <f t="shared" ca="1" si="127"/>
        <v>4.5891544989510539E-3</v>
      </c>
      <c r="FH93" s="21">
        <f t="shared" ca="1" si="127"/>
        <v>4.5573375232763804E-3</v>
      </c>
      <c r="FI93" s="21">
        <f t="shared" ca="1" si="127"/>
        <v>4.7279784489056616E-3</v>
      </c>
      <c r="FJ93" s="21">
        <f t="shared" ca="1" si="127"/>
        <v>5.8708445891080437E-3</v>
      </c>
      <c r="FK93" s="21">
        <f t="shared" ca="1" si="127"/>
        <v>7.1699315916057427E-3</v>
      </c>
      <c r="FL93" s="21">
        <f t="shared" ca="1" si="127"/>
        <v>7.4785434053780235E-3</v>
      </c>
      <c r="FM93" s="21">
        <f t="shared" ca="1" si="127"/>
        <v>7.6091302720654426E-3</v>
      </c>
      <c r="FN93" s="21">
        <f t="shared" ca="1" si="127"/>
        <v>8.9738538068979481E-3</v>
      </c>
      <c r="FO93" s="21">
        <f t="shared" ca="1" si="127"/>
        <v>1.1259572734772169E-2</v>
      </c>
      <c r="FP93" s="21">
        <f t="shared" ca="1" si="127"/>
        <v>1.2426601360756948E-2</v>
      </c>
      <c r="FQ93" s="21">
        <f t="shared" ca="1" si="127"/>
        <v>1.2575647969849557E-2</v>
      </c>
      <c r="FR93" s="21">
        <f t="shared" ca="1" si="127"/>
        <v>1.3801912559434385E-2</v>
      </c>
      <c r="FS93" s="21">
        <f t="shared" ca="1" si="127"/>
        <v>1.4136558145109199E-2</v>
      </c>
      <c r="FT93" s="21">
        <f t="shared" ca="1" si="127"/>
        <v>1.4446984540133417E-2</v>
      </c>
      <c r="FU93" s="21">
        <f t="shared" ca="1" si="127"/>
        <v>1.4669609699395292E-2</v>
      </c>
      <c r="FV93" s="21">
        <f t="shared" ca="1" si="127"/>
        <v>1.3592672966584356E-2</v>
      </c>
      <c r="FW93" s="21">
        <f t="shared" ca="1" si="127"/>
        <v>1.2364651677905463E-2</v>
      </c>
      <c r="FX93" s="21">
        <f t="shared" ca="1" si="127"/>
        <v>1.2575991772764699E-2</v>
      </c>
      <c r="FY93" s="21">
        <f t="shared" ca="1" si="127"/>
        <v>1.3087261353085394E-2</v>
      </c>
      <c r="FZ93" s="21">
        <f t="shared" ca="1" si="127"/>
        <v>1.2162452833090379E-2</v>
      </c>
      <c r="GA93" s="21">
        <f t="shared" ca="1" si="127"/>
        <v>1.1006591860300383E-2</v>
      </c>
      <c r="GB93" s="21">
        <f t="shared" ca="1" si="127"/>
        <v>1.02372952542003E-2</v>
      </c>
      <c r="GC93" s="21">
        <f t="shared" ca="1" si="127"/>
        <v>9.5129153329008617E-3</v>
      </c>
      <c r="GD93" s="21">
        <f t="shared" ca="1" si="127"/>
        <v>8.4098616437139964E-3</v>
      </c>
      <c r="GE93" s="21">
        <f t="shared" ca="1" si="127"/>
        <v>7.7738956838844537E-3</v>
      </c>
      <c r="GF93" s="21">
        <f t="shared" ca="1" si="127"/>
        <v>8.7275093048573942E-3</v>
      </c>
      <c r="GG93" s="21">
        <f t="shared" ca="1" si="127"/>
        <v>9.6836689962316296E-3</v>
      </c>
      <c r="GH93" s="21">
        <f t="shared" ca="1" si="127"/>
        <v>1.0321551594781524E-2</v>
      </c>
      <c r="GI93" s="21">
        <f t="shared" ca="1" si="127"/>
        <v>1.0611988191752617E-2</v>
      </c>
      <c r="GJ93" s="21">
        <f t="shared" ca="1" si="127"/>
        <v>1.0542935637523985E-2</v>
      </c>
      <c r="GK93" s="21">
        <f t="shared" ca="1" si="127"/>
        <v>1.071356324045495E-2</v>
      </c>
      <c r="GL93" s="21">
        <f t="shared" ca="1" si="127"/>
        <v>1.1273280344315292E-2</v>
      </c>
      <c r="GM93" s="21">
        <f t="shared" ca="1" si="127"/>
        <v>1.0967184349983884E-2</v>
      </c>
      <c r="GN93" s="21">
        <f t="shared" ca="1" si="127"/>
        <v>1.0320039418104276E-2</v>
      </c>
      <c r="GO93" s="21">
        <f t="shared" ca="1" si="127"/>
        <v>1.0499561585064571E-2</v>
      </c>
      <c r="GP93" s="21">
        <f t="shared" ca="1" si="127"/>
        <v>1.1144557317506649E-2</v>
      </c>
      <c r="GQ93" s="21">
        <f t="shared" ca="1" si="127"/>
        <v>1.2009562363215976E-2</v>
      </c>
      <c r="GR93" s="21">
        <f t="shared" ca="1" si="127"/>
        <v>1.1368838217674454E-2</v>
      </c>
      <c r="GS93" s="21">
        <f t="shared" ca="1" si="127"/>
        <v>1.0364546981685208E-2</v>
      </c>
      <c r="GT93" s="21">
        <f t="shared" ca="1" si="127"/>
        <v>9.7389579009229572E-3</v>
      </c>
      <c r="GU93" s="21">
        <f t="shared" ca="1" si="127"/>
        <v>1.0146642586706438E-2</v>
      </c>
      <c r="GV93" s="21">
        <f t="shared" ca="1" si="127"/>
        <v>1.0303947957420331E-2</v>
      </c>
      <c r="GW93" s="21">
        <f t="shared" ca="1" si="127"/>
        <v>9.2365293154727298E-3</v>
      </c>
      <c r="GX93" s="21">
        <f t="shared" ca="1" si="127"/>
        <v>7.7859558668294613E-3</v>
      </c>
      <c r="GY93" s="21">
        <f t="shared" ca="1" si="127"/>
        <v>7.2734948391158186E-3</v>
      </c>
      <c r="GZ93" s="21">
        <f t="shared" ca="1" si="127"/>
        <v>7.9506713895723096E-3</v>
      </c>
      <c r="HA93" s="21" t="str">
        <f t="shared" si="127"/>
        <v/>
      </c>
      <c r="HB93" s="21" t="str">
        <f t="shared" si="127"/>
        <v/>
      </c>
      <c r="HC93" s="21" t="str">
        <f t="shared" si="127"/>
        <v/>
      </c>
      <c r="HD93" s="21" t="str">
        <f t="shared" si="127"/>
        <v/>
      </c>
      <c r="HE93" s="21" t="str">
        <f t="shared" si="127"/>
        <v/>
      </c>
      <c r="HF93" s="21" t="str">
        <f t="shared" si="127"/>
        <v/>
      </c>
      <c r="HG93" s="21" t="str">
        <f t="shared" si="127"/>
        <v/>
      </c>
      <c r="HH93" s="21" t="str">
        <f t="shared" si="127"/>
        <v/>
      </c>
      <c r="HI93" s="21" t="str">
        <f t="shared" si="127"/>
        <v/>
      </c>
      <c r="HJ93" s="21" t="str">
        <f t="shared" si="127"/>
        <v/>
      </c>
      <c r="HK93" s="21" t="str">
        <f t="shared" ref="HK93:JH93" si="128">IF(HK13="","",AVERAGE(GY67:HJ67)+CONFIDENCE(0.05,STDEV(GL67:HJ67),COUNT(GL67:HJ67)))</f>
        <v/>
      </c>
      <c r="HL93" s="21" t="str">
        <f t="shared" si="128"/>
        <v/>
      </c>
      <c r="HM93" s="21" t="str">
        <f t="shared" si="128"/>
        <v/>
      </c>
      <c r="HN93" s="21" t="str">
        <f t="shared" si="128"/>
        <v/>
      </c>
      <c r="HO93" s="21" t="str">
        <f t="shared" si="128"/>
        <v/>
      </c>
      <c r="HP93" s="21" t="str">
        <f t="shared" si="128"/>
        <v/>
      </c>
      <c r="HQ93" s="21" t="str">
        <f t="shared" si="128"/>
        <v/>
      </c>
      <c r="HR93" s="21" t="str">
        <f t="shared" si="128"/>
        <v/>
      </c>
      <c r="HS93" s="21" t="str">
        <f t="shared" si="128"/>
        <v/>
      </c>
      <c r="HT93" s="21" t="str">
        <f t="shared" si="128"/>
        <v/>
      </c>
      <c r="HU93" s="21" t="str">
        <f t="shared" si="128"/>
        <v/>
      </c>
      <c r="HV93" s="21" t="str">
        <f t="shared" si="128"/>
        <v/>
      </c>
      <c r="HW93" s="21" t="str">
        <f t="shared" si="128"/>
        <v/>
      </c>
      <c r="HX93" s="21" t="str">
        <f t="shared" si="128"/>
        <v/>
      </c>
      <c r="HY93" s="21" t="str">
        <f t="shared" si="128"/>
        <v/>
      </c>
      <c r="HZ93" s="21" t="str">
        <f t="shared" si="128"/>
        <v/>
      </c>
      <c r="IA93" s="21" t="str">
        <f t="shared" si="128"/>
        <v/>
      </c>
      <c r="IB93" s="21" t="str">
        <f t="shared" si="128"/>
        <v/>
      </c>
      <c r="IC93" s="21" t="str">
        <f t="shared" si="128"/>
        <v/>
      </c>
      <c r="ID93" s="21" t="str">
        <f t="shared" si="128"/>
        <v/>
      </c>
      <c r="IE93" s="21" t="str">
        <f t="shared" si="128"/>
        <v/>
      </c>
      <c r="IF93" s="21" t="str">
        <f t="shared" si="128"/>
        <v/>
      </c>
      <c r="IG93" s="21" t="str">
        <f t="shared" si="128"/>
        <v/>
      </c>
      <c r="IH93" s="21" t="str">
        <f t="shared" si="128"/>
        <v/>
      </c>
      <c r="II93" s="21" t="str">
        <f t="shared" si="128"/>
        <v/>
      </c>
      <c r="IJ93" s="21" t="str">
        <f t="shared" si="128"/>
        <v/>
      </c>
      <c r="IK93" s="21" t="str">
        <f t="shared" si="128"/>
        <v/>
      </c>
      <c r="IL93" s="21" t="str">
        <f t="shared" si="128"/>
        <v/>
      </c>
      <c r="IM93" s="21" t="str">
        <f t="shared" si="128"/>
        <v/>
      </c>
      <c r="IN93" s="21" t="str">
        <f t="shared" si="128"/>
        <v/>
      </c>
      <c r="IO93" s="21" t="str">
        <f t="shared" si="128"/>
        <v/>
      </c>
      <c r="IP93" s="21" t="str">
        <f t="shared" si="128"/>
        <v/>
      </c>
      <c r="IQ93" s="21" t="str">
        <f t="shared" si="128"/>
        <v/>
      </c>
      <c r="IR93" s="21" t="str">
        <f t="shared" si="128"/>
        <v/>
      </c>
      <c r="IS93" s="21" t="str">
        <f t="shared" si="128"/>
        <v/>
      </c>
      <c r="IT93" s="21" t="str">
        <f t="shared" si="128"/>
        <v/>
      </c>
      <c r="IU93" s="21" t="str">
        <f t="shared" si="128"/>
        <v/>
      </c>
      <c r="IV93" s="21" t="str">
        <f t="shared" si="128"/>
        <v/>
      </c>
      <c r="IW93" s="21" t="str">
        <f t="shared" si="128"/>
        <v/>
      </c>
      <c r="IX93" s="21" t="str">
        <f t="shared" si="128"/>
        <v/>
      </c>
      <c r="IY93" s="21" t="str">
        <f t="shared" si="128"/>
        <v/>
      </c>
      <c r="IZ93" s="21" t="str">
        <f t="shared" si="128"/>
        <v/>
      </c>
      <c r="JA93" s="21" t="str">
        <f t="shared" si="128"/>
        <v/>
      </c>
      <c r="JB93" s="21" t="str">
        <f t="shared" si="128"/>
        <v/>
      </c>
      <c r="JC93" s="21" t="str">
        <f t="shared" si="128"/>
        <v/>
      </c>
      <c r="JD93" s="21" t="str">
        <f t="shared" si="128"/>
        <v/>
      </c>
      <c r="JE93" s="21" t="str">
        <f t="shared" si="128"/>
        <v/>
      </c>
      <c r="JF93" s="21" t="str">
        <f t="shared" si="128"/>
        <v/>
      </c>
      <c r="JG93" s="21" t="str">
        <f t="shared" si="128"/>
        <v/>
      </c>
      <c r="JH93" s="21" t="str">
        <f t="shared" si="128"/>
        <v/>
      </c>
    </row>
    <row r="94" spans="1:336" x14ac:dyDescent="0.25"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>
        <f t="shared" ref="AA94:CL94" ca="1" si="129">IF(AA14="","",AVERAGE(N68:Z68)+CONFIDENCE(0.05,STDEV(B68:Z68),COUNT(B68:Z68)))</f>
        <v>4.3118574186536991E-3</v>
      </c>
      <c r="AB94" s="21">
        <f t="shared" ca="1" si="129"/>
        <v>3.7690788572684111E-3</v>
      </c>
      <c r="AC94" s="21">
        <f t="shared" ca="1" si="129"/>
        <v>3.1002694038218016E-3</v>
      </c>
      <c r="AD94" s="21">
        <f t="shared" ca="1" si="129"/>
        <v>2.9436616905849991E-3</v>
      </c>
      <c r="AE94" s="21">
        <f t="shared" ca="1" si="129"/>
        <v>2.9834078591939976E-3</v>
      </c>
      <c r="AF94" s="21">
        <f t="shared" ca="1" si="129"/>
        <v>3.0217389050724202E-3</v>
      </c>
      <c r="AG94" s="21">
        <f t="shared" ca="1" si="129"/>
        <v>3.4876530384071796E-3</v>
      </c>
      <c r="AH94" s="21">
        <f t="shared" ca="1" si="129"/>
        <v>4.2183224731301558E-3</v>
      </c>
      <c r="AI94" s="21">
        <f t="shared" ca="1" si="129"/>
        <v>5.4211337233624757E-3</v>
      </c>
      <c r="AJ94" s="21">
        <f t="shared" ca="1" si="129"/>
        <v>6.227117431750126E-3</v>
      </c>
      <c r="AK94" s="21">
        <f t="shared" ca="1" si="129"/>
        <v>6.8018318729521528E-3</v>
      </c>
      <c r="AL94" s="21">
        <f t="shared" ca="1" si="129"/>
        <v>7.3558338329915898E-3</v>
      </c>
      <c r="AM94" s="21">
        <f t="shared" ca="1" si="129"/>
        <v>7.6702449153065299E-3</v>
      </c>
      <c r="AN94" s="21">
        <f t="shared" ca="1" si="129"/>
        <v>7.730233582742994E-3</v>
      </c>
      <c r="AO94" s="21">
        <f t="shared" ca="1" si="129"/>
        <v>7.9676718273805451E-3</v>
      </c>
      <c r="AP94" s="21">
        <f t="shared" ca="1" si="129"/>
        <v>8.6259818060294372E-3</v>
      </c>
      <c r="AQ94" s="21">
        <f t="shared" ca="1" si="129"/>
        <v>9.2332032505863908E-3</v>
      </c>
      <c r="AR94" s="21">
        <f t="shared" ca="1" si="129"/>
        <v>1.0246846049352696E-2</v>
      </c>
      <c r="AS94" s="21">
        <f t="shared" ca="1" si="129"/>
        <v>1.2164916186550022E-2</v>
      </c>
      <c r="AT94" s="21">
        <f t="shared" ca="1" si="129"/>
        <v>1.4453919447950108E-2</v>
      </c>
      <c r="AU94" s="21">
        <f t="shared" ca="1" si="129"/>
        <v>1.636403039275746E-2</v>
      </c>
      <c r="AV94" s="21">
        <f t="shared" ca="1" si="129"/>
        <v>1.8914545390696643E-2</v>
      </c>
      <c r="AW94" s="21">
        <f t="shared" ca="1" si="129"/>
        <v>2.2454437331580528E-2</v>
      </c>
      <c r="AX94" s="21">
        <f t="shared" ca="1" si="129"/>
        <v>2.6400949554548934E-2</v>
      </c>
      <c r="AY94" s="21">
        <f t="shared" ca="1" si="129"/>
        <v>3.0472125871851607E-2</v>
      </c>
      <c r="AZ94" s="21">
        <f t="shared" ca="1" si="129"/>
        <v>3.5394562385034072E-2</v>
      </c>
      <c r="BA94" s="21">
        <f t="shared" ca="1" si="129"/>
        <v>4.0938464981677865E-2</v>
      </c>
      <c r="BB94" s="21">
        <f t="shared" ca="1" si="129"/>
        <v>4.5941789889093795E-2</v>
      </c>
      <c r="BC94" s="21">
        <f t="shared" ca="1" si="129"/>
        <v>4.9063388245960696E-2</v>
      </c>
      <c r="BD94" s="21">
        <f t="shared" ca="1" si="129"/>
        <v>4.9754444271648643E-2</v>
      </c>
      <c r="BE94" s="21">
        <f t="shared" ca="1" si="129"/>
        <v>5.0376977544860757E-2</v>
      </c>
      <c r="BF94" s="21">
        <f t="shared" ca="1" si="129"/>
        <v>4.9926048306373504E-2</v>
      </c>
      <c r="BG94" s="21">
        <f t="shared" ca="1" si="129"/>
        <v>4.8758970021689482E-2</v>
      </c>
      <c r="BH94" s="21">
        <f t="shared" ca="1" si="129"/>
        <v>4.8735046128258665E-2</v>
      </c>
      <c r="BI94" s="21">
        <f t="shared" ca="1" si="129"/>
        <v>4.7108459673784825E-2</v>
      </c>
      <c r="BJ94" s="21">
        <f t="shared" ca="1" si="129"/>
        <v>4.4105683496835073E-2</v>
      </c>
      <c r="BK94" s="21">
        <f t="shared" ca="1" si="129"/>
        <v>4.0643228631169391E-2</v>
      </c>
      <c r="BL94" s="21">
        <f t="shared" ca="1" si="129"/>
        <v>3.9686514940182493E-2</v>
      </c>
      <c r="BM94" s="21">
        <f t="shared" ca="1" si="129"/>
        <v>4.021905308330874E-2</v>
      </c>
      <c r="BN94" s="21">
        <f t="shared" ca="1" si="129"/>
        <v>3.9784669514771089E-2</v>
      </c>
      <c r="BO94" s="21">
        <f t="shared" ca="1" si="129"/>
        <v>3.7910839013653046E-2</v>
      </c>
      <c r="BP94" s="21">
        <f t="shared" ca="1" si="129"/>
        <v>3.6552614526841332E-2</v>
      </c>
      <c r="BQ94" s="21">
        <f t="shared" ca="1" si="129"/>
        <v>3.6832509978344363E-2</v>
      </c>
      <c r="BR94" s="21">
        <f t="shared" ca="1" si="129"/>
        <v>3.7143608211853009E-2</v>
      </c>
      <c r="BS94" s="21">
        <f t="shared" ca="1" si="129"/>
        <v>3.7504282446386393E-2</v>
      </c>
      <c r="BT94" s="21">
        <f t="shared" ca="1" si="129"/>
        <v>3.722361261073228E-2</v>
      </c>
      <c r="BU94" s="21">
        <f t="shared" ca="1" si="129"/>
        <v>3.6423934603848608E-2</v>
      </c>
      <c r="BV94" s="21">
        <f t="shared" ca="1" si="129"/>
        <v>3.6716066993535593E-2</v>
      </c>
      <c r="BW94" s="21">
        <f t="shared" ca="1" si="129"/>
        <v>3.7230535730634118E-2</v>
      </c>
      <c r="BX94" s="21">
        <f t="shared" ca="1" si="129"/>
        <v>3.7348650754922601E-2</v>
      </c>
      <c r="BY94" s="21">
        <f t="shared" ca="1" si="129"/>
        <v>3.4960992898016081E-2</v>
      </c>
      <c r="BZ94" s="21">
        <f t="shared" ca="1" si="129"/>
        <v>3.0290203589292165E-2</v>
      </c>
      <c r="CA94" s="21">
        <f t="shared" ca="1" si="129"/>
        <v>2.5770779244145184E-2</v>
      </c>
      <c r="CB94" s="21">
        <f t="shared" ca="1" si="129"/>
        <v>2.2573727804114315E-2</v>
      </c>
      <c r="CC94" s="21">
        <f t="shared" ca="1" si="129"/>
        <v>2.0376880810743549E-2</v>
      </c>
      <c r="CD94" s="21">
        <f t="shared" ca="1" si="129"/>
        <v>1.8474497792201679E-2</v>
      </c>
      <c r="CE94" s="21">
        <f t="shared" ca="1" si="129"/>
        <v>1.6932546211210625E-2</v>
      </c>
      <c r="CF94" s="21">
        <f t="shared" ca="1" si="129"/>
        <v>1.5705473494296716E-2</v>
      </c>
      <c r="CG94" s="21">
        <f t="shared" ca="1" si="129"/>
        <v>1.5445615656995933E-2</v>
      </c>
      <c r="CH94" s="21">
        <f t="shared" ca="1" si="129"/>
        <v>1.4183918610545279E-2</v>
      </c>
      <c r="CI94" s="21">
        <f t="shared" ca="1" si="129"/>
        <v>1.2851232591866924E-2</v>
      </c>
      <c r="CJ94" s="21">
        <f t="shared" ca="1" si="129"/>
        <v>1.2364225483799417E-2</v>
      </c>
      <c r="CK94" s="21">
        <f t="shared" ca="1" si="129"/>
        <v>1.2145783859069458E-2</v>
      </c>
      <c r="CL94" s="21">
        <f t="shared" ca="1" si="129"/>
        <v>1.1069899515758966E-2</v>
      </c>
      <c r="CM94" s="21">
        <f t="shared" ref="CM94:EX94" ca="1" si="130">IF(CM14="","",AVERAGE(BZ68:CL68)+CONFIDENCE(0.05,STDEV(BN68:CL68),COUNT(BN68:CL68)))</f>
        <v>1.0180229415647234E-2</v>
      </c>
      <c r="CN94" s="21">
        <f t="shared" ca="1" si="130"/>
        <v>1.0017120540793694E-2</v>
      </c>
      <c r="CO94" s="21">
        <f t="shared" ca="1" si="130"/>
        <v>9.9465494958995964E-3</v>
      </c>
      <c r="CP94" s="21">
        <f t="shared" ca="1" si="130"/>
        <v>9.8246798794284617E-3</v>
      </c>
      <c r="CQ94" s="21">
        <f t="shared" ca="1" si="130"/>
        <v>9.4688393269037191E-3</v>
      </c>
      <c r="CR94" s="21">
        <f t="shared" ca="1" si="130"/>
        <v>8.9904563746740548E-3</v>
      </c>
      <c r="CS94" s="21">
        <f t="shared" ca="1" si="130"/>
        <v>9.0258111347597623E-3</v>
      </c>
      <c r="CT94" s="21">
        <f t="shared" ca="1" si="130"/>
        <v>8.8235588693952507E-3</v>
      </c>
      <c r="CU94" s="21">
        <f t="shared" ca="1" si="130"/>
        <v>8.5365640131034991E-3</v>
      </c>
      <c r="CV94" s="21">
        <f t="shared" ca="1" si="130"/>
        <v>9.5210190214120097E-3</v>
      </c>
      <c r="CW94" s="21">
        <f t="shared" ca="1" si="130"/>
        <v>9.2915681382030723E-3</v>
      </c>
      <c r="CX94" s="21">
        <f t="shared" ca="1" si="130"/>
        <v>9.4467635848634723E-3</v>
      </c>
      <c r="CY94" s="21">
        <f t="shared" ca="1" si="130"/>
        <v>8.6392534455590024E-3</v>
      </c>
      <c r="CZ94" s="21">
        <f t="shared" ca="1" si="130"/>
        <v>7.7768779102088507E-3</v>
      </c>
      <c r="DA94" s="21">
        <f t="shared" ca="1" si="130"/>
        <v>6.7804419695643237E-3</v>
      </c>
      <c r="DB94" s="21">
        <f t="shared" ca="1" si="130"/>
        <v>6.6092716424468803E-3</v>
      </c>
      <c r="DC94" s="21">
        <f t="shared" ca="1" si="130"/>
        <v>7.597902992015659E-3</v>
      </c>
      <c r="DD94" s="21">
        <f t="shared" ca="1" si="130"/>
        <v>8.9312395357392937E-3</v>
      </c>
      <c r="DE94" s="21">
        <f t="shared" ca="1" si="130"/>
        <v>9.6001089377308821E-3</v>
      </c>
      <c r="DF94" s="21">
        <f t="shared" ca="1" si="130"/>
        <v>1.145142848224542E-2</v>
      </c>
      <c r="DG94" s="21">
        <f t="shared" ca="1" si="130"/>
        <v>1.2806811994799383E-2</v>
      </c>
      <c r="DH94" s="21">
        <f t="shared" ca="1" si="130"/>
        <v>1.4692451523277316E-2</v>
      </c>
      <c r="DI94" s="21">
        <f t="shared" ca="1" si="130"/>
        <v>1.6774613654329158E-2</v>
      </c>
      <c r="DJ94" s="21">
        <f t="shared" ca="1" si="130"/>
        <v>1.8642087779510912E-2</v>
      </c>
      <c r="DK94" s="21">
        <f t="shared" ca="1" si="130"/>
        <v>1.938966397244167E-2</v>
      </c>
      <c r="DL94" s="21">
        <f t="shared" ca="1" si="130"/>
        <v>2.0011090802527411E-2</v>
      </c>
      <c r="DM94" s="21">
        <f t="shared" ca="1" si="130"/>
        <v>2.0461331084229574E-2</v>
      </c>
      <c r="DN94" s="21">
        <f t="shared" ca="1" si="130"/>
        <v>2.095448629693895E-2</v>
      </c>
      <c r="DO94" s="21">
        <f t="shared" ca="1" si="130"/>
        <v>2.28007809772365E-2</v>
      </c>
      <c r="DP94" s="21">
        <f t="shared" ca="1" si="130"/>
        <v>2.294888949467698E-2</v>
      </c>
      <c r="DQ94" s="21">
        <f t="shared" ca="1" si="130"/>
        <v>2.2866695325640569E-2</v>
      </c>
      <c r="DR94" s="21">
        <f t="shared" ca="1" si="130"/>
        <v>2.1981247182847004E-2</v>
      </c>
      <c r="DS94" s="21">
        <f t="shared" ca="1" si="130"/>
        <v>2.041259977980147E-2</v>
      </c>
      <c r="DT94" s="21">
        <f t="shared" ca="1" si="130"/>
        <v>1.9438450065052088E-2</v>
      </c>
      <c r="DU94" s="21">
        <f t="shared" ca="1" si="130"/>
        <v>1.8107233848755788E-2</v>
      </c>
      <c r="DV94" s="21">
        <f t="shared" ca="1" si="130"/>
        <v>1.5535480895353188E-2</v>
      </c>
      <c r="DW94" s="21">
        <f t="shared" ca="1" si="130"/>
        <v>1.4653979950310427E-2</v>
      </c>
      <c r="DX94" s="21">
        <f t="shared" ca="1" si="130"/>
        <v>1.4654909362635186E-2</v>
      </c>
      <c r="DY94" s="21">
        <f t="shared" ca="1" si="130"/>
        <v>1.4345342882695782E-2</v>
      </c>
      <c r="DZ94" s="21">
        <f t="shared" ca="1" si="130"/>
        <v>1.390398461836233E-2</v>
      </c>
      <c r="EA94" s="21">
        <f t="shared" ca="1" si="130"/>
        <v>1.3619230657900676E-2</v>
      </c>
      <c r="EB94" s="21">
        <f t="shared" ca="1" si="130"/>
        <v>1.1972040627200231E-2</v>
      </c>
      <c r="EC94" s="21">
        <f t="shared" ca="1" si="130"/>
        <v>1.111168645247939E-2</v>
      </c>
      <c r="ED94" s="21">
        <f t="shared" ca="1" si="130"/>
        <v>9.9533052044177839E-3</v>
      </c>
      <c r="EE94" s="21">
        <f t="shared" ca="1" si="130"/>
        <v>1.014620228077657E-2</v>
      </c>
      <c r="EF94" s="21">
        <f t="shared" ca="1" si="130"/>
        <v>9.7126852146069802E-3</v>
      </c>
      <c r="EG94" s="21">
        <f t="shared" ca="1" si="130"/>
        <v>9.4822296803591249E-3</v>
      </c>
      <c r="EH94" s="21">
        <f t="shared" ca="1" si="130"/>
        <v>9.5972908441138097E-3</v>
      </c>
      <c r="EI94" s="21">
        <f t="shared" ca="1" si="130"/>
        <v>1.0383155293205121E-2</v>
      </c>
      <c r="EJ94" s="21">
        <f t="shared" ca="1" si="130"/>
        <v>9.9392772315444605E-3</v>
      </c>
      <c r="EK94" s="21">
        <f t="shared" ca="1" si="130"/>
        <v>9.1830299142897174E-3</v>
      </c>
      <c r="EL94" s="21">
        <f t="shared" ca="1" si="130"/>
        <v>8.7350473626729552E-3</v>
      </c>
      <c r="EM94" s="21">
        <f t="shared" ca="1" si="130"/>
        <v>8.7878260675228817E-3</v>
      </c>
      <c r="EN94" s="21">
        <f t="shared" ca="1" si="130"/>
        <v>8.3162864364850538E-3</v>
      </c>
      <c r="EO94" s="21">
        <f t="shared" ca="1" si="130"/>
        <v>8.3623623352917769E-3</v>
      </c>
      <c r="EP94" s="21">
        <f t="shared" ca="1" si="130"/>
        <v>7.9103536343041684E-3</v>
      </c>
      <c r="EQ94" s="21">
        <f t="shared" ca="1" si="130"/>
        <v>8.0509613350235373E-3</v>
      </c>
      <c r="ER94" s="21">
        <f t="shared" ca="1" si="130"/>
        <v>8.733421056334784E-3</v>
      </c>
      <c r="ES94" s="21">
        <f t="shared" ca="1" si="130"/>
        <v>8.9197701195513138E-3</v>
      </c>
      <c r="ET94" s="21">
        <f t="shared" ca="1" si="130"/>
        <v>8.9875897704931353E-3</v>
      </c>
      <c r="EU94" s="21">
        <f t="shared" ca="1" si="130"/>
        <v>7.9797779522040087E-3</v>
      </c>
      <c r="EV94" s="21">
        <f t="shared" ca="1" si="130"/>
        <v>6.8097748888788136E-3</v>
      </c>
      <c r="EW94" s="21">
        <f t="shared" ca="1" si="130"/>
        <v>5.9582975947557789E-3</v>
      </c>
      <c r="EX94" s="21">
        <f t="shared" ca="1" si="130"/>
        <v>5.8874371633709371E-3</v>
      </c>
      <c r="EY94" s="21">
        <f t="shared" ref="EY94:HJ94" ca="1" si="131">IF(EY14="","",AVERAGE(EL68:EX68)+CONFIDENCE(0.05,STDEV(DZ68:EX68),COUNT(DZ68:EX68)))</f>
        <v>5.7757872186790645E-3</v>
      </c>
      <c r="EZ94" s="21">
        <f t="shared" ca="1" si="131"/>
        <v>5.5686729119696198E-3</v>
      </c>
      <c r="FA94" s="21">
        <f t="shared" ca="1" si="131"/>
        <v>5.5582700451041207E-3</v>
      </c>
      <c r="FB94" s="21">
        <f t="shared" ca="1" si="131"/>
        <v>5.1997037055955073E-3</v>
      </c>
      <c r="FC94" s="21">
        <f t="shared" ca="1" si="131"/>
        <v>5.0668654547660064E-3</v>
      </c>
      <c r="FD94" s="21">
        <f t="shared" ca="1" si="131"/>
        <v>5.3641016282845039E-3</v>
      </c>
      <c r="FE94" s="21">
        <f t="shared" ca="1" si="131"/>
        <v>4.3981141008284305E-3</v>
      </c>
      <c r="FF94" s="21">
        <f t="shared" ca="1" si="131"/>
        <v>4.3410342511281848E-3</v>
      </c>
      <c r="FG94" s="21">
        <f t="shared" ca="1" si="131"/>
        <v>4.0065420643489525E-3</v>
      </c>
      <c r="FH94" s="21">
        <f t="shared" ca="1" si="131"/>
        <v>3.8832181080594532E-3</v>
      </c>
      <c r="FI94" s="21">
        <f t="shared" ca="1" si="131"/>
        <v>4.1325605184792287E-3</v>
      </c>
      <c r="FJ94" s="21">
        <f t="shared" ca="1" si="131"/>
        <v>5.7844579022877192E-3</v>
      </c>
      <c r="FK94" s="21">
        <f t="shared" ca="1" si="131"/>
        <v>6.6957262381277111E-3</v>
      </c>
      <c r="FL94" s="21">
        <f t="shared" ca="1" si="131"/>
        <v>6.9233263382302221E-3</v>
      </c>
      <c r="FM94" s="21">
        <f t="shared" ca="1" si="131"/>
        <v>7.1483724511403838E-3</v>
      </c>
      <c r="FN94" s="21">
        <f t="shared" ca="1" si="131"/>
        <v>8.3624748585195523E-3</v>
      </c>
      <c r="FO94" s="21">
        <f t="shared" ca="1" si="131"/>
        <v>1.0641152126275599E-2</v>
      </c>
      <c r="FP94" s="21">
        <f t="shared" ca="1" si="131"/>
        <v>1.1541064868503039E-2</v>
      </c>
      <c r="FQ94" s="21">
        <f t="shared" ca="1" si="131"/>
        <v>1.1857478563503105E-2</v>
      </c>
      <c r="FR94" s="21">
        <f t="shared" ca="1" si="131"/>
        <v>1.3114911990518931E-2</v>
      </c>
      <c r="FS94" s="21">
        <f t="shared" ca="1" si="131"/>
        <v>1.3741879687025067E-2</v>
      </c>
      <c r="FT94" s="21">
        <f t="shared" ca="1" si="131"/>
        <v>1.396509291051122E-2</v>
      </c>
      <c r="FU94" s="21">
        <f t="shared" ca="1" si="131"/>
        <v>1.4324410432413739E-2</v>
      </c>
      <c r="FV94" s="21">
        <f t="shared" ca="1" si="131"/>
        <v>1.4381109971621666E-2</v>
      </c>
      <c r="FW94" s="21">
        <f t="shared" ca="1" si="131"/>
        <v>1.3176496816306128E-2</v>
      </c>
      <c r="FX94" s="21">
        <f t="shared" ca="1" si="131"/>
        <v>1.2506222770990488E-2</v>
      </c>
      <c r="FY94" s="21">
        <f t="shared" ca="1" si="131"/>
        <v>1.2784528194182158E-2</v>
      </c>
      <c r="FZ94" s="21">
        <f t="shared" ca="1" si="131"/>
        <v>1.2677678590787863E-2</v>
      </c>
      <c r="GA94" s="21">
        <f t="shared" ca="1" si="131"/>
        <v>1.2152898940845962E-2</v>
      </c>
      <c r="GB94" s="21">
        <f t="shared" ca="1" si="131"/>
        <v>1.0735005991614893E-2</v>
      </c>
      <c r="GC94" s="21">
        <f t="shared" ca="1" si="131"/>
        <v>9.9493039574077673E-3</v>
      </c>
      <c r="GD94" s="21">
        <f t="shared" ca="1" si="131"/>
        <v>9.3265061495219053E-3</v>
      </c>
      <c r="GE94" s="21">
        <f t="shared" ca="1" si="131"/>
        <v>9.288239844096699E-3</v>
      </c>
      <c r="GF94" s="21">
        <f t="shared" ca="1" si="131"/>
        <v>9.960422181640366E-3</v>
      </c>
      <c r="GG94" s="21">
        <f t="shared" ca="1" si="131"/>
        <v>1.0380504828487283E-2</v>
      </c>
      <c r="GH94" s="21">
        <f t="shared" ca="1" si="131"/>
        <v>1.0249955194216162E-2</v>
      </c>
      <c r="GI94" s="21">
        <f t="shared" ca="1" si="131"/>
        <v>9.9131112460019485E-3</v>
      </c>
      <c r="GJ94" s="21">
        <f t="shared" ca="1" si="131"/>
        <v>1.0448555913768821E-2</v>
      </c>
      <c r="GK94" s="21">
        <f t="shared" ca="1" si="131"/>
        <v>1.0977495316257489E-2</v>
      </c>
      <c r="GL94" s="21">
        <f t="shared" ca="1" si="131"/>
        <v>1.0974246850494352E-2</v>
      </c>
      <c r="GM94" s="21">
        <f t="shared" ca="1" si="131"/>
        <v>1.1042600795169093E-2</v>
      </c>
      <c r="GN94" s="21">
        <f t="shared" ca="1" si="131"/>
        <v>1.026914614470934E-2</v>
      </c>
      <c r="GO94" s="21">
        <f t="shared" ca="1" si="131"/>
        <v>1.0463205916564274E-2</v>
      </c>
      <c r="GP94" s="21">
        <f t="shared" ca="1" si="131"/>
        <v>1.108342005144038E-2</v>
      </c>
      <c r="GQ94" s="21">
        <f t="shared" ca="1" si="131"/>
        <v>1.1519117380685617E-2</v>
      </c>
      <c r="GR94" s="21">
        <f t="shared" ca="1" si="131"/>
        <v>1.0737547242815972E-2</v>
      </c>
      <c r="GS94" s="21">
        <f t="shared" ca="1" si="131"/>
        <v>9.778249885952453E-3</v>
      </c>
      <c r="GT94" s="21">
        <f t="shared" ca="1" si="131"/>
        <v>9.0988015862054801E-3</v>
      </c>
      <c r="GU94" s="21">
        <f t="shared" ca="1" si="131"/>
        <v>9.3167330648719522E-3</v>
      </c>
      <c r="GV94" s="21">
        <f t="shared" ca="1" si="131"/>
        <v>1.0434093395129547E-2</v>
      </c>
      <c r="GW94" s="21">
        <f t="shared" ca="1" si="131"/>
        <v>1.0593353451845648E-2</v>
      </c>
      <c r="GX94" s="21">
        <f t="shared" ca="1" si="131"/>
        <v>8.8907094859613477E-3</v>
      </c>
      <c r="GY94" s="21">
        <f t="shared" ca="1" si="131"/>
        <v>7.0895607715628778E-3</v>
      </c>
      <c r="GZ94" s="21">
        <f t="shared" ca="1" si="131"/>
        <v>6.3900446213770922E-3</v>
      </c>
      <c r="HA94" s="21" t="str">
        <f t="shared" si="131"/>
        <v/>
      </c>
      <c r="HB94" s="21" t="str">
        <f t="shared" si="131"/>
        <v/>
      </c>
      <c r="HC94" s="21" t="str">
        <f t="shared" si="131"/>
        <v/>
      </c>
      <c r="HD94" s="21" t="str">
        <f t="shared" si="131"/>
        <v/>
      </c>
      <c r="HE94" s="21" t="str">
        <f t="shared" si="131"/>
        <v/>
      </c>
      <c r="HF94" s="21" t="str">
        <f t="shared" si="131"/>
        <v/>
      </c>
      <c r="HG94" s="21" t="str">
        <f t="shared" si="131"/>
        <v/>
      </c>
      <c r="HH94" s="21" t="str">
        <f t="shared" si="131"/>
        <v/>
      </c>
      <c r="HI94" s="21" t="str">
        <f t="shared" si="131"/>
        <v/>
      </c>
      <c r="HJ94" s="21" t="str">
        <f t="shared" si="131"/>
        <v/>
      </c>
      <c r="HK94" s="21" t="str">
        <f t="shared" ref="HK94:JH94" si="132">IF(HK14="","",AVERAGE(GX68:HJ68)+CONFIDENCE(0.05,STDEV(GL68:HJ68),COUNT(GL68:HJ68)))</f>
        <v/>
      </c>
      <c r="HL94" s="21" t="str">
        <f t="shared" si="132"/>
        <v/>
      </c>
      <c r="HM94" s="21" t="str">
        <f t="shared" si="132"/>
        <v/>
      </c>
      <c r="HN94" s="21" t="str">
        <f t="shared" si="132"/>
        <v/>
      </c>
      <c r="HO94" s="21" t="str">
        <f t="shared" si="132"/>
        <v/>
      </c>
      <c r="HP94" s="21" t="str">
        <f t="shared" si="132"/>
        <v/>
      </c>
      <c r="HQ94" s="21" t="str">
        <f t="shared" si="132"/>
        <v/>
      </c>
      <c r="HR94" s="21" t="str">
        <f t="shared" si="132"/>
        <v/>
      </c>
      <c r="HS94" s="21" t="str">
        <f t="shared" si="132"/>
        <v/>
      </c>
      <c r="HT94" s="21" t="str">
        <f t="shared" si="132"/>
        <v/>
      </c>
      <c r="HU94" s="21" t="str">
        <f t="shared" si="132"/>
        <v/>
      </c>
      <c r="HV94" s="21" t="str">
        <f t="shared" si="132"/>
        <v/>
      </c>
      <c r="HW94" s="21" t="str">
        <f t="shared" si="132"/>
        <v/>
      </c>
      <c r="HX94" s="21" t="str">
        <f t="shared" si="132"/>
        <v/>
      </c>
      <c r="HY94" s="21" t="str">
        <f t="shared" si="132"/>
        <v/>
      </c>
      <c r="HZ94" s="21" t="str">
        <f t="shared" si="132"/>
        <v/>
      </c>
      <c r="IA94" s="21" t="str">
        <f t="shared" si="132"/>
        <v/>
      </c>
      <c r="IB94" s="21" t="str">
        <f t="shared" si="132"/>
        <v/>
      </c>
      <c r="IC94" s="21" t="str">
        <f t="shared" si="132"/>
        <v/>
      </c>
      <c r="ID94" s="21" t="str">
        <f t="shared" si="132"/>
        <v/>
      </c>
      <c r="IE94" s="21" t="str">
        <f t="shared" si="132"/>
        <v/>
      </c>
      <c r="IF94" s="21" t="str">
        <f t="shared" si="132"/>
        <v/>
      </c>
      <c r="IG94" s="21" t="str">
        <f t="shared" si="132"/>
        <v/>
      </c>
      <c r="IH94" s="21" t="str">
        <f t="shared" si="132"/>
        <v/>
      </c>
      <c r="II94" s="21" t="str">
        <f t="shared" si="132"/>
        <v/>
      </c>
      <c r="IJ94" s="21" t="str">
        <f t="shared" si="132"/>
        <v/>
      </c>
      <c r="IK94" s="21" t="str">
        <f t="shared" si="132"/>
        <v/>
      </c>
      <c r="IL94" s="21" t="str">
        <f t="shared" si="132"/>
        <v/>
      </c>
      <c r="IM94" s="21" t="str">
        <f t="shared" si="132"/>
        <v/>
      </c>
      <c r="IN94" s="21" t="str">
        <f t="shared" si="132"/>
        <v/>
      </c>
      <c r="IO94" s="21" t="str">
        <f t="shared" si="132"/>
        <v/>
      </c>
      <c r="IP94" s="21" t="str">
        <f t="shared" si="132"/>
        <v/>
      </c>
      <c r="IQ94" s="21" t="str">
        <f t="shared" si="132"/>
        <v/>
      </c>
      <c r="IR94" s="21" t="str">
        <f t="shared" si="132"/>
        <v/>
      </c>
      <c r="IS94" s="21" t="str">
        <f t="shared" si="132"/>
        <v/>
      </c>
      <c r="IT94" s="21" t="str">
        <f t="shared" si="132"/>
        <v/>
      </c>
      <c r="IU94" s="21" t="str">
        <f t="shared" si="132"/>
        <v/>
      </c>
      <c r="IV94" s="21" t="str">
        <f t="shared" si="132"/>
        <v/>
      </c>
      <c r="IW94" s="21" t="str">
        <f t="shared" si="132"/>
        <v/>
      </c>
      <c r="IX94" s="21" t="str">
        <f t="shared" si="132"/>
        <v/>
      </c>
      <c r="IY94" s="21" t="str">
        <f t="shared" si="132"/>
        <v/>
      </c>
      <c r="IZ94" s="21" t="str">
        <f t="shared" si="132"/>
        <v/>
      </c>
      <c r="JA94" s="21" t="str">
        <f t="shared" si="132"/>
        <v/>
      </c>
      <c r="JB94" s="21" t="str">
        <f t="shared" si="132"/>
        <v/>
      </c>
      <c r="JC94" s="21" t="str">
        <f t="shared" si="132"/>
        <v/>
      </c>
      <c r="JD94" s="21" t="str">
        <f t="shared" si="132"/>
        <v/>
      </c>
      <c r="JE94" s="21" t="str">
        <f t="shared" si="132"/>
        <v/>
      </c>
      <c r="JF94" s="21" t="str">
        <f t="shared" si="132"/>
        <v/>
      </c>
      <c r="JG94" s="21" t="str">
        <f t="shared" si="132"/>
        <v/>
      </c>
      <c r="JH94" s="21" t="str">
        <f t="shared" si="132"/>
        <v/>
      </c>
    </row>
  </sheetData>
  <conditionalFormatting sqref="B30:JH41">
    <cfRule type="expression" dxfId="3" priority="17">
      <formula>B30&gt;$JN30</formula>
    </cfRule>
    <cfRule type="expression" dxfId="2" priority="18">
      <formula>B30&lt;-$JN30</formula>
    </cfRule>
  </conditionalFormatting>
  <conditionalFormatting sqref="B30:JH41 B57:JH68">
    <cfRule type="cellIs" dxfId="1" priority="16" operator="equal">
      <formula>""</formula>
    </cfRule>
  </conditionalFormatting>
  <conditionalFormatting sqref="B57:JH68">
    <cfRule type="expression" dxfId="0" priority="19">
      <formula>B57&gt;$CB57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445"/>
  <sheetViews>
    <sheetView topLeftCell="A27" workbookViewId="0">
      <selection activeCell="E63" sqref="E63"/>
    </sheetView>
  </sheetViews>
  <sheetFormatPr baseColWidth="10" defaultRowHeight="15" x14ac:dyDescent="0.25"/>
  <cols>
    <col min="1" max="1" width="10.7109375" style="2" bestFit="1" customWidth="1"/>
    <col min="2" max="2" width="17.140625" style="1" bestFit="1" customWidth="1"/>
  </cols>
  <sheetData>
    <row r="1" spans="1:2" x14ac:dyDescent="0.25">
      <c r="A1" s="2" t="s">
        <v>0</v>
      </c>
      <c r="B1" s="1" t="s">
        <v>9</v>
      </c>
    </row>
    <row r="2" spans="1:2" x14ac:dyDescent="0.25">
      <c r="A2" s="2">
        <v>35095</v>
      </c>
    </row>
    <row r="3" spans="1:2" x14ac:dyDescent="0.25">
      <c r="A3" s="2">
        <v>35124</v>
      </c>
    </row>
    <row r="4" spans="1:2" x14ac:dyDescent="0.25">
      <c r="A4" s="2">
        <v>35155</v>
      </c>
    </row>
    <row r="5" spans="1:2" x14ac:dyDescent="0.25">
      <c r="A5" s="2">
        <v>35185</v>
      </c>
    </row>
    <row r="6" spans="1:2" x14ac:dyDescent="0.25">
      <c r="A6" s="2">
        <v>35216</v>
      </c>
    </row>
    <row r="7" spans="1:2" x14ac:dyDescent="0.25">
      <c r="A7" s="2">
        <v>35246</v>
      </c>
    </row>
    <row r="8" spans="1:2" x14ac:dyDescent="0.25">
      <c r="A8" s="2">
        <v>35277</v>
      </c>
    </row>
    <row r="9" spans="1:2" x14ac:dyDescent="0.25">
      <c r="A9" s="2">
        <v>35308</v>
      </c>
    </row>
    <row r="10" spans="1:2" x14ac:dyDescent="0.25">
      <c r="A10" s="2">
        <v>35338</v>
      </c>
    </row>
    <row r="11" spans="1:2" x14ac:dyDescent="0.25">
      <c r="A11" s="2">
        <v>35369</v>
      </c>
    </row>
    <row r="12" spans="1:2" x14ac:dyDescent="0.25">
      <c r="A12" s="2">
        <v>35399</v>
      </c>
    </row>
    <row r="13" spans="1:2" x14ac:dyDescent="0.25">
      <c r="A13" s="2">
        <v>35430</v>
      </c>
    </row>
    <row r="14" spans="1:2" x14ac:dyDescent="0.25">
      <c r="A14" s="2">
        <v>35461</v>
      </c>
    </row>
    <row r="15" spans="1:2" x14ac:dyDescent="0.25">
      <c r="A15" s="2">
        <v>35489</v>
      </c>
    </row>
    <row r="16" spans="1:2" x14ac:dyDescent="0.25">
      <c r="A16" s="2">
        <v>35520</v>
      </c>
    </row>
    <row r="17" spans="1:1" x14ac:dyDescent="0.25">
      <c r="A17" s="2">
        <v>35550</v>
      </c>
    </row>
    <row r="18" spans="1:1" x14ac:dyDescent="0.25">
      <c r="A18" s="2">
        <v>35581</v>
      </c>
    </row>
    <row r="19" spans="1:1" x14ac:dyDescent="0.25">
      <c r="A19" s="2">
        <v>35611</v>
      </c>
    </row>
    <row r="20" spans="1:1" x14ac:dyDescent="0.25">
      <c r="A20" s="2">
        <v>35642</v>
      </c>
    </row>
    <row r="21" spans="1:1" x14ac:dyDescent="0.25">
      <c r="A21" s="2">
        <v>35673</v>
      </c>
    </row>
    <row r="22" spans="1:1" x14ac:dyDescent="0.25">
      <c r="A22" s="2">
        <v>35703</v>
      </c>
    </row>
    <row r="23" spans="1:1" x14ac:dyDescent="0.25">
      <c r="A23" s="2">
        <v>35734</v>
      </c>
    </row>
    <row r="24" spans="1:1" x14ac:dyDescent="0.25">
      <c r="A24" s="2">
        <v>35764</v>
      </c>
    </row>
    <row r="25" spans="1:1" x14ac:dyDescent="0.25">
      <c r="A25" s="2">
        <v>35795</v>
      </c>
    </row>
    <row r="26" spans="1:1" x14ac:dyDescent="0.25">
      <c r="A26" s="2">
        <v>35826</v>
      </c>
    </row>
    <row r="27" spans="1:1" x14ac:dyDescent="0.25">
      <c r="A27" s="2">
        <v>35854</v>
      </c>
    </row>
    <row r="28" spans="1:1" x14ac:dyDescent="0.25">
      <c r="A28" s="2">
        <v>35885</v>
      </c>
    </row>
    <row r="29" spans="1:1" x14ac:dyDescent="0.25">
      <c r="A29" s="2">
        <v>35915</v>
      </c>
    </row>
    <row r="30" spans="1:1" x14ac:dyDescent="0.25">
      <c r="A30" s="2">
        <v>35946</v>
      </c>
    </row>
    <row r="31" spans="1:1" x14ac:dyDescent="0.25">
      <c r="A31" s="2">
        <v>35976</v>
      </c>
    </row>
    <row r="32" spans="1:1" x14ac:dyDescent="0.25">
      <c r="A32" s="2">
        <v>36007</v>
      </c>
    </row>
    <row r="33" spans="1:4" x14ac:dyDescent="0.25">
      <c r="A33" s="2">
        <v>36038</v>
      </c>
    </row>
    <row r="34" spans="1:4" x14ac:dyDescent="0.25">
      <c r="A34" s="2">
        <v>36068</v>
      </c>
    </row>
    <row r="35" spans="1:4" x14ac:dyDescent="0.25">
      <c r="A35" s="2">
        <v>36099</v>
      </c>
    </row>
    <row r="36" spans="1:4" x14ac:dyDescent="0.25">
      <c r="A36" s="2">
        <v>36129</v>
      </c>
    </row>
    <row r="37" spans="1:4" x14ac:dyDescent="0.25">
      <c r="A37" s="2">
        <v>36160</v>
      </c>
    </row>
    <row r="38" spans="1:4" x14ac:dyDescent="0.25">
      <c r="A38" s="2">
        <v>36191</v>
      </c>
    </row>
    <row r="39" spans="1:4" x14ac:dyDescent="0.25">
      <c r="A39" s="2">
        <v>36219</v>
      </c>
    </row>
    <row r="40" spans="1:4" x14ac:dyDescent="0.25">
      <c r="A40" s="2">
        <v>36250</v>
      </c>
    </row>
    <row r="41" spans="1:4" x14ac:dyDescent="0.25">
      <c r="A41" s="2">
        <v>36280</v>
      </c>
    </row>
    <row r="42" spans="1:4" x14ac:dyDescent="0.25">
      <c r="A42" s="2">
        <v>36311</v>
      </c>
    </row>
    <row r="43" spans="1:4" x14ac:dyDescent="0.25">
      <c r="A43" s="2">
        <v>36341</v>
      </c>
    </row>
    <row r="44" spans="1:4" x14ac:dyDescent="0.25">
      <c r="A44" s="2">
        <v>36372</v>
      </c>
    </row>
    <row r="45" spans="1:4" x14ac:dyDescent="0.25">
      <c r="A45" s="2">
        <v>36403</v>
      </c>
    </row>
    <row r="46" spans="1:4" x14ac:dyDescent="0.25">
      <c r="A46" s="2">
        <v>36433</v>
      </c>
    </row>
    <row r="47" spans="1:4" x14ac:dyDescent="0.25">
      <c r="A47" s="2">
        <v>36464</v>
      </c>
    </row>
    <row r="48" spans="1:4" x14ac:dyDescent="0.25">
      <c r="A48" s="2">
        <v>36494</v>
      </c>
      <c r="D48" s="1"/>
    </row>
    <row r="49" spans="1:6" x14ac:dyDescent="0.25">
      <c r="A49" s="2">
        <v>36525</v>
      </c>
      <c r="D49" s="1"/>
    </row>
    <row r="50" spans="1:6" x14ac:dyDescent="0.25">
      <c r="A50" s="2">
        <v>36556</v>
      </c>
      <c r="D50" s="1"/>
    </row>
    <row r="51" spans="1:6" x14ac:dyDescent="0.25">
      <c r="A51" s="2">
        <v>36585</v>
      </c>
      <c r="D51" s="1"/>
    </row>
    <row r="52" spans="1:6" x14ac:dyDescent="0.25">
      <c r="A52" s="2">
        <v>36616</v>
      </c>
      <c r="D52" s="1"/>
    </row>
    <row r="53" spans="1:6" x14ac:dyDescent="0.25">
      <c r="A53" s="2">
        <v>36646</v>
      </c>
      <c r="D53" s="1"/>
    </row>
    <row r="54" spans="1:6" x14ac:dyDescent="0.25">
      <c r="A54" s="2">
        <v>36677</v>
      </c>
      <c r="D54" s="1"/>
    </row>
    <row r="55" spans="1:6" x14ac:dyDescent="0.25">
      <c r="A55" s="2">
        <v>36707</v>
      </c>
      <c r="D55" s="1"/>
    </row>
    <row r="56" spans="1:6" x14ac:dyDescent="0.25">
      <c r="A56" s="2">
        <v>36738</v>
      </c>
      <c r="D56" s="1"/>
    </row>
    <row r="57" spans="1:6" x14ac:dyDescent="0.25">
      <c r="A57" s="2">
        <v>36769</v>
      </c>
      <c r="D57" s="1"/>
    </row>
    <row r="58" spans="1:6" x14ac:dyDescent="0.25">
      <c r="A58" s="2">
        <v>36799</v>
      </c>
      <c r="D58" s="1"/>
    </row>
    <row r="59" spans="1:6" x14ac:dyDescent="0.25">
      <c r="A59" s="2">
        <v>36830</v>
      </c>
      <c r="D59" s="1"/>
    </row>
    <row r="60" spans="1:6" x14ac:dyDescent="0.25">
      <c r="A60" s="2">
        <v>36860</v>
      </c>
      <c r="D60" s="1"/>
    </row>
    <row r="61" spans="1:6" x14ac:dyDescent="0.25">
      <c r="A61" s="2">
        <v>36891</v>
      </c>
      <c r="B61" s="1" t="s">
        <v>7</v>
      </c>
      <c r="C61" s="1" t="s">
        <v>8</v>
      </c>
      <c r="D61" s="1"/>
      <c r="E61" t="s">
        <v>10</v>
      </c>
      <c r="F61" t="s">
        <v>11</v>
      </c>
    </row>
    <row r="62" spans="1:6" x14ac:dyDescent="0.25">
      <c r="A62" s="2">
        <v>36922</v>
      </c>
      <c r="B62" s="1">
        <f>IF([1]Rseries!E7="","",[1]Rseries!E7)</f>
        <v>2812917.3985899999</v>
      </c>
      <c r="C62" s="1">
        <v>2569344.04</v>
      </c>
      <c r="D62" s="1"/>
      <c r="E62">
        <f>COUNT(Mediana!3:3)-Amplitud</f>
        <v>172</v>
      </c>
      <c r="F62">
        <v>36</v>
      </c>
    </row>
    <row r="63" spans="1:6" x14ac:dyDescent="0.25">
      <c r="A63" s="2">
        <v>36950</v>
      </c>
      <c r="B63" s="1">
        <f>IF([1]Rseries!E8="","",[1]Rseries!E8)</f>
        <v>2817475.7085899999</v>
      </c>
      <c r="C63" s="1">
        <v>2573902.35</v>
      </c>
      <c r="D63" s="1"/>
    </row>
    <row r="64" spans="1:6" x14ac:dyDescent="0.25">
      <c r="A64" s="2">
        <v>36981</v>
      </c>
      <c r="B64" s="1">
        <f>IF([1]Rseries!E9="","",[1]Rseries!E9)</f>
        <v>2828537.4885900002</v>
      </c>
      <c r="C64" s="1">
        <v>2584964.13</v>
      </c>
      <c r="D64" s="1"/>
    </row>
    <row r="65" spans="1:4" x14ac:dyDescent="0.25">
      <c r="A65" s="2">
        <v>37011</v>
      </c>
      <c r="B65" s="1">
        <f>IF([1]Rseries!E10="","",[1]Rseries!E10)</f>
        <v>2838952.4585899999</v>
      </c>
      <c r="C65" s="1">
        <v>2595379.1</v>
      </c>
      <c r="D65" s="1"/>
    </row>
    <row r="66" spans="1:4" x14ac:dyDescent="0.25">
      <c r="A66" s="2">
        <v>37042</v>
      </c>
      <c r="B66" s="1">
        <f>IF([1]Rseries!E11="","",[1]Rseries!E11)</f>
        <v>2850394.4885900002</v>
      </c>
      <c r="C66" s="1">
        <v>2606821.13</v>
      </c>
      <c r="D66" s="1"/>
    </row>
    <row r="67" spans="1:4" x14ac:dyDescent="0.25">
      <c r="A67" s="2">
        <v>37072</v>
      </c>
      <c r="B67" s="1">
        <f>IF([1]Rseries!E12="","",[1]Rseries!E12)</f>
        <v>2859239.5085900002</v>
      </c>
      <c r="C67" s="1">
        <v>2615666.15</v>
      </c>
      <c r="D67" s="1"/>
    </row>
    <row r="68" spans="1:4" x14ac:dyDescent="0.25">
      <c r="A68" s="2">
        <v>37103</v>
      </c>
      <c r="B68" s="1">
        <f>IF([1]Rseries!E13="","",[1]Rseries!E13)</f>
        <v>2864460.2185900002</v>
      </c>
      <c r="C68" s="1">
        <v>2620886.86</v>
      </c>
      <c r="D68" s="1"/>
    </row>
    <row r="69" spans="1:4" x14ac:dyDescent="0.25">
      <c r="A69" s="2">
        <v>37134</v>
      </c>
      <c r="B69" s="1">
        <f>IF([1]Rseries!E14="","",[1]Rseries!E14)</f>
        <v>2865524.9485900002</v>
      </c>
      <c r="C69" s="1">
        <v>2621951.59</v>
      </c>
      <c r="D69" s="1"/>
    </row>
    <row r="70" spans="1:4" x14ac:dyDescent="0.25">
      <c r="A70" s="2">
        <v>37164</v>
      </c>
      <c r="B70" s="1">
        <f>IF([1]Rseries!E15="","",[1]Rseries!E15)</f>
        <v>2864121.8985899999</v>
      </c>
      <c r="C70" s="1">
        <v>2620548.54</v>
      </c>
      <c r="D70" s="1"/>
    </row>
    <row r="71" spans="1:4" x14ac:dyDescent="0.25">
      <c r="A71" s="2">
        <v>37195</v>
      </c>
      <c r="B71" s="1">
        <f>IF([1]Rseries!E16="","",[1]Rseries!E16)</f>
        <v>2865180.4485900002</v>
      </c>
      <c r="C71" s="1">
        <v>2621607.09</v>
      </c>
      <c r="D71" s="1"/>
    </row>
    <row r="72" spans="1:4" x14ac:dyDescent="0.25">
      <c r="A72" s="2">
        <v>37225</v>
      </c>
      <c r="B72" s="1">
        <f>IF([1]Rseries!E17="","",[1]Rseries!E17)</f>
        <v>2866488.82859</v>
      </c>
      <c r="C72" s="1">
        <v>2622915.4700000002</v>
      </c>
      <c r="D72" s="1"/>
    </row>
    <row r="73" spans="1:4" x14ac:dyDescent="0.25">
      <c r="A73" s="2">
        <v>37256</v>
      </c>
      <c r="B73" s="1">
        <f>IF([1]Rseries!E18="","",[1]Rseries!E18)</f>
        <v>2866166.3585899998</v>
      </c>
      <c r="C73" s="1">
        <v>2622593</v>
      </c>
      <c r="D73" s="1"/>
    </row>
    <row r="74" spans="1:4" x14ac:dyDescent="0.25">
      <c r="A74" s="2">
        <v>37287</v>
      </c>
      <c r="B74" s="1">
        <f>IF([1]Rseries!E19="","",[1]Rseries!E19)</f>
        <v>2851122.03859</v>
      </c>
      <c r="C74" s="1">
        <v>2607548.6800000002</v>
      </c>
      <c r="D74" s="1"/>
    </row>
    <row r="75" spans="1:4" x14ac:dyDescent="0.25">
      <c r="A75" s="2">
        <v>37315</v>
      </c>
      <c r="B75" s="1">
        <f>IF([1]Rseries!E20="","",[1]Rseries!E20)</f>
        <v>2861484.0085900002</v>
      </c>
      <c r="C75" s="1">
        <v>2617910.65</v>
      </c>
      <c r="D75" s="1"/>
    </row>
    <row r="76" spans="1:4" x14ac:dyDescent="0.25">
      <c r="A76" s="2">
        <v>37346</v>
      </c>
      <c r="B76" s="1">
        <f>IF([1]Rseries!E21="","",[1]Rseries!E21)</f>
        <v>2873772.5485899998</v>
      </c>
      <c r="C76" s="1">
        <v>2630199.19</v>
      </c>
      <c r="D76" s="1"/>
    </row>
    <row r="77" spans="1:4" x14ac:dyDescent="0.25">
      <c r="A77" s="2">
        <v>37376</v>
      </c>
      <c r="B77" s="1">
        <f>IF([1]Rseries!E22="","",[1]Rseries!E22)</f>
        <v>2886818.7585900002</v>
      </c>
      <c r="C77" s="1">
        <v>2643245.4</v>
      </c>
      <c r="D77" s="1"/>
    </row>
    <row r="78" spans="1:4" x14ac:dyDescent="0.25">
      <c r="A78" s="2">
        <v>37407</v>
      </c>
      <c r="B78" s="1">
        <f>IF([1]Rseries!E23="","",[1]Rseries!E23)</f>
        <v>2899350.9285900001</v>
      </c>
      <c r="C78" s="1">
        <v>2655777.5699999998</v>
      </c>
      <c r="D78" s="1"/>
    </row>
    <row r="79" spans="1:4" x14ac:dyDescent="0.25">
      <c r="A79" s="2">
        <v>37437</v>
      </c>
      <c r="B79" s="1">
        <f>IF([1]Rseries!E24="","",[1]Rseries!E24)</f>
        <v>2908061.7385900002</v>
      </c>
      <c r="C79" s="1">
        <v>2664488.38</v>
      </c>
      <c r="D79" s="1"/>
    </row>
    <row r="80" spans="1:4" x14ac:dyDescent="0.25">
      <c r="A80" s="2">
        <v>37468</v>
      </c>
      <c r="B80" s="1">
        <f>IF([1]Rseries!E25="","",[1]Rseries!E25)</f>
        <v>2914166.3985899999</v>
      </c>
      <c r="C80" s="1">
        <v>2670593.04</v>
      </c>
      <c r="D80" s="1"/>
    </row>
    <row r="81" spans="1:4" x14ac:dyDescent="0.25">
      <c r="A81" s="2">
        <v>37499</v>
      </c>
      <c r="B81" s="1">
        <f>IF([1]Rseries!E26="","",[1]Rseries!E26)</f>
        <v>2914207.4485900002</v>
      </c>
      <c r="C81" s="1">
        <v>2670634.09</v>
      </c>
      <c r="D81" s="1"/>
    </row>
    <row r="82" spans="1:4" x14ac:dyDescent="0.25">
      <c r="A82" s="2">
        <v>37529</v>
      </c>
      <c r="B82" s="1">
        <f>IF([1]Rseries!E27="","",[1]Rseries!E27)</f>
        <v>2914292.5885899998</v>
      </c>
      <c r="C82" s="1">
        <v>2670719.23</v>
      </c>
      <c r="D82" s="1"/>
    </row>
    <row r="83" spans="1:4" x14ac:dyDescent="0.25">
      <c r="A83" s="2">
        <v>37560</v>
      </c>
      <c r="B83" s="1">
        <f>IF([1]Rseries!E28="","",[1]Rseries!E28)</f>
        <v>2916869.2185900002</v>
      </c>
      <c r="C83" s="1">
        <v>2673295.86</v>
      </c>
      <c r="D83" s="1"/>
    </row>
    <row r="84" spans="1:4" x14ac:dyDescent="0.25">
      <c r="A84" s="2">
        <v>37590</v>
      </c>
      <c r="B84" s="1">
        <f>IF([1]Rseries!E29="","",[1]Rseries!E29)</f>
        <v>2919124.82859</v>
      </c>
      <c r="C84" s="1">
        <v>2675551.4700000002</v>
      </c>
      <c r="D84" s="1"/>
    </row>
    <row r="85" spans="1:4" x14ac:dyDescent="0.25">
      <c r="A85" s="2">
        <v>37621</v>
      </c>
      <c r="B85" s="1">
        <f>IF([1]Rseries!E30="","",[1]Rseries!E30)</f>
        <v>2919269.1885899999</v>
      </c>
      <c r="C85" s="1">
        <v>2675695.83</v>
      </c>
      <c r="D85" s="1"/>
    </row>
    <row r="86" spans="1:4" x14ac:dyDescent="0.25">
      <c r="A86" s="2">
        <v>37652</v>
      </c>
      <c r="B86" s="1">
        <f>IF([1]Rseries!E31="","",[1]Rseries!E31)</f>
        <v>2914606.82859</v>
      </c>
      <c r="C86" s="1">
        <v>2671033.4700000002</v>
      </c>
      <c r="D86" s="1"/>
    </row>
    <row r="87" spans="1:4" x14ac:dyDescent="0.25">
      <c r="A87" s="2">
        <v>37680</v>
      </c>
      <c r="B87" s="1">
        <f>IF([1]Rseries!E32="","",[1]Rseries!E32)</f>
        <v>2921942.3585899998</v>
      </c>
      <c r="C87" s="1">
        <v>2678369</v>
      </c>
      <c r="D87" s="1"/>
    </row>
    <row r="88" spans="1:4" x14ac:dyDescent="0.25">
      <c r="A88" s="2">
        <v>37711</v>
      </c>
      <c r="B88" s="1">
        <f>IF([1]Rseries!E33="","",[1]Rseries!E33)</f>
        <v>2936482.9285900001</v>
      </c>
      <c r="C88" s="1">
        <v>2692909.57</v>
      </c>
      <c r="D88" s="1"/>
    </row>
    <row r="89" spans="1:4" x14ac:dyDescent="0.25">
      <c r="A89" s="2">
        <v>37741</v>
      </c>
      <c r="B89" s="1">
        <f>IF([1]Rseries!E34="","",[1]Rseries!E34)</f>
        <v>2954129.4085900001</v>
      </c>
      <c r="C89" s="1">
        <v>2710556.05</v>
      </c>
      <c r="D89" s="1"/>
    </row>
    <row r="90" spans="1:4" x14ac:dyDescent="0.25">
      <c r="A90" s="2">
        <v>37772</v>
      </c>
      <c r="B90" s="1">
        <f>IF([1]Rseries!E35="","",[1]Rseries!E35)</f>
        <v>2970237.1285899999</v>
      </c>
      <c r="C90" s="1">
        <v>2726663.77</v>
      </c>
      <c r="D90" s="1"/>
    </row>
    <row r="91" spans="1:4" x14ac:dyDescent="0.25">
      <c r="A91" s="2">
        <v>37802</v>
      </c>
      <c r="B91" s="1">
        <f>IF([1]Rseries!E36="","",[1]Rseries!E36)</f>
        <v>2983199.6885899999</v>
      </c>
      <c r="C91" s="1">
        <v>2739626.33</v>
      </c>
      <c r="D91" s="1"/>
    </row>
    <row r="92" spans="1:4" x14ac:dyDescent="0.25">
      <c r="A92" s="2">
        <v>37833</v>
      </c>
      <c r="B92" s="1">
        <f>IF([1]Rseries!E37="","",[1]Rseries!E37)</f>
        <v>2991444.1785900001</v>
      </c>
      <c r="C92" s="1">
        <v>2747870.82</v>
      </c>
      <c r="D92" s="1"/>
    </row>
    <row r="93" spans="1:4" x14ac:dyDescent="0.25">
      <c r="A93" s="2">
        <v>37864</v>
      </c>
      <c r="B93" s="1">
        <f>IF([1]Rseries!E38="","",[1]Rseries!E38)</f>
        <v>2994478.30859</v>
      </c>
      <c r="C93" s="1">
        <v>2750904.95</v>
      </c>
      <c r="D93" s="1"/>
    </row>
    <row r="94" spans="1:4" x14ac:dyDescent="0.25">
      <c r="A94" s="2">
        <v>37894</v>
      </c>
      <c r="B94" s="1">
        <f>IF([1]Rseries!E39="","",[1]Rseries!E39)</f>
        <v>2997803.80859</v>
      </c>
      <c r="C94" s="1">
        <v>2754230.45</v>
      </c>
      <c r="D94" s="1"/>
    </row>
    <row r="95" spans="1:4" x14ac:dyDescent="0.25">
      <c r="A95" s="2">
        <v>37925</v>
      </c>
      <c r="B95" s="1">
        <f>IF([1]Rseries!E40="","",[1]Rseries!E40)</f>
        <v>3003446.0085900002</v>
      </c>
      <c r="C95" s="1">
        <v>2759872.65</v>
      </c>
      <c r="D95" s="1"/>
    </row>
    <row r="96" spans="1:4" x14ac:dyDescent="0.25">
      <c r="A96" s="2">
        <v>37955</v>
      </c>
      <c r="B96" s="1">
        <f>IF([1]Rseries!E41="","",[1]Rseries!E41)</f>
        <v>3008497.0085900002</v>
      </c>
      <c r="C96" s="1">
        <v>2764923.65</v>
      </c>
      <c r="D96" s="1"/>
    </row>
    <row r="97" spans="1:4" x14ac:dyDescent="0.25">
      <c r="A97" s="2">
        <v>37986</v>
      </c>
      <c r="B97" s="1">
        <f>IF([1]Rseries!E42="","",[1]Rseries!E42)</f>
        <v>3013824.24859</v>
      </c>
      <c r="C97" s="1">
        <v>2770250.89</v>
      </c>
      <c r="D97" s="1"/>
    </row>
    <row r="98" spans="1:4" x14ac:dyDescent="0.25">
      <c r="A98" s="2">
        <v>38017</v>
      </c>
      <c r="B98" s="1">
        <f>IF([1]Rseries!E43="","",[1]Rseries!E43)</f>
        <v>3011827.30859</v>
      </c>
      <c r="C98" s="1">
        <v>2768253.95</v>
      </c>
      <c r="D98" s="1"/>
    </row>
    <row r="99" spans="1:4" x14ac:dyDescent="0.25">
      <c r="A99" s="2">
        <v>38046</v>
      </c>
      <c r="B99" s="1">
        <f>IF([1]Rseries!E44="","",[1]Rseries!E44)</f>
        <v>3024491.30859</v>
      </c>
      <c r="C99" s="1">
        <v>2780917.95</v>
      </c>
      <c r="D99" s="1"/>
    </row>
    <row r="100" spans="1:4" x14ac:dyDescent="0.25">
      <c r="A100" s="2">
        <v>38077</v>
      </c>
      <c r="B100" s="1">
        <f>IF([1]Rseries!E45="","",[1]Rseries!E45)</f>
        <v>3043935.5685899998</v>
      </c>
      <c r="C100" s="1">
        <v>2800362.21</v>
      </c>
      <c r="D100" s="1"/>
    </row>
    <row r="101" spans="1:4" x14ac:dyDescent="0.25">
      <c r="A101" s="2">
        <v>38107</v>
      </c>
      <c r="B101" s="1">
        <f>IF([1]Rseries!E46="","",[1]Rseries!E46)</f>
        <v>3061546.30859</v>
      </c>
      <c r="C101" s="1">
        <v>2817972.95</v>
      </c>
      <c r="D101" s="1"/>
    </row>
    <row r="102" spans="1:4" x14ac:dyDescent="0.25">
      <c r="A102" s="2">
        <v>38138</v>
      </c>
      <c r="B102" s="1">
        <f>IF([1]Rseries!E47="","",[1]Rseries!E47)</f>
        <v>3078282.55859</v>
      </c>
      <c r="C102" s="1">
        <v>2834709.2</v>
      </c>
      <c r="D102" s="1"/>
    </row>
    <row r="103" spans="1:4" x14ac:dyDescent="0.25">
      <c r="A103" s="2">
        <v>38168</v>
      </c>
      <c r="B103" s="1">
        <f>IF([1]Rseries!E48="","",[1]Rseries!E48)</f>
        <v>3092934.4885900002</v>
      </c>
      <c r="C103" s="1">
        <v>2849361.13</v>
      </c>
      <c r="D103" s="1"/>
    </row>
    <row r="104" spans="1:4" x14ac:dyDescent="0.25">
      <c r="A104" s="2">
        <v>38199</v>
      </c>
      <c r="B104" s="1">
        <f>IF([1]Rseries!E49="","",[1]Rseries!E49)</f>
        <v>3101079.82859</v>
      </c>
      <c r="C104" s="1">
        <v>2857506.47</v>
      </c>
      <c r="D104" s="1"/>
    </row>
    <row r="105" spans="1:4" x14ac:dyDescent="0.25">
      <c r="A105" s="2">
        <v>38230</v>
      </c>
      <c r="B105" s="1">
        <f>IF([1]Rseries!E50="","",[1]Rseries!E50)</f>
        <v>3103000.8585899998</v>
      </c>
      <c r="C105" s="1">
        <v>2859427.5</v>
      </c>
      <c r="D105" s="1"/>
    </row>
    <row r="106" spans="1:4" x14ac:dyDescent="0.25">
      <c r="A106" s="2">
        <v>38260</v>
      </c>
      <c r="B106" s="1">
        <f>IF([1]Rseries!E51="","",[1]Rseries!E51)</f>
        <v>3105342.30859</v>
      </c>
      <c r="C106" s="1">
        <v>2861768.95</v>
      </c>
      <c r="D106" s="1"/>
    </row>
    <row r="107" spans="1:4" x14ac:dyDescent="0.25">
      <c r="A107" s="2">
        <v>38291</v>
      </c>
      <c r="B107" s="1">
        <f>IF([1]Rseries!E52="","",[1]Rseries!E52)</f>
        <v>3110996.49859</v>
      </c>
      <c r="C107" s="1">
        <v>2867423.14</v>
      </c>
      <c r="D107" s="1"/>
    </row>
    <row r="108" spans="1:4" x14ac:dyDescent="0.25">
      <c r="A108" s="2">
        <v>38321</v>
      </c>
      <c r="B108" s="1">
        <f>IF([1]Rseries!E53="","",[1]Rseries!E53)</f>
        <v>3116893.5485899998</v>
      </c>
      <c r="C108" s="1">
        <v>2873320.19</v>
      </c>
      <c r="D108" s="1"/>
    </row>
    <row r="109" spans="1:4" x14ac:dyDescent="0.25">
      <c r="A109" s="2">
        <v>38352</v>
      </c>
      <c r="B109" s="1">
        <f>IF([1]Rseries!E54="","",[1]Rseries!E54)</f>
        <v>3122352.4085900001</v>
      </c>
      <c r="C109" s="1">
        <v>2878779.05</v>
      </c>
      <c r="D109" s="1"/>
    </row>
    <row r="110" spans="1:4" x14ac:dyDescent="0.25">
      <c r="A110" s="2">
        <v>38383</v>
      </c>
      <c r="B110" s="1">
        <f>IF([1]Rseries!E55="","",[1]Rseries!E55)</f>
        <v>3120279.9585899999</v>
      </c>
      <c r="C110" s="1">
        <v>2876706.6</v>
      </c>
      <c r="D110" s="1"/>
    </row>
    <row r="111" spans="1:4" x14ac:dyDescent="0.25">
      <c r="A111" s="2">
        <v>38411</v>
      </c>
      <c r="B111" s="1">
        <f>IF([1]Rseries!E56="","",[1]Rseries!E56)</f>
        <v>3128565.55859</v>
      </c>
      <c r="C111" s="1">
        <v>2884992.2</v>
      </c>
      <c r="D111" s="1"/>
    </row>
    <row r="112" spans="1:4" x14ac:dyDescent="0.25">
      <c r="A112" s="2">
        <v>38442</v>
      </c>
      <c r="B112" s="1">
        <f>IF([1]Rseries!E57="","",[1]Rseries!E57)</f>
        <v>3144429.01859</v>
      </c>
      <c r="C112" s="1">
        <v>2900855.66</v>
      </c>
      <c r="D112" s="1"/>
    </row>
    <row r="113" spans="1:4" x14ac:dyDescent="0.25">
      <c r="A113" s="2">
        <v>38472</v>
      </c>
      <c r="B113" s="1">
        <f>IF([1]Rseries!E58="","",[1]Rseries!E58)</f>
        <v>3160006.3985899999</v>
      </c>
      <c r="C113" s="1">
        <v>2916433.04</v>
      </c>
      <c r="D113" s="1"/>
    </row>
    <row r="114" spans="1:4" x14ac:dyDescent="0.25">
      <c r="A114" s="2">
        <v>38503</v>
      </c>
      <c r="B114" s="1">
        <f>IF([1]Rseries!E59="","",[1]Rseries!E59)</f>
        <v>3175078.2185900002</v>
      </c>
      <c r="C114" s="1">
        <v>2931504.86</v>
      </c>
      <c r="D114" s="1"/>
    </row>
    <row r="115" spans="1:4" x14ac:dyDescent="0.25">
      <c r="A115" s="2">
        <v>38533</v>
      </c>
      <c r="B115" s="1">
        <f>IF([1]Rseries!E60="","",[1]Rseries!E60)</f>
        <v>3188490.1685899999</v>
      </c>
      <c r="C115" s="1">
        <v>2944916.81</v>
      </c>
      <c r="D115" s="1"/>
    </row>
    <row r="116" spans="1:4" x14ac:dyDescent="0.25">
      <c r="A116" s="2">
        <v>38564</v>
      </c>
      <c r="B116" s="1">
        <f>IF([1]Rseries!E61="","",[1]Rseries!E61)</f>
        <v>3194359.0485899998</v>
      </c>
      <c r="C116" s="1">
        <v>2950785.69</v>
      </c>
      <c r="D116" s="1"/>
    </row>
    <row r="117" spans="1:4" x14ac:dyDescent="0.25">
      <c r="A117" s="2">
        <v>38595</v>
      </c>
      <c r="B117" s="1">
        <f>IF([1]Rseries!E62="","",[1]Rseries!E62)</f>
        <v>3195029.57859</v>
      </c>
      <c r="C117" s="1">
        <v>2951456.22</v>
      </c>
      <c r="D117" s="1"/>
    </row>
    <row r="118" spans="1:4" x14ac:dyDescent="0.25">
      <c r="A118" s="2">
        <v>38625</v>
      </c>
      <c r="B118" s="1">
        <f>IF([1]Rseries!E63="","",[1]Rseries!E63)</f>
        <v>3197241.7585900002</v>
      </c>
      <c r="C118" s="1">
        <v>2953668.4</v>
      </c>
      <c r="D118" s="1"/>
    </row>
    <row r="119" spans="1:4" x14ac:dyDescent="0.25">
      <c r="A119" s="2">
        <v>38656</v>
      </c>
      <c r="B119" s="1">
        <f>IF([1]Rseries!E64="","",[1]Rseries!E64)</f>
        <v>3201755.9585899999</v>
      </c>
      <c r="C119" s="1">
        <v>2958182.6</v>
      </c>
      <c r="D119" s="1"/>
    </row>
    <row r="120" spans="1:4" x14ac:dyDescent="0.25">
      <c r="A120" s="2">
        <v>38686</v>
      </c>
      <c r="B120" s="1">
        <f>IF([1]Rseries!E65="","",[1]Rseries!E65)</f>
        <v>3207094.6385900001</v>
      </c>
      <c r="C120" s="1">
        <v>2963521.28</v>
      </c>
      <c r="D120" s="1"/>
    </row>
    <row r="121" spans="1:4" x14ac:dyDescent="0.25">
      <c r="A121" s="2">
        <v>38717</v>
      </c>
      <c r="B121" s="1">
        <f>IF([1]Rseries!E66="","",[1]Rseries!E66)</f>
        <v>3211422.55859</v>
      </c>
      <c r="C121" s="1">
        <v>2967849.2</v>
      </c>
      <c r="D121" s="1"/>
    </row>
    <row r="122" spans="1:4" x14ac:dyDescent="0.25">
      <c r="A122" s="2">
        <v>38748</v>
      </c>
      <c r="B122" s="1">
        <f>IF([1]Rseries!E67="","",[1]Rseries!E67)</f>
        <v>3207538.8785899999</v>
      </c>
      <c r="C122" s="1">
        <v>2963965.52</v>
      </c>
      <c r="D122" s="1"/>
    </row>
    <row r="123" spans="1:4" x14ac:dyDescent="0.25">
      <c r="A123" s="2">
        <v>38776</v>
      </c>
      <c r="B123" s="1">
        <f>IF([1]Rseries!E68="","",[1]Rseries!E68)</f>
        <v>3216292.8585899998</v>
      </c>
      <c r="C123" s="1">
        <v>2972719.5</v>
      </c>
      <c r="D123" s="1"/>
    </row>
    <row r="124" spans="1:4" x14ac:dyDescent="0.25">
      <c r="A124" s="2">
        <v>38807</v>
      </c>
      <c r="B124" s="1">
        <f>IF([1]Rseries!E69="","",[1]Rseries!E69)</f>
        <v>3229856.0085900002</v>
      </c>
      <c r="C124" s="1">
        <v>2986282.65</v>
      </c>
      <c r="D124" s="1"/>
    </row>
    <row r="125" spans="1:4" x14ac:dyDescent="0.25">
      <c r="A125" s="2">
        <v>38837</v>
      </c>
      <c r="B125" s="1">
        <f>IF([1]Rseries!E70="","",[1]Rseries!E70)</f>
        <v>3244865.4085900001</v>
      </c>
      <c r="C125" s="1">
        <v>3001292.05</v>
      </c>
      <c r="D125" s="1"/>
    </row>
    <row r="126" spans="1:4" x14ac:dyDescent="0.25">
      <c r="A126" s="2">
        <v>38868</v>
      </c>
      <c r="B126" s="1">
        <f>IF([1]Rseries!E71="","",[1]Rseries!E71)</f>
        <v>3260768.30859</v>
      </c>
      <c r="C126" s="1">
        <v>3017194.95</v>
      </c>
      <c r="D126" s="1"/>
    </row>
    <row r="127" spans="1:4" x14ac:dyDescent="0.25">
      <c r="A127" s="2">
        <v>38898</v>
      </c>
      <c r="B127" s="1">
        <f>IF([1]Rseries!E72="","",[1]Rseries!E72)</f>
        <v>3272031.3585899998</v>
      </c>
      <c r="C127" s="1">
        <v>3028458</v>
      </c>
      <c r="D127" s="1"/>
    </row>
    <row r="128" spans="1:4" x14ac:dyDescent="0.25">
      <c r="A128" s="2">
        <v>38929</v>
      </c>
      <c r="B128" s="1">
        <f>IF([1]Rseries!E73="","",[1]Rseries!E73)</f>
        <v>3277013.30859</v>
      </c>
      <c r="C128" s="1">
        <v>3033439.95</v>
      </c>
      <c r="D128" s="1"/>
    </row>
    <row r="129" spans="1:4" x14ac:dyDescent="0.25">
      <c r="A129" s="2">
        <v>38960</v>
      </c>
      <c r="B129" s="1">
        <f>IF([1]Rseries!E74="","",[1]Rseries!E74)</f>
        <v>3275604.6685899999</v>
      </c>
      <c r="C129" s="1">
        <v>3032031.31</v>
      </c>
      <c r="D129" s="1"/>
    </row>
    <row r="130" spans="1:4" x14ac:dyDescent="0.25">
      <c r="A130" s="2">
        <v>38990</v>
      </c>
      <c r="B130" s="1">
        <f>IF([1]Rseries!E75="","",[1]Rseries!E75)</f>
        <v>3278273.4485900002</v>
      </c>
      <c r="C130" s="1">
        <v>3034700.09</v>
      </c>
      <c r="D130" s="1"/>
    </row>
    <row r="131" spans="1:4" x14ac:dyDescent="0.25">
      <c r="A131" s="2">
        <v>39021</v>
      </c>
      <c r="B131" s="1">
        <f>IF([1]Rseries!E76="","",[1]Rseries!E76)</f>
        <v>3285400.49859</v>
      </c>
      <c r="C131" s="1">
        <v>3041827.14</v>
      </c>
      <c r="D131" s="1"/>
    </row>
    <row r="132" spans="1:4" x14ac:dyDescent="0.25">
      <c r="A132" s="2">
        <v>39051</v>
      </c>
      <c r="B132" s="1">
        <f>IF([1]Rseries!E77="","",[1]Rseries!E77)</f>
        <v>3290582.3585899998</v>
      </c>
      <c r="C132" s="1">
        <v>3047009</v>
      </c>
      <c r="D132" s="1"/>
    </row>
    <row r="133" spans="1:4" x14ac:dyDescent="0.25">
      <c r="A133" s="2">
        <v>39082</v>
      </c>
      <c r="B133" s="1">
        <f>IF([1]Rseries!E78="","",[1]Rseries!E78)</f>
        <v>3296607.07859</v>
      </c>
      <c r="C133" s="1">
        <v>3053033.72</v>
      </c>
      <c r="D133" s="1"/>
    </row>
    <row r="134" spans="1:4" x14ac:dyDescent="0.25">
      <c r="A134" s="2">
        <v>39113</v>
      </c>
      <c r="B134" s="1">
        <f>IF([1]Rseries!E79="","",[1]Rseries!E79)</f>
        <v>3295265.1285899999</v>
      </c>
      <c r="C134" s="1">
        <v>3051691.77</v>
      </c>
      <c r="D134" s="1"/>
    </row>
    <row r="135" spans="1:4" x14ac:dyDescent="0.25">
      <c r="A135" s="2">
        <v>39141</v>
      </c>
      <c r="B135" s="1">
        <f>IF([1]Rseries!E80="","",[1]Rseries!E80)</f>
        <v>3307377.4585899999</v>
      </c>
      <c r="C135" s="1">
        <v>3063804.1</v>
      </c>
      <c r="D135" s="1"/>
    </row>
    <row r="136" spans="1:4" x14ac:dyDescent="0.25">
      <c r="A136" s="2">
        <v>39172</v>
      </c>
      <c r="B136" s="1">
        <f>IF([1]Rseries!E81="","",[1]Rseries!E81)</f>
        <v>3326117.7185900002</v>
      </c>
      <c r="C136" s="1">
        <v>3082544.36</v>
      </c>
      <c r="D136" s="1"/>
    </row>
    <row r="137" spans="1:4" x14ac:dyDescent="0.25">
      <c r="A137" s="2">
        <v>39202</v>
      </c>
      <c r="B137" s="1">
        <f>IF([1]Rseries!E82="","",[1]Rseries!E82)</f>
        <v>3344078.7785899998</v>
      </c>
      <c r="C137" s="1">
        <v>3100505.42</v>
      </c>
      <c r="D137" s="1"/>
    </row>
    <row r="138" spans="1:4" x14ac:dyDescent="0.25">
      <c r="A138" s="2">
        <v>39233</v>
      </c>
      <c r="B138" s="1">
        <f>IF([1]Rseries!E83="","",[1]Rseries!E83)</f>
        <v>3361076.30859</v>
      </c>
      <c r="C138" s="1">
        <v>3117502.95</v>
      </c>
      <c r="D138" s="1"/>
    </row>
    <row r="139" spans="1:4" x14ac:dyDescent="0.25">
      <c r="A139" s="2">
        <v>39263</v>
      </c>
      <c r="B139" s="1">
        <f>IF([1]Rseries!E84="","",[1]Rseries!E84)</f>
        <v>3376081.1185900001</v>
      </c>
      <c r="C139" s="1">
        <v>3132507.76</v>
      </c>
      <c r="D139" s="1"/>
    </row>
    <row r="140" spans="1:4" x14ac:dyDescent="0.25">
      <c r="A140" s="2">
        <v>39294</v>
      </c>
      <c r="B140" s="1">
        <f>IF([1]Rseries!E85="","",[1]Rseries!E85)</f>
        <v>3384757.8585899998</v>
      </c>
      <c r="C140" s="1">
        <v>3141184.5</v>
      </c>
      <c r="D140" s="1"/>
    </row>
    <row r="141" spans="1:4" x14ac:dyDescent="0.25">
      <c r="A141" s="2">
        <v>39325</v>
      </c>
      <c r="B141" s="1">
        <f>IF([1]Rseries!E86="","",[1]Rseries!E86)</f>
        <v>3384275.1685899999</v>
      </c>
      <c r="C141" s="1">
        <v>3140701.81</v>
      </c>
      <c r="D141" s="1"/>
    </row>
    <row r="142" spans="1:4" x14ac:dyDescent="0.25">
      <c r="A142" s="2">
        <v>39355</v>
      </c>
      <c r="B142" s="1">
        <f>IF([1]Rseries!E87="","",[1]Rseries!E87)</f>
        <v>3388785.6585900001</v>
      </c>
      <c r="C142" s="1">
        <v>3145212.3</v>
      </c>
      <c r="D142" s="1"/>
    </row>
    <row r="143" spans="1:4" x14ac:dyDescent="0.25">
      <c r="A143" s="2">
        <v>39386</v>
      </c>
      <c r="B143" s="1">
        <f>IF([1]Rseries!E88="","",[1]Rseries!E88)</f>
        <v>3396674.4885900002</v>
      </c>
      <c r="C143" s="1">
        <v>3153101.13</v>
      </c>
      <c r="D143" s="1"/>
    </row>
    <row r="144" spans="1:4" x14ac:dyDescent="0.25">
      <c r="A144" s="2">
        <v>39416</v>
      </c>
      <c r="B144" s="1">
        <f>IF([1]Rseries!E89="","",[1]Rseries!E89)</f>
        <v>3400485.30859</v>
      </c>
      <c r="C144" s="1">
        <v>3156911.95</v>
      </c>
      <c r="D144" s="1"/>
    </row>
    <row r="145" spans="1:4" x14ac:dyDescent="0.25">
      <c r="A145" s="2">
        <v>39447</v>
      </c>
      <c r="B145" s="1">
        <f>IF([1]Rseries!E90="","",[1]Rseries!E90)</f>
        <v>3402590.5285899998</v>
      </c>
      <c r="C145" s="1">
        <v>3159017.17</v>
      </c>
      <c r="D145" s="1"/>
    </row>
    <row r="146" spans="1:4" x14ac:dyDescent="0.25">
      <c r="A146" s="2">
        <v>39478</v>
      </c>
      <c r="B146" s="1">
        <f>IF([1]Rseries!E91="","",[1]Rseries!E91)</f>
        <v>3396973.9</v>
      </c>
      <c r="C146" s="1"/>
      <c r="D146" s="1"/>
    </row>
    <row r="147" spans="1:4" x14ac:dyDescent="0.25">
      <c r="A147" s="2">
        <v>39507</v>
      </c>
      <c r="B147" s="1">
        <f>IF([1]Rseries!E92="","",[1]Rseries!E92)</f>
        <v>3398445.76</v>
      </c>
      <c r="C147" s="1"/>
    </row>
    <row r="148" spans="1:4" x14ac:dyDescent="0.25">
      <c r="A148" s="2">
        <v>39538</v>
      </c>
      <c r="B148" s="1">
        <f>IF([1]Rseries!E93="","",[1]Rseries!E93)</f>
        <v>3407599.63</v>
      </c>
      <c r="C148" s="1"/>
    </row>
    <row r="149" spans="1:4" x14ac:dyDescent="0.25">
      <c r="A149" s="2">
        <v>39568</v>
      </c>
      <c r="B149" s="1">
        <f>IF([1]Rseries!E94="","",[1]Rseries!E94)</f>
        <v>3410506.49</v>
      </c>
      <c r="C149" s="1"/>
    </row>
    <row r="150" spans="1:4" x14ac:dyDescent="0.25">
      <c r="A150" s="2">
        <v>39599</v>
      </c>
      <c r="B150" s="1">
        <f>IF([1]Rseries!E95="","",[1]Rseries!E95)</f>
        <v>3410077.75</v>
      </c>
      <c r="C150" s="1"/>
    </row>
    <row r="151" spans="1:4" x14ac:dyDescent="0.25">
      <c r="A151" s="2">
        <v>39629</v>
      </c>
      <c r="B151" s="1">
        <f>IF([1]Rseries!E96="","",[1]Rseries!E96)</f>
        <v>3409523.33</v>
      </c>
      <c r="C151" s="1"/>
    </row>
    <row r="152" spans="1:4" x14ac:dyDescent="0.25">
      <c r="A152" s="2">
        <v>39660</v>
      </c>
      <c r="B152" s="1">
        <f>IF([1]Rseries!E97="","",[1]Rseries!E97)</f>
        <v>3399627.47</v>
      </c>
      <c r="C152" s="1"/>
    </row>
    <row r="153" spans="1:4" x14ac:dyDescent="0.25">
      <c r="A153" s="2">
        <v>39691</v>
      </c>
      <c r="B153" s="1">
        <f>IF([1]Rseries!E98="","",[1]Rseries!E98)</f>
        <v>3382147.8</v>
      </c>
      <c r="C153" s="1"/>
    </row>
    <row r="154" spans="1:4" x14ac:dyDescent="0.25">
      <c r="A154" s="2">
        <v>39721</v>
      </c>
      <c r="B154" s="1">
        <f>IF([1]Rseries!E99="","",[1]Rseries!E99)</f>
        <v>3371691.18</v>
      </c>
      <c r="C154" s="1"/>
    </row>
    <row r="155" spans="1:4" x14ac:dyDescent="0.25">
      <c r="A155" s="2">
        <v>39752</v>
      </c>
      <c r="B155" s="1">
        <f>IF([1]Rseries!E100="","",[1]Rseries!E100)</f>
        <v>3355586.2</v>
      </c>
      <c r="C155" s="1"/>
    </row>
    <row r="156" spans="1:4" x14ac:dyDescent="0.25">
      <c r="A156" s="2">
        <v>39782</v>
      </c>
      <c r="B156" s="1">
        <f>IF([1]Rseries!E101="","",[1]Rseries!E101)</f>
        <v>3336478.85</v>
      </c>
      <c r="C156" s="1"/>
    </row>
    <row r="157" spans="1:4" x14ac:dyDescent="0.25">
      <c r="A157" s="2">
        <v>39813</v>
      </c>
      <c r="B157" s="1">
        <f>IF([1]Rseries!E102="","",[1]Rseries!E102)</f>
        <v>3319188.25</v>
      </c>
      <c r="C157" s="1"/>
    </row>
    <row r="158" spans="1:4" x14ac:dyDescent="0.25">
      <c r="A158" s="2">
        <v>39844</v>
      </c>
      <c r="B158" s="1">
        <f>IF([1]Rseries!E103="","",[1]Rseries!E103)</f>
        <v>3287286.25</v>
      </c>
      <c r="C158" s="1"/>
    </row>
    <row r="159" spans="1:4" x14ac:dyDescent="0.25">
      <c r="A159" s="2">
        <v>39872</v>
      </c>
      <c r="B159" s="1">
        <f>IF([1]Rseries!E104="","",[1]Rseries!E104)</f>
        <v>3263872.05</v>
      </c>
      <c r="C159" s="1"/>
    </row>
    <row r="160" spans="1:4" x14ac:dyDescent="0.25">
      <c r="A160" s="2">
        <v>39903</v>
      </c>
      <c r="B160" s="1">
        <f>IF([1]Rseries!E105="","",[1]Rseries!E105)</f>
        <v>3253268.95</v>
      </c>
      <c r="C160" s="1"/>
    </row>
    <row r="161" spans="1:3" x14ac:dyDescent="0.25">
      <c r="A161" s="2">
        <v>39933</v>
      </c>
      <c r="B161" s="1">
        <f>IF([1]Rseries!E106="","",[1]Rseries!E106)</f>
        <v>3244526.25</v>
      </c>
      <c r="C161" s="1"/>
    </row>
    <row r="162" spans="1:3" x14ac:dyDescent="0.25">
      <c r="A162" s="2">
        <v>39964</v>
      </c>
      <c r="B162" s="1">
        <f>IF([1]Rseries!E107="","",[1]Rseries!E107)</f>
        <v>3237965.05</v>
      </c>
      <c r="C162" s="1"/>
    </row>
    <row r="163" spans="1:3" x14ac:dyDescent="0.25">
      <c r="A163" s="2">
        <v>39994</v>
      </c>
      <c r="B163" s="1">
        <f>IF([1]Rseries!E108="","",[1]Rseries!E108)</f>
        <v>3232150.63</v>
      </c>
      <c r="C163" s="1"/>
    </row>
    <row r="164" spans="1:3" x14ac:dyDescent="0.25">
      <c r="A164" s="2">
        <v>40025</v>
      </c>
      <c r="B164" s="1">
        <f>IF([1]Rseries!E109="","",[1]Rseries!E109)</f>
        <v>3218678.2</v>
      </c>
      <c r="C164" s="1"/>
    </row>
    <row r="165" spans="1:3" x14ac:dyDescent="0.25">
      <c r="A165" s="2">
        <v>40056</v>
      </c>
      <c r="B165" s="1">
        <f>IF([1]Rseries!E110="","",[1]Rseries!E110)</f>
        <v>3202304.61</v>
      </c>
      <c r="C165" s="1"/>
    </row>
    <row r="166" spans="1:3" x14ac:dyDescent="0.25">
      <c r="A166" s="2">
        <v>40086</v>
      </c>
      <c r="B166" s="1">
        <f>IF([1]Rseries!E111="","",[1]Rseries!E111)</f>
        <v>3194873.22</v>
      </c>
      <c r="C166" s="1"/>
    </row>
    <row r="167" spans="1:3" x14ac:dyDescent="0.25">
      <c r="A167" s="2">
        <v>40117</v>
      </c>
      <c r="B167" s="1">
        <f>IF([1]Rseries!E112="","",[1]Rseries!E112)</f>
        <v>3182563.27</v>
      </c>
      <c r="C167" s="1"/>
    </row>
    <row r="168" spans="1:3" x14ac:dyDescent="0.25">
      <c r="A168" s="2">
        <v>40147</v>
      </c>
      <c r="B168" s="1">
        <f>IF([1]Rseries!E113="","",[1]Rseries!E113)</f>
        <v>3170355.8</v>
      </c>
      <c r="C168" s="1"/>
    </row>
    <row r="169" spans="1:3" x14ac:dyDescent="0.25">
      <c r="A169" s="2">
        <v>40178</v>
      </c>
      <c r="B169" s="1">
        <f>IF([1]Rseries!E114="","",[1]Rseries!E114)</f>
        <v>3162336.72</v>
      </c>
      <c r="C169" s="1"/>
    </row>
    <row r="170" spans="1:3" x14ac:dyDescent="0.25">
      <c r="A170" s="2">
        <v>40209</v>
      </c>
      <c r="B170" s="1">
        <f>IF([1]Rseries!E115="","",[1]Rseries!E115)</f>
        <v>3146161.36</v>
      </c>
      <c r="C170" s="1"/>
    </row>
    <row r="171" spans="1:3" x14ac:dyDescent="0.25">
      <c r="A171" s="2">
        <v>40237</v>
      </c>
      <c r="B171" s="1">
        <f>IF([1]Rseries!E116="","",[1]Rseries!E116)</f>
        <v>3133792.4</v>
      </c>
      <c r="C171" s="1"/>
    </row>
    <row r="172" spans="1:3" x14ac:dyDescent="0.25">
      <c r="A172" s="2">
        <v>40268</v>
      </c>
      <c r="B172" s="1">
        <f>IF([1]Rseries!E117="","",[1]Rseries!E117)</f>
        <v>3134665.86</v>
      </c>
      <c r="C172" s="1"/>
    </row>
    <row r="173" spans="1:3" x14ac:dyDescent="0.25">
      <c r="A173" s="2">
        <v>40298</v>
      </c>
      <c r="B173" s="1">
        <f>IF([1]Rseries!E118="","",[1]Rseries!E118)</f>
        <v>3137430.1</v>
      </c>
      <c r="C173" s="1"/>
    </row>
    <row r="174" spans="1:3" x14ac:dyDescent="0.25">
      <c r="A174" s="2">
        <v>40329</v>
      </c>
      <c r="B174" s="1">
        <f>IF([1]Rseries!E119="","",[1]Rseries!E119)</f>
        <v>3142035.18</v>
      </c>
      <c r="C174" s="1"/>
    </row>
    <row r="175" spans="1:3" x14ac:dyDescent="0.25">
      <c r="A175" s="2">
        <v>40359</v>
      </c>
      <c r="B175" s="1">
        <f>IF([1]Rseries!E120="","",[1]Rseries!E120)</f>
        <v>3145650.49</v>
      </c>
      <c r="C175" s="1"/>
    </row>
    <row r="176" spans="1:3" x14ac:dyDescent="0.25">
      <c r="A176" s="2">
        <v>40390</v>
      </c>
      <c r="B176" s="1">
        <f>IF([1]Rseries!E121="","",[1]Rseries!E121)</f>
        <v>3140330.45</v>
      </c>
      <c r="C176" s="1"/>
    </row>
    <row r="177" spans="1:3" x14ac:dyDescent="0.25">
      <c r="A177" s="2">
        <v>40421</v>
      </c>
      <c r="B177" s="1">
        <f>IF([1]Rseries!E122="","",[1]Rseries!E122)</f>
        <v>3126791.86</v>
      </c>
      <c r="C177" s="1"/>
    </row>
    <row r="178" spans="1:3" x14ac:dyDescent="0.25">
      <c r="A178" s="2">
        <v>40451</v>
      </c>
      <c r="B178" s="1">
        <f>IF([1]Rseries!E123="","",[1]Rseries!E123)</f>
        <v>3122484.22</v>
      </c>
      <c r="C178" s="1"/>
    </row>
    <row r="179" spans="1:3" x14ac:dyDescent="0.25">
      <c r="A179" s="2">
        <v>40482</v>
      </c>
      <c r="B179" s="1">
        <f>IF([1]Rseries!E124="","",[1]Rseries!E124)</f>
        <v>3117468.3</v>
      </c>
      <c r="C179" s="1"/>
    </row>
    <row r="180" spans="1:3" x14ac:dyDescent="0.25">
      <c r="A180" s="2">
        <v>40512</v>
      </c>
      <c r="B180" s="1">
        <f>IF([1]Rseries!E125="","",[1]Rseries!E125)</f>
        <v>3110745.14</v>
      </c>
      <c r="C180" s="1"/>
    </row>
    <row r="181" spans="1:3" x14ac:dyDescent="0.25">
      <c r="A181" s="2">
        <v>40543</v>
      </c>
      <c r="B181" s="1">
        <f>IF([1]Rseries!E126="","",[1]Rseries!E126)</f>
        <v>3104247.73</v>
      </c>
      <c r="C181" s="1"/>
    </row>
    <row r="182" spans="1:3" x14ac:dyDescent="0.25">
      <c r="A182" s="2">
        <v>40574</v>
      </c>
      <c r="B182" s="1">
        <f>IF([1]Rseries!E127="","",[1]Rseries!E127)</f>
        <v>3091816.55</v>
      </c>
      <c r="C182" s="1"/>
    </row>
    <row r="183" spans="1:3" x14ac:dyDescent="0.25">
      <c r="A183" s="2">
        <v>40602</v>
      </c>
      <c r="B183" s="1">
        <f>IF([1]Rseries!E128="","",[1]Rseries!E128)</f>
        <v>3082287.45</v>
      </c>
      <c r="C183" s="1"/>
    </row>
    <row r="184" spans="1:3" x14ac:dyDescent="0.25">
      <c r="A184" s="2">
        <v>40633</v>
      </c>
      <c r="B184" s="1">
        <f>IF([1]Rseries!E129="","",[1]Rseries!E129)</f>
        <v>3089588.42</v>
      </c>
      <c r="C184" s="1"/>
    </row>
    <row r="185" spans="1:3" x14ac:dyDescent="0.25">
      <c r="A185" s="2">
        <v>40663</v>
      </c>
      <c r="B185" s="1">
        <f>IF([1]Rseries!E130="","",[1]Rseries!E130)</f>
        <v>3098306.72</v>
      </c>
      <c r="C185" s="1"/>
    </row>
    <row r="186" spans="1:3" x14ac:dyDescent="0.25">
      <c r="A186" s="2">
        <v>40694</v>
      </c>
      <c r="B186" s="1">
        <f>IF([1]Rseries!E131="","",[1]Rseries!E131)</f>
        <v>3106765.22</v>
      </c>
      <c r="C186" s="1"/>
    </row>
    <row r="187" spans="1:3" x14ac:dyDescent="0.25">
      <c r="A187" s="2">
        <v>40724</v>
      </c>
      <c r="B187" s="1">
        <f>IF([1]Rseries!E132="","",[1]Rseries!E132)</f>
        <v>3110614.72</v>
      </c>
      <c r="C187" s="1"/>
    </row>
    <row r="188" spans="1:3" x14ac:dyDescent="0.25">
      <c r="A188" s="2">
        <v>40755</v>
      </c>
      <c r="B188" s="1">
        <f>IF([1]Rseries!E133="","",[1]Rseries!E133)</f>
        <v>3105845.18</v>
      </c>
      <c r="C188" s="1"/>
    </row>
    <row r="189" spans="1:3" x14ac:dyDescent="0.25">
      <c r="A189" s="2">
        <v>40786</v>
      </c>
      <c r="B189" s="1">
        <f>IF([1]Rseries!E134="","",[1]Rseries!E134)</f>
        <v>3094589.67</v>
      </c>
      <c r="C189" s="1"/>
    </row>
    <row r="190" spans="1:3" x14ac:dyDescent="0.25">
      <c r="A190" s="2">
        <v>40816</v>
      </c>
      <c r="B190" s="1">
        <f>IF([1]Rseries!E135="","",[1]Rseries!E135)</f>
        <v>3092136.17</v>
      </c>
      <c r="C190" s="1"/>
    </row>
    <row r="191" spans="1:3" x14ac:dyDescent="0.25">
      <c r="A191" s="2">
        <v>40847</v>
      </c>
      <c r="B191" s="1">
        <f>IF([1]Rseries!E136="","",[1]Rseries!E136)</f>
        <v>3086837.35</v>
      </c>
      <c r="C191" s="1"/>
    </row>
    <row r="192" spans="1:3" x14ac:dyDescent="0.25">
      <c r="A192" s="2">
        <v>40877</v>
      </c>
      <c r="B192" s="1">
        <f>IF([1]Rseries!E137="","",[1]Rseries!E137)</f>
        <v>3078368.13</v>
      </c>
      <c r="C192" s="1"/>
    </row>
    <row r="193" spans="1:3" x14ac:dyDescent="0.25">
      <c r="A193" s="2">
        <v>40908</v>
      </c>
      <c r="B193" s="1">
        <f>IF([1]Rseries!E138="","",[1]Rseries!E138)</f>
        <v>3071668.85</v>
      </c>
      <c r="C193" s="1"/>
    </row>
    <row r="194" spans="1:3" x14ac:dyDescent="0.25">
      <c r="A194" s="2">
        <v>40939</v>
      </c>
      <c r="B194" s="1">
        <f>IF([1]Rseries!E139="","",[1]Rseries!E139)</f>
        <v>3043950.08</v>
      </c>
      <c r="C194" s="1"/>
    </row>
    <row r="195" spans="1:3" x14ac:dyDescent="0.25">
      <c r="A195" s="2">
        <v>40968</v>
      </c>
      <c r="B195" s="1">
        <f>IF([1]Rseries!E140="","",[1]Rseries!E140)</f>
        <v>3045931.95</v>
      </c>
      <c r="C195" s="1"/>
    </row>
    <row r="196" spans="1:3" x14ac:dyDescent="0.25">
      <c r="A196" s="2">
        <v>40999</v>
      </c>
      <c r="B196" s="1">
        <f>IF([1]Rseries!E141="","",[1]Rseries!E141)</f>
        <v>3050798.45</v>
      </c>
      <c r="C196" s="1"/>
    </row>
    <row r="197" spans="1:3" x14ac:dyDescent="0.25">
      <c r="A197" s="2">
        <v>41029</v>
      </c>
      <c r="B197" s="1">
        <f>IF([1]Rseries!E142="","",[1]Rseries!E142)</f>
        <v>3057272.09</v>
      </c>
      <c r="C197" s="1"/>
    </row>
    <row r="198" spans="1:3" x14ac:dyDescent="0.25">
      <c r="A198" s="2">
        <v>41060</v>
      </c>
      <c r="B198" s="1">
        <f>IF([1]Rseries!E143="","",[1]Rseries!E143)</f>
        <v>3064493.58</v>
      </c>
      <c r="C198" s="1"/>
    </row>
    <row r="199" spans="1:3" x14ac:dyDescent="0.25">
      <c r="A199" s="2">
        <v>41090</v>
      </c>
      <c r="B199" s="1">
        <f>IF([1]Rseries!E144="","",[1]Rseries!E144)</f>
        <v>3068807.51</v>
      </c>
      <c r="C199" s="1"/>
    </row>
    <row r="200" spans="1:3" x14ac:dyDescent="0.25">
      <c r="A200" s="2">
        <v>41121</v>
      </c>
      <c r="B200" s="1">
        <f>IF([1]Rseries!E145="","",[1]Rseries!E145)</f>
        <v>3064842.63</v>
      </c>
      <c r="C200" s="1"/>
    </row>
    <row r="201" spans="1:3" x14ac:dyDescent="0.25">
      <c r="A201" s="2">
        <v>41152</v>
      </c>
      <c r="B201" s="1">
        <f>IF([1]Rseries!E146="","",[1]Rseries!E146)</f>
        <v>3050085.4</v>
      </c>
      <c r="C201" s="1"/>
    </row>
    <row r="202" spans="1:3" x14ac:dyDescent="0.25">
      <c r="A202" s="2">
        <v>41182</v>
      </c>
      <c r="B202" s="1">
        <f>IF([1]Rseries!E147="","",[1]Rseries!E147)</f>
        <v>3044854</v>
      </c>
      <c r="C202" s="1"/>
    </row>
    <row r="203" spans="1:3" x14ac:dyDescent="0.25">
      <c r="A203" s="2">
        <v>41213</v>
      </c>
      <c r="B203" s="1">
        <f>IF([1]Rseries!E148="","",[1]Rseries!E148)</f>
        <v>3038901</v>
      </c>
    </row>
    <row r="204" spans="1:3" x14ac:dyDescent="0.25">
      <c r="A204" s="2">
        <v>41243</v>
      </c>
      <c r="B204" s="1">
        <f>IF([1]Rseries!E149="","",[1]Rseries!E149)</f>
        <v>3028794</v>
      </c>
    </row>
    <row r="205" spans="1:3" x14ac:dyDescent="0.25">
      <c r="A205" s="2">
        <v>41274</v>
      </c>
      <c r="B205" s="1">
        <f>IF([1]Rseries!E150="","",[1]Rseries!E150)</f>
        <v>3024652</v>
      </c>
    </row>
    <row r="206" spans="1:3" x14ac:dyDescent="0.25">
      <c r="A206" s="2">
        <v>41305</v>
      </c>
      <c r="B206" s="1">
        <f>IF([1]Rseries!E151="","",[1]Rseries!E151)</f>
        <v>3008925</v>
      </c>
    </row>
    <row r="207" spans="1:3" x14ac:dyDescent="0.25">
      <c r="A207" s="2">
        <v>41333</v>
      </c>
      <c r="B207" s="1">
        <f>IF([1]Rseries!E152="","",[1]Rseries!E152)</f>
        <v>2997806</v>
      </c>
    </row>
    <row r="208" spans="1:3" x14ac:dyDescent="0.25">
      <c r="A208" s="2">
        <v>41364</v>
      </c>
      <c r="B208" s="1">
        <f>IF([1]Rseries!E153="","",[1]Rseries!E153)</f>
        <v>3005397</v>
      </c>
    </row>
    <row r="209" spans="1:2" x14ac:dyDescent="0.25">
      <c r="A209" s="2">
        <v>41394</v>
      </c>
      <c r="B209" s="1">
        <f>IF([1]Rseries!E154="","",[1]Rseries!E154)</f>
        <v>3017311</v>
      </c>
    </row>
    <row r="210" spans="1:2" x14ac:dyDescent="0.25">
      <c r="A210" s="2">
        <v>41425</v>
      </c>
      <c r="B210" s="1">
        <f>IF([1]Rseries!E155="","",[1]Rseries!E155)</f>
        <v>3029843</v>
      </c>
    </row>
    <row r="211" spans="1:2" x14ac:dyDescent="0.25">
      <c r="A211" s="2">
        <v>41455</v>
      </c>
      <c r="B211" s="1">
        <f>IF([1]Rseries!E156="","",[1]Rseries!E156)</f>
        <v>3042276</v>
      </c>
    </row>
    <row r="212" spans="1:2" x14ac:dyDescent="0.25">
      <c r="A212" s="2">
        <v>41486</v>
      </c>
      <c r="B212" s="1">
        <f>IF([1]Rseries!E157="","",[1]Rseries!E157)</f>
        <v>3046644</v>
      </c>
    </row>
    <row r="213" spans="1:2" x14ac:dyDescent="0.25">
      <c r="A213" s="2">
        <v>41517</v>
      </c>
      <c r="B213" s="1">
        <f>IF([1]Rseries!E158="","",[1]Rseries!E158)</f>
        <v>3034003</v>
      </c>
    </row>
    <row r="214" spans="1:2" x14ac:dyDescent="0.25">
      <c r="A214" s="2">
        <v>41547</v>
      </c>
      <c r="B214" s="1">
        <f>IF([1]Rseries!E159="","",[1]Rseries!E159)</f>
        <v>3035491</v>
      </c>
    </row>
    <row r="215" spans="1:2" x14ac:dyDescent="0.25">
      <c r="A215" s="2">
        <v>41578</v>
      </c>
      <c r="B215" s="1">
        <f>IF([1]Rseries!E160="","",[1]Rseries!E160)</f>
        <v>3038780</v>
      </c>
    </row>
    <row r="216" spans="1:2" x14ac:dyDescent="0.25">
      <c r="A216" s="2">
        <v>41608</v>
      </c>
      <c r="B216" s="1">
        <f>IF([1]Rseries!E161="","",[1]Rseries!E161)</f>
        <v>3042596</v>
      </c>
    </row>
    <row r="217" spans="1:2" x14ac:dyDescent="0.25">
      <c r="A217" s="2">
        <v>41639</v>
      </c>
      <c r="B217" s="1">
        <f>IF([1]Rseries!E162="","",[1]Rseries!E162)</f>
        <v>3050341</v>
      </c>
    </row>
    <row r="218" spans="1:2" x14ac:dyDescent="0.25">
      <c r="A218" s="2">
        <v>41670</v>
      </c>
      <c r="B218" s="1">
        <f>IF([1]Rseries!E163="","",[1]Rseries!E163)</f>
        <v>3038781</v>
      </c>
    </row>
    <row r="219" spans="1:2" x14ac:dyDescent="0.25">
      <c r="A219" s="2">
        <v>41698</v>
      </c>
      <c r="B219" s="1">
        <f>IF([1]Rseries!E164="","",[1]Rseries!E164)</f>
        <v>3042240</v>
      </c>
    </row>
    <row r="220" spans="1:2" x14ac:dyDescent="0.25">
      <c r="A220" s="2">
        <v>41729</v>
      </c>
      <c r="B220" s="1">
        <f>IF([1]Rseries!E165="","",[1]Rseries!E165)</f>
        <v>3058965</v>
      </c>
    </row>
    <row r="221" spans="1:2" x14ac:dyDescent="0.25">
      <c r="A221" s="2">
        <v>41759</v>
      </c>
      <c r="B221" s="1">
        <f>IF([1]Rseries!E166="","",[1]Rseries!E166)</f>
        <v>3080910</v>
      </c>
    </row>
    <row r="222" spans="1:2" x14ac:dyDescent="0.25">
      <c r="A222" s="2">
        <v>41790</v>
      </c>
      <c r="B222" s="1">
        <f>IF([1]Rseries!E167="","",[1]Rseries!E167)</f>
        <v>3100232</v>
      </c>
    </row>
    <row r="223" spans="1:2" x14ac:dyDescent="0.25">
      <c r="A223" s="2">
        <v>41820</v>
      </c>
      <c r="B223" s="1">
        <f>IF([1]Rseries!E168="","",[1]Rseries!E168)</f>
        <v>3115747</v>
      </c>
    </row>
    <row r="224" spans="1:2" x14ac:dyDescent="0.25">
      <c r="A224" s="2">
        <v>41851</v>
      </c>
      <c r="B224" s="1">
        <f>IF([1]Rseries!E169="","",[1]Rseries!E169)</f>
        <v>3119433</v>
      </c>
    </row>
    <row r="225" spans="1:2" x14ac:dyDescent="0.25">
      <c r="A225" s="2">
        <v>41882</v>
      </c>
      <c r="B225" s="1">
        <f>IF([1]Rseries!E170="","",[1]Rseries!E170)</f>
        <v>3109867</v>
      </c>
    </row>
    <row r="226" spans="1:2" x14ac:dyDescent="0.25">
      <c r="A226" s="2">
        <v>41912</v>
      </c>
      <c r="B226" s="1">
        <f>IF([1]Rseries!E171="","",[1]Rseries!E171)</f>
        <v>3114225</v>
      </c>
    </row>
    <row r="227" spans="1:2" x14ac:dyDescent="0.25">
      <c r="A227" s="2">
        <v>41943</v>
      </c>
      <c r="B227" s="1">
        <f>IF([1]Rseries!E172="","",[1]Rseries!E172)</f>
        <v>3119533</v>
      </c>
    </row>
    <row r="228" spans="1:2" x14ac:dyDescent="0.25">
      <c r="A228" s="2">
        <v>41973</v>
      </c>
      <c r="B228" s="1">
        <f>IF([1]Rseries!E173="","",[1]Rseries!E173)</f>
        <v>3120052</v>
      </c>
    </row>
    <row r="229" spans="1:2" x14ac:dyDescent="0.25">
      <c r="A229" s="2">
        <v>42004</v>
      </c>
      <c r="B229" s="1">
        <f>IF([1]Rseries!E174="","",[1]Rseries!E174)</f>
        <v>3125806</v>
      </c>
    </row>
    <row r="230" spans="1:2" x14ac:dyDescent="0.25">
      <c r="A230" s="2">
        <v>42035</v>
      </c>
      <c r="B230" s="1">
        <f>IF([1]Rseries!E175="","",[1]Rseries!E175)</f>
        <v>3114389</v>
      </c>
    </row>
    <row r="231" spans="1:2" x14ac:dyDescent="0.25">
      <c r="A231" s="2">
        <v>42063</v>
      </c>
      <c r="B231" s="1">
        <f>IF([1]Rseries!E176="","",[1]Rseries!E176)</f>
        <v>3114852</v>
      </c>
    </row>
    <row r="232" spans="1:2" x14ac:dyDescent="0.25">
      <c r="A232" s="2">
        <v>42094</v>
      </c>
      <c r="B232" s="1">
        <f>IF([1]Rseries!E177="","",[1]Rseries!E177)</f>
        <v>3131629</v>
      </c>
    </row>
    <row r="233" spans="1:2" x14ac:dyDescent="0.25">
      <c r="A233" s="2">
        <v>42124</v>
      </c>
      <c r="B233" s="1">
        <f>IF([1]Rseries!E178="","",[1]Rseries!E178)</f>
        <v>3151593</v>
      </c>
    </row>
    <row r="234" spans="1:2" x14ac:dyDescent="0.25">
      <c r="A234" s="2">
        <v>42155</v>
      </c>
      <c r="B234" s="1">
        <f>IF([1]Rseries!E179="","",[1]Rseries!E179)</f>
        <v>3168371</v>
      </c>
    </row>
    <row r="235" spans="1:2" x14ac:dyDescent="0.25">
      <c r="A235" s="2">
        <v>42185</v>
      </c>
      <c r="B235" s="1">
        <f>IF([1]Rseries!E180="","",[1]Rseries!E180)</f>
        <v>3181086</v>
      </c>
    </row>
    <row r="236" spans="1:2" x14ac:dyDescent="0.25">
      <c r="A236" s="2">
        <v>42216</v>
      </c>
      <c r="B236" s="1">
        <f>IF([1]Rseries!E181="","",[1]Rseries!E181)</f>
        <v>3178352</v>
      </c>
    </row>
    <row r="237" spans="1:2" x14ac:dyDescent="0.25">
      <c r="A237" s="2">
        <v>42247</v>
      </c>
      <c r="B237" s="1">
        <f>IF([1]Rseries!E182="","",[1]Rseries!E182)</f>
        <v>3164675</v>
      </c>
    </row>
    <row r="238" spans="1:2" x14ac:dyDescent="0.25">
      <c r="A238" s="2">
        <v>42277</v>
      </c>
      <c r="B238" s="1">
        <f>IF([1]Rseries!E183="","",[1]Rseries!E183)</f>
        <v>3165396</v>
      </c>
    </row>
    <row r="239" spans="1:2" x14ac:dyDescent="0.25">
      <c r="A239" s="2">
        <v>42308</v>
      </c>
      <c r="B239" s="1">
        <f>IF([1]Rseries!E184="","",[1]Rseries!E184)</f>
        <v>3165562</v>
      </c>
    </row>
    <row r="240" spans="1:2" x14ac:dyDescent="0.25">
      <c r="A240" s="2">
        <v>42338</v>
      </c>
      <c r="B240" s="1">
        <f>IF([1]Rseries!E185="","",[1]Rseries!E185)</f>
        <v>3166188</v>
      </c>
    </row>
    <row r="241" spans="1:2" x14ac:dyDescent="0.25">
      <c r="A241" s="2">
        <v>42369</v>
      </c>
      <c r="B241" s="1">
        <f>IF([1]Rseries!E186="","",[1]Rseries!E186)</f>
        <v>3167999</v>
      </c>
    </row>
    <row r="242" spans="1:2" x14ac:dyDescent="0.25">
      <c r="A242" s="2">
        <v>42400</v>
      </c>
      <c r="B242" s="1">
        <f>IF([1]Rseries!E187="","",[1]Rseries!E187)</f>
        <v>3149472</v>
      </c>
    </row>
    <row r="243" spans="1:2" x14ac:dyDescent="0.25">
      <c r="A243" s="2">
        <v>42429</v>
      </c>
      <c r="B243" s="1">
        <f>IF([1]Rseries!E188="","",[1]Rseries!E188)</f>
        <v>3153066</v>
      </c>
    </row>
    <row r="244" spans="1:2" x14ac:dyDescent="0.25">
      <c r="A244" s="2">
        <v>42460</v>
      </c>
      <c r="B244" s="1">
        <f>IF([1]Rseries!E189="","",[1]Rseries!E189)</f>
        <v>3169296</v>
      </c>
    </row>
    <row r="245" spans="1:2" x14ac:dyDescent="0.25">
      <c r="A245" s="2">
        <v>42490</v>
      </c>
      <c r="B245" s="1">
        <f>IF([1]Rseries!E190="","",[1]Rseries!E190)</f>
        <v>3184134</v>
      </c>
    </row>
    <row r="246" spans="1:2" x14ac:dyDescent="0.25">
      <c r="A246" s="2">
        <v>42521</v>
      </c>
      <c r="B246" s="1">
        <f>IF([1]Rseries!E191="","",[1]Rseries!E191)</f>
        <v>3198148</v>
      </c>
    </row>
    <row r="247" spans="1:2" x14ac:dyDescent="0.25">
      <c r="A247" s="2">
        <v>42551</v>
      </c>
      <c r="B247" s="1">
        <f>IF([1]Rseries!E192="","",[1]Rseries!E192)</f>
        <v>3209378</v>
      </c>
    </row>
    <row r="248" spans="1:2" x14ac:dyDescent="0.25">
      <c r="A248" s="2">
        <v>42582</v>
      </c>
      <c r="B248" s="1">
        <f>IF([1]Rseries!E193="","",[1]Rseries!E193)</f>
        <v>3205027</v>
      </c>
    </row>
    <row r="249" spans="1:2" x14ac:dyDescent="0.25">
      <c r="A249" s="2">
        <v>42613</v>
      </c>
      <c r="B249" s="1">
        <f>IF([1]Rseries!E194="","",[1]Rseries!E194)</f>
        <v>3191697</v>
      </c>
    </row>
    <row r="250" spans="1:2" x14ac:dyDescent="0.25">
      <c r="A250" s="2">
        <v>42643</v>
      </c>
      <c r="B250" s="1">
        <f>IF([1]Rseries!E195="","",[1]Rseries!E195)</f>
        <v>3191839</v>
      </c>
    </row>
    <row r="251" spans="1:2" x14ac:dyDescent="0.25">
      <c r="A251" s="2">
        <v>42674</v>
      </c>
      <c r="B251" s="1">
        <f>IF([1]Rseries!E196="","",[1]Rseries!E196)</f>
        <v>3194260</v>
      </c>
    </row>
    <row r="252" spans="1:2" x14ac:dyDescent="0.25">
      <c r="A252" s="2">
        <v>42704</v>
      </c>
      <c r="B252" s="1">
        <f>IF([1]Rseries!E197="","",[1]Rseries!E197)</f>
        <v>3193893</v>
      </c>
    </row>
    <row r="253" spans="1:2" x14ac:dyDescent="0.25">
      <c r="A253" s="2">
        <v>42735</v>
      </c>
      <c r="B253" s="1">
        <f>IF([1]Rseries!E198="","",[1]Rseries!E198)</f>
        <v>3194210</v>
      </c>
    </row>
    <row r="254" spans="1:2" x14ac:dyDescent="0.25">
      <c r="A254" s="2">
        <v>42766</v>
      </c>
      <c r="B254" s="1">
        <f>IF([1]Rseries!E199="","",[1]Rseries!E199)</f>
        <v>3177431</v>
      </c>
    </row>
    <row r="255" spans="1:2" x14ac:dyDescent="0.25">
      <c r="A255" s="2">
        <v>42794</v>
      </c>
      <c r="B255" s="1">
        <f>IF([1]Rseries!E200="","",[1]Rseries!E200)</f>
        <v>3181472.15</v>
      </c>
    </row>
    <row r="256" spans="1:2" x14ac:dyDescent="0.25">
      <c r="A256" s="2">
        <v>42825</v>
      </c>
      <c r="B256" s="1">
        <f>IF([1]Rseries!E201="","",[1]Rseries!E201)</f>
        <v>3196754.43</v>
      </c>
    </row>
    <row r="257" spans="1:2" x14ac:dyDescent="0.25">
      <c r="A257" s="2">
        <v>42855</v>
      </c>
      <c r="B257" s="1">
        <f>IF([1]Rseries!E202="","",[1]Rseries!E202)</f>
        <v>3214007</v>
      </c>
    </row>
    <row r="258" spans="1:2" x14ac:dyDescent="0.25">
      <c r="A258" s="2">
        <v>42886</v>
      </c>
      <c r="B258" s="1">
        <f>IF([1]Rseries!E203="","",[1]Rseries!E203)</f>
        <v>3229086</v>
      </c>
    </row>
    <row r="259" spans="1:2" x14ac:dyDescent="0.25">
      <c r="A259" s="2">
        <v>42916</v>
      </c>
      <c r="B259" s="1">
        <f>IF([1]Rseries!E204="","",[1]Rseries!E204)</f>
        <v>3238410</v>
      </c>
    </row>
    <row r="260" spans="1:2" x14ac:dyDescent="0.25">
      <c r="A260" s="2">
        <v>42947</v>
      </c>
      <c r="B260" s="1">
        <f>IF([1]Rseries!E205="","",[1]Rseries!E205)</f>
        <v>3229905</v>
      </c>
    </row>
    <row r="261" spans="1:2" x14ac:dyDescent="0.25">
      <c r="A261" s="2">
        <v>42978</v>
      </c>
      <c r="B261" s="1">
        <f>IF([1]Rseries!E206="","",[1]Rseries!E206)</f>
        <v>3213140</v>
      </c>
    </row>
    <row r="262" spans="1:2" x14ac:dyDescent="0.25">
      <c r="A262" s="2">
        <v>43008</v>
      </c>
      <c r="B262" s="1">
        <f>IF([1]Rseries!E207="","",[1]Rseries!E207)</f>
        <v>3216272</v>
      </c>
    </row>
    <row r="263" spans="1:2" x14ac:dyDescent="0.25">
      <c r="A263" s="2">
        <v>43039</v>
      </c>
      <c r="B263" s="1">
        <f>IF([1]Rseries!E208="","",[1]Rseries!E208)</f>
        <v>3217902</v>
      </c>
    </row>
    <row r="264" spans="1:2" x14ac:dyDescent="0.25">
      <c r="A264" s="2">
        <v>43069</v>
      </c>
      <c r="B264" s="1">
        <f>IF([1]Rseries!E209="","",[1]Rseries!E209)</f>
        <v>3210880</v>
      </c>
    </row>
    <row r="265" spans="1:2" x14ac:dyDescent="0.25">
      <c r="A265" s="2">
        <v>43100</v>
      </c>
      <c r="B265" s="1">
        <f>IF([1]Rseries!E210="","",[1]Rseries!E210)</f>
        <v>3204678</v>
      </c>
    </row>
    <row r="266" spans="1:2" x14ac:dyDescent="0.25">
      <c r="A266" s="2">
        <v>43131</v>
      </c>
      <c r="B266" s="1">
        <f>IF([1]Rseries!E211="","",[1]Rseries!E211)</f>
        <v>3193892</v>
      </c>
    </row>
    <row r="267" spans="1:2" x14ac:dyDescent="0.25">
      <c r="A267" s="2">
        <v>43159</v>
      </c>
      <c r="B267" s="1">
        <f>IF([1]Rseries!E212="","",[1]Rseries!E212)</f>
        <v>3209919</v>
      </c>
    </row>
    <row r="268" spans="1:2" x14ac:dyDescent="0.25">
      <c r="A268" s="2">
        <v>43190</v>
      </c>
      <c r="B268" s="1">
        <f>IF([1]Rseries!E213="","",[1]Rseries!E213)</f>
        <v>3230400</v>
      </c>
    </row>
    <row r="269" spans="1:2" x14ac:dyDescent="0.25">
      <c r="A269" s="2">
        <v>43220</v>
      </c>
      <c r="B269" s="1">
        <f>IF([1]Rseries!E214="","",[1]Rseries!E214)</f>
        <v>3246854</v>
      </c>
    </row>
    <row r="270" spans="1:2" x14ac:dyDescent="0.25">
      <c r="A270" s="2">
        <v>43251</v>
      </c>
      <c r="B270" s="1">
        <f>IF([1]Rseries!E215="","",[1]Rseries!E215)</f>
        <v>3261398</v>
      </c>
    </row>
    <row r="271" spans="1:2" x14ac:dyDescent="0.25">
      <c r="A271" s="2">
        <v>43281</v>
      </c>
      <c r="B271" s="1">
        <f>IF([1]Rseries!E216="","",[1]Rseries!E216)</f>
        <v>3273558</v>
      </c>
    </row>
    <row r="272" spans="1:2" x14ac:dyDescent="0.25">
      <c r="A272" s="2">
        <v>43312</v>
      </c>
      <c r="B272" s="1">
        <f>IF([1]Rseries!E217="","",[1]Rseries!E217)</f>
        <v>3267169</v>
      </c>
    </row>
    <row r="273" spans="1:2" x14ac:dyDescent="0.25">
      <c r="A273" s="2">
        <v>43343</v>
      </c>
      <c r="B273" s="1">
        <f>IF([1]Rseries!E218="","",[1]Rseries!E218)</f>
        <v>3249275</v>
      </c>
    </row>
    <row r="274" spans="1:2" x14ac:dyDescent="0.25">
      <c r="A274" s="2">
        <v>43373</v>
      </c>
      <c r="B274" s="1">
        <f>IF([1]Rseries!E219="","",[1]Rseries!E219)</f>
        <v>3253670</v>
      </c>
    </row>
    <row r="275" spans="1:2" x14ac:dyDescent="0.25">
      <c r="A275" s="2">
        <v>43404</v>
      </c>
      <c r="B275" s="1">
        <f>IF([1]Rseries!E220="","",[1]Rseries!E220)</f>
        <v>3258612</v>
      </c>
    </row>
    <row r="276" spans="1:2" x14ac:dyDescent="0.25">
      <c r="A276" s="2">
        <v>43434</v>
      </c>
      <c r="B276" s="1">
        <f>IF([1]Rseries!E221="","",[1]Rseries!E221)</f>
        <v>3254138</v>
      </c>
    </row>
    <row r="277" spans="1:2" x14ac:dyDescent="0.25">
      <c r="A277" s="2">
        <v>43465</v>
      </c>
      <c r="B277" s="1">
        <f>IF([1]Rseries!E222="","",[1]Rseries!E222)</f>
        <v>3254663</v>
      </c>
    </row>
    <row r="278" spans="1:2" x14ac:dyDescent="0.25">
      <c r="A278" s="2">
        <v>43496</v>
      </c>
      <c r="B278" s="1">
        <f>IF([1]Rseries!E223="","",[1]Rseries!E223)</f>
        <v>3234373</v>
      </c>
    </row>
    <row r="279" spans="1:2" x14ac:dyDescent="0.25">
      <c r="A279" s="2">
        <v>43524</v>
      </c>
      <c r="B279" s="1">
        <f>IF([1]Rseries!E224="","",[1]Rseries!E224)</f>
        <v>3239653</v>
      </c>
    </row>
    <row r="280" spans="1:2" x14ac:dyDescent="0.25">
      <c r="A280" s="2">
        <v>43555</v>
      </c>
      <c r="B280" s="1">
        <f>IF([1]Rseries!E225="","",[1]Rseries!E225)</f>
        <v>3254078</v>
      </c>
    </row>
    <row r="281" spans="1:2" x14ac:dyDescent="0.25">
      <c r="A281" s="2">
        <v>43585</v>
      </c>
      <c r="B281" s="1">
        <f>IF([1]Rseries!E226="","",[1]Rseries!E226)</f>
        <v>3266741</v>
      </c>
    </row>
    <row r="282" spans="1:2" x14ac:dyDescent="0.25">
      <c r="A282" s="2">
        <v>43616</v>
      </c>
      <c r="B282" s="1">
        <f>IF([1]Rseries!E227="","",[1]Rseries!E227)</f>
        <v>3277855</v>
      </c>
    </row>
    <row r="283" spans="1:2" x14ac:dyDescent="0.25">
      <c r="A283" s="2">
        <v>43646</v>
      </c>
      <c r="B283" s="1">
        <f>IF([1]Rseries!E228="","",[1]Rseries!E228)</f>
        <v>3286600</v>
      </c>
    </row>
    <row r="284" spans="1:2" x14ac:dyDescent="0.25">
      <c r="A284" s="2">
        <v>43677</v>
      </c>
      <c r="B284" s="1">
        <f>IF([1]Rseries!E229="","",[1]Rseries!E229)</f>
        <v>3278833</v>
      </c>
    </row>
    <row r="285" spans="1:2" x14ac:dyDescent="0.25">
      <c r="A285" s="2">
        <v>43708</v>
      </c>
      <c r="B285" s="1">
        <f>IF([1]Rseries!E230="","",[1]Rseries!E230)</f>
        <v>3261552</v>
      </c>
    </row>
    <row r="286" spans="1:2" x14ac:dyDescent="0.25">
      <c r="A286" s="2">
        <v>43738</v>
      </c>
      <c r="B286" s="1">
        <f>IF([1]Rseries!E231="","",[1]Rseries!E231)</f>
        <v>3266258</v>
      </c>
    </row>
    <row r="287" spans="1:2" x14ac:dyDescent="0.25">
      <c r="A287" s="2">
        <v>43769</v>
      </c>
      <c r="B287" s="1">
        <f>IF([1]Rseries!E232="","",[1]Rseries!E232)</f>
        <v>3271976</v>
      </c>
    </row>
    <row r="288" spans="1:2" x14ac:dyDescent="0.25">
      <c r="A288" s="2">
        <v>43799</v>
      </c>
      <c r="B288" s="1">
        <f>IF([1]Rseries!E233="","",[1]Rseries!E233)</f>
        <v>3269092</v>
      </c>
    </row>
    <row r="289" spans="1:2" x14ac:dyDescent="0.25">
      <c r="A289" s="2">
        <v>43830</v>
      </c>
      <c r="B289" s="1">
        <f>IF([1]Rseries!E234="","",[1]Rseries!E234)</f>
        <v>3269088</v>
      </c>
    </row>
    <row r="290" spans="1:2" x14ac:dyDescent="0.25">
      <c r="A290" s="2">
        <v>43861</v>
      </c>
      <c r="B290" s="1">
        <f>IF([1]Rseries!E235="","",[1]Rseries!E235)</f>
        <v>3251119</v>
      </c>
    </row>
    <row r="291" spans="1:2" x14ac:dyDescent="0.25">
      <c r="A291" s="2">
        <v>43890</v>
      </c>
      <c r="B291" s="1">
        <f>IF([1]Rseries!E236="","",[1]Rseries!E236)</f>
        <v>3257896.4</v>
      </c>
    </row>
    <row r="292" spans="1:2" x14ac:dyDescent="0.25">
      <c r="A292" s="2">
        <v>43921</v>
      </c>
      <c r="B292" s="1">
        <f>IF([1]Rseries!E237="","",[1]Rseries!E237)</f>
        <v>3252516.54</v>
      </c>
    </row>
    <row r="293" spans="1:2" x14ac:dyDescent="0.25">
      <c r="A293" s="2">
        <v>43951</v>
      </c>
      <c r="B293" s="1">
        <f>IF([1]Rseries!E238="","",[1]Rseries!E238)</f>
        <v>3211266.65</v>
      </c>
    </row>
    <row r="294" spans="1:2" x14ac:dyDescent="0.25">
      <c r="A294" s="2">
        <v>43982</v>
      </c>
      <c r="B294" s="1">
        <f>IF([1]Rseries!E239="","",[1]Rseries!E239)</f>
        <v>3220906.75</v>
      </c>
    </row>
    <row r="295" spans="1:2" x14ac:dyDescent="0.25">
      <c r="A295" s="2">
        <v>44012</v>
      </c>
      <c r="B295" s="1">
        <f>IF([1]Rseries!E240="","",[1]Rseries!E240)</f>
        <v>3245252.4545499999</v>
      </c>
    </row>
    <row r="296" spans="1:2" x14ac:dyDescent="0.25">
      <c r="A296" s="2">
        <v>44043</v>
      </c>
      <c r="B296" s="1">
        <f>IF([1]Rseries!E241="","",[1]Rseries!E241)</f>
        <v>3262757.9</v>
      </c>
    </row>
    <row r="297" spans="1:2" x14ac:dyDescent="0.25">
      <c r="A297" s="2">
        <v>44074</v>
      </c>
      <c r="B297" s="1">
        <f>IF([1]Rseries!E242="","",[1]Rseries!E242)</f>
        <v>3263160.3199999998</v>
      </c>
    </row>
    <row r="298" spans="1:2" x14ac:dyDescent="0.25">
      <c r="A298" s="2">
        <v>44104</v>
      </c>
      <c r="B298" s="1">
        <f>IF([1]Rseries!E243="","",[1]Rseries!E243)</f>
        <v>3263552.58</v>
      </c>
    </row>
    <row r="299" spans="1:2" x14ac:dyDescent="0.25">
      <c r="A299" s="2">
        <v>44135</v>
      </c>
      <c r="B299" s="1">
        <f>IF([1]Rseries!E244="","",[1]Rseries!E244)</f>
        <v>3265368.95</v>
      </c>
    </row>
    <row r="300" spans="1:2" x14ac:dyDescent="0.25">
      <c r="A300" s="2">
        <v>44165</v>
      </c>
      <c r="B300" s="1">
        <f>IF([1]Rseries!E245="","",[1]Rseries!E245)</f>
        <v>3267873.18</v>
      </c>
    </row>
    <row r="301" spans="1:2" x14ac:dyDescent="0.25">
      <c r="A301" s="2">
        <v>44196</v>
      </c>
      <c r="B301" s="1">
        <f>IF([1]Rseries!E246="","",[1]Rseries!E246)</f>
        <v>3271408.04</v>
      </c>
    </row>
    <row r="302" spans="1:2" x14ac:dyDescent="0.25">
      <c r="A302" s="2">
        <v>44227</v>
      </c>
      <c r="B302" s="1">
        <f>IF([1]Rseries!E247="","",[1]Rseries!E247)</f>
        <v>3256739.78</v>
      </c>
    </row>
    <row r="303" spans="1:2" x14ac:dyDescent="0.25">
      <c r="A303" s="2">
        <v>44255</v>
      </c>
      <c r="B303" s="1">
        <f>IF([1]Rseries!E248="","",[1]Rseries!E248)</f>
        <v>3262255.4</v>
      </c>
    </row>
    <row r="304" spans="1:2" x14ac:dyDescent="0.25">
      <c r="A304" s="2">
        <v>44286</v>
      </c>
      <c r="B304" s="1" t="str">
        <f>IF([1]Rseries!E249="","",[1]Rseries!E249)</f>
        <v/>
      </c>
    </row>
    <row r="305" spans="1:2" x14ac:dyDescent="0.25">
      <c r="A305" s="2">
        <v>44316</v>
      </c>
      <c r="B305" s="1" t="str">
        <f>IF([1]Rseries!E250="","",[1]Rseries!E250)</f>
        <v/>
      </c>
    </row>
    <row r="306" spans="1:2" x14ac:dyDescent="0.25">
      <c r="A306" s="2">
        <v>44347</v>
      </c>
      <c r="B306" s="1" t="str">
        <f>IF([1]Rseries!E251="","",[1]Rseries!E251)</f>
        <v/>
      </c>
    </row>
    <row r="307" spans="1:2" x14ac:dyDescent="0.25">
      <c r="A307" s="2">
        <v>44377</v>
      </c>
      <c r="B307" s="1" t="str">
        <f>IF([1]Rseries!E252="","",[1]Rseries!E252)</f>
        <v/>
      </c>
    </row>
    <row r="308" spans="1:2" x14ac:dyDescent="0.25">
      <c r="A308" s="2">
        <v>44408</v>
      </c>
      <c r="B308" s="1" t="str">
        <f>IF([1]Rseries!E253="","",[1]Rseries!E253)</f>
        <v/>
      </c>
    </row>
    <row r="309" spans="1:2" x14ac:dyDescent="0.25">
      <c r="A309" s="2">
        <v>44439</v>
      </c>
      <c r="B309" s="1" t="str">
        <f>IF([1]Rseries!E254="","",[1]Rseries!E254)</f>
        <v/>
      </c>
    </row>
    <row r="310" spans="1:2" x14ac:dyDescent="0.25">
      <c r="A310" s="2">
        <v>44469</v>
      </c>
      <c r="B310" s="1" t="str">
        <f>IF([1]Rseries!E255="","",[1]Rseries!E255)</f>
        <v/>
      </c>
    </row>
    <row r="311" spans="1:2" x14ac:dyDescent="0.25">
      <c r="A311" s="2">
        <v>44500</v>
      </c>
      <c r="B311" s="1" t="str">
        <f>IF([1]Rseries!E256="","",[1]Rseries!E256)</f>
        <v/>
      </c>
    </row>
    <row r="312" spans="1:2" x14ac:dyDescent="0.25">
      <c r="A312" s="2">
        <v>44530</v>
      </c>
      <c r="B312" s="1" t="str">
        <f>IF([1]Rseries!E257="","",[1]Rseries!E257)</f>
        <v/>
      </c>
    </row>
    <row r="313" spans="1:2" x14ac:dyDescent="0.25">
      <c r="A313" s="2">
        <v>44561</v>
      </c>
      <c r="B313" s="1" t="str">
        <f>IF([1]Rseries!E258="","",[1]Rseries!E258)</f>
        <v/>
      </c>
    </row>
    <row r="314" spans="1:2" x14ac:dyDescent="0.25">
      <c r="A314" s="2">
        <v>44592</v>
      </c>
      <c r="B314" s="1" t="str">
        <f>IF([1]Rseries!E259="","",[1]Rseries!E259)</f>
        <v/>
      </c>
    </row>
    <row r="315" spans="1:2" x14ac:dyDescent="0.25">
      <c r="A315" s="2">
        <v>44620</v>
      </c>
      <c r="B315" s="1" t="str">
        <f>IF([1]Rseries!E260="","",[1]Rseries!E260)</f>
        <v/>
      </c>
    </row>
    <row r="316" spans="1:2" x14ac:dyDescent="0.25">
      <c r="A316" s="2">
        <v>44651</v>
      </c>
      <c r="B316" s="1" t="str">
        <f>IF([1]Rseries!E261="","",[1]Rseries!E261)</f>
        <v/>
      </c>
    </row>
    <row r="317" spans="1:2" x14ac:dyDescent="0.25">
      <c r="A317" s="2">
        <v>44681</v>
      </c>
      <c r="B317" s="1" t="str">
        <f>IF([1]Rseries!E262="","",[1]Rseries!E262)</f>
        <v/>
      </c>
    </row>
    <row r="318" spans="1:2" x14ac:dyDescent="0.25">
      <c r="A318" s="2">
        <v>44712</v>
      </c>
      <c r="B318" s="1" t="str">
        <f>IF([1]Rseries!E263="","",[1]Rseries!E263)</f>
        <v/>
      </c>
    </row>
    <row r="319" spans="1:2" x14ac:dyDescent="0.25">
      <c r="A319" s="2">
        <v>44742</v>
      </c>
      <c r="B319" s="1" t="str">
        <f>IF([1]Rseries!E264="","",[1]Rseries!E264)</f>
        <v/>
      </c>
    </row>
    <row r="320" spans="1:2" x14ac:dyDescent="0.25">
      <c r="A320" s="2">
        <v>44773</v>
      </c>
      <c r="B320" s="1" t="str">
        <f>IF([1]Rseries!E265="","",[1]Rseries!E265)</f>
        <v/>
      </c>
    </row>
    <row r="321" spans="1:2" x14ac:dyDescent="0.25">
      <c r="A321" s="2">
        <v>44804</v>
      </c>
      <c r="B321" s="1" t="str">
        <f>IF([1]Rseries!E266="","",[1]Rseries!E266)</f>
        <v/>
      </c>
    </row>
    <row r="322" spans="1:2" x14ac:dyDescent="0.25">
      <c r="A322" s="2">
        <v>44834</v>
      </c>
      <c r="B322" s="1" t="str">
        <f>IF([1]Rseries!E267="","",[1]Rseries!E267)</f>
        <v/>
      </c>
    </row>
    <row r="323" spans="1:2" x14ac:dyDescent="0.25">
      <c r="A323" s="2">
        <v>44865</v>
      </c>
      <c r="B323" s="1" t="str">
        <f>IF([1]Rseries!E268="","",[1]Rseries!E268)</f>
        <v/>
      </c>
    </row>
    <row r="324" spans="1:2" x14ac:dyDescent="0.25">
      <c r="A324" s="2">
        <v>44895</v>
      </c>
      <c r="B324" s="1" t="str">
        <f>IF([1]Rseries!E269="","",[1]Rseries!E269)</f>
        <v/>
      </c>
    </row>
    <row r="325" spans="1:2" x14ac:dyDescent="0.25">
      <c r="A325" s="2">
        <v>44926</v>
      </c>
      <c r="B325" s="1" t="str">
        <f>IF([1]Rseries!E270="","",[1]Rseries!E270)</f>
        <v/>
      </c>
    </row>
    <row r="326" spans="1:2" x14ac:dyDescent="0.25">
      <c r="A326" s="2">
        <v>44957</v>
      </c>
      <c r="B326" s="1" t="str">
        <f>IF([1]Rseries!E271="","",[1]Rseries!E271)</f>
        <v/>
      </c>
    </row>
    <row r="327" spans="1:2" x14ac:dyDescent="0.25">
      <c r="A327" s="2">
        <v>44985</v>
      </c>
      <c r="B327" s="1" t="str">
        <f>IF([1]Rseries!E272="","",[1]Rseries!E272)</f>
        <v/>
      </c>
    </row>
    <row r="328" spans="1:2" x14ac:dyDescent="0.25">
      <c r="A328" s="2">
        <v>45016</v>
      </c>
      <c r="B328" s="1" t="str">
        <f>IF([1]Rseries!E273="","",[1]Rseries!E273)</f>
        <v/>
      </c>
    </row>
    <row r="329" spans="1:2" x14ac:dyDescent="0.25">
      <c r="A329" s="2">
        <v>45046</v>
      </c>
      <c r="B329" s="1" t="str">
        <f>IF([1]Rseries!E274="","",[1]Rseries!E274)</f>
        <v/>
      </c>
    </row>
    <row r="330" spans="1:2" x14ac:dyDescent="0.25">
      <c r="A330" s="2">
        <v>45077</v>
      </c>
      <c r="B330" s="1" t="str">
        <f>IF([1]Rseries!E275="","",[1]Rseries!E275)</f>
        <v/>
      </c>
    </row>
    <row r="331" spans="1:2" x14ac:dyDescent="0.25">
      <c r="A331" s="2">
        <v>45107</v>
      </c>
      <c r="B331" s="1" t="str">
        <f>IF([1]Rseries!E276="","",[1]Rseries!E276)</f>
        <v/>
      </c>
    </row>
    <row r="332" spans="1:2" x14ac:dyDescent="0.25">
      <c r="A332" s="2">
        <v>45138</v>
      </c>
      <c r="B332" s="1" t="str">
        <f>IF([1]Rseries!E277="","",[1]Rseries!E277)</f>
        <v/>
      </c>
    </row>
    <row r="333" spans="1:2" x14ac:dyDescent="0.25">
      <c r="A333" s="2">
        <v>45169</v>
      </c>
      <c r="B333" s="1" t="str">
        <f>IF([1]Rseries!E278="","",[1]Rseries!E278)</f>
        <v/>
      </c>
    </row>
    <row r="334" spans="1:2" x14ac:dyDescent="0.25">
      <c r="A334" s="2">
        <v>45199</v>
      </c>
      <c r="B334" s="1" t="str">
        <f>IF([1]Rseries!E279="","",[1]Rseries!E279)</f>
        <v/>
      </c>
    </row>
    <row r="335" spans="1:2" x14ac:dyDescent="0.25">
      <c r="A335" s="2">
        <v>45230</v>
      </c>
      <c r="B335" s="1" t="str">
        <f>IF([1]Rseries!E280="","",[1]Rseries!E280)</f>
        <v/>
      </c>
    </row>
    <row r="336" spans="1:2" x14ac:dyDescent="0.25">
      <c r="A336" s="2">
        <v>45260</v>
      </c>
      <c r="B336" s="1" t="str">
        <f>IF([1]Rseries!E281="","",[1]Rseries!E281)</f>
        <v/>
      </c>
    </row>
    <row r="337" spans="1:2" x14ac:dyDescent="0.25">
      <c r="A337" s="2">
        <v>45291</v>
      </c>
      <c r="B337" s="1" t="str">
        <f>IF([1]Rseries!E282="","",[1]Rseries!E282)</f>
        <v/>
      </c>
    </row>
    <row r="338" spans="1:2" x14ac:dyDescent="0.25">
      <c r="A338" s="2">
        <v>45322</v>
      </c>
      <c r="B338" s="1" t="str">
        <f>IF([1]Rseries!E283="","",[1]Rseries!E283)</f>
        <v/>
      </c>
    </row>
    <row r="339" spans="1:2" x14ac:dyDescent="0.25">
      <c r="A339" s="2">
        <v>45351</v>
      </c>
      <c r="B339" s="1" t="str">
        <f>IF([1]Rseries!E284="","",[1]Rseries!E284)</f>
        <v/>
      </c>
    </row>
    <row r="340" spans="1:2" x14ac:dyDescent="0.25">
      <c r="A340" s="2">
        <v>45382</v>
      </c>
      <c r="B340" s="1" t="str">
        <f>IF([1]Rseries!E285="","",[1]Rseries!E285)</f>
        <v/>
      </c>
    </row>
    <row r="341" spans="1:2" x14ac:dyDescent="0.25">
      <c r="A341" s="2">
        <v>45412</v>
      </c>
      <c r="B341" s="1" t="str">
        <f>IF([1]Rseries!E286="","",[1]Rseries!E286)</f>
        <v/>
      </c>
    </row>
    <row r="342" spans="1:2" x14ac:dyDescent="0.25">
      <c r="A342" s="2">
        <v>45443</v>
      </c>
      <c r="B342" s="1" t="str">
        <f>IF([1]Rseries!E287="","",[1]Rseries!E287)</f>
        <v/>
      </c>
    </row>
    <row r="343" spans="1:2" x14ac:dyDescent="0.25">
      <c r="A343" s="2">
        <v>45473</v>
      </c>
      <c r="B343" s="1" t="str">
        <f>IF([1]Rseries!E288="","",[1]Rseries!E288)</f>
        <v/>
      </c>
    </row>
    <row r="344" spans="1:2" x14ac:dyDescent="0.25">
      <c r="A344" s="2">
        <v>45504</v>
      </c>
      <c r="B344" s="1" t="str">
        <f>IF([1]Rseries!E289="","",[1]Rseries!E289)</f>
        <v/>
      </c>
    </row>
    <row r="345" spans="1:2" x14ac:dyDescent="0.25">
      <c r="A345" s="2">
        <v>45535</v>
      </c>
      <c r="B345" s="1" t="str">
        <f>IF([1]Rseries!E290="","",[1]Rseries!E290)</f>
        <v/>
      </c>
    </row>
    <row r="346" spans="1:2" x14ac:dyDescent="0.25">
      <c r="A346" s="2">
        <v>45565</v>
      </c>
      <c r="B346" s="1" t="str">
        <f>IF([1]Rseries!E291="","",[1]Rseries!E291)</f>
        <v/>
      </c>
    </row>
    <row r="347" spans="1:2" x14ac:dyDescent="0.25">
      <c r="A347" s="2">
        <v>45596</v>
      </c>
      <c r="B347" s="1" t="str">
        <f>IF([1]Rseries!E292="","",[1]Rseries!E292)</f>
        <v/>
      </c>
    </row>
    <row r="348" spans="1:2" x14ac:dyDescent="0.25">
      <c r="A348" s="2">
        <v>45626</v>
      </c>
      <c r="B348" s="1" t="str">
        <f>IF([1]Rseries!E293="","",[1]Rseries!E293)</f>
        <v/>
      </c>
    </row>
    <row r="349" spans="1:2" x14ac:dyDescent="0.25">
      <c r="A349" s="2">
        <v>45657</v>
      </c>
      <c r="B349" s="1" t="str">
        <f>IF([1]Rseries!E294="","",[1]Rseries!E294)</f>
        <v/>
      </c>
    </row>
    <row r="350" spans="1:2" x14ac:dyDescent="0.25">
      <c r="A350" s="2">
        <v>45688</v>
      </c>
      <c r="B350" s="1" t="str">
        <f>IF([1]Rseries!E295="","",[1]Rseries!E295)</f>
        <v/>
      </c>
    </row>
    <row r="351" spans="1:2" x14ac:dyDescent="0.25">
      <c r="A351" s="2">
        <v>45716</v>
      </c>
      <c r="B351" s="1" t="str">
        <f>IF([1]Rseries!E296="","",[1]Rseries!E296)</f>
        <v/>
      </c>
    </row>
    <row r="352" spans="1:2" x14ac:dyDescent="0.25">
      <c r="A352" s="2">
        <v>45747</v>
      </c>
      <c r="B352" s="1" t="str">
        <f>IF([1]Rseries!E297="","",[1]Rseries!E297)</f>
        <v/>
      </c>
    </row>
    <row r="353" spans="1:2" x14ac:dyDescent="0.25">
      <c r="A353" s="2">
        <v>45777</v>
      </c>
      <c r="B353" s="1" t="str">
        <f>IF([1]Rseries!E298="","",[1]Rseries!E298)</f>
        <v/>
      </c>
    </row>
    <row r="354" spans="1:2" x14ac:dyDescent="0.25">
      <c r="A354" s="2">
        <v>45808</v>
      </c>
      <c r="B354" s="1" t="str">
        <f>IF([1]Rseries!E299="","",[1]Rseries!E299)</f>
        <v/>
      </c>
    </row>
    <row r="355" spans="1:2" x14ac:dyDescent="0.25">
      <c r="A355" s="2">
        <v>45838</v>
      </c>
      <c r="B355" s="1" t="str">
        <f>IF([1]Rseries!E300="","",[1]Rseries!E300)</f>
        <v/>
      </c>
    </row>
    <row r="356" spans="1:2" x14ac:dyDescent="0.25">
      <c r="A356" s="2">
        <v>45869</v>
      </c>
      <c r="B356" s="1" t="str">
        <f>IF([1]Rseries!E301="","",[1]Rseries!E301)</f>
        <v/>
      </c>
    </row>
    <row r="357" spans="1:2" x14ac:dyDescent="0.25">
      <c r="A357" s="2">
        <v>45900</v>
      </c>
      <c r="B357" s="1" t="str">
        <f>IF([1]Rseries!E302="","",[1]Rseries!E302)</f>
        <v/>
      </c>
    </row>
    <row r="358" spans="1:2" x14ac:dyDescent="0.25">
      <c r="A358" s="2">
        <v>45930</v>
      </c>
      <c r="B358" s="1" t="str">
        <f>IF([1]Rseries!E303="","",[1]Rseries!E303)</f>
        <v/>
      </c>
    </row>
    <row r="359" spans="1:2" x14ac:dyDescent="0.25">
      <c r="A359" s="2">
        <v>45961</v>
      </c>
      <c r="B359" s="1" t="str">
        <f>IF([1]Rseries!E304="","",[1]Rseries!E304)</f>
        <v/>
      </c>
    </row>
    <row r="360" spans="1:2" x14ac:dyDescent="0.25">
      <c r="A360" s="2">
        <v>45991</v>
      </c>
      <c r="B360" s="1" t="str">
        <f>IF([1]Rseries!E305="","",[1]Rseries!E305)</f>
        <v/>
      </c>
    </row>
    <row r="361" spans="1:2" x14ac:dyDescent="0.25">
      <c r="A361" s="2">
        <v>46022</v>
      </c>
      <c r="B361" s="1" t="str">
        <f>IF([1]Rseries!E306="","",[1]Rseries!E306)</f>
        <v/>
      </c>
    </row>
    <row r="362" spans="1:2" x14ac:dyDescent="0.25">
      <c r="A362" s="2">
        <v>46053</v>
      </c>
      <c r="B362" s="1" t="str">
        <f>IF([1]Rseries!E307="","",[1]Rseries!E307)</f>
        <v/>
      </c>
    </row>
    <row r="363" spans="1:2" x14ac:dyDescent="0.25">
      <c r="A363" s="2">
        <v>46081</v>
      </c>
      <c r="B363" s="1" t="str">
        <f>IF([1]Rseries!E308="","",[1]Rseries!E308)</f>
        <v/>
      </c>
    </row>
    <row r="364" spans="1:2" x14ac:dyDescent="0.25">
      <c r="A364" s="2">
        <v>46112</v>
      </c>
      <c r="B364" s="1" t="str">
        <f>IF([1]Rseries!E309="","",[1]Rseries!E309)</f>
        <v/>
      </c>
    </row>
    <row r="365" spans="1:2" x14ac:dyDescent="0.25">
      <c r="A365" s="2">
        <v>46142</v>
      </c>
      <c r="B365" s="1" t="str">
        <f>IF([1]Rseries!E310="","",[1]Rseries!E310)</f>
        <v/>
      </c>
    </row>
    <row r="366" spans="1:2" x14ac:dyDescent="0.25">
      <c r="A366" s="2">
        <v>46173</v>
      </c>
      <c r="B366" s="1" t="str">
        <f>IF([1]Rseries!E311="","",[1]Rseries!E311)</f>
        <v/>
      </c>
    </row>
    <row r="367" spans="1:2" x14ac:dyDescent="0.25">
      <c r="A367" s="2">
        <v>46203</v>
      </c>
      <c r="B367" s="1" t="str">
        <f>IF([1]Rseries!E312="","",[1]Rseries!E312)</f>
        <v/>
      </c>
    </row>
    <row r="368" spans="1:2" x14ac:dyDescent="0.25">
      <c r="A368" s="2">
        <v>46234</v>
      </c>
      <c r="B368" s="1" t="str">
        <f>IF([1]Rseries!E313="","",[1]Rseries!E313)</f>
        <v/>
      </c>
    </row>
    <row r="369" spans="1:2" x14ac:dyDescent="0.25">
      <c r="A369" s="2">
        <v>46265</v>
      </c>
      <c r="B369" s="1" t="str">
        <f>IF([1]Rseries!E314="","",[1]Rseries!E314)</f>
        <v/>
      </c>
    </row>
    <row r="370" spans="1:2" x14ac:dyDescent="0.25">
      <c r="A370" s="2">
        <v>46295</v>
      </c>
      <c r="B370" s="1" t="str">
        <f>IF([1]Rseries!E315="","",[1]Rseries!E315)</f>
        <v/>
      </c>
    </row>
    <row r="371" spans="1:2" x14ac:dyDescent="0.25">
      <c r="A371" s="2">
        <v>46326</v>
      </c>
      <c r="B371" s="1" t="str">
        <f>IF([1]Rseries!E316="","",[1]Rseries!E316)</f>
        <v/>
      </c>
    </row>
    <row r="372" spans="1:2" x14ac:dyDescent="0.25">
      <c r="A372" s="2">
        <v>46356</v>
      </c>
      <c r="B372" s="1" t="str">
        <f>IF([1]Rseries!E317="","",[1]Rseries!E317)</f>
        <v/>
      </c>
    </row>
    <row r="373" spans="1:2" x14ac:dyDescent="0.25">
      <c r="A373" s="2">
        <v>46387</v>
      </c>
      <c r="B373" s="1" t="str">
        <f>IF([1]Rseries!E318="","",[1]Rseries!E318)</f>
        <v/>
      </c>
    </row>
    <row r="374" spans="1:2" x14ac:dyDescent="0.25">
      <c r="A374" s="2">
        <v>46418</v>
      </c>
      <c r="B374" s="1" t="str">
        <f>IF([1]Rseries!E319="","",[1]Rseries!E319)</f>
        <v/>
      </c>
    </row>
    <row r="375" spans="1:2" x14ac:dyDescent="0.25">
      <c r="A375" s="2">
        <v>46446</v>
      </c>
      <c r="B375" s="1" t="str">
        <f>IF([1]Rseries!E320="","",[1]Rseries!E320)</f>
        <v/>
      </c>
    </row>
    <row r="376" spans="1:2" x14ac:dyDescent="0.25">
      <c r="A376" s="2">
        <v>46477</v>
      </c>
      <c r="B376" s="1" t="str">
        <f>IF([1]Rseries!E321="","",[1]Rseries!E321)</f>
        <v/>
      </c>
    </row>
    <row r="377" spans="1:2" x14ac:dyDescent="0.25">
      <c r="A377" s="2">
        <v>46507</v>
      </c>
      <c r="B377" s="1" t="str">
        <f>IF([1]Rseries!E322="","",[1]Rseries!E322)</f>
        <v/>
      </c>
    </row>
    <row r="378" spans="1:2" x14ac:dyDescent="0.25">
      <c r="A378" s="2">
        <v>46538</v>
      </c>
      <c r="B378" s="1" t="str">
        <f>IF([1]Rseries!E323="","",[1]Rseries!E323)</f>
        <v/>
      </c>
    </row>
    <row r="379" spans="1:2" x14ac:dyDescent="0.25">
      <c r="A379" s="2">
        <v>46568</v>
      </c>
      <c r="B379" s="1" t="str">
        <f>IF([1]Rseries!E324="","",[1]Rseries!E324)</f>
        <v/>
      </c>
    </row>
    <row r="380" spans="1:2" x14ac:dyDescent="0.25">
      <c r="A380" s="2">
        <v>46599</v>
      </c>
      <c r="B380" s="1" t="str">
        <f>IF([1]Rseries!E325="","",[1]Rseries!E325)</f>
        <v/>
      </c>
    </row>
    <row r="381" spans="1:2" x14ac:dyDescent="0.25">
      <c r="A381" s="2">
        <v>46630</v>
      </c>
      <c r="B381" s="1" t="str">
        <f>IF([1]Rseries!E326="","",[1]Rseries!E326)</f>
        <v/>
      </c>
    </row>
    <row r="382" spans="1:2" x14ac:dyDescent="0.25">
      <c r="A382" s="2">
        <v>46660</v>
      </c>
      <c r="B382" s="1" t="str">
        <f>IF([1]Rseries!E327="","",[1]Rseries!E327)</f>
        <v/>
      </c>
    </row>
    <row r="383" spans="1:2" x14ac:dyDescent="0.25">
      <c r="A383" s="2">
        <v>46691</v>
      </c>
      <c r="B383" s="1" t="str">
        <f>IF([1]Rseries!E328="","",[1]Rseries!E328)</f>
        <v/>
      </c>
    </row>
    <row r="384" spans="1:2" x14ac:dyDescent="0.25">
      <c r="A384" s="2">
        <v>46721</v>
      </c>
      <c r="B384" s="1" t="str">
        <f>IF([1]Rseries!E329="","",[1]Rseries!E329)</f>
        <v/>
      </c>
    </row>
    <row r="385" spans="1:2" x14ac:dyDescent="0.25">
      <c r="A385" s="2">
        <v>46752</v>
      </c>
      <c r="B385" s="1" t="str">
        <f>IF([1]Rseries!E330="","",[1]Rseries!E330)</f>
        <v/>
      </c>
    </row>
    <row r="386" spans="1:2" x14ac:dyDescent="0.25">
      <c r="A386" s="2">
        <v>46783</v>
      </c>
      <c r="B386" s="1" t="str">
        <f>IF([1]Rseries!E331="","",[1]Rseries!E331)</f>
        <v/>
      </c>
    </row>
    <row r="387" spans="1:2" x14ac:dyDescent="0.25">
      <c r="A387" s="2">
        <v>46812</v>
      </c>
      <c r="B387" s="1" t="str">
        <f>IF([1]Rseries!E332="","",[1]Rseries!E332)</f>
        <v/>
      </c>
    </row>
    <row r="388" spans="1:2" x14ac:dyDescent="0.25">
      <c r="A388" s="2">
        <v>46843</v>
      </c>
      <c r="B388" s="1" t="str">
        <f>IF([1]Rseries!E333="","",[1]Rseries!E333)</f>
        <v/>
      </c>
    </row>
    <row r="389" spans="1:2" x14ac:dyDescent="0.25">
      <c r="A389" s="2">
        <v>46873</v>
      </c>
      <c r="B389" s="1" t="str">
        <f>IF([1]Rseries!E334="","",[1]Rseries!E334)</f>
        <v/>
      </c>
    </row>
    <row r="390" spans="1:2" x14ac:dyDescent="0.25">
      <c r="A390" s="2">
        <v>46904</v>
      </c>
      <c r="B390" s="1" t="str">
        <f>IF([1]Rseries!E335="","",[1]Rseries!E335)</f>
        <v/>
      </c>
    </row>
    <row r="391" spans="1:2" x14ac:dyDescent="0.25">
      <c r="A391" s="2">
        <v>46934</v>
      </c>
      <c r="B391" s="1" t="str">
        <f>IF([1]Rseries!E336="","",[1]Rseries!E336)</f>
        <v/>
      </c>
    </row>
    <row r="392" spans="1:2" x14ac:dyDescent="0.25">
      <c r="A392" s="2">
        <v>46965</v>
      </c>
      <c r="B392" s="1" t="str">
        <f>IF([1]Rseries!E337="","",[1]Rseries!E337)</f>
        <v/>
      </c>
    </row>
    <row r="393" spans="1:2" x14ac:dyDescent="0.25">
      <c r="A393" s="2">
        <v>46996</v>
      </c>
      <c r="B393" s="1" t="str">
        <f>IF([1]Rseries!E338="","",[1]Rseries!E338)</f>
        <v/>
      </c>
    </row>
    <row r="394" spans="1:2" x14ac:dyDescent="0.25">
      <c r="A394" s="2">
        <v>47026</v>
      </c>
      <c r="B394" s="1" t="str">
        <f>IF([1]Rseries!E339="","",[1]Rseries!E339)</f>
        <v/>
      </c>
    </row>
    <row r="395" spans="1:2" x14ac:dyDescent="0.25">
      <c r="A395" s="2">
        <v>47057</v>
      </c>
      <c r="B395" s="1" t="str">
        <f>IF([1]Rseries!E340="","",[1]Rseries!E340)</f>
        <v/>
      </c>
    </row>
    <row r="396" spans="1:2" x14ac:dyDescent="0.25">
      <c r="A396" s="2">
        <v>47087</v>
      </c>
      <c r="B396" s="1" t="str">
        <f>IF([1]Rseries!E341="","",[1]Rseries!E341)</f>
        <v/>
      </c>
    </row>
    <row r="397" spans="1:2" x14ac:dyDescent="0.25">
      <c r="A397" s="2">
        <v>47118</v>
      </c>
      <c r="B397" s="1" t="str">
        <f>IF([1]Rseries!E342="","",[1]Rseries!E342)</f>
        <v/>
      </c>
    </row>
    <row r="398" spans="1:2" x14ac:dyDescent="0.25">
      <c r="A398" s="2">
        <v>47149</v>
      </c>
      <c r="B398" s="1" t="str">
        <f>IF([1]Rseries!E343="","",[1]Rseries!E343)</f>
        <v/>
      </c>
    </row>
    <row r="399" spans="1:2" x14ac:dyDescent="0.25">
      <c r="A399" s="2">
        <v>47177</v>
      </c>
      <c r="B399" s="1" t="str">
        <f>IF([1]Rseries!E344="","",[1]Rseries!E344)</f>
        <v/>
      </c>
    </row>
    <row r="400" spans="1:2" x14ac:dyDescent="0.25">
      <c r="A400" s="2">
        <v>47208</v>
      </c>
      <c r="B400" s="1" t="str">
        <f>IF([1]Rseries!E345="","",[1]Rseries!E345)</f>
        <v/>
      </c>
    </row>
    <row r="401" spans="1:2" x14ac:dyDescent="0.25">
      <c r="A401" s="2">
        <v>47238</v>
      </c>
      <c r="B401" s="1" t="str">
        <f>IF([1]Rseries!E346="","",[1]Rseries!E346)</f>
        <v/>
      </c>
    </row>
    <row r="402" spans="1:2" x14ac:dyDescent="0.25">
      <c r="A402" s="2">
        <v>47269</v>
      </c>
      <c r="B402" s="1" t="str">
        <f>IF([1]Rseries!E347="","",[1]Rseries!E347)</f>
        <v/>
      </c>
    </row>
    <row r="403" spans="1:2" x14ac:dyDescent="0.25">
      <c r="A403" s="2">
        <v>47299</v>
      </c>
      <c r="B403" s="1" t="str">
        <f>IF([1]Rseries!E348="","",[1]Rseries!E348)</f>
        <v/>
      </c>
    </row>
    <row r="404" spans="1:2" x14ac:dyDescent="0.25">
      <c r="A404" s="2">
        <v>47330</v>
      </c>
      <c r="B404" s="1" t="str">
        <f>IF([1]Rseries!E349="","",[1]Rseries!E349)</f>
        <v/>
      </c>
    </row>
    <row r="405" spans="1:2" x14ac:dyDescent="0.25">
      <c r="A405" s="2">
        <v>47361</v>
      </c>
      <c r="B405" s="1" t="str">
        <f>IF([1]Rseries!E350="","",[1]Rseries!E350)</f>
        <v/>
      </c>
    </row>
    <row r="406" spans="1:2" x14ac:dyDescent="0.25">
      <c r="A406" s="2">
        <v>47391</v>
      </c>
      <c r="B406" s="1" t="str">
        <f>IF([1]Rseries!E351="","",[1]Rseries!E351)</f>
        <v/>
      </c>
    </row>
    <row r="407" spans="1:2" x14ac:dyDescent="0.25">
      <c r="A407" s="2">
        <v>47422</v>
      </c>
      <c r="B407" s="1" t="str">
        <f>IF([1]Rseries!E352="","",[1]Rseries!E352)</f>
        <v/>
      </c>
    </row>
    <row r="408" spans="1:2" x14ac:dyDescent="0.25">
      <c r="A408" s="2">
        <v>47452</v>
      </c>
      <c r="B408" s="1" t="str">
        <f>IF([1]Rseries!E353="","",[1]Rseries!E353)</f>
        <v/>
      </c>
    </row>
    <row r="409" spans="1:2" x14ac:dyDescent="0.25">
      <c r="A409" s="2">
        <v>47483</v>
      </c>
      <c r="B409" s="1" t="str">
        <f>IF([1]Rseries!E354="","",[1]Rseries!E354)</f>
        <v/>
      </c>
    </row>
    <row r="410" spans="1:2" x14ac:dyDescent="0.25">
      <c r="A410" s="2">
        <v>47514</v>
      </c>
      <c r="B410" s="1" t="str">
        <f>IF([1]Rseries!E355="","",[1]Rseries!E355)</f>
        <v/>
      </c>
    </row>
    <row r="411" spans="1:2" x14ac:dyDescent="0.25">
      <c r="A411" s="2">
        <v>47542</v>
      </c>
      <c r="B411" s="1" t="str">
        <f>IF([1]Rseries!E356="","",[1]Rseries!E356)</f>
        <v/>
      </c>
    </row>
    <row r="412" spans="1:2" x14ac:dyDescent="0.25">
      <c r="A412" s="2">
        <v>47573</v>
      </c>
      <c r="B412" s="1" t="str">
        <f>IF([1]Rseries!E357="","",[1]Rseries!E357)</f>
        <v/>
      </c>
    </row>
    <row r="413" spans="1:2" x14ac:dyDescent="0.25">
      <c r="A413" s="2">
        <v>47603</v>
      </c>
      <c r="B413" s="1" t="str">
        <f>IF([1]Rseries!E358="","",[1]Rseries!E358)</f>
        <v/>
      </c>
    </row>
    <row r="414" spans="1:2" x14ac:dyDescent="0.25">
      <c r="A414" s="2">
        <v>47634</v>
      </c>
      <c r="B414" s="1" t="str">
        <f>IF([1]Rseries!E359="","",[1]Rseries!E359)</f>
        <v/>
      </c>
    </row>
    <row r="415" spans="1:2" x14ac:dyDescent="0.25">
      <c r="A415" s="2">
        <v>47664</v>
      </c>
      <c r="B415" s="1" t="str">
        <f>IF([1]Rseries!E360="","",[1]Rseries!E360)</f>
        <v/>
      </c>
    </row>
    <row r="416" spans="1:2" x14ac:dyDescent="0.25">
      <c r="A416" s="2">
        <v>47695</v>
      </c>
      <c r="B416" s="1" t="str">
        <f>IF([1]Rseries!E361="","",[1]Rseries!E361)</f>
        <v/>
      </c>
    </row>
    <row r="417" spans="1:2" x14ac:dyDescent="0.25">
      <c r="A417" s="2">
        <v>47726</v>
      </c>
      <c r="B417" s="1" t="str">
        <f>IF([1]Rseries!E362="","",[1]Rseries!E362)</f>
        <v/>
      </c>
    </row>
    <row r="418" spans="1:2" x14ac:dyDescent="0.25">
      <c r="A418" s="2">
        <v>47756</v>
      </c>
      <c r="B418" s="1" t="str">
        <f>IF([1]Rseries!E363="","",[1]Rseries!E363)</f>
        <v/>
      </c>
    </row>
    <row r="419" spans="1:2" x14ac:dyDescent="0.25">
      <c r="A419" s="2">
        <v>47787</v>
      </c>
      <c r="B419" s="1" t="str">
        <f>IF([1]Rseries!E364="","",[1]Rseries!E364)</f>
        <v/>
      </c>
    </row>
    <row r="420" spans="1:2" x14ac:dyDescent="0.25">
      <c r="A420" s="2">
        <v>47817</v>
      </c>
      <c r="B420" s="1" t="str">
        <f>IF([1]Rseries!E365="","",[1]Rseries!E365)</f>
        <v/>
      </c>
    </row>
    <row r="421" spans="1:2" x14ac:dyDescent="0.25">
      <c r="A421" s="2">
        <v>47848</v>
      </c>
      <c r="B421" s="1" t="str">
        <f>IF([1]Rseries!E366="","",[1]Rseries!E366)</f>
        <v/>
      </c>
    </row>
    <row r="422" spans="1:2" x14ac:dyDescent="0.25">
      <c r="A422" s="2">
        <v>47879</v>
      </c>
      <c r="B422" s="1" t="str">
        <f>IF([1]Rseries!E367="","",[1]Rseries!E367)</f>
        <v/>
      </c>
    </row>
    <row r="423" spans="1:2" x14ac:dyDescent="0.25">
      <c r="A423" s="2">
        <v>47907</v>
      </c>
      <c r="B423" s="1" t="str">
        <f>IF([1]Rseries!E368="","",[1]Rseries!E368)</f>
        <v/>
      </c>
    </row>
    <row r="424" spans="1:2" x14ac:dyDescent="0.25">
      <c r="A424" s="2">
        <v>47938</v>
      </c>
      <c r="B424" s="1" t="str">
        <f>IF([1]Rseries!E369="","",[1]Rseries!E369)</f>
        <v/>
      </c>
    </row>
    <row r="425" spans="1:2" x14ac:dyDescent="0.25">
      <c r="A425" s="2">
        <v>47968</v>
      </c>
      <c r="B425" s="1" t="str">
        <f>IF([1]Rseries!E370="","",[1]Rseries!E370)</f>
        <v/>
      </c>
    </row>
    <row r="426" spans="1:2" x14ac:dyDescent="0.25">
      <c r="A426" s="2">
        <v>47999</v>
      </c>
      <c r="B426" s="1" t="str">
        <f>IF([1]Rseries!E371="","",[1]Rseries!E371)</f>
        <v/>
      </c>
    </row>
    <row r="427" spans="1:2" x14ac:dyDescent="0.25">
      <c r="A427" s="2">
        <v>48029</v>
      </c>
      <c r="B427" s="1" t="str">
        <f>IF([1]Rseries!E372="","",[1]Rseries!E372)</f>
        <v/>
      </c>
    </row>
    <row r="428" spans="1:2" x14ac:dyDescent="0.25">
      <c r="A428" s="2">
        <v>48060</v>
      </c>
      <c r="B428" s="1" t="str">
        <f>IF([1]Rseries!E373="","",[1]Rseries!E373)</f>
        <v/>
      </c>
    </row>
    <row r="429" spans="1:2" x14ac:dyDescent="0.25">
      <c r="A429" s="2">
        <v>48091</v>
      </c>
      <c r="B429" s="1" t="str">
        <f>IF([1]Rseries!E374="","",[1]Rseries!E374)</f>
        <v/>
      </c>
    </row>
    <row r="430" spans="1:2" x14ac:dyDescent="0.25">
      <c r="A430" s="2">
        <v>48121</v>
      </c>
      <c r="B430" s="1" t="str">
        <f>IF([1]Rseries!E375="","",[1]Rseries!E375)</f>
        <v/>
      </c>
    </row>
    <row r="431" spans="1:2" x14ac:dyDescent="0.25">
      <c r="A431" s="2">
        <v>48152</v>
      </c>
      <c r="B431" s="1" t="str">
        <f>IF([1]Rseries!E376="","",[1]Rseries!E376)</f>
        <v/>
      </c>
    </row>
    <row r="432" spans="1:2" x14ac:dyDescent="0.25">
      <c r="A432" s="2">
        <v>48182</v>
      </c>
      <c r="B432" s="1" t="str">
        <f>IF([1]Rseries!E377="","",[1]Rseries!E377)</f>
        <v/>
      </c>
    </row>
    <row r="433" spans="1:2" x14ac:dyDescent="0.25">
      <c r="A433" s="2">
        <v>48213</v>
      </c>
      <c r="B433" s="1" t="str">
        <f>IF([1]Rseries!E378="","",[1]Rseries!E378)</f>
        <v/>
      </c>
    </row>
    <row r="434" spans="1:2" x14ac:dyDescent="0.25">
      <c r="A434" s="2">
        <v>48244</v>
      </c>
      <c r="B434" s="1" t="str">
        <f>IF([1]Rseries!E379="","",[1]Rseries!E379)</f>
        <v/>
      </c>
    </row>
    <row r="435" spans="1:2" x14ac:dyDescent="0.25">
      <c r="A435" s="2">
        <v>48273</v>
      </c>
      <c r="B435" s="1" t="str">
        <f>IF([1]Rseries!E380="","",[1]Rseries!E380)</f>
        <v/>
      </c>
    </row>
    <row r="436" spans="1:2" x14ac:dyDescent="0.25">
      <c r="A436" s="2">
        <v>48304</v>
      </c>
      <c r="B436" s="1" t="str">
        <f>IF([1]Rseries!E381="","",[1]Rseries!E381)</f>
        <v/>
      </c>
    </row>
    <row r="437" spans="1:2" x14ac:dyDescent="0.25">
      <c r="A437" s="2">
        <v>48334</v>
      </c>
      <c r="B437" s="1" t="str">
        <f>IF([1]Rseries!E382="","",[1]Rseries!E382)</f>
        <v/>
      </c>
    </row>
    <row r="438" spans="1:2" x14ac:dyDescent="0.25">
      <c r="A438" s="2">
        <v>48365</v>
      </c>
      <c r="B438" s="1" t="str">
        <f>IF([1]Rseries!E383="","",[1]Rseries!E383)</f>
        <v/>
      </c>
    </row>
    <row r="439" spans="1:2" x14ac:dyDescent="0.25">
      <c r="A439" s="2">
        <v>48395</v>
      </c>
      <c r="B439" s="1" t="str">
        <f>IF([1]Rseries!E384="","",[1]Rseries!E384)</f>
        <v/>
      </c>
    </row>
    <row r="440" spans="1:2" x14ac:dyDescent="0.25">
      <c r="A440" s="2">
        <v>48426</v>
      </c>
      <c r="B440" s="1" t="str">
        <f>IF([1]Rseries!E385="","",[1]Rseries!E385)</f>
        <v/>
      </c>
    </row>
    <row r="441" spans="1:2" x14ac:dyDescent="0.25">
      <c r="A441" s="2">
        <v>48457</v>
      </c>
      <c r="B441" s="1" t="str">
        <f>IF([1]Rseries!E386="","",[1]Rseries!E386)</f>
        <v/>
      </c>
    </row>
    <row r="442" spans="1:2" x14ac:dyDescent="0.25">
      <c r="A442" s="2">
        <v>48487</v>
      </c>
      <c r="B442" s="1" t="str">
        <f>IF([1]Rseries!E387="","",[1]Rseries!E387)</f>
        <v/>
      </c>
    </row>
    <row r="443" spans="1:2" x14ac:dyDescent="0.25">
      <c r="A443" s="2">
        <v>48518</v>
      </c>
      <c r="B443" s="1" t="str">
        <f>IF([1]Rseries!E388="","",[1]Rseries!E388)</f>
        <v/>
      </c>
    </row>
    <row r="444" spans="1:2" x14ac:dyDescent="0.25">
      <c r="A444" s="2">
        <v>48548</v>
      </c>
      <c r="B444" s="1" t="str">
        <f>IF([1]Rseries!E389="","",[1]Rseries!E389)</f>
        <v/>
      </c>
    </row>
    <row r="445" spans="1:2" x14ac:dyDescent="0.25">
      <c r="A445" s="2">
        <v>48579</v>
      </c>
      <c r="B445" s="1" t="str">
        <f>IF([1]Rseries!E390="","",[1]Rseries!E390)</f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Mediana</vt:lpstr>
      <vt:lpstr>SSAutESP</vt:lpstr>
      <vt:lpstr>Amplitud</vt:lpstr>
      <vt:lpstr>Inicio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ihidalgo</dc:creator>
  <cp:lastModifiedBy>ihidalgo Isidro Hidalgo Arellano tfno:9252 88098</cp:lastModifiedBy>
  <cp:lastPrinted>2012-08-28T12:21:50Z</cp:lastPrinted>
  <dcterms:created xsi:type="dcterms:W3CDTF">2012-03-02T12:51:06Z</dcterms:created>
  <dcterms:modified xsi:type="dcterms:W3CDTF">2021-03-05T11:47:14Z</dcterms:modified>
</cp:coreProperties>
</file>