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Mensuales - paro registrado y afiliación\Modelos ParoAfiliación\"/>
    </mc:Choice>
  </mc:AlternateContent>
  <bookViews>
    <workbookView xWindow="120" yWindow="105" windowWidth="18915" windowHeight="11760" tabRatio="442"/>
  </bookViews>
  <sheets>
    <sheet name="Mediana" sheetId="139" r:id="rId1"/>
    <sheet name="ParoRegCLM" sheetId="1" r:id="rId2"/>
  </sheets>
  <externalReferences>
    <externalReference r:id="rId3"/>
  </externalReferences>
  <definedNames>
    <definedName name="Amplitud">ParoRegCLM!$E$2</definedName>
    <definedName name="Inicio">ParoRegCLM!$D$2</definedName>
  </definedNames>
  <calcPr calcId="162913"/>
</workbook>
</file>

<file path=xl/calcChain.xml><?xml version="1.0" encoding="utf-8"?>
<calcChain xmlns="http://schemas.openxmlformats.org/spreadsheetml/2006/main">
  <c r="B445" i="1" l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HA3" i="139" l="1"/>
  <c r="HB3" i="139" s="1"/>
  <c r="HC3" i="139" s="1"/>
  <c r="HD3" i="139" s="1"/>
  <c r="HE3" i="139" s="1"/>
  <c r="HF3" i="139" s="1"/>
  <c r="HG3" i="139" s="1"/>
  <c r="HH3" i="139" s="1"/>
  <c r="HI3" i="139" s="1"/>
  <c r="HJ3" i="139" s="1"/>
  <c r="HK3" i="139" s="1"/>
  <c r="HL3" i="139" s="1"/>
  <c r="HM3" i="139" s="1"/>
  <c r="HN3" i="139" s="1"/>
  <c r="HO3" i="139" s="1"/>
  <c r="HP3" i="139" s="1"/>
  <c r="HQ3" i="139" s="1"/>
  <c r="HR3" i="139" s="1"/>
  <c r="HS3" i="139" s="1"/>
  <c r="HT3" i="139" s="1"/>
  <c r="HU3" i="139" s="1"/>
  <c r="HV3" i="139" s="1"/>
  <c r="HW3" i="139" s="1"/>
  <c r="HX3" i="139" s="1"/>
  <c r="HY3" i="139" s="1"/>
  <c r="HZ3" i="139" s="1"/>
  <c r="IA3" i="139" s="1"/>
  <c r="IB3" i="139" s="1"/>
  <c r="IC3" i="139" s="1"/>
  <c r="ID3" i="139" s="1"/>
  <c r="IE3" i="139" s="1"/>
  <c r="IF3" i="139" s="1"/>
  <c r="IG3" i="139" s="1"/>
  <c r="IH3" i="139" s="1"/>
  <c r="II3" i="139" s="1"/>
  <c r="IJ3" i="139" s="1"/>
  <c r="IK3" i="139" s="1"/>
  <c r="IL3" i="139" s="1"/>
  <c r="IM3" i="139" s="1"/>
  <c r="IN3" i="139" s="1"/>
  <c r="IO3" i="139" s="1"/>
  <c r="IP3" i="139" s="1"/>
  <c r="IQ3" i="139" s="1"/>
  <c r="IR3" i="139" s="1"/>
  <c r="IS3" i="139" s="1"/>
  <c r="IT3" i="139" s="1"/>
  <c r="IU3" i="139" s="1"/>
  <c r="IV3" i="139" s="1"/>
  <c r="IW3" i="139" s="1"/>
  <c r="IX3" i="139" s="1"/>
  <c r="IY3" i="139" s="1"/>
  <c r="IZ3" i="139" s="1"/>
  <c r="JA3" i="139" s="1"/>
  <c r="JB3" i="139" s="1"/>
  <c r="JC3" i="139" s="1"/>
  <c r="JD3" i="139" s="1"/>
  <c r="JE3" i="139" s="1"/>
  <c r="JF3" i="139" s="1"/>
  <c r="JG3" i="139" s="1"/>
  <c r="JH3" i="139" s="1"/>
  <c r="HA4" i="139"/>
  <c r="HB4" i="139" s="1"/>
  <c r="HC4" i="139" s="1"/>
  <c r="HD4" i="139" s="1"/>
  <c r="HE4" i="139" s="1"/>
  <c r="HF4" i="139" s="1"/>
  <c r="HG4" i="139" s="1"/>
  <c r="HH4" i="139" s="1"/>
  <c r="HI4" i="139" s="1"/>
  <c r="HJ4" i="139" s="1"/>
  <c r="HK4" i="139" s="1"/>
  <c r="HL4" i="139" s="1"/>
  <c r="HM4" i="139" s="1"/>
  <c r="HN4" i="139" s="1"/>
  <c r="HO4" i="139" s="1"/>
  <c r="HP4" i="139" s="1"/>
  <c r="HQ4" i="139" s="1"/>
  <c r="HR4" i="139" s="1"/>
  <c r="HS4" i="139" s="1"/>
  <c r="HT4" i="139" s="1"/>
  <c r="HU4" i="139" s="1"/>
  <c r="HV4" i="139" s="1"/>
  <c r="HW4" i="139" s="1"/>
  <c r="HX4" i="139" s="1"/>
  <c r="HY4" i="139" s="1"/>
  <c r="HZ4" i="139" s="1"/>
  <c r="IA4" i="139" s="1"/>
  <c r="IB4" i="139" s="1"/>
  <c r="IC4" i="139" s="1"/>
  <c r="ID4" i="139" s="1"/>
  <c r="IE4" i="139" s="1"/>
  <c r="IF4" i="139" s="1"/>
  <c r="IG4" i="139" s="1"/>
  <c r="IH4" i="139" s="1"/>
  <c r="II4" i="139" s="1"/>
  <c r="IJ4" i="139" s="1"/>
  <c r="IK4" i="139" s="1"/>
  <c r="IL4" i="139" s="1"/>
  <c r="IM4" i="139" s="1"/>
  <c r="IN4" i="139" s="1"/>
  <c r="IO4" i="139" s="1"/>
  <c r="IP4" i="139" s="1"/>
  <c r="IQ4" i="139" s="1"/>
  <c r="IR4" i="139" s="1"/>
  <c r="IS4" i="139" s="1"/>
  <c r="IT4" i="139" s="1"/>
  <c r="IU4" i="139" s="1"/>
  <c r="IV4" i="139" s="1"/>
  <c r="IW4" i="139" s="1"/>
  <c r="IX4" i="139" s="1"/>
  <c r="IY4" i="139" s="1"/>
  <c r="IZ4" i="139" s="1"/>
  <c r="JA4" i="139" s="1"/>
  <c r="JB4" i="139" s="1"/>
  <c r="JC4" i="139" s="1"/>
  <c r="JD4" i="139" s="1"/>
  <c r="JE4" i="139" s="1"/>
  <c r="JF4" i="139" s="1"/>
  <c r="JG4" i="139" s="1"/>
  <c r="JH4" i="139" s="1"/>
  <c r="HA5" i="139"/>
  <c r="HB5" i="139" s="1"/>
  <c r="HC5" i="139" s="1"/>
  <c r="HD5" i="139" s="1"/>
  <c r="HE5" i="139" s="1"/>
  <c r="HF5" i="139" s="1"/>
  <c r="HG5" i="139" s="1"/>
  <c r="HH5" i="139" s="1"/>
  <c r="HI5" i="139" s="1"/>
  <c r="HJ5" i="139" s="1"/>
  <c r="HK5" i="139" s="1"/>
  <c r="HL5" i="139" s="1"/>
  <c r="HM5" i="139" s="1"/>
  <c r="HN5" i="139" s="1"/>
  <c r="HO5" i="139" s="1"/>
  <c r="HP5" i="139" s="1"/>
  <c r="HQ5" i="139" s="1"/>
  <c r="HR5" i="139" s="1"/>
  <c r="HS5" i="139" s="1"/>
  <c r="HT5" i="139" s="1"/>
  <c r="HU5" i="139" s="1"/>
  <c r="HV5" i="139" s="1"/>
  <c r="HW5" i="139" s="1"/>
  <c r="HX5" i="139" s="1"/>
  <c r="HY5" i="139" s="1"/>
  <c r="HZ5" i="139" s="1"/>
  <c r="IA5" i="139" s="1"/>
  <c r="IB5" i="139" s="1"/>
  <c r="IC5" i="139" s="1"/>
  <c r="ID5" i="139" s="1"/>
  <c r="IE5" i="139" s="1"/>
  <c r="IF5" i="139" s="1"/>
  <c r="IG5" i="139" s="1"/>
  <c r="IH5" i="139" s="1"/>
  <c r="II5" i="139" s="1"/>
  <c r="IJ5" i="139" s="1"/>
  <c r="IK5" i="139" s="1"/>
  <c r="IL5" i="139" s="1"/>
  <c r="IM5" i="139" s="1"/>
  <c r="IN5" i="139" s="1"/>
  <c r="IO5" i="139" s="1"/>
  <c r="IP5" i="139" s="1"/>
  <c r="IQ5" i="139" s="1"/>
  <c r="IR5" i="139" s="1"/>
  <c r="IS5" i="139" s="1"/>
  <c r="IT5" i="139" s="1"/>
  <c r="IU5" i="139" s="1"/>
  <c r="IV5" i="139" s="1"/>
  <c r="IW5" i="139" s="1"/>
  <c r="IX5" i="139" s="1"/>
  <c r="IY5" i="139" s="1"/>
  <c r="IZ5" i="139" s="1"/>
  <c r="JA5" i="139" s="1"/>
  <c r="JB5" i="139" s="1"/>
  <c r="JC5" i="139" s="1"/>
  <c r="JD5" i="139" s="1"/>
  <c r="JE5" i="139" s="1"/>
  <c r="JF5" i="139" s="1"/>
  <c r="JG5" i="139" s="1"/>
  <c r="JH5" i="139" s="1"/>
  <c r="HA6" i="139"/>
  <c r="HB6" i="139" s="1"/>
  <c r="HC6" i="139" s="1"/>
  <c r="HD6" i="139" s="1"/>
  <c r="HE6" i="139" s="1"/>
  <c r="HF6" i="139" s="1"/>
  <c r="HG6" i="139" s="1"/>
  <c r="HH6" i="139" s="1"/>
  <c r="HI6" i="139" s="1"/>
  <c r="HJ6" i="139" s="1"/>
  <c r="HK6" i="139" s="1"/>
  <c r="HL6" i="139" s="1"/>
  <c r="HM6" i="139" s="1"/>
  <c r="HN6" i="139" s="1"/>
  <c r="HO6" i="139" s="1"/>
  <c r="HP6" i="139" s="1"/>
  <c r="HQ6" i="139" s="1"/>
  <c r="HR6" i="139" s="1"/>
  <c r="HS6" i="139" s="1"/>
  <c r="HT6" i="139" s="1"/>
  <c r="HU6" i="139" s="1"/>
  <c r="HV6" i="139" s="1"/>
  <c r="HW6" i="139" s="1"/>
  <c r="HX6" i="139" s="1"/>
  <c r="HY6" i="139" s="1"/>
  <c r="HZ6" i="139" s="1"/>
  <c r="IA6" i="139" s="1"/>
  <c r="IB6" i="139" s="1"/>
  <c r="IC6" i="139" s="1"/>
  <c r="ID6" i="139" s="1"/>
  <c r="IE6" i="139" s="1"/>
  <c r="IF6" i="139" s="1"/>
  <c r="IG6" i="139" s="1"/>
  <c r="IH6" i="139" s="1"/>
  <c r="II6" i="139" s="1"/>
  <c r="IJ6" i="139" s="1"/>
  <c r="IK6" i="139" s="1"/>
  <c r="IL6" i="139" s="1"/>
  <c r="IM6" i="139" s="1"/>
  <c r="IN6" i="139" s="1"/>
  <c r="IO6" i="139" s="1"/>
  <c r="IP6" i="139" s="1"/>
  <c r="IQ6" i="139" s="1"/>
  <c r="IR6" i="139" s="1"/>
  <c r="IS6" i="139" s="1"/>
  <c r="IT6" i="139" s="1"/>
  <c r="IU6" i="139" s="1"/>
  <c r="IV6" i="139" s="1"/>
  <c r="IW6" i="139" s="1"/>
  <c r="IX6" i="139" s="1"/>
  <c r="IY6" i="139" s="1"/>
  <c r="IZ6" i="139" s="1"/>
  <c r="JA6" i="139" s="1"/>
  <c r="JB6" i="139" s="1"/>
  <c r="JC6" i="139" s="1"/>
  <c r="JD6" i="139" s="1"/>
  <c r="JE6" i="139" s="1"/>
  <c r="JF6" i="139" s="1"/>
  <c r="JG6" i="139" s="1"/>
  <c r="JH6" i="139" s="1"/>
  <c r="HA7" i="139"/>
  <c r="HB7" i="139" s="1"/>
  <c r="HC7" i="139" s="1"/>
  <c r="HD7" i="139" s="1"/>
  <c r="HE7" i="139" s="1"/>
  <c r="HF7" i="139" s="1"/>
  <c r="HG7" i="139" s="1"/>
  <c r="HH7" i="139" s="1"/>
  <c r="HI7" i="139" s="1"/>
  <c r="HJ7" i="139" s="1"/>
  <c r="HK7" i="139" s="1"/>
  <c r="HL7" i="139" s="1"/>
  <c r="HM7" i="139" s="1"/>
  <c r="HN7" i="139" s="1"/>
  <c r="HO7" i="139" s="1"/>
  <c r="HP7" i="139" s="1"/>
  <c r="HQ7" i="139" s="1"/>
  <c r="HR7" i="139" s="1"/>
  <c r="HS7" i="139" s="1"/>
  <c r="HT7" i="139" s="1"/>
  <c r="HU7" i="139" s="1"/>
  <c r="HV7" i="139" s="1"/>
  <c r="HW7" i="139" s="1"/>
  <c r="HX7" i="139" s="1"/>
  <c r="HY7" i="139" s="1"/>
  <c r="HZ7" i="139" s="1"/>
  <c r="IA7" i="139" s="1"/>
  <c r="IB7" i="139" s="1"/>
  <c r="IC7" i="139" s="1"/>
  <c r="ID7" i="139" s="1"/>
  <c r="IE7" i="139" s="1"/>
  <c r="IF7" i="139" s="1"/>
  <c r="IG7" i="139" s="1"/>
  <c r="IH7" i="139" s="1"/>
  <c r="II7" i="139" s="1"/>
  <c r="IJ7" i="139" s="1"/>
  <c r="IK7" i="139" s="1"/>
  <c r="IL7" i="139" s="1"/>
  <c r="IM7" i="139" s="1"/>
  <c r="IN7" i="139" s="1"/>
  <c r="IO7" i="139" s="1"/>
  <c r="IP7" i="139" s="1"/>
  <c r="IQ7" i="139" s="1"/>
  <c r="IR7" i="139" s="1"/>
  <c r="IS7" i="139" s="1"/>
  <c r="IT7" i="139" s="1"/>
  <c r="IU7" i="139" s="1"/>
  <c r="IV7" i="139" s="1"/>
  <c r="IW7" i="139" s="1"/>
  <c r="IX7" i="139" s="1"/>
  <c r="IY7" i="139" s="1"/>
  <c r="IZ7" i="139" s="1"/>
  <c r="JA7" i="139" s="1"/>
  <c r="JB7" i="139" s="1"/>
  <c r="JC7" i="139" s="1"/>
  <c r="JD7" i="139" s="1"/>
  <c r="JE7" i="139" s="1"/>
  <c r="JF7" i="139" s="1"/>
  <c r="JG7" i="139" s="1"/>
  <c r="JH7" i="139" s="1"/>
  <c r="HA8" i="139"/>
  <c r="HB8" i="139" s="1"/>
  <c r="HC8" i="139" s="1"/>
  <c r="HD8" i="139" s="1"/>
  <c r="HE8" i="139" s="1"/>
  <c r="HF8" i="139" s="1"/>
  <c r="HG8" i="139" s="1"/>
  <c r="HH8" i="139" s="1"/>
  <c r="HI8" i="139" s="1"/>
  <c r="HJ8" i="139" s="1"/>
  <c r="HK8" i="139" s="1"/>
  <c r="HL8" i="139" s="1"/>
  <c r="HM8" i="139" s="1"/>
  <c r="HN8" i="139" s="1"/>
  <c r="HO8" i="139" s="1"/>
  <c r="HP8" i="139" s="1"/>
  <c r="HQ8" i="139" s="1"/>
  <c r="HR8" i="139" s="1"/>
  <c r="HS8" i="139" s="1"/>
  <c r="HT8" i="139" s="1"/>
  <c r="HU8" i="139" s="1"/>
  <c r="HV8" i="139" s="1"/>
  <c r="HW8" i="139" s="1"/>
  <c r="HX8" i="139" s="1"/>
  <c r="HY8" i="139" s="1"/>
  <c r="HZ8" i="139" s="1"/>
  <c r="IA8" i="139" s="1"/>
  <c r="IB8" i="139" s="1"/>
  <c r="IC8" i="139" s="1"/>
  <c r="ID8" i="139" s="1"/>
  <c r="IE8" i="139" s="1"/>
  <c r="IF8" i="139" s="1"/>
  <c r="IG8" i="139" s="1"/>
  <c r="IH8" i="139" s="1"/>
  <c r="II8" i="139" s="1"/>
  <c r="IJ8" i="139" s="1"/>
  <c r="IK8" i="139" s="1"/>
  <c r="IL8" i="139" s="1"/>
  <c r="IM8" i="139" s="1"/>
  <c r="IN8" i="139" s="1"/>
  <c r="IO8" i="139" s="1"/>
  <c r="IP8" i="139" s="1"/>
  <c r="IQ8" i="139" s="1"/>
  <c r="IR8" i="139" s="1"/>
  <c r="IS8" i="139" s="1"/>
  <c r="IT8" i="139" s="1"/>
  <c r="IU8" i="139" s="1"/>
  <c r="IV8" i="139" s="1"/>
  <c r="IW8" i="139" s="1"/>
  <c r="IX8" i="139" s="1"/>
  <c r="IY8" i="139" s="1"/>
  <c r="IZ8" i="139" s="1"/>
  <c r="JA8" i="139" s="1"/>
  <c r="JB8" i="139" s="1"/>
  <c r="JC8" i="139" s="1"/>
  <c r="JD8" i="139" s="1"/>
  <c r="JE8" i="139" s="1"/>
  <c r="JF8" i="139" s="1"/>
  <c r="JG8" i="139" s="1"/>
  <c r="JH8" i="139" s="1"/>
  <c r="HA9" i="139"/>
  <c r="HB9" i="139" s="1"/>
  <c r="HC9" i="139" s="1"/>
  <c r="HD9" i="139" s="1"/>
  <c r="HE9" i="139" s="1"/>
  <c r="HF9" i="139" s="1"/>
  <c r="HG9" i="139" s="1"/>
  <c r="HH9" i="139" s="1"/>
  <c r="HI9" i="139" s="1"/>
  <c r="HJ9" i="139" s="1"/>
  <c r="HK9" i="139" s="1"/>
  <c r="HL9" i="139" s="1"/>
  <c r="HM9" i="139" s="1"/>
  <c r="HN9" i="139" s="1"/>
  <c r="HO9" i="139" s="1"/>
  <c r="HP9" i="139" s="1"/>
  <c r="HQ9" i="139" s="1"/>
  <c r="HR9" i="139" s="1"/>
  <c r="HS9" i="139" s="1"/>
  <c r="HT9" i="139" s="1"/>
  <c r="HU9" i="139" s="1"/>
  <c r="HV9" i="139" s="1"/>
  <c r="HW9" i="139" s="1"/>
  <c r="HX9" i="139" s="1"/>
  <c r="HY9" i="139" s="1"/>
  <c r="HZ9" i="139" s="1"/>
  <c r="IA9" i="139" s="1"/>
  <c r="IB9" i="139" s="1"/>
  <c r="IC9" i="139" s="1"/>
  <c r="ID9" i="139" s="1"/>
  <c r="IE9" i="139" s="1"/>
  <c r="IF9" i="139" s="1"/>
  <c r="IG9" i="139" s="1"/>
  <c r="IH9" i="139" s="1"/>
  <c r="II9" i="139" s="1"/>
  <c r="IJ9" i="139" s="1"/>
  <c r="IK9" i="139" s="1"/>
  <c r="IL9" i="139" s="1"/>
  <c r="IM9" i="139" s="1"/>
  <c r="IN9" i="139" s="1"/>
  <c r="IO9" i="139" s="1"/>
  <c r="IP9" i="139" s="1"/>
  <c r="IQ9" i="139" s="1"/>
  <c r="IR9" i="139" s="1"/>
  <c r="IS9" i="139" s="1"/>
  <c r="IT9" i="139" s="1"/>
  <c r="IU9" i="139" s="1"/>
  <c r="IV9" i="139" s="1"/>
  <c r="IW9" i="139" s="1"/>
  <c r="IX9" i="139" s="1"/>
  <c r="IY9" i="139" s="1"/>
  <c r="IZ9" i="139" s="1"/>
  <c r="JA9" i="139" s="1"/>
  <c r="JB9" i="139" s="1"/>
  <c r="JC9" i="139" s="1"/>
  <c r="JD9" i="139" s="1"/>
  <c r="JE9" i="139" s="1"/>
  <c r="JF9" i="139" s="1"/>
  <c r="JG9" i="139" s="1"/>
  <c r="JH9" i="139" s="1"/>
  <c r="HA10" i="139"/>
  <c r="HB10" i="139" s="1"/>
  <c r="HC10" i="139" s="1"/>
  <c r="HD10" i="139" s="1"/>
  <c r="HE10" i="139" s="1"/>
  <c r="HF10" i="139" s="1"/>
  <c r="HG10" i="139" s="1"/>
  <c r="HH10" i="139" s="1"/>
  <c r="HI10" i="139" s="1"/>
  <c r="HJ10" i="139" s="1"/>
  <c r="HK10" i="139" s="1"/>
  <c r="HL10" i="139" s="1"/>
  <c r="HM10" i="139" s="1"/>
  <c r="HN10" i="139" s="1"/>
  <c r="HO10" i="139" s="1"/>
  <c r="HP10" i="139" s="1"/>
  <c r="HQ10" i="139" s="1"/>
  <c r="HR10" i="139" s="1"/>
  <c r="HS10" i="139" s="1"/>
  <c r="HT10" i="139" s="1"/>
  <c r="HU10" i="139" s="1"/>
  <c r="HV10" i="139" s="1"/>
  <c r="HW10" i="139" s="1"/>
  <c r="HX10" i="139" s="1"/>
  <c r="HY10" i="139" s="1"/>
  <c r="HZ10" i="139" s="1"/>
  <c r="IA10" i="139" s="1"/>
  <c r="IB10" i="139" s="1"/>
  <c r="IC10" i="139" s="1"/>
  <c r="ID10" i="139" s="1"/>
  <c r="IE10" i="139" s="1"/>
  <c r="IF10" i="139" s="1"/>
  <c r="IG10" i="139" s="1"/>
  <c r="IH10" i="139" s="1"/>
  <c r="II10" i="139" s="1"/>
  <c r="IJ10" i="139" s="1"/>
  <c r="IK10" i="139" s="1"/>
  <c r="IL10" i="139" s="1"/>
  <c r="IM10" i="139" s="1"/>
  <c r="IN10" i="139" s="1"/>
  <c r="IO10" i="139" s="1"/>
  <c r="IP10" i="139" s="1"/>
  <c r="IQ10" i="139" s="1"/>
  <c r="IR10" i="139" s="1"/>
  <c r="IS10" i="139" s="1"/>
  <c r="IT10" i="139" s="1"/>
  <c r="IU10" i="139" s="1"/>
  <c r="IV10" i="139" s="1"/>
  <c r="IW10" i="139" s="1"/>
  <c r="IX10" i="139" s="1"/>
  <c r="IY10" i="139" s="1"/>
  <c r="IZ10" i="139" s="1"/>
  <c r="JA10" i="139" s="1"/>
  <c r="JB10" i="139" s="1"/>
  <c r="JC10" i="139" s="1"/>
  <c r="JD10" i="139" s="1"/>
  <c r="JE10" i="139" s="1"/>
  <c r="JF10" i="139" s="1"/>
  <c r="JG10" i="139" s="1"/>
  <c r="JH10" i="139" s="1"/>
  <c r="HA11" i="139"/>
  <c r="HB11" i="139" s="1"/>
  <c r="HC11" i="139" s="1"/>
  <c r="HD11" i="139" s="1"/>
  <c r="HE11" i="139" s="1"/>
  <c r="HF11" i="139" s="1"/>
  <c r="HG11" i="139" s="1"/>
  <c r="HH11" i="139" s="1"/>
  <c r="HI11" i="139" s="1"/>
  <c r="HJ11" i="139" s="1"/>
  <c r="HK11" i="139" s="1"/>
  <c r="HL11" i="139" s="1"/>
  <c r="HM11" i="139" s="1"/>
  <c r="HN11" i="139" s="1"/>
  <c r="HO11" i="139" s="1"/>
  <c r="HP11" i="139" s="1"/>
  <c r="HQ11" i="139" s="1"/>
  <c r="HR11" i="139" s="1"/>
  <c r="HS11" i="139" s="1"/>
  <c r="HT11" i="139" s="1"/>
  <c r="HU11" i="139" s="1"/>
  <c r="HV11" i="139" s="1"/>
  <c r="HW11" i="139" s="1"/>
  <c r="HX11" i="139" s="1"/>
  <c r="HY11" i="139" s="1"/>
  <c r="HZ11" i="139" s="1"/>
  <c r="IA11" i="139" s="1"/>
  <c r="IB11" i="139" s="1"/>
  <c r="IC11" i="139" s="1"/>
  <c r="ID11" i="139" s="1"/>
  <c r="IE11" i="139" s="1"/>
  <c r="IF11" i="139" s="1"/>
  <c r="IG11" i="139" s="1"/>
  <c r="IH11" i="139" s="1"/>
  <c r="II11" i="139" s="1"/>
  <c r="IJ11" i="139" s="1"/>
  <c r="IK11" i="139" s="1"/>
  <c r="IL11" i="139" s="1"/>
  <c r="IM11" i="139" s="1"/>
  <c r="IN11" i="139" s="1"/>
  <c r="IO11" i="139" s="1"/>
  <c r="IP11" i="139" s="1"/>
  <c r="IQ11" i="139" s="1"/>
  <c r="IR11" i="139" s="1"/>
  <c r="IS11" i="139" s="1"/>
  <c r="IT11" i="139" s="1"/>
  <c r="IU11" i="139" s="1"/>
  <c r="IV11" i="139" s="1"/>
  <c r="IW11" i="139" s="1"/>
  <c r="IX11" i="139" s="1"/>
  <c r="IY11" i="139" s="1"/>
  <c r="IZ11" i="139" s="1"/>
  <c r="JA11" i="139" s="1"/>
  <c r="JB11" i="139" s="1"/>
  <c r="JC11" i="139" s="1"/>
  <c r="JD11" i="139" s="1"/>
  <c r="JE11" i="139" s="1"/>
  <c r="JF11" i="139" s="1"/>
  <c r="JG11" i="139" s="1"/>
  <c r="JH11" i="139" s="1"/>
  <c r="HA12" i="139"/>
  <c r="HB12" i="139" s="1"/>
  <c r="HC12" i="139" s="1"/>
  <c r="HD12" i="139" s="1"/>
  <c r="HE12" i="139" s="1"/>
  <c r="HF12" i="139" s="1"/>
  <c r="HG12" i="139" s="1"/>
  <c r="HH12" i="139" s="1"/>
  <c r="HI12" i="139" s="1"/>
  <c r="HJ12" i="139" s="1"/>
  <c r="HK12" i="139" s="1"/>
  <c r="HL12" i="139" s="1"/>
  <c r="HM12" i="139" s="1"/>
  <c r="HN12" i="139" s="1"/>
  <c r="HO12" i="139" s="1"/>
  <c r="HP12" i="139" s="1"/>
  <c r="HQ12" i="139" s="1"/>
  <c r="HR12" i="139" s="1"/>
  <c r="HS12" i="139" s="1"/>
  <c r="HT12" i="139" s="1"/>
  <c r="HU12" i="139" s="1"/>
  <c r="HV12" i="139" s="1"/>
  <c r="HW12" i="139" s="1"/>
  <c r="HX12" i="139" s="1"/>
  <c r="HY12" i="139" s="1"/>
  <c r="HZ12" i="139" s="1"/>
  <c r="IA12" i="139" s="1"/>
  <c r="IB12" i="139" s="1"/>
  <c r="IC12" i="139" s="1"/>
  <c r="ID12" i="139" s="1"/>
  <c r="IE12" i="139" s="1"/>
  <c r="IF12" i="139" s="1"/>
  <c r="IG12" i="139" s="1"/>
  <c r="IH12" i="139" s="1"/>
  <c r="II12" i="139" s="1"/>
  <c r="IJ12" i="139" s="1"/>
  <c r="IK12" i="139" s="1"/>
  <c r="IL12" i="139" s="1"/>
  <c r="IM12" i="139" s="1"/>
  <c r="IN12" i="139" s="1"/>
  <c r="IO12" i="139" s="1"/>
  <c r="IP12" i="139" s="1"/>
  <c r="IQ12" i="139" s="1"/>
  <c r="IR12" i="139" s="1"/>
  <c r="IS12" i="139" s="1"/>
  <c r="IT12" i="139" s="1"/>
  <c r="IU12" i="139" s="1"/>
  <c r="IV12" i="139" s="1"/>
  <c r="IW12" i="139" s="1"/>
  <c r="IX12" i="139" s="1"/>
  <c r="IY12" i="139" s="1"/>
  <c r="IZ12" i="139" s="1"/>
  <c r="JA12" i="139" s="1"/>
  <c r="JB12" i="139" s="1"/>
  <c r="JC12" i="139" s="1"/>
  <c r="JD12" i="139" s="1"/>
  <c r="JE12" i="139" s="1"/>
  <c r="JF12" i="139" s="1"/>
  <c r="JG12" i="139" s="1"/>
  <c r="JH12" i="139" s="1"/>
  <c r="HA13" i="139"/>
  <c r="HB13" i="139" s="1"/>
  <c r="HC13" i="139" s="1"/>
  <c r="HD13" i="139" s="1"/>
  <c r="HE13" i="139" s="1"/>
  <c r="HF13" i="139" s="1"/>
  <c r="HG13" i="139" s="1"/>
  <c r="HH13" i="139" s="1"/>
  <c r="HI13" i="139" s="1"/>
  <c r="HJ13" i="139" s="1"/>
  <c r="HK13" i="139" s="1"/>
  <c r="HL13" i="139" s="1"/>
  <c r="HM13" i="139" s="1"/>
  <c r="HN13" i="139" s="1"/>
  <c r="HO13" i="139" s="1"/>
  <c r="HP13" i="139" s="1"/>
  <c r="HQ13" i="139" s="1"/>
  <c r="HR13" i="139" s="1"/>
  <c r="HS13" i="139" s="1"/>
  <c r="HT13" i="139" s="1"/>
  <c r="HU13" i="139" s="1"/>
  <c r="HV13" i="139" s="1"/>
  <c r="HW13" i="139" s="1"/>
  <c r="HX13" i="139" s="1"/>
  <c r="HY13" i="139" s="1"/>
  <c r="HZ13" i="139" s="1"/>
  <c r="IA13" i="139" s="1"/>
  <c r="IB13" i="139" s="1"/>
  <c r="IC13" i="139" s="1"/>
  <c r="ID13" i="139" s="1"/>
  <c r="IE13" i="139" s="1"/>
  <c r="IF13" i="139" s="1"/>
  <c r="IG13" i="139" s="1"/>
  <c r="IH13" i="139" s="1"/>
  <c r="II13" i="139" s="1"/>
  <c r="IJ13" i="139" s="1"/>
  <c r="IK13" i="139" s="1"/>
  <c r="IL13" i="139" s="1"/>
  <c r="IM13" i="139" s="1"/>
  <c r="IN13" i="139" s="1"/>
  <c r="IO13" i="139" s="1"/>
  <c r="IP13" i="139" s="1"/>
  <c r="IQ13" i="139" s="1"/>
  <c r="IR13" i="139" s="1"/>
  <c r="IS13" i="139" s="1"/>
  <c r="IT13" i="139" s="1"/>
  <c r="IU13" i="139" s="1"/>
  <c r="IV13" i="139" s="1"/>
  <c r="IW13" i="139" s="1"/>
  <c r="IX13" i="139" s="1"/>
  <c r="IY13" i="139" s="1"/>
  <c r="IZ13" i="139" s="1"/>
  <c r="JA13" i="139" s="1"/>
  <c r="JB13" i="139" s="1"/>
  <c r="JC13" i="139" s="1"/>
  <c r="JD13" i="139" s="1"/>
  <c r="JE13" i="139" s="1"/>
  <c r="JF13" i="139" s="1"/>
  <c r="JG13" i="139" s="1"/>
  <c r="JH13" i="139" s="1"/>
  <c r="HA14" i="139"/>
  <c r="HB14" i="139" s="1"/>
  <c r="HC14" i="139" s="1"/>
  <c r="HD14" i="139" s="1"/>
  <c r="HE14" i="139" s="1"/>
  <c r="HF14" i="139" s="1"/>
  <c r="HG14" i="139" s="1"/>
  <c r="HH14" i="139" s="1"/>
  <c r="HI14" i="139" s="1"/>
  <c r="HJ14" i="139" s="1"/>
  <c r="HK14" i="139" s="1"/>
  <c r="HL14" i="139" s="1"/>
  <c r="HM14" i="139" s="1"/>
  <c r="HN14" i="139" s="1"/>
  <c r="HO14" i="139" s="1"/>
  <c r="HP14" i="139" s="1"/>
  <c r="HQ14" i="139" s="1"/>
  <c r="HR14" i="139" s="1"/>
  <c r="HS14" i="139" s="1"/>
  <c r="HT14" i="139" s="1"/>
  <c r="HU14" i="139" s="1"/>
  <c r="HV14" i="139" s="1"/>
  <c r="HW14" i="139" s="1"/>
  <c r="HX14" i="139" s="1"/>
  <c r="HY14" i="139" s="1"/>
  <c r="HZ14" i="139" s="1"/>
  <c r="IA14" i="139" s="1"/>
  <c r="IB14" i="139" s="1"/>
  <c r="IC14" i="139" s="1"/>
  <c r="ID14" i="139" s="1"/>
  <c r="IE14" i="139" s="1"/>
  <c r="IF14" i="139" s="1"/>
  <c r="IG14" i="139" s="1"/>
  <c r="IH14" i="139" s="1"/>
  <c r="II14" i="139" s="1"/>
  <c r="IJ14" i="139" s="1"/>
  <c r="IK14" i="139" s="1"/>
  <c r="IL14" i="139" s="1"/>
  <c r="IM14" i="139" s="1"/>
  <c r="IN14" i="139" s="1"/>
  <c r="IO14" i="139" s="1"/>
  <c r="IP14" i="139" s="1"/>
  <c r="IQ14" i="139" s="1"/>
  <c r="IR14" i="139" s="1"/>
  <c r="IS14" i="139" s="1"/>
  <c r="IT14" i="139" s="1"/>
  <c r="IU14" i="139" s="1"/>
  <c r="IV14" i="139" s="1"/>
  <c r="IW14" i="139" s="1"/>
  <c r="IX14" i="139" s="1"/>
  <c r="IY14" i="139" s="1"/>
  <c r="IZ14" i="139" s="1"/>
  <c r="JA14" i="139" s="1"/>
  <c r="JB14" i="139" s="1"/>
  <c r="JC14" i="139" s="1"/>
  <c r="JD14" i="139" s="1"/>
  <c r="JE14" i="139" s="1"/>
  <c r="JF14" i="139" s="1"/>
  <c r="JG14" i="139" s="1"/>
  <c r="JH14" i="139" s="1"/>
  <c r="D2" i="1" l="1"/>
  <c r="HI28" i="139" l="1"/>
  <c r="HI32" i="139" s="1"/>
  <c r="HI59" i="139" s="1"/>
  <c r="IB28" i="139"/>
  <c r="IB32" i="139" s="1"/>
  <c r="IB59" i="139" s="1"/>
  <c r="IC28" i="139"/>
  <c r="IC30" i="139" s="1"/>
  <c r="IC57" i="139" s="1"/>
  <c r="IV28" i="139"/>
  <c r="IV36" i="139" s="1"/>
  <c r="IV63" i="139" s="1"/>
  <c r="IW28" i="139"/>
  <c r="IW37" i="139" s="1"/>
  <c r="IW64" i="139" s="1"/>
  <c r="JH28" i="139"/>
  <c r="JH36" i="139" s="1"/>
  <c r="JH63" i="139" s="1"/>
  <c r="HI37" i="139"/>
  <c r="HI64" i="139" s="1"/>
  <c r="IC38" i="139"/>
  <c r="IC65" i="139" s="1"/>
  <c r="JH39" i="139" l="1"/>
  <c r="JH66" i="139" s="1"/>
  <c r="HH28" i="139"/>
  <c r="JH30" i="139"/>
  <c r="JH57" i="139" s="1"/>
  <c r="JH38" i="139"/>
  <c r="JH65" i="139" s="1"/>
  <c r="IV35" i="139"/>
  <c r="IV62" i="139" s="1"/>
  <c r="IB35" i="139"/>
  <c r="IB62" i="139" s="1"/>
  <c r="HH31" i="139"/>
  <c r="HH58" i="139" s="1"/>
  <c r="IV30" i="139"/>
  <c r="IV57" i="139" s="1"/>
  <c r="HH39" i="139"/>
  <c r="HH66" i="139" s="1"/>
  <c r="JH35" i="139"/>
  <c r="JH62" i="139" s="1"/>
  <c r="HH35" i="139"/>
  <c r="HH62" i="139" s="1"/>
  <c r="HH34" i="139"/>
  <c r="HH61" i="139" s="1"/>
  <c r="IB38" i="139"/>
  <c r="IB65" i="139" s="1"/>
  <c r="JH34" i="139"/>
  <c r="JH61" i="139" s="1"/>
  <c r="IC33" i="139"/>
  <c r="IC60" i="139" s="1"/>
  <c r="HI38" i="139"/>
  <c r="HI65" i="139" s="1"/>
  <c r="HI35" i="139"/>
  <c r="HI62" i="139" s="1"/>
  <c r="IB34" i="139"/>
  <c r="IB61" i="139" s="1"/>
  <c r="HI33" i="139"/>
  <c r="HI60" i="139" s="1"/>
  <c r="IB30" i="139"/>
  <c r="IB57" i="139" s="1"/>
  <c r="IV38" i="139"/>
  <c r="IV65" i="139" s="1"/>
  <c r="IV31" i="139"/>
  <c r="IV58" i="139" s="1"/>
  <c r="HI30" i="139"/>
  <c r="HI57" i="139" s="1"/>
  <c r="IB39" i="139"/>
  <c r="IB66" i="139" s="1"/>
  <c r="HI34" i="139"/>
  <c r="HI61" i="139" s="1"/>
  <c r="IV32" i="139"/>
  <c r="IV59" i="139" s="1"/>
  <c r="IB31" i="139"/>
  <c r="IB58" i="139" s="1"/>
  <c r="HI41" i="139"/>
  <c r="HI68" i="139" s="1"/>
  <c r="IV39" i="139"/>
  <c r="IV66" i="139" s="1"/>
  <c r="IV34" i="139"/>
  <c r="IV61" i="139" s="1"/>
  <c r="JH31" i="139"/>
  <c r="JH58" i="139" s="1"/>
  <c r="HH40" i="139"/>
  <c r="HH67" i="139" s="1"/>
  <c r="JH33" i="139"/>
  <c r="JH60" i="139" s="1"/>
  <c r="JH41" i="139"/>
  <c r="JH68" i="139" s="1"/>
  <c r="HI36" i="139"/>
  <c r="HI63" i="139" s="1"/>
  <c r="IW30" i="139"/>
  <c r="IW57" i="139" s="1"/>
  <c r="HH41" i="139"/>
  <c r="HH68" i="139" s="1"/>
  <c r="IC40" i="139"/>
  <c r="IC67" i="139" s="1"/>
  <c r="JH37" i="139"/>
  <c r="JH64" i="139" s="1"/>
  <c r="HH36" i="139"/>
  <c r="HH63" i="139" s="1"/>
  <c r="HH33" i="139"/>
  <c r="HH60" i="139" s="1"/>
  <c r="IW38" i="139"/>
  <c r="IW65" i="139" s="1"/>
  <c r="IB41" i="139"/>
  <c r="IB68" i="139" s="1"/>
  <c r="IB40" i="139"/>
  <c r="IB67" i="139" s="1"/>
  <c r="IW39" i="139"/>
  <c r="IW66" i="139" s="1"/>
  <c r="IC36" i="139"/>
  <c r="IC63" i="139" s="1"/>
  <c r="IB33" i="139"/>
  <c r="IB60" i="139" s="1"/>
  <c r="IW32" i="139"/>
  <c r="IW59" i="139" s="1"/>
  <c r="IC41" i="139"/>
  <c r="IC68" i="139" s="1"/>
  <c r="IC34" i="139"/>
  <c r="IC61" i="139" s="1"/>
  <c r="IW33" i="139"/>
  <c r="IW60" i="139" s="1"/>
  <c r="IC31" i="139"/>
  <c r="IC58" i="139" s="1"/>
  <c r="IV41" i="139"/>
  <c r="IV68" i="139" s="1"/>
  <c r="IW40" i="139"/>
  <c r="IW67" i="139" s="1"/>
  <c r="IC39" i="139"/>
  <c r="IC66" i="139" s="1"/>
  <c r="IB37" i="139"/>
  <c r="IB64" i="139" s="1"/>
  <c r="IB36" i="139"/>
  <c r="IB63" i="139" s="1"/>
  <c r="IW35" i="139"/>
  <c r="IW62" i="139" s="1"/>
  <c r="IV33" i="139"/>
  <c r="IV60" i="139" s="1"/>
  <c r="IC32" i="139"/>
  <c r="IC59" i="139" s="1"/>
  <c r="IW41" i="139"/>
  <c r="IW68" i="139" s="1"/>
  <c r="IC35" i="139"/>
  <c r="IC62" i="139" s="1"/>
  <c r="JH40" i="139"/>
  <c r="JH67" i="139" s="1"/>
  <c r="IV40" i="139"/>
  <c r="IV67" i="139" s="1"/>
  <c r="HI39" i="139"/>
  <c r="HI66" i="139" s="1"/>
  <c r="IV37" i="139"/>
  <c r="IV64" i="139" s="1"/>
  <c r="IW36" i="139"/>
  <c r="IW63" i="139" s="1"/>
  <c r="JH32" i="139"/>
  <c r="JH59" i="139" s="1"/>
  <c r="IW31" i="139"/>
  <c r="IW58" i="139" s="1"/>
  <c r="HI31" i="139"/>
  <c r="HI58" i="139" s="1"/>
  <c r="IC37" i="139"/>
  <c r="IC64" i="139" s="1"/>
  <c r="IW34" i="139"/>
  <c r="IW61" i="139" s="1"/>
  <c r="HI40" i="139"/>
  <c r="HI67" i="139" s="1"/>
  <c r="IU28" i="139"/>
  <c r="IU30" i="139" s="1"/>
  <c r="IU57" i="139" s="1"/>
  <c r="IL28" i="139"/>
  <c r="IM28" i="139"/>
  <c r="IM41" i="139" s="1"/>
  <c r="IM68" i="139" s="1"/>
  <c r="IA28" i="139"/>
  <c r="HZ28" i="139" s="1"/>
  <c r="HG28" i="139"/>
  <c r="HG38" i="139" s="1"/>
  <c r="HG65" i="139" s="1"/>
  <c r="JF28" i="139"/>
  <c r="JE28" i="139" s="1"/>
  <c r="JE41" i="139" s="1"/>
  <c r="JE68" i="139" s="1"/>
  <c r="JG28" i="139"/>
  <c r="JG37" i="139" s="1"/>
  <c r="JG64" i="139" s="1"/>
  <c r="HS28" i="139"/>
  <c r="HS30" i="139" s="1"/>
  <c r="HS57" i="139" s="1"/>
  <c r="IM38" i="139"/>
  <c r="IM65" i="139" s="1"/>
  <c r="IU37" i="139"/>
  <c r="IU64" i="139" s="1"/>
  <c r="IT28" i="139"/>
  <c r="HG41" i="139" l="1"/>
  <c r="HG68" i="139" s="1"/>
  <c r="IM37" i="139"/>
  <c r="IM64" i="139" s="1"/>
  <c r="HG37" i="139"/>
  <c r="HG64" i="139" s="1"/>
  <c r="HZ35" i="139"/>
  <c r="HZ62" i="139" s="1"/>
  <c r="HY28" i="139"/>
  <c r="JE32" i="139"/>
  <c r="JE59" i="139" s="1"/>
  <c r="JE38" i="139"/>
  <c r="JE65" i="139" s="1"/>
  <c r="JE36" i="139"/>
  <c r="JE63" i="139" s="1"/>
  <c r="JE35" i="139"/>
  <c r="JE62" i="139" s="1"/>
  <c r="IT31" i="139"/>
  <c r="IT58" i="139" s="1"/>
  <c r="IS28" i="139"/>
  <c r="HR28" i="139"/>
  <c r="JE39" i="139"/>
  <c r="JE66" i="139" s="1"/>
  <c r="JE33" i="139"/>
  <c r="JE60" i="139" s="1"/>
  <c r="JE31" i="139"/>
  <c r="JE58" i="139" s="1"/>
  <c r="JE34" i="139"/>
  <c r="JE61" i="139" s="1"/>
  <c r="HG33" i="139"/>
  <c r="HG60" i="139" s="1"/>
  <c r="HF28" i="139"/>
  <c r="JE40" i="139"/>
  <c r="JE67" i="139" s="1"/>
  <c r="HH37" i="139"/>
  <c r="HH64" i="139" s="1"/>
  <c r="HH30" i="139"/>
  <c r="HH57" i="139" s="1"/>
  <c r="HH38" i="139"/>
  <c r="HH65" i="139" s="1"/>
  <c r="HH32" i="139"/>
  <c r="HH59" i="139" s="1"/>
  <c r="JE30" i="139"/>
  <c r="JE57" i="139" s="1"/>
  <c r="JD28" i="139"/>
  <c r="IL31" i="139"/>
  <c r="IL58" i="139" s="1"/>
  <c r="IK28" i="139"/>
  <c r="JE37" i="139"/>
  <c r="JE64" i="139" s="1"/>
  <c r="HR34" i="139"/>
  <c r="HR61" i="139" s="1"/>
  <c r="HR38" i="139"/>
  <c r="HR65" i="139" s="1"/>
  <c r="HS41" i="139"/>
  <c r="HS68" i="139" s="1"/>
  <c r="IU33" i="139"/>
  <c r="IU60" i="139" s="1"/>
  <c r="HZ38" i="139"/>
  <c r="HZ65" i="139" s="1"/>
  <c r="HS34" i="139"/>
  <c r="HS61" i="139" s="1"/>
  <c r="HS37" i="139"/>
  <c r="HS64" i="139" s="1"/>
  <c r="HZ39" i="139"/>
  <c r="HZ66" i="139" s="1"/>
  <c r="HR31" i="139"/>
  <c r="HR58" i="139" s="1"/>
  <c r="IM34" i="139"/>
  <c r="IM61" i="139" s="1"/>
  <c r="IM30" i="139"/>
  <c r="IM57" i="139" s="1"/>
  <c r="IL38" i="139"/>
  <c r="IL65" i="139" s="1"/>
  <c r="HZ31" i="139"/>
  <c r="HZ58" i="139" s="1"/>
  <c r="JG38" i="139"/>
  <c r="JG65" i="139" s="1"/>
  <c r="IT39" i="139"/>
  <c r="IT66" i="139" s="1"/>
  <c r="IL35" i="139"/>
  <c r="IL62" i="139" s="1"/>
  <c r="HG30" i="139"/>
  <c r="HG57" i="139" s="1"/>
  <c r="JG34" i="139"/>
  <c r="JG61" i="139" s="1"/>
  <c r="HF31" i="139"/>
  <c r="HF58" i="139" s="1"/>
  <c r="HF35" i="139"/>
  <c r="HF62" i="139" s="1"/>
  <c r="IL39" i="139"/>
  <c r="IL66" i="139" s="1"/>
  <c r="JF32" i="139"/>
  <c r="JF59" i="139" s="1"/>
  <c r="JF33" i="139"/>
  <c r="JF60" i="139" s="1"/>
  <c r="JF30" i="139"/>
  <c r="JF57" i="139" s="1"/>
  <c r="JF41" i="139"/>
  <c r="JF68" i="139" s="1"/>
  <c r="JF37" i="139"/>
  <c r="JF64" i="139" s="1"/>
  <c r="JF40" i="139"/>
  <c r="JF67" i="139" s="1"/>
  <c r="JF34" i="139"/>
  <c r="JF61" i="139" s="1"/>
  <c r="JF36" i="139"/>
  <c r="JF63" i="139" s="1"/>
  <c r="IA31" i="139"/>
  <c r="IA58" i="139" s="1"/>
  <c r="IA35" i="139"/>
  <c r="IA62" i="139" s="1"/>
  <c r="IA33" i="139"/>
  <c r="IA60" i="139" s="1"/>
  <c r="IA36" i="139"/>
  <c r="IA63" i="139" s="1"/>
  <c r="IA40" i="139"/>
  <c r="IA67" i="139" s="1"/>
  <c r="IA39" i="139"/>
  <c r="IA66" i="139" s="1"/>
  <c r="IA32" i="139"/>
  <c r="IA59" i="139" s="1"/>
  <c r="IA41" i="139"/>
  <c r="IA68" i="139" s="1"/>
  <c r="JG30" i="139"/>
  <c r="JG57" i="139" s="1"/>
  <c r="HG34" i="139"/>
  <c r="HG61" i="139" s="1"/>
  <c r="HZ32" i="139"/>
  <c r="HZ59" i="139" s="1"/>
  <c r="HZ30" i="139"/>
  <c r="HZ57" i="139" s="1"/>
  <c r="HZ41" i="139"/>
  <c r="HZ68" i="139" s="1"/>
  <c r="HZ37" i="139"/>
  <c r="HZ64" i="139" s="1"/>
  <c r="HZ34" i="139"/>
  <c r="HZ61" i="139" s="1"/>
  <c r="HZ40" i="139"/>
  <c r="HZ67" i="139" s="1"/>
  <c r="HZ33" i="139"/>
  <c r="HZ60" i="139" s="1"/>
  <c r="HZ36" i="139"/>
  <c r="HZ63" i="139" s="1"/>
  <c r="IM31" i="139"/>
  <c r="IM58" i="139" s="1"/>
  <c r="IM32" i="139"/>
  <c r="IM59" i="139" s="1"/>
  <c r="IM33" i="139"/>
  <c r="IM60" i="139" s="1"/>
  <c r="IM40" i="139"/>
  <c r="IM67" i="139" s="1"/>
  <c r="IM36" i="139"/>
  <c r="IM63" i="139" s="1"/>
  <c r="IM39" i="139"/>
  <c r="IM66" i="139" s="1"/>
  <c r="IM35" i="139"/>
  <c r="IM62" i="139" s="1"/>
  <c r="IA34" i="139"/>
  <c r="IA61" i="139" s="1"/>
  <c r="JF39" i="139"/>
  <c r="JF66" i="139" s="1"/>
  <c r="IU31" i="139"/>
  <c r="IU58" i="139" s="1"/>
  <c r="IU32" i="139"/>
  <c r="IU59" i="139" s="1"/>
  <c r="IU39" i="139"/>
  <c r="IU66" i="139" s="1"/>
  <c r="IU41" i="139"/>
  <c r="IU68" i="139" s="1"/>
  <c r="IU36" i="139"/>
  <c r="IU63" i="139" s="1"/>
  <c r="IU35" i="139"/>
  <c r="IU62" i="139" s="1"/>
  <c r="IU40" i="139"/>
  <c r="IU67" i="139" s="1"/>
  <c r="JF38" i="139"/>
  <c r="JF65" i="139" s="1"/>
  <c r="HS31" i="139"/>
  <c r="HS58" i="139" s="1"/>
  <c r="HS35" i="139"/>
  <c r="HS62" i="139" s="1"/>
  <c r="HS36" i="139"/>
  <c r="HS63" i="139" s="1"/>
  <c r="HS39" i="139"/>
  <c r="HS66" i="139" s="1"/>
  <c r="HS32" i="139"/>
  <c r="HS59" i="139" s="1"/>
  <c r="HS33" i="139"/>
  <c r="HS60" i="139" s="1"/>
  <c r="HS40" i="139"/>
  <c r="HS67" i="139" s="1"/>
  <c r="HS38" i="139"/>
  <c r="HS65" i="139" s="1"/>
  <c r="HG31" i="139"/>
  <c r="HG58" i="139" s="1"/>
  <c r="HG32" i="139"/>
  <c r="HG59" i="139" s="1"/>
  <c r="HG35" i="139"/>
  <c r="HG62" i="139" s="1"/>
  <c r="HG40" i="139"/>
  <c r="HG67" i="139" s="1"/>
  <c r="HG36" i="139"/>
  <c r="HG63" i="139" s="1"/>
  <c r="HG39" i="139"/>
  <c r="HG66" i="139" s="1"/>
  <c r="IA30" i="139"/>
  <c r="IA57" i="139" s="1"/>
  <c r="IL32" i="139"/>
  <c r="IL59" i="139" s="1"/>
  <c r="IL33" i="139"/>
  <c r="IL60" i="139" s="1"/>
  <c r="IL30" i="139"/>
  <c r="IL57" i="139" s="1"/>
  <c r="IL37" i="139"/>
  <c r="IL64" i="139" s="1"/>
  <c r="IL40" i="139"/>
  <c r="IL67" i="139" s="1"/>
  <c r="IL36" i="139"/>
  <c r="IL63" i="139" s="1"/>
  <c r="IL34" i="139"/>
  <c r="IL61" i="139" s="1"/>
  <c r="IL41" i="139"/>
  <c r="IL68" i="139" s="1"/>
  <c r="JF31" i="139"/>
  <c r="JF58" i="139" s="1"/>
  <c r="JF35" i="139"/>
  <c r="JF62" i="139" s="1"/>
  <c r="IT32" i="139"/>
  <c r="IT59" i="139" s="1"/>
  <c r="IT30" i="139"/>
  <c r="IT57" i="139" s="1"/>
  <c r="IT34" i="139"/>
  <c r="IT61" i="139" s="1"/>
  <c r="IT37" i="139"/>
  <c r="IT64" i="139" s="1"/>
  <c r="IT41" i="139"/>
  <c r="IT68" i="139" s="1"/>
  <c r="IT36" i="139"/>
  <c r="IT63" i="139" s="1"/>
  <c r="IT40" i="139"/>
  <c r="IT67" i="139" s="1"/>
  <c r="IT33" i="139"/>
  <c r="IT60" i="139" s="1"/>
  <c r="IA37" i="139"/>
  <c r="IA64" i="139" s="1"/>
  <c r="IT38" i="139"/>
  <c r="IT65" i="139" s="1"/>
  <c r="IU34" i="139"/>
  <c r="IU61" i="139" s="1"/>
  <c r="IA38" i="139"/>
  <c r="IA65" i="139" s="1"/>
  <c r="HR32" i="139"/>
  <c r="HR59" i="139" s="1"/>
  <c r="HR33" i="139"/>
  <c r="HR60" i="139" s="1"/>
  <c r="HR40" i="139"/>
  <c r="HR67" i="139" s="1"/>
  <c r="HR37" i="139"/>
  <c r="HR64" i="139" s="1"/>
  <c r="HR36" i="139"/>
  <c r="HR63" i="139" s="1"/>
  <c r="HR41" i="139"/>
  <c r="HR68" i="139" s="1"/>
  <c r="HR30" i="139"/>
  <c r="HR57" i="139" s="1"/>
  <c r="JG31" i="139"/>
  <c r="JG58" i="139" s="1"/>
  <c r="JG33" i="139"/>
  <c r="JG60" i="139" s="1"/>
  <c r="JG36" i="139"/>
  <c r="JG63" i="139" s="1"/>
  <c r="JG40" i="139"/>
  <c r="JG67" i="139" s="1"/>
  <c r="JG35" i="139"/>
  <c r="JG62" i="139" s="1"/>
  <c r="JG41" i="139"/>
  <c r="JG68" i="139" s="1"/>
  <c r="JG39" i="139"/>
  <c r="JG66" i="139" s="1"/>
  <c r="JG32" i="139"/>
  <c r="JG59" i="139" s="1"/>
  <c r="HR35" i="139"/>
  <c r="HR62" i="139" s="1"/>
  <c r="IT35" i="139"/>
  <c r="IT62" i="139" s="1"/>
  <c r="HF32" i="139"/>
  <c r="HF59" i="139" s="1"/>
  <c r="HF30" i="139"/>
  <c r="HF57" i="139" s="1"/>
  <c r="HF37" i="139"/>
  <c r="HF64" i="139" s="1"/>
  <c r="HF40" i="139"/>
  <c r="HF67" i="139" s="1"/>
  <c r="HF33" i="139"/>
  <c r="HF60" i="139" s="1"/>
  <c r="HF36" i="139"/>
  <c r="HF63" i="139" s="1"/>
  <c r="HF34" i="139"/>
  <c r="HF61" i="139" s="1"/>
  <c r="HF41" i="139"/>
  <c r="HF68" i="139" s="1"/>
  <c r="IU38" i="139"/>
  <c r="IU65" i="139" s="1"/>
  <c r="IK33" i="139" l="1"/>
  <c r="IK60" i="139" s="1"/>
  <c r="IK36" i="139"/>
  <c r="IK63" i="139" s="1"/>
  <c r="IJ28" i="139"/>
  <c r="IK37" i="139"/>
  <c r="IK64" i="139" s="1"/>
  <c r="IK38" i="139"/>
  <c r="IK65" i="139" s="1"/>
  <c r="IK35" i="139"/>
  <c r="IK62" i="139" s="1"/>
  <c r="IK32" i="139"/>
  <c r="IK59" i="139" s="1"/>
  <c r="IK41" i="139"/>
  <c r="IK68" i="139" s="1"/>
  <c r="IK31" i="139"/>
  <c r="IK58" i="139" s="1"/>
  <c r="IK40" i="139"/>
  <c r="IK67" i="139" s="1"/>
  <c r="IK30" i="139"/>
  <c r="IK57" i="139" s="1"/>
  <c r="IK39" i="139"/>
  <c r="IK66" i="139" s="1"/>
  <c r="IK34" i="139"/>
  <c r="IK61" i="139" s="1"/>
  <c r="HY33" i="139"/>
  <c r="HY60" i="139" s="1"/>
  <c r="HX28" i="139"/>
  <c r="HY32" i="139"/>
  <c r="HY59" i="139" s="1"/>
  <c r="HY35" i="139"/>
  <c r="HY62" i="139" s="1"/>
  <c r="HY40" i="139"/>
  <c r="HY67" i="139" s="1"/>
  <c r="HY38" i="139"/>
  <c r="HY65" i="139" s="1"/>
  <c r="HY31" i="139"/>
  <c r="HY58" i="139" s="1"/>
  <c r="HY37" i="139"/>
  <c r="HY64" i="139" s="1"/>
  <c r="HY41" i="139"/>
  <c r="HY68" i="139" s="1"/>
  <c r="HY36" i="139"/>
  <c r="HY63" i="139" s="1"/>
  <c r="HY34" i="139"/>
  <c r="HY61" i="139" s="1"/>
  <c r="HY39" i="139"/>
  <c r="HY66" i="139" s="1"/>
  <c r="HY30" i="139"/>
  <c r="HY57" i="139" s="1"/>
  <c r="JD37" i="139"/>
  <c r="JD64" i="139" s="1"/>
  <c r="JD32" i="139"/>
  <c r="JD59" i="139" s="1"/>
  <c r="JD35" i="139"/>
  <c r="JD62" i="139" s="1"/>
  <c r="JD39" i="139"/>
  <c r="JD66" i="139" s="1"/>
  <c r="JD41" i="139"/>
  <c r="JD68" i="139" s="1"/>
  <c r="JD33" i="139"/>
  <c r="JD60" i="139" s="1"/>
  <c r="JD40" i="139"/>
  <c r="JD67" i="139" s="1"/>
  <c r="JD36" i="139"/>
  <c r="JD63" i="139" s="1"/>
  <c r="JD38" i="139"/>
  <c r="JD65" i="139" s="1"/>
  <c r="JC28" i="139"/>
  <c r="JD34" i="139"/>
  <c r="JD61" i="139" s="1"/>
  <c r="JD31" i="139"/>
  <c r="JD58" i="139" s="1"/>
  <c r="JD30" i="139"/>
  <c r="JD57" i="139" s="1"/>
  <c r="HF39" i="139"/>
  <c r="HF66" i="139" s="1"/>
  <c r="HE28" i="139"/>
  <c r="HF38" i="139"/>
  <c r="HF65" i="139" s="1"/>
  <c r="HR39" i="139"/>
  <c r="HR66" i="139" s="1"/>
  <c r="HQ28" i="139"/>
  <c r="IS35" i="139"/>
  <c r="IS62" i="139" s="1"/>
  <c r="IS39" i="139"/>
  <c r="IS66" i="139" s="1"/>
  <c r="IS40" i="139"/>
  <c r="IS67" i="139" s="1"/>
  <c r="IS33" i="139"/>
  <c r="IS60" i="139" s="1"/>
  <c r="IS34" i="139"/>
  <c r="IS61" i="139" s="1"/>
  <c r="IS37" i="139"/>
  <c r="IS64" i="139" s="1"/>
  <c r="IS32" i="139"/>
  <c r="IS59" i="139" s="1"/>
  <c r="IR28" i="139"/>
  <c r="IS41" i="139"/>
  <c r="IS68" i="139" s="1"/>
  <c r="IS31" i="139"/>
  <c r="IS58" i="139" s="1"/>
  <c r="IS38" i="139"/>
  <c r="IS65" i="139" s="1"/>
  <c r="IS30" i="139"/>
  <c r="IS57" i="139" s="1"/>
  <c r="IS36" i="139"/>
  <c r="IS63" i="139" s="1"/>
  <c r="GY28" i="139"/>
  <c r="GX28" i="139" s="1"/>
  <c r="GX32" i="139" s="1"/>
  <c r="GX59" i="139" s="1"/>
  <c r="IJ36" i="139" l="1"/>
  <c r="IJ63" i="139" s="1"/>
  <c r="IJ35" i="139"/>
  <c r="IJ62" i="139" s="1"/>
  <c r="IJ39" i="139"/>
  <c r="IJ66" i="139" s="1"/>
  <c r="IJ33" i="139"/>
  <c r="IJ60" i="139" s="1"/>
  <c r="IJ40" i="139"/>
  <c r="IJ67" i="139" s="1"/>
  <c r="IJ31" i="139"/>
  <c r="IJ58" i="139" s="1"/>
  <c r="IJ38" i="139"/>
  <c r="IJ65" i="139" s="1"/>
  <c r="IJ32" i="139"/>
  <c r="IJ59" i="139" s="1"/>
  <c r="IJ30" i="139"/>
  <c r="IJ57" i="139" s="1"/>
  <c r="IJ34" i="139"/>
  <c r="IJ61" i="139" s="1"/>
  <c r="IJ41" i="139"/>
  <c r="IJ68" i="139" s="1"/>
  <c r="IJ37" i="139"/>
  <c r="IJ64" i="139" s="1"/>
  <c r="II28" i="139"/>
  <c r="HE33" i="139"/>
  <c r="HE60" i="139" s="1"/>
  <c r="HE31" i="139"/>
  <c r="HE58" i="139" s="1"/>
  <c r="HE36" i="139"/>
  <c r="HE63" i="139" s="1"/>
  <c r="HD28" i="139"/>
  <c r="HE34" i="139"/>
  <c r="HE61" i="139" s="1"/>
  <c r="HE40" i="139"/>
  <c r="HE67" i="139" s="1"/>
  <c r="HE37" i="139"/>
  <c r="HE64" i="139" s="1"/>
  <c r="HE32" i="139"/>
  <c r="HE59" i="139" s="1"/>
  <c r="HE39" i="139"/>
  <c r="HE66" i="139" s="1"/>
  <c r="HE30" i="139"/>
  <c r="HE57" i="139" s="1"/>
  <c r="HE41" i="139"/>
  <c r="HE68" i="139" s="1"/>
  <c r="HE35" i="139"/>
  <c r="HE62" i="139" s="1"/>
  <c r="HE38" i="139"/>
  <c r="HE65" i="139" s="1"/>
  <c r="JC38" i="139"/>
  <c r="JC65" i="139" s="1"/>
  <c r="JB28" i="139"/>
  <c r="JC32" i="139"/>
  <c r="JC59" i="139" s="1"/>
  <c r="JC39" i="139"/>
  <c r="JC66" i="139" s="1"/>
  <c r="JC33" i="139"/>
  <c r="JC60" i="139" s="1"/>
  <c r="JC37" i="139"/>
  <c r="JC64" i="139" s="1"/>
  <c r="JC34" i="139"/>
  <c r="JC61" i="139" s="1"/>
  <c r="JC40" i="139"/>
  <c r="JC67" i="139" s="1"/>
  <c r="JC31" i="139"/>
  <c r="JC58" i="139" s="1"/>
  <c r="JC35" i="139"/>
  <c r="JC62" i="139" s="1"/>
  <c r="JC41" i="139"/>
  <c r="JC68" i="139" s="1"/>
  <c r="JC36" i="139"/>
  <c r="JC63" i="139" s="1"/>
  <c r="JC30" i="139"/>
  <c r="JC57" i="139" s="1"/>
  <c r="GY41" i="139"/>
  <c r="GY68" i="139" s="1"/>
  <c r="GY39" i="139"/>
  <c r="GY66" i="139" s="1"/>
  <c r="GY38" i="139"/>
  <c r="GY65" i="139" s="1"/>
  <c r="HQ33" i="139"/>
  <c r="HQ60" i="139" s="1"/>
  <c r="HQ31" i="139"/>
  <c r="HQ58" i="139" s="1"/>
  <c r="HQ30" i="139"/>
  <c r="HQ57" i="139" s="1"/>
  <c r="HQ35" i="139"/>
  <c r="HQ62" i="139" s="1"/>
  <c r="HQ37" i="139"/>
  <c r="HQ64" i="139" s="1"/>
  <c r="HP28" i="139"/>
  <c r="HQ40" i="139"/>
  <c r="HQ67" i="139" s="1"/>
  <c r="HQ34" i="139"/>
  <c r="HQ61" i="139" s="1"/>
  <c r="HQ41" i="139"/>
  <c r="HQ68" i="139" s="1"/>
  <c r="HQ38" i="139"/>
  <c r="HQ65" i="139" s="1"/>
  <c r="HQ32" i="139"/>
  <c r="HQ59" i="139" s="1"/>
  <c r="HQ36" i="139"/>
  <c r="HQ63" i="139" s="1"/>
  <c r="HQ39" i="139"/>
  <c r="HQ66" i="139" s="1"/>
  <c r="HX36" i="139"/>
  <c r="HX63" i="139" s="1"/>
  <c r="HX34" i="139"/>
  <c r="HX61" i="139" s="1"/>
  <c r="HX39" i="139"/>
  <c r="HX66" i="139" s="1"/>
  <c r="HX31" i="139"/>
  <c r="HX58" i="139" s="1"/>
  <c r="HX35" i="139"/>
  <c r="HX62" i="139" s="1"/>
  <c r="HX30" i="139"/>
  <c r="HX57" i="139" s="1"/>
  <c r="HW28" i="139"/>
  <c r="HX38" i="139"/>
  <c r="HX65" i="139" s="1"/>
  <c r="HX32" i="139"/>
  <c r="HX59" i="139" s="1"/>
  <c r="HX37" i="139"/>
  <c r="HX64" i="139" s="1"/>
  <c r="HX40" i="139"/>
  <c r="HX67" i="139" s="1"/>
  <c r="HX41" i="139"/>
  <c r="HX68" i="139" s="1"/>
  <c r="HX33" i="139"/>
  <c r="HX60" i="139" s="1"/>
  <c r="IR37" i="139"/>
  <c r="IR64" i="139" s="1"/>
  <c r="IR34" i="139"/>
  <c r="IR61" i="139" s="1"/>
  <c r="IR31" i="139"/>
  <c r="IR58" i="139" s="1"/>
  <c r="IR30" i="139"/>
  <c r="IR57" i="139" s="1"/>
  <c r="IR38" i="139"/>
  <c r="IR65" i="139" s="1"/>
  <c r="IR35" i="139"/>
  <c r="IR62" i="139" s="1"/>
  <c r="IR40" i="139"/>
  <c r="IR67" i="139" s="1"/>
  <c r="IR36" i="139"/>
  <c r="IR63" i="139" s="1"/>
  <c r="IR32" i="139"/>
  <c r="IR59" i="139" s="1"/>
  <c r="IR39" i="139"/>
  <c r="IR66" i="139" s="1"/>
  <c r="IR41" i="139"/>
  <c r="IR68" i="139" s="1"/>
  <c r="IQ28" i="139"/>
  <c r="IR33" i="139"/>
  <c r="IR60" i="139" s="1"/>
  <c r="GX41" i="139"/>
  <c r="GX68" i="139" s="1"/>
  <c r="GX38" i="139"/>
  <c r="GX65" i="139" s="1"/>
  <c r="GX40" i="139"/>
  <c r="GX67" i="139" s="1"/>
  <c r="GY37" i="139"/>
  <c r="GY64" i="139" s="1"/>
  <c r="GX37" i="139"/>
  <c r="GX64" i="139" s="1"/>
  <c r="GX36" i="139"/>
  <c r="GX63" i="139" s="1"/>
  <c r="GY35" i="139"/>
  <c r="GY62" i="139" s="1"/>
  <c r="GY34" i="139"/>
  <c r="GY61" i="139" s="1"/>
  <c r="GX34" i="139"/>
  <c r="GX61" i="139" s="1"/>
  <c r="GY33" i="139"/>
  <c r="GY60" i="139" s="1"/>
  <c r="GY32" i="139"/>
  <c r="GY59" i="139" s="1"/>
  <c r="GX33" i="139"/>
  <c r="GX60" i="139" s="1"/>
  <c r="GY30" i="139"/>
  <c r="GY57" i="139" s="1"/>
  <c r="GX30" i="139"/>
  <c r="GX57" i="139" s="1"/>
  <c r="GY31" i="139"/>
  <c r="GY58" i="139" s="1"/>
  <c r="GX39" i="139"/>
  <c r="GX66" i="139" s="1"/>
  <c r="GY36" i="139"/>
  <c r="GY63" i="139" s="1"/>
  <c r="GX31" i="139"/>
  <c r="GX58" i="139" s="1"/>
  <c r="GY40" i="139"/>
  <c r="GY67" i="139" s="1"/>
  <c r="GX35" i="139"/>
  <c r="GX62" i="139" s="1"/>
  <c r="GW28" i="139"/>
  <c r="HD36" i="139" l="1"/>
  <c r="HD63" i="139" s="1"/>
  <c r="HD35" i="139"/>
  <c r="HD62" i="139" s="1"/>
  <c r="HD34" i="139"/>
  <c r="HD61" i="139" s="1"/>
  <c r="HD32" i="139"/>
  <c r="HD59" i="139" s="1"/>
  <c r="HD38" i="139"/>
  <c r="HD65" i="139" s="1"/>
  <c r="HD33" i="139"/>
  <c r="HD60" i="139" s="1"/>
  <c r="HD30" i="139"/>
  <c r="HD57" i="139" s="1"/>
  <c r="HD40" i="139"/>
  <c r="HD67" i="139" s="1"/>
  <c r="HD31" i="139"/>
  <c r="HD58" i="139" s="1"/>
  <c r="HD41" i="139"/>
  <c r="HD68" i="139" s="1"/>
  <c r="HC28" i="139"/>
  <c r="HD39" i="139"/>
  <c r="HD66" i="139" s="1"/>
  <c r="HD37" i="139"/>
  <c r="HD64" i="139" s="1"/>
  <c r="IH28" i="139"/>
  <c r="II32" i="139"/>
  <c r="II59" i="139" s="1"/>
  <c r="II33" i="139"/>
  <c r="II60" i="139" s="1"/>
  <c r="II35" i="139"/>
  <c r="II62" i="139" s="1"/>
  <c r="II40" i="139"/>
  <c r="II67" i="139" s="1"/>
  <c r="II37" i="139"/>
  <c r="II64" i="139" s="1"/>
  <c r="II30" i="139"/>
  <c r="II57" i="139" s="1"/>
  <c r="II34" i="139"/>
  <c r="II61" i="139" s="1"/>
  <c r="II31" i="139"/>
  <c r="II58" i="139" s="1"/>
  <c r="II36" i="139"/>
  <c r="II63" i="139" s="1"/>
  <c r="II38" i="139"/>
  <c r="II65" i="139" s="1"/>
  <c r="II41" i="139"/>
  <c r="II68" i="139" s="1"/>
  <c r="II39" i="139"/>
  <c r="II66" i="139" s="1"/>
  <c r="HW36" i="139"/>
  <c r="HW63" i="139" s="1"/>
  <c r="HW31" i="139"/>
  <c r="HW58" i="139" s="1"/>
  <c r="HW39" i="139"/>
  <c r="HW66" i="139" s="1"/>
  <c r="HW30" i="139"/>
  <c r="HW57" i="139" s="1"/>
  <c r="HW41" i="139"/>
  <c r="HW68" i="139" s="1"/>
  <c r="HV28" i="139"/>
  <c r="HW32" i="139"/>
  <c r="HW59" i="139" s="1"/>
  <c r="HW38" i="139"/>
  <c r="HW65" i="139" s="1"/>
  <c r="HW33" i="139"/>
  <c r="HW60" i="139" s="1"/>
  <c r="HW35" i="139"/>
  <c r="HW62" i="139" s="1"/>
  <c r="HW37" i="139"/>
  <c r="HW64" i="139" s="1"/>
  <c r="HW40" i="139"/>
  <c r="HW67" i="139" s="1"/>
  <c r="HW34" i="139"/>
  <c r="HW61" i="139" s="1"/>
  <c r="JB39" i="139"/>
  <c r="JB66" i="139" s="1"/>
  <c r="JA28" i="139"/>
  <c r="JB38" i="139"/>
  <c r="JB65" i="139" s="1"/>
  <c r="JB40" i="139"/>
  <c r="JB67" i="139" s="1"/>
  <c r="JB35" i="139"/>
  <c r="JB62" i="139" s="1"/>
  <c r="JB41" i="139"/>
  <c r="JB68" i="139" s="1"/>
  <c r="JB31" i="139"/>
  <c r="JB58" i="139" s="1"/>
  <c r="JB32" i="139"/>
  <c r="JB59" i="139" s="1"/>
  <c r="JB36" i="139"/>
  <c r="JB63" i="139" s="1"/>
  <c r="JB33" i="139"/>
  <c r="JB60" i="139" s="1"/>
  <c r="JB30" i="139"/>
  <c r="JB57" i="139" s="1"/>
  <c r="JB34" i="139"/>
  <c r="JB61" i="139" s="1"/>
  <c r="JB37" i="139"/>
  <c r="JB64" i="139" s="1"/>
  <c r="IQ38" i="139"/>
  <c r="IQ65" i="139" s="1"/>
  <c r="IP28" i="139"/>
  <c r="IQ30" i="139"/>
  <c r="IQ57" i="139" s="1"/>
  <c r="IQ39" i="139"/>
  <c r="IQ66" i="139" s="1"/>
  <c r="IQ34" i="139"/>
  <c r="IQ61" i="139" s="1"/>
  <c r="IQ31" i="139"/>
  <c r="IQ58" i="139" s="1"/>
  <c r="IQ32" i="139"/>
  <c r="IQ59" i="139" s="1"/>
  <c r="IQ33" i="139"/>
  <c r="IQ60" i="139" s="1"/>
  <c r="IQ37" i="139"/>
  <c r="IQ64" i="139" s="1"/>
  <c r="IQ36" i="139"/>
  <c r="IQ63" i="139" s="1"/>
  <c r="IQ40" i="139"/>
  <c r="IQ67" i="139" s="1"/>
  <c r="IQ41" i="139"/>
  <c r="IQ68" i="139" s="1"/>
  <c r="IQ35" i="139"/>
  <c r="IQ62" i="139" s="1"/>
  <c r="HP33" i="139"/>
  <c r="HP60" i="139" s="1"/>
  <c r="HP32" i="139"/>
  <c r="HP59" i="139" s="1"/>
  <c r="HP41" i="139"/>
  <c r="HP68" i="139" s="1"/>
  <c r="HP38" i="139"/>
  <c r="HP65" i="139" s="1"/>
  <c r="HP30" i="139"/>
  <c r="HP57" i="139" s="1"/>
  <c r="HP40" i="139"/>
  <c r="HP67" i="139" s="1"/>
  <c r="HP39" i="139"/>
  <c r="HP66" i="139" s="1"/>
  <c r="HP36" i="139"/>
  <c r="HP63" i="139" s="1"/>
  <c r="HP31" i="139"/>
  <c r="HP58" i="139" s="1"/>
  <c r="HP35" i="139"/>
  <c r="HP62" i="139" s="1"/>
  <c r="HP34" i="139"/>
  <c r="HP61" i="139" s="1"/>
  <c r="HP37" i="139"/>
  <c r="HP64" i="139" s="1"/>
  <c r="HO28" i="139"/>
  <c r="GW31" i="139"/>
  <c r="GW58" i="139" s="1"/>
  <c r="GW35" i="139"/>
  <c r="GW62" i="139" s="1"/>
  <c r="GW37" i="139"/>
  <c r="GW64" i="139" s="1"/>
  <c r="GW41" i="139"/>
  <c r="GW68" i="139" s="1"/>
  <c r="GW32" i="139"/>
  <c r="GW59" i="139" s="1"/>
  <c r="GW36" i="139"/>
  <c r="GW63" i="139" s="1"/>
  <c r="GW39" i="139"/>
  <c r="GW66" i="139" s="1"/>
  <c r="GW33" i="139"/>
  <c r="GW60" i="139" s="1"/>
  <c r="GW40" i="139"/>
  <c r="GW67" i="139" s="1"/>
  <c r="GW30" i="139"/>
  <c r="GW57" i="139" s="1"/>
  <c r="GW34" i="139"/>
  <c r="GW61" i="139" s="1"/>
  <c r="GV28" i="139"/>
  <c r="GW38" i="139"/>
  <c r="GW65" i="139" s="1"/>
  <c r="IP39" i="139" l="1"/>
  <c r="IP66" i="139" s="1"/>
  <c r="IO28" i="139"/>
  <c r="IP38" i="139"/>
  <c r="IP65" i="139" s="1"/>
  <c r="IP33" i="139"/>
  <c r="IP60" i="139" s="1"/>
  <c r="IP40" i="139"/>
  <c r="IP67" i="139" s="1"/>
  <c r="IP30" i="139"/>
  <c r="IP57" i="139" s="1"/>
  <c r="IP34" i="139"/>
  <c r="IP61" i="139" s="1"/>
  <c r="IP41" i="139"/>
  <c r="IP68" i="139" s="1"/>
  <c r="IP36" i="139"/>
  <c r="IP63" i="139" s="1"/>
  <c r="IP31" i="139"/>
  <c r="IP58" i="139" s="1"/>
  <c r="IP37" i="139"/>
  <c r="IP64" i="139" s="1"/>
  <c r="IP32" i="139"/>
  <c r="IP59" i="139" s="1"/>
  <c r="IP35" i="139"/>
  <c r="IP62" i="139" s="1"/>
  <c r="HN28" i="139"/>
  <c r="HO37" i="139"/>
  <c r="HO64" i="139" s="1"/>
  <c r="HO33" i="139"/>
  <c r="HO60" i="139" s="1"/>
  <c r="HO41" i="139"/>
  <c r="HO68" i="139" s="1"/>
  <c r="HO38" i="139"/>
  <c r="HO65" i="139" s="1"/>
  <c r="HO35" i="139"/>
  <c r="HO62" i="139" s="1"/>
  <c r="HO39" i="139"/>
  <c r="HO66" i="139" s="1"/>
  <c r="HO36" i="139"/>
  <c r="HO63" i="139" s="1"/>
  <c r="HO30" i="139"/>
  <c r="HO57" i="139" s="1"/>
  <c r="HO34" i="139"/>
  <c r="HO61" i="139" s="1"/>
  <c r="HO31" i="139"/>
  <c r="HO58" i="139" s="1"/>
  <c r="HO40" i="139"/>
  <c r="HO67" i="139" s="1"/>
  <c r="HO32" i="139"/>
  <c r="HO59" i="139" s="1"/>
  <c r="HC30" i="139"/>
  <c r="HC57" i="139" s="1"/>
  <c r="HB28" i="139"/>
  <c r="HC38" i="139"/>
  <c r="HC65" i="139" s="1"/>
  <c r="HC41" i="139"/>
  <c r="HC68" i="139" s="1"/>
  <c r="HC40" i="139"/>
  <c r="HC67" i="139" s="1"/>
  <c r="HC34" i="139"/>
  <c r="HC61" i="139" s="1"/>
  <c r="HC31" i="139"/>
  <c r="HC58" i="139" s="1"/>
  <c r="HC35" i="139"/>
  <c r="HC62" i="139" s="1"/>
  <c r="HC37" i="139"/>
  <c r="HC64" i="139" s="1"/>
  <c r="HC33" i="139"/>
  <c r="HC60" i="139" s="1"/>
  <c r="HC36" i="139"/>
  <c r="HC63" i="139" s="1"/>
  <c r="HC32" i="139"/>
  <c r="HC59" i="139" s="1"/>
  <c r="HC39" i="139"/>
  <c r="HC66" i="139" s="1"/>
  <c r="JA32" i="139"/>
  <c r="JA59" i="139" s="1"/>
  <c r="JA35" i="139"/>
  <c r="JA62" i="139" s="1"/>
  <c r="JA37" i="139"/>
  <c r="JA64" i="139" s="1"/>
  <c r="JA38" i="139"/>
  <c r="JA65" i="139" s="1"/>
  <c r="JA41" i="139"/>
  <c r="JA68" i="139" s="1"/>
  <c r="JA39" i="139"/>
  <c r="JA66" i="139" s="1"/>
  <c r="JA40" i="139"/>
  <c r="JA67" i="139" s="1"/>
  <c r="IZ28" i="139"/>
  <c r="JA33" i="139"/>
  <c r="JA60" i="139" s="1"/>
  <c r="JA36" i="139"/>
  <c r="JA63" i="139" s="1"/>
  <c r="JA31" i="139"/>
  <c r="JA58" i="139" s="1"/>
  <c r="JA34" i="139"/>
  <c r="JA61" i="139" s="1"/>
  <c r="JA30" i="139"/>
  <c r="JA57" i="139" s="1"/>
  <c r="HV39" i="139"/>
  <c r="HV66" i="139" s="1"/>
  <c r="HU28" i="139"/>
  <c r="HV32" i="139"/>
  <c r="HV59" i="139" s="1"/>
  <c r="HV30" i="139"/>
  <c r="HV57" i="139" s="1"/>
  <c r="HV31" i="139"/>
  <c r="HV58" i="139" s="1"/>
  <c r="HV33" i="139"/>
  <c r="HV60" i="139" s="1"/>
  <c r="HV41" i="139"/>
  <c r="HV68" i="139" s="1"/>
  <c r="HV34" i="139"/>
  <c r="HV61" i="139" s="1"/>
  <c r="HV35" i="139"/>
  <c r="HV62" i="139" s="1"/>
  <c r="HV38" i="139"/>
  <c r="HV65" i="139" s="1"/>
  <c r="HV37" i="139"/>
  <c r="HV64" i="139" s="1"/>
  <c r="HV40" i="139"/>
  <c r="HV67" i="139" s="1"/>
  <c r="HV36" i="139"/>
  <c r="HV63" i="139" s="1"/>
  <c r="IH38" i="139"/>
  <c r="IH65" i="139" s="1"/>
  <c r="IG28" i="139"/>
  <c r="IH34" i="139"/>
  <c r="IH61" i="139" s="1"/>
  <c r="IH35" i="139"/>
  <c r="IH62" i="139" s="1"/>
  <c r="IH40" i="139"/>
  <c r="IH67" i="139" s="1"/>
  <c r="IH37" i="139"/>
  <c r="IH64" i="139" s="1"/>
  <c r="IH39" i="139"/>
  <c r="IH66" i="139" s="1"/>
  <c r="IH31" i="139"/>
  <c r="IH58" i="139" s="1"/>
  <c r="IH33" i="139"/>
  <c r="IH60" i="139" s="1"/>
  <c r="IH41" i="139"/>
  <c r="IH68" i="139" s="1"/>
  <c r="IH32" i="139"/>
  <c r="IH59" i="139" s="1"/>
  <c r="IH30" i="139"/>
  <c r="IH57" i="139" s="1"/>
  <c r="IH36" i="139"/>
  <c r="IH63" i="139" s="1"/>
  <c r="GU28" i="139"/>
  <c r="GV30" i="139"/>
  <c r="GV57" i="139" s="1"/>
  <c r="GV34" i="139"/>
  <c r="GV61" i="139" s="1"/>
  <c r="GV31" i="139"/>
  <c r="GV58" i="139" s="1"/>
  <c r="GV40" i="139"/>
  <c r="GV67" i="139" s="1"/>
  <c r="GV32" i="139"/>
  <c r="GV59" i="139" s="1"/>
  <c r="GV36" i="139"/>
  <c r="GV63" i="139" s="1"/>
  <c r="GV39" i="139"/>
  <c r="GV66" i="139" s="1"/>
  <c r="GV38" i="139"/>
  <c r="GV65" i="139" s="1"/>
  <c r="GV35" i="139"/>
  <c r="GV62" i="139" s="1"/>
  <c r="GV33" i="139"/>
  <c r="GV60" i="139" s="1"/>
  <c r="GV41" i="139"/>
  <c r="GV68" i="139" s="1"/>
  <c r="GV37" i="139"/>
  <c r="GV64" i="139" s="1"/>
  <c r="IO32" i="139" l="1"/>
  <c r="IO59" i="139" s="1"/>
  <c r="IO40" i="139"/>
  <c r="IO67" i="139" s="1"/>
  <c r="IO41" i="139"/>
  <c r="IO68" i="139" s="1"/>
  <c r="IO34" i="139"/>
  <c r="IO61" i="139" s="1"/>
  <c r="IN28" i="139"/>
  <c r="IO39" i="139"/>
  <c r="IO66" i="139" s="1"/>
  <c r="IO37" i="139"/>
  <c r="IO64" i="139" s="1"/>
  <c r="IO36" i="139"/>
  <c r="IO63" i="139" s="1"/>
  <c r="IO31" i="139"/>
  <c r="IO58" i="139" s="1"/>
  <c r="IO35" i="139"/>
  <c r="IO62" i="139" s="1"/>
  <c r="IO33" i="139"/>
  <c r="IO60" i="139" s="1"/>
  <c r="IO38" i="139"/>
  <c r="IO65" i="139" s="1"/>
  <c r="IO30" i="139"/>
  <c r="IO57" i="139" s="1"/>
  <c r="IG33" i="139"/>
  <c r="IG60" i="139" s="1"/>
  <c r="IF28" i="139"/>
  <c r="IG31" i="139"/>
  <c r="IG58" i="139" s="1"/>
  <c r="IG39" i="139"/>
  <c r="IG66" i="139" s="1"/>
  <c r="IG34" i="139"/>
  <c r="IG61" i="139" s="1"/>
  <c r="IG30" i="139"/>
  <c r="IG57" i="139" s="1"/>
  <c r="IG32" i="139"/>
  <c r="IG59" i="139" s="1"/>
  <c r="IG41" i="139"/>
  <c r="IG68" i="139" s="1"/>
  <c r="IG36" i="139"/>
  <c r="IG63" i="139" s="1"/>
  <c r="IG37" i="139"/>
  <c r="IG64" i="139" s="1"/>
  <c r="IG40" i="139"/>
  <c r="IG67" i="139" s="1"/>
  <c r="IG35" i="139"/>
  <c r="IG62" i="139" s="1"/>
  <c r="IG38" i="139"/>
  <c r="IG65" i="139" s="1"/>
  <c r="IZ36" i="139"/>
  <c r="IZ63" i="139" s="1"/>
  <c r="IZ34" i="139"/>
  <c r="IZ61" i="139" s="1"/>
  <c r="IZ35" i="139"/>
  <c r="IZ62" i="139" s="1"/>
  <c r="IZ41" i="139"/>
  <c r="IZ68" i="139" s="1"/>
  <c r="IY28" i="139"/>
  <c r="IZ39" i="139"/>
  <c r="IZ66" i="139" s="1"/>
  <c r="IZ30" i="139"/>
  <c r="IZ57" i="139" s="1"/>
  <c r="IZ32" i="139"/>
  <c r="IZ59" i="139" s="1"/>
  <c r="IZ37" i="139"/>
  <c r="IZ64" i="139" s="1"/>
  <c r="IZ38" i="139"/>
  <c r="IZ65" i="139" s="1"/>
  <c r="IZ40" i="139"/>
  <c r="IZ67" i="139" s="1"/>
  <c r="IZ31" i="139"/>
  <c r="IZ58" i="139" s="1"/>
  <c r="IZ33" i="139"/>
  <c r="IZ60" i="139" s="1"/>
  <c r="HB31" i="139"/>
  <c r="HB58" i="139" s="1"/>
  <c r="HA28" i="139"/>
  <c r="HB32" i="139"/>
  <c r="HB59" i="139" s="1"/>
  <c r="HB41" i="139"/>
  <c r="HB68" i="139" s="1"/>
  <c r="HB34" i="139"/>
  <c r="HB61" i="139" s="1"/>
  <c r="HB33" i="139"/>
  <c r="HB60" i="139" s="1"/>
  <c r="HB35" i="139"/>
  <c r="HB62" i="139" s="1"/>
  <c r="HB30" i="139"/>
  <c r="HB57" i="139" s="1"/>
  <c r="HB40" i="139"/>
  <c r="HB67" i="139" s="1"/>
  <c r="HB37" i="139"/>
  <c r="HB64" i="139" s="1"/>
  <c r="HB38" i="139"/>
  <c r="HB65" i="139" s="1"/>
  <c r="HB36" i="139"/>
  <c r="HB63" i="139" s="1"/>
  <c r="HB39" i="139"/>
  <c r="HB66" i="139" s="1"/>
  <c r="HN39" i="139"/>
  <c r="HN66" i="139" s="1"/>
  <c r="HM28" i="139"/>
  <c r="HN33" i="139"/>
  <c r="HN60" i="139" s="1"/>
  <c r="HN34" i="139"/>
  <c r="HN61" i="139" s="1"/>
  <c r="HN37" i="139"/>
  <c r="HN64" i="139" s="1"/>
  <c r="HN38" i="139"/>
  <c r="HN65" i="139" s="1"/>
  <c r="HN31" i="139"/>
  <c r="HN58" i="139" s="1"/>
  <c r="HN41" i="139"/>
  <c r="HN68" i="139" s="1"/>
  <c r="HN32" i="139"/>
  <c r="HN59" i="139" s="1"/>
  <c r="HN36" i="139"/>
  <c r="HN63" i="139" s="1"/>
  <c r="HN35" i="139"/>
  <c r="HN62" i="139" s="1"/>
  <c r="HN30" i="139"/>
  <c r="HN57" i="139" s="1"/>
  <c r="HN40" i="139"/>
  <c r="HN67" i="139" s="1"/>
  <c r="HU33" i="139"/>
  <c r="HU60" i="139" s="1"/>
  <c r="HU39" i="139"/>
  <c r="HU66" i="139" s="1"/>
  <c r="HU31" i="139"/>
  <c r="HU58" i="139" s="1"/>
  <c r="HU35" i="139"/>
  <c r="HU62" i="139" s="1"/>
  <c r="HU36" i="139"/>
  <c r="HU63" i="139" s="1"/>
  <c r="HU30" i="139"/>
  <c r="HU57" i="139" s="1"/>
  <c r="HU37" i="139"/>
  <c r="HU64" i="139" s="1"/>
  <c r="HU38" i="139"/>
  <c r="HU65" i="139" s="1"/>
  <c r="HT28" i="139"/>
  <c r="HU32" i="139"/>
  <c r="HU59" i="139" s="1"/>
  <c r="HU40" i="139"/>
  <c r="HU67" i="139" s="1"/>
  <c r="HU34" i="139"/>
  <c r="HU61" i="139" s="1"/>
  <c r="HU41" i="139"/>
  <c r="HU68" i="139" s="1"/>
  <c r="GT28" i="139"/>
  <c r="GU30" i="139"/>
  <c r="GU57" i="139" s="1"/>
  <c r="GU33" i="139"/>
  <c r="GU60" i="139" s="1"/>
  <c r="GU39" i="139"/>
  <c r="GU66" i="139" s="1"/>
  <c r="GU34" i="139"/>
  <c r="GU61" i="139" s="1"/>
  <c r="GU38" i="139"/>
  <c r="GU65" i="139" s="1"/>
  <c r="GU35" i="139"/>
  <c r="GU62" i="139" s="1"/>
  <c r="GU31" i="139"/>
  <c r="GU58" i="139" s="1"/>
  <c r="GU41" i="139"/>
  <c r="GU68" i="139" s="1"/>
  <c r="GU37" i="139"/>
  <c r="GU64" i="139" s="1"/>
  <c r="GU40" i="139"/>
  <c r="GU67" i="139" s="1"/>
  <c r="GU36" i="139"/>
  <c r="GU63" i="139" s="1"/>
  <c r="GU32" i="139"/>
  <c r="GU59" i="139" s="1"/>
  <c r="IF37" i="139" l="1"/>
  <c r="IF64" i="139" s="1"/>
  <c r="IF38" i="139"/>
  <c r="IF65" i="139" s="1"/>
  <c r="IF30" i="139"/>
  <c r="IF57" i="139" s="1"/>
  <c r="IF41" i="139"/>
  <c r="IF68" i="139" s="1"/>
  <c r="IF33" i="139"/>
  <c r="IF60" i="139" s="1"/>
  <c r="IF32" i="139"/>
  <c r="IF59" i="139" s="1"/>
  <c r="IF35" i="139"/>
  <c r="IF62" i="139" s="1"/>
  <c r="IE28" i="139"/>
  <c r="IF31" i="139"/>
  <c r="IF58" i="139" s="1"/>
  <c r="IF36" i="139"/>
  <c r="IF63" i="139" s="1"/>
  <c r="IF39" i="139"/>
  <c r="IF66" i="139" s="1"/>
  <c r="IF34" i="139"/>
  <c r="IF61" i="139" s="1"/>
  <c r="IF40" i="139"/>
  <c r="IF67" i="139" s="1"/>
  <c r="IN33" i="139"/>
  <c r="IN60" i="139" s="1"/>
  <c r="IN36" i="139"/>
  <c r="IN63" i="139" s="1"/>
  <c r="IN30" i="139"/>
  <c r="IN57" i="139" s="1"/>
  <c r="IN39" i="139"/>
  <c r="IN66" i="139" s="1"/>
  <c r="IN32" i="139"/>
  <c r="IN59" i="139" s="1"/>
  <c r="IN34" i="139"/>
  <c r="IN61" i="139" s="1"/>
  <c r="IN38" i="139"/>
  <c r="IN65" i="139" s="1"/>
  <c r="IN37" i="139"/>
  <c r="IN64" i="139" s="1"/>
  <c r="IN35" i="139"/>
  <c r="IN62" i="139" s="1"/>
  <c r="IN31" i="139"/>
  <c r="IN58" i="139" s="1"/>
  <c r="IN40" i="139"/>
  <c r="IN67" i="139" s="1"/>
  <c r="IN41" i="139"/>
  <c r="IN68" i="139" s="1"/>
  <c r="HT37" i="139"/>
  <c r="HT64" i="139" s="1"/>
  <c r="HT34" i="139"/>
  <c r="HT61" i="139" s="1"/>
  <c r="HT33" i="139"/>
  <c r="HT60" i="139" s="1"/>
  <c r="HT38" i="139"/>
  <c r="HT65" i="139" s="1"/>
  <c r="HT35" i="139"/>
  <c r="HT62" i="139" s="1"/>
  <c r="HT31" i="139"/>
  <c r="HT58" i="139" s="1"/>
  <c r="HT40" i="139"/>
  <c r="HT67" i="139" s="1"/>
  <c r="HT39" i="139"/>
  <c r="HT66" i="139" s="1"/>
  <c r="HT30" i="139"/>
  <c r="HT57" i="139" s="1"/>
  <c r="HT36" i="139"/>
  <c r="HT63" i="139" s="1"/>
  <c r="HT41" i="139"/>
  <c r="HT68" i="139" s="1"/>
  <c r="HT32" i="139"/>
  <c r="HT59" i="139" s="1"/>
  <c r="HA33" i="139"/>
  <c r="HA60" i="139" s="1"/>
  <c r="HA31" i="139"/>
  <c r="HA58" i="139" s="1"/>
  <c r="GZ28" i="139"/>
  <c r="HA39" i="139"/>
  <c r="HA66" i="139" s="1"/>
  <c r="HA37" i="139"/>
  <c r="HA64" i="139" s="1"/>
  <c r="HA30" i="139"/>
  <c r="HA57" i="139" s="1"/>
  <c r="HA35" i="139"/>
  <c r="HA62" i="139" s="1"/>
  <c r="HA38" i="139"/>
  <c r="HA65" i="139" s="1"/>
  <c r="HA36" i="139"/>
  <c r="HA63" i="139" s="1"/>
  <c r="HA34" i="139"/>
  <c r="HA61" i="139" s="1"/>
  <c r="HA41" i="139"/>
  <c r="HA68" i="139" s="1"/>
  <c r="HA40" i="139"/>
  <c r="HA67" i="139" s="1"/>
  <c r="HA32" i="139"/>
  <c r="HA59" i="139" s="1"/>
  <c r="IY38" i="139"/>
  <c r="IY65" i="139" s="1"/>
  <c r="IY37" i="139"/>
  <c r="IY64" i="139" s="1"/>
  <c r="IX28" i="139"/>
  <c r="IY32" i="139"/>
  <c r="IY59" i="139" s="1"/>
  <c r="IY35" i="139"/>
  <c r="IY62" i="139" s="1"/>
  <c r="IY41" i="139"/>
  <c r="IY68" i="139" s="1"/>
  <c r="IY31" i="139"/>
  <c r="IY58" i="139" s="1"/>
  <c r="IY33" i="139"/>
  <c r="IY60" i="139" s="1"/>
  <c r="IY34" i="139"/>
  <c r="IY61" i="139" s="1"/>
  <c r="IY30" i="139"/>
  <c r="IY57" i="139" s="1"/>
  <c r="IY36" i="139"/>
  <c r="IY63" i="139" s="1"/>
  <c r="IY40" i="139"/>
  <c r="IY67" i="139" s="1"/>
  <c r="IY39" i="139"/>
  <c r="IY66" i="139" s="1"/>
  <c r="HM33" i="139"/>
  <c r="HM60" i="139" s="1"/>
  <c r="HM37" i="139"/>
  <c r="HM64" i="139" s="1"/>
  <c r="HL28" i="139"/>
  <c r="HM41" i="139"/>
  <c r="HM68" i="139" s="1"/>
  <c r="HM40" i="139"/>
  <c r="HM67" i="139" s="1"/>
  <c r="HM31" i="139"/>
  <c r="HM58" i="139" s="1"/>
  <c r="HM36" i="139"/>
  <c r="HM63" i="139" s="1"/>
  <c r="HM35" i="139"/>
  <c r="HM62" i="139" s="1"/>
  <c r="HM39" i="139"/>
  <c r="HM66" i="139" s="1"/>
  <c r="HM34" i="139"/>
  <c r="HM61" i="139" s="1"/>
  <c r="HM38" i="139"/>
  <c r="HM65" i="139" s="1"/>
  <c r="HM30" i="139"/>
  <c r="HM57" i="139" s="1"/>
  <c r="HM32" i="139"/>
  <c r="HM59" i="139" s="1"/>
  <c r="GT32" i="139"/>
  <c r="GT59" i="139" s="1"/>
  <c r="GT34" i="139"/>
  <c r="GT61" i="139" s="1"/>
  <c r="GT36" i="139"/>
  <c r="GT63" i="139" s="1"/>
  <c r="GT38" i="139"/>
  <c r="GT65" i="139" s="1"/>
  <c r="GT33" i="139"/>
  <c r="GT60" i="139" s="1"/>
  <c r="GT37" i="139"/>
  <c r="GT64" i="139" s="1"/>
  <c r="GT40" i="139"/>
  <c r="GT67" i="139" s="1"/>
  <c r="GT41" i="139"/>
  <c r="GT68" i="139" s="1"/>
  <c r="GT39" i="139"/>
  <c r="GT66" i="139" s="1"/>
  <c r="GT35" i="139"/>
  <c r="GT62" i="139" s="1"/>
  <c r="GT31" i="139"/>
  <c r="GT58" i="139" s="1"/>
  <c r="GS28" i="139"/>
  <c r="GZ36" i="139" l="1"/>
  <c r="GZ63" i="139" s="1"/>
  <c r="GZ35" i="139"/>
  <c r="GZ62" i="139" s="1"/>
  <c r="GZ30" i="139"/>
  <c r="GZ57" i="139" s="1"/>
  <c r="GZ33" i="139"/>
  <c r="GZ60" i="139" s="1"/>
  <c r="GZ39" i="139"/>
  <c r="GZ66" i="139" s="1"/>
  <c r="GZ37" i="139"/>
  <c r="GZ64" i="139" s="1"/>
  <c r="GZ34" i="139"/>
  <c r="GZ61" i="139" s="1"/>
  <c r="GZ32" i="139"/>
  <c r="GZ59" i="139" s="1"/>
  <c r="GZ31" i="139"/>
  <c r="GZ58" i="139" s="1"/>
  <c r="GZ40" i="139"/>
  <c r="GZ67" i="139" s="1"/>
  <c r="GZ38" i="139"/>
  <c r="GZ65" i="139" s="1"/>
  <c r="GZ41" i="139"/>
  <c r="GZ68" i="139" s="1"/>
  <c r="IE30" i="139"/>
  <c r="IE57" i="139" s="1"/>
  <c r="ID28" i="139"/>
  <c r="IE38" i="139"/>
  <c r="IE65" i="139" s="1"/>
  <c r="IE34" i="139"/>
  <c r="IE61" i="139" s="1"/>
  <c r="IE41" i="139"/>
  <c r="IE68" i="139" s="1"/>
  <c r="IE39" i="139"/>
  <c r="IE66" i="139" s="1"/>
  <c r="IE33" i="139"/>
  <c r="IE60" i="139" s="1"/>
  <c r="IE31" i="139"/>
  <c r="IE58" i="139" s="1"/>
  <c r="IE32" i="139"/>
  <c r="IE59" i="139" s="1"/>
  <c r="IE35" i="139"/>
  <c r="IE62" i="139" s="1"/>
  <c r="IE40" i="139"/>
  <c r="IE67" i="139" s="1"/>
  <c r="IE36" i="139"/>
  <c r="IE63" i="139" s="1"/>
  <c r="IE37" i="139"/>
  <c r="IE64" i="139" s="1"/>
  <c r="HL36" i="139"/>
  <c r="HL63" i="139" s="1"/>
  <c r="HL34" i="139"/>
  <c r="HL61" i="139" s="1"/>
  <c r="HL37" i="139"/>
  <c r="HL64" i="139" s="1"/>
  <c r="HL41" i="139"/>
  <c r="HL68" i="139" s="1"/>
  <c r="HK28" i="139"/>
  <c r="HL33" i="139"/>
  <c r="HL60" i="139" s="1"/>
  <c r="HL39" i="139"/>
  <c r="HL66" i="139" s="1"/>
  <c r="HL35" i="139"/>
  <c r="HL62" i="139" s="1"/>
  <c r="HL31" i="139"/>
  <c r="HL58" i="139" s="1"/>
  <c r="HL40" i="139"/>
  <c r="HL67" i="139" s="1"/>
  <c r="HL32" i="139"/>
  <c r="HL59" i="139" s="1"/>
  <c r="HL30" i="139"/>
  <c r="HL57" i="139" s="1"/>
  <c r="HL38" i="139"/>
  <c r="HL65" i="139" s="1"/>
  <c r="IX32" i="139"/>
  <c r="IX59" i="139" s="1"/>
  <c r="JH85" i="139" s="1"/>
  <c r="IX36" i="139"/>
  <c r="IX63" i="139" s="1"/>
  <c r="JG89" i="139" s="1"/>
  <c r="IX41" i="139"/>
  <c r="IX68" i="139" s="1"/>
  <c r="IX34" i="139"/>
  <c r="IX61" i="139" s="1"/>
  <c r="IX33" i="139"/>
  <c r="IX60" i="139" s="1"/>
  <c r="IX35" i="139"/>
  <c r="IX62" i="139" s="1"/>
  <c r="JF88" i="139" s="1"/>
  <c r="IX40" i="139"/>
  <c r="IX67" i="139" s="1"/>
  <c r="IX39" i="139"/>
  <c r="IX66" i="139" s="1"/>
  <c r="IX38" i="139"/>
  <c r="IX65" i="139" s="1"/>
  <c r="IX37" i="139"/>
  <c r="IX64" i="139" s="1"/>
  <c r="IX31" i="139"/>
  <c r="IX58" i="139" s="1"/>
  <c r="IX30" i="139"/>
  <c r="IX57" i="139" s="1"/>
  <c r="JE83" i="139" s="1"/>
  <c r="JH88" i="139"/>
  <c r="JH83" i="139"/>
  <c r="JG83" i="139"/>
  <c r="JF87" i="139"/>
  <c r="GS32" i="139"/>
  <c r="GS59" i="139" s="1"/>
  <c r="GS41" i="139"/>
  <c r="GS68" i="139" s="1"/>
  <c r="GS33" i="139"/>
  <c r="GS60" i="139" s="1"/>
  <c r="GS35" i="139"/>
  <c r="GS62" i="139" s="1"/>
  <c r="GS37" i="139"/>
  <c r="GS64" i="139" s="1"/>
  <c r="GS39" i="139"/>
  <c r="GS66" i="139" s="1"/>
  <c r="GS40" i="139"/>
  <c r="GS67" i="139" s="1"/>
  <c r="GS36" i="139"/>
  <c r="GS63" i="139" s="1"/>
  <c r="GS34" i="139"/>
  <c r="GS61" i="139" s="1"/>
  <c r="GR28" i="139"/>
  <c r="GS38" i="139"/>
  <c r="GS65" i="139" s="1"/>
  <c r="JF84" i="139" l="1"/>
  <c r="JE86" i="139"/>
  <c r="JF86" i="139"/>
  <c r="JE85" i="139"/>
  <c r="JD83" i="139"/>
  <c r="JE84" i="139"/>
  <c r="JF90" i="139"/>
  <c r="JG90" i="139"/>
  <c r="JD90" i="139"/>
  <c r="JE90" i="139"/>
  <c r="JD87" i="139"/>
  <c r="JG85" i="139"/>
  <c r="JG87" i="139"/>
  <c r="JH91" i="139"/>
  <c r="JG91" i="139"/>
  <c r="JF91" i="139"/>
  <c r="JE91" i="139"/>
  <c r="JD91" i="139"/>
  <c r="JH94" i="139"/>
  <c r="JG94" i="139"/>
  <c r="JF94" i="139"/>
  <c r="JE94" i="139"/>
  <c r="JD94" i="139"/>
  <c r="JH87" i="139"/>
  <c r="JG86" i="139"/>
  <c r="JH90" i="139"/>
  <c r="JG92" i="139"/>
  <c r="JH92" i="139"/>
  <c r="JF92" i="139"/>
  <c r="JE92" i="139"/>
  <c r="JD92" i="139"/>
  <c r="JF89" i="139"/>
  <c r="JE89" i="139"/>
  <c r="JD89" i="139"/>
  <c r="JH89" i="139"/>
  <c r="JD86" i="139"/>
  <c r="JH93" i="139"/>
  <c r="JG93" i="139"/>
  <c r="JF93" i="139"/>
  <c r="JE93" i="139"/>
  <c r="JD93" i="139"/>
  <c r="JG84" i="139"/>
  <c r="JD85" i="139"/>
  <c r="JH86" i="139"/>
  <c r="JF85" i="139"/>
  <c r="JF83" i="139"/>
  <c r="JE88" i="139"/>
  <c r="JD88" i="139"/>
  <c r="JG88" i="139"/>
  <c r="JE87" i="139"/>
  <c r="JH84" i="139"/>
  <c r="HK37" i="139"/>
  <c r="HK64" i="139" s="1"/>
  <c r="HJ28" i="139"/>
  <c r="HK34" i="139"/>
  <c r="HK61" i="139" s="1"/>
  <c r="HK40" i="139"/>
  <c r="HK67" i="139" s="1"/>
  <c r="HK38" i="139"/>
  <c r="HK65" i="139" s="1"/>
  <c r="HK39" i="139"/>
  <c r="HK66" i="139" s="1"/>
  <c r="HK31" i="139"/>
  <c r="HK58" i="139" s="1"/>
  <c r="HK32" i="139"/>
  <c r="HK59" i="139" s="1"/>
  <c r="HK36" i="139"/>
  <c r="HK63" i="139" s="1"/>
  <c r="HK41" i="139"/>
  <c r="HK68" i="139" s="1"/>
  <c r="HK35" i="139"/>
  <c r="HK62" i="139" s="1"/>
  <c r="HK33" i="139"/>
  <c r="HK60" i="139" s="1"/>
  <c r="IJ86" i="139" s="1"/>
  <c r="HK30" i="139"/>
  <c r="HK57" i="139" s="1"/>
  <c r="JD84" i="139"/>
  <c r="ID30" i="139"/>
  <c r="ID57" i="139" s="1"/>
  <c r="IY83" i="139" s="1"/>
  <c r="ID40" i="139"/>
  <c r="ID67" i="139" s="1"/>
  <c r="JB93" i="139" s="1"/>
  <c r="ID39" i="139"/>
  <c r="ID66" i="139" s="1"/>
  <c r="JC92" i="139" s="1"/>
  <c r="ID33" i="139"/>
  <c r="ID60" i="139" s="1"/>
  <c r="JB86" i="139" s="1"/>
  <c r="ID35" i="139"/>
  <c r="ID62" i="139" s="1"/>
  <c r="JC88" i="139" s="1"/>
  <c r="ID34" i="139"/>
  <c r="ID61" i="139" s="1"/>
  <c r="ID38" i="139"/>
  <c r="ID65" i="139" s="1"/>
  <c r="JC91" i="139" s="1"/>
  <c r="ID37" i="139"/>
  <c r="ID64" i="139" s="1"/>
  <c r="IN90" i="139" s="1"/>
  <c r="ID31" i="139"/>
  <c r="ID58" i="139" s="1"/>
  <c r="JA84" i="139" s="1"/>
  <c r="ID41" i="139"/>
  <c r="ID68" i="139" s="1"/>
  <c r="IR94" i="139" s="1"/>
  <c r="ID32" i="139"/>
  <c r="ID59" i="139" s="1"/>
  <c r="JB85" i="139" s="1"/>
  <c r="ID36" i="139"/>
  <c r="ID63" i="139" s="1"/>
  <c r="GQ28" i="139"/>
  <c r="GR34" i="139"/>
  <c r="GR61" i="139" s="1"/>
  <c r="GR35" i="139"/>
  <c r="GR62" i="139" s="1"/>
  <c r="GR40" i="139"/>
  <c r="GR67" i="139" s="1"/>
  <c r="GR39" i="139"/>
  <c r="GR66" i="139" s="1"/>
  <c r="GR36" i="139"/>
  <c r="GR63" i="139" s="1"/>
  <c r="GR38" i="139"/>
  <c r="GR65" i="139" s="1"/>
  <c r="GR41" i="139"/>
  <c r="GR68" i="139" s="1"/>
  <c r="GR33" i="139"/>
  <c r="GR60" i="139" s="1"/>
  <c r="GR37" i="139"/>
  <c r="GR64" i="139" s="1"/>
  <c r="IL89" i="139" l="1"/>
  <c r="IK89" i="139"/>
  <c r="IJ89" i="139"/>
  <c r="IX89" i="139"/>
  <c r="IW89" i="139"/>
  <c r="IO89" i="139"/>
  <c r="IR89" i="139"/>
  <c r="IQ89" i="139"/>
  <c r="IV89" i="139"/>
  <c r="IP89" i="139"/>
  <c r="IT89" i="139"/>
  <c r="IN89" i="139"/>
  <c r="IU89" i="139"/>
  <c r="IS89" i="139"/>
  <c r="IJ87" i="139"/>
  <c r="IX87" i="139"/>
  <c r="IW87" i="139"/>
  <c r="IV87" i="139"/>
  <c r="IU87" i="139"/>
  <c r="IM87" i="139"/>
  <c r="IQ87" i="139"/>
  <c r="IP87" i="139"/>
  <c r="IO87" i="139"/>
  <c r="IT87" i="139"/>
  <c r="IL87" i="139"/>
  <c r="IS87" i="139"/>
  <c r="IN87" i="139"/>
  <c r="IR87" i="139"/>
  <c r="IK87" i="139"/>
  <c r="IY92" i="139"/>
  <c r="IZ91" i="139"/>
  <c r="IM89" i="139"/>
  <c r="IZ87" i="139"/>
  <c r="IZ90" i="139"/>
  <c r="JA86" i="139"/>
  <c r="IX85" i="139"/>
  <c r="IW85" i="139"/>
  <c r="IV85" i="139"/>
  <c r="IU85" i="139"/>
  <c r="IS85" i="139"/>
  <c r="IM85" i="139"/>
  <c r="IT85" i="139"/>
  <c r="IQ85" i="139"/>
  <c r="IP85" i="139"/>
  <c r="IN85" i="139"/>
  <c r="IO85" i="139"/>
  <c r="JC85" i="139"/>
  <c r="IL85" i="139"/>
  <c r="IR85" i="139"/>
  <c r="IK88" i="139"/>
  <c r="IJ88" i="139"/>
  <c r="IX88" i="139"/>
  <c r="IW88" i="139"/>
  <c r="IV88" i="139"/>
  <c r="IN88" i="139"/>
  <c r="IM88" i="139"/>
  <c r="IQ88" i="139"/>
  <c r="IP88" i="139"/>
  <c r="IU88" i="139"/>
  <c r="IO88" i="139"/>
  <c r="IS88" i="139"/>
  <c r="IT88" i="139"/>
  <c r="IR88" i="139"/>
  <c r="IJ85" i="139"/>
  <c r="HJ36" i="139"/>
  <c r="HJ63" i="139" s="1"/>
  <c r="II89" i="139" s="1"/>
  <c r="HJ32" i="139"/>
  <c r="HJ59" i="139" s="1"/>
  <c r="HJ33" i="139"/>
  <c r="HJ60" i="139" s="1"/>
  <c r="HJ30" i="139"/>
  <c r="HJ57" i="139" s="1"/>
  <c r="HJ40" i="139"/>
  <c r="HJ67" i="139" s="1"/>
  <c r="HJ38" i="139"/>
  <c r="HJ65" i="139" s="1"/>
  <c r="HJ34" i="139"/>
  <c r="HJ61" i="139" s="1"/>
  <c r="IH87" i="139" s="1"/>
  <c r="HJ39" i="139"/>
  <c r="HJ66" i="139" s="1"/>
  <c r="HJ31" i="139"/>
  <c r="HJ58" i="139" s="1"/>
  <c r="HJ41" i="139"/>
  <c r="HJ68" i="139" s="1"/>
  <c r="HJ35" i="139"/>
  <c r="HJ62" i="139" s="1"/>
  <c r="II88" i="139" s="1"/>
  <c r="HJ37" i="139"/>
  <c r="HJ64" i="139" s="1"/>
  <c r="IM83" i="139"/>
  <c r="IO91" i="139"/>
  <c r="IL88" i="139"/>
  <c r="IY89" i="139"/>
  <c r="IQ93" i="139"/>
  <c r="JA91" i="139"/>
  <c r="JA87" i="139"/>
  <c r="JA90" i="139"/>
  <c r="IQ94" i="139"/>
  <c r="IO94" i="139"/>
  <c r="IP94" i="139"/>
  <c r="IM94" i="139"/>
  <c r="IN94" i="139"/>
  <c r="IL94" i="139"/>
  <c r="IK94" i="139"/>
  <c r="IJ94" i="139"/>
  <c r="II94" i="139"/>
  <c r="IH94" i="139"/>
  <c r="IW94" i="139"/>
  <c r="IT94" i="139"/>
  <c r="IV94" i="139"/>
  <c r="IU94" i="139"/>
  <c r="IG94" i="139"/>
  <c r="IS94" i="139"/>
  <c r="IF94" i="139"/>
  <c r="IX94" i="139"/>
  <c r="IE94" i="139"/>
  <c r="II86" i="139"/>
  <c r="IH86" i="139"/>
  <c r="IG86" i="139"/>
  <c r="IE86" i="139"/>
  <c r="IF86" i="139"/>
  <c r="IX86" i="139"/>
  <c r="IW86" i="139"/>
  <c r="IV86" i="139"/>
  <c r="IU86" i="139"/>
  <c r="IM86" i="139"/>
  <c r="IT86" i="139"/>
  <c r="IL86" i="139"/>
  <c r="IP86" i="139"/>
  <c r="IN86" i="139"/>
  <c r="IO86" i="139"/>
  <c r="IS86" i="139"/>
  <c r="IK86" i="139"/>
  <c r="IR86" i="139"/>
  <c r="IQ86" i="139"/>
  <c r="IJ83" i="139"/>
  <c r="IJ84" i="139"/>
  <c r="HT90" i="139"/>
  <c r="IY88" i="139"/>
  <c r="HT83" i="139"/>
  <c r="HT84" i="139"/>
  <c r="JA93" i="139"/>
  <c r="IZ89" i="139"/>
  <c r="JB91" i="139"/>
  <c r="JB87" i="139"/>
  <c r="JB90" i="139"/>
  <c r="JC86" i="139"/>
  <c r="IZ93" i="139"/>
  <c r="IG84" i="139"/>
  <c r="IE84" i="139"/>
  <c r="IF84" i="139"/>
  <c r="IX84" i="139"/>
  <c r="IW84" i="139"/>
  <c r="IV84" i="139"/>
  <c r="IU84" i="139"/>
  <c r="IR84" i="139"/>
  <c r="IT84" i="139"/>
  <c r="JC84" i="139"/>
  <c r="IN84" i="139"/>
  <c r="IS84" i="139"/>
  <c r="IM84" i="139"/>
  <c r="IL84" i="139"/>
  <c r="IQ84" i="139"/>
  <c r="JB84" i="139"/>
  <c r="IO84" i="139"/>
  <c r="IP84" i="139"/>
  <c r="IO92" i="139"/>
  <c r="IN92" i="139"/>
  <c r="IM92" i="139"/>
  <c r="IL92" i="139"/>
  <c r="IK92" i="139"/>
  <c r="IJ92" i="139"/>
  <c r="II92" i="139"/>
  <c r="IH92" i="139"/>
  <c r="IG92" i="139"/>
  <c r="IF92" i="139"/>
  <c r="IR92" i="139"/>
  <c r="IU92" i="139"/>
  <c r="IT92" i="139"/>
  <c r="IS92" i="139"/>
  <c r="IQ92" i="139"/>
  <c r="IX92" i="139"/>
  <c r="IW92" i="139"/>
  <c r="IE92" i="139"/>
  <c r="IV92" i="139"/>
  <c r="HV92" i="139"/>
  <c r="IK85" i="139"/>
  <c r="IZ88" i="139"/>
  <c r="IY85" i="139"/>
  <c r="JA89" i="139"/>
  <c r="IZ92" i="139"/>
  <c r="IK84" i="139"/>
  <c r="JC87" i="139"/>
  <c r="JC90" i="139"/>
  <c r="HS86" i="139"/>
  <c r="IM90" i="139"/>
  <c r="IK90" i="139"/>
  <c r="IL90" i="139"/>
  <c r="IJ90" i="139"/>
  <c r="II90" i="139"/>
  <c r="IH90" i="139"/>
  <c r="IG90" i="139"/>
  <c r="IF90" i="139"/>
  <c r="IE90" i="139"/>
  <c r="IX90" i="139"/>
  <c r="IP90" i="139"/>
  <c r="IR90" i="139"/>
  <c r="IW90" i="139"/>
  <c r="IQ90" i="139"/>
  <c r="IO90" i="139"/>
  <c r="IV90" i="139"/>
  <c r="IU90" i="139"/>
  <c r="IT90" i="139"/>
  <c r="IS90" i="139"/>
  <c r="IP93" i="139"/>
  <c r="IO93" i="139"/>
  <c r="IN93" i="139"/>
  <c r="IL93" i="139"/>
  <c r="IM93" i="139"/>
  <c r="IK93" i="139"/>
  <c r="IJ93" i="139"/>
  <c r="II93" i="139"/>
  <c r="IH93" i="139"/>
  <c r="IS93" i="139"/>
  <c r="IG93" i="139"/>
  <c r="IX93" i="139"/>
  <c r="IW93" i="139"/>
  <c r="IF93" i="139"/>
  <c r="IV93" i="139"/>
  <c r="IU93" i="139"/>
  <c r="IE93" i="139"/>
  <c r="IT93" i="139"/>
  <c r="IR93" i="139"/>
  <c r="HR88" i="139"/>
  <c r="HU91" i="139"/>
  <c r="JB88" i="139"/>
  <c r="IZ85" i="139"/>
  <c r="JC93" i="139"/>
  <c r="JB89" i="139"/>
  <c r="JA92" i="139"/>
  <c r="IZ94" i="139"/>
  <c r="JB94" i="139"/>
  <c r="IY93" i="139"/>
  <c r="IY86" i="139"/>
  <c r="IY84" i="139"/>
  <c r="IY94" i="139"/>
  <c r="IN91" i="139"/>
  <c r="IM91" i="139"/>
  <c r="IL91" i="139"/>
  <c r="IJ91" i="139"/>
  <c r="IK91" i="139"/>
  <c r="II91" i="139"/>
  <c r="IH91" i="139"/>
  <c r="IG91" i="139"/>
  <c r="IF91" i="139"/>
  <c r="IE91" i="139"/>
  <c r="IT91" i="139"/>
  <c r="IP91" i="139"/>
  <c r="IS91" i="139"/>
  <c r="IX91" i="139"/>
  <c r="IR91" i="139"/>
  <c r="IW91" i="139"/>
  <c r="IQ91" i="139"/>
  <c r="IV91" i="139"/>
  <c r="IU91" i="139"/>
  <c r="IF83" i="139"/>
  <c r="IE83" i="139"/>
  <c r="IX83" i="139"/>
  <c r="IW83" i="139"/>
  <c r="IV83" i="139"/>
  <c r="IU83" i="139"/>
  <c r="JC83" i="139"/>
  <c r="JB83" i="139"/>
  <c r="IT83" i="139"/>
  <c r="IQ83" i="139"/>
  <c r="IR83" i="139"/>
  <c r="IN83" i="139"/>
  <c r="IL83" i="139"/>
  <c r="JA83" i="139"/>
  <c r="IO83" i="139"/>
  <c r="IP83" i="139"/>
  <c r="IS83" i="139"/>
  <c r="HX94" i="139"/>
  <c r="HW93" i="139"/>
  <c r="JA88" i="139"/>
  <c r="IZ83" i="139"/>
  <c r="JA85" i="139"/>
  <c r="IK83" i="139"/>
  <c r="HT86" i="139"/>
  <c r="JA94" i="139"/>
  <c r="JC89" i="139"/>
  <c r="JB92" i="139"/>
  <c r="JC94" i="139"/>
  <c r="IY91" i="139"/>
  <c r="IP92" i="139"/>
  <c r="IY87" i="139"/>
  <c r="IY90" i="139"/>
  <c r="IZ86" i="139"/>
  <c r="IZ84" i="139"/>
  <c r="GP28" i="139"/>
  <c r="GQ37" i="139"/>
  <c r="GQ64" i="139" s="1"/>
  <c r="GQ39" i="139"/>
  <c r="GQ66" i="139" s="1"/>
  <c r="GQ38" i="139"/>
  <c r="GQ65" i="139" s="1"/>
  <c r="GQ34" i="139"/>
  <c r="GQ61" i="139" s="1"/>
  <c r="GQ35" i="139"/>
  <c r="GQ62" i="139" s="1"/>
  <c r="GQ41" i="139"/>
  <c r="GQ68" i="139" s="1"/>
  <c r="GQ40" i="139"/>
  <c r="GQ67" i="139" s="1"/>
  <c r="GQ36" i="139"/>
  <c r="GQ63" i="139" s="1"/>
  <c r="ID84" i="139" l="1"/>
  <c r="IC84" i="139"/>
  <c r="IB84" i="139"/>
  <c r="IA84" i="139"/>
  <c r="HZ84" i="139"/>
  <c r="HW84" i="139"/>
  <c r="HS84" i="139"/>
  <c r="II84" i="139"/>
  <c r="HV84" i="139"/>
  <c r="HU84" i="139"/>
  <c r="HY84" i="139"/>
  <c r="HX84" i="139"/>
  <c r="IH84" i="139"/>
  <c r="ID86" i="139"/>
  <c r="IC86" i="139"/>
  <c r="IB86" i="139"/>
  <c r="IA86" i="139"/>
  <c r="HZ86" i="139"/>
  <c r="HU86" i="139"/>
  <c r="HY86" i="139"/>
  <c r="HW86" i="139"/>
  <c r="HX86" i="139"/>
  <c r="HV86" i="139"/>
  <c r="HR86" i="139"/>
  <c r="IF88" i="139"/>
  <c r="IF87" i="139"/>
  <c r="IH89" i="139"/>
  <c r="HU92" i="139"/>
  <c r="HS92" i="139"/>
  <c r="HT92" i="139"/>
  <c r="HR92" i="139"/>
  <c r="HQ92" i="139"/>
  <c r="HP92" i="139"/>
  <c r="ID92" i="139"/>
  <c r="IC92" i="139"/>
  <c r="HX92" i="139"/>
  <c r="IB92" i="139"/>
  <c r="HY92" i="139"/>
  <c r="IA92" i="139"/>
  <c r="HZ92" i="139"/>
  <c r="HW92" i="139"/>
  <c r="ID85" i="139"/>
  <c r="IC85" i="139"/>
  <c r="IB85" i="139"/>
  <c r="IA85" i="139"/>
  <c r="HW85" i="139"/>
  <c r="HZ85" i="139"/>
  <c r="HU85" i="139"/>
  <c r="HS85" i="139"/>
  <c r="HX85" i="139"/>
  <c r="HV85" i="139"/>
  <c r="II85" i="139"/>
  <c r="HR85" i="139"/>
  <c r="HY85" i="139"/>
  <c r="HT85" i="139"/>
  <c r="IH88" i="139"/>
  <c r="HQ87" i="139"/>
  <c r="HP87" i="139"/>
  <c r="ID87" i="139"/>
  <c r="IC87" i="139"/>
  <c r="IB87" i="139"/>
  <c r="IA87" i="139"/>
  <c r="HX87" i="139"/>
  <c r="HS87" i="139"/>
  <c r="HV87" i="139"/>
  <c r="HU87" i="139"/>
  <c r="HZ87" i="139"/>
  <c r="HT87" i="139"/>
  <c r="HY87" i="139"/>
  <c r="HW87" i="139"/>
  <c r="HR87" i="139"/>
  <c r="HR89" i="139"/>
  <c r="HQ89" i="139"/>
  <c r="HP89" i="139"/>
  <c r="ID89" i="139"/>
  <c r="IC89" i="139"/>
  <c r="HX89" i="139"/>
  <c r="HW89" i="139"/>
  <c r="IB89" i="139"/>
  <c r="IA89" i="139"/>
  <c r="HZ89" i="139"/>
  <c r="HY89" i="139"/>
  <c r="HV89" i="139"/>
  <c r="HU89" i="139"/>
  <c r="HT89" i="139"/>
  <c r="IG88" i="139"/>
  <c r="IE85" i="139"/>
  <c r="HS89" i="139"/>
  <c r="II87" i="139"/>
  <c r="HR90" i="139"/>
  <c r="HS90" i="139"/>
  <c r="HQ90" i="139"/>
  <c r="HP90" i="139"/>
  <c r="ID90" i="139"/>
  <c r="HY90" i="139"/>
  <c r="HX90" i="139"/>
  <c r="HW90" i="139"/>
  <c r="IC90" i="139"/>
  <c r="IB90" i="139"/>
  <c r="IA90" i="139"/>
  <c r="HZ90" i="139"/>
  <c r="HV90" i="139"/>
  <c r="HU90" i="139"/>
  <c r="HT91" i="139"/>
  <c r="HS91" i="139"/>
  <c r="HR91" i="139"/>
  <c r="HQ91" i="139"/>
  <c r="HP91" i="139"/>
  <c r="HZ91" i="139"/>
  <c r="HY91" i="139"/>
  <c r="ID91" i="139"/>
  <c r="IB91" i="139"/>
  <c r="HW91" i="139"/>
  <c r="IC91" i="139"/>
  <c r="IA91" i="139"/>
  <c r="HV91" i="139"/>
  <c r="HX91" i="139"/>
  <c r="IF85" i="139"/>
  <c r="IE89" i="139"/>
  <c r="HQ88" i="139"/>
  <c r="HP88" i="139"/>
  <c r="ID88" i="139"/>
  <c r="IC88" i="139"/>
  <c r="IB88" i="139"/>
  <c r="HX88" i="139"/>
  <c r="HW88" i="139"/>
  <c r="HV88" i="139"/>
  <c r="IA88" i="139"/>
  <c r="HY88" i="139"/>
  <c r="HT88" i="139"/>
  <c r="HZ88" i="139"/>
  <c r="HS88" i="139"/>
  <c r="HU88" i="139"/>
  <c r="HV93" i="139"/>
  <c r="HU93" i="139"/>
  <c r="HT93" i="139"/>
  <c r="HS93" i="139"/>
  <c r="HR93" i="139"/>
  <c r="HQ93" i="139"/>
  <c r="HP93" i="139"/>
  <c r="IB93" i="139"/>
  <c r="IA93" i="139"/>
  <c r="HZ93" i="139"/>
  <c r="ID93" i="139"/>
  <c r="IC93" i="139"/>
  <c r="HY93" i="139"/>
  <c r="HX93" i="139"/>
  <c r="IG85" i="139"/>
  <c r="IE87" i="139"/>
  <c r="IF89" i="139"/>
  <c r="HW94" i="139"/>
  <c r="HT94" i="139"/>
  <c r="HV94" i="139"/>
  <c r="HU94" i="139"/>
  <c r="HS94" i="139"/>
  <c r="HR94" i="139"/>
  <c r="HQ94" i="139"/>
  <c r="HP94" i="139"/>
  <c r="IA94" i="139"/>
  <c r="ID94" i="139"/>
  <c r="IC94" i="139"/>
  <c r="IB94" i="139"/>
  <c r="HZ94" i="139"/>
  <c r="HY94" i="139"/>
  <c r="ID83" i="139"/>
  <c r="IC83" i="139"/>
  <c r="IB83" i="139"/>
  <c r="II83" i="139"/>
  <c r="IA83" i="139"/>
  <c r="IH83" i="139"/>
  <c r="HZ83" i="139"/>
  <c r="HV83" i="139"/>
  <c r="HU83" i="139"/>
  <c r="HY83" i="139"/>
  <c r="HX83" i="139"/>
  <c r="HW83" i="139"/>
  <c r="IG83" i="139"/>
  <c r="IE88" i="139"/>
  <c r="IH85" i="139"/>
  <c r="IG87" i="139"/>
  <c r="IG89" i="139"/>
  <c r="HQ86" i="139"/>
  <c r="GP36" i="139"/>
  <c r="GP63" i="139" s="1"/>
  <c r="HO89" i="139" s="1"/>
  <c r="GP38" i="139"/>
  <c r="GP65" i="139" s="1"/>
  <c r="HO91" i="139" s="1"/>
  <c r="GP40" i="139"/>
  <c r="GP67" i="139" s="1"/>
  <c r="HO93" i="139" s="1"/>
  <c r="GP37" i="139"/>
  <c r="GP64" i="139" s="1"/>
  <c r="HO90" i="139" s="1"/>
  <c r="GP41" i="139"/>
  <c r="GP68" i="139" s="1"/>
  <c r="GP35" i="139"/>
  <c r="GP62" i="139" s="1"/>
  <c r="HO88" i="139" s="1"/>
  <c r="GO28" i="139"/>
  <c r="GP39" i="139"/>
  <c r="GP66" i="139" s="1"/>
  <c r="HO92" i="139" s="1"/>
  <c r="HO94" i="139" l="1"/>
  <c r="GO36" i="139"/>
  <c r="GO63" i="139" s="1"/>
  <c r="HN89" i="139" s="1"/>
  <c r="GO41" i="139"/>
  <c r="GO68" i="139" s="1"/>
  <c r="GO37" i="139"/>
  <c r="GO64" i="139" s="1"/>
  <c r="HN90" i="139" s="1"/>
  <c r="GO39" i="139"/>
  <c r="GO66" i="139" s="1"/>
  <c r="GO40" i="139"/>
  <c r="GO67" i="139" s="1"/>
  <c r="GN28" i="139"/>
  <c r="GO38" i="139"/>
  <c r="GO65" i="139" s="1"/>
  <c r="HN91" i="139" s="1"/>
  <c r="HN93" i="139" l="1"/>
  <c r="HN92" i="139"/>
  <c r="HN94" i="139"/>
  <c r="GM28" i="139"/>
  <c r="GN38" i="139"/>
  <c r="GN65" i="139" s="1"/>
  <c r="HM91" i="139" s="1"/>
  <c r="GN40" i="139"/>
  <c r="GN67" i="139" s="1"/>
  <c r="GN39" i="139"/>
  <c r="GN66" i="139" s="1"/>
  <c r="HM92" i="139" s="1"/>
  <c r="GN41" i="139"/>
  <c r="GN68" i="139" s="1"/>
  <c r="GN37" i="139"/>
  <c r="GN64" i="139" s="1"/>
  <c r="HM90" i="139" s="1"/>
  <c r="HM94" i="139" l="1"/>
  <c r="HM93" i="139"/>
  <c r="GL28" i="139"/>
  <c r="GM39" i="139"/>
  <c r="GM66" i="139" s="1"/>
  <c r="HL92" i="139" s="1"/>
  <c r="GM38" i="139"/>
  <c r="GM65" i="139" s="1"/>
  <c r="HL91" i="139" s="1"/>
  <c r="GM41" i="139"/>
  <c r="GM68" i="139" s="1"/>
  <c r="GM40" i="139"/>
  <c r="GM67" i="139" s="1"/>
  <c r="HL93" i="139" s="1"/>
  <c r="HL94" i="139" l="1"/>
  <c r="GL40" i="139"/>
  <c r="GL67" i="139" s="1"/>
  <c r="HK93" i="139" s="1"/>
  <c r="GL41" i="139"/>
  <c r="GL68" i="139" s="1"/>
  <c r="HK94" i="139" s="1"/>
  <c r="GK28" i="139"/>
  <c r="GL39" i="139"/>
  <c r="GL66" i="139" s="1"/>
  <c r="HK92" i="139" s="1"/>
  <c r="GK41" i="139" l="1"/>
  <c r="GK68" i="139" s="1"/>
  <c r="HJ94" i="139" s="1"/>
  <c r="GK40" i="139"/>
  <c r="GK67" i="139" s="1"/>
  <c r="HJ93" i="139" s="1"/>
  <c r="GJ28" i="139"/>
  <c r="GI28" i="139" l="1"/>
  <c r="GJ41" i="139"/>
  <c r="GJ68" i="139" s="1"/>
  <c r="HI94" i="139" s="1"/>
  <c r="GH28" i="139" l="1"/>
  <c r="GG28" i="139" l="1"/>
  <c r="GF28" i="139" l="1"/>
  <c r="GE28" i="139" l="1"/>
  <c r="GD28" i="139" l="1"/>
  <c r="GC28" i="139" l="1"/>
  <c r="GB28" i="139" l="1"/>
  <c r="GA28" i="139" l="1"/>
  <c r="FZ28" i="139" l="1"/>
  <c r="FY28" i="139" l="1"/>
  <c r="FX28" i="139" l="1"/>
  <c r="FW28" i="139" l="1"/>
  <c r="FV28" i="139" l="1"/>
  <c r="FU28" i="139" l="1"/>
  <c r="FT28" i="139" l="1"/>
  <c r="FS28" i="139" l="1"/>
  <c r="FR28" i="139" l="1"/>
  <c r="GT30" i="139" l="1"/>
  <c r="GT57" i="139" s="1"/>
  <c r="HS83" i="139" s="1"/>
  <c r="GS31" i="139"/>
  <c r="GS58" i="139" s="1"/>
  <c r="HR84" i="139" s="1"/>
  <c r="GR32" i="139"/>
  <c r="GR59" i="139" s="1"/>
  <c r="GQ33" i="139"/>
  <c r="GQ60" i="139" s="1"/>
  <c r="HP86" i="139" s="1"/>
  <c r="GP34" i="139"/>
  <c r="GP61" i="139" s="1"/>
  <c r="HO87" i="139" s="1"/>
  <c r="GO35" i="139"/>
  <c r="GO62" i="139" s="1"/>
  <c r="HN88" i="139" s="1"/>
  <c r="GN36" i="139"/>
  <c r="GN63" i="139" s="1"/>
  <c r="HM89" i="139" s="1"/>
  <c r="GM37" i="139"/>
  <c r="GM64" i="139" s="1"/>
  <c r="HL90" i="139" s="1"/>
  <c r="GL38" i="139"/>
  <c r="GL65" i="139" s="1"/>
  <c r="HK91" i="139" s="1"/>
  <c r="GK39" i="139"/>
  <c r="GK66" i="139" s="1"/>
  <c r="HJ92" i="139" s="1"/>
  <c r="GJ40" i="139"/>
  <c r="GJ67" i="139" s="1"/>
  <c r="HI93" i="139" s="1"/>
  <c r="GI41" i="139"/>
  <c r="GI68" i="139" s="1"/>
  <c r="HH94" i="139" s="1"/>
  <c r="GS30" i="139"/>
  <c r="GS57" i="139" s="1"/>
  <c r="HR83" i="139" s="1"/>
  <c r="GR31" i="139"/>
  <c r="GR58" i="139" s="1"/>
  <c r="HQ84" i="139" s="1"/>
  <c r="GQ32" i="139"/>
  <c r="GQ59" i="139" s="1"/>
  <c r="HP85" i="139" s="1"/>
  <c r="GP33" i="139"/>
  <c r="GP60" i="139" s="1"/>
  <c r="HO86" i="139" s="1"/>
  <c r="GO34" i="139"/>
  <c r="GO61" i="139" s="1"/>
  <c r="HN87" i="139" s="1"/>
  <c r="GN35" i="139"/>
  <c r="GN62" i="139" s="1"/>
  <c r="HM88" i="139" s="1"/>
  <c r="GM36" i="139"/>
  <c r="GM63" i="139" s="1"/>
  <c r="HL89" i="139" s="1"/>
  <c r="GL37" i="139"/>
  <c r="GL64" i="139" s="1"/>
  <c r="HK90" i="139" s="1"/>
  <c r="GK38" i="139"/>
  <c r="GK65" i="139" s="1"/>
  <c r="HJ91" i="139" s="1"/>
  <c r="GJ39" i="139"/>
  <c r="GJ66" i="139" s="1"/>
  <c r="HI92" i="139" s="1"/>
  <c r="GI40" i="139"/>
  <c r="GI67" i="139" s="1"/>
  <c r="HH93" i="139" s="1"/>
  <c r="GH41" i="139"/>
  <c r="GH68" i="139" s="1"/>
  <c r="HG94" i="139" s="1"/>
  <c r="GR30" i="139"/>
  <c r="GR57" i="139" s="1"/>
  <c r="HQ83" i="139" s="1"/>
  <c r="GQ31" i="139"/>
  <c r="GQ58" i="139" s="1"/>
  <c r="HP84" i="139" s="1"/>
  <c r="GP32" i="139"/>
  <c r="GP59" i="139" s="1"/>
  <c r="HO85" i="139" s="1"/>
  <c r="GO33" i="139"/>
  <c r="GO60" i="139" s="1"/>
  <c r="HN86" i="139" s="1"/>
  <c r="GN34" i="139"/>
  <c r="GN61" i="139" s="1"/>
  <c r="HM87" i="139" s="1"/>
  <c r="GM35" i="139"/>
  <c r="GM62" i="139" s="1"/>
  <c r="HL88" i="139" s="1"/>
  <c r="GL36" i="139"/>
  <c r="GL63" i="139" s="1"/>
  <c r="HK89" i="139" s="1"/>
  <c r="GK37" i="139"/>
  <c r="GK64" i="139" s="1"/>
  <c r="HJ90" i="139" s="1"/>
  <c r="GJ38" i="139"/>
  <c r="GJ65" i="139" s="1"/>
  <c r="HI91" i="139" s="1"/>
  <c r="GI39" i="139"/>
  <c r="GI66" i="139" s="1"/>
  <c r="HH92" i="139" s="1"/>
  <c r="GH40" i="139"/>
  <c r="GH67" i="139" s="1"/>
  <c r="HG93" i="139" s="1"/>
  <c r="GG41" i="139"/>
  <c r="GG68" i="139" s="1"/>
  <c r="HF94" i="139" s="1"/>
  <c r="GQ30" i="139"/>
  <c r="GQ57" i="139" s="1"/>
  <c r="HP83" i="139" s="1"/>
  <c r="GP31" i="139"/>
  <c r="GP58" i="139" s="1"/>
  <c r="HO84" i="139" s="1"/>
  <c r="GO32" i="139"/>
  <c r="GO59" i="139" s="1"/>
  <c r="HN85" i="139" s="1"/>
  <c r="GN33" i="139"/>
  <c r="GN60" i="139" s="1"/>
  <c r="HM86" i="139" s="1"/>
  <c r="GM34" i="139"/>
  <c r="GM61" i="139" s="1"/>
  <c r="HL87" i="139" s="1"/>
  <c r="GL35" i="139"/>
  <c r="GL62" i="139" s="1"/>
  <c r="HK88" i="139" s="1"/>
  <c r="GK36" i="139"/>
  <c r="GK63" i="139" s="1"/>
  <c r="HJ89" i="139" s="1"/>
  <c r="GJ37" i="139"/>
  <c r="GJ64" i="139" s="1"/>
  <c r="HI90" i="139" s="1"/>
  <c r="GI38" i="139"/>
  <c r="GI65" i="139" s="1"/>
  <c r="HH91" i="139" s="1"/>
  <c r="GH39" i="139"/>
  <c r="GH66" i="139" s="1"/>
  <c r="HG92" i="139" s="1"/>
  <c r="GG40" i="139"/>
  <c r="GG67" i="139" s="1"/>
  <c r="HF93" i="139" s="1"/>
  <c r="GF41" i="139"/>
  <c r="GF68" i="139" s="1"/>
  <c r="HE94" i="139" s="1"/>
  <c r="GP30" i="139"/>
  <c r="GP57" i="139" s="1"/>
  <c r="HO83" i="139" s="1"/>
  <c r="GO31" i="139"/>
  <c r="GO58" i="139" s="1"/>
  <c r="HN84" i="139" s="1"/>
  <c r="GN32" i="139"/>
  <c r="GN59" i="139" s="1"/>
  <c r="HM85" i="139" s="1"/>
  <c r="GM33" i="139"/>
  <c r="GM60" i="139" s="1"/>
  <c r="HL86" i="139" s="1"/>
  <c r="GL34" i="139"/>
  <c r="GL61" i="139" s="1"/>
  <c r="HK87" i="139" s="1"/>
  <c r="GK35" i="139"/>
  <c r="GK62" i="139" s="1"/>
  <c r="HJ88" i="139" s="1"/>
  <c r="GJ36" i="139"/>
  <c r="GJ63" i="139" s="1"/>
  <c r="HI89" i="139" s="1"/>
  <c r="GI37" i="139"/>
  <c r="GI64" i="139" s="1"/>
  <c r="HH90" i="139" s="1"/>
  <c r="GH38" i="139"/>
  <c r="GH65" i="139" s="1"/>
  <c r="HG91" i="139" s="1"/>
  <c r="GG39" i="139"/>
  <c r="GG66" i="139" s="1"/>
  <c r="HF92" i="139" s="1"/>
  <c r="GF40" i="139"/>
  <c r="GF67" i="139" s="1"/>
  <c r="HE93" i="139" s="1"/>
  <c r="GE41" i="139"/>
  <c r="GE68" i="139" s="1"/>
  <c r="HD94" i="139" s="1"/>
  <c r="GO30" i="139"/>
  <c r="GO57" i="139" s="1"/>
  <c r="HN83" i="139" s="1"/>
  <c r="GN31" i="139"/>
  <c r="GN58" i="139" s="1"/>
  <c r="HM84" i="139" s="1"/>
  <c r="GM32" i="139"/>
  <c r="GM59" i="139" s="1"/>
  <c r="HL85" i="139" s="1"/>
  <c r="GL33" i="139"/>
  <c r="GL60" i="139" s="1"/>
  <c r="HK86" i="139" s="1"/>
  <c r="GK34" i="139"/>
  <c r="GK61" i="139" s="1"/>
  <c r="HJ87" i="139" s="1"/>
  <c r="GJ35" i="139"/>
  <c r="GJ62" i="139" s="1"/>
  <c r="HI88" i="139" s="1"/>
  <c r="GI36" i="139"/>
  <c r="GI63" i="139" s="1"/>
  <c r="HH89" i="139" s="1"/>
  <c r="GH37" i="139"/>
  <c r="GH64" i="139" s="1"/>
  <c r="HG90" i="139" s="1"/>
  <c r="GG38" i="139"/>
  <c r="GG65" i="139" s="1"/>
  <c r="HF91" i="139" s="1"/>
  <c r="GF39" i="139"/>
  <c r="GF66" i="139" s="1"/>
  <c r="HE92" i="139" s="1"/>
  <c r="GE40" i="139"/>
  <c r="GE67" i="139" s="1"/>
  <c r="HD93" i="139" s="1"/>
  <c r="GD41" i="139"/>
  <c r="GD68" i="139" s="1"/>
  <c r="HC94" i="139" s="1"/>
  <c r="GN30" i="139"/>
  <c r="GN57" i="139" s="1"/>
  <c r="HM83" i="139" s="1"/>
  <c r="GM31" i="139"/>
  <c r="GM58" i="139" s="1"/>
  <c r="HL84" i="139" s="1"/>
  <c r="GL32" i="139"/>
  <c r="GL59" i="139" s="1"/>
  <c r="HK85" i="139" s="1"/>
  <c r="GK33" i="139"/>
  <c r="GK60" i="139" s="1"/>
  <c r="HJ86" i="139" s="1"/>
  <c r="GJ34" i="139"/>
  <c r="GJ61" i="139" s="1"/>
  <c r="HI87" i="139" s="1"/>
  <c r="GI35" i="139"/>
  <c r="GI62" i="139" s="1"/>
  <c r="HH88" i="139" s="1"/>
  <c r="GH36" i="139"/>
  <c r="GH63" i="139" s="1"/>
  <c r="HG89" i="139" s="1"/>
  <c r="GG37" i="139"/>
  <c r="GG64" i="139" s="1"/>
  <c r="HF90" i="139" s="1"/>
  <c r="GF38" i="139"/>
  <c r="GF65" i="139" s="1"/>
  <c r="HE91" i="139" s="1"/>
  <c r="GE39" i="139"/>
  <c r="GE66" i="139" s="1"/>
  <c r="HD92" i="139" s="1"/>
  <c r="GD40" i="139"/>
  <c r="GD67" i="139" s="1"/>
  <c r="HC93" i="139" s="1"/>
  <c r="GC41" i="139"/>
  <c r="GC68" i="139" s="1"/>
  <c r="HB94" i="139" s="1"/>
  <c r="GM30" i="139"/>
  <c r="GM57" i="139" s="1"/>
  <c r="HL83" i="139" s="1"/>
  <c r="GL31" i="139"/>
  <c r="GL58" i="139" s="1"/>
  <c r="HK84" i="139" s="1"/>
  <c r="GK32" i="139"/>
  <c r="GK59" i="139" s="1"/>
  <c r="HJ85" i="139" s="1"/>
  <c r="GJ33" i="139"/>
  <c r="GJ60" i="139" s="1"/>
  <c r="HI86" i="139" s="1"/>
  <c r="GI34" i="139"/>
  <c r="GI61" i="139" s="1"/>
  <c r="HH87" i="139" s="1"/>
  <c r="GH35" i="139"/>
  <c r="GH62" i="139" s="1"/>
  <c r="HG88" i="139" s="1"/>
  <c r="GG36" i="139"/>
  <c r="GG63" i="139" s="1"/>
  <c r="HF89" i="139" s="1"/>
  <c r="GF37" i="139"/>
  <c r="GF64" i="139" s="1"/>
  <c r="HE90" i="139" s="1"/>
  <c r="GE38" i="139"/>
  <c r="GE65" i="139" s="1"/>
  <c r="HD91" i="139" s="1"/>
  <c r="GD39" i="139"/>
  <c r="GD66" i="139" s="1"/>
  <c r="HC92" i="139" s="1"/>
  <c r="GC40" i="139"/>
  <c r="GC67" i="139" s="1"/>
  <c r="HB93" i="139" s="1"/>
  <c r="GB41" i="139"/>
  <c r="GB68" i="139" s="1"/>
  <c r="HA94" i="139" s="1"/>
  <c r="GL30" i="139"/>
  <c r="GL57" i="139" s="1"/>
  <c r="HK83" i="139" s="1"/>
  <c r="GK31" i="139"/>
  <c r="GK58" i="139" s="1"/>
  <c r="HJ84" i="139" s="1"/>
  <c r="GJ32" i="139"/>
  <c r="GJ59" i="139" s="1"/>
  <c r="HI85" i="139" s="1"/>
  <c r="GI33" i="139"/>
  <c r="GI60" i="139" s="1"/>
  <c r="HH86" i="139" s="1"/>
  <c r="GH34" i="139"/>
  <c r="GH61" i="139" s="1"/>
  <c r="HG87" i="139" s="1"/>
  <c r="GG35" i="139"/>
  <c r="GG62" i="139" s="1"/>
  <c r="HF88" i="139" s="1"/>
  <c r="GF36" i="139"/>
  <c r="GF63" i="139" s="1"/>
  <c r="HE89" i="139" s="1"/>
  <c r="GE37" i="139"/>
  <c r="GE64" i="139" s="1"/>
  <c r="HD90" i="139" s="1"/>
  <c r="GD38" i="139"/>
  <c r="GD65" i="139" s="1"/>
  <c r="HC91" i="139" s="1"/>
  <c r="GC39" i="139"/>
  <c r="GC66" i="139" s="1"/>
  <c r="HB92" i="139" s="1"/>
  <c r="GB40" i="139"/>
  <c r="GB67" i="139" s="1"/>
  <c r="HA93" i="139" s="1"/>
  <c r="GA41" i="139"/>
  <c r="GA68" i="139" s="1"/>
  <c r="GZ94" i="139" s="1"/>
  <c r="GK30" i="139"/>
  <c r="GK57" i="139" s="1"/>
  <c r="HJ83" i="139" s="1"/>
  <c r="GJ31" i="139"/>
  <c r="GJ58" i="139" s="1"/>
  <c r="HI84" i="139" s="1"/>
  <c r="GI32" i="139"/>
  <c r="GI59" i="139" s="1"/>
  <c r="HH85" i="139" s="1"/>
  <c r="GH33" i="139"/>
  <c r="GH60" i="139" s="1"/>
  <c r="HG86" i="139" s="1"/>
  <c r="GG34" i="139"/>
  <c r="GG61" i="139" s="1"/>
  <c r="HF87" i="139" s="1"/>
  <c r="GF35" i="139"/>
  <c r="GF62" i="139" s="1"/>
  <c r="HE88" i="139" s="1"/>
  <c r="GE36" i="139"/>
  <c r="GE63" i="139" s="1"/>
  <c r="HD89" i="139" s="1"/>
  <c r="GD37" i="139"/>
  <c r="GD64" i="139" s="1"/>
  <c r="HC90" i="139" s="1"/>
  <c r="GC38" i="139"/>
  <c r="GC65" i="139" s="1"/>
  <c r="HB91" i="139" s="1"/>
  <c r="GB39" i="139"/>
  <c r="GB66" i="139" s="1"/>
  <c r="HA92" i="139" s="1"/>
  <c r="GA40" i="139"/>
  <c r="GA67" i="139" s="1"/>
  <c r="FZ41" i="139"/>
  <c r="FZ68" i="139" s="1"/>
  <c r="GY94" i="139" s="1"/>
  <c r="GJ30" i="139"/>
  <c r="GJ57" i="139" s="1"/>
  <c r="HI83" i="139" s="1"/>
  <c r="GI31" i="139"/>
  <c r="GI58" i="139" s="1"/>
  <c r="HH84" i="139" s="1"/>
  <c r="GH32" i="139"/>
  <c r="GH59" i="139" s="1"/>
  <c r="HG85" i="139" s="1"/>
  <c r="GG33" i="139"/>
  <c r="GG60" i="139" s="1"/>
  <c r="HF86" i="139" s="1"/>
  <c r="GF34" i="139"/>
  <c r="GF61" i="139" s="1"/>
  <c r="HE87" i="139" s="1"/>
  <c r="GE35" i="139"/>
  <c r="GE62" i="139" s="1"/>
  <c r="HD88" i="139" s="1"/>
  <c r="GD36" i="139"/>
  <c r="GD63" i="139" s="1"/>
  <c r="HC89" i="139" s="1"/>
  <c r="GC37" i="139"/>
  <c r="GC64" i="139" s="1"/>
  <c r="HB90" i="139" s="1"/>
  <c r="GB38" i="139"/>
  <c r="GB65" i="139" s="1"/>
  <c r="HA91" i="139" s="1"/>
  <c r="GA39" i="139"/>
  <c r="GA66" i="139" s="1"/>
  <c r="GZ92" i="139" s="1"/>
  <c r="FZ40" i="139"/>
  <c r="FZ67" i="139" s="1"/>
  <c r="FY41" i="139"/>
  <c r="FY68" i="139" s="1"/>
  <c r="GX94" i="139" s="1"/>
  <c r="GI30" i="139"/>
  <c r="GI57" i="139" s="1"/>
  <c r="HH83" i="139" s="1"/>
  <c r="GH31" i="139"/>
  <c r="GH58" i="139" s="1"/>
  <c r="HG84" i="139" s="1"/>
  <c r="GG32" i="139"/>
  <c r="GG59" i="139" s="1"/>
  <c r="HF85" i="139" s="1"/>
  <c r="GF33" i="139"/>
  <c r="GF60" i="139" s="1"/>
  <c r="HE86" i="139" s="1"/>
  <c r="GE34" i="139"/>
  <c r="GE61" i="139" s="1"/>
  <c r="HD87" i="139" s="1"/>
  <c r="GD35" i="139"/>
  <c r="GD62" i="139" s="1"/>
  <c r="HC88" i="139" s="1"/>
  <c r="GC36" i="139"/>
  <c r="GC63" i="139" s="1"/>
  <c r="HB89" i="139" s="1"/>
  <c r="GB37" i="139"/>
  <c r="GB64" i="139" s="1"/>
  <c r="HA90" i="139" s="1"/>
  <c r="GA38" i="139"/>
  <c r="GA65" i="139" s="1"/>
  <c r="GZ91" i="139" s="1"/>
  <c r="FZ39" i="139"/>
  <c r="FZ66" i="139" s="1"/>
  <c r="GY92" i="139" s="1"/>
  <c r="FY40" i="139"/>
  <c r="FY67" i="139" s="1"/>
  <c r="FX41" i="139"/>
  <c r="FX68" i="139" s="1"/>
  <c r="GW94" i="139" s="1"/>
  <c r="GH30" i="139"/>
  <c r="GH57" i="139" s="1"/>
  <c r="HG83" i="139" s="1"/>
  <c r="GG31" i="139"/>
  <c r="GG58" i="139" s="1"/>
  <c r="HF84" i="139" s="1"/>
  <c r="GF32" i="139"/>
  <c r="GF59" i="139" s="1"/>
  <c r="HE85" i="139" s="1"/>
  <c r="GE33" i="139"/>
  <c r="GE60" i="139" s="1"/>
  <c r="HD86" i="139" s="1"/>
  <c r="GD34" i="139"/>
  <c r="GD61" i="139" s="1"/>
  <c r="HC87" i="139" s="1"/>
  <c r="GC35" i="139"/>
  <c r="GC62" i="139" s="1"/>
  <c r="HB88" i="139" s="1"/>
  <c r="GB36" i="139"/>
  <c r="GB63" i="139" s="1"/>
  <c r="HA89" i="139" s="1"/>
  <c r="GA37" i="139"/>
  <c r="GA64" i="139" s="1"/>
  <c r="GZ90" i="139" s="1"/>
  <c r="FZ38" i="139"/>
  <c r="FZ65" i="139" s="1"/>
  <c r="GY91" i="139" s="1"/>
  <c r="FY39" i="139"/>
  <c r="FY66" i="139" s="1"/>
  <c r="GX92" i="139" s="1"/>
  <c r="FX40" i="139"/>
  <c r="FX67" i="139" s="1"/>
  <c r="FW41" i="139"/>
  <c r="FW68" i="139" s="1"/>
  <c r="GG30" i="139"/>
  <c r="GG57" i="139" s="1"/>
  <c r="HF83" i="139" s="1"/>
  <c r="GF31" i="139"/>
  <c r="GF58" i="139" s="1"/>
  <c r="HE84" i="139" s="1"/>
  <c r="GE32" i="139"/>
  <c r="GE59" i="139" s="1"/>
  <c r="HD85" i="139" s="1"/>
  <c r="GD33" i="139"/>
  <c r="GD60" i="139" s="1"/>
  <c r="HC86" i="139" s="1"/>
  <c r="GC34" i="139"/>
  <c r="GC61" i="139" s="1"/>
  <c r="HB87" i="139" s="1"/>
  <c r="GB35" i="139"/>
  <c r="GB62" i="139" s="1"/>
  <c r="HA88" i="139" s="1"/>
  <c r="GA36" i="139"/>
  <c r="GA63" i="139" s="1"/>
  <c r="GZ89" i="139" s="1"/>
  <c r="FZ37" i="139"/>
  <c r="FZ64" i="139" s="1"/>
  <c r="GY90" i="139" s="1"/>
  <c r="FY38" i="139"/>
  <c r="FY65" i="139" s="1"/>
  <c r="GX91" i="139" s="1"/>
  <c r="FX39" i="139"/>
  <c r="FX66" i="139" s="1"/>
  <c r="GW92" i="139" s="1"/>
  <c r="FW40" i="139"/>
  <c r="FW67" i="139" s="1"/>
  <c r="FV41" i="139"/>
  <c r="FV68" i="139" s="1"/>
  <c r="GF30" i="139"/>
  <c r="GF57" i="139" s="1"/>
  <c r="HE83" i="139" s="1"/>
  <c r="GE31" i="139"/>
  <c r="GE58" i="139" s="1"/>
  <c r="HD84" i="139" s="1"/>
  <c r="GD32" i="139"/>
  <c r="GD59" i="139" s="1"/>
  <c r="HC85" i="139" s="1"/>
  <c r="GC33" i="139"/>
  <c r="GC60" i="139" s="1"/>
  <c r="HB86" i="139" s="1"/>
  <c r="GB34" i="139"/>
  <c r="GB61" i="139" s="1"/>
  <c r="HA87" i="139" s="1"/>
  <c r="GA35" i="139"/>
  <c r="GA62" i="139" s="1"/>
  <c r="GZ88" i="139" s="1"/>
  <c r="FZ36" i="139"/>
  <c r="FZ63" i="139" s="1"/>
  <c r="GY89" i="139" s="1"/>
  <c r="FY37" i="139"/>
  <c r="FY64" i="139" s="1"/>
  <c r="GX90" i="139" s="1"/>
  <c r="FX38" i="139"/>
  <c r="FX65" i="139" s="1"/>
  <c r="GW91" i="139" s="1"/>
  <c r="FW39" i="139"/>
  <c r="FW66" i="139" s="1"/>
  <c r="FV40" i="139"/>
  <c r="FV67" i="139" s="1"/>
  <c r="FU41" i="139"/>
  <c r="FU68" i="139" s="1"/>
  <c r="GE30" i="139"/>
  <c r="GE57" i="139" s="1"/>
  <c r="HD83" i="139" s="1"/>
  <c r="GD31" i="139"/>
  <c r="GD58" i="139" s="1"/>
  <c r="HC84" i="139" s="1"/>
  <c r="GC32" i="139"/>
  <c r="GC59" i="139" s="1"/>
  <c r="GB33" i="139"/>
  <c r="GB60" i="139" s="1"/>
  <c r="HA86" i="139" s="1"/>
  <c r="GA34" i="139"/>
  <c r="GA61" i="139" s="1"/>
  <c r="GZ87" i="139" s="1"/>
  <c r="FZ35" i="139"/>
  <c r="FZ62" i="139" s="1"/>
  <c r="GY88" i="139" s="1"/>
  <c r="FY36" i="139"/>
  <c r="FY63" i="139" s="1"/>
  <c r="GX89" i="139" s="1"/>
  <c r="FX37" i="139"/>
  <c r="FX64" i="139" s="1"/>
  <c r="GW90" i="139" s="1"/>
  <c r="FW38" i="139"/>
  <c r="FW65" i="139" s="1"/>
  <c r="FV39" i="139"/>
  <c r="FV66" i="139" s="1"/>
  <c r="FU40" i="139"/>
  <c r="FU67" i="139" s="1"/>
  <c r="FT41" i="139"/>
  <c r="FT68" i="139" s="1"/>
  <c r="GD30" i="139"/>
  <c r="GD57" i="139" s="1"/>
  <c r="HC83" i="139" s="1"/>
  <c r="GC31" i="139"/>
  <c r="GC58" i="139" s="1"/>
  <c r="HB84" i="139" s="1"/>
  <c r="GB32" i="139"/>
  <c r="GB59" i="139" s="1"/>
  <c r="HA85" i="139" s="1"/>
  <c r="GA33" i="139"/>
  <c r="GA60" i="139" s="1"/>
  <c r="GZ86" i="139" s="1"/>
  <c r="FZ34" i="139"/>
  <c r="FZ61" i="139" s="1"/>
  <c r="FY35" i="139"/>
  <c r="FY62" i="139" s="1"/>
  <c r="GX88" i="139" s="1"/>
  <c r="FX36" i="139"/>
  <c r="FX63" i="139" s="1"/>
  <c r="GW89" i="139" s="1"/>
  <c r="FW37" i="139"/>
  <c r="FW64" i="139" s="1"/>
  <c r="FV38" i="139"/>
  <c r="FV65" i="139" s="1"/>
  <c r="FU39" i="139"/>
  <c r="FU66" i="139" s="1"/>
  <c r="FT40" i="139"/>
  <c r="FT67" i="139" s="1"/>
  <c r="FS41" i="139"/>
  <c r="FS68" i="139" s="1"/>
  <c r="GC30" i="139"/>
  <c r="GC57" i="139" s="1"/>
  <c r="HB83" i="139" s="1"/>
  <c r="GB31" i="139"/>
  <c r="GB58" i="139" s="1"/>
  <c r="HA84" i="139" s="1"/>
  <c r="GA32" i="139"/>
  <c r="GA59" i="139" s="1"/>
  <c r="GZ85" i="139" s="1"/>
  <c r="FZ33" i="139"/>
  <c r="FZ60" i="139" s="1"/>
  <c r="GY86" i="139" s="1"/>
  <c r="FY34" i="139"/>
  <c r="FY61" i="139" s="1"/>
  <c r="FX35" i="139"/>
  <c r="FX62" i="139" s="1"/>
  <c r="GW88" i="139" s="1"/>
  <c r="FW36" i="139"/>
  <c r="FW63" i="139" s="1"/>
  <c r="FV37" i="139"/>
  <c r="FV64" i="139" s="1"/>
  <c r="FU38" i="139"/>
  <c r="FU65" i="139" s="1"/>
  <c r="FT39" i="139"/>
  <c r="FT66" i="139" s="1"/>
  <c r="FS40" i="139"/>
  <c r="FS67" i="139" s="1"/>
  <c r="FR41" i="139"/>
  <c r="FR68" i="139" s="1"/>
  <c r="GB30" i="139"/>
  <c r="GB57" i="139" s="1"/>
  <c r="HA83" i="139" s="1"/>
  <c r="GA31" i="139"/>
  <c r="GA58" i="139" s="1"/>
  <c r="GZ84" i="139" s="1"/>
  <c r="FZ32" i="139"/>
  <c r="FZ59" i="139" s="1"/>
  <c r="GY85" i="139" s="1"/>
  <c r="FY33" i="139"/>
  <c r="FY60" i="139" s="1"/>
  <c r="GX86" i="139" s="1"/>
  <c r="FX34" i="139"/>
  <c r="FX61" i="139" s="1"/>
  <c r="FW35" i="139"/>
  <c r="FW62" i="139" s="1"/>
  <c r="FV36" i="139"/>
  <c r="FV63" i="139" s="1"/>
  <c r="FU37" i="139"/>
  <c r="FU64" i="139" s="1"/>
  <c r="FT38" i="139"/>
  <c r="FT65" i="139" s="1"/>
  <c r="FS39" i="139"/>
  <c r="FS66" i="139" s="1"/>
  <c r="FR40" i="139"/>
  <c r="FR67" i="139" s="1"/>
  <c r="GA30" i="139"/>
  <c r="GA57" i="139" s="1"/>
  <c r="FZ31" i="139"/>
  <c r="FZ58" i="139" s="1"/>
  <c r="FY32" i="139"/>
  <c r="FY59" i="139" s="1"/>
  <c r="FX33" i="139"/>
  <c r="FX60" i="139" s="1"/>
  <c r="FW34" i="139"/>
  <c r="FW61" i="139" s="1"/>
  <c r="FV35" i="139"/>
  <c r="FV62" i="139" s="1"/>
  <c r="FU36" i="139"/>
  <c r="FU63" i="139" s="1"/>
  <c r="FT37" i="139"/>
  <c r="FT64" i="139" s="1"/>
  <c r="FS38" i="139"/>
  <c r="FS65" i="139" s="1"/>
  <c r="FR39" i="139"/>
  <c r="FR66" i="139" s="1"/>
  <c r="FZ30" i="139"/>
  <c r="FZ57" i="139" s="1"/>
  <c r="FY31" i="139"/>
  <c r="FY58" i="139" s="1"/>
  <c r="FX32" i="139"/>
  <c r="FX59" i="139" s="1"/>
  <c r="FW33" i="139"/>
  <c r="FW60" i="139" s="1"/>
  <c r="FV34" i="139"/>
  <c r="FV61" i="139" s="1"/>
  <c r="FU35" i="139"/>
  <c r="FU62" i="139" s="1"/>
  <c r="FT36" i="139"/>
  <c r="FT63" i="139" s="1"/>
  <c r="FS37" i="139"/>
  <c r="FS64" i="139" s="1"/>
  <c r="FR38" i="139"/>
  <c r="FR65" i="139" s="1"/>
  <c r="FY30" i="139"/>
  <c r="FY57" i="139" s="1"/>
  <c r="FX31" i="139"/>
  <c r="FX58" i="139" s="1"/>
  <c r="FW32" i="139"/>
  <c r="FW59" i="139" s="1"/>
  <c r="FV33" i="139"/>
  <c r="FV60" i="139" s="1"/>
  <c r="FU34" i="139"/>
  <c r="FU61" i="139" s="1"/>
  <c r="FT35" i="139"/>
  <c r="FT62" i="139" s="1"/>
  <c r="FS36" i="139"/>
  <c r="FS63" i="139" s="1"/>
  <c r="FR37" i="139"/>
  <c r="FR64" i="139" s="1"/>
  <c r="FX30" i="139"/>
  <c r="FX57" i="139" s="1"/>
  <c r="FW31" i="139"/>
  <c r="FW58" i="139" s="1"/>
  <c r="FV32" i="139"/>
  <c r="FV59" i="139" s="1"/>
  <c r="FU33" i="139"/>
  <c r="FU60" i="139" s="1"/>
  <c r="FT34" i="139"/>
  <c r="FT61" i="139" s="1"/>
  <c r="FS35" i="139"/>
  <c r="FS62" i="139" s="1"/>
  <c r="FR36" i="139"/>
  <c r="FR63" i="139" s="1"/>
  <c r="FW30" i="139"/>
  <c r="FW57" i="139" s="1"/>
  <c r="FV31" i="139"/>
  <c r="FV58" i="139" s="1"/>
  <c r="FU32" i="139"/>
  <c r="FU59" i="139" s="1"/>
  <c r="FT33" i="139"/>
  <c r="FT60" i="139" s="1"/>
  <c r="FS34" i="139"/>
  <c r="FS61" i="139" s="1"/>
  <c r="FR35" i="139"/>
  <c r="FR62" i="139" s="1"/>
  <c r="FV30" i="139"/>
  <c r="FV57" i="139" s="1"/>
  <c r="FU31" i="139"/>
  <c r="FU58" i="139" s="1"/>
  <c r="FT32" i="139"/>
  <c r="FT59" i="139" s="1"/>
  <c r="FS33" i="139"/>
  <c r="FS60" i="139" s="1"/>
  <c r="FR34" i="139"/>
  <c r="FR61" i="139" s="1"/>
  <c r="FU30" i="139"/>
  <c r="FU57" i="139" s="1"/>
  <c r="FT31" i="139"/>
  <c r="FT58" i="139" s="1"/>
  <c r="FS32" i="139"/>
  <c r="FS59" i="139" s="1"/>
  <c r="FR33" i="139"/>
  <c r="FR60" i="139" s="1"/>
  <c r="FT30" i="139"/>
  <c r="FT57" i="139" s="1"/>
  <c r="FS31" i="139"/>
  <c r="FS58" i="139" s="1"/>
  <c r="FR32" i="139"/>
  <c r="FR59" i="139" s="1"/>
  <c r="FS30" i="139"/>
  <c r="FS57" i="139" s="1"/>
  <c r="FR31" i="139"/>
  <c r="FR58" i="139" s="1"/>
  <c r="FR30" i="139"/>
  <c r="FR57" i="139" s="1"/>
  <c r="GY93" i="139" l="1"/>
  <c r="GX93" i="139"/>
  <c r="GW93" i="139"/>
  <c r="GZ93" i="139"/>
  <c r="GZ83" i="139"/>
  <c r="GW87" i="139"/>
  <c r="GY87" i="139"/>
  <c r="GX87" i="139"/>
  <c r="GX84" i="139"/>
  <c r="GY83" i="139"/>
  <c r="GX85" i="139"/>
  <c r="GW85" i="139"/>
  <c r="GW84" i="139"/>
  <c r="GW83" i="139"/>
  <c r="GW86" i="139"/>
  <c r="HQ85" i="139"/>
  <c r="HB85" i="139"/>
  <c r="GX83" i="139"/>
  <c r="GY84" i="139"/>
  <c r="GV94" i="139"/>
  <c r="GV88" i="139"/>
  <c r="GV87" i="139"/>
  <c r="GV92" i="139"/>
  <c r="GV86" i="139"/>
  <c r="GV93" i="139"/>
  <c r="GV91" i="139"/>
  <c r="GV85" i="139"/>
  <c r="GV90" i="139"/>
  <c r="GV84" i="139"/>
  <c r="GV89" i="139"/>
  <c r="GV83" i="139"/>
  <c r="GU92" i="139"/>
  <c r="GU91" i="139"/>
  <c r="GU85" i="139"/>
  <c r="GU84" i="139"/>
  <c r="GU93" i="139"/>
  <c r="GU89" i="139"/>
  <c r="GU87" i="139"/>
  <c r="GU90" i="139"/>
  <c r="GU86" i="139"/>
  <c r="GU83" i="139"/>
  <c r="GU94" i="139"/>
  <c r="GU88" i="139"/>
  <c r="GT93" i="139"/>
  <c r="GT91" i="139"/>
  <c r="GT89" i="139"/>
  <c r="GT86" i="139"/>
  <c r="GT92" i="139"/>
  <c r="GT88" i="139"/>
  <c r="GT83" i="139"/>
  <c r="GT94" i="139"/>
  <c r="GT90" i="139"/>
  <c r="GT87" i="139"/>
  <c r="GT85" i="139"/>
  <c r="GT84" i="139"/>
  <c r="GS93" i="139"/>
  <c r="GS88" i="139"/>
  <c r="GS84" i="139"/>
  <c r="GS94" i="139"/>
  <c r="GS92" i="139"/>
  <c r="GS91" i="139"/>
  <c r="GS89" i="139"/>
  <c r="GS86" i="139"/>
  <c r="GS90" i="139"/>
  <c r="GS87" i="139"/>
  <c r="GS83" i="139"/>
  <c r="GS85" i="139"/>
  <c r="GR92" i="139"/>
  <c r="GR84" i="139"/>
  <c r="GR94" i="139"/>
  <c r="GR93" i="139"/>
  <c r="GR91" i="139"/>
  <c r="GR88" i="139"/>
  <c r="GR90" i="139"/>
  <c r="GR89" i="139"/>
  <c r="GR87" i="139"/>
  <c r="GR85" i="139"/>
  <c r="GR83" i="139"/>
  <c r="GR86" i="139"/>
  <c r="GQ84" i="139"/>
  <c r="GQ92" i="139"/>
  <c r="GQ88" i="139"/>
  <c r="GQ90" i="139"/>
  <c r="GQ86" i="139"/>
  <c r="GQ83" i="139"/>
  <c r="GQ94" i="139"/>
  <c r="GQ93" i="139"/>
  <c r="GQ91" i="139"/>
  <c r="GQ89" i="139"/>
  <c r="GQ87" i="139"/>
  <c r="GQ85" i="139"/>
  <c r="JN56" i="139" l="1"/>
  <c r="FQ28" i="139" l="1"/>
  <c r="FQ31" i="139" l="1"/>
  <c r="FQ58" i="139" s="1"/>
  <c r="FQ39" i="139"/>
  <c r="FQ66" i="139" s="1"/>
  <c r="FQ40" i="139"/>
  <c r="FQ67" i="139" s="1"/>
  <c r="FQ30" i="139"/>
  <c r="FQ57" i="139" s="1"/>
  <c r="FQ33" i="139"/>
  <c r="FQ60" i="139" s="1"/>
  <c r="FQ36" i="139"/>
  <c r="FQ63" i="139" s="1"/>
  <c r="FQ32" i="139"/>
  <c r="FQ59" i="139" s="1"/>
  <c r="FP28" i="139"/>
  <c r="FQ41" i="139"/>
  <c r="FQ68" i="139" s="1"/>
  <c r="FQ37" i="139"/>
  <c r="FQ64" i="139" s="1"/>
  <c r="FQ38" i="139"/>
  <c r="FQ65" i="139" s="1"/>
  <c r="FQ34" i="139"/>
  <c r="FQ61" i="139" s="1"/>
  <c r="FQ35" i="139"/>
  <c r="FQ62" i="139" s="1"/>
  <c r="GP83" i="139" l="1"/>
  <c r="GP92" i="139"/>
  <c r="GP87" i="139"/>
  <c r="GP90" i="139"/>
  <c r="GP89" i="139"/>
  <c r="GP93" i="139"/>
  <c r="GP84" i="139"/>
  <c r="GP88" i="139"/>
  <c r="GP91" i="139"/>
  <c r="GP94" i="139"/>
  <c r="GP85" i="139"/>
  <c r="GP86" i="139"/>
  <c r="FP31" i="139"/>
  <c r="FP58" i="139" s="1"/>
  <c r="FP30" i="139"/>
  <c r="FP57" i="139" s="1"/>
  <c r="FP37" i="139"/>
  <c r="FP64" i="139" s="1"/>
  <c r="FP35" i="139"/>
  <c r="FP62" i="139" s="1"/>
  <c r="FO28" i="139"/>
  <c r="FP41" i="139"/>
  <c r="FP68" i="139" s="1"/>
  <c r="FP38" i="139"/>
  <c r="FP65" i="139" s="1"/>
  <c r="FP40" i="139"/>
  <c r="FP67" i="139" s="1"/>
  <c r="FP33" i="139"/>
  <c r="FP60" i="139" s="1"/>
  <c r="FP34" i="139"/>
  <c r="FP61" i="139" s="1"/>
  <c r="FP36" i="139"/>
  <c r="FP63" i="139" s="1"/>
  <c r="FP39" i="139"/>
  <c r="FP66" i="139" s="1"/>
  <c r="FP32" i="139"/>
  <c r="FP59" i="139" s="1"/>
  <c r="GO93" i="139" l="1"/>
  <c r="GO83" i="139"/>
  <c r="GO85" i="139"/>
  <c r="GO87" i="139"/>
  <c r="GO88" i="139"/>
  <c r="GO84" i="139"/>
  <c r="GO92" i="139"/>
  <c r="GO86" i="139"/>
  <c r="GO91" i="139"/>
  <c r="GO89" i="139"/>
  <c r="GO94" i="139"/>
  <c r="GO90" i="139"/>
  <c r="FO37" i="139"/>
  <c r="FO64" i="139" s="1"/>
  <c r="FO39" i="139"/>
  <c r="FO66" i="139" s="1"/>
  <c r="FO32" i="139"/>
  <c r="FO59" i="139" s="1"/>
  <c r="FO36" i="139"/>
  <c r="FO63" i="139" s="1"/>
  <c r="FO41" i="139"/>
  <c r="FO68" i="139" s="1"/>
  <c r="FO38" i="139"/>
  <c r="FO65" i="139" s="1"/>
  <c r="FO35" i="139"/>
  <c r="FO62" i="139" s="1"/>
  <c r="FN28" i="139"/>
  <c r="FO31" i="139"/>
  <c r="FO58" i="139" s="1"/>
  <c r="FO30" i="139"/>
  <c r="FO57" i="139" s="1"/>
  <c r="GN83" i="139" s="1"/>
  <c r="FO40" i="139"/>
  <c r="FO67" i="139" s="1"/>
  <c r="FO33" i="139"/>
  <c r="FO60" i="139" s="1"/>
  <c r="FO34" i="139"/>
  <c r="FO61" i="139" s="1"/>
  <c r="GN91" i="139" l="1"/>
  <c r="GN92" i="139"/>
  <c r="GN87" i="139"/>
  <c r="GN88" i="139"/>
  <c r="GN90" i="139"/>
  <c r="GN86" i="139"/>
  <c r="GN84" i="139"/>
  <c r="GN94" i="139"/>
  <c r="GN89" i="139"/>
  <c r="GN93" i="139"/>
  <c r="GN85" i="139"/>
  <c r="FN34" i="139"/>
  <c r="FN61" i="139" s="1"/>
  <c r="FN37" i="139"/>
  <c r="FN64" i="139" s="1"/>
  <c r="FN30" i="139"/>
  <c r="FN57" i="139" s="1"/>
  <c r="GM83" i="139" s="1"/>
  <c r="FN33" i="139"/>
  <c r="FN60" i="139" s="1"/>
  <c r="FN31" i="139"/>
  <c r="FN58" i="139" s="1"/>
  <c r="GM84" i="139" s="1"/>
  <c r="FN32" i="139"/>
  <c r="FN59" i="139" s="1"/>
  <c r="FN41" i="139"/>
  <c r="FN68" i="139" s="1"/>
  <c r="FN35" i="139"/>
  <c r="FN62" i="139" s="1"/>
  <c r="FN38" i="139"/>
  <c r="FN65" i="139" s="1"/>
  <c r="FN36" i="139"/>
  <c r="FN63" i="139" s="1"/>
  <c r="FM28" i="139"/>
  <c r="FN40" i="139"/>
  <c r="FN67" i="139" s="1"/>
  <c r="FN39" i="139"/>
  <c r="FN66" i="139" s="1"/>
  <c r="GM92" i="139" l="1"/>
  <c r="GM94" i="139"/>
  <c r="GM89" i="139"/>
  <c r="GM90" i="139"/>
  <c r="GM93" i="139"/>
  <c r="GM85" i="139"/>
  <c r="GM86" i="139"/>
  <c r="GM87" i="139"/>
  <c r="GM91" i="139"/>
  <c r="GM88" i="139"/>
  <c r="FM35" i="139"/>
  <c r="FM62" i="139" s="1"/>
  <c r="FM34" i="139"/>
  <c r="FM61" i="139" s="1"/>
  <c r="FM33" i="139"/>
  <c r="FM60" i="139" s="1"/>
  <c r="FM30" i="139"/>
  <c r="FM57" i="139" s="1"/>
  <c r="GL83" i="139" s="1"/>
  <c r="FM41" i="139"/>
  <c r="FM68" i="139" s="1"/>
  <c r="FM38" i="139"/>
  <c r="FM65" i="139" s="1"/>
  <c r="FM39" i="139"/>
  <c r="FM66" i="139" s="1"/>
  <c r="FM31" i="139"/>
  <c r="FM58" i="139" s="1"/>
  <c r="GL84" i="139" s="1"/>
  <c r="FM37" i="139"/>
  <c r="FM64" i="139" s="1"/>
  <c r="FM40" i="139"/>
  <c r="FM67" i="139" s="1"/>
  <c r="FM32" i="139"/>
  <c r="FM59" i="139" s="1"/>
  <c r="GL85" i="139" s="1"/>
  <c r="FM36" i="139"/>
  <c r="FM63" i="139" s="1"/>
  <c r="FL28" i="139"/>
  <c r="GL93" i="139" l="1"/>
  <c r="GL90" i="139"/>
  <c r="GL92" i="139"/>
  <c r="GL86" i="139"/>
  <c r="GL88" i="139"/>
  <c r="GL91" i="139"/>
  <c r="GL89" i="139"/>
  <c r="GL94" i="139"/>
  <c r="GL87" i="139"/>
  <c r="FL31" i="139"/>
  <c r="FL58" i="139" s="1"/>
  <c r="GK84" i="139" s="1"/>
  <c r="FL36" i="139"/>
  <c r="FL63" i="139" s="1"/>
  <c r="FL38" i="139"/>
  <c r="FL65" i="139" s="1"/>
  <c r="FK28" i="139"/>
  <c r="FL34" i="139"/>
  <c r="FL61" i="139" s="1"/>
  <c r="FL39" i="139"/>
  <c r="FL66" i="139" s="1"/>
  <c r="FL41" i="139"/>
  <c r="FL68" i="139" s="1"/>
  <c r="FL35" i="139"/>
  <c r="FL62" i="139" s="1"/>
  <c r="FL37" i="139"/>
  <c r="FL64" i="139" s="1"/>
  <c r="FL32" i="139"/>
  <c r="FL59" i="139" s="1"/>
  <c r="GK85" i="139" s="1"/>
  <c r="FL33" i="139"/>
  <c r="FL60" i="139" s="1"/>
  <c r="GK86" i="139" s="1"/>
  <c r="FL40" i="139"/>
  <c r="FL67" i="139" s="1"/>
  <c r="FL30" i="139"/>
  <c r="FL57" i="139" s="1"/>
  <c r="GK83" i="139" s="1"/>
  <c r="GK93" i="139" l="1"/>
  <c r="GK94" i="139"/>
  <c r="GK92" i="139"/>
  <c r="GK91" i="139"/>
  <c r="GK90" i="139"/>
  <c r="GK87" i="139"/>
  <c r="GK89" i="139"/>
  <c r="GK88" i="139"/>
  <c r="FK36" i="139"/>
  <c r="FK63" i="139" s="1"/>
  <c r="FK41" i="139"/>
  <c r="FK68" i="139" s="1"/>
  <c r="FK39" i="139"/>
  <c r="FK66" i="139" s="1"/>
  <c r="FK35" i="139"/>
  <c r="FK62" i="139" s="1"/>
  <c r="FK40" i="139"/>
  <c r="FK67" i="139" s="1"/>
  <c r="FK30" i="139"/>
  <c r="FK57" i="139" s="1"/>
  <c r="GJ83" i="139" s="1"/>
  <c r="FJ28" i="139"/>
  <c r="FK33" i="139"/>
  <c r="FK60" i="139" s="1"/>
  <c r="GJ86" i="139" s="1"/>
  <c r="FK34" i="139"/>
  <c r="FK61" i="139" s="1"/>
  <c r="GJ87" i="139" s="1"/>
  <c r="FK37" i="139"/>
  <c r="FK64" i="139" s="1"/>
  <c r="FK32" i="139"/>
  <c r="FK59" i="139" s="1"/>
  <c r="GJ85" i="139" s="1"/>
  <c r="FK31" i="139"/>
  <c r="FK58" i="139" s="1"/>
  <c r="GJ84" i="139" s="1"/>
  <c r="FK38" i="139"/>
  <c r="FK65" i="139" s="1"/>
  <c r="GJ90" i="139" l="1"/>
  <c r="GJ92" i="139"/>
  <c r="GJ89" i="139"/>
  <c r="GJ91" i="139"/>
  <c r="GJ93" i="139"/>
  <c r="GJ88" i="139"/>
  <c r="GJ94" i="139"/>
  <c r="FJ39" i="139"/>
  <c r="FJ66" i="139" s="1"/>
  <c r="FJ33" i="139"/>
  <c r="FJ60" i="139" s="1"/>
  <c r="GI86" i="139" s="1"/>
  <c r="FJ41" i="139"/>
  <c r="FJ68" i="139" s="1"/>
  <c r="FJ38" i="139"/>
  <c r="FJ65" i="139" s="1"/>
  <c r="FJ35" i="139"/>
  <c r="FJ62" i="139" s="1"/>
  <c r="GI88" i="139" s="1"/>
  <c r="FJ30" i="139"/>
  <c r="FJ57" i="139" s="1"/>
  <c r="GI83" i="139" s="1"/>
  <c r="FI28" i="139"/>
  <c r="FJ34" i="139"/>
  <c r="FJ61" i="139" s="1"/>
  <c r="GI87" i="139" s="1"/>
  <c r="FJ40" i="139"/>
  <c r="FJ67" i="139" s="1"/>
  <c r="FJ36" i="139"/>
  <c r="FJ63" i="139" s="1"/>
  <c r="FJ31" i="139"/>
  <c r="FJ58" i="139" s="1"/>
  <c r="GI84" i="139" s="1"/>
  <c r="FJ37" i="139"/>
  <c r="FJ64" i="139" s="1"/>
  <c r="FJ32" i="139"/>
  <c r="FJ59" i="139" s="1"/>
  <c r="GI85" i="139" s="1"/>
  <c r="GI93" i="139" l="1"/>
  <c r="GI90" i="139"/>
  <c r="GI91" i="139"/>
  <c r="GI89" i="139"/>
  <c r="GI94" i="139"/>
  <c r="GI92" i="139"/>
  <c r="FI40" i="139"/>
  <c r="FI67" i="139" s="1"/>
  <c r="FI32" i="139"/>
  <c r="FI59" i="139" s="1"/>
  <c r="GH85" i="139" s="1"/>
  <c r="FI34" i="139"/>
  <c r="FI61" i="139" s="1"/>
  <c r="GH87" i="139" s="1"/>
  <c r="FI36" i="139"/>
  <c r="FI63" i="139" s="1"/>
  <c r="GH89" i="139" s="1"/>
  <c r="FH28" i="139"/>
  <c r="FI33" i="139"/>
  <c r="FI60" i="139" s="1"/>
  <c r="GH86" i="139" s="1"/>
  <c r="FI35" i="139"/>
  <c r="FI62" i="139" s="1"/>
  <c r="GH88" i="139" s="1"/>
  <c r="FI38" i="139"/>
  <c r="FI65" i="139" s="1"/>
  <c r="FI30" i="139"/>
  <c r="FI57" i="139" s="1"/>
  <c r="GH83" i="139" s="1"/>
  <c r="FI37" i="139"/>
  <c r="FI64" i="139" s="1"/>
  <c r="FI31" i="139"/>
  <c r="FI58" i="139" s="1"/>
  <c r="GH84" i="139" s="1"/>
  <c r="FI41" i="139"/>
  <c r="FI68" i="139" s="1"/>
  <c r="FI39" i="139"/>
  <c r="FI66" i="139" s="1"/>
  <c r="GH94" i="139" l="1"/>
  <c r="GH91" i="139"/>
  <c r="GH92" i="139"/>
  <c r="GH90" i="139"/>
  <c r="GH93" i="139"/>
  <c r="FH34" i="139"/>
  <c r="FH61" i="139" s="1"/>
  <c r="GG87" i="139" s="1"/>
  <c r="FH35" i="139"/>
  <c r="FH62" i="139" s="1"/>
  <c r="GG88" i="139" s="1"/>
  <c r="FG28" i="139"/>
  <c r="FH30" i="139"/>
  <c r="FH57" i="139" s="1"/>
  <c r="GG83" i="139" s="1"/>
  <c r="FH31" i="139"/>
  <c r="FH58" i="139" s="1"/>
  <c r="GG84" i="139" s="1"/>
  <c r="FH33" i="139"/>
  <c r="FH60" i="139" s="1"/>
  <c r="GG86" i="139" s="1"/>
  <c r="FH37" i="139"/>
  <c r="FH64" i="139" s="1"/>
  <c r="GG90" i="139" s="1"/>
  <c r="FH39" i="139"/>
  <c r="FH66" i="139" s="1"/>
  <c r="FH36" i="139"/>
  <c r="FH63" i="139" s="1"/>
  <c r="GG89" i="139" s="1"/>
  <c r="FH41" i="139"/>
  <c r="FH68" i="139" s="1"/>
  <c r="FH40" i="139"/>
  <c r="FH67" i="139" s="1"/>
  <c r="FH38" i="139"/>
  <c r="FH65" i="139" s="1"/>
  <c r="FH32" i="139"/>
  <c r="FH59" i="139" s="1"/>
  <c r="GG85" i="139" s="1"/>
  <c r="GG92" i="139" l="1"/>
  <c r="GG91" i="139"/>
  <c r="GG93" i="139"/>
  <c r="GG94" i="139"/>
  <c r="FG39" i="139"/>
  <c r="FG66" i="139" s="1"/>
  <c r="FG35" i="139"/>
  <c r="FG62" i="139" s="1"/>
  <c r="GF88" i="139" s="1"/>
  <c r="FG37" i="139"/>
  <c r="FG64" i="139" s="1"/>
  <c r="GF90" i="139" s="1"/>
  <c r="FG33" i="139"/>
  <c r="FG60" i="139" s="1"/>
  <c r="GF86" i="139" s="1"/>
  <c r="FF28" i="139"/>
  <c r="FG36" i="139"/>
  <c r="FG63" i="139" s="1"/>
  <c r="GF89" i="139" s="1"/>
  <c r="FG40" i="139"/>
  <c r="FG67" i="139" s="1"/>
  <c r="FG31" i="139"/>
  <c r="FG58" i="139" s="1"/>
  <c r="GF84" i="139" s="1"/>
  <c r="FG34" i="139"/>
  <c r="FG61" i="139" s="1"/>
  <c r="GF87" i="139" s="1"/>
  <c r="FG32" i="139"/>
  <c r="FG59" i="139" s="1"/>
  <c r="GF85" i="139" s="1"/>
  <c r="FG38" i="139"/>
  <c r="FG65" i="139" s="1"/>
  <c r="GF91" i="139" s="1"/>
  <c r="FG41" i="139"/>
  <c r="FG68" i="139" s="1"/>
  <c r="FG30" i="139"/>
  <c r="FG57" i="139" s="1"/>
  <c r="GF83" i="139" s="1"/>
  <c r="GF93" i="139" l="1"/>
  <c r="GF92" i="139"/>
  <c r="GF94" i="139"/>
  <c r="FF40" i="139"/>
  <c r="FF67" i="139" s="1"/>
  <c r="FF34" i="139"/>
  <c r="FF61" i="139" s="1"/>
  <c r="GE87" i="139" s="1"/>
  <c r="FE28" i="139"/>
  <c r="FF36" i="139"/>
  <c r="FF63" i="139" s="1"/>
  <c r="GE89" i="139" s="1"/>
  <c r="FF37" i="139"/>
  <c r="FF64" i="139" s="1"/>
  <c r="GE90" i="139" s="1"/>
  <c r="FF31" i="139"/>
  <c r="FF58" i="139" s="1"/>
  <c r="GE84" i="139" s="1"/>
  <c r="FF30" i="139"/>
  <c r="FF57" i="139" s="1"/>
  <c r="GE83" i="139" s="1"/>
  <c r="FF38" i="139"/>
  <c r="FF65" i="139" s="1"/>
  <c r="GE91" i="139" s="1"/>
  <c r="FF33" i="139"/>
  <c r="FF60" i="139" s="1"/>
  <c r="GE86" i="139" s="1"/>
  <c r="FF35" i="139"/>
  <c r="FF62" i="139" s="1"/>
  <c r="GE88" i="139" s="1"/>
  <c r="FF32" i="139"/>
  <c r="FF59" i="139" s="1"/>
  <c r="GE85" i="139" s="1"/>
  <c r="FF41" i="139"/>
  <c r="FF68" i="139" s="1"/>
  <c r="FF39" i="139"/>
  <c r="FF66" i="139" s="1"/>
  <c r="GE92" i="139" s="1"/>
  <c r="GE94" i="139" l="1"/>
  <c r="GE93" i="139"/>
  <c r="FE39" i="139"/>
  <c r="FE66" i="139" s="1"/>
  <c r="GD92" i="139" s="1"/>
  <c r="FE34" i="139"/>
  <c r="FE61" i="139" s="1"/>
  <c r="GD87" i="139" s="1"/>
  <c r="FE33" i="139"/>
  <c r="FE60" i="139" s="1"/>
  <c r="GD86" i="139" s="1"/>
  <c r="FE31" i="139"/>
  <c r="FE58" i="139" s="1"/>
  <c r="GD84" i="139" s="1"/>
  <c r="FE41" i="139"/>
  <c r="FE68" i="139" s="1"/>
  <c r="FE40" i="139"/>
  <c r="FE67" i="139" s="1"/>
  <c r="GD93" i="139" s="1"/>
  <c r="FE37" i="139"/>
  <c r="FE64" i="139" s="1"/>
  <c r="GD90" i="139" s="1"/>
  <c r="FE30" i="139"/>
  <c r="FE57" i="139" s="1"/>
  <c r="GD83" i="139" s="1"/>
  <c r="FE38" i="139"/>
  <c r="FE65" i="139" s="1"/>
  <c r="GD91" i="139" s="1"/>
  <c r="FD28" i="139"/>
  <c r="FE36" i="139"/>
  <c r="FE63" i="139" s="1"/>
  <c r="GD89" i="139" s="1"/>
  <c r="FE35" i="139"/>
  <c r="FE62" i="139" s="1"/>
  <c r="GD88" i="139" s="1"/>
  <c r="FE32" i="139"/>
  <c r="FE59" i="139" s="1"/>
  <c r="GD85" i="139" s="1"/>
  <c r="GD94" i="139" l="1"/>
  <c r="FD37" i="139"/>
  <c r="FD64" i="139" s="1"/>
  <c r="GC90" i="139" s="1"/>
  <c r="FD41" i="139"/>
  <c r="FD68" i="139" s="1"/>
  <c r="GC94" i="139" s="1"/>
  <c r="FD39" i="139"/>
  <c r="FD66" i="139" s="1"/>
  <c r="GC92" i="139" s="1"/>
  <c r="FC28" i="139"/>
  <c r="FD34" i="139"/>
  <c r="FD61" i="139" s="1"/>
  <c r="GC87" i="139" s="1"/>
  <c r="FD40" i="139"/>
  <c r="FD67" i="139" s="1"/>
  <c r="GC93" i="139" s="1"/>
  <c r="FD31" i="139"/>
  <c r="FD58" i="139" s="1"/>
  <c r="GC84" i="139" s="1"/>
  <c r="FD38" i="139"/>
  <c r="FD65" i="139" s="1"/>
  <c r="GC91" i="139" s="1"/>
  <c r="FD35" i="139"/>
  <c r="FD62" i="139" s="1"/>
  <c r="GC88" i="139" s="1"/>
  <c r="FD30" i="139"/>
  <c r="FD57" i="139" s="1"/>
  <c r="GC83" i="139" s="1"/>
  <c r="FD32" i="139"/>
  <c r="FD59" i="139" s="1"/>
  <c r="GC85" i="139" s="1"/>
  <c r="FD33" i="139"/>
  <c r="FD60" i="139" s="1"/>
  <c r="GC86" i="139" s="1"/>
  <c r="FD36" i="139"/>
  <c r="FD63" i="139" s="1"/>
  <c r="GC89" i="139" s="1"/>
  <c r="FC38" i="139" l="1"/>
  <c r="FC65" i="139" s="1"/>
  <c r="GB91" i="139" s="1"/>
  <c r="FC40" i="139"/>
  <c r="FC67" i="139" s="1"/>
  <c r="GB93" i="139" s="1"/>
  <c r="FB28" i="139"/>
  <c r="FC35" i="139"/>
  <c r="FC62" i="139" s="1"/>
  <c r="GB88" i="139" s="1"/>
  <c r="FC34" i="139"/>
  <c r="FC61" i="139" s="1"/>
  <c r="GB87" i="139" s="1"/>
  <c r="FC36" i="139"/>
  <c r="FC63" i="139" s="1"/>
  <c r="GB89" i="139" s="1"/>
  <c r="FC33" i="139"/>
  <c r="FC60" i="139" s="1"/>
  <c r="GB86" i="139" s="1"/>
  <c r="FC37" i="139"/>
  <c r="FC64" i="139" s="1"/>
  <c r="GB90" i="139" s="1"/>
  <c r="FC39" i="139"/>
  <c r="FC66" i="139" s="1"/>
  <c r="GB92" i="139" s="1"/>
  <c r="FC32" i="139"/>
  <c r="FC59" i="139" s="1"/>
  <c r="GB85" i="139" s="1"/>
  <c r="FC41" i="139"/>
  <c r="FC68" i="139" s="1"/>
  <c r="GB94" i="139" s="1"/>
  <c r="FC31" i="139"/>
  <c r="FC58" i="139" s="1"/>
  <c r="GB84" i="139" s="1"/>
  <c r="FC30" i="139"/>
  <c r="FC57" i="139" s="1"/>
  <c r="GB83" i="139" s="1"/>
  <c r="FB36" i="139" l="1"/>
  <c r="FB63" i="139" s="1"/>
  <c r="GA89" i="139" s="1"/>
  <c r="FB30" i="139"/>
  <c r="FB57" i="139" s="1"/>
  <c r="GA83" i="139" s="1"/>
  <c r="FB39" i="139"/>
  <c r="FB66" i="139" s="1"/>
  <c r="GA92" i="139" s="1"/>
  <c r="FB32" i="139"/>
  <c r="FB59" i="139" s="1"/>
  <c r="GA85" i="139" s="1"/>
  <c r="FB38" i="139"/>
  <c r="FB65" i="139" s="1"/>
  <c r="GA91" i="139" s="1"/>
  <c r="FB33" i="139"/>
  <c r="FB60" i="139" s="1"/>
  <c r="GA86" i="139" s="1"/>
  <c r="FB34" i="139"/>
  <c r="FB61" i="139" s="1"/>
  <c r="GA87" i="139" s="1"/>
  <c r="FB40" i="139"/>
  <c r="FB67" i="139" s="1"/>
  <c r="GA93" i="139" s="1"/>
  <c r="FB41" i="139"/>
  <c r="FB68" i="139" s="1"/>
  <c r="GA94" i="139" s="1"/>
  <c r="FB35" i="139"/>
  <c r="FB62" i="139" s="1"/>
  <c r="GA88" i="139" s="1"/>
  <c r="FB37" i="139"/>
  <c r="FB64" i="139" s="1"/>
  <c r="GA90" i="139" s="1"/>
  <c r="FA28" i="139"/>
  <c r="FB31" i="139"/>
  <c r="FB58" i="139" s="1"/>
  <c r="GA84" i="139" s="1"/>
  <c r="FA36" i="139" l="1"/>
  <c r="FA63" i="139" s="1"/>
  <c r="FZ89" i="139" s="1"/>
  <c r="FA33" i="139"/>
  <c r="FA60" i="139" s="1"/>
  <c r="FZ86" i="139" s="1"/>
  <c r="FA35" i="139"/>
  <c r="FA62" i="139" s="1"/>
  <c r="FZ88" i="139" s="1"/>
  <c r="EZ28" i="139"/>
  <c r="FA38" i="139"/>
  <c r="FA65" i="139" s="1"/>
  <c r="FZ91" i="139" s="1"/>
  <c r="FA41" i="139"/>
  <c r="FA68" i="139" s="1"/>
  <c r="FZ94" i="139" s="1"/>
  <c r="FA31" i="139"/>
  <c r="FA58" i="139" s="1"/>
  <c r="FZ84" i="139" s="1"/>
  <c r="FA37" i="139"/>
  <c r="FA64" i="139" s="1"/>
  <c r="FZ90" i="139" s="1"/>
  <c r="FA30" i="139"/>
  <c r="FA57" i="139" s="1"/>
  <c r="FZ83" i="139" s="1"/>
  <c r="FA39" i="139"/>
  <c r="FA66" i="139" s="1"/>
  <c r="FZ92" i="139" s="1"/>
  <c r="FA32" i="139"/>
  <c r="FA59" i="139" s="1"/>
  <c r="FZ85" i="139" s="1"/>
  <c r="FA40" i="139"/>
  <c r="FA67" i="139" s="1"/>
  <c r="FZ93" i="139" s="1"/>
  <c r="FA34" i="139"/>
  <c r="FA61" i="139" s="1"/>
  <c r="FZ87" i="139" s="1"/>
  <c r="EZ33" i="139" l="1"/>
  <c r="EZ60" i="139" s="1"/>
  <c r="FY86" i="139" s="1"/>
  <c r="EZ37" i="139"/>
  <c r="EZ64" i="139" s="1"/>
  <c r="FY90" i="139" s="1"/>
  <c r="EZ40" i="139"/>
  <c r="EZ67" i="139" s="1"/>
  <c r="FY93" i="139" s="1"/>
  <c r="EZ30" i="139"/>
  <c r="EZ57" i="139" s="1"/>
  <c r="FY83" i="139" s="1"/>
  <c r="EZ36" i="139"/>
  <c r="EZ63" i="139" s="1"/>
  <c r="FY89" i="139" s="1"/>
  <c r="EZ41" i="139"/>
  <c r="EZ68" i="139" s="1"/>
  <c r="FY94" i="139" s="1"/>
  <c r="EY28" i="139"/>
  <c r="EZ31" i="139"/>
  <c r="EZ58" i="139" s="1"/>
  <c r="FY84" i="139" s="1"/>
  <c r="EZ39" i="139"/>
  <c r="EZ66" i="139" s="1"/>
  <c r="FY92" i="139" s="1"/>
  <c r="EZ35" i="139"/>
  <c r="EZ62" i="139" s="1"/>
  <c r="FY88" i="139" s="1"/>
  <c r="EZ32" i="139"/>
  <c r="EZ59" i="139" s="1"/>
  <c r="FY85" i="139" s="1"/>
  <c r="EZ38" i="139"/>
  <c r="EZ65" i="139" s="1"/>
  <c r="FY91" i="139" s="1"/>
  <c r="EZ34" i="139"/>
  <c r="EZ61" i="139" s="1"/>
  <c r="FY87" i="139" s="1"/>
  <c r="EY38" i="139" l="1"/>
  <c r="EY65" i="139" s="1"/>
  <c r="FX91" i="139" s="1"/>
  <c r="EY36" i="139"/>
  <c r="EY63" i="139" s="1"/>
  <c r="FX89" i="139" s="1"/>
  <c r="EY41" i="139"/>
  <c r="EY68" i="139" s="1"/>
  <c r="FX94" i="139" s="1"/>
  <c r="EY30" i="139"/>
  <c r="EY57" i="139" s="1"/>
  <c r="FX83" i="139" s="1"/>
  <c r="EY35" i="139"/>
  <c r="EY62" i="139" s="1"/>
  <c r="FX88" i="139" s="1"/>
  <c r="EY33" i="139"/>
  <c r="EY60" i="139" s="1"/>
  <c r="FX86" i="139" s="1"/>
  <c r="EY39" i="139"/>
  <c r="EY66" i="139" s="1"/>
  <c r="FX92" i="139" s="1"/>
  <c r="EY32" i="139"/>
  <c r="EY59" i="139" s="1"/>
  <c r="FX85" i="139" s="1"/>
  <c r="EY34" i="139"/>
  <c r="EY61" i="139" s="1"/>
  <c r="FX87" i="139" s="1"/>
  <c r="EY37" i="139"/>
  <c r="EY64" i="139" s="1"/>
  <c r="FX90" i="139" s="1"/>
  <c r="EY40" i="139"/>
  <c r="EY67" i="139" s="1"/>
  <c r="FX93" i="139" s="1"/>
  <c r="EX28" i="139"/>
  <c r="EY31" i="139"/>
  <c r="EY58" i="139" s="1"/>
  <c r="FX84" i="139" s="1"/>
  <c r="EX35" i="139" l="1"/>
  <c r="EX62" i="139" s="1"/>
  <c r="FW88" i="139" s="1"/>
  <c r="EX30" i="139"/>
  <c r="EX57" i="139" s="1"/>
  <c r="FW83" i="139" s="1"/>
  <c r="EW28" i="139"/>
  <c r="EX34" i="139"/>
  <c r="EX61" i="139" s="1"/>
  <c r="FW87" i="139" s="1"/>
  <c r="EX37" i="139"/>
  <c r="EX64" i="139" s="1"/>
  <c r="FW90" i="139" s="1"/>
  <c r="EX33" i="139"/>
  <c r="EX60" i="139" s="1"/>
  <c r="FW86" i="139" s="1"/>
  <c r="EX40" i="139"/>
  <c r="EX67" i="139" s="1"/>
  <c r="FW93" i="139" s="1"/>
  <c r="EX39" i="139"/>
  <c r="EX66" i="139" s="1"/>
  <c r="FW92" i="139" s="1"/>
  <c r="EX36" i="139"/>
  <c r="EX63" i="139" s="1"/>
  <c r="FW89" i="139" s="1"/>
  <c r="EX41" i="139"/>
  <c r="EX68" i="139" s="1"/>
  <c r="FW94" i="139" s="1"/>
  <c r="EX38" i="139"/>
  <c r="EX65" i="139" s="1"/>
  <c r="FW91" i="139" s="1"/>
  <c r="EX32" i="139"/>
  <c r="EX59" i="139" s="1"/>
  <c r="FW85" i="139" s="1"/>
  <c r="EX31" i="139"/>
  <c r="EX58" i="139" s="1"/>
  <c r="FW84" i="139" s="1"/>
  <c r="EW36" i="139" l="1"/>
  <c r="EW63" i="139" s="1"/>
  <c r="FV89" i="139" s="1"/>
  <c r="EW35" i="139"/>
  <c r="EW62" i="139" s="1"/>
  <c r="FV88" i="139" s="1"/>
  <c r="EW41" i="139"/>
  <c r="EW68" i="139" s="1"/>
  <c r="FV94" i="139" s="1"/>
  <c r="EW33" i="139"/>
  <c r="EW60" i="139" s="1"/>
  <c r="FV86" i="139" s="1"/>
  <c r="EW39" i="139"/>
  <c r="EW66" i="139" s="1"/>
  <c r="FV92" i="139" s="1"/>
  <c r="EW40" i="139"/>
  <c r="EW67" i="139" s="1"/>
  <c r="FV93" i="139" s="1"/>
  <c r="EW34" i="139"/>
  <c r="EW61" i="139" s="1"/>
  <c r="FV87" i="139" s="1"/>
  <c r="EW37" i="139"/>
  <c r="EW64" i="139" s="1"/>
  <c r="FV90" i="139" s="1"/>
  <c r="EW32" i="139"/>
  <c r="EW59" i="139" s="1"/>
  <c r="FV85" i="139" s="1"/>
  <c r="EW38" i="139"/>
  <c r="EW65" i="139" s="1"/>
  <c r="FV91" i="139" s="1"/>
  <c r="EW30" i="139"/>
  <c r="EW57" i="139" s="1"/>
  <c r="FV83" i="139" s="1"/>
  <c r="EV28" i="139"/>
  <c r="EW31" i="139"/>
  <c r="EW58" i="139" s="1"/>
  <c r="FV84" i="139" s="1"/>
  <c r="EV34" i="139" l="1"/>
  <c r="EV61" i="139" s="1"/>
  <c r="FU87" i="139" s="1"/>
  <c r="EV31" i="139"/>
  <c r="EV58" i="139" s="1"/>
  <c r="FU84" i="139" s="1"/>
  <c r="EV33" i="139"/>
  <c r="EV60" i="139" s="1"/>
  <c r="FU86" i="139" s="1"/>
  <c r="EV35" i="139"/>
  <c r="EV62" i="139" s="1"/>
  <c r="FU88" i="139" s="1"/>
  <c r="EV39" i="139"/>
  <c r="EV66" i="139" s="1"/>
  <c r="FU92" i="139" s="1"/>
  <c r="EU28" i="139"/>
  <c r="EV30" i="139"/>
  <c r="EV57" i="139" s="1"/>
  <c r="FU83" i="139" s="1"/>
  <c r="EV41" i="139"/>
  <c r="EV68" i="139" s="1"/>
  <c r="FU94" i="139" s="1"/>
  <c r="EV40" i="139"/>
  <c r="EV67" i="139" s="1"/>
  <c r="FU93" i="139" s="1"/>
  <c r="EV38" i="139"/>
  <c r="EV65" i="139" s="1"/>
  <c r="FU91" i="139" s="1"/>
  <c r="EV32" i="139"/>
  <c r="EV59" i="139" s="1"/>
  <c r="FU85" i="139" s="1"/>
  <c r="EV36" i="139"/>
  <c r="EV63" i="139" s="1"/>
  <c r="FU89" i="139" s="1"/>
  <c r="EV37" i="139"/>
  <c r="EV64" i="139" s="1"/>
  <c r="FU90" i="139" s="1"/>
  <c r="EU36" i="139" l="1"/>
  <c r="EU63" i="139" s="1"/>
  <c r="FT89" i="139" s="1"/>
  <c r="EU40" i="139"/>
  <c r="EU67" i="139" s="1"/>
  <c r="FT93" i="139" s="1"/>
  <c r="EU32" i="139"/>
  <c r="EU59" i="139" s="1"/>
  <c r="FT85" i="139" s="1"/>
  <c r="EU30" i="139"/>
  <c r="EU57" i="139" s="1"/>
  <c r="FT83" i="139" s="1"/>
  <c r="EU35" i="139"/>
  <c r="EU62" i="139" s="1"/>
  <c r="FT88" i="139" s="1"/>
  <c r="EU31" i="139"/>
  <c r="EU58" i="139" s="1"/>
  <c r="FT84" i="139" s="1"/>
  <c r="EU39" i="139"/>
  <c r="EU66" i="139" s="1"/>
  <c r="FT92" i="139" s="1"/>
  <c r="EU41" i="139"/>
  <c r="EU68" i="139" s="1"/>
  <c r="FT94" i="139" s="1"/>
  <c r="ET28" i="139"/>
  <c r="EU34" i="139"/>
  <c r="EU61" i="139" s="1"/>
  <c r="FT87" i="139" s="1"/>
  <c r="EU38" i="139"/>
  <c r="EU65" i="139" s="1"/>
  <c r="FT91" i="139" s="1"/>
  <c r="EU33" i="139"/>
  <c r="EU60" i="139" s="1"/>
  <c r="FT86" i="139" s="1"/>
  <c r="EU37" i="139"/>
  <c r="EU64" i="139" s="1"/>
  <c r="FT90" i="139" s="1"/>
  <c r="ET31" i="139" l="1"/>
  <c r="ET58" i="139" s="1"/>
  <c r="FS84" i="139" s="1"/>
  <c r="ET36" i="139"/>
  <c r="ET63" i="139" s="1"/>
  <c r="FS89" i="139" s="1"/>
  <c r="ET39" i="139"/>
  <c r="ET66" i="139" s="1"/>
  <c r="FS92" i="139" s="1"/>
  <c r="ET32" i="139"/>
  <c r="ET59" i="139" s="1"/>
  <c r="FS85" i="139" s="1"/>
  <c r="ET41" i="139"/>
  <c r="ET68" i="139" s="1"/>
  <c r="FS94" i="139" s="1"/>
  <c r="ES28" i="139"/>
  <c r="ET34" i="139"/>
  <c r="ET61" i="139" s="1"/>
  <c r="FS87" i="139" s="1"/>
  <c r="ET30" i="139"/>
  <c r="ET57" i="139" s="1"/>
  <c r="FS83" i="139" s="1"/>
  <c r="ET37" i="139"/>
  <c r="ET64" i="139" s="1"/>
  <c r="FS90" i="139" s="1"/>
  <c r="ET33" i="139"/>
  <c r="ET60" i="139" s="1"/>
  <c r="FS86" i="139" s="1"/>
  <c r="ET35" i="139"/>
  <c r="ET62" i="139" s="1"/>
  <c r="FS88" i="139" s="1"/>
  <c r="ET40" i="139"/>
  <c r="ET67" i="139" s="1"/>
  <c r="FS93" i="139" s="1"/>
  <c r="ET38" i="139"/>
  <c r="ET65" i="139" s="1"/>
  <c r="FS91" i="139" s="1"/>
  <c r="ES41" i="139" l="1"/>
  <c r="ES68" i="139" s="1"/>
  <c r="FR94" i="139" s="1"/>
  <c r="ES30" i="139"/>
  <c r="ES57" i="139" s="1"/>
  <c r="FR83" i="139" s="1"/>
  <c r="ES35" i="139"/>
  <c r="ES62" i="139" s="1"/>
  <c r="FR88" i="139" s="1"/>
  <c r="ES39" i="139"/>
  <c r="ES66" i="139" s="1"/>
  <c r="FR92" i="139" s="1"/>
  <c r="ES36" i="139"/>
  <c r="ES63" i="139" s="1"/>
  <c r="FR89" i="139" s="1"/>
  <c r="ES32" i="139"/>
  <c r="ES59" i="139" s="1"/>
  <c r="FR85" i="139" s="1"/>
  <c r="ER28" i="139"/>
  <c r="ES33" i="139"/>
  <c r="ES60" i="139" s="1"/>
  <c r="FR86" i="139" s="1"/>
  <c r="ES31" i="139"/>
  <c r="ES58" i="139" s="1"/>
  <c r="FR84" i="139" s="1"/>
  <c r="ES40" i="139"/>
  <c r="ES67" i="139" s="1"/>
  <c r="FR93" i="139" s="1"/>
  <c r="ES34" i="139"/>
  <c r="ES61" i="139" s="1"/>
  <c r="FR87" i="139" s="1"/>
  <c r="ES37" i="139"/>
  <c r="ES64" i="139" s="1"/>
  <c r="FR90" i="139" s="1"/>
  <c r="ES38" i="139"/>
  <c r="ES65" i="139" s="1"/>
  <c r="FR91" i="139" s="1"/>
  <c r="ER39" i="139" l="1"/>
  <c r="ER66" i="139" s="1"/>
  <c r="FQ92" i="139" s="1"/>
  <c r="ER41" i="139"/>
  <c r="ER68" i="139" s="1"/>
  <c r="FQ94" i="139" s="1"/>
  <c r="ER32" i="139"/>
  <c r="ER59" i="139" s="1"/>
  <c r="FQ85" i="139" s="1"/>
  <c r="ER38" i="139"/>
  <c r="ER65" i="139" s="1"/>
  <c r="FQ91" i="139" s="1"/>
  <c r="ER33" i="139"/>
  <c r="ER60" i="139" s="1"/>
  <c r="FQ86" i="139" s="1"/>
  <c r="ER31" i="139"/>
  <c r="ER58" i="139" s="1"/>
  <c r="FQ84" i="139" s="1"/>
  <c r="EQ28" i="139"/>
  <c r="ER36" i="139"/>
  <c r="ER63" i="139" s="1"/>
  <c r="FQ89" i="139" s="1"/>
  <c r="ER37" i="139"/>
  <c r="ER64" i="139" s="1"/>
  <c r="FQ90" i="139" s="1"/>
  <c r="ER40" i="139"/>
  <c r="ER67" i="139" s="1"/>
  <c r="FQ93" i="139" s="1"/>
  <c r="ER35" i="139"/>
  <c r="ER62" i="139" s="1"/>
  <c r="FQ88" i="139" s="1"/>
  <c r="ER30" i="139"/>
  <c r="ER57" i="139" s="1"/>
  <c r="FQ83" i="139" s="1"/>
  <c r="ER34" i="139"/>
  <c r="ER61" i="139" s="1"/>
  <c r="FQ87" i="139" s="1"/>
  <c r="EQ40" i="139" l="1"/>
  <c r="EQ67" i="139" s="1"/>
  <c r="FP93" i="139" s="1"/>
  <c r="EP28" i="139"/>
  <c r="EQ35" i="139"/>
  <c r="EQ62" i="139" s="1"/>
  <c r="FP88" i="139" s="1"/>
  <c r="EQ36" i="139"/>
  <c r="EQ63" i="139" s="1"/>
  <c r="FP89" i="139" s="1"/>
  <c r="EQ30" i="139"/>
  <c r="EQ57" i="139" s="1"/>
  <c r="FP83" i="139" s="1"/>
  <c r="EQ32" i="139"/>
  <c r="EQ59" i="139" s="1"/>
  <c r="FP85" i="139" s="1"/>
  <c r="EQ41" i="139"/>
  <c r="EQ68" i="139" s="1"/>
  <c r="FP94" i="139" s="1"/>
  <c r="EQ37" i="139"/>
  <c r="EQ64" i="139" s="1"/>
  <c r="FP90" i="139" s="1"/>
  <c r="EQ39" i="139"/>
  <c r="EQ66" i="139" s="1"/>
  <c r="FP92" i="139" s="1"/>
  <c r="EQ31" i="139"/>
  <c r="EQ58" i="139" s="1"/>
  <c r="FP84" i="139" s="1"/>
  <c r="EQ33" i="139"/>
  <c r="EQ60" i="139" s="1"/>
  <c r="FP86" i="139" s="1"/>
  <c r="EQ38" i="139"/>
  <c r="EQ65" i="139" s="1"/>
  <c r="FP91" i="139" s="1"/>
  <c r="EQ34" i="139"/>
  <c r="EQ61" i="139" s="1"/>
  <c r="FP87" i="139" s="1"/>
  <c r="EP34" i="139" l="1"/>
  <c r="EP61" i="139" s="1"/>
  <c r="FO87" i="139" s="1"/>
  <c r="EP36" i="139"/>
  <c r="EP63" i="139" s="1"/>
  <c r="FO89" i="139" s="1"/>
  <c r="EP30" i="139"/>
  <c r="EP57" i="139" s="1"/>
  <c r="FO83" i="139" s="1"/>
  <c r="EP38" i="139"/>
  <c r="EP65" i="139" s="1"/>
  <c r="FO91" i="139" s="1"/>
  <c r="EP37" i="139"/>
  <c r="EP64" i="139" s="1"/>
  <c r="FO90" i="139" s="1"/>
  <c r="EP33" i="139"/>
  <c r="EP60" i="139" s="1"/>
  <c r="FO86" i="139" s="1"/>
  <c r="EO28" i="139"/>
  <c r="EP31" i="139"/>
  <c r="EP58" i="139" s="1"/>
  <c r="FO84" i="139" s="1"/>
  <c r="EP35" i="139"/>
  <c r="EP62" i="139" s="1"/>
  <c r="FO88" i="139" s="1"/>
  <c r="EP39" i="139"/>
  <c r="EP66" i="139" s="1"/>
  <c r="FO92" i="139" s="1"/>
  <c r="EP32" i="139"/>
  <c r="EP59" i="139" s="1"/>
  <c r="FO85" i="139" s="1"/>
  <c r="EP40" i="139"/>
  <c r="EP67" i="139" s="1"/>
  <c r="FO93" i="139" s="1"/>
  <c r="EP41" i="139"/>
  <c r="EP68" i="139" s="1"/>
  <c r="FO94" i="139" s="1"/>
  <c r="EO38" i="139" l="1"/>
  <c r="EO65" i="139" s="1"/>
  <c r="FN91" i="139" s="1"/>
  <c r="EO32" i="139"/>
  <c r="EO59" i="139" s="1"/>
  <c r="FN85" i="139" s="1"/>
  <c r="EO30" i="139"/>
  <c r="EO57" i="139" s="1"/>
  <c r="FN83" i="139" s="1"/>
  <c r="EO36" i="139"/>
  <c r="EO63" i="139" s="1"/>
  <c r="FN89" i="139" s="1"/>
  <c r="EO40" i="139"/>
  <c r="EO67" i="139" s="1"/>
  <c r="FN93" i="139" s="1"/>
  <c r="EO37" i="139"/>
  <c r="EO64" i="139" s="1"/>
  <c r="FN90" i="139" s="1"/>
  <c r="EO31" i="139"/>
  <c r="EO58" i="139" s="1"/>
  <c r="FN84" i="139" s="1"/>
  <c r="EO41" i="139"/>
  <c r="EO68" i="139" s="1"/>
  <c r="FN94" i="139" s="1"/>
  <c r="EN28" i="139"/>
  <c r="EO35" i="139"/>
  <c r="EO62" i="139" s="1"/>
  <c r="FN88" i="139" s="1"/>
  <c r="EO33" i="139"/>
  <c r="EO60" i="139" s="1"/>
  <c r="FN86" i="139" s="1"/>
  <c r="EO34" i="139"/>
  <c r="EO61" i="139" s="1"/>
  <c r="FN87" i="139" s="1"/>
  <c r="EO39" i="139"/>
  <c r="EO66" i="139" s="1"/>
  <c r="FN92" i="139" s="1"/>
  <c r="EN33" i="139" l="1"/>
  <c r="EN60" i="139" s="1"/>
  <c r="FM86" i="139" s="1"/>
  <c r="EN39" i="139"/>
  <c r="EN66" i="139" s="1"/>
  <c r="FM92" i="139" s="1"/>
  <c r="EN34" i="139"/>
  <c r="EN61" i="139" s="1"/>
  <c r="FM87" i="139" s="1"/>
  <c r="EN41" i="139"/>
  <c r="EN68" i="139" s="1"/>
  <c r="FM94" i="139" s="1"/>
  <c r="EM28" i="139"/>
  <c r="EN38" i="139"/>
  <c r="EN65" i="139" s="1"/>
  <c r="FM91" i="139" s="1"/>
  <c r="EN32" i="139"/>
  <c r="EN59" i="139" s="1"/>
  <c r="FM85" i="139" s="1"/>
  <c r="EN36" i="139"/>
  <c r="EN63" i="139" s="1"/>
  <c r="FM89" i="139" s="1"/>
  <c r="EN37" i="139"/>
  <c r="EN64" i="139" s="1"/>
  <c r="FM90" i="139" s="1"/>
  <c r="EN40" i="139"/>
  <c r="EN67" i="139" s="1"/>
  <c r="FM93" i="139" s="1"/>
  <c r="EN35" i="139"/>
  <c r="EN62" i="139" s="1"/>
  <c r="FM88" i="139" s="1"/>
  <c r="EN30" i="139"/>
  <c r="EN57" i="139" s="1"/>
  <c r="FM83" i="139" s="1"/>
  <c r="EN31" i="139"/>
  <c r="EN58" i="139" s="1"/>
  <c r="FM84" i="139" s="1"/>
  <c r="EM40" i="139" l="1"/>
  <c r="EM67" i="139" s="1"/>
  <c r="FL93" i="139" s="1"/>
  <c r="EM35" i="139"/>
  <c r="EM62" i="139" s="1"/>
  <c r="FL88" i="139" s="1"/>
  <c r="EM38" i="139"/>
  <c r="EM65" i="139" s="1"/>
  <c r="FL91" i="139" s="1"/>
  <c r="EM33" i="139"/>
  <c r="EM60" i="139" s="1"/>
  <c r="FL86" i="139" s="1"/>
  <c r="EM34" i="139"/>
  <c r="EM61" i="139" s="1"/>
  <c r="FL87" i="139" s="1"/>
  <c r="EM31" i="139"/>
  <c r="EM58" i="139" s="1"/>
  <c r="FL84" i="139" s="1"/>
  <c r="EM30" i="139"/>
  <c r="EM57" i="139" s="1"/>
  <c r="FL83" i="139" s="1"/>
  <c r="EM36" i="139"/>
  <c r="EM63" i="139" s="1"/>
  <c r="FL89" i="139" s="1"/>
  <c r="EM41" i="139"/>
  <c r="EM68" i="139" s="1"/>
  <c r="FL94" i="139" s="1"/>
  <c r="EM39" i="139"/>
  <c r="EM66" i="139" s="1"/>
  <c r="FL92" i="139" s="1"/>
  <c r="EM37" i="139"/>
  <c r="EM64" i="139" s="1"/>
  <c r="FL90" i="139" s="1"/>
  <c r="EM32" i="139"/>
  <c r="EM59" i="139" s="1"/>
  <c r="FL85" i="139" s="1"/>
  <c r="EL28" i="139"/>
  <c r="EL40" i="139" l="1"/>
  <c r="EL67" i="139" s="1"/>
  <c r="FK93" i="139" s="1"/>
  <c r="EL38" i="139"/>
  <c r="EL65" i="139" s="1"/>
  <c r="FK91" i="139" s="1"/>
  <c r="EK28" i="139"/>
  <c r="EL33" i="139"/>
  <c r="EL60" i="139" s="1"/>
  <c r="FK86" i="139" s="1"/>
  <c r="EL37" i="139"/>
  <c r="EL64" i="139" s="1"/>
  <c r="FK90" i="139" s="1"/>
  <c r="EL31" i="139"/>
  <c r="EL58" i="139" s="1"/>
  <c r="FK84" i="139" s="1"/>
  <c r="EL35" i="139"/>
  <c r="EL62" i="139" s="1"/>
  <c r="FK88" i="139" s="1"/>
  <c r="EL32" i="139"/>
  <c r="EL59" i="139" s="1"/>
  <c r="FK85" i="139" s="1"/>
  <c r="EL34" i="139"/>
  <c r="EL61" i="139" s="1"/>
  <c r="FK87" i="139" s="1"/>
  <c r="EL41" i="139"/>
  <c r="EL68" i="139" s="1"/>
  <c r="FK94" i="139" s="1"/>
  <c r="EL30" i="139"/>
  <c r="EL57" i="139" s="1"/>
  <c r="FK83" i="139" s="1"/>
  <c r="EL39" i="139"/>
  <c r="EL66" i="139" s="1"/>
  <c r="FK92" i="139" s="1"/>
  <c r="EL36" i="139"/>
  <c r="EL63" i="139" s="1"/>
  <c r="FK89" i="139" s="1"/>
  <c r="EK37" i="139" l="1"/>
  <c r="EK64" i="139" s="1"/>
  <c r="FJ90" i="139" s="1"/>
  <c r="EJ28" i="139"/>
  <c r="EK41" i="139"/>
  <c r="EK68" i="139" s="1"/>
  <c r="FJ94" i="139" s="1"/>
  <c r="EK31" i="139"/>
  <c r="EK58" i="139" s="1"/>
  <c r="FJ84" i="139" s="1"/>
  <c r="EK33" i="139"/>
  <c r="EK60" i="139" s="1"/>
  <c r="FJ86" i="139" s="1"/>
  <c r="EK36" i="139"/>
  <c r="EK63" i="139" s="1"/>
  <c r="FJ89" i="139" s="1"/>
  <c r="EK30" i="139"/>
  <c r="EK57" i="139" s="1"/>
  <c r="FJ83" i="139" s="1"/>
  <c r="EK38" i="139"/>
  <c r="EK65" i="139" s="1"/>
  <c r="FJ91" i="139" s="1"/>
  <c r="EK32" i="139"/>
  <c r="EK59" i="139" s="1"/>
  <c r="FJ85" i="139" s="1"/>
  <c r="EK40" i="139"/>
  <c r="EK67" i="139" s="1"/>
  <c r="FJ93" i="139" s="1"/>
  <c r="EK35" i="139"/>
  <c r="EK62" i="139" s="1"/>
  <c r="FJ88" i="139" s="1"/>
  <c r="EK39" i="139"/>
  <c r="EK66" i="139" s="1"/>
  <c r="FJ92" i="139" s="1"/>
  <c r="EK34" i="139"/>
  <c r="EK61" i="139" s="1"/>
  <c r="FJ87" i="139" s="1"/>
  <c r="EJ41" i="139" l="1"/>
  <c r="EJ68" i="139" s="1"/>
  <c r="FI94" i="139" s="1"/>
  <c r="EI28" i="139"/>
  <c r="EJ37" i="139"/>
  <c r="EJ64" i="139" s="1"/>
  <c r="FI90" i="139" s="1"/>
  <c r="EJ39" i="139"/>
  <c r="EJ66" i="139" s="1"/>
  <c r="FI92" i="139" s="1"/>
  <c r="EJ31" i="139"/>
  <c r="EJ58" i="139" s="1"/>
  <c r="FI84" i="139" s="1"/>
  <c r="EJ33" i="139"/>
  <c r="EJ60" i="139" s="1"/>
  <c r="FI86" i="139" s="1"/>
  <c r="EJ32" i="139"/>
  <c r="EJ59" i="139" s="1"/>
  <c r="FI85" i="139" s="1"/>
  <c r="EJ40" i="139"/>
  <c r="EJ67" i="139" s="1"/>
  <c r="FI93" i="139" s="1"/>
  <c r="EJ30" i="139"/>
  <c r="EJ57" i="139" s="1"/>
  <c r="FI83" i="139" s="1"/>
  <c r="EJ34" i="139"/>
  <c r="EJ61" i="139" s="1"/>
  <c r="FI87" i="139" s="1"/>
  <c r="EJ35" i="139"/>
  <c r="EJ62" i="139" s="1"/>
  <c r="FI88" i="139" s="1"/>
  <c r="EJ36" i="139"/>
  <c r="EJ63" i="139" s="1"/>
  <c r="FI89" i="139" s="1"/>
  <c r="EJ38" i="139"/>
  <c r="EJ65" i="139" s="1"/>
  <c r="FI91" i="139" s="1"/>
  <c r="EI31" i="139" l="1"/>
  <c r="EI58" i="139" s="1"/>
  <c r="FH84" i="139" s="1"/>
  <c r="EI37" i="139"/>
  <c r="EI64" i="139" s="1"/>
  <c r="FH90" i="139" s="1"/>
  <c r="EI33" i="139"/>
  <c r="EI60" i="139" s="1"/>
  <c r="FH86" i="139" s="1"/>
  <c r="EI30" i="139"/>
  <c r="EI57" i="139" s="1"/>
  <c r="FH83" i="139" s="1"/>
  <c r="EI32" i="139"/>
  <c r="EI59" i="139" s="1"/>
  <c r="FH85" i="139" s="1"/>
  <c r="EH28" i="139"/>
  <c r="EI41" i="139"/>
  <c r="EI68" i="139" s="1"/>
  <c r="FH94" i="139" s="1"/>
  <c r="EI39" i="139"/>
  <c r="EI66" i="139" s="1"/>
  <c r="FH92" i="139" s="1"/>
  <c r="EI34" i="139"/>
  <c r="EI61" i="139" s="1"/>
  <c r="FH87" i="139" s="1"/>
  <c r="EI36" i="139"/>
  <c r="EI63" i="139" s="1"/>
  <c r="FH89" i="139" s="1"/>
  <c r="EI38" i="139"/>
  <c r="EI65" i="139" s="1"/>
  <c r="FH91" i="139" s="1"/>
  <c r="EI35" i="139"/>
  <c r="EI62" i="139" s="1"/>
  <c r="FH88" i="139" s="1"/>
  <c r="EI40" i="139"/>
  <c r="EI67" i="139" s="1"/>
  <c r="FH93" i="139" s="1"/>
  <c r="EH39" i="139" l="1"/>
  <c r="EH66" i="139" s="1"/>
  <c r="FG92" i="139" s="1"/>
  <c r="EH38" i="139"/>
  <c r="EH65" i="139" s="1"/>
  <c r="FG91" i="139" s="1"/>
  <c r="EH35" i="139"/>
  <c r="EH62" i="139" s="1"/>
  <c r="FG88" i="139" s="1"/>
  <c r="EH33" i="139"/>
  <c r="EH60" i="139" s="1"/>
  <c r="FG86" i="139" s="1"/>
  <c r="EH34" i="139"/>
  <c r="EH61" i="139" s="1"/>
  <c r="FG87" i="139" s="1"/>
  <c r="EH36" i="139"/>
  <c r="EH63" i="139" s="1"/>
  <c r="FG89" i="139" s="1"/>
  <c r="EH31" i="139"/>
  <c r="EH58" i="139" s="1"/>
  <c r="FG84" i="139" s="1"/>
  <c r="EH30" i="139"/>
  <c r="EH57" i="139" s="1"/>
  <c r="FG83" i="139" s="1"/>
  <c r="EH37" i="139"/>
  <c r="EH64" i="139" s="1"/>
  <c r="FG90" i="139" s="1"/>
  <c r="EG28" i="139"/>
  <c r="EH32" i="139"/>
  <c r="EH59" i="139" s="1"/>
  <c r="FG85" i="139" s="1"/>
  <c r="EH41" i="139"/>
  <c r="EH68" i="139" s="1"/>
  <c r="FG94" i="139" s="1"/>
  <c r="EH40" i="139"/>
  <c r="EH67" i="139" s="1"/>
  <c r="FG93" i="139" s="1"/>
  <c r="EG31" i="139" l="1"/>
  <c r="EG58" i="139" s="1"/>
  <c r="FF84" i="139" s="1"/>
  <c r="EF28" i="139"/>
  <c r="EG36" i="139"/>
  <c r="EG63" i="139" s="1"/>
  <c r="FF89" i="139" s="1"/>
  <c r="EG32" i="139"/>
  <c r="EG59" i="139" s="1"/>
  <c r="FF85" i="139" s="1"/>
  <c r="EG37" i="139"/>
  <c r="EG64" i="139" s="1"/>
  <c r="FF90" i="139" s="1"/>
  <c r="EG34" i="139"/>
  <c r="EG61" i="139" s="1"/>
  <c r="FF87" i="139" s="1"/>
  <c r="EG41" i="139"/>
  <c r="EG68" i="139" s="1"/>
  <c r="FF94" i="139" s="1"/>
  <c r="EG35" i="139"/>
  <c r="EG62" i="139" s="1"/>
  <c r="FF88" i="139" s="1"/>
  <c r="EG38" i="139"/>
  <c r="EG65" i="139" s="1"/>
  <c r="FF91" i="139" s="1"/>
  <c r="EG40" i="139"/>
  <c r="EG67" i="139" s="1"/>
  <c r="FF93" i="139" s="1"/>
  <c r="EG39" i="139"/>
  <c r="EG66" i="139" s="1"/>
  <c r="FF92" i="139" s="1"/>
  <c r="EG33" i="139"/>
  <c r="EG60" i="139" s="1"/>
  <c r="FF86" i="139" s="1"/>
  <c r="EG30" i="139"/>
  <c r="EG57" i="139" s="1"/>
  <c r="FF83" i="139" s="1"/>
  <c r="EF37" i="139" l="1"/>
  <c r="EF64" i="139" s="1"/>
  <c r="FE90" i="139" s="1"/>
  <c r="EF40" i="139"/>
  <c r="EF67" i="139" s="1"/>
  <c r="FE93" i="139" s="1"/>
  <c r="EF36" i="139"/>
  <c r="EF63" i="139" s="1"/>
  <c r="FE89" i="139" s="1"/>
  <c r="EE28" i="139"/>
  <c r="EF33" i="139"/>
  <c r="EF60" i="139" s="1"/>
  <c r="FE86" i="139" s="1"/>
  <c r="EF34" i="139"/>
  <c r="EF61" i="139" s="1"/>
  <c r="FE87" i="139" s="1"/>
  <c r="EF32" i="139"/>
  <c r="EF59" i="139" s="1"/>
  <c r="FE85" i="139" s="1"/>
  <c r="EF39" i="139"/>
  <c r="EF66" i="139" s="1"/>
  <c r="FE92" i="139" s="1"/>
  <c r="EF41" i="139"/>
  <c r="EF68" i="139" s="1"/>
  <c r="FE94" i="139" s="1"/>
  <c r="EF31" i="139"/>
  <c r="EF58" i="139" s="1"/>
  <c r="FE84" i="139" s="1"/>
  <c r="EF35" i="139"/>
  <c r="EF62" i="139" s="1"/>
  <c r="FE88" i="139" s="1"/>
  <c r="EF38" i="139"/>
  <c r="EF65" i="139" s="1"/>
  <c r="FE91" i="139" s="1"/>
  <c r="EF30" i="139"/>
  <c r="EF57" i="139" s="1"/>
  <c r="FE83" i="139" s="1"/>
  <c r="EE41" i="139" l="1"/>
  <c r="EE68" i="139" s="1"/>
  <c r="FD94" i="139" s="1"/>
  <c r="EE30" i="139"/>
  <c r="EE57" i="139" s="1"/>
  <c r="FD83" i="139" s="1"/>
  <c r="EE36" i="139"/>
  <c r="EE63" i="139" s="1"/>
  <c r="FD89" i="139" s="1"/>
  <c r="EE38" i="139"/>
  <c r="EE65" i="139" s="1"/>
  <c r="FD91" i="139" s="1"/>
  <c r="EE31" i="139"/>
  <c r="EE58" i="139" s="1"/>
  <c r="FD84" i="139" s="1"/>
  <c r="EE32" i="139"/>
  <c r="EE59" i="139" s="1"/>
  <c r="FD85" i="139" s="1"/>
  <c r="EE40" i="139"/>
  <c r="EE67" i="139" s="1"/>
  <c r="FD93" i="139" s="1"/>
  <c r="EE34" i="139"/>
  <c r="EE61" i="139" s="1"/>
  <c r="FD87" i="139" s="1"/>
  <c r="ED28" i="139"/>
  <c r="EE35" i="139"/>
  <c r="EE62" i="139" s="1"/>
  <c r="FD88" i="139" s="1"/>
  <c r="EE33" i="139"/>
  <c r="EE60" i="139" s="1"/>
  <c r="FD86" i="139" s="1"/>
  <c r="EE37" i="139"/>
  <c r="EE64" i="139" s="1"/>
  <c r="FD90" i="139" s="1"/>
  <c r="EE39" i="139"/>
  <c r="EE66" i="139" s="1"/>
  <c r="FD92" i="139" s="1"/>
  <c r="ED32" i="139" l="1"/>
  <c r="ED59" i="139" s="1"/>
  <c r="FC85" i="139" s="1"/>
  <c r="ED33" i="139"/>
  <c r="ED60" i="139" s="1"/>
  <c r="FC86" i="139" s="1"/>
  <c r="ED30" i="139"/>
  <c r="ED57" i="139" s="1"/>
  <c r="FC83" i="139" s="1"/>
  <c r="EC28" i="139"/>
  <c r="ED31" i="139"/>
  <c r="ED58" i="139" s="1"/>
  <c r="FC84" i="139" s="1"/>
  <c r="ED36" i="139"/>
  <c r="ED63" i="139" s="1"/>
  <c r="FC89" i="139" s="1"/>
  <c r="ED41" i="139"/>
  <c r="ED68" i="139" s="1"/>
  <c r="FC94" i="139" s="1"/>
  <c r="ED34" i="139"/>
  <c r="ED61" i="139" s="1"/>
  <c r="FC87" i="139" s="1"/>
  <c r="ED37" i="139"/>
  <c r="ED64" i="139" s="1"/>
  <c r="FC90" i="139" s="1"/>
  <c r="ED40" i="139"/>
  <c r="ED67" i="139" s="1"/>
  <c r="FC93" i="139" s="1"/>
  <c r="ED35" i="139"/>
  <c r="ED62" i="139" s="1"/>
  <c r="FC88" i="139" s="1"/>
  <c r="ED38" i="139"/>
  <c r="ED65" i="139" s="1"/>
  <c r="FC91" i="139" s="1"/>
  <c r="ED39" i="139"/>
  <c r="ED66" i="139" s="1"/>
  <c r="FC92" i="139" s="1"/>
  <c r="EC34" i="139" l="1"/>
  <c r="EC61" i="139" s="1"/>
  <c r="FB87" i="139" s="1"/>
  <c r="EC37" i="139"/>
  <c r="EC64" i="139" s="1"/>
  <c r="FB90" i="139" s="1"/>
  <c r="EB28" i="139"/>
  <c r="EC36" i="139"/>
  <c r="EC63" i="139" s="1"/>
  <c r="FB89" i="139" s="1"/>
  <c r="EC39" i="139"/>
  <c r="EC66" i="139" s="1"/>
  <c r="FB92" i="139" s="1"/>
  <c r="EC33" i="139"/>
  <c r="EC60" i="139" s="1"/>
  <c r="FB86" i="139" s="1"/>
  <c r="EC41" i="139"/>
  <c r="EC68" i="139" s="1"/>
  <c r="FB94" i="139" s="1"/>
  <c r="EC32" i="139"/>
  <c r="EC59" i="139" s="1"/>
  <c r="FB85" i="139" s="1"/>
  <c r="EC31" i="139"/>
  <c r="EC58" i="139" s="1"/>
  <c r="FB84" i="139" s="1"/>
  <c r="EC35" i="139"/>
  <c r="EC62" i="139" s="1"/>
  <c r="FB88" i="139" s="1"/>
  <c r="EC38" i="139"/>
  <c r="EC65" i="139" s="1"/>
  <c r="FB91" i="139" s="1"/>
  <c r="EC30" i="139"/>
  <c r="EC57" i="139" s="1"/>
  <c r="FB83" i="139" s="1"/>
  <c r="EC40" i="139"/>
  <c r="EC67" i="139" s="1"/>
  <c r="FB93" i="139" s="1"/>
  <c r="EA28" i="139" l="1"/>
  <c r="EB35" i="139"/>
  <c r="EB62" i="139" s="1"/>
  <c r="FA88" i="139" s="1"/>
  <c r="EB31" i="139"/>
  <c r="EB58" i="139" s="1"/>
  <c r="FA84" i="139" s="1"/>
  <c r="EB39" i="139"/>
  <c r="EB66" i="139" s="1"/>
  <c r="FA92" i="139" s="1"/>
  <c r="EB32" i="139"/>
  <c r="EB59" i="139" s="1"/>
  <c r="FA85" i="139" s="1"/>
  <c r="EB41" i="139"/>
  <c r="EB68" i="139" s="1"/>
  <c r="FA94" i="139" s="1"/>
  <c r="EB38" i="139"/>
  <c r="EB65" i="139" s="1"/>
  <c r="FA91" i="139" s="1"/>
  <c r="EB30" i="139"/>
  <c r="EB57" i="139" s="1"/>
  <c r="FA83" i="139" s="1"/>
  <c r="EB40" i="139"/>
  <c r="EB67" i="139" s="1"/>
  <c r="FA93" i="139" s="1"/>
  <c r="EB34" i="139"/>
  <c r="EB61" i="139" s="1"/>
  <c r="FA87" i="139" s="1"/>
  <c r="EB36" i="139"/>
  <c r="EB63" i="139" s="1"/>
  <c r="FA89" i="139" s="1"/>
  <c r="EB37" i="139"/>
  <c r="EB64" i="139" s="1"/>
  <c r="FA90" i="139" s="1"/>
  <c r="EB33" i="139"/>
  <c r="EB60" i="139" s="1"/>
  <c r="FA86" i="139" s="1"/>
  <c r="EA31" i="139" l="1"/>
  <c r="EA58" i="139" s="1"/>
  <c r="EZ84" i="139" s="1"/>
  <c r="EA30" i="139"/>
  <c r="EA57" i="139" s="1"/>
  <c r="EZ83" i="139" s="1"/>
  <c r="EA36" i="139"/>
  <c r="EA63" i="139" s="1"/>
  <c r="EZ89" i="139" s="1"/>
  <c r="EA32" i="139"/>
  <c r="EA59" i="139" s="1"/>
  <c r="EZ85" i="139" s="1"/>
  <c r="EA37" i="139"/>
  <c r="EA64" i="139" s="1"/>
  <c r="EZ90" i="139" s="1"/>
  <c r="EA39" i="139"/>
  <c r="EA66" i="139" s="1"/>
  <c r="EZ92" i="139" s="1"/>
  <c r="EA33" i="139"/>
  <c r="EA60" i="139" s="1"/>
  <c r="EZ86" i="139" s="1"/>
  <c r="EA35" i="139"/>
  <c r="EA62" i="139" s="1"/>
  <c r="EZ88" i="139" s="1"/>
  <c r="EA34" i="139"/>
  <c r="EA61" i="139" s="1"/>
  <c r="EZ87" i="139" s="1"/>
  <c r="EA40" i="139"/>
  <c r="EA67" i="139" s="1"/>
  <c r="EZ93" i="139" s="1"/>
  <c r="EA41" i="139"/>
  <c r="EA68" i="139" s="1"/>
  <c r="EZ94" i="139" s="1"/>
  <c r="EA38" i="139"/>
  <c r="EA65" i="139" s="1"/>
  <c r="EZ91" i="139" s="1"/>
  <c r="DZ28" i="139"/>
  <c r="DZ30" i="139" l="1"/>
  <c r="DZ57" i="139" s="1"/>
  <c r="EY83" i="139" s="1"/>
  <c r="DZ36" i="139"/>
  <c r="DZ63" i="139" s="1"/>
  <c r="EY89" i="139" s="1"/>
  <c r="DZ41" i="139"/>
  <c r="DZ68" i="139" s="1"/>
  <c r="EY94" i="139" s="1"/>
  <c r="DZ38" i="139"/>
  <c r="DZ65" i="139" s="1"/>
  <c r="EY91" i="139" s="1"/>
  <c r="DZ33" i="139"/>
  <c r="DZ60" i="139" s="1"/>
  <c r="EY86" i="139" s="1"/>
  <c r="DZ32" i="139"/>
  <c r="DZ59" i="139" s="1"/>
  <c r="EY85" i="139" s="1"/>
  <c r="DY28" i="139"/>
  <c r="DZ37" i="139"/>
  <c r="DZ64" i="139" s="1"/>
  <c r="EY90" i="139" s="1"/>
  <c r="DZ34" i="139"/>
  <c r="DZ61" i="139" s="1"/>
  <c r="EY87" i="139" s="1"/>
  <c r="DZ35" i="139"/>
  <c r="DZ62" i="139" s="1"/>
  <c r="EY88" i="139" s="1"/>
  <c r="DZ40" i="139"/>
  <c r="DZ67" i="139" s="1"/>
  <c r="EY93" i="139" s="1"/>
  <c r="DZ31" i="139"/>
  <c r="DZ58" i="139" s="1"/>
  <c r="EY84" i="139" s="1"/>
  <c r="DZ39" i="139"/>
  <c r="DZ66" i="139" s="1"/>
  <c r="EY92" i="139" s="1"/>
  <c r="DY34" i="139" l="1"/>
  <c r="DY61" i="139" s="1"/>
  <c r="EX87" i="139" s="1"/>
  <c r="DY39" i="139"/>
  <c r="DY66" i="139" s="1"/>
  <c r="EX92" i="139" s="1"/>
  <c r="DY32" i="139"/>
  <c r="DY59" i="139" s="1"/>
  <c r="EX85" i="139" s="1"/>
  <c r="DY41" i="139"/>
  <c r="DY68" i="139" s="1"/>
  <c r="EX94" i="139" s="1"/>
  <c r="DY35" i="139"/>
  <c r="DY62" i="139" s="1"/>
  <c r="EX88" i="139" s="1"/>
  <c r="DY36" i="139"/>
  <c r="DY63" i="139" s="1"/>
  <c r="EX89" i="139" s="1"/>
  <c r="DY31" i="139"/>
  <c r="DY58" i="139" s="1"/>
  <c r="EX84" i="139" s="1"/>
  <c r="DY38" i="139"/>
  <c r="DY65" i="139" s="1"/>
  <c r="EX91" i="139" s="1"/>
  <c r="DX28" i="139"/>
  <c r="DY37" i="139"/>
  <c r="DY64" i="139" s="1"/>
  <c r="EX90" i="139" s="1"/>
  <c r="DY33" i="139"/>
  <c r="DY60" i="139" s="1"/>
  <c r="EX86" i="139" s="1"/>
  <c r="DY30" i="139"/>
  <c r="DY57" i="139" s="1"/>
  <c r="EX83" i="139" s="1"/>
  <c r="DY40" i="139"/>
  <c r="DY67" i="139" s="1"/>
  <c r="EX93" i="139" s="1"/>
  <c r="DX34" i="139" l="1"/>
  <c r="DX61" i="139" s="1"/>
  <c r="EW87" i="139" s="1"/>
  <c r="DX33" i="139"/>
  <c r="DX60" i="139" s="1"/>
  <c r="EW86" i="139" s="1"/>
  <c r="DX39" i="139"/>
  <c r="DX66" i="139" s="1"/>
  <c r="EW92" i="139" s="1"/>
  <c r="DX37" i="139"/>
  <c r="DX64" i="139" s="1"/>
  <c r="EW90" i="139" s="1"/>
  <c r="DX38" i="139"/>
  <c r="DX65" i="139" s="1"/>
  <c r="EW91" i="139" s="1"/>
  <c r="DX40" i="139"/>
  <c r="DX67" i="139" s="1"/>
  <c r="EW93" i="139" s="1"/>
  <c r="DX32" i="139"/>
  <c r="DX59" i="139" s="1"/>
  <c r="EW85" i="139" s="1"/>
  <c r="DX31" i="139"/>
  <c r="DX58" i="139" s="1"/>
  <c r="EW84" i="139" s="1"/>
  <c r="DX36" i="139"/>
  <c r="DX63" i="139" s="1"/>
  <c r="EW89" i="139" s="1"/>
  <c r="DX41" i="139"/>
  <c r="DX68" i="139" s="1"/>
  <c r="EW94" i="139" s="1"/>
  <c r="DW28" i="139"/>
  <c r="DX30" i="139"/>
  <c r="DX57" i="139" s="1"/>
  <c r="EW83" i="139" s="1"/>
  <c r="DX35" i="139"/>
  <c r="DX62" i="139" s="1"/>
  <c r="EW88" i="139" s="1"/>
  <c r="DW38" i="139" l="1"/>
  <c r="DW65" i="139" s="1"/>
  <c r="EV91" i="139" s="1"/>
  <c r="DW36" i="139"/>
  <c r="DW63" i="139" s="1"/>
  <c r="EV89" i="139" s="1"/>
  <c r="DW34" i="139"/>
  <c r="DW61" i="139" s="1"/>
  <c r="EV87" i="139" s="1"/>
  <c r="DW40" i="139"/>
  <c r="DW67" i="139" s="1"/>
  <c r="EV93" i="139" s="1"/>
  <c r="DV28" i="139"/>
  <c r="DW30" i="139"/>
  <c r="DW57" i="139" s="1"/>
  <c r="EV83" i="139" s="1"/>
  <c r="DW41" i="139"/>
  <c r="DW68" i="139" s="1"/>
  <c r="EV94" i="139" s="1"/>
  <c r="DW37" i="139"/>
  <c r="DW64" i="139" s="1"/>
  <c r="EV90" i="139" s="1"/>
  <c r="DW32" i="139"/>
  <c r="DW59" i="139" s="1"/>
  <c r="EV85" i="139" s="1"/>
  <c r="DW31" i="139"/>
  <c r="DW58" i="139" s="1"/>
  <c r="EV84" i="139" s="1"/>
  <c r="DW35" i="139"/>
  <c r="DW62" i="139" s="1"/>
  <c r="EV88" i="139" s="1"/>
  <c r="DW39" i="139"/>
  <c r="DW66" i="139" s="1"/>
  <c r="EV92" i="139" s="1"/>
  <c r="DW33" i="139"/>
  <c r="DW60" i="139" s="1"/>
  <c r="EV86" i="139" s="1"/>
  <c r="DV31" i="139" l="1"/>
  <c r="DV58" i="139" s="1"/>
  <c r="EU84" i="139" s="1"/>
  <c r="DV32" i="139"/>
  <c r="DV59" i="139" s="1"/>
  <c r="EU85" i="139" s="1"/>
  <c r="DU28" i="139"/>
  <c r="DV38" i="139"/>
  <c r="DV65" i="139" s="1"/>
  <c r="EU91" i="139" s="1"/>
  <c r="DV35" i="139"/>
  <c r="DV62" i="139" s="1"/>
  <c r="EU88" i="139" s="1"/>
  <c r="DV37" i="139"/>
  <c r="DV64" i="139" s="1"/>
  <c r="EU90" i="139" s="1"/>
  <c r="DV41" i="139"/>
  <c r="DV68" i="139" s="1"/>
  <c r="EU94" i="139" s="1"/>
  <c r="DV40" i="139"/>
  <c r="DV67" i="139" s="1"/>
  <c r="EU93" i="139" s="1"/>
  <c r="DV34" i="139"/>
  <c r="DV61" i="139" s="1"/>
  <c r="EU87" i="139" s="1"/>
  <c r="DV30" i="139"/>
  <c r="DV57" i="139" s="1"/>
  <c r="EU83" i="139" s="1"/>
  <c r="DV39" i="139"/>
  <c r="DV66" i="139" s="1"/>
  <c r="EU92" i="139" s="1"/>
  <c r="DV33" i="139"/>
  <c r="DV60" i="139" s="1"/>
  <c r="EU86" i="139" s="1"/>
  <c r="DV36" i="139"/>
  <c r="DV63" i="139" s="1"/>
  <c r="EU89" i="139" s="1"/>
  <c r="DU32" i="139" l="1"/>
  <c r="DU59" i="139" s="1"/>
  <c r="ET85" i="139" s="1"/>
  <c r="DU31" i="139"/>
  <c r="DU58" i="139" s="1"/>
  <c r="ET84" i="139" s="1"/>
  <c r="DU39" i="139"/>
  <c r="DU66" i="139" s="1"/>
  <c r="ET92" i="139" s="1"/>
  <c r="DU30" i="139"/>
  <c r="DU57" i="139" s="1"/>
  <c r="ET83" i="139" s="1"/>
  <c r="DU40" i="139"/>
  <c r="DU67" i="139" s="1"/>
  <c r="ET93" i="139" s="1"/>
  <c r="DU34" i="139"/>
  <c r="DU61" i="139" s="1"/>
  <c r="ET87" i="139" s="1"/>
  <c r="DU35" i="139"/>
  <c r="DU62" i="139" s="1"/>
  <c r="ET88" i="139" s="1"/>
  <c r="DU38" i="139"/>
  <c r="DU65" i="139" s="1"/>
  <c r="ET91" i="139" s="1"/>
  <c r="DU33" i="139"/>
  <c r="DU60" i="139" s="1"/>
  <c r="ET86" i="139" s="1"/>
  <c r="DU36" i="139"/>
  <c r="DU63" i="139" s="1"/>
  <c r="ET89" i="139" s="1"/>
  <c r="DT28" i="139"/>
  <c r="DU41" i="139"/>
  <c r="DU68" i="139" s="1"/>
  <c r="ET94" i="139" s="1"/>
  <c r="DU37" i="139"/>
  <c r="DU64" i="139" s="1"/>
  <c r="ET90" i="139" s="1"/>
  <c r="DS28" i="139" l="1"/>
  <c r="DT35" i="139"/>
  <c r="DT62" i="139" s="1"/>
  <c r="ES88" i="139" s="1"/>
  <c r="DT32" i="139"/>
  <c r="DT59" i="139" s="1"/>
  <c r="ES85" i="139" s="1"/>
  <c r="DT33" i="139"/>
  <c r="DT60" i="139" s="1"/>
  <c r="ES86" i="139" s="1"/>
  <c r="DT40" i="139"/>
  <c r="DT67" i="139" s="1"/>
  <c r="ES93" i="139" s="1"/>
  <c r="DT36" i="139"/>
  <c r="DT63" i="139" s="1"/>
  <c r="ES89" i="139" s="1"/>
  <c r="DT37" i="139"/>
  <c r="DT64" i="139" s="1"/>
  <c r="ES90" i="139" s="1"/>
  <c r="DT38" i="139"/>
  <c r="DT65" i="139" s="1"/>
  <c r="ES91" i="139" s="1"/>
  <c r="DT30" i="139"/>
  <c r="DT57" i="139" s="1"/>
  <c r="ES83" i="139" s="1"/>
  <c r="DT41" i="139"/>
  <c r="DT68" i="139" s="1"/>
  <c r="ES94" i="139" s="1"/>
  <c r="DT31" i="139"/>
  <c r="DT58" i="139" s="1"/>
  <c r="ES84" i="139" s="1"/>
  <c r="DT34" i="139"/>
  <c r="DT61" i="139" s="1"/>
  <c r="ES87" i="139" s="1"/>
  <c r="DT39" i="139"/>
  <c r="DT66" i="139" s="1"/>
  <c r="ES92" i="139" s="1"/>
  <c r="DS37" i="139" l="1"/>
  <c r="DS64" i="139" s="1"/>
  <c r="ER90" i="139" s="1"/>
  <c r="DS35" i="139"/>
  <c r="DS62" i="139" s="1"/>
  <c r="ER88" i="139" s="1"/>
  <c r="DS39" i="139"/>
  <c r="DS66" i="139" s="1"/>
  <c r="ER92" i="139" s="1"/>
  <c r="DS32" i="139"/>
  <c r="DS59" i="139" s="1"/>
  <c r="ER85" i="139" s="1"/>
  <c r="DS33" i="139"/>
  <c r="DS60" i="139" s="1"/>
  <c r="ER86" i="139" s="1"/>
  <c r="DS34" i="139"/>
  <c r="DS61" i="139" s="1"/>
  <c r="ER87" i="139" s="1"/>
  <c r="DS41" i="139"/>
  <c r="DS68" i="139" s="1"/>
  <c r="ER94" i="139" s="1"/>
  <c r="DS36" i="139"/>
  <c r="DS63" i="139" s="1"/>
  <c r="ER89" i="139" s="1"/>
  <c r="DS31" i="139"/>
  <c r="DS58" i="139" s="1"/>
  <c r="ER84" i="139" s="1"/>
  <c r="DS30" i="139"/>
  <c r="DS57" i="139" s="1"/>
  <c r="ER83" i="139" s="1"/>
  <c r="DS40" i="139"/>
  <c r="DS67" i="139" s="1"/>
  <c r="ER93" i="139" s="1"/>
  <c r="DR28" i="139"/>
  <c r="DS38" i="139"/>
  <c r="DS65" i="139" s="1"/>
  <c r="ER91" i="139" s="1"/>
  <c r="DR34" i="139" l="1"/>
  <c r="DR61" i="139" s="1"/>
  <c r="EQ87" i="139" s="1"/>
  <c r="DR33" i="139"/>
  <c r="DR60" i="139" s="1"/>
  <c r="EQ86" i="139" s="1"/>
  <c r="DR38" i="139"/>
  <c r="DR65" i="139" s="1"/>
  <c r="EQ91" i="139" s="1"/>
  <c r="DR31" i="139"/>
  <c r="DR58" i="139" s="1"/>
  <c r="EQ84" i="139" s="1"/>
  <c r="DR35" i="139"/>
  <c r="DR62" i="139" s="1"/>
  <c r="EQ88" i="139" s="1"/>
  <c r="DR30" i="139"/>
  <c r="DR57" i="139" s="1"/>
  <c r="EQ83" i="139" s="1"/>
  <c r="DR32" i="139"/>
  <c r="DR59" i="139" s="1"/>
  <c r="EQ85" i="139" s="1"/>
  <c r="DQ28" i="139"/>
  <c r="DR41" i="139"/>
  <c r="DR68" i="139" s="1"/>
  <c r="EQ94" i="139" s="1"/>
  <c r="DR40" i="139"/>
  <c r="DR67" i="139" s="1"/>
  <c r="EQ93" i="139" s="1"/>
  <c r="DR39" i="139"/>
  <c r="DR66" i="139" s="1"/>
  <c r="EQ92" i="139" s="1"/>
  <c r="DR36" i="139"/>
  <c r="DR63" i="139" s="1"/>
  <c r="EQ89" i="139" s="1"/>
  <c r="DR37" i="139"/>
  <c r="DR64" i="139" s="1"/>
  <c r="EQ90" i="139" s="1"/>
  <c r="DQ40" i="139" l="1"/>
  <c r="DQ67" i="139" s="1"/>
  <c r="EP93" i="139" s="1"/>
  <c r="DQ34" i="139"/>
  <c r="DQ61" i="139" s="1"/>
  <c r="EP87" i="139" s="1"/>
  <c r="DQ41" i="139"/>
  <c r="DQ68" i="139" s="1"/>
  <c r="EP94" i="139" s="1"/>
  <c r="DQ32" i="139"/>
  <c r="DQ59" i="139" s="1"/>
  <c r="EP85" i="139" s="1"/>
  <c r="DQ31" i="139"/>
  <c r="DQ58" i="139" s="1"/>
  <c r="EP84" i="139" s="1"/>
  <c r="DQ30" i="139"/>
  <c r="DQ57" i="139" s="1"/>
  <c r="EP83" i="139" s="1"/>
  <c r="DQ35" i="139"/>
  <c r="DQ62" i="139" s="1"/>
  <c r="EP88" i="139" s="1"/>
  <c r="DP28" i="139"/>
  <c r="DQ36" i="139"/>
  <c r="DQ63" i="139" s="1"/>
  <c r="EP89" i="139" s="1"/>
  <c r="DQ33" i="139"/>
  <c r="DQ60" i="139" s="1"/>
  <c r="EP86" i="139" s="1"/>
  <c r="DQ38" i="139"/>
  <c r="DQ65" i="139" s="1"/>
  <c r="EP91" i="139" s="1"/>
  <c r="DQ37" i="139"/>
  <c r="DQ64" i="139" s="1"/>
  <c r="EP90" i="139" s="1"/>
  <c r="DQ39" i="139"/>
  <c r="DQ66" i="139" s="1"/>
  <c r="EP92" i="139" s="1"/>
  <c r="DP36" i="139" l="1"/>
  <c r="DP63" i="139" s="1"/>
  <c r="EO89" i="139" s="1"/>
  <c r="DP35" i="139"/>
  <c r="DP62" i="139" s="1"/>
  <c r="EO88" i="139" s="1"/>
  <c r="DP37" i="139"/>
  <c r="DP64" i="139" s="1"/>
  <c r="EO90" i="139" s="1"/>
  <c r="DP34" i="139"/>
  <c r="DP61" i="139" s="1"/>
  <c r="EO87" i="139" s="1"/>
  <c r="DP32" i="139"/>
  <c r="DP59" i="139" s="1"/>
  <c r="EO85" i="139" s="1"/>
  <c r="DO28" i="139"/>
  <c r="DP31" i="139"/>
  <c r="DP58" i="139" s="1"/>
  <c r="EO84" i="139" s="1"/>
  <c r="DP38" i="139"/>
  <c r="DP65" i="139" s="1"/>
  <c r="EO91" i="139" s="1"/>
  <c r="DP41" i="139"/>
  <c r="DP68" i="139" s="1"/>
  <c r="EO94" i="139" s="1"/>
  <c r="DP40" i="139"/>
  <c r="DP67" i="139" s="1"/>
  <c r="EO93" i="139" s="1"/>
  <c r="DP33" i="139"/>
  <c r="DP60" i="139" s="1"/>
  <c r="EO86" i="139" s="1"/>
  <c r="DP30" i="139"/>
  <c r="DP57" i="139" s="1"/>
  <c r="EO83" i="139" s="1"/>
  <c r="DP39" i="139"/>
  <c r="DP66" i="139" s="1"/>
  <c r="EO92" i="139" s="1"/>
  <c r="DO36" i="139" l="1"/>
  <c r="DO63" i="139" s="1"/>
  <c r="EN89" i="139" s="1"/>
  <c r="DO37" i="139"/>
  <c r="DO64" i="139" s="1"/>
  <c r="EN90" i="139" s="1"/>
  <c r="DN28" i="139"/>
  <c r="DO33" i="139"/>
  <c r="DO60" i="139" s="1"/>
  <c r="EN86" i="139" s="1"/>
  <c r="DO38" i="139"/>
  <c r="DO65" i="139" s="1"/>
  <c r="EN91" i="139" s="1"/>
  <c r="DO35" i="139"/>
  <c r="DO62" i="139" s="1"/>
  <c r="EN88" i="139" s="1"/>
  <c r="DO39" i="139"/>
  <c r="DO66" i="139" s="1"/>
  <c r="EN92" i="139" s="1"/>
  <c r="DO32" i="139"/>
  <c r="DO59" i="139" s="1"/>
  <c r="EN85" i="139" s="1"/>
  <c r="DO40" i="139"/>
  <c r="DO67" i="139" s="1"/>
  <c r="EN93" i="139" s="1"/>
  <c r="DO30" i="139"/>
  <c r="DO57" i="139" s="1"/>
  <c r="EN83" i="139" s="1"/>
  <c r="DO34" i="139"/>
  <c r="DO61" i="139" s="1"/>
  <c r="EN87" i="139" s="1"/>
  <c r="DO41" i="139"/>
  <c r="DO68" i="139" s="1"/>
  <c r="EN94" i="139" s="1"/>
  <c r="DO31" i="139"/>
  <c r="DO58" i="139" s="1"/>
  <c r="EN84" i="139" s="1"/>
  <c r="DM28" i="139" l="1"/>
  <c r="DN32" i="139"/>
  <c r="DN59" i="139" s="1"/>
  <c r="EM85" i="139" s="1"/>
  <c r="DN33" i="139"/>
  <c r="DN60" i="139" s="1"/>
  <c r="EM86" i="139" s="1"/>
  <c r="DN30" i="139"/>
  <c r="DN57" i="139" s="1"/>
  <c r="EM83" i="139" s="1"/>
  <c r="DN41" i="139"/>
  <c r="DN68" i="139" s="1"/>
  <c r="EM94" i="139" s="1"/>
  <c r="DN31" i="139"/>
  <c r="DN58" i="139" s="1"/>
  <c r="EM84" i="139" s="1"/>
  <c r="DN36" i="139"/>
  <c r="DN63" i="139" s="1"/>
  <c r="EM89" i="139" s="1"/>
  <c r="DN37" i="139"/>
  <c r="DN64" i="139" s="1"/>
  <c r="EM90" i="139" s="1"/>
  <c r="DN35" i="139"/>
  <c r="DN62" i="139" s="1"/>
  <c r="EM88" i="139" s="1"/>
  <c r="DN34" i="139"/>
  <c r="DN61" i="139" s="1"/>
  <c r="EM87" i="139" s="1"/>
  <c r="DN39" i="139"/>
  <c r="DN66" i="139" s="1"/>
  <c r="EM92" i="139" s="1"/>
  <c r="DN40" i="139"/>
  <c r="DN67" i="139" s="1"/>
  <c r="EM93" i="139" s="1"/>
  <c r="DN38" i="139"/>
  <c r="DN65" i="139" s="1"/>
  <c r="EM91" i="139" s="1"/>
  <c r="DM37" i="139" l="1"/>
  <c r="DM64" i="139" s="1"/>
  <c r="EL90" i="139" s="1"/>
  <c r="DM34" i="139"/>
  <c r="DM61" i="139" s="1"/>
  <c r="EL87" i="139" s="1"/>
  <c r="DM39" i="139"/>
  <c r="DM66" i="139" s="1"/>
  <c r="EL92" i="139" s="1"/>
  <c r="DM33" i="139"/>
  <c r="DM60" i="139" s="1"/>
  <c r="EL86" i="139" s="1"/>
  <c r="DM35" i="139"/>
  <c r="DM62" i="139" s="1"/>
  <c r="EL88" i="139" s="1"/>
  <c r="DM40" i="139"/>
  <c r="DM67" i="139" s="1"/>
  <c r="EL93" i="139" s="1"/>
  <c r="DM36" i="139"/>
  <c r="DM63" i="139" s="1"/>
  <c r="EL89" i="139" s="1"/>
  <c r="DM31" i="139"/>
  <c r="DM58" i="139" s="1"/>
  <c r="EL84" i="139" s="1"/>
  <c r="DM30" i="139"/>
  <c r="DM57" i="139" s="1"/>
  <c r="EL83" i="139" s="1"/>
  <c r="DM32" i="139"/>
  <c r="DM59" i="139" s="1"/>
  <c r="EL85" i="139" s="1"/>
  <c r="DM41" i="139"/>
  <c r="DM68" i="139" s="1"/>
  <c r="EL94" i="139" s="1"/>
  <c r="DM38" i="139"/>
  <c r="DM65" i="139" s="1"/>
  <c r="EL91" i="139" s="1"/>
  <c r="DL28" i="139"/>
  <c r="DL38" i="139" l="1"/>
  <c r="DL65" i="139" s="1"/>
  <c r="EK91" i="139" s="1"/>
  <c r="DL41" i="139"/>
  <c r="DL68" i="139" s="1"/>
  <c r="EK94" i="139" s="1"/>
  <c r="DL36" i="139"/>
  <c r="DL63" i="139" s="1"/>
  <c r="EK89" i="139" s="1"/>
  <c r="DL37" i="139"/>
  <c r="DL64" i="139" s="1"/>
  <c r="EK90" i="139" s="1"/>
  <c r="DL40" i="139"/>
  <c r="DL67" i="139" s="1"/>
  <c r="EK93" i="139" s="1"/>
  <c r="DL30" i="139"/>
  <c r="DL57" i="139" s="1"/>
  <c r="EK83" i="139" s="1"/>
  <c r="DL34" i="139"/>
  <c r="DL61" i="139" s="1"/>
  <c r="EK87" i="139" s="1"/>
  <c r="DL39" i="139"/>
  <c r="DL66" i="139" s="1"/>
  <c r="EK92" i="139" s="1"/>
  <c r="DK28" i="139"/>
  <c r="DL35" i="139"/>
  <c r="DL62" i="139" s="1"/>
  <c r="EK88" i="139" s="1"/>
  <c r="DL33" i="139"/>
  <c r="DL60" i="139" s="1"/>
  <c r="EK86" i="139" s="1"/>
  <c r="DL32" i="139"/>
  <c r="DL59" i="139" s="1"/>
  <c r="EK85" i="139" s="1"/>
  <c r="DL31" i="139"/>
  <c r="DL58" i="139" s="1"/>
  <c r="EK84" i="139" s="1"/>
  <c r="DK31" i="139" l="1"/>
  <c r="DK58" i="139" s="1"/>
  <c r="EJ84" i="139" s="1"/>
  <c r="DK39" i="139"/>
  <c r="DK66" i="139" s="1"/>
  <c r="EJ92" i="139" s="1"/>
  <c r="DK37" i="139"/>
  <c r="DK64" i="139" s="1"/>
  <c r="EJ90" i="139" s="1"/>
  <c r="DK41" i="139"/>
  <c r="DK68" i="139" s="1"/>
  <c r="EJ94" i="139" s="1"/>
  <c r="DK38" i="139"/>
  <c r="DK65" i="139" s="1"/>
  <c r="EJ91" i="139" s="1"/>
  <c r="DK40" i="139"/>
  <c r="DK67" i="139" s="1"/>
  <c r="EJ93" i="139" s="1"/>
  <c r="DK36" i="139"/>
  <c r="DK63" i="139" s="1"/>
  <c r="EJ89" i="139" s="1"/>
  <c r="DK35" i="139"/>
  <c r="DK62" i="139" s="1"/>
  <c r="EJ88" i="139" s="1"/>
  <c r="DK32" i="139"/>
  <c r="DK59" i="139" s="1"/>
  <c r="EJ85" i="139" s="1"/>
  <c r="DK33" i="139"/>
  <c r="DK60" i="139" s="1"/>
  <c r="EJ86" i="139" s="1"/>
  <c r="DK30" i="139"/>
  <c r="DK57" i="139" s="1"/>
  <c r="EJ83" i="139" s="1"/>
  <c r="DJ28" i="139"/>
  <c r="DK34" i="139"/>
  <c r="DK61" i="139" s="1"/>
  <c r="EJ87" i="139" s="1"/>
  <c r="DJ38" i="139" l="1"/>
  <c r="DJ65" i="139" s="1"/>
  <c r="EI91" i="139" s="1"/>
  <c r="DJ41" i="139"/>
  <c r="DJ68" i="139" s="1"/>
  <c r="EI94" i="139" s="1"/>
  <c r="DJ32" i="139"/>
  <c r="DJ59" i="139" s="1"/>
  <c r="EI85" i="139" s="1"/>
  <c r="DJ33" i="139"/>
  <c r="DJ60" i="139" s="1"/>
  <c r="EI86" i="139" s="1"/>
  <c r="DJ39" i="139"/>
  <c r="DJ66" i="139" s="1"/>
  <c r="EI92" i="139" s="1"/>
  <c r="DI28" i="139"/>
  <c r="DJ35" i="139"/>
  <c r="DJ62" i="139" s="1"/>
  <c r="EI88" i="139" s="1"/>
  <c r="DJ37" i="139"/>
  <c r="DJ64" i="139" s="1"/>
  <c r="EI90" i="139" s="1"/>
  <c r="DJ36" i="139"/>
  <c r="DJ63" i="139" s="1"/>
  <c r="EI89" i="139" s="1"/>
  <c r="DJ34" i="139"/>
  <c r="DJ61" i="139" s="1"/>
  <c r="EI87" i="139" s="1"/>
  <c r="DJ40" i="139"/>
  <c r="DJ67" i="139" s="1"/>
  <c r="EI93" i="139" s="1"/>
  <c r="DJ30" i="139"/>
  <c r="DJ57" i="139" s="1"/>
  <c r="EI83" i="139" s="1"/>
  <c r="DJ31" i="139"/>
  <c r="DJ58" i="139" s="1"/>
  <c r="EI84" i="139" s="1"/>
  <c r="DI35" i="139" l="1"/>
  <c r="DI62" i="139" s="1"/>
  <c r="EH88" i="139" s="1"/>
  <c r="DH28" i="139"/>
  <c r="DI32" i="139"/>
  <c r="DI59" i="139" s="1"/>
  <c r="EH85" i="139" s="1"/>
  <c r="DI38" i="139"/>
  <c r="DI65" i="139" s="1"/>
  <c r="EH91" i="139" s="1"/>
  <c r="DI33" i="139"/>
  <c r="DI60" i="139" s="1"/>
  <c r="EH86" i="139" s="1"/>
  <c r="DI34" i="139"/>
  <c r="DI61" i="139" s="1"/>
  <c r="EH87" i="139" s="1"/>
  <c r="DI31" i="139"/>
  <c r="DI58" i="139" s="1"/>
  <c r="EH84" i="139" s="1"/>
  <c r="DI36" i="139"/>
  <c r="DI63" i="139" s="1"/>
  <c r="EH89" i="139" s="1"/>
  <c r="DI39" i="139"/>
  <c r="DI66" i="139" s="1"/>
  <c r="EH92" i="139" s="1"/>
  <c r="DI41" i="139"/>
  <c r="DI68" i="139" s="1"/>
  <c r="EH94" i="139" s="1"/>
  <c r="DI40" i="139"/>
  <c r="DI67" i="139" s="1"/>
  <c r="EH93" i="139" s="1"/>
  <c r="DI37" i="139"/>
  <c r="DI64" i="139" s="1"/>
  <c r="EH90" i="139" s="1"/>
  <c r="DI30" i="139"/>
  <c r="DI57" i="139" s="1"/>
  <c r="EH83" i="139" s="1"/>
  <c r="DH30" i="139" l="1"/>
  <c r="DH57" i="139" s="1"/>
  <c r="EG83" i="139" s="1"/>
  <c r="DH37" i="139"/>
  <c r="DH64" i="139" s="1"/>
  <c r="EG90" i="139" s="1"/>
  <c r="DH38" i="139"/>
  <c r="DH65" i="139" s="1"/>
  <c r="EG91" i="139" s="1"/>
  <c r="DH41" i="139"/>
  <c r="DH68" i="139" s="1"/>
  <c r="EG94" i="139" s="1"/>
  <c r="DG28" i="139"/>
  <c r="DH36" i="139"/>
  <c r="DH63" i="139" s="1"/>
  <c r="EG89" i="139" s="1"/>
  <c r="DH34" i="139"/>
  <c r="DH61" i="139" s="1"/>
  <c r="EG87" i="139" s="1"/>
  <c r="DH33" i="139"/>
  <c r="DH60" i="139" s="1"/>
  <c r="EG86" i="139" s="1"/>
  <c r="DH35" i="139"/>
  <c r="DH62" i="139" s="1"/>
  <c r="EG88" i="139" s="1"/>
  <c r="DH40" i="139"/>
  <c r="DH67" i="139" s="1"/>
  <c r="EG93" i="139" s="1"/>
  <c r="DH31" i="139"/>
  <c r="DH58" i="139" s="1"/>
  <c r="EG84" i="139" s="1"/>
  <c r="DH39" i="139"/>
  <c r="DH66" i="139" s="1"/>
  <c r="EG92" i="139" s="1"/>
  <c r="DH32" i="139"/>
  <c r="DH59" i="139" s="1"/>
  <c r="EG85" i="139" s="1"/>
  <c r="DG32" i="139" l="1"/>
  <c r="DG59" i="139" s="1"/>
  <c r="EF85" i="139" s="1"/>
  <c r="DG38" i="139"/>
  <c r="DG65" i="139" s="1"/>
  <c r="EF91" i="139" s="1"/>
  <c r="DG41" i="139"/>
  <c r="DG68" i="139" s="1"/>
  <c r="EF94" i="139" s="1"/>
  <c r="DG33" i="139"/>
  <c r="DG60" i="139" s="1"/>
  <c r="EF86" i="139" s="1"/>
  <c r="DG39" i="139"/>
  <c r="DG66" i="139" s="1"/>
  <c r="EF92" i="139" s="1"/>
  <c r="DG37" i="139"/>
  <c r="DG64" i="139" s="1"/>
  <c r="EF90" i="139" s="1"/>
  <c r="DF28" i="139"/>
  <c r="DG31" i="139"/>
  <c r="DG58" i="139" s="1"/>
  <c r="EF84" i="139" s="1"/>
  <c r="DG34" i="139"/>
  <c r="DG61" i="139" s="1"/>
  <c r="EF87" i="139" s="1"/>
  <c r="DG40" i="139"/>
  <c r="DG67" i="139" s="1"/>
  <c r="EF93" i="139" s="1"/>
  <c r="DG36" i="139"/>
  <c r="DG63" i="139" s="1"/>
  <c r="EF89" i="139" s="1"/>
  <c r="DG30" i="139"/>
  <c r="DG57" i="139" s="1"/>
  <c r="EF83" i="139" s="1"/>
  <c r="DG35" i="139"/>
  <c r="DG62" i="139" s="1"/>
  <c r="EF88" i="139" s="1"/>
  <c r="DF32" i="139" l="1"/>
  <c r="DF59" i="139" s="1"/>
  <c r="EE85" i="139" s="1"/>
  <c r="DF41" i="139"/>
  <c r="DF68" i="139" s="1"/>
  <c r="EE94" i="139" s="1"/>
  <c r="DF35" i="139"/>
  <c r="DF62" i="139" s="1"/>
  <c r="EE88" i="139" s="1"/>
  <c r="DF38" i="139"/>
  <c r="DF65" i="139" s="1"/>
  <c r="EE91" i="139" s="1"/>
  <c r="DF30" i="139"/>
  <c r="DF57" i="139" s="1"/>
  <c r="EE83" i="139" s="1"/>
  <c r="DF40" i="139"/>
  <c r="DF67" i="139" s="1"/>
  <c r="EE93" i="139" s="1"/>
  <c r="DF34" i="139"/>
  <c r="DF61" i="139" s="1"/>
  <c r="EE87" i="139" s="1"/>
  <c r="DF37" i="139"/>
  <c r="DF64" i="139" s="1"/>
  <c r="EE90" i="139" s="1"/>
  <c r="DF33" i="139"/>
  <c r="DF60" i="139" s="1"/>
  <c r="EE86" i="139" s="1"/>
  <c r="DF39" i="139"/>
  <c r="DF66" i="139" s="1"/>
  <c r="EE92" i="139" s="1"/>
  <c r="DF36" i="139"/>
  <c r="DF63" i="139" s="1"/>
  <c r="EE89" i="139" s="1"/>
  <c r="DF31" i="139"/>
  <c r="DF58" i="139" s="1"/>
  <c r="EE84" i="139" s="1"/>
  <c r="DE28" i="139"/>
  <c r="DE41" i="139" l="1"/>
  <c r="DE68" i="139" s="1"/>
  <c r="ED94" i="139" s="1"/>
  <c r="DE36" i="139"/>
  <c r="DE63" i="139" s="1"/>
  <c r="ED89" i="139" s="1"/>
  <c r="DE39" i="139"/>
  <c r="DE66" i="139" s="1"/>
  <c r="ED92" i="139" s="1"/>
  <c r="DE32" i="139"/>
  <c r="DE59" i="139" s="1"/>
  <c r="ED85" i="139" s="1"/>
  <c r="DE38" i="139"/>
  <c r="DE65" i="139" s="1"/>
  <c r="ED91" i="139" s="1"/>
  <c r="DE37" i="139"/>
  <c r="DE64" i="139" s="1"/>
  <c r="ED90" i="139" s="1"/>
  <c r="DE35" i="139"/>
  <c r="DE62" i="139" s="1"/>
  <c r="ED88" i="139" s="1"/>
  <c r="DE30" i="139"/>
  <c r="DE57" i="139" s="1"/>
  <c r="ED83" i="139" s="1"/>
  <c r="DE31" i="139"/>
  <c r="DE58" i="139" s="1"/>
  <c r="ED84" i="139" s="1"/>
  <c r="DE40" i="139"/>
  <c r="DE67" i="139" s="1"/>
  <c r="ED93" i="139" s="1"/>
  <c r="DE34" i="139"/>
  <c r="DE61" i="139" s="1"/>
  <c r="ED87" i="139" s="1"/>
  <c r="DE33" i="139"/>
  <c r="DE60" i="139" s="1"/>
  <c r="ED86" i="139" s="1"/>
  <c r="DD28" i="139"/>
  <c r="DD39" i="139" l="1"/>
  <c r="DD66" i="139" s="1"/>
  <c r="EC92" i="139" s="1"/>
  <c r="DD38" i="139"/>
  <c r="DD65" i="139" s="1"/>
  <c r="EC91" i="139" s="1"/>
  <c r="DD30" i="139"/>
  <c r="DD57" i="139" s="1"/>
  <c r="EC83" i="139" s="1"/>
  <c r="DD32" i="139"/>
  <c r="DD59" i="139" s="1"/>
  <c r="EC85" i="139" s="1"/>
  <c r="DD40" i="139"/>
  <c r="DD67" i="139" s="1"/>
  <c r="EC93" i="139" s="1"/>
  <c r="DD31" i="139"/>
  <c r="DD58" i="139" s="1"/>
  <c r="EC84" i="139" s="1"/>
  <c r="DD34" i="139"/>
  <c r="DD61" i="139" s="1"/>
  <c r="EC87" i="139" s="1"/>
  <c r="DD37" i="139"/>
  <c r="DD64" i="139" s="1"/>
  <c r="EC90" i="139" s="1"/>
  <c r="DD41" i="139"/>
  <c r="DD68" i="139" s="1"/>
  <c r="EC94" i="139" s="1"/>
  <c r="DD35" i="139"/>
  <c r="DD62" i="139" s="1"/>
  <c r="EC88" i="139" s="1"/>
  <c r="DD33" i="139"/>
  <c r="DD60" i="139" s="1"/>
  <c r="EC86" i="139" s="1"/>
  <c r="DC28" i="139"/>
  <c r="DD36" i="139"/>
  <c r="DD63" i="139" s="1"/>
  <c r="EC89" i="139" s="1"/>
  <c r="DC39" i="139" l="1"/>
  <c r="DC66" i="139" s="1"/>
  <c r="EB92" i="139" s="1"/>
  <c r="DC40" i="139"/>
  <c r="DC67" i="139" s="1"/>
  <c r="EB93" i="139" s="1"/>
  <c r="DC33" i="139"/>
  <c r="DC60" i="139" s="1"/>
  <c r="EB86" i="139" s="1"/>
  <c r="DC34" i="139"/>
  <c r="DC61" i="139" s="1"/>
  <c r="EB87" i="139" s="1"/>
  <c r="DC35" i="139"/>
  <c r="DC62" i="139" s="1"/>
  <c r="EB88" i="139" s="1"/>
  <c r="DB28" i="139"/>
  <c r="DC36" i="139"/>
  <c r="DC63" i="139" s="1"/>
  <c r="EB89" i="139" s="1"/>
  <c r="DC37" i="139"/>
  <c r="DC64" i="139" s="1"/>
  <c r="EB90" i="139" s="1"/>
  <c r="DC30" i="139"/>
  <c r="DC57" i="139" s="1"/>
  <c r="EB83" i="139" s="1"/>
  <c r="DC32" i="139"/>
  <c r="DC59" i="139" s="1"/>
  <c r="EB85" i="139" s="1"/>
  <c r="DC31" i="139"/>
  <c r="DC58" i="139" s="1"/>
  <c r="EB84" i="139" s="1"/>
  <c r="DC38" i="139"/>
  <c r="DC65" i="139" s="1"/>
  <c r="EB91" i="139" s="1"/>
  <c r="DC41" i="139"/>
  <c r="DC68" i="139" s="1"/>
  <c r="EB94" i="139" s="1"/>
  <c r="DB38" i="139" l="1"/>
  <c r="DB65" i="139" s="1"/>
  <c r="EA91" i="139" s="1"/>
  <c r="DB32" i="139"/>
  <c r="DB59" i="139" s="1"/>
  <c r="EA85" i="139" s="1"/>
  <c r="DA28" i="139"/>
  <c r="DB37" i="139"/>
  <c r="DB64" i="139" s="1"/>
  <c r="EA90" i="139" s="1"/>
  <c r="DB39" i="139"/>
  <c r="DB66" i="139" s="1"/>
  <c r="EA92" i="139" s="1"/>
  <c r="DB33" i="139"/>
  <c r="DB60" i="139" s="1"/>
  <c r="EA86" i="139" s="1"/>
  <c r="DB36" i="139"/>
  <c r="DB63" i="139" s="1"/>
  <c r="EA89" i="139" s="1"/>
  <c r="DB41" i="139"/>
  <c r="DB68" i="139" s="1"/>
  <c r="EA94" i="139" s="1"/>
  <c r="DB30" i="139"/>
  <c r="DB57" i="139" s="1"/>
  <c r="EA83" i="139" s="1"/>
  <c r="DB31" i="139"/>
  <c r="DB58" i="139" s="1"/>
  <c r="EA84" i="139" s="1"/>
  <c r="DB40" i="139"/>
  <c r="DB67" i="139" s="1"/>
  <c r="EA93" i="139" s="1"/>
  <c r="DB35" i="139"/>
  <c r="DB62" i="139" s="1"/>
  <c r="EA88" i="139" s="1"/>
  <c r="DB34" i="139"/>
  <c r="DB61" i="139" s="1"/>
  <c r="EA87" i="139" s="1"/>
  <c r="DA32" i="139" l="1"/>
  <c r="DA59" i="139" s="1"/>
  <c r="DZ85" i="139" s="1"/>
  <c r="DA36" i="139"/>
  <c r="DA63" i="139" s="1"/>
  <c r="DZ89" i="139" s="1"/>
  <c r="DA31" i="139"/>
  <c r="DA58" i="139" s="1"/>
  <c r="DZ84" i="139" s="1"/>
  <c r="DA37" i="139"/>
  <c r="DA64" i="139" s="1"/>
  <c r="DZ90" i="139" s="1"/>
  <c r="CZ28" i="139"/>
  <c r="DA40" i="139"/>
  <c r="DA67" i="139" s="1"/>
  <c r="DZ93" i="139" s="1"/>
  <c r="DA35" i="139"/>
  <c r="DA62" i="139" s="1"/>
  <c r="DZ88" i="139" s="1"/>
  <c r="DA30" i="139"/>
  <c r="DA57" i="139" s="1"/>
  <c r="DZ83" i="139" s="1"/>
  <c r="DA34" i="139"/>
  <c r="DA61" i="139" s="1"/>
  <c r="DZ87" i="139" s="1"/>
  <c r="DA33" i="139"/>
  <c r="DA60" i="139" s="1"/>
  <c r="DZ86" i="139" s="1"/>
  <c r="DA39" i="139"/>
  <c r="DA66" i="139" s="1"/>
  <c r="DZ92" i="139" s="1"/>
  <c r="DA41" i="139"/>
  <c r="DA68" i="139" s="1"/>
  <c r="DZ94" i="139" s="1"/>
  <c r="DA38" i="139"/>
  <c r="DA65" i="139" s="1"/>
  <c r="DZ91" i="139" s="1"/>
  <c r="CZ40" i="139" l="1"/>
  <c r="CZ67" i="139" s="1"/>
  <c r="DY93" i="139" s="1"/>
  <c r="CZ36" i="139"/>
  <c r="CZ63" i="139" s="1"/>
  <c r="DY89" i="139" s="1"/>
  <c r="CZ34" i="139"/>
  <c r="CZ61" i="139" s="1"/>
  <c r="DY87" i="139" s="1"/>
  <c r="CZ38" i="139"/>
  <c r="CZ65" i="139" s="1"/>
  <c r="DY91" i="139" s="1"/>
  <c r="CZ35" i="139"/>
  <c r="CZ62" i="139" s="1"/>
  <c r="DY88" i="139" s="1"/>
  <c r="CZ41" i="139"/>
  <c r="CZ68" i="139" s="1"/>
  <c r="DY94" i="139" s="1"/>
  <c r="CZ30" i="139"/>
  <c r="CZ57" i="139" s="1"/>
  <c r="DY83" i="139" s="1"/>
  <c r="CZ39" i="139"/>
  <c r="CZ66" i="139" s="1"/>
  <c r="DY92" i="139" s="1"/>
  <c r="CZ32" i="139"/>
  <c r="CZ59" i="139" s="1"/>
  <c r="DY85" i="139" s="1"/>
  <c r="CZ37" i="139"/>
  <c r="CZ64" i="139" s="1"/>
  <c r="DY90" i="139" s="1"/>
  <c r="CY28" i="139"/>
  <c r="CZ33" i="139"/>
  <c r="CZ60" i="139" s="1"/>
  <c r="DY86" i="139" s="1"/>
  <c r="CZ31" i="139"/>
  <c r="CZ58" i="139" s="1"/>
  <c r="DY84" i="139" s="1"/>
  <c r="CY40" i="139" l="1"/>
  <c r="CY67" i="139" s="1"/>
  <c r="DX93" i="139" s="1"/>
  <c r="CY36" i="139"/>
  <c r="CY63" i="139" s="1"/>
  <c r="DX89" i="139" s="1"/>
  <c r="CX28" i="139"/>
  <c r="CY33" i="139"/>
  <c r="CY60" i="139" s="1"/>
  <c r="DX86" i="139" s="1"/>
  <c r="CY38" i="139"/>
  <c r="CY65" i="139" s="1"/>
  <c r="DX91" i="139" s="1"/>
  <c r="CY30" i="139"/>
  <c r="CY57" i="139" s="1"/>
  <c r="DX83" i="139" s="1"/>
  <c r="CY41" i="139"/>
  <c r="CY68" i="139" s="1"/>
  <c r="DX94" i="139" s="1"/>
  <c r="CY32" i="139"/>
  <c r="CY59" i="139" s="1"/>
  <c r="DX85" i="139" s="1"/>
  <c r="CY37" i="139"/>
  <c r="CY64" i="139" s="1"/>
  <c r="DX90" i="139" s="1"/>
  <c r="CY31" i="139"/>
  <c r="CY58" i="139" s="1"/>
  <c r="DX84" i="139" s="1"/>
  <c r="CY39" i="139"/>
  <c r="CY66" i="139" s="1"/>
  <c r="DX92" i="139" s="1"/>
  <c r="CY35" i="139"/>
  <c r="CY62" i="139" s="1"/>
  <c r="DX88" i="139" s="1"/>
  <c r="CY34" i="139"/>
  <c r="CY61" i="139" s="1"/>
  <c r="DX87" i="139" s="1"/>
  <c r="CX40" i="139" l="1"/>
  <c r="CX67" i="139" s="1"/>
  <c r="DW93" i="139" s="1"/>
  <c r="CW28" i="139"/>
  <c r="CX32" i="139"/>
  <c r="CX59" i="139" s="1"/>
  <c r="DW85" i="139" s="1"/>
  <c r="CX34" i="139"/>
  <c r="CX61" i="139" s="1"/>
  <c r="DW87" i="139" s="1"/>
  <c r="CX41" i="139"/>
  <c r="CX68" i="139" s="1"/>
  <c r="DW94" i="139" s="1"/>
  <c r="CX37" i="139"/>
  <c r="CX64" i="139" s="1"/>
  <c r="DW90" i="139" s="1"/>
  <c r="CX39" i="139"/>
  <c r="CX66" i="139" s="1"/>
  <c r="DW92" i="139" s="1"/>
  <c r="CX36" i="139"/>
  <c r="CX63" i="139" s="1"/>
  <c r="DW89" i="139" s="1"/>
  <c r="CX33" i="139"/>
  <c r="CX60" i="139" s="1"/>
  <c r="DW86" i="139" s="1"/>
  <c r="CX38" i="139"/>
  <c r="CX65" i="139" s="1"/>
  <c r="DW91" i="139" s="1"/>
  <c r="CX31" i="139"/>
  <c r="CX58" i="139" s="1"/>
  <c r="DW84" i="139" s="1"/>
  <c r="CX30" i="139"/>
  <c r="CX57" i="139" s="1"/>
  <c r="DW83" i="139" s="1"/>
  <c r="CX35" i="139"/>
  <c r="CX62" i="139" s="1"/>
  <c r="DW88" i="139" s="1"/>
  <c r="CW31" i="139" l="1"/>
  <c r="CW58" i="139" s="1"/>
  <c r="DV84" i="139" s="1"/>
  <c r="CW35" i="139"/>
  <c r="CW62" i="139" s="1"/>
  <c r="DV88" i="139" s="1"/>
  <c r="CW40" i="139"/>
  <c r="CW67" i="139" s="1"/>
  <c r="DV93" i="139" s="1"/>
  <c r="CW32" i="139"/>
  <c r="CW59" i="139" s="1"/>
  <c r="DV85" i="139" s="1"/>
  <c r="CW36" i="139"/>
  <c r="CW63" i="139" s="1"/>
  <c r="DV89" i="139" s="1"/>
  <c r="CW37" i="139"/>
  <c r="CW64" i="139" s="1"/>
  <c r="DV90" i="139" s="1"/>
  <c r="CV28" i="139"/>
  <c r="CW33" i="139"/>
  <c r="CW60" i="139" s="1"/>
  <c r="DV86" i="139" s="1"/>
  <c r="CW38" i="139"/>
  <c r="CW65" i="139" s="1"/>
  <c r="DV91" i="139" s="1"/>
  <c r="CW41" i="139"/>
  <c r="CW68" i="139" s="1"/>
  <c r="DV94" i="139" s="1"/>
  <c r="CW34" i="139"/>
  <c r="CW61" i="139" s="1"/>
  <c r="DV87" i="139" s="1"/>
  <c r="CW30" i="139"/>
  <c r="CW57" i="139" s="1"/>
  <c r="DV83" i="139" s="1"/>
  <c r="CW39" i="139"/>
  <c r="CW66" i="139" s="1"/>
  <c r="DV92" i="139" s="1"/>
  <c r="CV40" i="139" l="1"/>
  <c r="CV67" i="139" s="1"/>
  <c r="DU93" i="139" s="1"/>
  <c r="CV39" i="139"/>
  <c r="CV66" i="139" s="1"/>
  <c r="DU92" i="139" s="1"/>
  <c r="CV33" i="139"/>
  <c r="CV60" i="139" s="1"/>
  <c r="DU86" i="139" s="1"/>
  <c r="CV38" i="139"/>
  <c r="CV65" i="139" s="1"/>
  <c r="DU91" i="139" s="1"/>
  <c r="CV34" i="139"/>
  <c r="CV61" i="139" s="1"/>
  <c r="DU87" i="139" s="1"/>
  <c r="CV37" i="139"/>
  <c r="CV64" i="139" s="1"/>
  <c r="DU90" i="139" s="1"/>
  <c r="CV30" i="139"/>
  <c r="CV57" i="139" s="1"/>
  <c r="DU83" i="139" s="1"/>
  <c r="CV31" i="139"/>
  <c r="CV58" i="139" s="1"/>
  <c r="DU84" i="139" s="1"/>
  <c r="CU28" i="139"/>
  <c r="CV36" i="139"/>
  <c r="CV63" i="139" s="1"/>
  <c r="DU89" i="139" s="1"/>
  <c r="CV35" i="139"/>
  <c r="CV62" i="139" s="1"/>
  <c r="DU88" i="139" s="1"/>
  <c r="CV32" i="139"/>
  <c r="CV59" i="139" s="1"/>
  <c r="DU85" i="139" s="1"/>
  <c r="CV41" i="139"/>
  <c r="CV68" i="139" s="1"/>
  <c r="DU94" i="139" s="1"/>
  <c r="CT28" i="139" l="1"/>
  <c r="CU35" i="139"/>
  <c r="CU62" i="139" s="1"/>
  <c r="DT88" i="139" s="1"/>
  <c r="CU39" i="139"/>
  <c r="CU66" i="139" s="1"/>
  <c r="DT92" i="139" s="1"/>
  <c r="CU33" i="139"/>
  <c r="CU60" i="139" s="1"/>
  <c r="DT86" i="139" s="1"/>
  <c r="CU38" i="139"/>
  <c r="CU65" i="139" s="1"/>
  <c r="DT91" i="139" s="1"/>
  <c r="CU37" i="139"/>
  <c r="CU64" i="139" s="1"/>
  <c r="DT90" i="139" s="1"/>
  <c r="CU41" i="139"/>
  <c r="CU68" i="139" s="1"/>
  <c r="DT94" i="139" s="1"/>
  <c r="CU36" i="139"/>
  <c r="CU63" i="139" s="1"/>
  <c r="DT89" i="139" s="1"/>
  <c r="CU31" i="139"/>
  <c r="CU58" i="139" s="1"/>
  <c r="DT84" i="139" s="1"/>
  <c r="CU30" i="139"/>
  <c r="CU57" i="139" s="1"/>
  <c r="DT83" i="139" s="1"/>
  <c r="CU40" i="139"/>
  <c r="CU67" i="139" s="1"/>
  <c r="DT93" i="139" s="1"/>
  <c r="CU34" i="139"/>
  <c r="CU61" i="139" s="1"/>
  <c r="DT87" i="139" s="1"/>
  <c r="CU32" i="139"/>
  <c r="CU59" i="139" s="1"/>
  <c r="DT85" i="139" s="1"/>
  <c r="CT38" i="139" l="1"/>
  <c r="CT65" i="139" s="1"/>
  <c r="DS91" i="139" s="1"/>
  <c r="CT37" i="139"/>
  <c r="CT64" i="139" s="1"/>
  <c r="DS90" i="139" s="1"/>
  <c r="CT33" i="139"/>
  <c r="CT60" i="139" s="1"/>
  <c r="DS86" i="139" s="1"/>
  <c r="CT32" i="139"/>
  <c r="CT59" i="139" s="1"/>
  <c r="DS85" i="139" s="1"/>
  <c r="CT31" i="139"/>
  <c r="CT58" i="139" s="1"/>
  <c r="DS84" i="139" s="1"/>
  <c r="CT36" i="139"/>
  <c r="CT63" i="139" s="1"/>
  <c r="DS89" i="139" s="1"/>
  <c r="CT35" i="139"/>
  <c r="CT62" i="139" s="1"/>
  <c r="DS88" i="139" s="1"/>
  <c r="CS28" i="139"/>
  <c r="CT41" i="139"/>
  <c r="CT68" i="139" s="1"/>
  <c r="DS94" i="139" s="1"/>
  <c r="CT30" i="139"/>
  <c r="CT57" i="139" s="1"/>
  <c r="DS83" i="139" s="1"/>
  <c r="CT34" i="139"/>
  <c r="CT61" i="139" s="1"/>
  <c r="DS87" i="139" s="1"/>
  <c r="CT40" i="139"/>
  <c r="CT67" i="139" s="1"/>
  <c r="DS93" i="139" s="1"/>
  <c r="CT39" i="139"/>
  <c r="CT66" i="139" s="1"/>
  <c r="DS92" i="139" s="1"/>
  <c r="CS32" i="139" l="1"/>
  <c r="CS59" i="139" s="1"/>
  <c r="DR85" i="139" s="1"/>
  <c r="CS39" i="139"/>
  <c r="CS66" i="139" s="1"/>
  <c r="DR92" i="139" s="1"/>
  <c r="CR28" i="139"/>
  <c r="CS41" i="139"/>
  <c r="CS68" i="139" s="1"/>
  <c r="DR94" i="139" s="1"/>
  <c r="CS30" i="139"/>
  <c r="CS57" i="139" s="1"/>
  <c r="DR83" i="139" s="1"/>
  <c r="CS33" i="139"/>
  <c r="CS60" i="139" s="1"/>
  <c r="DR86" i="139" s="1"/>
  <c r="CS38" i="139"/>
  <c r="CS65" i="139" s="1"/>
  <c r="DR91" i="139" s="1"/>
  <c r="CS31" i="139"/>
  <c r="CS58" i="139" s="1"/>
  <c r="DR84" i="139" s="1"/>
  <c r="CS36" i="139"/>
  <c r="CS63" i="139" s="1"/>
  <c r="DR89" i="139" s="1"/>
  <c r="CS40" i="139"/>
  <c r="CS67" i="139" s="1"/>
  <c r="DR93" i="139" s="1"/>
  <c r="CS34" i="139"/>
  <c r="CS61" i="139" s="1"/>
  <c r="DR87" i="139" s="1"/>
  <c r="CS35" i="139"/>
  <c r="CS62" i="139" s="1"/>
  <c r="DR88" i="139" s="1"/>
  <c r="CS37" i="139"/>
  <c r="CS64" i="139" s="1"/>
  <c r="DR90" i="139" s="1"/>
  <c r="CR37" i="139" l="1"/>
  <c r="CR64" i="139" s="1"/>
  <c r="DQ90" i="139" s="1"/>
  <c r="CR32" i="139"/>
  <c r="CR59" i="139" s="1"/>
  <c r="DQ85" i="139" s="1"/>
  <c r="CR35" i="139"/>
  <c r="CR62" i="139" s="1"/>
  <c r="DQ88" i="139" s="1"/>
  <c r="CR40" i="139"/>
  <c r="CR67" i="139" s="1"/>
  <c r="DQ93" i="139" s="1"/>
  <c r="CR41" i="139"/>
  <c r="CR68" i="139" s="1"/>
  <c r="DQ94" i="139" s="1"/>
  <c r="CR39" i="139"/>
  <c r="CR66" i="139" s="1"/>
  <c r="DQ92" i="139" s="1"/>
  <c r="CR33" i="139"/>
  <c r="CR60" i="139" s="1"/>
  <c r="DQ86" i="139" s="1"/>
  <c r="CR34" i="139"/>
  <c r="CR61" i="139" s="1"/>
  <c r="DQ87" i="139" s="1"/>
  <c r="CR31" i="139"/>
  <c r="CR58" i="139" s="1"/>
  <c r="DQ84" i="139" s="1"/>
  <c r="CR36" i="139"/>
  <c r="CR63" i="139" s="1"/>
  <c r="DQ89" i="139" s="1"/>
  <c r="CR30" i="139"/>
  <c r="CR57" i="139" s="1"/>
  <c r="DQ83" i="139" s="1"/>
  <c r="CR38" i="139"/>
  <c r="CR65" i="139" s="1"/>
  <c r="DQ91" i="139" s="1"/>
  <c r="CQ28" i="139"/>
  <c r="CQ33" i="139" l="1"/>
  <c r="CQ60" i="139" s="1"/>
  <c r="DP86" i="139" s="1"/>
  <c r="CQ41" i="139"/>
  <c r="CQ68" i="139" s="1"/>
  <c r="DP94" i="139" s="1"/>
  <c r="CQ30" i="139"/>
  <c r="CQ57" i="139" s="1"/>
  <c r="DP83" i="139" s="1"/>
  <c r="CQ39" i="139"/>
  <c r="CQ66" i="139" s="1"/>
  <c r="DP92" i="139" s="1"/>
  <c r="CQ32" i="139"/>
  <c r="CQ59" i="139" s="1"/>
  <c r="DP85" i="139" s="1"/>
  <c r="CQ37" i="139"/>
  <c r="CQ64" i="139" s="1"/>
  <c r="DP90" i="139" s="1"/>
  <c r="CQ35" i="139"/>
  <c r="CQ62" i="139" s="1"/>
  <c r="DP88" i="139" s="1"/>
  <c r="CQ38" i="139"/>
  <c r="CQ65" i="139" s="1"/>
  <c r="DP91" i="139" s="1"/>
  <c r="CQ31" i="139"/>
  <c r="CQ58" i="139" s="1"/>
  <c r="DP84" i="139" s="1"/>
  <c r="CQ36" i="139"/>
  <c r="CQ63" i="139" s="1"/>
  <c r="DP89" i="139" s="1"/>
  <c r="CQ40" i="139"/>
  <c r="CQ67" i="139" s="1"/>
  <c r="DP93" i="139" s="1"/>
  <c r="CP28" i="139"/>
  <c r="CQ34" i="139"/>
  <c r="CQ61" i="139" s="1"/>
  <c r="DP87" i="139" s="1"/>
  <c r="CP36" i="139" l="1"/>
  <c r="CP63" i="139" s="1"/>
  <c r="DO89" i="139" s="1"/>
  <c r="CP40" i="139"/>
  <c r="CP67" i="139" s="1"/>
  <c r="DO93" i="139" s="1"/>
  <c r="CP32" i="139"/>
  <c r="CP59" i="139" s="1"/>
  <c r="DO85" i="139" s="1"/>
  <c r="CP33" i="139"/>
  <c r="CP60" i="139" s="1"/>
  <c r="DO86" i="139" s="1"/>
  <c r="CP31" i="139"/>
  <c r="CP58" i="139" s="1"/>
  <c r="DO84" i="139" s="1"/>
  <c r="CP37" i="139"/>
  <c r="CP64" i="139" s="1"/>
  <c r="DO90" i="139" s="1"/>
  <c r="CP35" i="139"/>
  <c r="CP62" i="139" s="1"/>
  <c r="DO88" i="139" s="1"/>
  <c r="CP38" i="139"/>
  <c r="CP65" i="139" s="1"/>
  <c r="DO91" i="139" s="1"/>
  <c r="CP30" i="139"/>
  <c r="CP57" i="139" s="1"/>
  <c r="DO83" i="139" s="1"/>
  <c r="CO28" i="139"/>
  <c r="CP34" i="139"/>
  <c r="CP61" i="139" s="1"/>
  <c r="DO87" i="139" s="1"/>
  <c r="CP41" i="139"/>
  <c r="CP68" i="139" s="1"/>
  <c r="DO94" i="139" s="1"/>
  <c r="CP39" i="139"/>
  <c r="CP66" i="139" s="1"/>
  <c r="DO92" i="139" s="1"/>
  <c r="CO30" i="139" l="1"/>
  <c r="CO57" i="139" s="1"/>
  <c r="DN83" i="139" s="1"/>
  <c r="CO31" i="139"/>
  <c r="CO58" i="139" s="1"/>
  <c r="DN84" i="139" s="1"/>
  <c r="CO33" i="139"/>
  <c r="CO60" i="139" s="1"/>
  <c r="DN86" i="139" s="1"/>
  <c r="CO35" i="139"/>
  <c r="CO62" i="139" s="1"/>
  <c r="DN88" i="139" s="1"/>
  <c r="CO37" i="139"/>
  <c r="CO64" i="139" s="1"/>
  <c r="DN90" i="139" s="1"/>
  <c r="CO34" i="139"/>
  <c r="CO61" i="139" s="1"/>
  <c r="DN87" i="139" s="1"/>
  <c r="CN28" i="139"/>
  <c r="CO39" i="139"/>
  <c r="CO66" i="139" s="1"/>
  <c r="DN92" i="139" s="1"/>
  <c r="CO40" i="139"/>
  <c r="CO67" i="139" s="1"/>
  <c r="DN93" i="139" s="1"/>
  <c r="CO32" i="139"/>
  <c r="CO59" i="139" s="1"/>
  <c r="DN85" i="139" s="1"/>
  <c r="CO36" i="139"/>
  <c r="CO63" i="139" s="1"/>
  <c r="DN89" i="139" s="1"/>
  <c r="CO38" i="139"/>
  <c r="CO65" i="139" s="1"/>
  <c r="DN91" i="139" s="1"/>
  <c r="CO41" i="139"/>
  <c r="CO68" i="139" s="1"/>
  <c r="DN94" i="139" s="1"/>
  <c r="CN37" i="139" l="1"/>
  <c r="CN64" i="139" s="1"/>
  <c r="DM90" i="139" s="1"/>
  <c r="CN33" i="139"/>
  <c r="CN60" i="139" s="1"/>
  <c r="DM86" i="139" s="1"/>
  <c r="CN32" i="139"/>
  <c r="CN59" i="139" s="1"/>
  <c r="DM85" i="139" s="1"/>
  <c r="CN39" i="139"/>
  <c r="CN66" i="139" s="1"/>
  <c r="DM92" i="139" s="1"/>
  <c r="CN34" i="139"/>
  <c r="CN61" i="139" s="1"/>
  <c r="DM87" i="139" s="1"/>
  <c r="CN36" i="139"/>
  <c r="CN63" i="139" s="1"/>
  <c r="DM89" i="139" s="1"/>
  <c r="CN38" i="139"/>
  <c r="CN65" i="139" s="1"/>
  <c r="DM91" i="139" s="1"/>
  <c r="CN31" i="139"/>
  <c r="CN58" i="139" s="1"/>
  <c r="DM84" i="139" s="1"/>
  <c r="CM28" i="139"/>
  <c r="CN35" i="139"/>
  <c r="CN62" i="139" s="1"/>
  <c r="DM88" i="139" s="1"/>
  <c r="CN40" i="139"/>
  <c r="CN67" i="139" s="1"/>
  <c r="DM93" i="139" s="1"/>
  <c r="CN30" i="139"/>
  <c r="CN57" i="139" s="1"/>
  <c r="DM83" i="139" s="1"/>
  <c r="CN41" i="139"/>
  <c r="CN68" i="139" s="1"/>
  <c r="DM94" i="139" s="1"/>
  <c r="CM32" i="139" l="1"/>
  <c r="CM59" i="139" s="1"/>
  <c r="DL85" i="139" s="1"/>
  <c r="CM30" i="139"/>
  <c r="CM57" i="139" s="1"/>
  <c r="DL83" i="139" s="1"/>
  <c r="CM35" i="139"/>
  <c r="CM62" i="139" s="1"/>
  <c r="DL88" i="139" s="1"/>
  <c r="CM40" i="139"/>
  <c r="CM67" i="139" s="1"/>
  <c r="DL93" i="139" s="1"/>
  <c r="CM41" i="139"/>
  <c r="CM68" i="139" s="1"/>
  <c r="DL94" i="139" s="1"/>
  <c r="CM33" i="139"/>
  <c r="CM60" i="139" s="1"/>
  <c r="DL86" i="139" s="1"/>
  <c r="CM37" i="139"/>
  <c r="CM64" i="139" s="1"/>
  <c r="DL90" i="139" s="1"/>
  <c r="CL28" i="139"/>
  <c r="CM36" i="139"/>
  <c r="CM63" i="139" s="1"/>
  <c r="DL89" i="139" s="1"/>
  <c r="CM34" i="139"/>
  <c r="CM61" i="139" s="1"/>
  <c r="DL87" i="139" s="1"/>
  <c r="CM38" i="139"/>
  <c r="CM65" i="139" s="1"/>
  <c r="DL91" i="139" s="1"/>
  <c r="CM31" i="139"/>
  <c r="CM58" i="139" s="1"/>
  <c r="DL84" i="139" s="1"/>
  <c r="CM39" i="139"/>
  <c r="CM66" i="139" s="1"/>
  <c r="DL92" i="139" s="1"/>
  <c r="CL36" i="139" l="1"/>
  <c r="CL63" i="139" s="1"/>
  <c r="DK89" i="139" s="1"/>
  <c r="CL33" i="139"/>
  <c r="CL60" i="139" s="1"/>
  <c r="DK86" i="139" s="1"/>
  <c r="CK28" i="139"/>
  <c r="CL30" i="139"/>
  <c r="CL57" i="139" s="1"/>
  <c r="DK83" i="139" s="1"/>
  <c r="CL35" i="139"/>
  <c r="CL62" i="139" s="1"/>
  <c r="DK88" i="139" s="1"/>
  <c r="CL41" i="139"/>
  <c r="CL68" i="139" s="1"/>
  <c r="DK94" i="139" s="1"/>
  <c r="CL31" i="139"/>
  <c r="CL58" i="139" s="1"/>
  <c r="DK84" i="139" s="1"/>
  <c r="CL38" i="139"/>
  <c r="CL65" i="139" s="1"/>
  <c r="DK91" i="139" s="1"/>
  <c r="CL32" i="139"/>
  <c r="CL59" i="139" s="1"/>
  <c r="DK85" i="139" s="1"/>
  <c r="CL34" i="139"/>
  <c r="CL61" i="139" s="1"/>
  <c r="DK87" i="139" s="1"/>
  <c r="CL39" i="139"/>
  <c r="CL66" i="139" s="1"/>
  <c r="DK92" i="139" s="1"/>
  <c r="CL40" i="139"/>
  <c r="CL67" i="139" s="1"/>
  <c r="DK93" i="139" s="1"/>
  <c r="CL37" i="139"/>
  <c r="CL64" i="139" s="1"/>
  <c r="DK90" i="139" s="1"/>
  <c r="CK34" i="139" l="1"/>
  <c r="CK61" i="139" s="1"/>
  <c r="DJ87" i="139" s="1"/>
  <c r="CK35" i="139"/>
  <c r="CK62" i="139" s="1"/>
  <c r="DJ88" i="139" s="1"/>
  <c r="CK41" i="139"/>
  <c r="CK68" i="139" s="1"/>
  <c r="DJ94" i="139" s="1"/>
  <c r="CK32" i="139"/>
  <c r="CK59" i="139" s="1"/>
  <c r="DJ85" i="139" s="1"/>
  <c r="CK36" i="139"/>
  <c r="CK63" i="139" s="1"/>
  <c r="DJ89" i="139" s="1"/>
  <c r="CK30" i="139"/>
  <c r="CK57" i="139" s="1"/>
  <c r="DJ83" i="139" s="1"/>
  <c r="CK31" i="139"/>
  <c r="CK58" i="139" s="1"/>
  <c r="DJ84" i="139" s="1"/>
  <c r="CK37" i="139"/>
  <c r="CK64" i="139" s="1"/>
  <c r="DJ90" i="139" s="1"/>
  <c r="CK40" i="139"/>
  <c r="CK67" i="139" s="1"/>
  <c r="DJ93" i="139" s="1"/>
  <c r="CK33" i="139"/>
  <c r="CK60" i="139" s="1"/>
  <c r="DJ86" i="139" s="1"/>
  <c r="CK39" i="139"/>
  <c r="CK66" i="139" s="1"/>
  <c r="DJ92" i="139" s="1"/>
  <c r="CJ28" i="139"/>
  <c r="CK38" i="139"/>
  <c r="CK65" i="139" s="1"/>
  <c r="DJ91" i="139" s="1"/>
  <c r="CJ34" i="139" l="1"/>
  <c r="CJ61" i="139" s="1"/>
  <c r="DI87" i="139" s="1"/>
  <c r="CJ39" i="139"/>
  <c r="CJ66" i="139" s="1"/>
  <c r="DI92" i="139" s="1"/>
  <c r="CJ37" i="139"/>
  <c r="CJ64" i="139" s="1"/>
  <c r="DI90" i="139" s="1"/>
  <c r="CJ30" i="139"/>
  <c r="CJ57" i="139" s="1"/>
  <c r="DI83" i="139" s="1"/>
  <c r="CJ38" i="139"/>
  <c r="CJ65" i="139" s="1"/>
  <c r="DI91" i="139" s="1"/>
  <c r="CJ41" i="139"/>
  <c r="CJ68" i="139" s="1"/>
  <c r="DI94" i="139" s="1"/>
  <c r="CJ33" i="139"/>
  <c r="CJ60" i="139" s="1"/>
  <c r="DI86" i="139" s="1"/>
  <c r="CJ31" i="139"/>
  <c r="CJ58" i="139" s="1"/>
  <c r="DI84" i="139" s="1"/>
  <c r="CJ32" i="139"/>
  <c r="CJ59" i="139" s="1"/>
  <c r="DI85" i="139" s="1"/>
  <c r="CJ40" i="139"/>
  <c r="CJ67" i="139" s="1"/>
  <c r="DI93" i="139" s="1"/>
  <c r="CI28" i="139"/>
  <c r="CJ35" i="139"/>
  <c r="CJ62" i="139" s="1"/>
  <c r="DI88" i="139" s="1"/>
  <c r="CJ36" i="139"/>
  <c r="CJ63" i="139" s="1"/>
  <c r="DI89" i="139" s="1"/>
  <c r="CI31" i="139" l="1"/>
  <c r="CI58" i="139" s="1"/>
  <c r="DH84" i="139" s="1"/>
  <c r="CI41" i="139"/>
  <c r="CI68" i="139" s="1"/>
  <c r="DH94" i="139" s="1"/>
  <c r="CI38" i="139"/>
  <c r="CI65" i="139" s="1"/>
  <c r="DH91" i="139" s="1"/>
  <c r="CI30" i="139"/>
  <c r="CI57" i="139" s="1"/>
  <c r="DH83" i="139" s="1"/>
  <c r="CI35" i="139"/>
  <c r="CI62" i="139" s="1"/>
  <c r="DH88" i="139" s="1"/>
  <c r="CI34" i="139"/>
  <c r="CI61" i="139" s="1"/>
  <c r="DH87" i="139" s="1"/>
  <c r="CI32" i="139"/>
  <c r="CI59" i="139" s="1"/>
  <c r="DH85" i="139" s="1"/>
  <c r="CI39" i="139"/>
  <c r="CI66" i="139" s="1"/>
  <c r="DH92" i="139" s="1"/>
  <c r="CI36" i="139"/>
  <c r="CI63" i="139" s="1"/>
  <c r="DH89" i="139" s="1"/>
  <c r="CI40" i="139"/>
  <c r="CI67" i="139" s="1"/>
  <c r="DH93" i="139" s="1"/>
  <c r="CI33" i="139"/>
  <c r="CI60" i="139" s="1"/>
  <c r="DH86" i="139" s="1"/>
  <c r="CI37" i="139"/>
  <c r="CI64" i="139" s="1"/>
  <c r="DH90" i="139" s="1"/>
  <c r="CH28" i="139"/>
  <c r="CH34" i="139" l="1"/>
  <c r="CH61" i="139" s="1"/>
  <c r="DG87" i="139" s="1"/>
  <c r="CH32" i="139"/>
  <c r="CH59" i="139" s="1"/>
  <c r="DG85" i="139" s="1"/>
  <c r="CH41" i="139"/>
  <c r="CH68" i="139" s="1"/>
  <c r="DG94" i="139" s="1"/>
  <c r="CH35" i="139"/>
  <c r="CH62" i="139" s="1"/>
  <c r="DG88" i="139" s="1"/>
  <c r="CH33" i="139"/>
  <c r="CH60" i="139" s="1"/>
  <c r="DG86" i="139" s="1"/>
  <c r="CH38" i="139"/>
  <c r="CH65" i="139" s="1"/>
  <c r="DG91" i="139" s="1"/>
  <c r="CH39" i="139"/>
  <c r="CH66" i="139" s="1"/>
  <c r="DG92" i="139" s="1"/>
  <c r="CH30" i="139"/>
  <c r="CH57" i="139" s="1"/>
  <c r="DG83" i="139" s="1"/>
  <c r="CH36" i="139"/>
  <c r="CH63" i="139" s="1"/>
  <c r="DG89" i="139" s="1"/>
  <c r="CG28" i="139"/>
  <c r="CH31" i="139"/>
  <c r="CH58" i="139" s="1"/>
  <c r="DG84" i="139" s="1"/>
  <c r="CH40" i="139"/>
  <c r="CH67" i="139" s="1"/>
  <c r="DG93" i="139" s="1"/>
  <c r="CH37" i="139"/>
  <c r="CH64" i="139" s="1"/>
  <c r="DG90" i="139" s="1"/>
  <c r="CG32" i="139" l="1"/>
  <c r="CG59" i="139" s="1"/>
  <c r="DF85" i="139" s="1"/>
  <c r="CG38" i="139"/>
  <c r="CG65" i="139" s="1"/>
  <c r="DF91" i="139" s="1"/>
  <c r="CG39" i="139"/>
  <c r="CG66" i="139" s="1"/>
  <c r="DF92" i="139" s="1"/>
  <c r="CF28" i="139"/>
  <c r="CG41" i="139"/>
  <c r="CG68" i="139" s="1"/>
  <c r="DF94" i="139" s="1"/>
  <c r="CG40" i="139"/>
  <c r="CG67" i="139" s="1"/>
  <c r="DF93" i="139" s="1"/>
  <c r="CG33" i="139"/>
  <c r="CG60" i="139" s="1"/>
  <c r="DF86" i="139" s="1"/>
  <c r="CG36" i="139"/>
  <c r="CG63" i="139" s="1"/>
  <c r="DF89" i="139" s="1"/>
  <c r="CG35" i="139"/>
  <c r="CG62" i="139" s="1"/>
  <c r="DF88" i="139" s="1"/>
  <c r="CG31" i="139"/>
  <c r="CG58" i="139" s="1"/>
  <c r="DF84" i="139" s="1"/>
  <c r="CG34" i="139"/>
  <c r="CG61" i="139" s="1"/>
  <c r="DF87" i="139" s="1"/>
  <c r="CG37" i="139"/>
  <c r="CG64" i="139" s="1"/>
  <c r="DF90" i="139" s="1"/>
  <c r="CG30" i="139"/>
  <c r="CG57" i="139" s="1"/>
  <c r="DF83" i="139" s="1"/>
  <c r="CF30" i="139" l="1"/>
  <c r="CF57" i="139" s="1"/>
  <c r="DE83" i="139" s="1"/>
  <c r="CF36" i="139"/>
  <c r="CF63" i="139" s="1"/>
  <c r="DE89" i="139" s="1"/>
  <c r="CF31" i="139"/>
  <c r="CF58" i="139" s="1"/>
  <c r="DE84" i="139" s="1"/>
  <c r="CF40" i="139"/>
  <c r="CF67" i="139" s="1"/>
  <c r="DE93" i="139" s="1"/>
  <c r="CF33" i="139"/>
  <c r="CF60" i="139" s="1"/>
  <c r="DE86" i="139" s="1"/>
  <c r="CF34" i="139"/>
  <c r="CF61" i="139" s="1"/>
  <c r="DE87" i="139" s="1"/>
  <c r="CF32" i="139"/>
  <c r="CF59" i="139" s="1"/>
  <c r="DE85" i="139" s="1"/>
  <c r="CF37" i="139"/>
  <c r="CF64" i="139" s="1"/>
  <c r="DE90" i="139" s="1"/>
  <c r="CF38" i="139"/>
  <c r="CF65" i="139" s="1"/>
  <c r="DE91" i="139" s="1"/>
  <c r="CF41" i="139"/>
  <c r="CF68" i="139" s="1"/>
  <c r="DE94" i="139" s="1"/>
  <c r="CF35" i="139"/>
  <c r="CF62" i="139" s="1"/>
  <c r="DE88" i="139" s="1"/>
  <c r="CF39" i="139"/>
  <c r="CF66" i="139" s="1"/>
  <c r="DE92" i="139" s="1"/>
  <c r="CE28" i="139"/>
  <c r="CD28" i="139" l="1"/>
  <c r="CE35" i="139"/>
  <c r="CE62" i="139" s="1"/>
  <c r="DD88" i="139" s="1"/>
  <c r="CE34" i="139"/>
  <c r="CE61" i="139" s="1"/>
  <c r="DD87" i="139" s="1"/>
  <c r="CE41" i="139"/>
  <c r="CE68" i="139" s="1"/>
  <c r="DD94" i="139" s="1"/>
  <c r="CE38" i="139"/>
  <c r="CE65" i="139" s="1"/>
  <c r="DD91" i="139" s="1"/>
  <c r="CE33" i="139"/>
  <c r="CE60" i="139" s="1"/>
  <c r="DD86" i="139" s="1"/>
  <c r="CE39" i="139"/>
  <c r="CE66" i="139" s="1"/>
  <c r="DD92" i="139" s="1"/>
  <c r="CE30" i="139"/>
  <c r="CE57" i="139" s="1"/>
  <c r="DD83" i="139" s="1"/>
  <c r="CE32" i="139"/>
  <c r="CE59" i="139" s="1"/>
  <c r="DD85" i="139" s="1"/>
  <c r="CE36" i="139"/>
  <c r="CE63" i="139" s="1"/>
  <c r="DD89" i="139" s="1"/>
  <c r="CE37" i="139"/>
  <c r="CE64" i="139" s="1"/>
  <c r="DD90" i="139" s="1"/>
  <c r="CE40" i="139"/>
  <c r="CE67" i="139" s="1"/>
  <c r="DD93" i="139" s="1"/>
  <c r="CE31" i="139"/>
  <c r="CE58" i="139" s="1"/>
  <c r="DD84" i="139" s="1"/>
  <c r="CD32" i="139" l="1"/>
  <c r="CD59" i="139" s="1"/>
  <c r="DC85" i="139" s="1"/>
  <c r="CD36" i="139"/>
  <c r="CD63" i="139" s="1"/>
  <c r="DC89" i="139" s="1"/>
  <c r="CD41" i="139"/>
  <c r="CD68" i="139" s="1"/>
  <c r="DC94" i="139" s="1"/>
  <c r="CD40" i="139"/>
  <c r="CD67" i="139" s="1"/>
  <c r="DC93" i="139" s="1"/>
  <c r="CD38" i="139"/>
  <c r="CD65" i="139" s="1"/>
  <c r="DC91" i="139" s="1"/>
  <c r="CD34" i="139"/>
  <c r="CD61" i="139" s="1"/>
  <c r="DC87" i="139" s="1"/>
  <c r="CD33" i="139"/>
  <c r="CD60" i="139" s="1"/>
  <c r="DC86" i="139" s="1"/>
  <c r="CD35" i="139"/>
  <c r="CD62" i="139" s="1"/>
  <c r="DC88" i="139" s="1"/>
  <c r="CD37" i="139"/>
  <c r="CD64" i="139" s="1"/>
  <c r="DC90" i="139" s="1"/>
  <c r="CC28" i="139"/>
  <c r="CD39" i="139"/>
  <c r="CD66" i="139" s="1"/>
  <c r="DC92" i="139" s="1"/>
  <c r="CD31" i="139"/>
  <c r="CD58" i="139" s="1"/>
  <c r="DC84" i="139" s="1"/>
  <c r="CD30" i="139"/>
  <c r="CD57" i="139" s="1"/>
  <c r="DC83" i="139" s="1"/>
  <c r="CC34" i="139" l="1"/>
  <c r="CC61" i="139" s="1"/>
  <c r="DB87" i="139" s="1"/>
  <c r="CC36" i="139"/>
  <c r="CC63" i="139" s="1"/>
  <c r="DB89" i="139" s="1"/>
  <c r="CC35" i="139"/>
  <c r="CC62" i="139" s="1"/>
  <c r="DB88" i="139" s="1"/>
  <c r="CC39" i="139"/>
  <c r="CC66" i="139" s="1"/>
  <c r="DB92" i="139" s="1"/>
  <c r="CC33" i="139"/>
  <c r="CC60" i="139" s="1"/>
  <c r="DB86" i="139" s="1"/>
  <c r="CC38" i="139"/>
  <c r="CC65" i="139" s="1"/>
  <c r="DB91" i="139" s="1"/>
  <c r="CC41" i="139"/>
  <c r="CC68" i="139" s="1"/>
  <c r="DB94" i="139" s="1"/>
  <c r="CB28" i="139"/>
  <c r="CC30" i="139"/>
  <c r="CC57" i="139" s="1"/>
  <c r="DB83" i="139" s="1"/>
  <c r="CC31" i="139"/>
  <c r="CC58" i="139" s="1"/>
  <c r="DB84" i="139" s="1"/>
  <c r="CC40" i="139"/>
  <c r="CC67" i="139" s="1"/>
  <c r="DB93" i="139" s="1"/>
  <c r="CC32" i="139"/>
  <c r="CC59" i="139" s="1"/>
  <c r="DB85" i="139" s="1"/>
  <c r="CC37" i="139"/>
  <c r="CC64" i="139" s="1"/>
  <c r="DB90" i="139" s="1"/>
  <c r="CB34" i="139" l="1"/>
  <c r="CB61" i="139" s="1"/>
  <c r="DA87" i="139" s="1"/>
  <c r="CB35" i="139"/>
  <c r="CB62" i="139" s="1"/>
  <c r="DA88" i="139" s="1"/>
  <c r="CB33" i="139"/>
  <c r="CB60" i="139" s="1"/>
  <c r="DA86" i="139" s="1"/>
  <c r="CB39" i="139"/>
  <c r="CB66" i="139" s="1"/>
  <c r="DA92" i="139" s="1"/>
  <c r="CA28" i="139"/>
  <c r="CB36" i="139"/>
  <c r="CB63" i="139" s="1"/>
  <c r="DA89" i="139" s="1"/>
  <c r="CB31" i="139"/>
  <c r="CB58" i="139" s="1"/>
  <c r="DA84" i="139" s="1"/>
  <c r="CB30" i="139"/>
  <c r="CB57" i="139" s="1"/>
  <c r="DA83" i="139" s="1"/>
  <c r="CB41" i="139"/>
  <c r="CB68" i="139" s="1"/>
  <c r="DA94" i="139" s="1"/>
  <c r="CB37" i="139"/>
  <c r="CB64" i="139" s="1"/>
  <c r="DA90" i="139" s="1"/>
  <c r="CB40" i="139"/>
  <c r="CB67" i="139" s="1"/>
  <c r="DA93" i="139" s="1"/>
  <c r="CB32" i="139"/>
  <c r="CB59" i="139" s="1"/>
  <c r="DA85" i="139" s="1"/>
  <c r="CB38" i="139"/>
  <c r="CB65" i="139" s="1"/>
  <c r="DA91" i="139" s="1"/>
  <c r="BZ28" i="139" l="1"/>
  <c r="CA35" i="139"/>
  <c r="CA62" i="139" s="1"/>
  <c r="CZ88" i="139" s="1"/>
  <c r="CA36" i="139"/>
  <c r="CA63" i="139" s="1"/>
  <c r="CZ89" i="139" s="1"/>
  <c r="CA34" i="139"/>
  <c r="CA61" i="139" s="1"/>
  <c r="CZ87" i="139" s="1"/>
  <c r="CA33" i="139"/>
  <c r="CA60" i="139" s="1"/>
  <c r="CZ86" i="139" s="1"/>
  <c r="CA39" i="139"/>
  <c r="CA66" i="139" s="1"/>
  <c r="CZ92" i="139" s="1"/>
  <c r="CA37" i="139"/>
  <c r="CA64" i="139" s="1"/>
  <c r="CZ90" i="139" s="1"/>
  <c r="CA38" i="139"/>
  <c r="CA65" i="139" s="1"/>
  <c r="CZ91" i="139" s="1"/>
  <c r="CA40" i="139"/>
  <c r="CA67" i="139" s="1"/>
  <c r="CZ93" i="139" s="1"/>
  <c r="CA41" i="139"/>
  <c r="CA68" i="139" s="1"/>
  <c r="CZ94" i="139" s="1"/>
  <c r="CA30" i="139"/>
  <c r="CA57" i="139" s="1"/>
  <c r="CZ83" i="139" s="1"/>
  <c r="CA31" i="139"/>
  <c r="CA58" i="139" s="1"/>
  <c r="CZ84" i="139" s="1"/>
  <c r="CA32" i="139"/>
  <c r="CA59" i="139" s="1"/>
  <c r="CZ85" i="139" s="1"/>
  <c r="BZ30" i="139" l="1"/>
  <c r="BZ57" i="139" s="1"/>
  <c r="CY83" i="139" s="1"/>
  <c r="BZ40" i="139"/>
  <c r="BZ67" i="139" s="1"/>
  <c r="CY93" i="139" s="1"/>
  <c r="BZ35" i="139"/>
  <c r="BZ62" i="139" s="1"/>
  <c r="CY88" i="139" s="1"/>
  <c r="BZ36" i="139"/>
  <c r="BZ63" i="139" s="1"/>
  <c r="CY89" i="139" s="1"/>
  <c r="BZ34" i="139"/>
  <c r="BZ61" i="139" s="1"/>
  <c r="CY87" i="139" s="1"/>
  <c r="BZ32" i="139"/>
  <c r="BZ59" i="139" s="1"/>
  <c r="CY85" i="139" s="1"/>
  <c r="BZ41" i="139"/>
  <c r="BZ68" i="139" s="1"/>
  <c r="CY94" i="139" s="1"/>
  <c r="BY28" i="139"/>
  <c r="BZ33" i="139"/>
  <c r="BZ60" i="139" s="1"/>
  <c r="CY86" i="139" s="1"/>
  <c r="BZ37" i="139"/>
  <c r="BZ64" i="139" s="1"/>
  <c r="CY90" i="139" s="1"/>
  <c r="BZ31" i="139"/>
  <c r="BZ58" i="139" s="1"/>
  <c r="CY84" i="139" s="1"/>
  <c r="BZ39" i="139"/>
  <c r="BZ66" i="139" s="1"/>
  <c r="CY92" i="139" s="1"/>
  <c r="BZ38" i="139"/>
  <c r="BZ65" i="139" s="1"/>
  <c r="CY91" i="139" s="1"/>
  <c r="BY31" i="139" l="1"/>
  <c r="BY58" i="139" s="1"/>
  <c r="CX84" i="139" s="1"/>
  <c r="BY35" i="139"/>
  <c r="BY62" i="139" s="1"/>
  <c r="CX88" i="139" s="1"/>
  <c r="BY37" i="139"/>
  <c r="BY64" i="139" s="1"/>
  <c r="CX90" i="139" s="1"/>
  <c r="BY41" i="139"/>
  <c r="BY68" i="139" s="1"/>
  <c r="CX94" i="139" s="1"/>
  <c r="BY32" i="139"/>
  <c r="BY59" i="139" s="1"/>
  <c r="CX85" i="139" s="1"/>
  <c r="BY40" i="139"/>
  <c r="BY67" i="139" s="1"/>
  <c r="CX93" i="139" s="1"/>
  <c r="BY39" i="139"/>
  <c r="BY66" i="139" s="1"/>
  <c r="CX92" i="139" s="1"/>
  <c r="BX28" i="139"/>
  <c r="BY30" i="139"/>
  <c r="BY57" i="139" s="1"/>
  <c r="CX83" i="139" s="1"/>
  <c r="BY38" i="139"/>
  <c r="BY65" i="139" s="1"/>
  <c r="CX91" i="139" s="1"/>
  <c r="BY34" i="139"/>
  <c r="BY61" i="139" s="1"/>
  <c r="CX87" i="139" s="1"/>
  <c r="BY33" i="139"/>
  <c r="BY60" i="139" s="1"/>
  <c r="CX86" i="139" s="1"/>
  <c r="BY36" i="139"/>
  <c r="BY63" i="139" s="1"/>
  <c r="CX89" i="139" s="1"/>
  <c r="BX32" i="139" l="1"/>
  <c r="BX59" i="139" s="1"/>
  <c r="CW85" i="139" s="1"/>
  <c r="BX38" i="139"/>
  <c r="BX65" i="139" s="1"/>
  <c r="CW91" i="139" s="1"/>
  <c r="BX30" i="139"/>
  <c r="BX57" i="139" s="1"/>
  <c r="CW83" i="139" s="1"/>
  <c r="BX39" i="139"/>
  <c r="BX66" i="139" s="1"/>
  <c r="CW92" i="139" s="1"/>
  <c r="BX36" i="139"/>
  <c r="BX63" i="139" s="1"/>
  <c r="CW89" i="139" s="1"/>
  <c r="BX34" i="139"/>
  <c r="BX61" i="139" s="1"/>
  <c r="CW87" i="139" s="1"/>
  <c r="BX40" i="139"/>
  <c r="BX67" i="139" s="1"/>
  <c r="CW93" i="139" s="1"/>
  <c r="BX33" i="139"/>
  <c r="BX60" i="139" s="1"/>
  <c r="CW86" i="139" s="1"/>
  <c r="BW28" i="139"/>
  <c r="BX31" i="139"/>
  <c r="BX58" i="139" s="1"/>
  <c r="CW84" i="139" s="1"/>
  <c r="BX35" i="139"/>
  <c r="BX62" i="139" s="1"/>
  <c r="CW88" i="139" s="1"/>
  <c r="BX37" i="139"/>
  <c r="BX64" i="139" s="1"/>
  <c r="CW90" i="139" s="1"/>
  <c r="BX41" i="139"/>
  <c r="BX68" i="139" s="1"/>
  <c r="CW94" i="139" s="1"/>
  <c r="BW32" i="139" l="1"/>
  <c r="BW59" i="139" s="1"/>
  <c r="CV85" i="139" s="1"/>
  <c r="BW37" i="139"/>
  <c r="BW64" i="139" s="1"/>
  <c r="CV90" i="139" s="1"/>
  <c r="BW40" i="139"/>
  <c r="BW67" i="139" s="1"/>
  <c r="CV93" i="139" s="1"/>
  <c r="BW31" i="139"/>
  <c r="BW58" i="139" s="1"/>
  <c r="CV84" i="139" s="1"/>
  <c r="BW38" i="139"/>
  <c r="BW65" i="139" s="1"/>
  <c r="CV91" i="139" s="1"/>
  <c r="BW30" i="139"/>
  <c r="BW57" i="139" s="1"/>
  <c r="CV83" i="139" s="1"/>
  <c r="BW33" i="139"/>
  <c r="BW60" i="139" s="1"/>
  <c r="CV86" i="139" s="1"/>
  <c r="BW41" i="139"/>
  <c r="BW68" i="139" s="1"/>
  <c r="CV94" i="139" s="1"/>
  <c r="BV28" i="139"/>
  <c r="BW36" i="139"/>
  <c r="BW63" i="139" s="1"/>
  <c r="CV89" i="139" s="1"/>
  <c r="BW34" i="139"/>
  <c r="BW61" i="139" s="1"/>
  <c r="CV87" i="139" s="1"/>
  <c r="BW35" i="139"/>
  <c r="BW62" i="139" s="1"/>
  <c r="CV88" i="139" s="1"/>
  <c r="BW39" i="139"/>
  <c r="BW66" i="139" s="1"/>
  <c r="CV92" i="139" s="1"/>
  <c r="BV36" i="139" l="1"/>
  <c r="BV63" i="139" s="1"/>
  <c r="CU89" i="139" s="1"/>
  <c r="BV38" i="139"/>
  <c r="BV65" i="139" s="1"/>
  <c r="CU91" i="139" s="1"/>
  <c r="BV30" i="139"/>
  <c r="BV57" i="139" s="1"/>
  <c r="CU83" i="139" s="1"/>
  <c r="BV33" i="139"/>
  <c r="BV60" i="139" s="1"/>
  <c r="CU86" i="139" s="1"/>
  <c r="BV32" i="139"/>
  <c r="BV59" i="139" s="1"/>
  <c r="CU85" i="139" s="1"/>
  <c r="BV31" i="139"/>
  <c r="BV58" i="139" s="1"/>
  <c r="CU84" i="139" s="1"/>
  <c r="BV41" i="139"/>
  <c r="BV68" i="139" s="1"/>
  <c r="CU94" i="139" s="1"/>
  <c r="BV35" i="139"/>
  <c r="BV62" i="139" s="1"/>
  <c r="CU88" i="139" s="1"/>
  <c r="BU28" i="139"/>
  <c r="BV34" i="139"/>
  <c r="BV61" i="139" s="1"/>
  <c r="CU87" i="139" s="1"/>
  <c r="BV40" i="139"/>
  <c r="BV67" i="139" s="1"/>
  <c r="CU93" i="139" s="1"/>
  <c r="BV39" i="139"/>
  <c r="BV66" i="139" s="1"/>
  <c r="CU92" i="139" s="1"/>
  <c r="BV37" i="139"/>
  <c r="BV64" i="139" s="1"/>
  <c r="CU90" i="139" s="1"/>
  <c r="BU38" i="139" l="1"/>
  <c r="BU65" i="139" s="1"/>
  <c r="CT91" i="139" s="1"/>
  <c r="BU32" i="139"/>
  <c r="BU59" i="139" s="1"/>
  <c r="CT85" i="139" s="1"/>
  <c r="BU31" i="139"/>
  <c r="BU58" i="139" s="1"/>
  <c r="CT84" i="139" s="1"/>
  <c r="BT28" i="139"/>
  <c r="BU33" i="139"/>
  <c r="BU60" i="139" s="1"/>
  <c r="CT86" i="139" s="1"/>
  <c r="BU40" i="139"/>
  <c r="BU67" i="139" s="1"/>
  <c r="CT93" i="139" s="1"/>
  <c r="BU37" i="139"/>
  <c r="BU64" i="139" s="1"/>
  <c r="CT90" i="139" s="1"/>
  <c r="BU30" i="139"/>
  <c r="BU57" i="139" s="1"/>
  <c r="CT83" i="139" s="1"/>
  <c r="BU39" i="139"/>
  <c r="BU66" i="139" s="1"/>
  <c r="CT92" i="139" s="1"/>
  <c r="BU35" i="139"/>
  <c r="BU62" i="139" s="1"/>
  <c r="CT88" i="139" s="1"/>
  <c r="BU34" i="139"/>
  <c r="BU61" i="139" s="1"/>
  <c r="CT87" i="139" s="1"/>
  <c r="BU36" i="139"/>
  <c r="BU63" i="139" s="1"/>
  <c r="CT89" i="139" s="1"/>
  <c r="BU41" i="139"/>
  <c r="BU68" i="139" s="1"/>
  <c r="CT94" i="139" s="1"/>
  <c r="BT38" i="139" l="1"/>
  <c r="BT65" i="139" s="1"/>
  <c r="CS91" i="139" s="1"/>
  <c r="BT39" i="139"/>
  <c r="BT66" i="139" s="1"/>
  <c r="CS92" i="139" s="1"/>
  <c r="BS28" i="139"/>
  <c r="BT31" i="139"/>
  <c r="BT58" i="139" s="1"/>
  <c r="CS84" i="139" s="1"/>
  <c r="BT36" i="139"/>
  <c r="BT63" i="139" s="1"/>
  <c r="CS89" i="139" s="1"/>
  <c r="BT34" i="139"/>
  <c r="BT61" i="139" s="1"/>
  <c r="CS87" i="139" s="1"/>
  <c r="BT35" i="139"/>
  <c r="BT62" i="139" s="1"/>
  <c r="CS88" i="139" s="1"/>
  <c r="BT37" i="139"/>
  <c r="BT64" i="139" s="1"/>
  <c r="CS90" i="139" s="1"/>
  <c r="BT32" i="139"/>
  <c r="BT59" i="139" s="1"/>
  <c r="CS85" i="139" s="1"/>
  <c r="BT30" i="139"/>
  <c r="BT57" i="139" s="1"/>
  <c r="CS83" i="139" s="1"/>
  <c r="BT41" i="139"/>
  <c r="BT68" i="139" s="1"/>
  <c r="CS94" i="139" s="1"/>
  <c r="BT40" i="139"/>
  <c r="BT67" i="139" s="1"/>
  <c r="CS93" i="139" s="1"/>
  <c r="BT33" i="139"/>
  <c r="BT60" i="139" s="1"/>
  <c r="CS86" i="139" s="1"/>
  <c r="BS37" i="139" l="1"/>
  <c r="BS64" i="139" s="1"/>
  <c r="CR90" i="139" s="1"/>
  <c r="BS38" i="139"/>
  <c r="BS65" i="139" s="1"/>
  <c r="CR91" i="139" s="1"/>
  <c r="BS33" i="139"/>
  <c r="BS60" i="139" s="1"/>
  <c r="CR86" i="139" s="1"/>
  <c r="BS32" i="139"/>
  <c r="BS59" i="139" s="1"/>
  <c r="CR85" i="139" s="1"/>
  <c r="BS39" i="139"/>
  <c r="BS66" i="139" s="1"/>
  <c r="CR92" i="139" s="1"/>
  <c r="BS31" i="139"/>
  <c r="BS58" i="139" s="1"/>
  <c r="CR84" i="139" s="1"/>
  <c r="BS40" i="139"/>
  <c r="BS67" i="139" s="1"/>
  <c r="CR93" i="139" s="1"/>
  <c r="BS36" i="139"/>
  <c r="BS63" i="139" s="1"/>
  <c r="CR89" i="139" s="1"/>
  <c r="BS34" i="139"/>
  <c r="BS61" i="139" s="1"/>
  <c r="CR87" i="139" s="1"/>
  <c r="BS30" i="139"/>
  <c r="BS57" i="139" s="1"/>
  <c r="CR83" i="139" s="1"/>
  <c r="BS41" i="139"/>
  <c r="BS68" i="139" s="1"/>
  <c r="CR94" i="139" s="1"/>
  <c r="BR28" i="139"/>
  <c r="BS35" i="139"/>
  <c r="BS62" i="139" s="1"/>
  <c r="CR88" i="139" s="1"/>
  <c r="BR33" i="139" l="1"/>
  <c r="BR60" i="139" s="1"/>
  <c r="CQ86" i="139" s="1"/>
  <c r="BR34" i="139"/>
  <c r="BR61" i="139" s="1"/>
  <c r="CQ87" i="139" s="1"/>
  <c r="BR39" i="139"/>
  <c r="BR66" i="139" s="1"/>
  <c r="CQ92" i="139" s="1"/>
  <c r="BR37" i="139"/>
  <c r="BR64" i="139" s="1"/>
  <c r="CQ90" i="139" s="1"/>
  <c r="BR30" i="139"/>
  <c r="BR57" i="139" s="1"/>
  <c r="CQ83" i="139" s="1"/>
  <c r="BR32" i="139"/>
  <c r="BR59" i="139" s="1"/>
  <c r="CQ85" i="139" s="1"/>
  <c r="BR40" i="139"/>
  <c r="BR67" i="139" s="1"/>
  <c r="CQ93" i="139" s="1"/>
  <c r="BR36" i="139"/>
  <c r="BR63" i="139" s="1"/>
  <c r="CQ89" i="139" s="1"/>
  <c r="BR35" i="139"/>
  <c r="BR62" i="139" s="1"/>
  <c r="CQ88" i="139" s="1"/>
  <c r="BR31" i="139"/>
  <c r="BR58" i="139" s="1"/>
  <c r="CQ84" i="139" s="1"/>
  <c r="BR38" i="139"/>
  <c r="BR65" i="139" s="1"/>
  <c r="CQ91" i="139" s="1"/>
  <c r="BQ28" i="139"/>
  <c r="BR41" i="139"/>
  <c r="BR68" i="139" s="1"/>
  <c r="CQ94" i="139" s="1"/>
  <c r="BQ33" i="139" l="1"/>
  <c r="BQ60" i="139" s="1"/>
  <c r="CP86" i="139" s="1"/>
  <c r="BQ36" i="139"/>
  <c r="BQ63" i="139" s="1"/>
  <c r="CP89" i="139" s="1"/>
  <c r="BQ40" i="139"/>
  <c r="BQ67" i="139" s="1"/>
  <c r="CP93" i="139" s="1"/>
  <c r="BQ37" i="139"/>
  <c r="BQ64" i="139" s="1"/>
  <c r="CP90" i="139" s="1"/>
  <c r="BQ30" i="139"/>
  <c r="BQ57" i="139" s="1"/>
  <c r="CP83" i="139" s="1"/>
  <c r="BQ34" i="139"/>
  <c r="BQ61" i="139" s="1"/>
  <c r="CP87" i="139" s="1"/>
  <c r="BQ38" i="139"/>
  <c r="BQ65" i="139" s="1"/>
  <c r="CP91" i="139" s="1"/>
  <c r="BQ31" i="139"/>
  <c r="BQ58" i="139" s="1"/>
  <c r="CP84" i="139" s="1"/>
  <c r="BP28" i="139"/>
  <c r="BQ35" i="139"/>
  <c r="BQ62" i="139" s="1"/>
  <c r="CP88" i="139" s="1"/>
  <c r="BQ32" i="139"/>
  <c r="BQ59" i="139" s="1"/>
  <c r="CP85" i="139" s="1"/>
  <c r="BQ39" i="139"/>
  <c r="BQ66" i="139" s="1"/>
  <c r="CP92" i="139" s="1"/>
  <c r="BQ41" i="139"/>
  <c r="BQ68" i="139" s="1"/>
  <c r="CP94" i="139" s="1"/>
  <c r="BP36" i="139" l="1"/>
  <c r="BP63" i="139" s="1"/>
  <c r="CO89" i="139" s="1"/>
  <c r="BP34" i="139"/>
  <c r="BP61" i="139" s="1"/>
  <c r="CO87" i="139" s="1"/>
  <c r="BO28" i="139"/>
  <c r="BP37" i="139"/>
  <c r="BP64" i="139" s="1"/>
  <c r="CO90" i="139" s="1"/>
  <c r="BP41" i="139"/>
  <c r="BP68" i="139" s="1"/>
  <c r="CO94" i="139" s="1"/>
  <c r="BP30" i="139"/>
  <c r="BP57" i="139" s="1"/>
  <c r="CO83" i="139" s="1"/>
  <c r="BP31" i="139"/>
  <c r="BP58" i="139" s="1"/>
  <c r="CO84" i="139" s="1"/>
  <c r="BP40" i="139"/>
  <c r="BP67" i="139" s="1"/>
  <c r="CO93" i="139" s="1"/>
  <c r="BP39" i="139"/>
  <c r="BP66" i="139" s="1"/>
  <c r="CO92" i="139" s="1"/>
  <c r="BP35" i="139"/>
  <c r="BP62" i="139" s="1"/>
  <c r="CO88" i="139" s="1"/>
  <c r="BP32" i="139"/>
  <c r="BP59" i="139" s="1"/>
  <c r="CO85" i="139" s="1"/>
  <c r="BP33" i="139"/>
  <c r="BP60" i="139" s="1"/>
  <c r="CO86" i="139" s="1"/>
  <c r="BP38" i="139"/>
  <c r="BP65" i="139" s="1"/>
  <c r="CO91" i="139" s="1"/>
  <c r="BO41" i="139" l="1"/>
  <c r="BO68" i="139" s="1"/>
  <c r="CN94" i="139" s="1"/>
  <c r="BO33" i="139"/>
  <c r="BO60" i="139" s="1"/>
  <c r="CN86" i="139" s="1"/>
  <c r="BO39" i="139"/>
  <c r="BO66" i="139" s="1"/>
  <c r="CN92" i="139" s="1"/>
  <c r="BO31" i="139"/>
  <c r="BO58" i="139" s="1"/>
  <c r="CN84" i="139" s="1"/>
  <c r="BO30" i="139"/>
  <c r="BO57" i="139" s="1"/>
  <c r="CN83" i="139" s="1"/>
  <c r="BO32" i="139"/>
  <c r="BO59" i="139" s="1"/>
  <c r="CN85" i="139" s="1"/>
  <c r="BO37" i="139"/>
  <c r="BO64" i="139" s="1"/>
  <c r="CN90" i="139" s="1"/>
  <c r="BO35" i="139"/>
  <c r="BO62" i="139" s="1"/>
  <c r="CN88" i="139" s="1"/>
  <c r="BN28" i="139"/>
  <c r="BO40" i="139"/>
  <c r="BO67" i="139" s="1"/>
  <c r="CN93" i="139" s="1"/>
  <c r="BO36" i="139"/>
  <c r="BO63" i="139" s="1"/>
  <c r="CN89" i="139" s="1"/>
  <c r="BO38" i="139"/>
  <c r="BO65" i="139" s="1"/>
  <c r="CN91" i="139" s="1"/>
  <c r="BO34" i="139"/>
  <c r="BO61" i="139" s="1"/>
  <c r="CN87" i="139" s="1"/>
  <c r="BN36" i="139" l="1"/>
  <c r="BN63" i="139" s="1"/>
  <c r="CM89" i="139" s="1"/>
  <c r="BN35" i="139"/>
  <c r="BN62" i="139" s="1"/>
  <c r="CM88" i="139" s="1"/>
  <c r="BN37" i="139"/>
  <c r="BN64" i="139" s="1"/>
  <c r="CM90" i="139" s="1"/>
  <c r="BN31" i="139"/>
  <c r="BN58" i="139" s="1"/>
  <c r="CM84" i="139" s="1"/>
  <c r="BM28" i="139"/>
  <c r="BN38" i="139"/>
  <c r="BN65" i="139" s="1"/>
  <c r="CM91" i="139" s="1"/>
  <c r="BN34" i="139"/>
  <c r="BN61" i="139" s="1"/>
  <c r="CM87" i="139" s="1"/>
  <c r="BN30" i="139"/>
  <c r="BN57" i="139" s="1"/>
  <c r="CM83" i="139" s="1"/>
  <c r="BN33" i="139"/>
  <c r="BN60" i="139" s="1"/>
  <c r="CM86" i="139" s="1"/>
  <c r="BN39" i="139"/>
  <c r="BN66" i="139" s="1"/>
  <c r="CM92" i="139" s="1"/>
  <c r="BN40" i="139"/>
  <c r="BN67" i="139" s="1"/>
  <c r="CM93" i="139" s="1"/>
  <c r="BN41" i="139"/>
  <c r="BN68" i="139" s="1"/>
  <c r="CM94" i="139" s="1"/>
  <c r="BN32" i="139"/>
  <c r="BN59" i="139" s="1"/>
  <c r="CM85" i="139" s="1"/>
  <c r="BM30" i="139" l="1"/>
  <c r="BM57" i="139" s="1"/>
  <c r="CL83" i="139" s="1"/>
  <c r="BM35" i="139"/>
  <c r="BM62" i="139" s="1"/>
  <c r="CL88" i="139" s="1"/>
  <c r="BM39" i="139"/>
  <c r="BM66" i="139" s="1"/>
  <c r="CL92" i="139" s="1"/>
  <c r="BM38" i="139"/>
  <c r="BM65" i="139" s="1"/>
  <c r="CL91" i="139" s="1"/>
  <c r="BM34" i="139"/>
  <c r="BM61" i="139" s="1"/>
  <c r="CL87" i="139" s="1"/>
  <c r="BM32" i="139"/>
  <c r="BM59" i="139" s="1"/>
  <c r="CL85" i="139" s="1"/>
  <c r="BM33" i="139"/>
  <c r="BM60" i="139" s="1"/>
  <c r="CL86" i="139" s="1"/>
  <c r="BM36" i="139"/>
  <c r="BM63" i="139" s="1"/>
  <c r="CL89" i="139" s="1"/>
  <c r="BM41" i="139"/>
  <c r="BM68" i="139" s="1"/>
  <c r="CL94" i="139" s="1"/>
  <c r="BM40" i="139"/>
  <c r="BM67" i="139" s="1"/>
  <c r="CL93" i="139" s="1"/>
  <c r="BM31" i="139"/>
  <c r="BM58" i="139" s="1"/>
  <c r="CL84" i="139" s="1"/>
  <c r="BM37" i="139"/>
  <c r="BM64" i="139" s="1"/>
  <c r="CL90" i="139" s="1"/>
  <c r="BL28" i="139"/>
  <c r="BL38" i="139" l="1"/>
  <c r="BL65" i="139" s="1"/>
  <c r="CK91" i="139" s="1"/>
  <c r="BL35" i="139"/>
  <c r="BL62" i="139" s="1"/>
  <c r="CK88" i="139" s="1"/>
  <c r="BL39" i="139"/>
  <c r="BL66" i="139" s="1"/>
  <c r="CK92" i="139" s="1"/>
  <c r="BL34" i="139"/>
  <c r="BL61" i="139" s="1"/>
  <c r="CK87" i="139" s="1"/>
  <c r="BL36" i="139"/>
  <c r="BL63" i="139" s="1"/>
  <c r="CK89" i="139" s="1"/>
  <c r="BL31" i="139"/>
  <c r="BL58" i="139" s="1"/>
  <c r="CK84" i="139" s="1"/>
  <c r="BL32" i="139"/>
  <c r="BL59" i="139" s="1"/>
  <c r="CK85" i="139" s="1"/>
  <c r="BL37" i="139"/>
  <c r="BL64" i="139" s="1"/>
  <c r="CK90" i="139" s="1"/>
  <c r="BL33" i="139"/>
  <c r="BL60" i="139" s="1"/>
  <c r="CK86" i="139" s="1"/>
  <c r="BL40" i="139"/>
  <c r="BL67" i="139" s="1"/>
  <c r="CK93" i="139" s="1"/>
  <c r="BL41" i="139"/>
  <c r="BL68" i="139" s="1"/>
  <c r="CK94" i="139" s="1"/>
  <c r="BK28" i="139"/>
  <c r="BL30" i="139"/>
  <c r="BL57" i="139" s="1"/>
  <c r="CK83" i="139" s="1"/>
  <c r="BK35" i="139" l="1"/>
  <c r="BK62" i="139" s="1"/>
  <c r="CJ88" i="139" s="1"/>
  <c r="BK41" i="139"/>
  <c r="BK68" i="139" s="1"/>
  <c r="CJ94" i="139" s="1"/>
  <c r="BK32" i="139"/>
  <c r="BK59" i="139" s="1"/>
  <c r="CJ85" i="139" s="1"/>
  <c r="BK39" i="139"/>
  <c r="BK66" i="139" s="1"/>
  <c r="CJ92" i="139" s="1"/>
  <c r="BJ28" i="139"/>
  <c r="BK37" i="139"/>
  <c r="BK64" i="139" s="1"/>
  <c r="CJ90" i="139" s="1"/>
  <c r="BK40" i="139"/>
  <c r="BK67" i="139" s="1"/>
  <c r="CJ93" i="139" s="1"/>
  <c r="BK36" i="139"/>
  <c r="BK63" i="139" s="1"/>
  <c r="CJ89" i="139" s="1"/>
  <c r="BK30" i="139"/>
  <c r="BK57" i="139" s="1"/>
  <c r="CJ83" i="139" s="1"/>
  <c r="BK33" i="139"/>
  <c r="BK60" i="139" s="1"/>
  <c r="CJ86" i="139" s="1"/>
  <c r="BK34" i="139"/>
  <c r="BK61" i="139" s="1"/>
  <c r="CJ87" i="139" s="1"/>
  <c r="BK31" i="139"/>
  <c r="BK58" i="139" s="1"/>
  <c r="CJ84" i="139" s="1"/>
  <c r="BK38" i="139"/>
  <c r="BK65" i="139" s="1"/>
  <c r="CJ91" i="139" s="1"/>
  <c r="BJ32" i="139" l="1"/>
  <c r="BJ59" i="139" s="1"/>
  <c r="CI85" i="139" s="1"/>
  <c r="BJ31" i="139"/>
  <c r="BJ58" i="139" s="1"/>
  <c r="CI84" i="139" s="1"/>
  <c r="BJ30" i="139"/>
  <c r="BJ57" i="139" s="1"/>
  <c r="CI83" i="139" s="1"/>
  <c r="BJ33" i="139"/>
  <c r="BJ60" i="139" s="1"/>
  <c r="CI86" i="139" s="1"/>
  <c r="BJ34" i="139"/>
  <c r="BJ61" i="139" s="1"/>
  <c r="CI87" i="139" s="1"/>
  <c r="BI28" i="139"/>
  <c r="BJ37" i="139"/>
  <c r="BJ64" i="139" s="1"/>
  <c r="CI90" i="139" s="1"/>
  <c r="BJ35" i="139"/>
  <c r="BJ62" i="139" s="1"/>
  <c r="CI88" i="139" s="1"/>
  <c r="BJ41" i="139"/>
  <c r="BJ68" i="139" s="1"/>
  <c r="CI94" i="139" s="1"/>
  <c r="BJ40" i="139"/>
  <c r="BJ67" i="139" s="1"/>
  <c r="CI93" i="139" s="1"/>
  <c r="BJ38" i="139"/>
  <c r="BJ65" i="139" s="1"/>
  <c r="CI91" i="139" s="1"/>
  <c r="BJ36" i="139"/>
  <c r="BJ63" i="139" s="1"/>
  <c r="CI89" i="139" s="1"/>
  <c r="BJ39" i="139"/>
  <c r="BJ66" i="139" s="1"/>
  <c r="CI92" i="139" s="1"/>
  <c r="BI38" i="139" l="1"/>
  <c r="BI65" i="139" s="1"/>
  <c r="CH91" i="139" s="1"/>
  <c r="BI33" i="139"/>
  <c r="BI60" i="139" s="1"/>
  <c r="CH86" i="139" s="1"/>
  <c r="BI39" i="139"/>
  <c r="BI66" i="139" s="1"/>
  <c r="CH92" i="139" s="1"/>
  <c r="BI37" i="139"/>
  <c r="BI64" i="139" s="1"/>
  <c r="CH90" i="139" s="1"/>
  <c r="BI32" i="139"/>
  <c r="BI59" i="139" s="1"/>
  <c r="CH85" i="139" s="1"/>
  <c r="BI35" i="139"/>
  <c r="BI62" i="139" s="1"/>
  <c r="CH88" i="139" s="1"/>
  <c r="BI41" i="139"/>
  <c r="BI68" i="139" s="1"/>
  <c r="CH94" i="139" s="1"/>
  <c r="BI34" i="139"/>
  <c r="BI61" i="139" s="1"/>
  <c r="CH87" i="139" s="1"/>
  <c r="BH28" i="139"/>
  <c r="BI30" i="139"/>
  <c r="BI57" i="139" s="1"/>
  <c r="CH83" i="139" s="1"/>
  <c r="BI40" i="139"/>
  <c r="BI67" i="139" s="1"/>
  <c r="CH93" i="139" s="1"/>
  <c r="BI36" i="139"/>
  <c r="BI63" i="139" s="1"/>
  <c r="CH89" i="139" s="1"/>
  <c r="BI31" i="139"/>
  <c r="BI58" i="139" s="1"/>
  <c r="CH84" i="139" s="1"/>
  <c r="BH37" i="139" l="1"/>
  <c r="BH64" i="139" s="1"/>
  <c r="CG90" i="139" s="1"/>
  <c r="BH34" i="139"/>
  <c r="BH61" i="139" s="1"/>
  <c r="CG87" i="139" s="1"/>
  <c r="BH38" i="139"/>
  <c r="BH65" i="139" s="1"/>
  <c r="CG91" i="139" s="1"/>
  <c r="BH33" i="139"/>
  <c r="BH60" i="139" s="1"/>
  <c r="CG86" i="139" s="1"/>
  <c r="BH39" i="139"/>
  <c r="BH66" i="139" s="1"/>
  <c r="CG92" i="139" s="1"/>
  <c r="BH36" i="139"/>
  <c r="BH63" i="139" s="1"/>
  <c r="CG89" i="139" s="1"/>
  <c r="BH41" i="139"/>
  <c r="BH68" i="139" s="1"/>
  <c r="CG94" i="139" s="1"/>
  <c r="BH40" i="139"/>
  <c r="BH67" i="139" s="1"/>
  <c r="CG93" i="139" s="1"/>
  <c r="BH32" i="139"/>
  <c r="BH59" i="139" s="1"/>
  <c r="CG85" i="139" s="1"/>
  <c r="BG28" i="139"/>
  <c r="BH31" i="139"/>
  <c r="BH58" i="139" s="1"/>
  <c r="CG84" i="139" s="1"/>
  <c r="BH30" i="139"/>
  <c r="BH57" i="139" s="1"/>
  <c r="CG83" i="139" s="1"/>
  <c r="BH35" i="139"/>
  <c r="BH62" i="139" s="1"/>
  <c r="CG88" i="139" s="1"/>
  <c r="BG30" i="139" l="1"/>
  <c r="BG57" i="139" s="1"/>
  <c r="CF83" i="139" s="1"/>
  <c r="BG40" i="139"/>
  <c r="BG67" i="139" s="1"/>
  <c r="CF93" i="139" s="1"/>
  <c r="BG34" i="139"/>
  <c r="BG61" i="139" s="1"/>
  <c r="CF87" i="139" s="1"/>
  <c r="BG31" i="139"/>
  <c r="BG58" i="139" s="1"/>
  <c r="CF84" i="139" s="1"/>
  <c r="BG33" i="139"/>
  <c r="BG60" i="139" s="1"/>
  <c r="CF86" i="139" s="1"/>
  <c r="BG32" i="139"/>
  <c r="BG59" i="139" s="1"/>
  <c r="CF85" i="139" s="1"/>
  <c r="BG35" i="139"/>
  <c r="BG62" i="139" s="1"/>
  <c r="CF88" i="139" s="1"/>
  <c r="BG38" i="139"/>
  <c r="BG65" i="139" s="1"/>
  <c r="CF91" i="139" s="1"/>
  <c r="BG41" i="139"/>
  <c r="BG68" i="139" s="1"/>
  <c r="CF94" i="139" s="1"/>
  <c r="BG39" i="139"/>
  <c r="BG66" i="139" s="1"/>
  <c r="CF92" i="139" s="1"/>
  <c r="BF28" i="139"/>
  <c r="BG36" i="139"/>
  <c r="BG63" i="139" s="1"/>
  <c r="CF89" i="139" s="1"/>
  <c r="BG37" i="139"/>
  <c r="BG64" i="139" s="1"/>
  <c r="CF90" i="139" s="1"/>
  <c r="BF37" i="139" l="1"/>
  <c r="BF64" i="139" s="1"/>
  <c r="CE90" i="139" s="1"/>
  <c r="BF33" i="139"/>
  <c r="BF60" i="139" s="1"/>
  <c r="CE86" i="139" s="1"/>
  <c r="BF40" i="139"/>
  <c r="BF67" i="139" s="1"/>
  <c r="CE93" i="139" s="1"/>
  <c r="BF34" i="139"/>
  <c r="BF61" i="139" s="1"/>
  <c r="CE87" i="139" s="1"/>
  <c r="BF39" i="139"/>
  <c r="BF66" i="139" s="1"/>
  <c r="CE92" i="139" s="1"/>
  <c r="BF41" i="139"/>
  <c r="BF68" i="139" s="1"/>
  <c r="CE94" i="139" s="1"/>
  <c r="BF38" i="139"/>
  <c r="BF65" i="139" s="1"/>
  <c r="CE91" i="139" s="1"/>
  <c r="BF36" i="139"/>
  <c r="BF63" i="139" s="1"/>
  <c r="CE89" i="139" s="1"/>
  <c r="BF32" i="139"/>
  <c r="BF59" i="139" s="1"/>
  <c r="CE85" i="139" s="1"/>
  <c r="BF35" i="139"/>
  <c r="BF62" i="139" s="1"/>
  <c r="CE88" i="139" s="1"/>
  <c r="BF31" i="139"/>
  <c r="BF58" i="139" s="1"/>
  <c r="CE84" i="139" s="1"/>
  <c r="BF30" i="139"/>
  <c r="BF57" i="139" s="1"/>
  <c r="CE83" i="139" s="1"/>
  <c r="BE28" i="139"/>
  <c r="BE31" i="139" l="1"/>
  <c r="BE58" i="139" s="1"/>
  <c r="CD84" i="139" s="1"/>
  <c r="BD28" i="139"/>
  <c r="BE33" i="139"/>
  <c r="BE60" i="139" s="1"/>
  <c r="CD86" i="139" s="1"/>
  <c r="BE32" i="139"/>
  <c r="BE59" i="139" s="1"/>
  <c r="CD85" i="139" s="1"/>
  <c r="BE40" i="139"/>
  <c r="BE67" i="139" s="1"/>
  <c r="CD93" i="139" s="1"/>
  <c r="BE30" i="139"/>
  <c r="BE57" i="139" s="1"/>
  <c r="CD83" i="139" s="1"/>
  <c r="BE34" i="139"/>
  <c r="BE61" i="139" s="1"/>
  <c r="CD87" i="139" s="1"/>
  <c r="BE38" i="139"/>
  <c r="BE65" i="139" s="1"/>
  <c r="CD91" i="139" s="1"/>
  <c r="BE36" i="139"/>
  <c r="BE63" i="139" s="1"/>
  <c r="CD89" i="139" s="1"/>
  <c r="BE41" i="139"/>
  <c r="BE68" i="139" s="1"/>
  <c r="CD94" i="139" s="1"/>
  <c r="BE39" i="139"/>
  <c r="BE66" i="139" s="1"/>
  <c r="CD92" i="139" s="1"/>
  <c r="BE35" i="139"/>
  <c r="BE62" i="139" s="1"/>
  <c r="CD88" i="139" s="1"/>
  <c r="BE37" i="139"/>
  <c r="BE64" i="139" s="1"/>
  <c r="CD90" i="139" s="1"/>
  <c r="BD32" i="139" l="1"/>
  <c r="BD59" i="139" s="1"/>
  <c r="CC85" i="139" s="1"/>
  <c r="BD36" i="139"/>
  <c r="BD63" i="139" s="1"/>
  <c r="CC89" i="139" s="1"/>
  <c r="BD33" i="139"/>
  <c r="BD60" i="139" s="1"/>
  <c r="CC86" i="139" s="1"/>
  <c r="BD31" i="139"/>
  <c r="BD58" i="139" s="1"/>
  <c r="CC84" i="139" s="1"/>
  <c r="BD40" i="139"/>
  <c r="BD67" i="139" s="1"/>
  <c r="CC93" i="139" s="1"/>
  <c r="BD38" i="139"/>
  <c r="BD65" i="139" s="1"/>
  <c r="CC91" i="139" s="1"/>
  <c r="BD41" i="139"/>
  <c r="BD68" i="139" s="1"/>
  <c r="CC94" i="139" s="1"/>
  <c r="BC28" i="139"/>
  <c r="BD30" i="139"/>
  <c r="BD57" i="139" s="1"/>
  <c r="CC83" i="139" s="1"/>
  <c r="BD39" i="139"/>
  <c r="BD66" i="139" s="1"/>
  <c r="CC92" i="139" s="1"/>
  <c r="BD34" i="139"/>
  <c r="BD61" i="139" s="1"/>
  <c r="CC87" i="139" s="1"/>
  <c r="BD37" i="139"/>
  <c r="BD64" i="139" s="1"/>
  <c r="CC90" i="139" s="1"/>
  <c r="BD35" i="139"/>
  <c r="BD62" i="139" s="1"/>
  <c r="CC88" i="139" s="1"/>
  <c r="BC40" i="139" l="1"/>
  <c r="BC67" i="139" s="1"/>
  <c r="CB93" i="139" s="1"/>
  <c r="BC35" i="139"/>
  <c r="BC62" i="139" s="1"/>
  <c r="CB88" i="139" s="1"/>
  <c r="BC38" i="139"/>
  <c r="BC65" i="139" s="1"/>
  <c r="CB91" i="139" s="1"/>
  <c r="BC37" i="139"/>
  <c r="BC64" i="139" s="1"/>
  <c r="CB90" i="139" s="1"/>
  <c r="BC36" i="139"/>
  <c r="BC63" i="139" s="1"/>
  <c r="CB89" i="139" s="1"/>
  <c r="BB28" i="139"/>
  <c r="BC39" i="139"/>
  <c r="BC66" i="139" s="1"/>
  <c r="CB92" i="139" s="1"/>
  <c r="BC33" i="139"/>
  <c r="BC60" i="139" s="1"/>
  <c r="CB86" i="139" s="1"/>
  <c r="BC34" i="139"/>
  <c r="BC61" i="139" s="1"/>
  <c r="CB87" i="139" s="1"/>
  <c r="BC32" i="139"/>
  <c r="BC59" i="139" s="1"/>
  <c r="CB85" i="139" s="1"/>
  <c r="BC30" i="139"/>
  <c r="BC57" i="139" s="1"/>
  <c r="CB83" i="139" s="1"/>
  <c r="BC31" i="139"/>
  <c r="BC58" i="139" s="1"/>
  <c r="CB84" i="139" s="1"/>
  <c r="BC41" i="139"/>
  <c r="BC68" i="139" s="1"/>
  <c r="CB94" i="139" s="1"/>
  <c r="BA28" i="139" l="1"/>
  <c r="BB36" i="139"/>
  <c r="BB63" i="139" s="1"/>
  <c r="CA89" i="139" s="1"/>
  <c r="BB31" i="139"/>
  <c r="BB58" i="139" s="1"/>
  <c r="CA84" i="139" s="1"/>
  <c r="BB39" i="139"/>
  <c r="BB66" i="139" s="1"/>
  <c r="CA92" i="139" s="1"/>
  <c r="BB41" i="139"/>
  <c r="BB68" i="139" s="1"/>
  <c r="CA94" i="139" s="1"/>
  <c r="BB40" i="139"/>
  <c r="BB67" i="139" s="1"/>
  <c r="CA93" i="139" s="1"/>
  <c r="BB38" i="139"/>
  <c r="BB65" i="139" s="1"/>
  <c r="CA91" i="139" s="1"/>
  <c r="BB30" i="139"/>
  <c r="BB57" i="139" s="1"/>
  <c r="CA83" i="139" s="1"/>
  <c r="BB32" i="139"/>
  <c r="BB59" i="139" s="1"/>
  <c r="CA85" i="139" s="1"/>
  <c r="BB33" i="139"/>
  <c r="BB60" i="139" s="1"/>
  <c r="CA86" i="139" s="1"/>
  <c r="BB37" i="139"/>
  <c r="BB64" i="139" s="1"/>
  <c r="CA90" i="139" s="1"/>
  <c r="BB35" i="139"/>
  <c r="BB62" i="139" s="1"/>
  <c r="CA88" i="139" s="1"/>
  <c r="BB34" i="139"/>
  <c r="BB61" i="139" s="1"/>
  <c r="CA87" i="139" s="1"/>
  <c r="BA34" i="139" l="1"/>
  <c r="BA61" i="139" s="1"/>
  <c r="BZ87" i="139" s="1"/>
  <c r="BA36" i="139"/>
  <c r="BA63" i="139" s="1"/>
  <c r="BZ89" i="139" s="1"/>
  <c r="BA40" i="139"/>
  <c r="BA67" i="139" s="1"/>
  <c r="BZ93" i="139" s="1"/>
  <c r="BA37" i="139"/>
  <c r="BA64" i="139" s="1"/>
  <c r="BZ90" i="139" s="1"/>
  <c r="BA39" i="139"/>
  <c r="BA66" i="139" s="1"/>
  <c r="BZ92" i="139" s="1"/>
  <c r="BA35" i="139"/>
  <c r="BA62" i="139" s="1"/>
  <c r="BZ88" i="139" s="1"/>
  <c r="BA38" i="139"/>
  <c r="BA65" i="139" s="1"/>
  <c r="BZ91" i="139" s="1"/>
  <c r="BA30" i="139"/>
  <c r="BA57" i="139" s="1"/>
  <c r="BZ83" i="139" s="1"/>
  <c r="BA41" i="139"/>
  <c r="BA68" i="139" s="1"/>
  <c r="BZ94" i="139" s="1"/>
  <c r="BA33" i="139"/>
  <c r="BA60" i="139" s="1"/>
  <c r="BZ86" i="139" s="1"/>
  <c r="AZ28" i="139"/>
  <c r="BA31" i="139"/>
  <c r="BA58" i="139" s="1"/>
  <c r="BZ84" i="139" s="1"/>
  <c r="BA32" i="139"/>
  <c r="BA59" i="139" s="1"/>
  <c r="BZ85" i="139" s="1"/>
  <c r="AZ41" i="139" l="1"/>
  <c r="AZ68" i="139" s="1"/>
  <c r="BY94" i="139" s="1"/>
  <c r="AY28" i="139"/>
  <c r="AZ38" i="139"/>
  <c r="AZ65" i="139" s="1"/>
  <c r="BY91" i="139" s="1"/>
  <c r="AZ36" i="139"/>
  <c r="AZ63" i="139" s="1"/>
  <c r="BY89" i="139" s="1"/>
  <c r="AZ37" i="139"/>
  <c r="AZ64" i="139" s="1"/>
  <c r="BY90" i="139" s="1"/>
  <c r="AZ39" i="139"/>
  <c r="AZ66" i="139" s="1"/>
  <c r="BY92" i="139" s="1"/>
  <c r="AZ33" i="139"/>
  <c r="AZ60" i="139" s="1"/>
  <c r="BY86" i="139" s="1"/>
  <c r="AZ40" i="139"/>
  <c r="AZ67" i="139" s="1"/>
  <c r="BY93" i="139" s="1"/>
  <c r="AZ35" i="139"/>
  <c r="AZ62" i="139" s="1"/>
  <c r="BY88" i="139" s="1"/>
  <c r="AZ32" i="139"/>
  <c r="AZ59" i="139" s="1"/>
  <c r="BY85" i="139" s="1"/>
  <c r="AZ34" i="139"/>
  <c r="AZ61" i="139" s="1"/>
  <c r="BY87" i="139" s="1"/>
  <c r="AZ30" i="139"/>
  <c r="AZ57" i="139" s="1"/>
  <c r="BY83" i="139" s="1"/>
  <c r="AZ31" i="139"/>
  <c r="AZ58" i="139" s="1"/>
  <c r="BY84" i="139" s="1"/>
  <c r="AY40" i="139" l="1"/>
  <c r="AY67" i="139" s="1"/>
  <c r="BX93" i="139" s="1"/>
  <c r="AY31" i="139"/>
  <c r="AY58" i="139" s="1"/>
  <c r="BX84" i="139" s="1"/>
  <c r="AY35" i="139"/>
  <c r="AY62" i="139" s="1"/>
  <c r="BX88" i="139" s="1"/>
  <c r="AX28" i="139"/>
  <c r="AY34" i="139"/>
  <c r="AY61" i="139" s="1"/>
  <c r="BX87" i="139" s="1"/>
  <c r="AY41" i="139"/>
  <c r="AY68" i="139" s="1"/>
  <c r="BX94" i="139" s="1"/>
  <c r="AY39" i="139"/>
  <c r="AY66" i="139" s="1"/>
  <c r="BX92" i="139" s="1"/>
  <c r="AY36" i="139"/>
  <c r="AY63" i="139" s="1"/>
  <c r="BX89" i="139" s="1"/>
  <c r="AY37" i="139"/>
  <c r="AY64" i="139" s="1"/>
  <c r="BX90" i="139" s="1"/>
  <c r="AY30" i="139"/>
  <c r="AY57" i="139" s="1"/>
  <c r="BX83" i="139" s="1"/>
  <c r="AY38" i="139"/>
  <c r="AY65" i="139" s="1"/>
  <c r="BX91" i="139" s="1"/>
  <c r="AY33" i="139"/>
  <c r="AY60" i="139" s="1"/>
  <c r="BX86" i="139" s="1"/>
  <c r="AY32" i="139"/>
  <c r="AY59" i="139" s="1"/>
  <c r="BX85" i="139" s="1"/>
  <c r="AW28" i="139" l="1"/>
  <c r="AX35" i="139"/>
  <c r="AX62" i="139" s="1"/>
  <c r="BW88" i="139" s="1"/>
  <c r="AX31" i="139"/>
  <c r="AX58" i="139" s="1"/>
  <c r="BW84" i="139" s="1"/>
  <c r="AX30" i="139"/>
  <c r="AX57" i="139" s="1"/>
  <c r="BW83" i="139" s="1"/>
  <c r="AX39" i="139"/>
  <c r="AX66" i="139" s="1"/>
  <c r="BW92" i="139" s="1"/>
  <c r="AX32" i="139"/>
  <c r="AX59" i="139" s="1"/>
  <c r="BW85" i="139" s="1"/>
  <c r="AX33" i="139"/>
  <c r="AX60" i="139" s="1"/>
  <c r="BW86" i="139" s="1"/>
  <c r="AX36" i="139"/>
  <c r="AX63" i="139" s="1"/>
  <c r="BW89" i="139" s="1"/>
  <c r="AX34" i="139"/>
  <c r="AX61" i="139" s="1"/>
  <c r="BW87" i="139" s="1"/>
  <c r="AX38" i="139"/>
  <c r="AX65" i="139" s="1"/>
  <c r="BW91" i="139" s="1"/>
  <c r="AX41" i="139"/>
  <c r="AX68" i="139" s="1"/>
  <c r="BW94" i="139" s="1"/>
  <c r="AX37" i="139"/>
  <c r="AX64" i="139" s="1"/>
  <c r="BW90" i="139" s="1"/>
  <c r="AX40" i="139"/>
  <c r="AX67" i="139" s="1"/>
  <c r="BW93" i="139" s="1"/>
  <c r="AW38" i="139" l="1"/>
  <c r="AW65" i="139" s="1"/>
  <c r="BV91" i="139" s="1"/>
  <c r="AW32" i="139"/>
  <c r="AW59" i="139" s="1"/>
  <c r="BV85" i="139" s="1"/>
  <c r="AW34" i="139"/>
  <c r="AW61" i="139" s="1"/>
  <c r="BV87" i="139" s="1"/>
  <c r="AW40" i="139"/>
  <c r="AW67" i="139" s="1"/>
  <c r="BV93" i="139" s="1"/>
  <c r="AV28" i="139"/>
  <c r="AW37" i="139"/>
  <c r="AW64" i="139" s="1"/>
  <c r="BV90" i="139" s="1"/>
  <c r="AW39" i="139"/>
  <c r="AW66" i="139" s="1"/>
  <c r="BV92" i="139" s="1"/>
  <c r="AW31" i="139"/>
  <c r="AW58" i="139" s="1"/>
  <c r="BV84" i="139" s="1"/>
  <c r="AW36" i="139"/>
  <c r="AW63" i="139" s="1"/>
  <c r="BV89" i="139" s="1"/>
  <c r="AW35" i="139"/>
  <c r="AW62" i="139" s="1"/>
  <c r="BV88" i="139" s="1"/>
  <c r="AW41" i="139"/>
  <c r="AW68" i="139" s="1"/>
  <c r="BV94" i="139" s="1"/>
  <c r="AW30" i="139"/>
  <c r="AW57" i="139" s="1"/>
  <c r="BV83" i="139" s="1"/>
  <c r="AW33" i="139"/>
  <c r="AW60" i="139" s="1"/>
  <c r="BV86" i="139" s="1"/>
  <c r="AV40" i="139" l="1"/>
  <c r="AV67" i="139" s="1"/>
  <c r="BU93" i="139" s="1"/>
  <c r="AV37" i="139"/>
  <c r="AV64" i="139" s="1"/>
  <c r="BU90" i="139" s="1"/>
  <c r="AV31" i="139"/>
  <c r="AV58" i="139" s="1"/>
  <c r="BU84" i="139" s="1"/>
  <c r="AV39" i="139"/>
  <c r="AV66" i="139" s="1"/>
  <c r="BU92" i="139" s="1"/>
  <c r="AV38" i="139"/>
  <c r="AV65" i="139" s="1"/>
  <c r="BU91" i="139" s="1"/>
  <c r="AV30" i="139"/>
  <c r="AV57" i="139" s="1"/>
  <c r="BU83" i="139" s="1"/>
  <c r="AV32" i="139"/>
  <c r="AV59" i="139" s="1"/>
  <c r="BU85" i="139" s="1"/>
  <c r="AV35" i="139"/>
  <c r="AV62" i="139" s="1"/>
  <c r="BU88" i="139" s="1"/>
  <c r="AV33" i="139"/>
  <c r="AV60" i="139" s="1"/>
  <c r="BU86" i="139" s="1"/>
  <c r="AU28" i="139"/>
  <c r="AV34" i="139"/>
  <c r="AV61" i="139" s="1"/>
  <c r="BU87" i="139" s="1"/>
  <c r="AV36" i="139"/>
  <c r="AV63" i="139" s="1"/>
  <c r="BU89" i="139" s="1"/>
  <c r="AV41" i="139"/>
  <c r="AV68" i="139" s="1"/>
  <c r="BU94" i="139" s="1"/>
  <c r="AU35" i="139" l="1"/>
  <c r="AU62" i="139" s="1"/>
  <c r="BT88" i="139" s="1"/>
  <c r="AU41" i="139"/>
  <c r="AU68" i="139" s="1"/>
  <c r="BT94" i="139" s="1"/>
  <c r="AT28" i="139"/>
  <c r="AU36" i="139"/>
  <c r="AU63" i="139" s="1"/>
  <c r="BT89" i="139" s="1"/>
  <c r="AU33" i="139"/>
  <c r="AU60" i="139" s="1"/>
  <c r="BT86" i="139" s="1"/>
  <c r="AU31" i="139"/>
  <c r="AU58" i="139" s="1"/>
  <c r="BT84" i="139" s="1"/>
  <c r="AU39" i="139"/>
  <c r="AU66" i="139" s="1"/>
  <c r="BT92" i="139" s="1"/>
  <c r="AU30" i="139"/>
  <c r="AU57" i="139" s="1"/>
  <c r="BT83" i="139" s="1"/>
  <c r="AU34" i="139"/>
  <c r="AU61" i="139" s="1"/>
  <c r="BT87" i="139" s="1"/>
  <c r="AU38" i="139"/>
  <c r="AU65" i="139" s="1"/>
  <c r="BT91" i="139" s="1"/>
  <c r="AU32" i="139"/>
  <c r="AU59" i="139" s="1"/>
  <c r="BT85" i="139" s="1"/>
  <c r="AU37" i="139"/>
  <c r="AU64" i="139" s="1"/>
  <c r="BT90" i="139" s="1"/>
  <c r="AU40" i="139"/>
  <c r="AU67" i="139" s="1"/>
  <c r="BT93" i="139" s="1"/>
  <c r="AT40" i="139" l="1"/>
  <c r="AT67" i="139" s="1"/>
  <c r="BS93" i="139" s="1"/>
  <c r="AT32" i="139"/>
  <c r="AT59" i="139" s="1"/>
  <c r="BS85" i="139" s="1"/>
  <c r="AS28" i="139"/>
  <c r="AT34" i="139"/>
  <c r="AT61" i="139" s="1"/>
  <c r="BS87" i="139" s="1"/>
  <c r="AT31" i="139"/>
  <c r="AT58" i="139" s="1"/>
  <c r="BS84" i="139" s="1"/>
  <c r="AT41" i="139"/>
  <c r="AT68" i="139" s="1"/>
  <c r="BS94" i="139" s="1"/>
  <c r="AT33" i="139"/>
  <c r="AT60" i="139" s="1"/>
  <c r="BS86" i="139" s="1"/>
  <c r="AT30" i="139"/>
  <c r="AT57" i="139" s="1"/>
  <c r="BS83" i="139" s="1"/>
  <c r="AT36" i="139"/>
  <c r="AT63" i="139" s="1"/>
  <c r="BS89" i="139" s="1"/>
  <c r="AT38" i="139"/>
  <c r="AT65" i="139" s="1"/>
  <c r="BS91" i="139" s="1"/>
  <c r="AT37" i="139"/>
  <c r="AT64" i="139" s="1"/>
  <c r="BS90" i="139" s="1"/>
  <c r="AT39" i="139"/>
  <c r="AT66" i="139" s="1"/>
  <c r="BS92" i="139" s="1"/>
  <c r="AT35" i="139"/>
  <c r="AT62" i="139" s="1"/>
  <c r="BS88" i="139" s="1"/>
  <c r="AS34" i="139" l="1"/>
  <c r="AS61" i="139" s="1"/>
  <c r="BR87" i="139" s="1"/>
  <c r="AS33" i="139"/>
  <c r="AS60" i="139" s="1"/>
  <c r="BR86" i="139" s="1"/>
  <c r="AS36" i="139"/>
  <c r="AS63" i="139" s="1"/>
  <c r="BR89" i="139" s="1"/>
  <c r="AS38" i="139"/>
  <c r="AS65" i="139" s="1"/>
  <c r="BR91" i="139" s="1"/>
  <c r="AS30" i="139"/>
  <c r="AS57" i="139" s="1"/>
  <c r="BR83" i="139" s="1"/>
  <c r="AS41" i="139"/>
  <c r="AS68" i="139" s="1"/>
  <c r="BR94" i="139" s="1"/>
  <c r="AR28" i="139"/>
  <c r="AS39" i="139"/>
  <c r="AS66" i="139" s="1"/>
  <c r="BR92" i="139" s="1"/>
  <c r="AS32" i="139"/>
  <c r="AS59" i="139" s="1"/>
  <c r="BR85" i="139" s="1"/>
  <c r="AS40" i="139"/>
  <c r="AS67" i="139" s="1"/>
  <c r="BR93" i="139" s="1"/>
  <c r="AS35" i="139"/>
  <c r="AS62" i="139" s="1"/>
  <c r="BR88" i="139" s="1"/>
  <c r="AS31" i="139"/>
  <c r="AS58" i="139" s="1"/>
  <c r="BR84" i="139" s="1"/>
  <c r="AS37" i="139"/>
  <c r="AS64" i="139" s="1"/>
  <c r="BR90" i="139" s="1"/>
  <c r="AR33" i="139" l="1"/>
  <c r="AR60" i="139" s="1"/>
  <c r="BQ86" i="139" s="1"/>
  <c r="AR35" i="139"/>
  <c r="AR62" i="139" s="1"/>
  <c r="BQ88" i="139" s="1"/>
  <c r="AR39" i="139"/>
  <c r="AR66" i="139" s="1"/>
  <c r="BQ92" i="139" s="1"/>
  <c r="AR38" i="139"/>
  <c r="AR65" i="139" s="1"/>
  <c r="BQ91" i="139" s="1"/>
  <c r="AQ28" i="139"/>
  <c r="AR37" i="139"/>
  <c r="AR64" i="139" s="1"/>
  <c r="BQ90" i="139" s="1"/>
  <c r="AR36" i="139"/>
  <c r="AR63" i="139" s="1"/>
  <c r="BQ89" i="139" s="1"/>
  <c r="AR32" i="139"/>
  <c r="AR59" i="139" s="1"/>
  <c r="BQ85" i="139" s="1"/>
  <c r="AR30" i="139"/>
  <c r="AR57" i="139" s="1"/>
  <c r="BQ83" i="139" s="1"/>
  <c r="AR31" i="139"/>
  <c r="AR58" i="139" s="1"/>
  <c r="BQ84" i="139" s="1"/>
  <c r="AR34" i="139"/>
  <c r="AR61" i="139" s="1"/>
  <c r="BQ87" i="139" s="1"/>
  <c r="AR41" i="139"/>
  <c r="AR68" i="139" s="1"/>
  <c r="BQ94" i="139" s="1"/>
  <c r="AR40" i="139"/>
  <c r="AR67" i="139" s="1"/>
  <c r="BQ93" i="139" s="1"/>
  <c r="AQ30" i="139" l="1"/>
  <c r="AQ57" i="139" s="1"/>
  <c r="BP83" i="139" s="1"/>
  <c r="AP28" i="139"/>
  <c r="AQ35" i="139"/>
  <c r="AQ62" i="139" s="1"/>
  <c r="BP88" i="139" s="1"/>
  <c r="AQ40" i="139"/>
  <c r="AQ67" i="139" s="1"/>
  <c r="BP93" i="139" s="1"/>
  <c r="AQ39" i="139"/>
  <c r="AQ66" i="139" s="1"/>
  <c r="BP92" i="139" s="1"/>
  <c r="AQ38" i="139"/>
  <c r="AQ65" i="139" s="1"/>
  <c r="BP91" i="139" s="1"/>
  <c r="AQ33" i="139"/>
  <c r="AQ60" i="139" s="1"/>
  <c r="BP86" i="139" s="1"/>
  <c r="AQ41" i="139"/>
  <c r="AQ68" i="139" s="1"/>
  <c r="BP94" i="139" s="1"/>
  <c r="AQ37" i="139"/>
  <c r="AQ64" i="139" s="1"/>
  <c r="BP90" i="139" s="1"/>
  <c r="AQ36" i="139"/>
  <c r="AQ63" i="139" s="1"/>
  <c r="BP89" i="139" s="1"/>
  <c r="AQ34" i="139"/>
  <c r="AQ61" i="139" s="1"/>
  <c r="BP87" i="139" s="1"/>
  <c r="AQ31" i="139"/>
  <c r="AQ58" i="139" s="1"/>
  <c r="BP84" i="139" s="1"/>
  <c r="AQ32" i="139"/>
  <c r="AQ59" i="139" s="1"/>
  <c r="BP85" i="139" s="1"/>
  <c r="AP40" i="139" l="1"/>
  <c r="AP67" i="139" s="1"/>
  <c r="BO93" i="139" s="1"/>
  <c r="AP33" i="139"/>
  <c r="AP60" i="139" s="1"/>
  <c r="BO86" i="139" s="1"/>
  <c r="AP34" i="139"/>
  <c r="AP61" i="139" s="1"/>
  <c r="BO87" i="139" s="1"/>
  <c r="AO28" i="139"/>
  <c r="AP31" i="139"/>
  <c r="AP58" i="139" s="1"/>
  <c r="BO84" i="139" s="1"/>
  <c r="AP35" i="139"/>
  <c r="AP62" i="139" s="1"/>
  <c r="BO88" i="139" s="1"/>
  <c r="AP41" i="139"/>
  <c r="AP68" i="139" s="1"/>
  <c r="BO94" i="139" s="1"/>
  <c r="AP36" i="139"/>
  <c r="AP63" i="139" s="1"/>
  <c r="BO89" i="139" s="1"/>
  <c r="AP38" i="139"/>
  <c r="AP65" i="139" s="1"/>
  <c r="BO91" i="139" s="1"/>
  <c r="AP30" i="139"/>
  <c r="AP57" i="139" s="1"/>
  <c r="BO83" i="139" s="1"/>
  <c r="AP32" i="139"/>
  <c r="AP59" i="139" s="1"/>
  <c r="BO85" i="139" s="1"/>
  <c r="AP39" i="139"/>
  <c r="AP66" i="139" s="1"/>
  <c r="BO92" i="139" s="1"/>
  <c r="AP37" i="139"/>
  <c r="AP64" i="139" s="1"/>
  <c r="BO90" i="139" s="1"/>
  <c r="AO32" i="139" l="1"/>
  <c r="AO59" i="139" s="1"/>
  <c r="BN85" i="139" s="1"/>
  <c r="AO30" i="139"/>
  <c r="AO57" i="139" s="1"/>
  <c r="BN83" i="139" s="1"/>
  <c r="AO38" i="139"/>
  <c r="AO65" i="139" s="1"/>
  <c r="BN91" i="139" s="1"/>
  <c r="AO39" i="139"/>
  <c r="AO66" i="139" s="1"/>
  <c r="BN92" i="139" s="1"/>
  <c r="AO41" i="139"/>
  <c r="AO68" i="139" s="1"/>
  <c r="BN94" i="139" s="1"/>
  <c r="AO31" i="139"/>
  <c r="AO58" i="139" s="1"/>
  <c r="BN84" i="139" s="1"/>
  <c r="AO35" i="139"/>
  <c r="AO62" i="139" s="1"/>
  <c r="BN88" i="139" s="1"/>
  <c r="AO34" i="139"/>
  <c r="AO61" i="139" s="1"/>
  <c r="BN87" i="139" s="1"/>
  <c r="AO40" i="139"/>
  <c r="AO67" i="139" s="1"/>
  <c r="BN93" i="139" s="1"/>
  <c r="AO36" i="139"/>
  <c r="AO63" i="139" s="1"/>
  <c r="BN89" i="139" s="1"/>
  <c r="AO33" i="139"/>
  <c r="AO60" i="139" s="1"/>
  <c r="BN86" i="139" s="1"/>
  <c r="AO37" i="139"/>
  <c r="AO64" i="139" s="1"/>
  <c r="BN90" i="139" s="1"/>
  <c r="AN28" i="139"/>
  <c r="AN40" i="139" l="1"/>
  <c r="AN67" i="139" s="1"/>
  <c r="BM93" i="139" s="1"/>
  <c r="AN38" i="139"/>
  <c r="AN65" i="139" s="1"/>
  <c r="BM91" i="139" s="1"/>
  <c r="AN35" i="139"/>
  <c r="AN62" i="139" s="1"/>
  <c r="BM88" i="139" s="1"/>
  <c r="AN36" i="139"/>
  <c r="AN63" i="139" s="1"/>
  <c r="BM89" i="139" s="1"/>
  <c r="AM28" i="139"/>
  <c r="AN34" i="139"/>
  <c r="AN61" i="139" s="1"/>
  <c r="BM87" i="139" s="1"/>
  <c r="AN33" i="139"/>
  <c r="AN60" i="139" s="1"/>
  <c r="BM86" i="139" s="1"/>
  <c r="AN30" i="139"/>
  <c r="AN57" i="139" s="1"/>
  <c r="BM83" i="139" s="1"/>
  <c r="AN32" i="139"/>
  <c r="AN59" i="139" s="1"/>
  <c r="BM85" i="139" s="1"/>
  <c r="AN39" i="139"/>
  <c r="AN66" i="139" s="1"/>
  <c r="BM92" i="139" s="1"/>
  <c r="AN41" i="139"/>
  <c r="AN68" i="139" s="1"/>
  <c r="BM94" i="139" s="1"/>
  <c r="AN31" i="139"/>
  <c r="AN58" i="139" s="1"/>
  <c r="BM84" i="139" s="1"/>
  <c r="AN37" i="139"/>
  <c r="AN64" i="139" s="1"/>
  <c r="BM90" i="139" s="1"/>
  <c r="AM33" i="139" l="1"/>
  <c r="AM60" i="139" s="1"/>
  <c r="BL86" i="139" s="1"/>
  <c r="AM35" i="139"/>
  <c r="AM62" i="139" s="1"/>
  <c r="BL88" i="139" s="1"/>
  <c r="AM38" i="139"/>
  <c r="AM65" i="139" s="1"/>
  <c r="BL91" i="139" s="1"/>
  <c r="AM30" i="139"/>
  <c r="AM57" i="139" s="1"/>
  <c r="BL83" i="139" s="1"/>
  <c r="AM37" i="139"/>
  <c r="AM64" i="139" s="1"/>
  <c r="BL90" i="139" s="1"/>
  <c r="AM39" i="139"/>
  <c r="AM66" i="139" s="1"/>
  <c r="BL92" i="139" s="1"/>
  <c r="AM31" i="139"/>
  <c r="AM58" i="139" s="1"/>
  <c r="BL84" i="139" s="1"/>
  <c r="AL28" i="139"/>
  <c r="AM41" i="139"/>
  <c r="AM68" i="139" s="1"/>
  <c r="BL94" i="139" s="1"/>
  <c r="AM32" i="139"/>
  <c r="AM59" i="139" s="1"/>
  <c r="BL85" i="139" s="1"/>
  <c r="AM34" i="139"/>
  <c r="AM61" i="139" s="1"/>
  <c r="BL87" i="139" s="1"/>
  <c r="AM36" i="139"/>
  <c r="AM63" i="139" s="1"/>
  <c r="BL89" i="139" s="1"/>
  <c r="AM40" i="139"/>
  <c r="AM67" i="139" s="1"/>
  <c r="BL93" i="139" s="1"/>
  <c r="AL38" i="139" l="1"/>
  <c r="AL65" i="139" s="1"/>
  <c r="BK91" i="139" s="1"/>
  <c r="AL36" i="139"/>
  <c r="AL63" i="139" s="1"/>
  <c r="BK89" i="139" s="1"/>
  <c r="AL31" i="139"/>
  <c r="AL58" i="139" s="1"/>
  <c r="BK84" i="139" s="1"/>
  <c r="AK28" i="139"/>
  <c r="AL32" i="139"/>
  <c r="AL59" i="139" s="1"/>
  <c r="BK85" i="139" s="1"/>
  <c r="AL33" i="139"/>
  <c r="AL60" i="139" s="1"/>
  <c r="BK86" i="139" s="1"/>
  <c r="AL39" i="139"/>
  <c r="AL66" i="139" s="1"/>
  <c r="BK92" i="139" s="1"/>
  <c r="AL30" i="139"/>
  <c r="AL57" i="139" s="1"/>
  <c r="BK83" i="139" s="1"/>
  <c r="AL35" i="139"/>
  <c r="AL62" i="139" s="1"/>
  <c r="BK88" i="139" s="1"/>
  <c r="AL40" i="139"/>
  <c r="AL67" i="139" s="1"/>
  <c r="BK93" i="139" s="1"/>
  <c r="AL41" i="139"/>
  <c r="AL68" i="139" s="1"/>
  <c r="BK94" i="139" s="1"/>
  <c r="AL34" i="139"/>
  <c r="AL61" i="139" s="1"/>
  <c r="BK87" i="139" s="1"/>
  <c r="AL37" i="139"/>
  <c r="AL64" i="139" s="1"/>
  <c r="BK90" i="139" s="1"/>
  <c r="AK37" i="139" l="1"/>
  <c r="AK64" i="139" s="1"/>
  <c r="BJ90" i="139" s="1"/>
  <c r="AK39" i="139"/>
  <c r="AK66" i="139" s="1"/>
  <c r="BJ92" i="139" s="1"/>
  <c r="AK38" i="139"/>
  <c r="AK65" i="139" s="1"/>
  <c r="BJ91" i="139" s="1"/>
  <c r="AK30" i="139"/>
  <c r="AK57" i="139" s="1"/>
  <c r="BJ83" i="139" s="1"/>
  <c r="AK34" i="139"/>
  <c r="AK61" i="139" s="1"/>
  <c r="BJ87" i="139" s="1"/>
  <c r="AK33" i="139"/>
  <c r="AK60" i="139" s="1"/>
  <c r="BJ86" i="139" s="1"/>
  <c r="AK31" i="139"/>
  <c r="AK58" i="139" s="1"/>
  <c r="BJ84" i="139" s="1"/>
  <c r="AJ28" i="139"/>
  <c r="AK40" i="139"/>
  <c r="AK67" i="139" s="1"/>
  <c r="BJ93" i="139" s="1"/>
  <c r="AK41" i="139"/>
  <c r="AK68" i="139" s="1"/>
  <c r="BJ94" i="139" s="1"/>
  <c r="AK35" i="139"/>
  <c r="AK62" i="139" s="1"/>
  <c r="BJ88" i="139" s="1"/>
  <c r="AK36" i="139"/>
  <c r="AK63" i="139" s="1"/>
  <c r="BJ89" i="139" s="1"/>
  <c r="AK32" i="139"/>
  <c r="AK59" i="139" s="1"/>
  <c r="BJ85" i="139" s="1"/>
  <c r="AJ36" i="139" l="1"/>
  <c r="AJ63" i="139" s="1"/>
  <c r="BI89" i="139" s="1"/>
  <c r="AJ39" i="139"/>
  <c r="AJ66" i="139" s="1"/>
  <c r="BI92" i="139" s="1"/>
  <c r="AJ34" i="139"/>
  <c r="AJ61" i="139" s="1"/>
  <c r="BI87" i="139" s="1"/>
  <c r="AJ41" i="139"/>
  <c r="AJ68" i="139" s="1"/>
  <c r="BI94" i="139" s="1"/>
  <c r="AJ30" i="139"/>
  <c r="AJ57" i="139" s="1"/>
  <c r="BI83" i="139" s="1"/>
  <c r="AJ38" i="139"/>
  <c r="AJ65" i="139" s="1"/>
  <c r="BI91" i="139" s="1"/>
  <c r="AI28" i="139"/>
  <c r="AJ37" i="139"/>
  <c r="AJ64" i="139" s="1"/>
  <c r="BI90" i="139" s="1"/>
  <c r="AJ40" i="139"/>
  <c r="AJ67" i="139" s="1"/>
  <c r="BI93" i="139" s="1"/>
  <c r="AJ32" i="139"/>
  <c r="AJ59" i="139" s="1"/>
  <c r="BI85" i="139" s="1"/>
  <c r="AJ33" i="139"/>
  <c r="AJ60" i="139" s="1"/>
  <c r="BI86" i="139" s="1"/>
  <c r="AJ31" i="139"/>
  <c r="AJ58" i="139" s="1"/>
  <c r="BI84" i="139" s="1"/>
  <c r="AJ35" i="139"/>
  <c r="AJ62" i="139" s="1"/>
  <c r="BI88" i="139" s="1"/>
  <c r="AI32" i="139" l="1"/>
  <c r="AI59" i="139" s="1"/>
  <c r="BH85" i="139" s="1"/>
  <c r="AI41" i="139"/>
  <c r="AI68" i="139" s="1"/>
  <c r="BH94" i="139" s="1"/>
  <c r="AI35" i="139"/>
  <c r="AI62" i="139" s="1"/>
  <c r="BH88" i="139" s="1"/>
  <c r="AI38" i="139"/>
  <c r="AI65" i="139" s="1"/>
  <c r="BH91" i="139" s="1"/>
  <c r="AI36" i="139"/>
  <c r="AI63" i="139" s="1"/>
  <c r="BH89" i="139" s="1"/>
  <c r="AH28" i="139"/>
  <c r="AI31" i="139"/>
  <c r="AI58" i="139" s="1"/>
  <c r="BH84" i="139" s="1"/>
  <c r="AI34" i="139"/>
  <c r="AI61" i="139" s="1"/>
  <c r="BH87" i="139" s="1"/>
  <c r="AI40" i="139"/>
  <c r="AI67" i="139" s="1"/>
  <c r="BH93" i="139" s="1"/>
  <c r="AI33" i="139"/>
  <c r="AI60" i="139" s="1"/>
  <c r="BH86" i="139" s="1"/>
  <c r="AI39" i="139"/>
  <c r="AI66" i="139" s="1"/>
  <c r="BH92" i="139" s="1"/>
  <c r="AI37" i="139"/>
  <c r="AI64" i="139" s="1"/>
  <c r="BH90" i="139" s="1"/>
  <c r="AI30" i="139"/>
  <c r="AI57" i="139" s="1"/>
  <c r="BH83" i="139" s="1"/>
  <c r="AH34" i="139" l="1"/>
  <c r="AH61" i="139" s="1"/>
  <c r="BG87" i="139" s="1"/>
  <c r="AH30" i="139"/>
  <c r="AH57" i="139" s="1"/>
  <c r="BG83" i="139" s="1"/>
  <c r="AH40" i="139"/>
  <c r="AH67" i="139" s="1"/>
  <c r="BG93" i="139" s="1"/>
  <c r="AH41" i="139"/>
  <c r="AH68" i="139" s="1"/>
  <c r="BG94" i="139" s="1"/>
  <c r="AH31" i="139"/>
  <c r="AH58" i="139" s="1"/>
  <c r="BG84" i="139" s="1"/>
  <c r="AH38" i="139"/>
  <c r="AH65" i="139" s="1"/>
  <c r="BG91" i="139" s="1"/>
  <c r="AH37" i="139"/>
  <c r="AH64" i="139" s="1"/>
  <c r="BG90" i="139" s="1"/>
  <c r="AH36" i="139"/>
  <c r="AH63" i="139" s="1"/>
  <c r="BG89" i="139" s="1"/>
  <c r="AH32" i="139"/>
  <c r="AH59" i="139" s="1"/>
  <c r="BG85" i="139" s="1"/>
  <c r="AH33" i="139"/>
  <c r="AH60" i="139" s="1"/>
  <c r="BG86" i="139" s="1"/>
  <c r="AH35" i="139"/>
  <c r="AH62" i="139" s="1"/>
  <c r="BG88" i="139" s="1"/>
  <c r="AG28" i="139"/>
  <c r="AH39" i="139"/>
  <c r="AH66" i="139" s="1"/>
  <c r="BG92" i="139" s="1"/>
  <c r="AG41" i="139" l="1"/>
  <c r="AG68" i="139" s="1"/>
  <c r="BF94" i="139" s="1"/>
  <c r="AG40" i="139"/>
  <c r="AG67" i="139" s="1"/>
  <c r="BF93" i="139" s="1"/>
  <c r="AF28" i="139"/>
  <c r="AG36" i="139"/>
  <c r="AG63" i="139" s="1"/>
  <c r="BF89" i="139" s="1"/>
  <c r="AG35" i="139"/>
  <c r="AG62" i="139" s="1"/>
  <c r="BF88" i="139" s="1"/>
  <c r="AG38" i="139"/>
  <c r="AG65" i="139" s="1"/>
  <c r="BF91" i="139" s="1"/>
  <c r="AG39" i="139"/>
  <c r="AG66" i="139" s="1"/>
  <c r="BF92" i="139" s="1"/>
  <c r="AG33" i="139"/>
  <c r="AG60" i="139" s="1"/>
  <c r="BF86" i="139" s="1"/>
  <c r="AG34" i="139"/>
  <c r="AG61" i="139" s="1"/>
  <c r="BF87" i="139" s="1"/>
  <c r="AG31" i="139"/>
  <c r="AG58" i="139" s="1"/>
  <c r="BF84" i="139" s="1"/>
  <c r="AG32" i="139"/>
  <c r="AG59" i="139" s="1"/>
  <c r="BF85" i="139" s="1"/>
  <c r="AG37" i="139"/>
  <c r="AG64" i="139" s="1"/>
  <c r="BF90" i="139" s="1"/>
  <c r="AG30" i="139"/>
  <c r="AG57" i="139" s="1"/>
  <c r="BF83" i="139" s="1"/>
  <c r="JI31" i="139"/>
  <c r="JK31" i="139"/>
  <c r="JL31" i="139" s="1"/>
  <c r="JN31" i="139" s="1"/>
  <c r="JJ31" i="139"/>
  <c r="JK33" i="139"/>
  <c r="JL33" i="139" s="1"/>
  <c r="JN33" i="139" s="1"/>
  <c r="JJ33" i="139"/>
  <c r="JI33" i="139"/>
  <c r="JJ36" i="139"/>
  <c r="JI36" i="139"/>
  <c r="JK36" i="139"/>
  <c r="JL36" i="139" s="1"/>
  <c r="JN36" i="139" s="1"/>
  <c r="JJ39" i="139"/>
  <c r="JI39" i="139"/>
  <c r="JK39" i="139"/>
  <c r="JL39" i="139" s="1"/>
  <c r="JN39" i="139" s="1"/>
  <c r="JJ40" i="139"/>
  <c r="JI40" i="139"/>
  <c r="JK40" i="139"/>
  <c r="JL40" i="139" s="1"/>
  <c r="JN40" i="139" s="1"/>
  <c r="JI30" i="139"/>
  <c r="JJ30" i="139"/>
  <c r="JK30" i="139"/>
  <c r="JL30" i="139" s="1"/>
  <c r="JN30" i="139" s="1"/>
  <c r="JI34" i="139"/>
  <c r="JK34" i="139"/>
  <c r="JL34" i="139" s="1"/>
  <c r="JN34" i="139" s="1"/>
  <c r="JJ34" i="139"/>
  <c r="JJ35" i="139"/>
  <c r="JK35" i="139"/>
  <c r="JL35" i="139" s="1"/>
  <c r="JN35" i="139" s="1"/>
  <c r="JI35" i="139"/>
  <c r="JI38" i="139"/>
  <c r="JK38" i="139"/>
  <c r="JL38" i="139" s="1"/>
  <c r="JN38" i="139" s="1"/>
  <c r="JJ38" i="139"/>
  <c r="JK41" i="139"/>
  <c r="JL41" i="139" s="1"/>
  <c r="JN41" i="139" s="1"/>
  <c r="JI41" i="139"/>
  <c r="JJ41" i="139"/>
  <c r="JI37" i="139"/>
  <c r="JK37" i="139"/>
  <c r="JL37" i="139" s="1"/>
  <c r="JN37" i="139" s="1"/>
  <c r="JJ37" i="139"/>
  <c r="JK32" i="139"/>
  <c r="JL32" i="139" s="1"/>
  <c r="JN32" i="139" s="1"/>
  <c r="JJ32" i="139"/>
  <c r="JI32" i="139"/>
  <c r="AF40" i="139" l="1"/>
  <c r="AF67" i="139" s="1"/>
  <c r="BE93" i="139" s="1"/>
  <c r="AF32" i="139"/>
  <c r="AF59" i="139" s="1"/>
  <c r="BE85" i="139" s="1"/>
  <c r="AF34" i="139"/>
  <c r="AF61" i="139" s="1"/>
  <c r="BE87" i="139" s="1"/>
  <c r="AF39" i="139"/>
  <c r="AF66" i="139" s="1"/>
  <c r="BE92" i="139" s="1"/>
  <c r="AE28" i="139"/>
  <c r="AF35" i="139"/>
  <c r="AF62" i="139" s="1"/>
  <c r="BE88" i="139" s="1"/>
  <c r="AF38" i="139"/>
  <c r="AF65" i="139" s="1"/>
  <c r="BE91" i="139" s="1"/>
  <c r="AF41" i="139"/>
  <c r="AF68" i="139" s="1"/>
  <c r="BE94" i="139" s="1"/>
  <c r="AF33" i="139"/>
  <c r="AF60" i="139" s="1"/>
  <c r="BE86" i="139" s="1"/>
  <c r="AF31" i="139"/>
  <c r="AF58" i="139" s="1"/>
  <c r="BE84" i="139" s="1"/>
  <c r="AF37" i="139"/>
  <c r="AF64" i="139" s="1"/>
  <c r="BE90" i="139" s="1"/>
  <c r="AF36" i="139"/>
  <c r="AF63" i="139" s="1"/>
  <c r="BE89" i="139" s="1"/>
  <c r="AF30" i="139"/>
  <c r="AF57" i="139" s="1"/>
  <c r="BE83" i="139" s="1"/>
  <c r="JM32" i="139"/>
  <c r="JM33" i="139"/>
  <c r="JM41" i="139"/>
  <c r="JM40" i="139"/>
  <c r="JM35" i="139"/>
  <c r="JM39" i="139"/>
  <c r="JM36" i="139"/>
  <c r="JM34" i="139"/>
  <c r="JM30" i="139"/>
  <c r="JM31" i="139"/>
  <c r="JM37" i="139"/>
  <c r="JM38" i="139"/>
  <c r="JK59" i="139"/>
  <c r="JL59" i="139" s="1"/>
  <c r="JN59" i="139" s="1"/>
  <c r="JI59" i="139"/>
  <c r="JJ59" i="139"/>
  <c r="JI64" i="139"/>
  <c r="JJ64" i="139"/>
  <c r="JK64" i="139"/>
  <c r="JL64" i="139" s="1"/>
  <c r="JN64" i="139" s="1"/>
  <c r="JI68" i="139"/>
  <c r="JK68" i="139"/>
  <c r="JL68" i="139" s="1"/>
  <c r="JN68" i="139" s="1"/>
  <c r="JJ68" i="139"/>
  <c r="JJ65" i="139"/>
  <c r="JK65" i="139"/>
  <c r="JL65" i="139" s="1"/>
  <c r="JN65" i="139" s="1"/>
  <c r="JI65" i="139"/>
  <c r="JI62" i="139"/>
  <c r="JJ62" i="139"/>
  <c r="JK62" i="139"/>
  <c r="JL62" i="139" s="1"/>
  <c r="JN62" i="139" s="1"/>
  <c r="JI61" i="139"/>
  <c r="JJ61" i="139"/>
  <c r="JK61" i="139"/>
  <c r="JL61" i="139" s="1"/>
  <c r="JN61" i="139" s="1"/>
  <c r="JJ57" i="139"/>
  <c r="JI57" i="139"/>
  <c r="JK57" i="139"/>
  <c r="JL57" i="139" s="1"/>
  <c r="JN57" i="139" s="1"/>
  <c r="JI67" i="139"/>
  <c r="JJ67" i="139"/>
  <c r="JK67" i="139"/>
  <c r="JL67" i="139" s="1"/>
  <c r="JN67" i="139" s="1"/>
  <c r="JJ66" i="139"/>
  <c r="JI66" i="139"/>
  <c r="JK66" i="139"/>
  <c r="JL66" i="139" s="1"/>
  <c r="JN66" i="139" s="1"/>
  <c r="JI63" i="139"/>
  <c r="JK63" i="139"/>
  <c r="JL63" i="139" s="1"/>
  <c r="JN63" i="139" s="1"/>
  <c r="JJ63" i="139"/>
  <c r="JI60" i="139"/>
  <c r="JJ60" i="139"/>
  <c r="JK60" i="139"/>
  <c r="JL60" i="139" s="1"/>
  <c r="JN60" i="139" s="1"/>
  <c r="JI58" i="139"/>
  <c r="JJ58" i="139"/>
  <c r="JK58" i="139"/>
  <c r="JL58" i="139" s="1"/>
  <c r="JN58" i="139" s="1"/>
  <c r="AE32" i="139" l="1"/>
  <c r="AE59" i="139" s="1"/>
  <c r="BD85" i="139" s="1"/>
  <c r="AE41" i="139"/>
  <c r="AE68" i="139" s="1"/>
  <c r="BD94" i="139" s="1"/>
  <c r="AE33" i="139"/>
  <c r="AE60" i="139" s="1"/>
  <c r="BD86" i="139" s="1"/>
  <c r="AE37" i="139"/>
  <c r="AE64" i="139" s="1"/>
  <c r="BD90" i="139" s="1"/>
  <c r="AE38" i="139"/>
  <c r="AE65" i="139" s="1"/>
  <c r="BD91" i="139" s="1"/>
  <c r="AE31" i="139"/>
  <c r="AE58" i="139" s="1"/>
  <c r="BD84" i="139" s="1"/>
  <c r="AE40" i="139"/>
  <c r="AE67" i="139" s="1"/>
  <c r="BD93" i="139" s="1"/>
  <c r="AE30" i="139"/>
  <c r="AE57" i="139" s="1"/>
  <c r="BD83" i="139" s="1"/>
  <c r="AE35" i="139"/>
  <c r="AE62" i="139" s="1"/>
  <c r="BD88" i="139" s="1"/>
  <c r="AE36" i="139"/>
  <c r="AE63" i="139" s="1"/>
  <c r="BD89" i="139" s="1"/>
  <c r="AE34" i="139"/>
  <c r="AE61" i="139" s="1"/>
  <c r="BD87" i="139" s="1"/>
  <c r="AE39" i="139"/>
  <c r="AE66" i="139" s="1"/>
  <c r="BD92" i="139" s="1"/>
  <c r="AD28" i="139"/>
  <c r="JM65" i="139"/>
  <c r="JM66" i="139"/>
  <c r="JM58" i="139"/>
  <c r="JM60" i="139"/>
  <c r="JM63" i="139"/>
  <c r="JM62" i="139"/>
  <c r="JM57" i="139"/>
  <c r="JM59" i="139"/>
  <c r="JM67" i="139"/>
  <c r="JM61" i="139"/>
  <c r="JM68" i="139"/>
  <c r="JM64" i="139"/>
  <c r="AD34" i="139" l="1"/>
  <c r="AD61" i="139" s="1"/>
  <c r="BC87" i="139" s="1"/>
  <c r="AD39" i="139"/>
  <c r="AD66" i="139" s="1"/>
  <c r="BC92" i="139" s="1"/>
  <c r="AD32" i="139"/>
  <c r="AD59" i="139" s="1"/>
  <c r="BC85" i="139" s="1"/>
  <c r="AD30" i="139"/>
  <c r="AD57" i="139" s="1"/>
  <c r="BC83" i="139" s="1"/>
  <c r="AD33" i="139"/>
  <c r="AD60" i="139" s="1"/>
  <c r="BC86" i="139" s="1"/>
  <c r="AD35" i="139"/>
  <c r="AD62" i="139" s="1"/>
  <c r="BC88" i="139" s="1"/>
  <c r="AD40" i="139"/>
  <c r="AD67" i="139" s="1"/>
  <c r="BC93" i="139" s="1"/>
  <c r="AD31" i="139"/>
  <c r="AD58" i="139" s="1"/>
  <c r="BC84" i="139" s="1"/>
  <c r="AD38" i="139"/>
  <c r="AD65" i="139" s="1"/>
  <c r="BC91" i="139" s="1"/>
  <c r="AD36" i="139"/>
  <c r="AD63" i="139" s="1"/>
  <c r="BC89" i="139" s="1"/>
  <c r="AD41" i="139"/>
  <c r="AD68" i="139" s="1"/>
  <c r="BC94" i="139" s="1"/>
  <c r="AD37" i="139"/>
  <c r="AD64" i="139" s="1"/>
  <c r="BC90" i="139" s="1"/>
  <c r="AC28" i="139"/>
  <c r="AC33" i="139" l="1"/>
  <c r="AC60" i="139" s="1"/>
  <c r="BB86" i="139" s="1"/>
  <c r="AC36" i="139"/>
  <c r="AC63" i="139" s="1"/>
  <c r="BB89" i="139" s="1"/>
  <c r="AC32" i="139"/>
  <c r="AC59" i="139" s="1"/>
  <c r="BB85" i="139" s="1"/>
  <c r="AC30" i="139"/>
  <c r="AC57" i="139" s="1"/>
  <c r="BB83" i="139" s="1"/>
  <c r="AC38" i="139"/>
  <c r="AC65" i="139" s="1"/>
  <c r="BB91" i="139" s="1"/>
  <c r="AC31" i="139"/>
  <c r="AC58" i="139" s="1"/>
  <c r="BB84" i="139" s="1"/>
  <c r="AC35" i="139"/>
  <c r="AC62" i="139" s="1"/>
  <c r="BB88" i="139" s="1"/>
  <c r="AC34" i="139"/>
  <c r="AC61" i="139" s="1"/>
  <c r="BB87" i="139" s="1"/>
  <c r="AC37" i="139"/>
  <c r="AC64" i="139" s="1"/>
  <c r="BB90" i="139" s="1"/>
  <c r="AC40" i="139"/>
  <c r="AC67" i="139" s="1"/>
  <c r="BB93" i="139" s="1"/>
  <c r="AC41" i="139"/>
  <c r="AC68" i="139" s="1"/>
  <c r="BB94" i="139" s="1"/>
  <c r="AB28" i="139"/>
  <c r="AC39" i="139"/>
  <c r="AC66" i="139" s="1"/>
  <c r="BB92" i="139" s="1"/>
  <c r="AB40" i="139" l="1"/>
  <c r="AB67" i="139" s="1"/>
  <c r="BA93" i="139" s="1"/>
  <c r="AB38" i="139"/>
  <c r="AB65" i="139" s="1"/>
  <c r="BA91" i="139" s="1"/>
  <c r="AB35" i="139"/>
  <c r="AB62" i="139" s="1"/>
  <c r="BA88" i="139" s="1"/>
  <c r="AB32" i="139"/>
  <c r="AB59" i="139" s="1"/>
  <c r="BA85" i="139" s="1"/>
  <c r="AB41" i="139"/>
  <c r="AB68" i="139" s="1"/>
  <c r="BA94" i="139" s="1"/>
  <c r="AB36" i="139"/>
  <c r="AB63" i="139" s="1"/>
  <c r="BA89" i="139" s="1"/>
  <c r="AB33" i="139"/>
  <c r="AB60" i="139" s="1"/>
  <c r="BA86" i="139" s="1"/>
  <c r="AB30" i="139"/>
  <c r="AB57" i="139" s="1"/>
  <c r="BA83" i="139" s="1"/>
  <c r="AB34" i="139"/>
  <c r="AB61" i="139" s="1"/>
  <c r="BA87" i="139" s="1"/>
  <c r="AA28" i="139"/>
  <c r="AB39" i="139"/>
  <c r="AB66" i="139" s="1"/>
  <c r="BA92" i="139" s="1"/>
  <c r="AB31" i="139"/>
  <c r="AB58" i="139" s="1"/>
  <c r="BA84" i="139" s="1"/>
  <c r="AB37" i="139"/>
  <c r="AB64" i="139" s="1"/>
  <c r="BA90" i="139" s="1"/>
  <c r="AA40" i="139" l="1"/>
  <c r="AA67" i="139" s="1"/>
  <c r="AZ93" i="139" s="1"/>
  <c r="AA34" i="139"/>
  <c r="AA61" i="139" s="1"/>
  <c r="AZ87" i="139" s="1"/>
  <c r="AA38" i="139"/>
  <c r="AA65" i="139" s="1"/>
  <c r="AZ91" i="139" s="1"/>
  <c r="AA32" i="139"/>
  <c r="AA59" i="139" s="1"/>
  <c r="AZ85" i="139" s="1"/>
  <c r="AA37" i="139"/>
  <c r="AA64" i="139" s="1"/>
  <c r="AZ90" i="139" s="1"/>
  <c r="AA39" i="139"/>
  <c r="AA66" i="139" s="1"/>
  <c r="AZ92" i="139" s="1"/>
  <c r="Z28" i="139"/>
  <c r="AA35" i="139"/>
  <c r="AA62" i="139" s="1"/>
  <c r="AZ88" i="139" s="1"/>
  <c r="AA41" i="139"/>
  <c r="AA68" i="139" s="1"/>
  <c r="AZ94" i="139" s="1"/>
  <c r="AA30" i="139"/>
  <c r="AA57" i="139" s="1"/>
  <c r="AZ83" i="139" s="1"/>
  <c r="AA31" i="139"/>
  <c r="AA58" i="139" s="1"/>
  <c r="AZ84" i="139" s="1"/>
  <c r="AA36" i="139"/>
  <c r="AA63" i="139" s="1"/>
  <c r="AZ89" i="139" s="1"/>
  <c r="AA33" i="139"/>
  <c r="AA60" i="139" s="1"/>
  <c r="AZ86" i="139" s="1"/>
  <c r="Z34" i="139" l="1"/>
  <c r="Z61" i="139" s="1"/>
  <c r="AY87" i="139" s="1"/>
  <c r="Z37" i="139"/>
  <c r="Z64" i="139" s="1"/>
  <c r="AY90" i="139" s="1"/>
  <c r="Z41" i="139"/>
  <c r="Z68" i="139" s="1"/>
  <c r="AY94" i="139" s="1"/>
  <c r="Z39" i="139"/>
  <c r="Z66" i="139" s="1"/>
  <c r="AY92" i="139" s="1"/>
  <c r="Z38" i="139"/>
  <c r="Z65" i="139" s="1"/>
  <c r="AY91" i="139" s="1"/>
  <c r="Z36" i="139"/>
  <c r="Z63" i="139" s="1"/>
  <c r="AY89" i="139" s="1"/>
  <c r="Z35" i="139"/>
  <c r="Z62" i="139" s="1"/>
  <c r="AY88" i="139" s="1"/>
  <c r="Z40" i="139"/>
  <c r="Z67" i="139" s="1"/>
  <c r="AY93" i="139" s="1"/>
  <c r="Z31" i="139"/>
  <c r="Z58" i="139" s="1"/>
  <c r="AY84" i="139" s="1"/>
  <c r="Y28" i="139"/>
  <c r="Z30" i="139"/>
  <c r="Z57" i="139" s="1"/>
  <c r="AY83" i="139" s="1"/>
  <c r="Z33" i="139"/>
  <c r="Z60" i="139" s="1"/>
  <c r="AY86" i="139" s="1"/>
  <c r="Z32" i="139"/>
  <c r="Z59" i="139" s="1"/>
  <c r="AY85" i="139" s="1"/>
  <c r="Y41" i="139" l="1"/>
  <c r="Y68" i="139" s="1"/>
  <c r="AX94" i="139" s="1"/>
  <c r="Y36" i="139"/>
  <c r="Y63" i="139" s="1"/>
  <c r="AX89" i="139" s="1"/>
  <c r="X28" i="139"/>
  <c r="Y38" i="139"/>
  <c r="Y65" i="139" s="1"/>
  <c r="AX91" i="139" s="1"/>
  <c r="Y30" i="139"/>
  <c r="Y57" i="139" s="1"/>
  <c r="AX83" i="139" s="1"/>
  <c r="Y40" i="139"/>
  <c r="Y67" i="139" s="1"/>
  <c r="AX93" i="139" s="1"/>
  <c r="Y31" i="139"/>
  <c r="Y58" i="139" s="1"/>
  <c r="AX84" i="139" s="1"/>
  <c r="Y37" i="139"/>
  <c r="Y64" i="139" s="1"/>
  <c r="AX90" i="139" s="1"/>
  <c r="Y32" i="139"/>
  <c r="Y59" i="139" s="1"/>
  <c r="AX85" i="139" s="1"/>
  <c r="Y35" i="139"/>
  <c r="Y62" i="139" s="1"/>
  <c r="AX88" i="139" s="1"/>
  <c r="Y39" i="139"/>
  <c r="Y66" i="139" s="1"/>
  <c r="AX92" i="139" s="1"/>
  <c r="Y34" i="139"/>
  <c r="Y61" i="139" s="1"/>
  <c r="AX87" i="139" s="1"/>
  <c r="Y33" i="139"/>
  <c r="Y60" i="139" s="1"/>
  <c r="AX86" i="139" s="1"/>
  <c r="X35" i="139" l="1"/>
  <c r="X62" i="139" s="1"/>
  <c r="AW88" i="139" s="1"/>
  <c r="X40" i="139"/>
  <c r="X67" i="139" s="1"/>
  <c r="AW93" i="139" s="1"/>
  <c r="X39" i="139"/>
  <c r="X66" i="139" s="1"/>
  <c r="AW92" i="139" s="1"/>
  <c r="W28" i="139"/>
  <c r="X33" i="139"/>
  <c r="X60" i="139" s="1"/>
  <c r="AW86" i="139" s="1"/>
  <c r="X41" i="139"/>
  <c r="X68" i="139" s="1"/>
  <c r="AW94" i="139" s="1"/>
  <c r="X38" i="139"/>
  <c r="X65" i="139" s="1"/>
  <c r="AW91" i="139" s="1"/>
  <c r="X36" i="139"/>
  <c r="X63" i="139" s="1"/>
  <c r="AW89" i="139" s="1"/>
  <c r="X34" i="139"/>
  <c r="X61" i="139" s="1"/>
  <c r="AW87" i="139" s="1"/>
  <c r="X31" i="139"/>
  <c r="X58" i="139" s="1"/>
  <c r="AW84" i="139" s="1"/>
  <c r="X32" i="139"/>
  <c r="X59" i="139" s="1"/>
  <c r="AW85" i="139" s="1"/>
  <c r="X37" i="139"/>
  <c r="X64" i="139" s="1"/>
  <c r="AW90" i="139" s="1"/>
  <c r="X30" i="139"/>
  <c r="X57" i="139" s="1"/>
  <c r="AW83" i="139" s="1"/>
  <c r="W39" i="139" l="1"/>
  <c r="W66" i="139" s="1"/>
  <c r="AV92" i="139" s="1"/>
  <c r="W38" i="139"/>
  <c r="W65" i="139" s="1"/>
  <c r="AV91" i="139" s="1"/>
  <c r="W36" i="139"/>
  <c r="W63" i="139" s="1"/>
  <c r="AV89" i="139" s="1"/>
  <c r="W33" i="139"/>
  <c r="W60" i="139" s="1"/>
  <c r="AV86" i="139" s="1"/>
  <c r="W37" i="139"/>
  <c r="W64" i="139" s="1"/>
  <c r="AV90" i="139" s="1"/>
  <c r="W32" i="139"/>
  <c r="W59" i="139" s="1"/>
  <c r="AV85" i="139" s="1"/>
  <c r="W30" i="139"/>
  <c r="W57" i="139" s="1"/>
  <c r="AV83" i="139" s="1"/>
  <c r="W34" i="139"/>
  <c r="W61" i="139" s="1"/>
  <c r="AV87" i="139" s="1"/>
  <c r="W40" i="139"/>
  <c r="W67" i="139" s="1"/>
  <c r="AV93" i="139" s="1"/>
  <c r="W35" i="139"/>
  <c r="W62" i="139" s="1"/>
  <c r="AV88" i="139" s="1"/>
  <c r="W31" i="139"/>
  <c r="W58" i="139" s="1"/>
  <c r="AV84" i="139" s="1"/>
  <c r="W41" i="139"/>
  <c r="W68" i="139" s="1"/>
  <c r="AV94" i="139" s="1"/>
  <c r="V28" i="139"/>
  <c r="V33" i="139" l="1"/>
  <c r="V60" i="139" s="1"/>
  <c r="AU86" i="139" s="1"/>
  <c r="V38" i="139"/>
  <c r="V65" i="139" s="1"/>
  <c r="AU91" i="139" s="1"/>
  <c r="V36" i="139"/>
  <c r="V63" i="139" s="1"/>
  <c r="AU89" i="139" s="1"/>
  <c r="V39" i="139"/>
  <c r="V66" i="139" s="1"/>
  <c r="AU92" i="139" s="1"/>
  <c r="V30" i="139"/>
  <c r="V57" i="139" s="1"/>
  <c r="AU83" i="139" s="1"/>
  <c r="V32" i="139"/>
  <c r="V59" i="139" s="1"/>
  <c r="AU85" i="139" s="1"/>
  <c r="V31" i="139"/>
  <c r="V58" i="139" s="1"/>
  <c r="AU84" i="139" s="1"/>
  <c r="V37" i="139"/>
  <c r="V64" i="139" s="1"/>
  <c r="AU90" i="139" s="1"/>
  <c r="U28" i="139"/>
  <c r="V35" i="139"/>
  <c r="V62" i="139" s="1"/>
  <c r="AU88" i="139" s="1"/>
  <c r="V34" i="139"/>
  <c r="V61" i="139" s="1"/>
  <c r="AU87" i="139" s="1"/>
  <c r="V41" i="139"/>
  <c r="V68" i="139" s="1"/>
  <c r="AU94" i="139" s="1"/>
  <c r="V40" i="139"/>
  <c r="V67" i="139" s="1"/>
  <c r="AU93" i="139" s="1"/>
  <c r="U34" i="139" l="1"/>
  <c r="U61" i="139" s="1"/>
  <c r="AT87" i="139" s="1"/>
  <c r="U41" i="139"/>
  <c r="U68" i="139" s="1"/>
  <c r="AT94" i="139" s="1"/>
  <c r="U37" i="139"/>
  <c r="U64" i="139" s="1"/>
  <c r="AT90" i="139" s="1"/>
  <c r="U40" i="139"/>
  <c r="U67" i="139" s="1"/>
  <c r="AT93" i="139" s="1"/>
  <c r="U35" i="139"/>
  <c r="U62" i="139" s="1"/>
  <c r="AT88" i="139" s="1"/>
  <c r="U33" i="139"/>
  <c r="U60" i="139" s="1"/>
  <c r="AT86" i="139" s="1"/>
  <c r="U38" i="139"/>
  <c r="U65" i="139" s="1"/>
  <c r="AT91" i="139" s="1"/>
  <c r="U31" i="139"/>
  <c r="U58" i="139" s="1"/>
  <c r="AT84" i="139" s="1"/>
  <c r="U36" i="139"/>
  <c r="U63" i="139" s="1"/>
  <c r="AT89" i="139" s="1"/>
  <c r="T28" i="139"/>
  <c r="U32" i="139"/>
  <c r="U59" i="139" s="1"/>
  <c r="AT85" i="139" s="1"/>
  <c r="U30" i="139"/>
  <c r="U57" i="139" s="1"/>
  <c r="AT83" i="139" s="1"/>
  <c r="U39" i="139"/>
  <c r="U66" i="139" s="1"/>
  <c r="AT92" i="139" s="1"/>
  <c r="T37" i="139" l="1"/>
  <c r="T64" i="139" s="1"/>
  <c r="AS90" i="139" s="1"/>
  <c r="T30" i="139"/>
  <c r="T57" i="139" s="1"/>
  <c r="AS83" i="139" s="1"/>
  <c r="T32" i="139"/>
  <c r="T59" i="139" s="1"/>
  <c r="AS85" i="139" s="1"/>
  <c r="T40" i="139"/>
  <c r="T67" i="139" s="1"/>
  <c r="AS93" i="139" s="1"/>
  <c r="T38" i="139"/>
  <c r="T65" i="139" s="1"/>
  <c r="AS91" i="139" s="1"/>
  <c r="T34" i="139"/>
  <c r="T61" i="139" s="1"/>
  <c r="AS87" i="139" s="1"/>
  <c r="S28" i="139"/>
  <c r="T41" i="139"/>
  <c r="T68" i="139" s="1"/>
  <c r="AS94" i="139" s="1"/>
  <c r="T33" i="139"/>
  <c r="T60" i="139" s="1"/>
  <c r="AS86" i="139" s="1"/>
  <c r="T35" i="139"/>
  <c r="T62" i="139" s="1"/>
  <c r="AS88" i="139" s="1"/>
  <c r="T36" i="139"/>
  <c r="T63" i="139" s="1"/>
  <c r="AS89" i="139" s="1"/>
  <c r="T31" i="139"/>
  <c r="T58" i="139" s="1"/>
  <c r="AS84" i="139" s="1"/>
  <c r="T39" i="139"/>
  <c r="T66" i="139" s="1"/>
  <c r="AS92" i="139" s="1"/>
  <c r="S35" i="139" l="1"/>
  <c r="S62" i="139" s="1"/>
  <c r="AR88" i="139" s="1"/>
  <c r="S33" i="139"/>
  <c r="S60" i="139" s="1"/>
  <c r="AR86" i="139" s="1"/>
  <c r="S37" i="139"/>
  <c r="S64" i="139" s="1"/>
  <c r="AR90" i="139" s="1"/>
  <c r="R28" i="139"/>
  <c r="S36" i="139"/>
  <c r="S63" i="139" s="1"/>
  <c r="AR89" i="139" s="1"/>
  <c r="S31" i="139"/>
  <c r="S58" i="139" s="1"/>
  <c r="AR84" i="139" s="1"/>
  <c r="S38" i="139"/>
  <c r="S65" i="139" s="1"/>
  <c r="AR91" i="139" s="1"/>
  <c r="S32" i="139"/>
  <c r="S59" i="139" s="1"/>
  <c r="AR85" i="139" s="1"/>
  <c r="S30" i="139"/>
  <c r="S57" i="139" s="1"/>
  <c r="AR83" i="139" s="1"/>
  <c r="S41" i="139"/>
  <c r="S68" i="139" s="1"/>
  <c r="AR94" i="139" s="1"/>
  <c r="S40" i="139"/>
  <c r="S67" i="139" s="1"/>
  <c r="AR93" i="139" s="1"/>
  <c r="S34" i="139"/>
  <c r="S61" i="139" s="1"/>
  <c r="AR87" i="139" s="1"/>
  <c r="S39" i="139"/>
  <c r="S66" i="139" s="1"/>
  <c r="AR92" i="139" s="1"/>
  <c r="R41" i="139" l="1"/>
  <c r="R68" i="139" s="1"/>
  <c r="AQ94" i="139" s="1"/>
  <c r="R36" i="139"/>
  <c r="R63" i="139" s="1"/>
  <c r="AQ89" i="139" s="1"/>
  <c r="R34" i="139"/>
  <c r="R61" i="139" s="1"/>
  <c r="AQ87" i="139" s="1"/>
  <c r="R40" i="139"/>
  <c r="R67" i="139" s="1"/>
  <c r="AQ93" i="139" s="1"/>
  <c r="R32" i="139"/>
  <c r="R59" i="139" s="1"/>
  <c r="AQ85" i="139" s="1"/>
  <c r="Q28" i="139"/>
  <c r="R31" i="139"/>
  <c r="R58" i="139" s="1"/>
  <c r="AQ84" i="139" s="1"/>
  <c r="R38" i="139"/>
  <c r="R65" i="139" s="1"/>
  <c r="AQ91" i="139" s="1"/>
  <c r="R30" i="139"/>
  <c r="R57" i="139" s="1"/>
  <c r="AQ83" i="139" s="1"/>
  <c r="R39" i="139"/>
  <c r="R66" i="139" s="1"/>
  <c r="AQ92" i="139" s="1"/>
  <c r="R37" i="139"/>
  <c r="R64" i="139" s="1"/>
  <c r="AQ90" i="139" s="1"/>
  <c r="R35" i="139"/>
  <c r="R62" i="139" s="1"/>
  <c r="AQ88" i="139" s="1"/>
  <c r="R33" i="139"/>
  <c r="R60" i="139" s="1"/>
  <c r="AQ86" i="139" s="1"/>
  <c r="Q33" i="139" l="1"/>
  <c r="Q60" i="139" s="1"/>
  <c r="AP86" i="139" s="1"/>
  <c r="Q32" i="139"/>
  <c r="Q59" i="139" s="1"/>
  <c r="AP85" i="139" s="1"/>
  <c r="Q34" i="139"/>
  <c r="Q61" i="139" s="1"/>
  <c r="AP87" i="139" s="1"/>
  <c r="P28" i="139"/>
  <c r="Q39" i="139"/>
  <c r="Q66" i="139" s="1"/>
  <c r="AP92" i="139" s="1"/>
  <c r="Q35" i="139"/>
  <c r="Q62" i="139" s="1"/>
  <c r="AP88" i="139" s="1"/>
  <c r="Q38" i="139"/>
  <c r="Q65" i="139" s="1"/>
  <c r="AP91" i="139" s="1"/>
  <c r="Q41" i="139"/>
  <c r="Q68" i="139" s="1"/>
  <c r="AP94" i="139" s="1"/>
  <c r="Q40" i="139"/>
  <c r="Q67" i="139" s="1"/>
  <c r="AP93" i="139" s="1"/>
  <c r="Q31" i="139"/>
  <c r="Q58" i="139" s="1"/>
  <c r="AP84" i="139" s="1"/>
  <c r="Q30" i="139"/>
  <c r="Q57" i="139" s="1"/>
  <c r="AP83" i="139" s="1"/>
  <c r="Q36" i="139"/>
  <c r="Q63" i="139" s="1"/>
  <c r="AP89" i="139" s="1"/>
  <c r="Q37" i="139"/>
  <c r="Q64" i="139" s="1"/>
  <c r="AP90" i="139" s="1"/>
  <c r="P39" i="139" l="1"/>
  <c r="P66" i="139" s="1"/>
  <c r="AO92" i="139" s="1"/>
  <c r="P38" i="139"/>
  <c r="P65" i="139" s="1"/>
  <c r="AO91" i="139" s="1"/>
  <c r="P40" i="139"/>
  <c r="P67" i="139" s="1"/>
  <c r="AO93" i="139" s="1"/>
  <c r="P41" i="139"/>
  <c r="P68" i="139" s="1"/>
  <c r="AO94" i="139" s="1"/>
  <c r="P31" i="139"/>
  <c r="P58" i="139" s="1"/>
  <c r="AO84" i="139" s="1"/>
  <c r="P32" i="139"/>
  <c r="P59" i="139" s="1"/>
  <c r="AO85" i="139" s="1"/>
  <c r="P34" i="139"/>
  <c r="P61" i="139" s="1"/>
  <c r="AO87" i="139" s="1"/>
  <c r="P36" i="139"/>
  <c r="P63" i="139" s="1"/>
  <c r="AO89" i="139" s="1"/>
  <c r="O28" i="139"/>
  <c r="P33" i="139"/>
  <c r="P60" i="139" s="1"/>
  <c r="AO86" i="139" s="1"/>
  <c r="P30" i="139"/>
  <c r="P57" i="139" s="1"/>
  <c r="AO83" i="139" s="1"/>
  <c r="P35" i="139"/>
  <c r="P62" i="139" s="1"/>
  <c r="AO88" i="139" s="1"/>
  <c r="P37" i="139"/>
  <c r="P64" i="139" s="1"/>
  <c r="AO90" i="139" s="1"/>
  <c r="N28" i="139" l="1"/>
  <c r="O35" i="139"/>
  <c r="O62" i="139" s="1"/>
  <c r="AN88" i="139" s="1"/>
  <c r="O33" i="139"/>
  <c r="O60" i="139" s="1"/>
  <c r="AN86" i="139" s="1"/>
  <c r="O34" i="139"/>
  <c r="O61" i="139" s="1"/>
  <c r="AN87" i="139" s="1"/>
  <c r="O39" i="139"/>
  <c r="O66" i="139" s="1"/>
  <c r="AN92" i="139" s="1"/>
  <c r="O37" i="139"/>
  <c r="O64" i="139" s="1"/>
  <c r="AN90" i="139" s="1"/>
  <c r="O41" i="139"/>
  <c r="O68" i="139" s="1"/>
  <c r="AN94" i="139" s="1"/>
  <c r="O32" i="139"/>
  <c r="O59" i="139" s="1"/>
  <c r="AN85" i="139" s="1"/>
  <c r="O30" i="139"/>
  <c r="O57" i="139" s="1"/>
  <c r="AN83" i="139" s="1"/>
  <c r="O38" i="139"/>
  <c r="O65" i="139" s="1"/>
  <c r="AN91" i="139" s="1"/>
  <c r="O40" i="139"/>
  <c r="O67" i="139" s="1"/>
  <c r="AN93" i="139" s="1"/>
  <c r="O36" i="139"/>
  <c r="O63" i="139" s="1"/>
  <c r="AN89" i="139" s="1"/>
  <c r="O31" i="139"/>
  <c r="O58" i="139" s="1"/>
  <c r="AN84" i="139" s="1"/>
  <c r="M28" i="139" l="1"/>
  <c r="N33" i="139"/>
  <c r="N60" i="139" s="1"/>
  <c r="AM86" i="139" s="1"/>
  <c r="N38" i="139"/>
  <c r="N65" i="139" s="1"/>
  <c r="AM91" i="139" s="1"/>
  <c r="N40" i="139"/>
  <c r="N67" i="139" s="1"/>
  <c r="AM93" i="139" s="1"/>
  <c r="N35" i="139"/>
  <c r="N62" i="139" s="1"/>
  <c r="AM88" i="139" s="1"/>
  <c r="N30" i="139"/>
  <c r="N57" i="139" s="1"/>
  <c r="AM83" i="139" s="1"/>
  <c r="N32" i="139"/>
  <c r="N59" i="139" s="1"/>
  <c r="AM85" i="139" s="1"/>
  <c r="N37" i="139"/>
  <c r="N64" i="139" s="1"/>
  <c r="AM90" i="139" s="1"/>
  <c r="N39" i="139"/>
  <c r="N66" i="139" s="1"/>
  <c r="AM92" i="139" s="1"/>
  <c r="N34" i="139"/>
  <c r="N61" i="139" s="1"/>
  <c r="AM87" i="139" s="1"/>
  <c r="N36" i="139"/>
  <c r="N63" i="139" s="1"/>
  <c r="AM89" i="139" s="1"/>
  <c r="N41" i="139"/>
  <c r="N68" i="139" s="1"/>
  <c r="AM94" i="139" s="1"/>
  <c r="N31" i="139"/>
  <c r="N58" i="139" s="1"/>
  <c r="AM84" i="139" s="1"/>
  <c r="M31" i="139" l="1"/>
  <c r="M58" i="139" s="1"/>
  <c r="AL84" i="139" s="1"/>
  <c r="M40" i="139"/>
  <c r="M67" i="139" s="1"/>
  <c r="AL93" i="139" s="1"/>
  <c r="L28" i="139"/>
  <c r="M36" i="139"/>
  <c r="M63" i="139" s="1"/>
  <c r="AL89" i="139" s="1"/>
  <c r="M33" i="139"/>
  <c r="M60" i="139" s="1"/>
  <c r="AL86" i="139" s="1"/>
  <c r="M38" i="139"/>
  <c r="M65" i="139" s="1"/>
  <c r="AL91" i="139" s="1"/>
  <c r="M30" i="139"/>
  <c r="M57" i="139" s="1"/>
  <c r="AL83" i="139" s="1"/>
  <c r="M39" i="139"/>
  <c r="M66" i="139" s="1"/>
  <c r="AL92" i="139" s="1"/>
  <c r="M37" i="139"/>
  <c r="M64" i="139" s="1"/>
  <c r="AL90" i="139" s="1"/>
  <c r="M34" i="139"/>
  <c r="M61" i="139" s="1"/>
  <c r="AL87" i="139" s="1"/>
  <c r="M41" i="139"/>
  <c r="M68" i="139" s="1"/>
  <c r="AL94" i="139" s="1"/>
  <c r="M35" i="139"/>
  <c r="M62" i="139" s="1"/>
  <c r="AL88" i="139" s="1"/>
  <c r="M32" i="139"/>
  <c r="M59" i="139" s="1"/>
  <c r="AL85" i="139" s="1"/>
  <c r="L35" i="139" l="1"/>
  <c r="L62" i="139" s="1"/>
  <c r="AK88" i="139" s="1"/>
  <c r="L30" i="139"/>
  <c r="L57" i="139" s="1"/>
  <c r="AK83" i="139" s="1"/>
  <c r="L36" i="139"/>
  <c r="L63" i="139" s="1"/>
  <c r="AK89" i="139" s="1"/>
  <c r="K28" i="139"/>
  <c r="L40" i="139"/>
  <c r="L67" i="139" s="1"/>
  <c r="AK93" i="139" s="1"/>
  <c r="L39" i="139"/>
  <c r="L66" i="139" s="1"/>
  <c r="AK92" i="139" s="1"/>
  <c r="L38" i="139"/>
  <c r="L65" i="139" s="1"/>
  <c r="AK91" i="139" s="1"/>
  <c r="L37" i="139"/>
  <c r="L64" i="139" s="1"/>
  <c r="AK90" i="139" s="1"/>
  <c r="L34" i="139"/>
  <c r="L61" i="139" s="1"/>
  <c r="AK87" i="139" s="1"/>
  <c r="L31" i="139"/>
  <c r="L58" i="139" s="1"/>
  <c r="AK84" i="139" s="1"/>
  <c r="L33" i="139"/>
  <c r="L60" i="139" s="1"/>
  <c r="AK86" i="139" s="1"/>
  <c r="L32" i="139"/>
  <c r="L59" i="139" s="1"/>
  <c r="AK85" i="139" s="1"/>
  <c r="L41" i="139"/>
  <c r="L68" i="139" s="1"/>
  <c r="AK94" i="139" s="1"/>
  <c r="K38" i="139" l="1"/>
  <c r="K65" i="139" s="1"/>
  <c r="AJ91" i="139" s="1"/>
  <c r="K31" i="139"/>
  <c r="K58" i="139" s="1"/>
  <c r="AJ84" i="139" s="1"/>
  <c r="K40" i="139"/>
  <c r="K67" i="139" s="1"/>
  <c r="AJ93" i="139" s="1"/>
  <c r="K33" i="139"/>
  <c r="K60" i="139" s="1"/>
  <c r="AJ86" i="139" s="1"/>
  <c r="K36" i="139"/>
  <c r="K63" i="139" s="1"/>
  <c r="AJ89" i="139" s="1"/>
  <c r="K32" i="139"/>
  <c r="K59" i="139" s="1"/>
  <c r="AJ85" i="139" s="1"/>
  <c r="J28" i="139"/>
  <c r="K41" i="139"/>
  <c r="K68" i="139" s="1"/>
  <c r="AJ94" i="139" s="1"/>
  <c r="K34" i="139"/>
  <c r="K61" i="139" s="1"/>
  <c r="AJ87" i="139" s="1"/>
  <c r="K39" i="139"/>
  <c r="K66" i="139" s="1"/>
  <c r="AJ92" i="139" s="1"/>
  <c r="K35" i="139"/>
  <c r="K62" i="139" s="1"/>
  <c r="AJ88" i="139" s="1"/>
  <c r="K30" i="139"/>
  <c r="K57" i="139" s="1"/>
  <c r="AJ83" i="139" s="1"/>
  <c r="K37" i="139"/>
  <c r="K64" i="139" s="1"/>
  <c r="AJ90" i="139" s="1"/>
  <c r="J34" i="139" l="1"/>
  <c r="J61" i="139" s="1"/>
  <c r="AI87" i="139" s="1"/>
  <c r="J38" i="139"/>
  <c r="J65" i="139" s="1"/>
  <c r="AI91" i="139" s="1"/>
  <c r="J36" i="139"/>
  <c r="J63" i="139" s="1"/>
  <c r="AI89" i="139" s="1"/>
  <c r="J30" i="139"/>
  <c r="J57" i="139" s="1"/>
  <c r="AI83" i="139" s="1"/>
  <c r="J37" i="139"/>
  <c r="J64" i="139" s="1"/>
  <c r="AI90" i="139" s="1"/>
  <c r="J31" i="139"/>
  <c r="J58" i="139" s="1"/>
  <c r="AI84" i="139" s="1"/>
  <c r="J39" i="139"/>
  <c r="J66" i="139" s="1"/>
  <c r="AI92" i="139" s="1"/>
  <c r="J33" i="139"/>
  <c r="J60" i="139" s="1"/>
  <c r="AI86" i="139" s="1"/>
  <c r="I28" i="139"/>
  <c r="J40" i="139"/>
  <c r="J67" i="139" s="1"/>
  <c r="AI93" i="139" s="1"/>
  <c r="J32" i="139"/>
  <c r="J59" i="139" s="1"/>
  <c r="AI85" i="139" s="1"/>
  <c r="J35" i="139"/>
  <c r="J62" i="139" s="1"/>
  <c r="AI88" i="139" s="1"/>
  <c r="J41" i="139"/>
  <c r="J68" i="139" s="1"/>
  <c r="AI94" i="139" s="1"/>
  <c r="I40" i="139" l="1"/>
  <c r="I67" i="139" s="1"/>
  <c r="AH93" i="139" s="1"/>
  <c r="I34" i="139"/>
  <c r="I61" i="139" s="1"/>
  <c r="AH87" i="139" s="1"/>
  <c r="I33" i="139"/>
  <c r="I60" i="139" s="1"/>
  <c r="AH86" i="139" s="1"/>
  <c r="I31" i="139"/>
  <c r="I58" i="139" s="1"/>
  <c r="AH84" i="139" s="1"/>
  <c r="H28" i="139"/>
  <c r="I36" i="139"/>
  <c r="I63" i="139" s="1"/>
  <c r="AH89" i="139" s="1"/>
  <c r="I38" i="139"/>
  <c r="I65" i="139" s="1"/>
  <c r="AH91" i="139" s="1"/>
  <c r="I30" i="139"/>
  <c r="I57" i="139" s="1"/>
  <c r="AH83" i="139" s="1"/>
  <c r="I37" i="139"/>
  <c r="I64" i="139" s="1"/>
  <c r="AH90" i="139" s="1"/>
  <c r="I35" i="139"/>
  <c r="I62" i="139" s="1"/>
  <c r="AH88" i="139" s="1"/>
  <c r="I39" i="139"/>
  <c r="I66" i="139" s="1"/>
  <c r="AH92" i="139" s="1"/>
  <c r="I41" i="139"/>
  <c r="I68" i="139" s="1"/>
  <c r="AH94" i="139" s="1"/>
  <c r="I32" i="139"/>
  <c r="I59" i="139" s="1"/>
  <c r="AH85" i="139" s="1"/>
  <c r="G28" i="139" l="1"/>
  <c r="H36" i="139"/>
  <c r="H63" i="139" s="1"/>
  <c r="AG89" i="139" s="1"/>
  <c r="H40" i="139"/>
  <c r="H67" i="139" s="1"/>
  <c r="AG93" i="139" s="1"/>
  <c r="H41" i="139"/>
  <c r="H68" i="139" s="1"/>
  <c r="AG94" i="139" s="1"/>
  <c r="H34" i="139"/>
  <c r="H61" i="139" s="1"/>
  <c r="AG87" i="139" s="1"/>
  <c r="H30" i="139"/>
  <c r="H57" i="139" s="1"/>
  <c r="AG83" i="139" s="1"/>
  <c r="H38" i="139"/>
  <c r="H65" i="139" s="1"/>
  <c r="AG91" i="139" s="1"/>
  <c r="H33" i="139"/>
  <c r="H60" i="139" s="1"/>
  <c r="AG86" i="139" s="1"/>
  <c r="H31" i="139"/>
  <c r="H58" i="139" s="1"/>
  <c r="AG84" i="139" s="1"/>
  <c r="H35" i="139"/>
  <c r="H62" i="139" s="1"/>
  <c r="AG88" i="139" s="1"/>
  <c r="H39" i="139"/>
  <c r="H66" i="139" s="1"/>
  <c r="AG92" i="139" s="1"/>
  <c r="H32" i="139"/>
  <c r="H59" i="139" s="1"/>
  <c r="AG85" i="139" s="1"/>
  <c r="H37" i="139"/>
  <c r="H64" i="139" s="1"/>
  <c r="AG90" i="139" s="1"/>
  <c r="G41" i="139" l="1"/>
  <c r="G68" i="139" s="1"/>
  <c r="AF94" i="139" s="1"/>
  <c r="G34" i="139"/>
  <c r="G61" i="139" s="1"/>
  <c r="AF87" i="139" s="1"/>
  <c r="G33" i="139"/>
  <c r="G60" i="139" s="1"/>
  <c r="AF86" i="139" s="1"/>
  <c r="G35" i="139"/>
  <c r="G62" i="139" s="1"/>
  <c r="AF88" i="139" s="1"/>
  <c r="G40" i="139"/>
  <c r="G67" i="139" s="1"/>
  <c r="AF93" i="139" s="1"/>
  <c r="G36" i="139"/>
  <c r="G63" i="139" s="1"/>
  <c r="AF89" i="139" s="1"/>
  <c r="G39" i="139"/>
  <c r="G66" i="139" s="1"/>
  <c r="AF92" i="139" s="1"/>
  <c r="G30" i="139"/>
  <c r="G57" i="139" s="1"/>
  <c r="AF83" i="139" s="1"/>
  <c r="G32" i="139"/>
  <c r="G59" i="139" s="1"/>
  <c r="AF85" i="139" s="1"/>
  <c r="G38" i="139"/>
  <c r="G65" i="139" s="1"/>
  <c r="AF91" i="139" s="1"/>
  <c r="F28" i="139"/>
  <c r="G31" i="139"/>
  <c r="G58" i="139" s="1"/>
  <c r="AF84" i="139" s="1"/>
  <c r="G37" i="139"/>
  <c r="G64" i="139" s="1"/>
  <c r="AF90" i="139" s="1"/>
  <c r="F39" i="139" l="1"/>
  <c r="F66" i="139" s="1"/>
  <c r="AE92" i="139" s="1"/>
  <c r="F35" i="139"/>
  <c r="F62" i="139" s="1"/>
  <c r="AE88" i="139" s="1"/>
  <c r="F37" i="139"/>
  <c r="F64" i="139" s="1"/>
  <c r="AE90" i="139" s="1"/>
  <c r="F38" i="139"/>
  <c r="F65" i="139" s="1"/>
  <c r="AE91" i="139" s="1"/>
  <c r="F40" i="139"/>
  <c r="F67" i="139" s="1"/>
  <c r="AE93" i="139" s="1"/>
  <c r="F32" i="139"/>
  <c r="F59" i="139" s="1"/>
  <c r="AE85" i="139" s="1"/>
  <c r="F33" i="139"/>
  <c r="F60" i="139" s="1"/>
  <c r="AE86" i="139" s="1"/>
  <c r="F41" i="139"/>
  <c r="F68" i="139" s="1"/>
  <c r="AE94" i="139" s="1"/>
  <c r="E28" i="139"/>
  <c r="F31" i="139"/>
  <c r="F58" i="139" s="1"/>
  <c r="AE84" i="139" s="1"/>
  <c r="F36" i="139"/>
  <c r="F63" i="139" s="1"/>
  <c r="AE89" i="139" s="1"/>
  <c r="F30" i="139"/>
  <c r="F57" i="139" s="1"/>
  <c r="AE83" i="139" s="1"/>
  <c r="F34" i="139"/>
  <c r="F61" i="139" s="1"/>
  <c r="AE87" i="139" s="1"/>
  <c r="E34" i="139" l="1"/>
  <c r="E61" i="139" s="1"/>
  <c r="AD87" i="139" s="1"/>
  <c r="E40" i="139"/>
  <c r="E67" i="139" s="1"/>
  <c r="AD93" i="139" s="1"/>
  <c r="E30" i="139"/>
  <c r="E57" i="139" s="1"/>
  <c r="AD83" i="139" s="1"/>
  <c r="E31" i="139"/>
  <c r="E58" i="139" s="1"/>
  <c r="AD84" i="139" s="1"/>
  <c r="E32" i="139"/>
  <c r="E59" i="139" s="1"/>
  <c r="AD85" i="139" s="1"/>
  <c r="E41" i="139"/>
  <c r="E68" i="139" s="1"/>
  <c r="AD94" i="139" s="1"/>
  <c r="D28" i="139"/>
  <c r="E39" i="139"/>
  <c r="E66" i="139" s="1"/>
  <c r="AD92" i="139" s="1"/>
  <c r="E35" i="139"/>
  <c r="E62" i="139" s="1"/>
  <c r="AD88" i="139" s="1"/>
  <c r="E33" i="139"/>
  <c r="E60" i="139" s="1"/>
  <c r="AD86" i="139" s="1"/>
  <c r="E38" i="139"/>
  <c r="E65" i="139" s="1"/>
  <c r="AD91" i="139" s="1"/>
  <c r="E37" i="139"/>
  <c r="E64" i="139" s="1"/>
  <c r="AD90" i="139" s="1"/>
  <c r="E36" i="139"/>
  <c r="E63" i="139" s="1"/>
  <c r="AD89" i="139" s="1"/>
  <c r="D37" i="139" l="1"/>
  <c r="D64" i="139" s="1"/>
  <c r="AC90" i="139" s="1"/>
  <c r="D33" i="139"/>
  <c r="D60" i="139" s="1"/>
  <c r="AC86" i="139" s="1"/>
  <c r="D34" i="139"/>
  <c r="D61" i="139" s="1"/>
  <c r="AC87" i="139" s="1"/>
  <c r="D38" i="139"/>
  <c r="D65" i="139" s="1"/>
  <c r="AC91" i="139" s="1"/>
  <c r="D40" i="139"/>
  <c r="D67" i="139" s="1"/>
  <c r="AC93" i="139" s="1"/>
  <c r="C28" i="139"/>
  <c r="D30" i="139"/>
  <c r="D57" i="139" s="1"/>
  <c r="AC83" i="139" s="1"/>
  <c r="D41" i="139"/>
  <c r="D68" i="139" s="1"/>
  <c r="AC94" i="139" s="1"/>
  <c r="D39" i="139"/>
  <c r="D66" i="139" s="1"/>
  <c r="AC92" i="139" s="1"/>
  <c r="D36" i="139"/>
  <c r="D63" i="139" s="1"/>
  <c r="AC89" i="139" s="1"/>
  <c r="D31" i="139"/>
  <c r="D58" i="139" s="1"/>
  <c r="AC84" i="139" s="1"/>
  <c r="D35" i="139"/>
  <c r="D62" i="139" s="1"/>
  <c r="AC88" i="139" s="1"/>
  <c r="D32" i="139"/>
  <c r="D59" i="139" s="1"/>
  <c r="AC85" i="139" s="1"/>
  <c r="C41" i="139" l="1"/>
  <c r="C68" i="139" s="1"/>
  <c r="AB94" i="139" s="1"/>
  <c r="C37" i="139"/>
  <c r="C64" i="139" s="1"/>
  <c r="AB90" i="139" s="1"/>
  <c r="B28" i="139"/>
  <c r="C34" i="139"/>
  <c r="C61" i="139" s="1"/>
  <c r="AB87" i="139" s="1"/>
  <c r="C39" i="139"/>
  <c r="C66" i="139" s="1"/>
  <c r="AB92" i="139" s="1"/>
  <c r="C31" i="139"/>
  <c r="C58" i="139" s="1"/>
  <c r="AB84" i="139" s="1"/>
  <c r="C38" i="139"/>
  <c r="C65" i="139" s="1"/>
  <c r="AB91" i="139" s="1"/>
  <c r="C40" i="139"/>
  <c r="C67" i="139" s="1"/>
  <c r="AB93" i="139" s="1"/>
  <c r="C32" i="139"/>
  <c r="C59" i="139" s="1"/>
  <c r="AB85" i="139" s="1"/>
  <c r="C30" i="139"/>
  <c r="C57" i="139" s="1"/>
  <c r="AB83" i="139" s="1"/>
  <c r="C33" i="139"/>
  <c r="C60" i="139" s="1"/>
  <c r="AB86" i="139" s="1"/>
  <c r="C36" i="139"/>
  <c r="C63" i="139" s="1"/>
  <c r="AB89" i="139" s="1"/>
  <c r="C35" i="139"/>
  <c r="C62" i="139" s="1"/>
  <c r="AB88" i="139" s="1"/>
  <c r="B39" i="139" l="1"/>
  <c r="B66" i="139" s="1"/>
  <c r="AA92" i="139" s="1"/>
  <c r="B31" i="139"/>
  <c r="B58" i="139" s="1"/>
  <c r="AA84" i="139" s="1"/>
  <c r="B30" i="139"/>
  <c r="B57" i="139" s="1"/>
  <c r="AA83" i="139" s="1"/>
  <c r="B36" i="139"/>
  <c r="B63" i="139" s="1"/>
  <c r="AA89" i="139" s="1"/>
  <c r="B40" i="139"/>
  <c r="B67" i="139" s="1"/>
  <c r="AA93" i="139" s="1"/>
  <c r="B37" i="139"/>
  <c r="B64" i="139" s="1"/>
  <c r="AA90" i="139" s="1"/>
  <c r="B38" i="139"/>
  <c r="B65" i="139" s="1"/>
  <c r="AA91" i="139" s="1"/>
  <c r="B33" i="139"/>
  <c r="B60" i="139" s="1"/>
  <c r="AA86" i="139" s="1"/>
  <c r="B32" i="139"/>
  <c r="B59" i="139" s="1"/>
  <c r="AA85" i="139" s="1"/>
  <c r="B34" i="139"/>
  <c r="B61" i="139" s="1"/>
  <c r="AA87" i="139" s="1"/>
  <c r="B41" i="139"/>
  <c r="B68" i="139" s="1"/>
  <c r="AA94" i="139" s="1"/>
  <c r="B35" i="139"/>
  <c r="B62" i="139" s="1"/>
  <c r="AA88" i="139" s="1"/>
</calcChain>
</file>

<file path=xl/sharedStrings.xml><?xml version="1.0" encoding="utf-8"?>
<sst xmlns="http://schemas.openxmlformats.org/spreadsheetml/2006/main" count="18" uniqueCount="10">
  <si>
    <t>MES</t>
  </si>
  <si>
    <t>ParoRegCLM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</si>
  <si>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</si>
  <si>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</si>
  <si>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</si>
  <si>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</si>
  <si>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</si>
  <si>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</si>
  <si>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Inicio</t>
  </si>
  <si>
    <t>Amplitud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</si>
</sst>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mmm\-yy;@"/>
    <numFmt numFmtId="165" formatCode="0.0%"/>
    <numFmt numFmtId="166" formatCode="0.000000"/>
    <numFmt numFmtId="167" formatCode="0.00\ &quot;σ&quot;"/>
  </numFmts>
  <fonts count="9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8" fillId="0" borderId="0">
      <alignment wrapText="1"/>
    </xf>
  </cellStyleXfs>
  <cellXfs count="22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64" fontId="1" fillId="0" borderId="1" xfId="0" applyNumberFormat="1" applyFont="1" applyBorder="1"/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0" fillId="0" borderId="0" xfId="0" applyNumberFormat="1"/>
    <xf numFmtId="10" fontId="7" fillId="3" borderId="0" xfId="1" applyNumberFormat="1" applyFont="1" applyFill="1" applyAlignment="1">
      <alignment horizontal="center" vertical="center"/>
    </xf>
    <xf numFmtId="10" fontId="0" fillId="0" borderId="0" xfId="1" applyNumberFormat="1" applyFont="1" applyFill="1"/>
    <xf numFmtId="167" fontId="5" fillId="2" borderId="0" xfId="0" applyNumberFormat="1" applyFont="1" applyFill="1" applyAlignment="1">
      <alignment horizontal="center" vertical="center"/>
    </xf>
    <xf numFmtId="9" fontId="0" fillId="0" borderId="0" xfId="1" applyNumberFormat="1" applyFont="1"/>
    <xf numFmtId="10" fontId="0" fillId="0" borderId="0" xfId="1" applyNumberFormat="1" applyFont="1"/>
  </cellXfs>
  <cellStyles count="3">
    <cellStyle name="Normal" xfId="0" builtinId="0"/>
    <cellStyle name="Porcentaje" xfId="1" builtinId="5"/>
    <cellStyle name="XLConnect.Numeric" xfId="2"/>
  </cellStyles>
  <dxfs count="4"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ill>
        <patternFill>
          <bgColor theme="0"/>
        </patternFill>
      </fill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00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A7">
            <v>123152</v>
          </cell>
        </row>
        <row r="8">
          <cell r="A8">
            <v>124017</v>
          </cell>
        </row>
        <row r="9">
          <cell r="A9">
            <v>122268</v>
          </cell>
        </row>
        <row r="10">
          <cell r="A10">
            <v>118182</v>
          </cell>
        </row>
        <row r="11">
          <cell r="A11">
            <v>114263</v>
          </cell>
        </row>
        <row r="12">
          <cell r="A12">
            <v>113023</v>
          </cell>
        </row>
        <row r="13">
          <cell r="A13">
            <v>108888</v>
          </cell>
        </row>
        <row r="14">
          <cell r="A14">
            <v>108001</v>
          </cell>
        </row>
        <row r="15">
          <cell r="A15">
            <v>107205</v>
          </cell>
        </row>
        <row r="16">
          <cell r="A16">
            <v>109355</v>
          </cell>
        </row>
        <row r="17">
          <cell r="A17">
            <v>110795</v>
          </cell>
        </row>
        <row r="18">
          <cell r="A18">
            <v>114385</v>
          </cell>
        </row>
        <row r="19">
          <cell r="A19">
            <v>117895</v>
          </cell>
        </row>
        <row r="20">
          <cell r="A20">
            <v>118650</v>
          </cell>
        </row>
        <row r="21">
          <cell r="A21">
            <v>116934</v>
          </cell>
        </row>
        <row r="22">
          <cell r="A22">
            <v>112564</v>
          </cell>
        </row>
        <row r="23">
          <cell r="A23">
            <v>107998</v>
          </cell>
        </row>
        <row r="24">
          <cell r="A24">
            <v>106336</v>
          </cell>
        </row>
        <row r="25">
          <cell r="A25">
            <v>101285</v>
          </cell>
        </row>
        <row r="26">
          <cell r="A26">
            <v>100865</v>
          </cell>
        </row>
        <row r="27">
          <cell r="A27">
            <v>100753</v>
          </cell>
        </row>
        <row r="28">
          <cell r="A28">
            <v>101670</v>
          </cell>
        </row>
        <row r="29">
          <cell r="A29">
            <v>103811</v>
          </cell>
        </row>
        <row r="30">
          <cell r="A30">
            <v>110674</v>
          </cell>
        </row>
        <row r="31">
          <cell r="A31">
            <v>110601</v>
          </cell>
        </row>
        <row r="32">
          <cell r="A32">
            <v>109846</v>
          </cell>
        </row>
        <row r="33">
          <cell r="A33">
            <v>107855</v>
          </cell>
        </row>
        <row r="34">
          <cell r="A34">
            <v>103080</v>
          </cell>
        </row>
        <row r="35">
          <cell r="A35">
            <v>98199</v>
          </cell>
        </row>
        <row r="36">
          <cell r="A36">
            <v>95838</v>
          </cell>
        </row>
        <row r="37">
          <cell r="A37">
            <v>90920</v>
          </cell>
        </row>
        <row r="38">
          <cell r="A38">
            <v>90735</v>
          </cell>
        </row>
        <row r="39">
          <cell r="A39">
            <v>88838</v>
          </cell>
        </row>
        <row r="40">
          <cell r="A40">
            <v>90299</v>
          </cell>
        </row>
        <row r="41">
          <cell r="A41">
            <v>90180</v>
          </cell>
        </row>
        <row r="42">
          <cell r="A42">
            <v>94923</v>
          </cell>
        </row>
        <row r="43">
          <cell r="A43">
            <v>95462</v>
          </cell>
        </row>
        <row r="44">
          <cell r="A44">
            <v>93472</v>
          </cell>
        </row>
        <row r="45">
          <cell r="A45">
            <v>94240</v>
          </cell>
        </row>
        <row r="46">
          <cell r="A46">
            <v>93365</v>
          </cell>
        </row>
        <row r="47">
          <cell r="A47">
            <v>90809</v>
          </cell>
        </row>
        <row r="48">
          <cell r="A48">
            <v>87286</v>
          </cell>
        </row>
        <row r="49">
          <cell r="A49">
            <v>82626</v>
          </cell>
        </row>
        <row r="50">
          <cell r="A50">
            <v>83058</v>
          </cell>
        </row>
        <row r="51">
          <cell r="A51">
            <v>83072</v>
          </cell>
        </row>
        <row r="52">
          <cell r="A52">
            <v>84751</v>
          </cell>
        </row>
        <row r="53">
          <cell r="A53">
            <v>85931</v>
          </cell>
        </row>
        <row r="54">
          <cell r="A54">
            <v>89274</v>
          </cell>
        </row>
        <row r="55">
          <cell r="A55">
            <v>93055</v>
          </cell>
        </row>
        <row r="56">
          <cell r="A56">
            <v>93320</v>
          </cell>
        </row>
        <row r="57">
          <cell r="A57">
            <v>92301</v>
          </cell>
        </row>
        <row r="58">
          <cell r="A58">
            <v>89590</v>
          </cell>
        </row>
        <row r="59">
          <cell r="A59">
            <v>86411</v>
          </cell>
        </row>
        <row r="60">
          <cell r="A60">
            <v>84892</v>
          </cell>
        </row>
        <row r="61">
          <cell r="A61">
            <v>82579</v>
          </cell>
        </row>
        <row r="62">
          <cell r="A62">
            <v>82211</v>
          </cell>
        </row>
        <row r="63">
          <cell r="A63">
            <v>82149</v>
          </cell>
        </row>
        <row r="64">
          <cell r="A64">
            <v>83838</v>
          </cell>
        </row>
        <row r="65">
          <cell r="A65">
            <v>85063</v>
          </cell>
        </row>
        <row r="66">
          <cell r="A66">
            <v>88302</v>
          </cell>
        </row>
        <row r="67">
          <cell r="A67">
            <v>93001</v>
          </cell>
        </row>
        <row r="68">
          <cell r="A68">
            <v>93581</v>
          </cell>
        </row>
        <row r="69">
          <cell r="A69">
            <v>93645</v>
          </cell>
        </row>
        <row r="70">
          <cell r="A70">
            <v>88520</v>
          </cell>
        </row>
        <row r="71">
          <cell r="A71">
            <v>88157</v>
          </cell>
        </row>
        <row r="72">
          <cell r="A72">
            <v>81964</v>
          </cell>
        </row>
        <row r="73">
          <cell r="A73">
            <v>79467</v>
          </cell>
        </row>
        <row r="74">
          <cell r="A74">
            <v>81933</v>
          </cell>
        </row>
        <row r="75">
          <cell r="A75">
            <v>82111</v>
          </cell>
        </row>
        <row r="76">
          <cell r="A76">
            <v>83271</v>
          </cell>
        </row>
        <row r="77">
          <cell r="A77">
            <v>85485</v>
          </cell>
        </row>
        <row r="78">
          <cell r="A78">
            <v>88037</v>
          </cell>
        </row>
        <row r="79">
          <cell r="A79">
            <v>93366</v>
          </cell>
        </row>
        <row r="80">
          <cell r="A80">
            <v>96485</v>
          </cell>
        </row>
        <row r="81">
          <cell r="A81">
            <v>95470</v>
          </cell>
        </row>
        <row r="82">
          <cell r="A82">
            <v>91052</v>
          </cell>
        </row>
        <row r="83">
          <cell r="A83">
            <v>87301</v>
          </cell>
        </row>
        <row r="84">
          <cell r="A84">
            <v>85016</v>
          </cell>
        </row>
        <row r="85">
          <cell r="A85">
            <v>83026</v>
          </cell>
        </row>
        <row r="86">
          <cell r="A86">
            <v>83756</v>
          </cell>
        </row>
        <row r="87">
          <cell r="A87">
            <v>84414</v>
          </cell>
        </row>
        <row r="88">
          <cell r="A88">
            <v>85971</v>
          </cell>
        </row>
        <row r="89">
          <cell r="A89">
            <v>88297</v>
          </cell>
        </row>
        <row r="90">
          <cell r="A90">
            <v>92219</v>
          </cell>
        </row>
        <row r="91">
          <cell r="A91">
            <v>96183</v>
          </cell>
        </row>
        <row r="92">
          <cell r="A92">
            <v>96484</v>
          </cell>
        </row>
        <row r="93">
          <cell r="A93">
            <v>95855</v>
          </cell>
        </row>
        <row r="94">
          <cell r="A94">
            <v>91768</v>
          </cell>
        </row>
        <row r="95">
          <cell r="A95">
            <v>88677</v>
          </cell>
        </row>
        <row r="96">
          <cell r="A96">
            <v>88018</v>
          </cell>
        </row>
        <row r="97">
          <cell r="A97">
            <v>85578</v>
          </cell>
        </row>
        <row r="98">
          <cell r="A98">
            <v>86911</v>
          </cell>
        </row>
        <row r="99">
          <cell r="A99">
            <v>87816</v>
          </cell>
        </row>
        <row r="100">
          <cell r="A100">
            <v>90414</v>
          </cell>
        </row>
        <row r="101">
          <cell r="A101">
            <v>92071</v>
          </cell>
        </row>
        <row r="102">
          <cell r="A102">
            <v>97191</v>
          </cell>
        </row>
        <row r="103">
          <cell r="A103">
            <v>99259</v>
          </cell>
        </row>
        <row r="104">
          <cell r="A104">
            <v>99393</v>
          </cell>
        </row>
        <row r="105">
          <cell r="A105">
            <v>99994</v>
          </cell>
        </row>
        <row r="106">
          <cell r="A106">
            <v>99858</v>
          </cell>
        </row>
        <row r="107">
          <cell r="A107">
            <v>93726</v>
          </cell>
        </row>
        <row r="108">
          <cell r="A108">
            <v>89509</v>
          </cell>
        </row>
        <row r="109">
          <cell r="A109">
            <v>86135</v>
          </cell>
        </row>
        <row r="110">
          <cell r="A110">
            <v>87719</v>
          </cell>
        </row>
        <row r="111">
          <cell r="A111">
            <v>87808</v>
          </cell>
        </row>
        <row r="112">
          <cell r="A112">
            <v>89772</v>
          </cell>
        </row>
        <row r="113">
          <cell r="A113">
            <v>92635</v>
          </cell>
        </row>
        <row r="114">
          <cell r="A114">
            <v>96491</v>
          </cell>
        </row>
        <row r="115">
          <cell r="A115">
            <v>100733</v>
          </cell>
        </row>
        <row r="116">
          <cell r="A116">
            <v>100828</v>
          </cell>
        </row>
        <row r="117">
          <cell r="A117">
            <v>100457</v>
          </cell>
        </row>
        <row r="118">
          <cell r="A118">
            <v>98431</v>
          </cell>
        </row>
        <row r="119">
          <cell r="A119">
            <v>93613</v>
          </cell>
        </row>
        <row r="120">
          <cell r="A120">
            <v>88509</v>
          </cell>
        </row>
        <row r="121">
          <cell r="A121">
            <v>87210</v>
          </cell>
        </row>
        <row r="122">
          <cell r="A122">
            <v>89637</v>
          </cell>
        </row>
        <row r="123">
          <cell r="A123">
            <v>89417</v>
          </cell>
        </row>
        <row r="124">
          <cell r="A124">
            <v>91645</v>
          </cell>
        </row>
        <row r="125">
          <cell r="A125">
            <v>91975</v>
          </cell>
        </row>
        <row r="126">
          <cell r="A126">
            <v>95023</v>
          </cell>
        </row>
        <row r="127">
          <cell r="A127">
            <v>98802</v>
          </cell>
        </row>
        <row r="128">
          <cell r="A128">
            <v>99123</v>
          </cell>
        </row>
        <row r="129">
          <cell r="A129">
            <v>97741</v>
          </cell>
        </row>
        <row r="130">
          <cell r="A130">
            <v>94341</v>
          </cell>
        </row>
        <row r="131">
          <cell r="A131">
            <v>91406</v>
          </cell>
        </row>
        <row r="132">
          <cell r="A132">
            <v>87349</v>
          </cell>
        </row>
        <row r="133">
          <cell r="A133">
            <v>85770</v>
          </cell>
        </row>
        <row r="134">
          <cell r="A134">
            <v>87411</v>
          </cell>
        </row>
        <row r="135">
          <cell r="A135">
            <v>87757</v>
          </cell>
        </row>
        <row r="136">
          <cell r="A136">
            <v>88743</v>
          </cell>
        </row>
        <row r="137">
          <cell r="A137">
            <v>89435</v>
          </cell>
        </row>
        <row r="138">
          <cell r="A138">
            <v>90921</v>
          </cell>
        </row>
        <row r="139">
          <cell r="A139">
            <v>94590</v>
          </cell>
        </row>
        <row r="140">
          <cell r="A140">
            <v>95029</v>
          </cell>
        </row>
        <row r="141">
          <cell r="A141">
            <v>94166</v>
          </cell>
        </row>
        <row r="142">
          <cell r="A142">
            <v>92925</v>
          </cell>
        </row>
        <row r="143">
          <cell r="A143">
            <v>89991</v>
          </cell>
        </row>
        <row r="144">
          <cell r="A144">
            <v>87208</v>
          </cell>
        </row>
        <row r="145">
          <cell r="A145">
            <v>87073</v>
          </cell>
        </row>
        <row r="146">
          <cell r="A146">
            <v>89685</v>
          </cell>
        </row>
        <row r="147">
          <cell r="A147">
            <v>89772</v>
          </cell>
        </row>
        <row r="148">
          <cell r="A148">
            <v>91355</v>
          </cell>
        </row>
        <row r="149">
          <cell r="A149">
            <v>93163</v>
          </cell>
        </row>
        <row r="150">
          <cell r="A150">
            <v>94955</v>
          </cell>
        </row>
        <row r="151">
          <cell r="A151">
            <v>101138</v>
          </cell>
        </row>
        <row r="152">
          <cell r="A152">
            <v>105519</v>
          </cell>
        </row>
        <row r="153">
          <cell r="A153">
            <v>105658</v>
          </cell>
        </row>
        <row r="154">
          <cell r="A154">
            <v>107385</v>
          </cell>
        </row>
        <row r="155">
          <cell r="A155">
            <v>107589</v>
          </cell>
        </row>
        <row r="156">
          <cell r="A156">
            <v>106446</v>
          </cell>
        </row>
        <row r="157">
          <cell r="A157">
            <v>108350</v>
          </cell>
        </row>
        <row r="158">
          <cell r="A158">
            <v>113485</v>
          </cell>
        </row>
        <row r="159">
          <cell r="A159">
            <v>115345</v>
          </cell>
        </row>
        <row r="160">
          <cell r="A160">
            <v>128948</v>
          </cell>
        </row>
        <row r="161">
          <cell r="A161">
            <v>138689</v>
          </cell>
        </row>
        <row r="162">
          <cell r="A162">
            <v>147817</v>
          </cell>
        </row>
        <row r="163">
          <cell r="A163">
            <v>155680</v>
          </cell>
        </row>
        <row r="164">
          <cell r="A164">
            <v>164532</v>
          </cell>
        </row>
        <row r="165">
          <cell r="A165">
            <v>173051</v>
          </cell>
        </row>
        <row r="166">
          <cell r="A166">
            <v>176136</v>
          </cell>
        </row>
        <row r="167">
          <cell r="A167">
            <v>174729</v>
          </cell>
        </row>
        <row r="168">
          <cell r="A168">
            <v>168442</v>
          </cell>
        </row>
        <row r="169">
          <cell r="A169">
            <v>165797</v>
          </cell>
        </row>
        <row r="170">
          <cell r="A170">
            <v>169165</v>
          </cell>
        </row>
        <row r="171">
          <cell r="A171">
            <v>166821</v>
          </cell>
        </row>
        <row r="172">
          <cell r="A172">
            <v>179229</v>
          </cell>
        </row>
        <row r="173">
          <cell r="A173">
            <v>181683</v>
          </cell>
        </row>
        <row r="174">
          <cell r="A174">
            <v>188150</v>
          </cell>
        </row>
        <row r="175">
          <cell r="A175">
            <v>193499</v>
          </cell>
        </row>
        <row r="176">
          <cell r="A176">
            <v>199917</v>
          </cell>
        </row>
        <row r="177">
          <cell r="A177">
            <v>204382</v>
          </cell>
        </row>
        <row r="178">
          <cell r="A178">
            <v>202869</v>
          </cell>
        </row>
        <row r="179">
          <cell r="A179">
            <v>198430</v>
          </cell>
        </row>
        <row r="180">
          <cell r="A180">
            <v>192897</v>
          </cell>
        </row>
        <row r="181">
          <cell r="A181">
            <v>188971</v>
          </cell>
        </row>
        <row r="182">
          <cell r="A182">
            <v>193287</v>
          </cell>
        </row>
        <row r="183">
          <cell r="A183">
            <v>187473</v>
          </cell>
        </row>
        <row r="184">
          <cell r="A184">
            <v>199057</v>
          </cell>
        </row>
        <row r="185">
          <cell r="A185">
            <v>202677</v>
          </cell>
        </row>
        <row r="186">
          <cell r="A186">
            <v>205134</v>
          </cell>
        </row>
        <row r="187">
          <cell r="A187">
            <v>212593</v>
          </cell>
        </row>
        <row r="188">
          <cell r="A188">
            <v>216637</v>
          </cell>
        </row>
        <row r="189">
          <cell r="A189">
            <v>217745</v>
          </cell>
        </row>
        <row r="190">
          <cell r="A190">
            <v>215621</v>
          </cell>
        </row>
        <row r="191">
          <cell r="A191">
            <v>212433</v>
          </cell>
        </row>
        <row r="192">
          <cell r="A192">
            <v>209193</v>
          </cell>
        </row>
        <row r="193">
          <cell r="A193">
            <v>206611</v>
          </cell>
        </row>
        <row r="194">
          <cell r="A194">
            <v>208349</v>
          </cell>
        </row>
        <row r="195">
          <cell r="A195">
            <v>207595</v>
          </cell>
        </row>
        <row r="196">
          <cell r="A196">
            <v>221543</v>
          </cell>
        </row>
        <row r="197">
          <cell r="A197">
            <v>225101</v>
          </cell>
        </row>
        <row r="198">
          <cell r="A198">
            <v>225842</v>
          </cell>
        </row>
        <row r="199">
          <cell r="A199">
            <v>236795</v>
          </cell>
        </row>
        <row r="200">
          <cell r="A200">
            <v>245048</v>
          </cell>
        </row>
        <row r="201">
          <cell r="A201">
            <v>249625</v>
          </cell>
        </row>
        <row r="202">
          <cell r="A202">
            <v>251360</v>
          </cell>
        </row>
        <row r="203">
          <cell r="A203">
            <v>248583</v>
          </cell>
        </row>
        <row r="204">
          <cell r="A204">
            <v>242823</v>
          </cell>
        </row>
        <row r="205">
          <cell r="A205">
            <v>245464</v>
          </cell>
        </row>
        <row r="206">
          <cell r="A206">
            <v>248008</v>
          </cell>
        </row>
        <row r="207">
          <cell r="A207">
            <v>239235</v>
          </cell>
        </row>
        <row r="208">
          <cell r="A208">
            <v>256026</v>
          </cell>
        </row>
        <row r="209">
          <cell r="A209">
            <v>262882</v>
          </cell>
        </row>
        <row r="210">
          <cell r="A210">
            <v>262340</v>
          </cell>
        </row>
        <row r="211">
          <cell r="A211">
            <v>271610</v>
          </cell>
        </row>
        <row r="212">
          <cell r="A212">
            <v>274688</v>
          </cell>
        </row>
        <row r="213">
          <cell r="A213">
            <v>274210</v>
          </cell>
        </row>
        <row r="214">
          <cell r="A214">
            <v>268188</v>
          </cell>
        </row>
        <row r="215">
          <cell r="A215">
            <v>261542</v>
          </cell>
        </row>
        <row r="216">
          <cell r="A216">
            <v>252409</v>
          </cell>
        </row>
        <row r="217">
          <cell r="A217">
            <v>249806</v>
          </cell>
        </row>
        <row r="218">
          <cell r="A218">
            <v>250630</v>
          </cell>
        </row>
        <row r="219">
          <cell r="A219">
            <v>238590</v>
          </cell>
        </row>
        <row r="220">
          <cell r="A220">
            <v>255034</v>
          </cell>
        </row>
        <row r="221">
          <cell r="A221">
            <v>258725</v>
          </cell>
        </row>
        <row r="222">
          <cell r="A222">
            <v>252114</v>
          </cell>
        </row>
        <row r="223">
          <cell r="A223">
            <v>257721</v>
          </cell>
        </row>
        <row r="224">
          <cell r="A224">
            <v>260156</v>
          </cell>
        </row>
        <row r="225">
          <cell r="A225">
            <v>260023</v>
          </cell>
        </row>
        <row r="226">
          <cell r="A226">
            <v>253649</v>
          </cell>
        </row>
        <row r="227">
          <cell r="A227">
            <v>246325</v>
          </cell>
        </row>
        <row r="228">
          <cell r="A228">
            <v>238895</v>
          </cell>
        </row>
        <row r="229">
          <cell r="A229">
            <v>236705</v>
          </cell>
        </row>
        <row r="230">
          <cell r="A230">
            <v>235049</v>
          </cell>
        </row>
        <row r="231">
          <cell r="A231">
            <v>224993</v>
          </cell>
        </row>
        <row r="232">
          <cell r="A232">
            <v>239674</v>
          </cell>
        </row>
        <row r="233">
          <cell r="A233">
            <v>238370</v>
          </cell>
        </row>
        <row r="234">
          <cell r="A234">
            <v>237240</v>
          </cell>
        </row>
        <row r="235">
          <cell r="A235">
            <v>242266</v>
          </cell>
        </row>
        <row r="236">
          <cell r="A236">
            <v>242405</v>
          </cell>
        </row>
        <row r="237">
          <cell r="A237">
            <v>240823</v>
          </cell>
        </row>
        <row r="238">
          <cell r="A238">
            <v>229610</v>
          </cell>
        </row>
        <row r="239">
          <cell r="A239">
            <v>222016</v>
          </cell>
        </row>
        <row r="240">
          <cell r="A240">
            <v>215225</v>
          </cell>
        </row>
        <row r="241">
          <cell r="A241">
            <v>215136</v>
          </cell>
        </row>
        <row r="242">
          <cell r="A242">
            <v>216248</v>
          </cell>
        </row>
        <row r="243">
          <cell r="A243">
            <v>207316</v>
          </cell>
        </row>
        <row r="244">
          <cell r="A244">
            <v>223159</v>
          </cell>
        </row>
        <row r="245">
          <cell r="A245">
            <v>221335</v>
          </cell>
        </row>
        <row r="246">
          <cell r="A246">
            <v>219897</v>
          </cell>
        </row>
        <row r="247">
          <cell r="A247">
            <v>225183</v>
          </cell>
        </row>
        <row r="248">
          <cell r="A248">
            <v>226843</v>
          </cell>
        </row>
        <row r="249">
          <cell r="A249">
            <v>223322</v>
          </cell>
        </row>
        <row r="250">
          <cell r="A250">
            <v>212617</v>
          </cell>
        </row>
        <row r="251">
          <cell r="A251">
            <v>201498</v>
          </cell>
        </row>
        <row r="252">
          <cell r="A252">
            <v>193129</v>
          </cell>
        </row>
        <row r="253">
          <cell r="A253">
            <v>192450</v>
          </cell>
        </row>
        <row r="254">
          <cell r="A254">
            <v>193863</v>
          </cell>
        </row>
        <row r="255">
          <cell r="A255">
            <v>184365</v>
          </cell>
        </row>
        <row r="256">
          <cell r="A256">
            <v>198229</v>
          </cell>
        </row>
        <row r="257">
          <cell r="A257">
            <v>201767</v>
          </cell>
        </row>
        <row r="258">
          <cell r="A258">
            <v>198299</v>
          </cell>
        </row>
        <row r="259">
          <cell r="A259">
            <v>202226</v>
          </cell>
        </row>
        <row r="260">
          <cell r="A260">
            <v>202647</v>
          </cell>
        </row>
        <row r="261">
          <cell r="A261">
            <v>200487</v>
          </cell>
        </row>
        <row r="262">
          <cell r="A262">
            <v>196196</v>
          </cell>
        </row>
        <row r="263">
          <cell r="A263">
            <v>188183</v>
          </cell>
        </row>
        <row r="264">
          <cell r="A264">
            <v>178922</v>
          </cell>
        </row>
        <row r="265">
          <cell r="A265">
            <v>178023</v>
          </cell>
        </row>
        <row r="266">
          <cell r="A266">
            <v>177716</v>
          </cell>
        </row>
        <row r="267">
          <cell r="A267">
            <v>173581</v>
          </cell>
        </row>
        <row r="268">
          <cell r="A268">
            <v>178530</v>
          </cell>
        </row>
        <row r="269">
          <cell r="A269">
            <v>178984</v>
          </cell>
        </row>
        <row r="270">
          <cell r="A270">
            <v>178569</v>
          </cell>
        </row>
        <row r="271">
          <cell r="A271">
            <v>186718</v>
          </cell>
        </row>
        <row r="272">
          <cell r="A272">
            <v>187939</v>
          </cell>
        </row>
        <row r="273">
          <cell r="A273">
            <v>188240</v>
          </cell>
        </row>
        <row r="274">
          <cell r="A274">
            <v>185040</v>
          </cell>
        </row>
        <row r="275">
          <cell r="A275">
            <v>179233</v>
          </cell>
        </row>
        <row r="276">
          <cell r="A276">
            <v>173090</v>
          </cell>
        </row>
        <row r="277">
          <cell r="A277">
            <v>170272</v>
          </cell>
        </row>
        <row r="278">
          <cell r="A278">
            <v>171749</v>
          </cell>
        </row>
        <row r="279">
          <cell r="A279">
            <v>166553</v>
          </cell>
        </row>
        <row r="280">
          <cell r="A280">
            <v>172162</v>
          </cell>
        </row>
        <row r="281">
          <cell r="A281">
            <v>168653</v>
          </cell>
        </row>
        <row r="282">
          <cell r="A282">
            <v>165041</v>
          </cell>
        </row>
        <row r="283">
          <cell r="A283">
            <v>171456</v>
          </cell>
        </row>
        <row r="284">
          <cell r="A284">
            <v>172517</v>
          </cell>
        </row>
        <row r="285">
          <cell r="A285">
            <v>171873</v>
          </cell>
        </row>
        <row r="286">
          <cell r="A286">
            <v>170186</v>
          </cell>
        </row>
        <row r="287">
          <cell r="A287">
            <v>167137</v>
          </cell>
        </row>
        <row r="288">
          <cell r="A288">
            <v>163325</v>
          </cell>
        </row>
        <row r="289">
          <cell r="A289">
            <v>163035</v>
          </cell>
        </row>
        <row r="290">
          <cell r="A290">
            <v>165147</v>
          </cell>
        </row>
        <row r="291">
          <cell r="A291">
            <v>163002</v>
          </cell>
        </row>
        <row r="292">
          <cell r="A292">
            <v>171837</v>
          </cell>
        </row>
        <row r="293">
          <cell r="A293">
            <v>170609</v>
          </cell>
        </row>
        <row r="294">
          <cell r="A294">
            <v>170311</v>
          </cell>
        </row>
        <row r="295">
          <cell r="A295">
            <v>177587</v>
          </cell>
        </row>
        <row r="296">
          <cell r="A296">
            <v>175741</v>
          </cell>
        </row>
        <row r="297">
          <cell r="A297">
            <v>188012</v>
          </cell>
        </row>
        <row r="298">
          <cell r="A298">
            <v>199019</v>
          </cell>
        </row>
        <row r="299">
          <cell r="A299">
            <v>193944</v>
          </cell>
        </row>
        <row r="300">
          <cell r="A300">
            <v>187732</v>
          </cell>
        </row>
        <row r="301">
          <cell r="A301">
            <v>186107</v>
          </cell>
        </row>
        <row r="302">
          <cell r="A302">
            <v>185775</v>
          </cell>
        </row>
        <row r="303">
          <cell r="A303">
            <v>178088</v>
          </cell>
        </row>
        <row r="304">
          <cell r="A304">
            <v>184314</v>
          </cell>
        </row>
        <row r="305">
          <cell r="A305">
            <v>182652</v>
          </cell>
        </row>
        <row r="306">
          <cell r="A306">
            <v>186273</v>
          </cell>
        </row>
        <row r="307">
          <cell r="A307">
            <v>192205</v>
          </cell>
        </row>
        <row r="308">
          <cell r="A308">
            <v>194990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Y122"/>
  <sheetViews>
    <sheetView tabSelected="1" topLeftCell="GG1" workbookViewId="0">
      <selection activeCell="HA3" sqref="HA3"/>
    </sheetView>
  </sheetViews>
  <sheetFormatPr baseColWidth="10" defaultRowHeight="15" x14ac:dyDescent="0.25"/>
  <cols>
    <col min="1" max="1" width="7.140625" style="1" bestFit="1" customWidth="1"/>
    <col min="2" max="4" width="7.7109375" style="1" bestFit="1" customWidth="1"/>
    <col min="5" max="5" width="8" style="1" bestFit="1" customWidth="1"/>
    <col min="6" max="6" width="7.7109375" style="1" bestFit="1" customWidth="1"/>
    <col min="7" max="7" width="8.28515625" style="1" bestFit="1" customWidth="1"/>
    <col min="8" max="8" width="7.7109375" style="1" bestFit="1" customWidth="1"/>
    <col min="9" max="9" width="7" style="1" bestFit="1" customWidth="1"/>
    <col min="10" max="10" width="7.85546875" style="1" bestFit="1" customWidth="1"/>
    <col min="11" max="11" width="7.5703125" style="1" bestFit="1" customWidth="1"/>
    <col min="12" max="16" width="7.7109375" style="1" bestFit="1" customWidth="1"/>
    <col min="17" max="17" width="8" style="1" bestFit="1" customWidth="1"/>
    <col min="18" max="18" width="7.7109375" style="1" bestFit="1" customWidth="1"/>
    <col min="19" max="19" width="8.28515625" style="1" bestFit="1" customWidth="1"/>
    <col min="20" max="20" width="7.28515625" style="1" bestFit="1" customWidth="1"/>
    <col min="21" max="21" width="7.7109375" style="1" bestFit="1" customWidth="1"/>
    <col min="22" max="22" width="7.85546875" style="1" bestFit="1" customWidth="1"/>
    <col min="23" max="25" width="7.7109375" style="1" bestFit="1" customWidth="1"/>
    <col min="26" max="26" width="7" style="1" bestFit="1" customWidth="1"/>
    <col min="27" max="27" width="7.5703125" style="1" bestFit="1" customWidth="1"/>
    <col min="28" max="28" width="7.28515625" style="1" bestFit="1" customWidth="1"/>
    <col min="29" max="30" width="8" style="1" bestFit="1" customWidth="1"/>
    <col min="31" max="31" width="8.28515625" style="1" bestFit="1" customWidth="1"/>
    <col min="32" max="42" width="8" style="1" bestFit="1" customWidth="1"/>
    <col min="43" max="43" width="8.28515625" style="1" bestFit="1" customWidth="1"/>
    <col min="44" max="54" width="8" style="1" bestFit="1" customWidth="1"/>
    <col min="55" max="55" width="8.28515625" style="1" bestFit="1" customWidth="1"/>
    <col min="56" max="60" width="8" style="1" bestFit="1" customWidth="1"/>
    <col min="61" max="64" width="7.7109375" style="1" bestFit="1" customWidth="1"/>
    <col min="65" max="65" width="8" style="1" bestFit="1" customWidth="1"/>
    <col min="66" max="67" width="8.28515625" style="1" bestFit="1" customWidth="1"/>
    <col min="68" max="69" width="7.7109375" style="1" bestFit="1" customWidth="1"/>
    <col min="70" max="70" width="7.85546875" style="1" bestFit="1" customWidth="1"/>
    <col min="71" max="76" width="7.7109375" style="1" bestFit="1" customWidth="1"/>
    <col min="77" max="77" width="8" style="1" bestFit="1" customWidth="1"/>
    <col min="78" max="78" width="7.7109375" style="1" bestFit="1" customWidth="1"/>
    <col min="79" max="79" width="8.28515625" style="1" bestFit="1" customWidth="1"/>
    <col min="80" max="81" width="7.7109375" style="1" bestFit="1" customWidth="1"/>
    <col min="82" max="82" width="7.85546875" style="1" bestFit="1" customWidth="1"/>
    <col min="83" max="83" width="8" style="1" bestFit="1" customWidth="1"/>
    <col min="84" max="85" width="7.7109375" style="1" bestFit="1" customWidth="1"/>
    <col min="86" max="90" width="8" style="1" bestFit="1" customWidth="1"/>
    <col min="91" max="91" width="8.28515625" style="1" bestFit="1" customWidth="1"/>
    <col min="92" max="93" width="7.7109375" style="1" bestFit="1" customWidth="1"/>
    <col min="94" max="94" width="8" style="1" bestFit="1" customWidth="1"/>
    <col min="95" max="97" width="7.7109375" style="1" bestFit="1" customWidth="1"/>
    <col min="98" max="98" width="8" style="1" bestFit="1" customWidth="1"/>
    <col min="99" max="100" width="7.7109375" style="1" bestFit="1" customWidth="1"/>
    <col min="101" max="101" width="8" style="1" bestFit="1" customWidth="1"/>
    <col min="102" max="102" width="7.7109375" style="1" bestFit="1" customWidth="1"/>
    <col min="103" max="103" width="8.28515625" style="1" bestFit="1" customWidth="1"/>
    <col min="104" max="105" width="7.7109375" style="1" bestFit="1" customWidth="1"/>
    <col min="106" max="106" width="7.85546875" style="1" bestFit="1" customWidth="1"/>
    <col min="107" max="112" width="7.7109375" style="1" bestFit="1" customWidth="1"/>
    <col min="113" max="113" width="8" style="1" bestFit="1" customWidth="1"/>
    <col min="114" max="114" width="7.5703125" style="1" bestFit="1" customWidth="1"/>
    <col min="115" max="115" width="8.28515625" style="1" bestFit="1" customWidth="1"/>
    <col min="116" max="117" width="7.5703125" style="1" bestFit="1" customWidth="1"/>
    <col min="118" max="118" width="7.85546875" style="1" bestFit="1" customWidth="1"/>
    <col min="119" max="120" width="7.5703125" style="1" bestFit="1" customWidth="1"/>
    <col min="121" max="121" width="7.7109375" style="1" bestFit="1" customWidth="1"/>
    <col min="122" max="124" width="7.5703125" style="1" bestFit="1" customWidth="1"/>
    <col min="125" max="125" width="8" style="1" bestFit="1" customWidth="1"/>
    <col min="126" max="126" width="7.5703125" style="1" bestFit="1" customWidth="1"/>
    <col min="127" max="127" width="8.28515625" style="1" bestFit="1" customWidth="1"/>
    <col min="128" max="129" width="7.5703125" style="1" bestFit="1" customWidth="1"/>
    <col min="130" max="130" width="7.85546875" style="1" bestFit="1" customWidth="1"/>
    <col min="131" max="132" width="7.5703125" style="1" bestFit="1" customWidth="1"/>
    <col min="133" max="133" width="7.7109375" style="1" bestFit="1" customWidth="1"/>
    <col min="134" max="136" width="7.5703125" style="1" bestFit="1" customWidth="1"/>
    <col min="137" max="137" width="8" style="1" bestFit="1" customWidth="1"/>
    <col min="138" max="138" width="7.5703125" style="1" bestFit="1" customWidth="1"/>
    <col min="139" max="139" width="8.28515625" style="1" bestFit="1" customWidth="1"/>
    <col min="140" max="141" width="7.5703125" style="1" bestFit="1" customWidth="1"/>
    <col min="142" max="142" width="7.85546875" style="1" bestFit="1" customWidth="1"/>
    <col min="143" max="144" width="7.5703125" style="1" bestFit="1" customWidth="1"/>
    <col min="145" max="145" width="7.7109375" style="1" bestFit="1" customWidth="1"/>
    <col min="146" max="148" width="7.5703125" style="1" bestFit="1" customWidth="1"/>
    <col min="149" max="149" width="7.85546875" style="1" bestFit="1" customWidth="1"/>
    <col min="150" max="150" width="7.28515625" style="1" bestFit="1" customWidth="1"/>
    <col min="151" max="151" width="8.140625" style="1" bestFit="1" customWidth="1"/>
    <col min="152" max="268" width="9.140625" style="1" customWidth="1"/>
    <col min="269" max="269" width="7.140625" style="1" bestFit="1" customWidth="1"/>
    <col min="270" max="270" width="8.5703125" style="1" bestFit="1" customWidth="1"/>
    <col min="271" max="271" width="9.140625" style="1" bestFit="1" customWidth="1"/>
    <col min="272" max="272" width="7.140625" style="1" bestFit="1" customWidth="1"/>
    <col min="273" max="273" width="17.85546875" style="1" bestFit="1" customWidth="1"/>
    <col min="274" max="274" width="7.140625" style="1" bestFit="1" customWidth="1"/>
    <col min="275" max="336" width="9" style="1" customWidth="1"/>
  </cols>
  <sheetData>
    <row r="1" spans="1:337" x14ac:dyDescent="0.25">
      <c r="B1" s="1">
        <v>96</v>
      </c>
      <c r="C1" s="1">
        <v>97</v>
      </c>
      <c r="D1" s="1">
        <v>98</v>
      </c>
      <c r="E1" s="1">
        <v>99</v>
      </c>
      <c r="F1" s="1">
        <v>100</v>
      </c>
      <c r="G1" s="1">
        <v>101</v>
      </c>
      <c r="H1" s="1">
        <v>102</v>
      </c>
      <c r="I1" s="1">
        <v>103</v>
      </c>
      <c r="J1" s="1">
        <v>104</v>
      </c>
      <c r="K1" s="1">
        <v>105</v>
      </c>
      <c r="L1" s="1">
        <v>106</v>
      </c>
      <c r="M1" s="1">
        <v>107</v>
      </c>
      <c r="N1" s="1">
        <v>108</v>
      </c>
      <c r="O1" s="1">
        <v>109</v>
      </c>
      <c r="P1" s="1">
        <v>110</v>
      </c>
      <c r="Q1" s="1">
        <v>111</v>
      </c>
      <c r="R1" s="1">
        <v>112</v>
      </c>
      <c r="S1" s="1">
        <v>113</v>
      </c>
      <c r="T1" s="1">
        <v>114</v>
      </c>
      <c r="U1" s="1">
        <v>115</v>
      </c>
      <c r="V1" s="1">
        <v>116</v>
      </c>
      <c r="W1" s="1">
        <v>117</v>
      </c>
      <c r="X1" s="1">
        <v>118</v>
      </c>
      <c r="Y1" s="1">
        <v>119</v>
      </c>
      <c r="Z1" s="1">
        <v>120</v>
      </c>
      <c r="AA1" s="1">
        <v>121</v>
      </c>
      <c r="AB1" s="1">
        <v>122</v>
      </c>
      <c r="AC1" s="1">
        <v>123</v>
      </c>
      <c r="AD1" s="1">
        <v>124</v>
      </c>
      <c r="AE1" s="1">
        <v>125</v>
      </c>
      <c r="AF1" s="1">
        <v>126</v>
      </c>
      <c r="AG1" s="1">
        <v>127</v>
      </c>
      <c r="AH1" s="1">
        <v>128</v>
      </c>
      <c r="AI1" s="1">
        <v>129</v>
      </c>
      <c r="AJ1" s="1">
        <v>130</v>
      </c>
      <c r="AK1" s="1">
        <v>131</v>
      </c>
      <c r="AL1" s="1">
        <v>132</v>
      </c>
      <c r="AM1" s="1">
        <v>133</v>
      </c>
      <c r="AN1" s="1">
        <v>134</v>
      </c>
      <c r="AO1" s="1">
        <v>135</v>
      </c>
      <c r="AP1" s="1">
        <v>136</v>
      </c>
      <c r="AQ1" s="1">
        <v>137</v>
      </c>
      <c r="AR1" s="1">
        <v>138</v>
      </c>
      <c r="AS1" s="1">
        <v>139</v>
      </c>
      <c r="AT1" s="1">
        <v>140</v>
      </c>
      <c r="AU1" s="1">
        <v>141</v>
      </c>
      <c r="AV1" s="1">
        <v>142</v>
      </c>
      <c r="AW1" s="1">
        <v>143</v>
      </c>
      <c r="AX1" s="1">
        <v>144</v>
      </c>
      <c r="AY1" s="1">
        <v>145</v>
      </c>
      <c r="AZ1" s="1">
        <v>146</v>
      </c>
      <c r="BA1" s="1">
        <v>147</v>
      </c>
      <c r="BB1" s="1">
        <v>148</v>
      </c>
      <c r="BC1" s="1">
        <v>149</v>
      </c>
      <c r="BD1" s="1">
        <v>150</v>
      </c>
      <c r="BE1" s="1">
        <v>151</v>
      </c>
      <c r="BF1" s="1">
        <v>152</v>
      </c>
      <c r="BG1" s="1">
        <v>153</v>
      </c>
      <c r="BH1" s="1">
        <v>154</v>
      </c>
      <c r="BI1" s="1">
        <v>155</v>
      </c>
      <c r="BJ1" s="1">
        <v>156</v>
      </c>
      <c r="BK1" s="1">
        <v>157</v>
      </c>
      <c r="BL1" s="1">
        <v>158</v>
      </c>
      <c r="BM1" s="1">
        <v>159</v>
      </c>
      <c r="BN1" s="1">
        <v>160</v>
      </c>
      <c r="BO1" s="1">
        <v>161</v>
      </c>
      <c r="BP1" s="1">
        <v>162</v>
      </c>
      <c r="BQ1" s="1">
        <v>163</v>
      </c>
      <c r="BR1" s="1">
        <v>164</v>
      </c>
      <c r="BS1" s="1">
        <v>165</v>
      </c>
      <c r="BT1" s="1">
        <v>166</v>
      </c>
      <c r="BU1" s="1">
        <v>167</v>
      </c>
      <c r="BV1" s="1">
        <v>168</v>
      </c>
      <c r="BW1" s="1">
        <v>169</v>
      </c>
      <c r="BX1" s="1">
        <v>170</v>
      </c>
      <c r="BY1" s="1">
        <v>171</v>
      </c>
      <c r="BZ1" s="1">
        <v>172</v>
      </c>
      <c r="CA1" s="1">
        <v>173</v>
      </c>
      <c r="CB1" s="1">
        <v>174</v>
      </c>
      <c r="CC1" s="1">
        <v>175</v>
      </c>
      <c r="CD1" s="1">
        <v>176</v>
      </c>
      <c r="CE1" s="1">
        <v>177</v>
      </c>
      <c r="CF1" s="1">
        <v>178</v>
      </c>
      <c r="CG1" s="1">
        <v>179</v>
      </c>
      <c r="CH1" s="1">
        <v>180</v>
      </c>
      <c r="CI1" s="1">
        <v>181</v>
      </c>
      <c r="CJ1" s="1">
        <v>182</v>
      </c>
      <c r="CK1" s="1">
        <v>183</v>
      </c>
      <c r="CL1" s="1">
        <v>184</v>
      </c>
      <c r="CM1" s="1">
        <v>185</v>
      </c>
      <c r="CN1" s="1">
        <v>186</v>
      </c>
      <c r="CO1" s="1">
        <v>187</v>
      </c>
      <c r="CP1" s="1">
        <v>188</v>
      </c>
      <c r="CQ1" s="1">
        <v>189</v>
      </c>
      <c r="CR1" s="1">
        <v>190</v>
      </c>
      <c r="CS1" s="1">
        <v>191</v>
      </c>
      <c r="CT1" s="1">
        <v>192</v>
      </c>
      <c r="CU1" s="1">
        <v>193</v>
      </c>
      <c r="CV1" s="1">
        <v>194</v>
      </c>
      <c r="CW1" s="1">
        <v>195</v>
      </c>
      <c r="CX1" s="1">
        <v>196</v>
      </c>
      <c r="CY1" s="1">
        <v>197</v>
      </c>
      <c r="CZ1" s="1">
        <v>198</v>
      </c>
      <c r="DA1" s="1">
        <v>199</v>
      </c>
      <c r="DB1" s="1">
        <v>200</v>
      </c>
      <c r="DC1" s="1">
        <v>201</v>
      </c>
      <c r="DD1" s="1">
        <v>202</v>
      </c>
      <c r="DE1" s="1">
        <v>203</v>
      </c>
      <c r="DF1" s="1">
        <v>204</v>
      </c>
      <c r="DG1" s="1">
        <v>205</v>
      </c>
      <c r="DH1" s="1">
        <v>206</v>
      </c>
      <c r="DI1" s="1">
        <v>207</v>
      </c>
      <c r="DJ1" s="1">
        <v>208</v>
      </c>
      <c r="DK1" s="1">
        <v>209</v>
      </c>
      <c r="DL1" s="1">
        <v>210</v>
      </c>
      <c r="DM1" s="1">
        <v>211</v>
      </c>
      <c r="DN1" s="1">
        <v>212</v>
      </c>
      <c r="DO1" s="1">
        <v>213</v>
      </c>
      <c r="DP1" s="1">
        <v>214</v>
      </c>
      <c r="DQ1" s="1">
        <v>215</v>
      </c>
      <c r="DR1" s="1">
        <v>216</v>
      </c>
      <c r="DS1" s="1">
        <v>217</v>
      </c>
      <c r="DT1" s="1">
        <v>218</v>
      </c>
      <c r="DU1" s="1">
        <v>219</v>
      </c>
      <c r="DV1" s="1">
        <v>220</v>
      </c>
      <c r="DW1" s="1">
        <v>221</v>
      </c>
      <c r="DX1" s="1">
        <v>222</v>
      </c>
      <c r="DY1" s="1">
        <v>223</v>
      </c>
      <c r="DZ1" s="1">
        <v>224</v>
      </c>
      <c r="EA1" s="1">
        <v>225</v>
      </c>
      <c r="EB1" s="1">
        <v>226</v>
      </c>
      <c r="EC1" s="1">
        <v>227</v>
      </c>
      <c r="ED1" s="1">
        <v>228</v>
      </c>
      <c r="EE1" s="1">
        <v>229</v>
      </c>
      <c r="EF1" s="1">
        <v>230</v>
      </c>
      <c r="EG1" s="1">
        <v>231</v>
      </c>
      <c r="EH1" s="1">
        <v>232</v>
      </c>
      <c r="EI1" s="1">
        <v>233</v>
      </c>
      <c r="EJ1" s="1">
        <v>234</v>
      </c>
      <c r="EK1" s="1">
        <v>235</v>
      </c>
      <c r="EL1" s="1">
        <v>236</v>
      </c>
      <c r="EM1" s="1">
        <v>237</v>
      </c>
      <c r="EN1" s="1">
        <v>238</v>
      </c>
      <c r="EO1" s="1">
        <v>239</v>
      </c>
      <c r="EP1" s="1">
        <v>240</v>
      </c>
      <c r="EQ1" s="1">
        <v>241</v>
      </c>
      <c r="ER1" s="1">
        <v>242</v>
      </c>
      <c r="ES1" s="1">
        <v>243</v>
      </c>
      <c r="ET1" s="1">
        <v>244</v>
      </c>
      <c r="EU1" s="1">
        <v>245</v>
      </c>
      <c r="EV1" s="1">
        <v>246</v>
      </c>
      <c r="EW1" s="1">
        <v>247</v>
      </c>
      <c r="EX1" s="1">
        <v>248</v>
      </c>
      <c r="EY1" s="1">
        <v>249</v>
      </c>
      <c r="EZ1" s="1">
        <v>250</v>
      </c>
      <c r="FA1" s="1">
        <v>251</v>
      </c>
      <c r="FB1" s="1">
        <v>252</v>
      </c>
      <c r="FC1" s="1">
        <v>253</v>
      </c>
      <c r="FD1" s="1">
        <v>254</v>
      </c>
      <c r="FE1" s="1">
        <v>255</v>
      </c>
      <c r="FF1" s="1">
        <v>256</v>
      </c>
      <c r="FG1" s="1">
        <v>257</v>
      </c>
      <c r="FH1" s="1">
        <v>258</v>
      </c>
      <c r="FI1" s="1">
        <v>259</v>
      </c>
      <c r="FJ1" s="1">
        <v>260</v>
      </c>
      <c r="FK1" s="1">
        <v>261</v>
      </c>
      <c r="FL1" s="1">
        <v>262</v>
      </c>
      <c r="FM1" s="1">
        <v>263</v>
      </c>
      <c r="FN1" s="1">
        <v>264</v>
      </c>
      <c r="FO1" s="1">
        <v>265</v>
      </c>
      <c r="FP1" s="1">
        <v>266</v>
      </c>
      <c r="FQ1" s="1">
        <v>267</v>
      </c>
      <c r="FR1" s="1">
        <v>268</v>
      </c>
      <c r="FS1" s="1">
        <v>269</v>
      </c>
      <c r="FT1" s="1">
        <v>270</v>
      </c>
      <c r="FU1" s="1">
        <v>271</v>
      </c>
      <c r="FV1" s="1">
        <v>272</v>
      </c>
      <c r="FW1" s="1">
        <v>273</v>
      </c>
      <c r="FX1" s="1">
        <v>274</v>
      </c>
      <c r="FY1" s="1">
        <v>275</v>
      </c>
      <c r="FZ1" s="1">
        <v>276</v>
      </c>
      <c r="GA1" s="1">
        <v>277</v>
      </c>
      <c r="GB1" s="1">
        <v>278</v>
      </c>
      <c r="GC1" s="1">
        <v>279</v>
      </c>
      <c r="GD1" s="1">
        <v>280</v>
      </c>
      <c r="GE1" s="1">
        <v>281</v>
      </c>
      <c r="GF1" s="1">
        <v>282</v>
      </c>
      <c r="GG1" s="1">
        <v>283</v>
      </c>
      <c r="GH1" s="1">
        <v>284</v>
      </c>
      <c r="GI1" s="1">
        <v>285</v>
      </c>
      <c r="GJ1" s="1">
        <v>286</v>
      </c>
      <c r="GK1" s="1">
        <v>287</v>
      </c>
      <c r="GL1" s="1">
        <v>288</v>
      </c>
      <c r="GM1" s="1">
        <v>289</v>
      </c>
      <c r="GN1" s="1">
        <v>290</v>
      </c>
      <c r="GO1" s="1">
        <v>291</v>
      </c>
      <c r="GP1" s="1">
        <v>292</v>
      </c>
      <c r="GQ1" s="1">
        <v>293</v>
      </c>
      <c r="GR1" s="1">
        <v>294</v>
      </c>
      <c r="GS1" s="1">
        <v>295</v>
      </c>
      <c r="GT1" s="1">
        <v>296</v>
      </c>
      <c r="GU1" s="1">
        <v>297</v>
      </c>
      <c r="GV1" s="1">
        <v>298</v>
      </c>
      <c r="GW1" s="1">
        <v>299</v>
      </c>
      <c r="GX1" s="1">
        <v>300</v>
      </c>
      <c r="GY1" s="1">
        <v>301</v>
      </c>
      <c r="GZ1" s="1">
        <v>302</v>
      </c>
      <c r="HA1" s="1">
        <v>303</v>
      </c>
      <c r="HB1" s="1">
        <v>304</v>
      </c>
      <c r="HC1" s="1">
        <v>305</v>
      </c>
      <c r="HD1" s="1">
        <v>306</v>
      </c>
      <c r="HE1" s="1">
        <v>307</v>
      </c>
      <c r="HF1" s="1">
        <v>308</v>
      </c>
      <c r="HG1" s="1">
        <v>309</v>
      </c>
      <c r="HH1" s="1">
        <v>310</v>
      </c>
      <c r="HI1" s="1">
        <v>311</v>
      </c>
      <c r="HJ1" s="1">
        <v>312</v>
      </c>
      <c r="HK1" s="1">
        <v>313</v>
      </c>
      <c r="HL1" s="1">
        <v>314</v>
      </c>
      <c r="HM1" s="1">
        <v>315</v>
      </c>
      <c r="HN1" s="1">
        <v>316</v>
      </c>
      <c r="HO1" s="1">
        <v>317</v>
      </c>
      <c r="HP1" s="1">
        <v>318</v>
      </c>
      <c r="HQ1" s="1">
        <v>319</v>
      </c>
      <c r="HR1" s="1">
        <v>320</v>
      </c>
      <c r="HS1" s="1">
        <v>321</v>
      </c>
      <c r="HT1" s="1">
        <v>322</v>
      </c>
      <c r="HU1" s="1">
        <v>323</v>
      </c>
      <c r="HV1" s="1">
        <v>324</v>
      </c>
      <c r="HW1" s="1">
        <v>325</v>
      </c>
      <c r="HX1" s="1">
        <v>326</v>
      </c>
      <c r="HY1" s="1">
        <v>327</v>
      </c>
      <c r="HZ1" s="1">
        <v>328</v>
      </c>
      <c r="IA1" s="1">
        <v>329</v>
      </c>
      <c r="IB1" s="1">
        <v>330</v>
      </c>
      <c r="IC1" s="1">
        <v>331</v>
      </c>
      <c r="ID1" s="1">
        <v>332</v>
      </c>
      <c r="IE1" s="1">
        <v>333</v>
      </c>
      <c r="IF1" s="1">
        <v>334</v>
      </c>
      <c r="IG1" s="1">
        <v>335</v>
      </c>
      <c r="IH1" s="1">
        <v>336</v>
      </c>
      <c r="II1" s="1">
        <v>337</v>
      </c>
      <c r="IJ1" s="1">
        <v>338</v>
      </c>
      <c r="IK1" s="1">
        <v>339</v>
      </c>
      <c r="IL1" s="1">
        <v>340</v>
      </c>
      <c r="IM1" s="1">
        <v>341</v>
      </c>
      <c r="IN1" s="1">
        <v>342</v>
      </c>
      <c r="IO1" s="1">
        <v>343</v>
      </c>
      <c r="IP1" s="1">
        <v>344</v>
      </c>
      <c r="IQ1" s="1">
        <v>345</v>
      </c>
      <c r="IR1" s="1">
        <v>346</v>
      </c>
      <c r="IS1" s="1">
        <v>347</v>
      </c>
      <c r="IT1" s="1">
        <v>348</v>
      </c>
      <c r="IU1" s="1">
        <v>349</v>
      </c>
      <c r="IV1" s="1">
        <v>350</v>
      </c>
      <c r="IW1" s="1">
        <v>351</v>
      </c>
      <c r="IX1" s="1">
        <v>352</v>
      </c>
      <c r="IY1" s="1">
        <v>353</v>
      </c>
      <c r="IZ1" s="1">
        <v>354</v>
      </c>
      <c r="JA1" s="1">
        <v>355</v>
      </c>
      <c r="JB1" s="1">
        <v>356</v>
      </c>
      <c r="JC1" s="1">
        <v>357</v>
      </c>
      <c r="JD1" s="1">
        <v>358</v>
      </c>
      <c r="JE1" s="1">
        <v>359</v>
      </c>
      <c r="JF1" s="1">
        <v>360</v>
      </c>
      <c r="JG1" s="1">
        <v>361</v>
      </c>
      <c r="JH1" s="1">
        <v>362</v>
      </c>
    </row>
    <row r="2" spans="1:337" x14ac:dyDescent="0.25">
      <c r="A2" s="3" t="s">
        <v>2</v>
      </c>
      <c r="B2" s="7">
        <v>37986</v>
      </c>
      <c r="C2" s="7">
        <v>38017</v>
      </c>
      <c r="D2" s="7">
        <v>38046</v>
      </c>
      <c r="E2" s="7">
        <v>38077</v>
      </c>
      <c r="F2" s="7">
        <v>38107</v>
      </c>
      <c r="G2" s="7">
        <v>38138</v>
      </c>
      <c r="H2" s="7">
        <v>38168</v>
      </c>
      <c r="I2" s="7">
        <v>38199</v>
      </c>
      <c r="J2" s="7">
        <v>38230</v>
      </c>
      <c r="K2" s="7">
        <v>38260</v>
      </c>
      <c r="L2" s="7">
        <v>38291</v>
      </c>
      <c r="M2" s="7">
        <v>38321</v>
      </c>
      <c r="N2" s="7">
        <v>38352</v>
      </c>
      <c r="O2" s="7">
        <v>38383</v>
      </c>
      <c r="P2" s="7">
        <v>38411</v>
      </c>
      <c r="Q2" s="7">
        <v>38442</v>
      </c>
      <c r="R2" s="7">
        <v>38472</v>
      </c>
      <c r="S2" s="7">
        <v>38503</v>
      </c>
      <c r="T2" s="7">
        <v>38533</v>
      </c>
      <c r="U2" s="7">
        <v>38564</v>
      </c>
      <c r="V2" s="7">
        <v>38595</v>
      </c>
      <c r="W2" s="7">
        <v>38625</v>
      </c>
      <c r="X2" s="7">
        <v>38656</v>
      </c>
      <c r="Y2" s="7">
        <v>38686</v>
      </c>
      <c r="Z2" s="7">
        <v>38717</v>
      </c>
      <c r="AA2" s="7">
        <v>38748</v>
      </c>
      <c r="AB2" s="7">
        <v>38776</v>
      </c>
      <c r="AC2" s="7">
        <v>38807</v>
      </c>
      <c r="AD2" s="7">
        <v>38837</v>
      </c>
      <c r="AE2" s="7">
        <v>38868</v>
      </c>
      <c r="AF2" s="7">
        <v>38898</v>
      </c>
      <c r="AG2" s="7">
        <v>38929</v>
      </c>
      <c r="AH2" s="7">
        <v>38960</v>
      </c>
      <c r="AI2" s="7">
        <v>38990</v>
      </c>
      <c r="AJ2" s="7">
        <v>39021</v>
      </c>
      <c r="AK2" s="7">
        <v>39051</v>
      </c>
      <c r="AL2" s="7">
        <v>39082</v>
      </c>
      <c r="AM2" s="7">
        <v>39113</v>
      </c>
      <c r="AN2" s="7">
        <v>39141</v>
      </c>
      <c r="AO2" s="7">
        <v>39172</v>
      </c>
      <c r="AP2" s="7">
        <v>39202</v>
      </c>
      <c r="AQ2" s="7">
        <v>39233</v>
      </c>
      <c r="AR2" s="7">
        <v>39263</v>
      </c>
      <c r="AS2" s="7">
        <v>39294</v>
      </c>
      <c r="AT2" s="7">
        <v>39325</v>
      </c>
      <c r="AU2" s="7">
        <v>39355</v>
      </c>
      <c r="AV2" s="7">
        <v>39386</v>
      </c>
      <c r="AW2" s="7">
        <v>39416</v>
      </c>
      <c r="AX2" s="7">
        <v>39447</v>
      </c>
      <c r="AY2" s="7">
        <v>39478</v>
      </c>
      <c r="AZ2" s="7">
        <v>39507</v>
      </c>
      <c r="BA2" s="7">
        <v>39538</v>
      </c>
      <c r="BB2" s="7">
        <v>39568</v>
      </c>
      <c r="BC2" s="7">
        <v>39599</v>
      </c>
      <c r="BD2" s="7">
        <v>39629</v>
      </c>
      <c r="BE2" s="7">
        <v>39660</v>
      </c>
      <c r="BF2" s="7">
        <v>39691</v>
      </c>
      <c r="BG2" s="7">
        <v>39721</v>
      </c>
      <c r="BH2" s="7">
        <v>39752</v>
      </c>
      <c r="BI2" s="7">
        <v>39782</v>
      </c>
      <c r="BJ2" s="7">
        <v>39813</v>
      </c>
      <c r="BK2" s="7">
        <v>39844</v>
      </c>
      <c r="BL2" s="7">
        <v>39872</v>
      </c>
      <c r="BM2" s="7">
        <v>39903</v>
      </c>
      <c r="BN2" s="7">
        <v>39933</v>
      </c>
      <c r="BO2" s="7">
        <v>39964</v>
      </c>
      <c r="BP2" s="7">
        <v>39994</v>
      </c>
      <c r="BQ2" s="7">
        <v>40025</v>
      </c>
      <c r="BR2" s="7">
        <v>40056</v>
      </c>
      <c r="BS2" s="7">
        <v>40086</v>
      </c>
      <c r="BT2" s="7">
        <v>40117</v>
      </c>
      <c r="BU2" s="7">
        <v>40147</v>
      </c>
      <c r="BV2" s="7">
        <v>40178</v>
      </c>
      <c r="BW2" s="7">
        <v>40209</v>
      </c>
      <c r="BX2" s="7">
        <v>40237</v>
      </c>
      <c r="BY2" s="7">
        <v>40268</v>
      </c>
      <c r="BZ2" s="7">
        <v>40298</v>
      </c>
      <c r="CA2" s="7">
        <v>40329</v>
      </c>
      <c r="CB2" s="7">
        <v>40359</v>
      </c>
      <c r="CC2" s="7">
        <v>40390</v>
      </c>
      <c r="CD2" s="7">
        <v>40421</v>
      </c>
      <c r="CE2" s="7">
        <v>40451</v>
      </c>
      <c r="CF2" s="7">
        <v>40482</v>
      </c>
      <c r="CG2" s="7">
        <v>40512</v>
      </c>
      <c r="CH2" s="7">
        <v>40543</v>
      </c>
      <c r="CI2" s="7">
        <v>40574</v>
      </c>
      <c r="CJ2" s="7">
        <v>40602</v>
      </c>
      <c r="CK2" s="7">
        <v>40633</v>
      </c>
      <c r="CL2" s="7">
        <v>40663</v>
      </c>
      <c r="CM2" s="7">
        <v>40694</v>
      </c>
      <c r="CN2" s="7">
        <v>40724</v>
      </c>
      <c r="CO2" s="7">
        <v>40755</v>
      </c>
      <c r="CP2" s="7">
        <v>40786</v>
      </c>
      <c r="CQ2" s="7">
        <v>40816</v>
      </c>
      <c r="CR2" s="7">
        <v>40847</v>
      </c>
      <c r="CS2" s="7">
        <v>40877</v>
      </c>
      <c r="CT2" s="7">
        <v>40908</v>
      </c>
      <c r="CU2" s="7">
        <v>40939</v>
      </c>
      <c r="CV2" s="8">
        <v>40968</v>
      </c>
      <c r="CW2" s="7">
        <v>40999</v>
      </c>
      <c r="CX2" s="7">
        <v>41029</v>
      </c>
      <c r="CY2" s="7">
        <v>41060</v>
      </c>
      <c r="CZ2" s="7">
        <v>41090</v>
      </c>
      <c r="DA2" s="7">
        <v>41121</v>
      </c>
      <c r="DB2" s="7">
        <v>41152</v>
      </c>
      <c r="DC2" s="7">
        <v>41182</v>
      </c>
      <c r="DD2" s="7">
        <v>41213</v>
      </c>
      <c r="DE2" s="7">
        <v>41243</v>
      </c>
      <c r="DF2" s="7">
        <v>41274</v>
      </c>
      <c r="DG2" s="7">
        <v>41305</v>
      </c>
      <c r="DH2" s="7">
        <v>41333</v>
      </c>
      <c r="DI2" s="7">
        <v>41364</v>
      </c>
      <c r="DJ2" s="7">
        <v>41394</v>
      </c>
      <c r="DK2" s="7">
        <v>41425</v>
      </c>
      <c r="DL2" s="7">
        <v>41455</v>
      </c>
      <c r="DM2" s="7">
        <v>41486</v>
      </c>
      <c r="DN2" s="7">
        <v>41517</v>
      </c>
      <c r="DO2" s="7">
        <v>41547</v>
      </c>
      <c r="DP2" s="7">
        <v>41578</v>
      </c>
      <c r="DQ2" s="7">
        <v>41608</v>
      </c>
      <c r="DR2" s="7">
        <v>41639</v>
      </c>
      <c r="DS2" s="7">
        <v>41670</v>
      </c>
      <c r="DT2" s="7">
        <v>41698</v>
      </c>
      <c r="DU2" s="7">
        <v>41729</v>
      </c>
      <c r="DV2" s="7">
        <v>41759</v>
      </c>
      <c r="DW2" s="7">
        <v>41790</v>
      </c>
      <c r="DX2" s="7">
        <v>41820</v>
      </c>
      <c r="DY2" s="7">
        <v>41851</v>
      </c>
      <c r="DZ2" s="7">
        <v>41882</v>
      </c>
      <c r="EA2" s="7">
        <v>41912</v>
      </c>
      <c r="EB2" s="7">
        <v>41943</v>
      </c>
      <c r="EC2" s="7">
        <v>41973</v>
      </c>
      <c r="ED2" s="7">
        <v>42004</v>
      </c>
      <c r="EE2" s="7">
        <v>42035</v>
      </c>
      <c r="EF2" s="7">
        <v>42063</v>
      </c>
      <c r="EG2" s="7">
        <v>42094</v>
      </c>
      <c r="EH2" s="7">
        <v>42124</v>
      </c>
      <c r="EI2" s="7">
        <v>42155</v>
      </c>
      <c r="EJ2" s="7">
        <v>42185</v>
      </c>
      <c r="EK2" s="7">
        <v>42216</v>
      </c>
      <c r="EL2" s="7">
        <v>42247</v>
      </c>
      <c r="EM2" s="7">
        <v>42277</v>
      </c>
      <c r="EN2" s="7">
        <v>42308</v>
      </c>
      <c r="EO2" s="7">
        <v>42338</v>
      </c>
      <c r="EP2" s="7">
        <v>42369</v>
      </c>
      <c r="EQ2" s="7">
        <v>42400</v>
      </c>
      <c r="ER2" s="7">
        <v>42429</v>
      </c>
      <c r="ES2" s="7">
        <v>42460</v>
      </c>
      <c r="ET2" s="7">
        <v>42490</v>
      </c>
      <c r="EU2" s="7">
        <v>42521</v>
      </c>
      <c r="EV2" s="7">
        <v>42551</v>
      </c>
      <c r="EW2" s="7">
        <v>42582</v>
      </c>
      <c r="EX2" s="7">
        <v>42613</v>
      </c>
      <c r="EY2" s="7">
        <v>42643</v>
      </c>
      <c r="EZ2" s="7">
        <v>42674</v>
      </c>
      <c r="FA2" s="7">
        <v>42704</v>
      </c>
      <c r="FB2" s="7">
        <v>42735</v>
      </c>
      <c r="FC2" s="7">
        <v>42766</v>
      </c>
      <c r="FD2" s="7">
        <v>42794</v>
      </c>
      <c r="FE2" s="7">
        <v>42825</v>
      </c>
      <c r="FF2" s="7">
        <v>42855</v>
      </c>
      <c r="FG2" s="7">
        <v>42886</v>
      </c>
      <c r="FH2" s="7">
        <v>42916</v>
      </c>
      <c r="FI2" s="7">
        <v>42947</v>
      </c>
      <c r="FJ2" s="7">
        <v>42978</v>
      </c>
      <c r="FK2" s="7">
        <v>43008</v>
      </c>
      <c r="FL2" s="7">
        <v>43039</v>
      </c>
      <c r="FM2" s="7">
        <v>43069</v>
      </c>
      <c r="FN2" s="7">
        <v>43100</v>
      </c>
      <c r="FO2" s="7">
        <v>43131</v>
      </c>
      <c r="FP2" s="7">
        <v>43159</v>
      </c>
      <c r="FQ2" s="7">
        <v>43190</v>
      </c>
      <c r="FR2" s="7">
        <v>43220</v>
      </c>
      <c r="FS2" s="7">
        <v>43251</v>
      </c>
      <c r="FT2" s="7">
        <v>43281</v>
      </c>
      <c r="FU2" s="7">
        <v>43312</v>
      </c>
      <c r="FV2" s="7">
        <v>43343</v>
      </c>
      <c r="FW2" s="7">
        <v>43373</v>
      </c>
      <c r="FX2" s="7">
        <v>43404</v>
      </c>
      <c r="FY2" s="7">
        <v>43434</v>
      </c>
      <c r="FZ2" s="7">
        <v>43465</v>
      </c>
      <c r="GA2" s="7">
        <v>43496</v>
      </c>
      <c r="GB2" s="7">
        <v>43524</v>
      </c>
      <c r="GC2" s="7">
        <v>43555</v>
      </c>
      <c r="GD2" s="7">
        <v>43585</v>
      </c>
      <c r="GE2" s="7">
        <v>43616</v>
      </c>
      <c r="GF2" s="7">
        <v>43646</v>
      </c>
      <c r="GG2" s="7">
        <v>43677</v>
      </c>
      <c r="GH2" s="7">
        <v>43708</v>
      </c>
      <c r="GI2" s="7">
        <v>43738</v>
      </c>
      <c r="GJ2" s="7">
        <v>43769</v>
      </c>
      <c r="GK2" s="7">
        <v>43799</v>
      </c>
      <c r="GL2" s="7">
        <v>43830</v>
      </c>
      <c r="GM2" s="7">
        <v>43861</v>
      </c>
      <c r="GN2" s="7">
        <v>43890</v>
      </c>
      <c r="GO2" s="7">
        <v>43921</v>
      </c>
      <c r="GP2" s="7">
        <v>43951</v>
      </c>
      <c r="GQ2" s="7">
        <v>43982</v>
      </c>
      <c r="GR2" s="7">
        <v>44012</v>
      </c>
      <c r="GS2" s="7">
        <v>44043</v>
      </c>
      <c r="GT2" s="7">
        <v>44074</v>
      </c>
      <c r="GU2" s="7">
        <v>44104</v>
      </c>
      <c r="GV2" s="7">
        <v>44135</v>
      </c>
      <c r="GW2" s="7">
        <v>44165</v>
      </c>
      <c r="GX2" s="7">
        <v>44196</v>
      </c>
      <c r="GY2" s="7">
        <v>44227</v>
      </c>
      <c r="GZ2" s="7">
        <v>44255</v>
      </c>
      <c r="HA2" s="7">
        <v>44286</v>
      </c>
      <c r="HB2" s="7">
        <v>44316</v>
      </c>
      <c r="HC2" s="7">
        <v>44347</v>
      </c>
      <c r="HD2" s="7">
        <v>44377</v>
      </c>
      <c r="HE2" s="7">
        <v>44408</v>
      </c>
      <c r="HF2" s="7">
        <v>44439</v>
      </c>
      <c r="HG2" s="7">
        <v>44469</v>
      </c>
      <c r="HH2" s="7">
        <v>44500</v>
      </c>
      <c r="HI2" s="7">
        <v>44530</v>
      </c>
      <c r="HJ2" s="7">
        <v>44561</v>
      </c>
      <c r="HK2" s="7">
        <v>44592</v>
      </c>
      <c r="HL2" s="7">
        <v>44620</v>
      </c>
      <c r="HM2" s="7">
        <v>44651</v>
      </c>
      <c r="HN2" s="7">
        <v>44681</v>
      </c>
      <c r="HO2" s="7">
        <v>44712</v>
      </c>
      <c r="HP2" s="7">
        <v>44742</v>
      </c>
      <c r="HQ2" s="7">
        <v>44773</v>
      </c>
      <c r="HR2" s="7">
        <v>44804</v>
      </c>
      <c r="HS2" s="7">
        <v>44834</v>
      </c>
      <c r="HT2" s="7">
        <v>44865</v>
      </c>
      <c r="HU2" s="7">
        <v>44895</v>
      </c>
      <c r="HV2" s="7">
        <v>44926</v>
      </c>
      <c r="HW2" s="7">
        <v>44957</v>
      </c>
      <c r="HX2" s="7">
        <v>44985</v>
      </c>
      <c r="HY2" s="7">
        <v>45016</v>
      </c>
      <c r="HZ2" s="7">
        <v>45046</v>
      </c>
      <c r="IA2" s="7">
        <v>45077</v>
      </c>
      <c r="IB2" s="7">
        <v>45107</v>
      </c>
      <c r="IC2" s="7">
        <v>45138</v>
      </c>
      <c r="ID2" s="7">
        <v>45169</v>
      </c>
      <c r="IE2" s="7">
        <v>45199</v>
      </c>
      <c r="IF2" s="7">
        <v>45230</v>
      </c>
      <c r="IG2" s="7">
        <v>45260</v>
      </c>
      <c r="IH2" s="7">
        <v>45291</v>
      </c>
      <c r="II2" s="7">
        <v>45322</v>
      </c>
      <c r="IJ2" s="7">
        <v>45351</v>
      </c>
      <c r="IK2" s="7">
        <v>45382</v>
      </c>
      <c r="IL2" s="7">
        <v>45412</v>
      </c>
      <c r="IM2" s="7">
        <v>45443</v>
      </c>
      <c r="IN2" s="7">
        <v>45473</v>
      </c>
      <c r="IO2" s="7">
        <v>45504</v>
      </c>
      <c r="IP2" s="7">
        <v>45535</v>
      </c>
      <c r="IQ2" s="7">
        <v>45565</v>
      </c>
      <c r="IR2" s="7">
        <v>45596</v>
      </c>
      <c r="IS2" s="7">
        <v>45626</v>
      </c>
      <c r="IT2" s="7">
        <v>45657</v>
      </c>
      <c r="IU2" s="7">
        <v>45688</v>
      </c>
      <c r="IV2" s="7">
        <v>45716</v>
      </c>
      <c r="IW2" s="7">
        <v>45747</v>
      </c>
      <c r="IX2" s="7">
        <v>45777</v>
      </c>
      <c r="IY2" s="7">
        <v>45808</v>
      </c>
      <c r="IZ2" s="7">
        <v>45838</v>
      </c>
      <c r="JA2" s="7">
        <v>45869</v>
      </c>
      <c r="JB2" s="7">
        <v>45900</v>
      </c>
      <c r="JC2" s="7">
        <v>45930</v>
      </c>
      <c r="JD2" s="7">
        <v>45961</v>
      </c>
      <c r="JE2" s="7">
        <v>45991</v>
      </c>
      <c r="JF2" s="7">
        <v>46022</v>
      </c>
      <c r="JG2" s="7">
        <v>46053</v>
      </c>
      <c r="JH2" s="7">
        <v>46081</v>
      </c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</row>
    <row r="3" spans="1:337" x14ac:dyDescent="0.25">
      <c r="A3" s="4">
        <v>1</v>
      </c>
      <c r="B3" s="1">
        <v>100511.99210157337</v>
      </c>
      <c r="C3" s="1">
        <v>99921.463625486445</v>
      </c>
      <c r="D3" s="1">
        <v>99235.265773179795</v>
      </c>
      <c r="E3" s="1">
        <v>95226.109053789769</v>
      </c>
      <c r="F3" s="1">
        <v>94501.449312413461</v>
      </c>
      <c r="G3" s="1">
        <v>92181.050382341913</v>
      </c>
      <c r="H3" s="1">
        <v>88496.082704540662</v>
      </c>
      <c r="I3" s="1">
        <v>88487.830802604498</v>
      </c>
      <c r="J3" s="1">
        <v>89088.547062212776</v>
      </c>
      <c r="K3" s="1">
        <v>89795.169126729626</v>
      </c>
      <c r="L3" s="1">
        <v>92049.81429701054</v>
      </c>
      <c r="M3" s="1">
        <v>96297.676358476747</v>
      </c>
      <c r="N3" s="1">
        <v>99610.739390502451</v>
      </c>
      <c r="O3" s="1">
        <v>101639.38512654425</v>
      </c>
      <c r="P3" s="1">
        <v>100636.46691893844</v>
      </c>
      <c r="Q3" s="1">
        <v>97896.737895270257</v>
      </c>
      <c r="R3" s="1">
        <v>93961.774809599476</v>
      </c>
      <c r="S3" s="1">
        <v>90698.343479165749</v>
      </c>
      <c r="T3" s="1">
        <v>86565.846704015668</v>
      </c>
      <c r="U3" s="1">
        <v>88613.849776613963</v>
      </c>
      <c r="V3" s="1">
        <v>89472.012827556799</v>
      </c>
      <c r="W3" s="1">
        <v>91218.388729848404</v>
      </c>
      <c r="X3" s="1">
        <v>94033.33004740694</v>
      </c>
      <c r="Y3" s="1">
        <v>96818.529801254772</v>
      </c>
      <c r="Z3" s="1">
        <v>99868.486152258571</v>
      </c>
      <c r="AA3" s="1">
        <v>100140.25362209062</v>
      </c>
      <c r="AB3" s="1">
        <v>99362.137939807668</v>
      </c>
      <c r="AC3" s="1">
        <v>95525.22170353026</v>
      </c>
      <c r="AD3" s="1">
        <v>90753.263862808337</v>
      </c>
      <c r="AE3" s="1">
        <v>87432.229834457627</v>
      </c>
      <c r="AF3" s="1">
        <v>85093.161043234562</v>
      </c>
      <c r="AG3" s="1">
        <v>87197.097560747061</v>
      </c>
      <c r="AH3" s="1">
        <v>87572.865716210508</v>
      </c>
      <c r="AI3" s="1">
        <v>89571.735621677508</v>
      </c>
      <c r="AJ3" s="1">
        <v>90794.045940390628</v>
      </c>
      <c r="AK3" s="1">
        <v>93651.621368816501</v>
      </c>
      <c r="AL3" s="1">
        <v>95594.438882597053</v>
      </c>
      <c r="AM3" s="1">
        <v>95339.467839452846</v>
      </c>
      <c r="AN3" s="1">
        <v>94552.161776838897</v>
      </c>
      <c r="AO3" s="1">
        <v>91368.51421328602</v>
      </c>
      <c r="AP3" s="1">
        <v>88969.422257005615</v>
      </c>
      <c r="AQ3" s="1">
        <v>85985.095225421086</v>
      </c>
      <c r="AR3" s="1">
        <v>85101.672994455352</v>
      </c>
      <c r="AS3" s="1">
        <v>88448.411470440362</v>
      </c>
      <c r="AT3" s="1">
        <v>89874.138072824499</v>
      </c>
      <c r="AU3" s="1">
        <v>91248.826431764901</v>
      </c>
      <c r="AV3" s="1">
        <v>92486.859529982219</v>
      </c>
      <c r="AW3" s="1">
        <v>95895.132678701659</v>
      </c>
      <c r="AX3" s="1">
        <v>98681.452031390145</v>
      </c>
      <c r="AY3" s="1">
        <v>101404.05943262449</v>
      </c>
      <c r="AZ3" s="1">
        <v>104799.51001261978</v>
      </c>
      <c r="BA3" s="1">
        <v>103045.35906990501</v>
      </c>
      <c r="BB3" s="1">
        <v>103738.68131790558</v>
      </c>
      <c r="BC3" s="1">
        <v>103928.70113805795</v>
      </c>
      <c r="BD3" s="1">
        <v>105992.47822082235</v>
      </c>
      <c r="BE3" s="1">
        <v>111351.68807912685</v>
      </c>
      <c r="BF3" s="1">
        <v>115635.22336215749</v>
      </c>
      <c r="BG3" s="1">
        <v>118796.83614168403</v>
      </c>
      <c r="BH3" s="1">
        <v>131384.47960150067</v>
      </c>
      <c r="BI3" s="1">
        <v>145668.96211715401</v>
      </c>
      <c r="BJ3" s="1">
        <v>158993.80269524915</v>
      </c>
      <c r="BK3" s="1">
        <v>162370.66060338798</v>
      </c>
      <c r="BL3" s="1">
        <v>168599.71896472637</v>
      </c>
      <c r="BM3" s="1">
        <v>176871.92620322137</v>
      </c>
      <c r="BN3" s="1">
        <v>178222.64735804859</v>
      </c>
      <c r="BO3" s="1">
        <v>175145.11008653062</v>
      </c>
      <c r="BP3" s="1">
        <v>170220.36032577325</v>
      </c>
      <c r="BQ3" s="1">
        <v>170213.50951952589</v>
      </c>
      <c r="BR3" s="1">
        <v>171662.81270101486</v>
      </c>
      <c r="BS3" s="1">
        <v>171396.49348444282</v>
      </c>
      <c r="BT3" s="1">
        <v>187792.93910082744</v>
      </c>
      <c r="BU3" s="1">
        <v>187180.86186979915</v>
      </c>
      <c r="BV3" s="1">
        <v>195387.86999342171</v>
      </c>
      <c r="BW3" s="1">
        <v>198307.54857252061</v>
      </c>
      <c r="BX3" s="1">
        <v>203103.46959246002</v>
      </c>
      <c r="BY3" s="1">
        <v>205213.04279709759</v>
      </c>
      <c r="BZ3" s="1">
        <v>200090.14372377403</v>
      </c>
      <c r="CA3" s="1">
        <v>191650.73373649648</v>
      </c>
      <c r="CB3" s="1">
        <v>191331.82180701089</v>
      </c>
      <c r="CC3" s="1">
        <v>191687.35946700125</v>
      </c>
      <c r="CD3" s="1">
        <v>192718.97182169103</v>
      </c>
      <c r="CE3" s="1">
        <v>194817.67641574933</v>
      </c>
      <c r="CF3" s="1">
        <v>203012.55908805269</v>
      </c>
      <c r="CG3" s="1">
        <v>208909.01671673433</v>
      </c>
      <c r="CH3" s="1">
        <v>210265.48201871605</v>
      </c>
      <c r="CI3" s="1">
        <v>217122.30408576535</v>
      </c>
      <c r="CJ3" s="1">
        <v>218663.18682083412</v>
      </c>
      <c r="CK3" s="1">
        <v>215106.2971068137</v>
      </c>
      <c r="CL3" s="1">
        <v>210521.77069500083</v>
      </c>
      <c r="CM3" s="1">
        <v>207116.71988903999</v>
      </c>
      <c r="CN3" s="1">
        <v>206291.23477574668</v>
      </c>
      <c r="CO3" s="1">
        <v>211532.58866598128</v>
      </c>
      <c r="CP3" s="1">
        <v>205309.76115914498</v>
      </c>
      <c r="CQ3" s="1">
        <v>217096.49434866323</v>
      </c>
      <c r="CR3" s="1">
        <v>227179.10918164693</v>
      </c>
      <c r="CS3" s="1">
        <v>230344.12155999348</v>
      </c>
      <c r="CT3" s="1">
        <v>232647.98428328434</v>
      </c>
      <c r="CU3" s="1">
        <v>241978.43294651096</v>
      </c>
      <c r="CV3" s="1">
        <v>247750.49590211373</v>
      </c>
      <c r="CW3" s="1">
        <v>248916.84482188645</v>
      </c>
      <c r="CX3" s="1">
        <v>248687.81683895143</v>
      </c>
      <c r="CY3" s="1">
        <v>245169.49054280852</v>
      </c>
      <c r="CZ3" s="1">
        <v>240305.5277011143</v>
      </c>
      <c r="DA3" s="1">
        <v>250356.3374006931</v>
      </c>
      <c r="DB3" s="1">
        <v>248051.35611346853</v>
      </c>
      <c r="DC3" s="1">
        <v>250324.70726370404</v>
      </c>
      <c r="DD3" s="1">
        <v>260561.35854585026</v>
      </c>
      <c r="DE3" s="1">
        <v>267247.37165038218</v>
      </c>
      <c r="DF3" s="1">
        <v>272328.0580214581</v>
      </c>
      <c r="DG3" s="1">
        <v>277837.52909282746</v>
      </c>
      <c r="DH3" s="1">
        <v>276517.33645895799</v>
      </c>
      <c r="DI3" s="1">
        <v>272759.58892264095</v>
      </c>
      <c r="DJ3" s="1">
        <v>261563.4905810272</v>
      </c>
      <c r="DK3" s="1">
        <v>253402.91610564053</v>
      </c>
      <c r="DL3" s="1">
        <v>249140.10332037776</v>
      </c>
      <c r="DM3" s="1">
        <v>250463.48023920803</v>
      </c>
      <c r="DN3" s="1">
        <v>245018.26376695058</v>
      </c>
      <c r="DO3" s="1">
        <v>250110.40033304627</v>
      </c>
      <c r="DP3" s="1">
        <v>258892.620116181</v>
      </c>
      <c r="DQ3" s="1">
        <v>259205.50362990977</v>
      </c>
      <c r="DR3" s="1">
        <v>258554.004061941</v>
      </c>
      <c r="DS3" s="1">
        <v>259055.67649788712</v>
      </c>
      <c r="DT3" s="1">
        <v>258311.00489412367</v>
      </c>
      <c r="DU3" s="1">
        <v>254075.17545692116</v>
      </c>
      <c r="DV3" s="1">
        <v>246049.07974535075</v>
      </c>
      <c r="DW3" s="1">
        <v>236595.71074207989</v>
      </c>
      <c r="DX3" s="1">
        <v>234940.49121119746</v>
      </c>
      <c r="DY3" s="1">
        <v>236993.96275562816</v>
      </c>
      <c r="DZ3" s="1">
        <v>226107.64675945742</v>
      </c>
      <c r="EA3" s="1">
        <v>235966.20302574267</v>
      </c>
      <c r="EB3" s="1">
        <v>242581.26708413949</v>
      </c>
      <c r="EC3" s="1">
        <v>234600.17997145918</v>
      </c>
      <c r="ED3" s="1">
        <v>243212.12024341122</v>
      </c>
      <c r="EE3" s="1">
        <v>244112.93266132759</v>
      </c>
      <c r="EF3" s="1">
        <v>240881.90336509608</v>
      </c>
      <c r="EG3" s="1">
        <v>234297.73976267638</v>
      </c>
      <c r="EH3" s="1">
        <v>220668.58410119783</v>
      </c>
      <c r="EI3" s="1">
        <v>212639.59577160352</v>
      </c>
      <c r="EJ3" s="1">
        <v>210926.82644288579</v>
      </c>
      <c r="EK3" s="1">
        <v>214083.28661047155</v>
      </c>
      <c r="EL3" s="1">
        <v>207776.61248301953</v>
      </c>
      <c r="EM3" s="1">
        <v>219110.01022540382</v>
      </c>
      <c r="EN3" s="1">
        <v>224399.84632085875</v>
      </c>
      <c r="EO3" s="1">
        <v>219247.73366784124</v>
      </c>
      <c r="EP3" s="1">
        <v>225571.84938101572</v>
      </c>
      <c r="EQ3" s="1">
        <v>226245.64082501805</v>
      </c>
      <c r="ER3" s="1">
        <v>225799.49561497636</v>
      </c>
      <c r="ES3" s="1">
        <v>215889.2155019959</v>
      </c>
      <c r="ET3" s="1">
        <v>204918.93925056059</v>
      </c>
      <c r="EU3" s="1">
        <v>192863.27341136333</v>
      </c>
      <c r="EV3" s="1">
        <v>189565.51751494885</v>
      </c>
      <c r="EW3" s="1">
        <v>191696.71278597723</v>
      </c>
      <c r="EX3" s="1">
        <v>185164.83773462742</v>
      </c>
      <c r="EY3" s="1">
        <v>196370.68404227629</v>
      </c>
      <c r="EZ3" s="1">
        <v>197791.72944798015</v>
      </c>
      <c r="FA3" s="1">
        <v>200797.72672553387</v>
      </c>
      <c r="FB3" s="1">
        <v>203314.41135825781</v>
      </c>
      <c r="FC3" s="1">
        <v>203480.39981950924</v>
      </c>
      <c r="FD3" s="1">
        <v>199742.58518370191</v>
      </c>
      <c r="FE3" s="1">
        <v>192567.93474433574</v>
      </c>
      <c r="FF3" s="1">
        <v>188636.31714160426</v>
      </c>
      <c r="FG3" s="1">
        <v>181414.07839842077</v>
      </c>
      <c r="FH3" s="1">
        <v>177262.39589825954</v>
      </c>
      <c r="FI3" s="1">
        <v>178583.25434444181</v>
      </c>
      <c r="FJ3" s="1">
        <v>169234.35067517534</v>
      </c>
      <c r="FK3" s="1">
        <v>187179.91493582516</v>
      </c>
      <c r="FL3" s="1">
        <v>179755.43833304226</v>
      </c>
      <c r="FM3" s="1">
        <v>176015.17683617331</v>
      </c>
      <c r="FN3" s="1">
        <v>182619.15479048633</v>
      </c>
      <c r="FO3" s="1">
        <v>188348.2723145505</v>
      </c>
      <c r="FP3" s="1">
        <v>186275.60436590391</v>
      </c>
      <c r="FQ3" s="1">
        <v>182731.70371092332</v>
      </c>
      <c r="FR3" s="1">
        <v>178291.85868788831</v>
      </c>
      <c r="FS3" s="1">
        <v>172397.1305466239</v>
      </c>
      <c r="FT3" s="1">
        <v>172727.2035099116</v>
      </c>
      <c r="FU3" s="1">
        <v>171207.65445187574</v>
      </c>
      <c r="FV3" s="1">
        <v>165697.82975819512</v>
      </c>
      <c r="FW3" s="1">
        <v>176252.03939475419</v>
      </c>
      <c r="FX3" s="1">
        <v>173575.35360376915</v>
      </c>
      <c r="FY3" s="1">
        <v>166841.85447495751</v>
      </c>
      <c r="FZ3" s="1">
        <v>170435.17979108269</v>
      </c>
      <c r="GA3" s="1">
        <v>171735.19193333501</v>
      </c>
      <c r="GB3" s="1">
        <v>171236.78163545259</v>
      </c>
      <c r="GC3" s="1">
        <v>166810.56087193565</v>
      </c>
      <c r="GD3" s="1">
        <v>163820.39096010604</v>
      </c>
      <c r="GE3" s="1">
        <v>161303.29634064552</v>
      </c>
      <c r="GF3" s="1">
        <v>162422.20706547971</v>
      </c>
      <c r="GG3" s="1">
        <v>164831.2370016966</v>
      </c>
      <c r="GH3" s="1">
        <v>161126.9359699518</v>
      </c>
      <c r="GI3" s="1">
        <v>171526.54126824302</v>
      </c>
      <c r="GJ3" s="1">
        <v>172417.98309675409</v>
      </c>
      <c r="GK3" s="1">
        <v>169566.60809688023</v>
      </c>
      <c r="GL3" s="1">
        <v>177774.74806291418</v>
      </c>
      <c r="GM3" s="1">
        <v>180256.12976816235</v>
      </c>
      <c r="GN3" s="1">
        <v>175618.91882369609</v>
      </c>
      <c r="GO3" s="1">
        <v>186582.92574165165</v>
      </c>
      <c r="GP3" s="1">
        <v>198030.67721928307</v>
      </c>
      <c r="GQ3" s="1">
        <v>190013.51669979206</v>
      </c>
      <c r="GR3" s="1">
        <v>188473.13336059271</v>
      </c>
      <c r="GS3" s="1">
        <v>188398.50273701735</v>
      </c>
      <c r="GT3" s="1">
        <v>182536.04463103891</v>
      </c>
      <c r="GU3" s="1">
        <v>185568.74622489599</v>
      </c>
      <c r="GV3" s="1">
        <v>183941.9194281057</v>
      </c>
      <c r="GW3" s="1">
        <v>181424.24726944836</v>
      </c>
      <c r="GX3" s="1">
        <v>194234.54074588401</v>
      </c>
      <c r="GY3" s="1">
        <v>193193.43068920221</v>
      </c>
      <c r="GZ3" s="1">
        <v>197735.693473958</v>
      </c>
      <c r="HA3" s="1" t="str">
        <f t="shared" ref="GZ3:HL3" si="0">IF(GZ3="","","")</f>
        <v/>
      </c>
      <c r="HB3" s="1" t="str">
        <f t="shared" si="0"/>
        <v/>
      </c>
      <c r="HC3" s="1" t="str">
        <f t="shared" si="0"/>
        <v/>
      </c>
      <c r="HD3" s="1" t="str">
        <f t="shared" si="0"/>
        <v/>
      </c>
      <c r="HE3" s="1" t="str">
        <f t="shared" si="0"/>
        <v/>
      </c>
      <c r="HF3" s="1" t="str">
        <f t="shared" si="0"/>
        <v/>
      </c>
      <c r="HG3" s="1" t="str">
        <f t="shared" si="0"/>
        <v/>
      </c>
      <c r="HH3" s="1" t="str">
        <f t="shared" si="0"/>
        <v/>
      </c>
      <c r="HI3" s="1" t="str">
        <f t="shared" si="0"/>
        <v/>
      </c>
      <c r="HJ3" s="1" t="str">
        <f t="shared" si="0"/>
        <v/>
      </c>
      <c r="HK3" s="1" t="str">
        <f t="shared" si="0"/>
        <v/>
      </c>
      <c r="HL3" s="1" t="str">
        <f t="shared" si="0"/>
        <v/>
      </c>
      <c r="HM3" s="1" t="str">
        <f t="shared" ref="GZ3:JH7" si="1">IF(HL3="","","")</f>
        <v/>
      </c>
      <c r="HN3" s="1" t="str">
        <f t="shared" si="1"/>
        <v/>
      </c>
      <c r="HO3" s="1" t="str">
        <f t="shared" si="1"/>
        <v/>
      </c>
      <c r="HP3" s="1" t="str">
        <f t="shared" si="1"/>
        <v/>
      </c>
      <c r="HQ3" s="1" t="str">
        <f t="shared" si="1"/>
        <v/>
      </c>
      <c r="HR3" s="1" t="str">
        <f t="shared" si="1"/>
        <v/>
      </c>
      <c r="HS3" s="1" t="str">
        <f t="shared" si="1"/>
        <v/>
      </c>
      <c r="HT3" s="1" t="str">
        <f t="shared" si="1"/>
        <v/>
      </c>
      <c r="HU3" s="1" t="str">
        <f t="shared" si="1"/>
        <v/>
      </c>
      <c r="HV3" s="1" t="str">
        <f t="shared" si="1"/>
        <v/>
      </c>
      <c r="HW3" s="1" t="str">
        <f t="shared" si="1"/>
        <v/>
      </c>
      <c r="HX3" s="1" t="str">
        <f t="shared" si="1"/>
        <v/>
      </c>
      <c r="HY3" s="1" t="str">
        <f t="shared" si="1"/>
        <v/>
      </c>
      <c r="HZ3" s="1" t="str">
        <f t="shared" si="1"/>
        <v/>
      </c>
      <c r="IA3" s="1" t="str">
        <f t="shared" si="1"/>
        <v/>
      </c>
      <c r="IB3" s="1" t="str">
        <f t="shared" si="1"/>
        <v/>
      </c>
      <c r="IC3" s="1" t="str">
        <f t="shared" si="1"/>
        <v/>
      </c>
      <c r="ID3" s="1" t="str">
        <f t="shared" si="1"/>
        <v/>
      </c>
      <c r="IE3" s="1" t="str">
        <f t="shared" si="1"/>
        <v/>
      </c>
      <c r="IF3" s="1" t="str">
        <f t="shared" si="1"/>
        <v/>
      </c>
      <c r="IG3" s="1" t="str">
        <f t="shared" si="1"/>
        <v/>
      </c>
      <c r="IH3" s="1" t="str">
        <f t="shared" si="1"/>
        <v/>
      </c>
      <c r="II3" s="1" t="str">
        <f t="shared" si="1"/>
        <v/>
      </c>
      <c r="IJ3" s="1" t="str">
        <f t="shared" si="1"/>
        <v/>
      </c>
      <c r="IK3" s="1" t="str">
        <f t="shared" si="1"/>
        <v/>
      </c>
      <c r="IL3" s="1" t="str">
        <f t="shared" si="1"/>
        <v/>
      </c>
      <c r="IM3" s="1" t="str">
        <f t="shared" si="1"/>
        <v/>
      </c>
      <c r="IN3" s="1" t="str">
        <f t="shared" si="1"/>
        <v/>
      </c>
      <c r="IO3" s="1" t="str">
        <f t="shared" si="1"/>
        <v/>
      </c>
      <c r="IP3" s="1" t="str">
        <f t="shared" si="1"/>
        <v/>
      </c>
      <c r="IQ3" s="1" t="str">
        <f t="shared" si="1"/>
        <v/>
      </c>
      <c r="IR3" s="1" t="str">
        <f t="shared" si="1"/>
        <v/>
      </c>
      <c r="IS3" s="1" t="str">
        <f t="shared" si="1"/>
        <v/>
      </c>
      <c r="IT3" s="1" t="str">
        <f t="shared" si="1"/>
        <v/>
      </c>
      <c r="IU3" s="1" t="str">
        <f t="shared" si="1"/>
        <v/>
      </c>
      <c r="IV3" s="1" t="str">
        <f t="shared" si="1"/>
        <v/>
      </c>
      <c r="IW3" s="1" t="str">
        <f t="shared" si="1"/>
        <v/>
      </c>
      <c r="IX3" s="1" t="str">
        <f t="shared" si="1"/>
        <v/>
      </c>
      <c r="IY3" s="1" t="str">
        <f t="shared" si="1"/>
        <v/>
      </c>
      <c r="IZ3" s="1" t="str">
        <f t="shared" si="1"/>
        <v/>
      </c>
      <c r="JA3" s="1" t="str">
        <f t="shared" si="1"/>
        <v/>
      </c>
      <c r="JB3" s="1" t="str">
        <f t="shared" si="1"/>
        <v/>
      </c>
      <c r="JC3" s="1" t="str">
        <f t="shared" si="1"/>
        <v/>
      </c>
      <c r="JD3" s="1" t="str">
        <f t="shared" si="1"/>
        <v/>
      </c>
      <c r="JE3" s="1" t="str">
        <f t="shared" si="1"/>
        <v/>
      </c>
      <c r="JF3" s="1" t="str">
        <f t="shared" si="1"/>
        <v/>
      </c>
      <c r="JG3" s="1" t="str">
        <f t="shared" si="1"/>
        <v/>
      </c>
      <c r="JH3" s="1" t="str">
        <f t="shared" si="1"/>
        <v/>
      </c>
      <c r="LY3" s="1"/>
    </row>
    <row r="4" spans="1:337" x14ac:dyDescent="0.25">
      <c r="A4" s="4">
        <v>2</v>
      </c>
      <c r="B4" s="1">
        <v>101187.26871090372</v>
      </c>
      <c r="C4" s="1">
        <v>99492.213951483456</v>
      </c>
      <c r="D4" s="1">
        <v>94826.638343789746</v>
      </c>
      <c r="E4" s="1">
        <v>92209.787271153269</v>
      </c>
      <c r="F4" s="1">
        <v>92995.31726323918</v>
      </c>
      <c r="G4" s="1">
        <v>90287.315430609422</v>
      </c>
      <c r="H4" s="1">
        <v>89381.846077124501</v>
      </c>
      <c r="I4" s="1">
        <v>89392.670398334099</v>
      </c>
      <c r="J4" s="1">
        <v>91369.136369415617</v>
      </c>
      <c r="K4" s="1">
        <v>91634.411985998886</v>
      </c>
      <c r="L4" s="1">
        <v>95983.813635036757</v>
      </c>
      <c r="M4" s="1">
        <v>99157.435574589879</v>
      </c>
      <c r="N4" s="1">
        <v>100759.38580481434</v>
      </c>
      <c r="O4" s="1">
        <v>101261.58501084321</v>
      </c>
      <c r="P4" s="1">
        <v>97238.408749294133</v>
      </c>
      <c r="Q4" s="1">
        <v>93720.195193086634</v>
      </c>
      <c r="R4" s="1">
        <v>91004.862949397488</v>
      </c>
      <c r="S4" s="1">
        <v>88473.454645693608</v>
      </c>
      <c r="T4" s="1">
        <v>87884.873299424071</v>
      </c>
      <c r="U4" s="1">
        <v>88966.117764292372</v>
      </c>
      <c r="V4" s="1">
        <v>91447.729579549341</v>
      </c>
      <c r="W4" s="1">
        <v>93512.200780766594</v>
      </c>
      <c r="X4" s="1">
        <v>98012.036742298078</v>
      </c>
      <c r="Y4" s="1">
        <v>100901.36331471551</v>
      </c>
      <c r="Z4" s="1">
        <v>100874.13625851015</v>
      </c>
      <c r="AA4" s="1">
        <v>100065.47984417912</v>
      </c>
      <c r="AB4" s="1">
        <v>96741.392963992665</v>
      </c>
      <c r="AC4" s="1">
        <v>91594.575583222642</v>
      </c>
      <c r="AD4" s="1">
        <v>87011.082145203371</v>
      </c>
      <c r="AE4" s="1">
        <v>85093.537665450567</v>
      </c>
      <c r="AF4" s="1">
        <v>86770.33611293268</v>
      </c>
      <c r="AG4" s="1">
        <v>87598.192485262567</v>
      </c>
      <c r="AH4" s="1">
        <v>89531.729370239249</v>
      </c>
      <c r="AI4" s="1">
        <v>91435.219263761886</v>
      </c>
      <c r="AJ4" s="1">
        <v>94532.012406398484</v>
      </c>
      <c r="AK4" s="1">
        <v>97423.472569277947</v>
      </c>
      <c r="AL4" s="1">
        <v>96120.564010349306</v>
      </c>
      <c r="AM4" s="1">
        <v>94891.40114724914</v>
      </c>
      <c r="AN4" s="1">
        <v>91647.521548300807</v>
      </c>
      <c r="AO4" s="1">
        <v>87538.931529760681</v>
      </c>
      <c r="AP4" s="1">
        <v>85183.091909554787</v>
      </c>
      <c r="AQ4" s="1">
        <v>83924.643828378874</v>
      </c>
      <c r="AR4" s="1">
        <v>86685.207439699181</v>
      </c>
      <c r="AS4" s="1">
        <v>88675.487734671769</v>
      </c>
      <c r="AT4" s="1">
        <v>91521.845103398402</v>
      </c>
      <c r="AU4" s="1">
        <v>92513.17940748026</v>
      </c>
      <c r="AV4" s="1">
        <v>95147.300923948322</v>
      </c>
      <c r="AW4" s="1">
        <v>99632.025742712285</v>
      </c>
      <c r="AX4" s="1">
        <v>99092.838494391966</v>
      </c>
      <c r="AY4" s="1">
        <v>100608.25498567245</v>
      </c>
      <c r="AZ4" s="1">
        <v>102111.45224768977</v>
      </c>
      <c r="BA4" s="1">
        <v>99338.273199213363</v>
      </c>
      <c r="BB4" s="1">
        <v>100332.78658565856</v>
      </c>
      <c r="BC4" s="1">
        <v>102639.57078821475</v>
      </c>
      <c r="BD4" s="1">
        <v>108954.63446989034</v>
      </c>
      <c r="BE4" s="1">
        <v>113569.32219866123</v>
      </c>
      <c r="BF4" s="1">
        <v>119046.14920336043</v>
      </c>
      <c r="BG4" s="1">
        <v>122534.8511596882</v>
      </c>
      <c r="BH4" s="1">
        <v>138806.18940795847</v>
      </c>
      <c r="BI4" s="1">
        <v>155933.96799374936</v>
      </c>
      <c r="BJ4" s="1">
        <v>166581.59083427093</v>
      </c>
      <c r="BK4" s="1">
        <v>166266.65986394149</v>
      </c>
      <c r="BL4" s="1">
        <v>172874.99719789298</v>
      </c>
      <c r="BM4" s="1">
        <v>180174.81374320248</v>
      </c>
      <c r="BN4" s="1">
        <v>179532.11841124936</v>
      </c>
      <c r="BO4" s="1">
        <v>179397.06284584609</v>
      </c>
      <c r="BP4" s="1">
        <v>176396.75306511181</v>
      </c>
      <c r="BQ4" s="1">
        <v>172617.30704797007</v>
      </c>
      <c r="BR4" s="1">
        <v>176686.91150233542</v>
      </c>
      <c r="BS4" s="1">
        <v>177037.4349228153</v>
      </c>
      <c r="BT4" s="1">
        <v>196460.21868629509</v>
      </c>
      <c r="BU4" s="1">
        <v>193522.24812594155</v>
      </c>
      <c r="BV4" s="1">
        <v>201219.22217233927</v>
      </c>
      <c r="BW4" s="1">
        <v>201736.25645802799</v>
      </c>
      <c r="BX4" s="1">
        <v>204261.7487339935</v>
      </c>
      <c r="BY4" s="1">
        <v>203543.91102501343</v>
      </c>
      <c r="BZ4" s="1">
        <v>195837.05750549826</v>
      </c>
      <c r="CA4" s="1">
        <v>189604.93274786844</v>
      </c>
      <c r="CB4" s="1">
        <v>195103.95275107282</v>
      </c>
      <c r="CC4" s="1">
        <v>190530.4584780648</v>
      </c>
      <c r="CD4" s="1">
        <v>200163.13864992699</v>
      </c>
      <c r="CE4" s="1">
        <v>197261.91388373822</v>
      </c>
      <c r="CF4" s="1">
        <v>209979.27210509591</v>
      </c>
      <c r="CG4" s="1">
        <v>215688.82580359769</v>
      </c>
      <c r="CH4" s="1">
        <v>215149.09988020197</v>
      </c>
      <c r="CI4" s="1">
        <v>219748.97184561152</v>
      </c>
      <c r="CJ4" s="1">
        <v>217519.06278178419</v>
      </c>
      <c r="CK4" s="1">
        <v>209500.21832559409</v>
      </c>
      <c r="CL4" s="1">
        <v>203998.54049275848</v>
      </c>
      <c r="CM4" s="1">
        <v>204290.51467618562</v>
      </c>
      <c r="CN4" s="1">
        <v>210924.69161020848</v>
      </c>
      <c r="CO4" s="1">
        <v>208035.87506437255</v>
      </c>
      <c r="CP4" s="1">
        <v>214649.63099887996</v>
      </c>
      <c r="CQ4" s="1">
        <v>221908.03336490301</v>
      </c>
      <c r="CR4" s="1">
        <v>232906.73935661325</v>
      </c>
      <c r="CS4" s="1">
        <v>238830.56624080503</v>
      </c>
      <c r="CT4" s="1">
        <v>236969.03108700394</v>
      </c>
      <c r="CU4" s="1">
        <v>244115.46311198236</v>
      </c>
      <c r="CV4" s="1">
        <v>247723.83638068131</v>
      </c>
      <c r="CW4" s="1">
        <v>246583.83525370026</v>
      </c>
      <c r="CX4" s="1">
        <v>245347.39253324672</v>
      </c>
      <c r="CY4" s="1">
        <v>244176.45997784074</v>
      </c>
      <c r="CZ4" s="1">
        <v>243553.90717214186</v>
      </c>
      <c r="DA4" s="1">
        <v>250269.88176213042</v>
      </c>
      <c r="DB4" s="1">
        <v>261401.66428183042</v>
      </c>
      <c r="DC4" s="1">
        <v>254349.34673804109</v>
      </c>
      <c r="DD4" s="1">
        <v>264181.57483500685</v>
      </c>
      <c r="DE4" s="1">
        <v>278180.0246179339</v>
      </c>
      <c r="DF4" s="1">
        <v>279599.75160748704</v>
      </c>
      <c r="DG4" s="1">
        <v>280649.36830206087</v>
      </c>
      <c r="DH4" s="1">
        <v>274556.1402038933</v>
      </c>
      <c r="DI4" s="1">
        <v>268247.96162220801</v>
      </c>
      <c r="DJ4" s="1">
        <v>253440.9438371982</v>
      </c>
      <c r="DK4" s="1">
        <v>251037.16548213654</v>
      </c>
      <c r="DL4" s="1">
        <v>249898.10771266371</v>
      </c>
      <c r="DM4" s="1">
        <v>245604.62717049778</v>
      </c>
      <c r="DN4" s="1">
        <v>255677.2073870431</v>
      </c>
      <c r="DO4" s="1">
        <v>252333.37144372953</v>
      </c>
      <c r="DP4" s="1">
        <v>260133.36923350816</v>
      </c>
      <c r="DQ4" s="1">
        <v>266970.06268655171</v>
      </c>
      <c r="DR4" s="1">
        <v>260426.49787602975</v>
      </c>
      <c r="DS4" s="1">
        <v>257251.71489723664</v>
      </c>
      <c r="DT4" s="1">
        <v>252598.2956120169</v>
      </c>
      <c r="DU4" s="1">
        <v>246542.58493927904</v>
      </c>
      <c r="DV4" s="1">
        <v>236162.7007582236</v>
      </c>
      <c r="DW4" s="1">
        <v>232860.1753021598</v>
      </c>
      <c r="DX4" s="1">
        <v>235904.1922242844</v>
      </c>
      <c r="DY4" s="1">
        <v>228115.60137510614</v>
      </c>
      <c r="DZ4" s="1">
        <v>237372.0621754454</v>
      </c>
      <c r="EA4" s="1">
        <v>238539.79213767685</v>
      </c>
      <c r="EB4" s="1">
        <v>238924.3464878588</v>
      </c>
      <c r="EC4" s="1">
        <v>238716.85264814223</v>
      </c>
      <c r="ED4" s="1">
        <v>245086.49089400741</v>
      </c>
      <c r="EE4" s="1">
        <v>243116.86227389166</v>
      </c>
      <c r="EF4" s="1">
        <v>234907.48832872935</v>
      </c>
      <c r="EG4" s="1">
        <v>226501.88853172728</v>
      </c>
      <c r="EH4" s="1">
        <v>211160.6468643432</v>
      </c>
      <c r="EI4" s="1">
        <v>208191.63522977318</v>
      </c>
      <c r="EJ4" s="1">
        <v>209403.29525134509</v>
      </c>
      <c r="EK4" s="1">
        <v>205514.14309803292</v>
      </c>
      <c r="EL4" s="1">
        <v>221100.74969857332</v>
      </c>
      <c r="EM4" s="1">
        <v>220477.05074616574</v>
      </c>
      <c r="EN4" s="1">
        <v>223471.99307616346</v>
      </c>
      <c r="EO4" s="1">
        <v>224317.8170901764</v>
      </c>
      <c r="EP4" s="1">
        <v>226405.05290661272</v>
      </c>
      <c r="EQ4" s="1">
        <v>225052.36974559748</v>
      </c>
      <c r="ER4" s="1">
        <v>217489.67475540456</v>
      </c>
      <c r="ES4" s="1">
        <v>208723.40781025955</v>
      </c>
      <c r="ET4" s="1">
        <v>196972.08414557221</v>
      </c>
      <c r="EU4" s="1">
        <v>190416.78419987357</v>
      </c>
      <c r="EV4" s="1">
        <v>187835.21671818823</v>
      </c>
      <c r="EW4" s="1">
        <v>182533.53417215822</v>
      </c>
      <c r="EX4" s="1">
        <v>197726.45814861089</v>
      </c>
      <c r="EY4" s="1">
        <v>195942.76508905907</v>
      </c>
      <c r="EZ4" s="1">
        <v>196209.50946141157</v>
      </c>
      <c r="FA4" s="1">
        <v>206702.19582054298</v>
      </c>
      <c r="FB4" s="1">
        <v>205292.8665537535</v>
      </c>
      <c r="FC4" s="1">
        <v>201077.25970911878</v>
      </c>
      <c r="FD4" s="1">
        <v>191620.26644647424</v>
      </c>
      <c r="FE4" s="1">
        <v>184429.03444930061</v>
      </c>
      <c r="FF4" s="1">
        <v>181215.07157597996</v>
      </c>
      <c r="FG4" s="1">
        <v>180041.60421082249</v>
      </c>
      <c r="FH4" s="1">
        <v>177662.08904422569</v>
      </c>
      <c r="FI4" s="1">
        <v>170497.09367078438</v>
      </c>
      <c r="FJ4" s="1">
        <v>182145.08278941063</v>
      </c>
      <c r="FK4" s="1">
        <v>189676.37632659206</v>
      </c>
      <c r="FL4" s="1">
        <v>176650.83052236441</v>
      </c>
      <c r="FM4" s="1">
        <v>179600.47491739987</v>
      </c>
      <c r="FN4" s="1">
        <v>183248.42653670491</v>
      </c>
      <c r="FO4" s="1">
        <v>186785.54091202538</v>
      </c>
      <c r="FP4" s="1">
        <v>180784.55471814174</v>
      </c>
      <c r="FQ4" s="1">
        <v>175964.58673684564</v>
      </c>
      <c r="FR4" s="1">
        <v>171263.79688690227</v>
      </c>
      <c r="FS4" s="1">
        <v>171423.99408053581</v>
      </c>
      <c r="FT4" s="1">
        <v>174026.63343981717</v>
      </c>
      <c r="FU4" s="1">
        <v>164809.67600607022</v>
      </c>
      <c r="FV4" s="1">
        <v>176393.97942927643</v>
      </c>
      <c r="FW4" s="1">
        <v>177503.56323584047</v>
      </c>
      <c r="FX4" s="1">
        <v>171916.15984827126</v>
      </c>
      <c r="FY4" s="1">
        <v>173209.45454101579</v>
      </c>
      <c r="FZ4" s="1">
        <v>169890.07867554741</v>
      </c>
      <c r="GA4" s="1">
        <v>170331.39026410578</v>
      </c>
      <c r="GB4" s="1">
        <v>165571.70729084691</v>
      </c>
      <c r="GC4" s="1">
        <v>159728.40993581968</v>
      </c>
      <c r="GD4" s="1">
        <v>157127.74088846854</v>
      </c>
      <c r="GE4" s="1">
        <v>159875.08850550471</v>
      </c>
      <c r="GF4" s="1">
        <v>164735.27444313999</v>
      </c>
      <c r="GG4" s="1">
        <v>160483.24092509566</v>
      </c>
      <c r="GH4" s="1">
        <v>168832.19240327447</v>
      </c>
      <c r="GI4" s="1">
        <v>171828.31221201894</v>
      </c>
      <c r="GJ4" s="1">
        <v>172308.88052634289</v>
      </c>
      <c r="GK4" s="1">
        <v>177656.84502160957</v>
      </c>
      <c r="GL4" s="1">
        <v>180411.55610398843</v>
      </c>
      <c r="GM4" s="1">
        <v>180563.7465353568</v>
      </c>
      <c r="GN4" s="1">
        <v>172447.89643959375</v>
      </c>
      <c r="GO4" s="1">
        <v>184190.82879143453</v>
      </c>
      <c r="GP4" s="1">
        <v>197256.5674299364</v>
      </c>
      <c r="GQ4" s="1">
        <v>191751.85554176057</v>
      </c>
      <c r="GR4" s="1">
        <v>190159.00986406818</v>
      </c>
      <c r="GS4" s="1">
        <v>185895.03437511894</v>
      </c>
      <c r="GT4" s="1">
        <v>191202.56774211908</v>
      </c>
      <c r="GU4" s="1">
        <v>183854.15257210244</v>
      </c>
      <c r="GV4" s="1">
        <v>181928.30731242656</v>
      </c>
      <c r="GW4" s="1">
        <v>187654.14819562581</v>
      </c>
      <c r="GX4" s="1">
        <v>195244.08283363737</v>
      </c>
      <c r="GY4" s="1">
        <v>197415.14221923065</v>
      </c>
      <c r="GZ4" s="1">
        <v>195311.96400054</v>
      </c>
      <c r="HA4" s="1" t="str">
        <f t="shared" si="1"/>
        <v/>
      </c>
      <c r="HB4" s="1" t="str">
        <f t="shared" si="1"/>
        <v/>
      </c>
      <c r="HC4" s="1" t="str">
        <f t="shared" si="1"/>
        <v/>
      </c>
      <c r="HD4" s="1" t="str">
        <f t="shared" si="1"/>
        <v/>
      </c>
      <c r="HE4" s="1" t="str">
        <f t="shared" si="1"/>
        <v/>
      </c>
      <c r="HF4" s="1" t="str">
        <f t="shared" si="1"/>
        <v/>
      </c>
      <c r="HG4" s="1" t="str">
        <f t="shared" si="1"/>
        <v/>
      </c>
      <c r="HH4" s="1" t="str">
        <f t="shared" si="1"/>
        <v/>
      </c>
      <c r="HI4" s="1" t="str">
        <f t="shared" si="1"/>
        <v/>
      </c>
      <c r="HJ4" s="1" t="str">
        <f t="shared" si="1"/>
        <v/>
      </c>
      <c r="HK4" s="1" t="str">
        <f t="shared" si="1"/>
        <v/>
      </c>
      <c r="HL4" s="1" t="str">
        <f t="shared" si="1"/>
        <v/>
      </c>
      <c r="HM4" s="1" t="str">
        <f t="shared" si="1"/>
        <v/>
      </c>
      <c r="HN4" s="1" t="str">
        <f t="shared" si="1"/>
        <v/>
      </c>
      <c r="HO4" s="1" t="str">
        <f t="shared" si="1"/>
        <v/>
      </c>
      <c r="HP4" s="1" t="str">
        <f t="shared" si="1"/>
        <v/>
      </c>
      <c r="HQ4" s="1" t="str">
        <f t="shared" si="1"/>
        <v/>
      </c>
      <c r="HR4" s="1" t="str">
        <f t="shared" si="1"/>
        <v/>
      </c>
      <c r="HS4" s="1" t="str">
        <f t="shared" si="1"/>
        <v/>
      </c>
      <c r="HT4" s="1" t="str">
        <f t="shared" si="1"/>
        <v/>
      </c>
      <c r="HU4" s="1" t="str">
        <f t="shared" si="1"/>
        <v/>
      </c>
      <c r="HV4" s="1" t="str">
        <f t="shared" si="1"/>
        <v/>
      </c>
      <c r="HW4" s="1" t="str">
        <f t="shared" si="1"/>
        <v/>
      </c>
      <c r="HX4" s="1" t="str">
        <f t="shared" si="1"/>
        <v/>
      </c>
      <c r="HY4" s="1" t="str">
        <f t="shared" si="1"/>
        <v/>
      </c>
      <c r="HZ4" s="1" t="str">
        <f t="shared" si="1"/>
        <v/>
      </c>
      <c r="IA4" s="1" t="str">
        <f t="shared" si="1"/>
        <v/>
      </c>
      <c r="IB4" s="1" t="str">
        <f t="shared" si="1"/>
        <v/>
      </c>
      <c r="IC4" s="1" t="str">
        <f t="shared" si="1"/>
        <v/>
      </c>
      <c r="ID4" s="1" t="str">
        <f t="shared" si="1"/>
        <v/>
      </c>
      <c r="IE4" s="1" t="str">
        <f t="shared" si="1"/>
        <v/>
      </c>
      <c r="IF4" s="1" t="str">
        <f t="shared" si="1"/>
        <v/>
      </c>
      <c r="IG4" s="1" t="str">
        <f t="shared" si="1"/>
        <v/>
      </c>
      <c r="IH4" s="1" t="str">
        <f t="shared" si="1"/>
        <v/>
      </c>
      <c r="II4" s="1" t="str">
        <f t="shared" si="1"/>
        <v/>
      </c>
      <c r="IJ4" s="1" t="str">
        <f t="shared" si="1"/>
        <v/>
      </c>
      <c r="IK4" s="1" t="str">
        <f t="shared" si="1"/>
        <v/>
      </c>
      <c r="IL4" s="1" t="str">
        <f t="shared" si="1"/>
        <v/>
      </c>
      <c r="IM4" s="1" t="str">
        <f t="shared" si="1"/>
        <v/>
      </c>
      <c r="IN4" s="1" t="str">
        <f t="shared" si="1"/>
        <v/>
      </c>
      <c r="IO4" s="1" t="str">
        <f t="shared" si="1"/>
        <v/>
      </c>
      <c r="IP4" s="1" t="str">
        <f t="shared" si="1"/>
        <v/>
      </c>
      <c r="IQ4" s="1" t="str">
        <f t="shared" si="1"/>
        <v/>
      </c>
      <c r="IR4" s="1" t="str">
        <f t="shared" si="1"/>
        <v/>
      </c>
      <c r="IS4" s="1" t="str">
        <f t="shared" si="1"/>
        <v/>
      </c>
      <c r="IT4" s="1" t="str">
        <f t="shared" si="1"/>
        <v/>
      </c>
      <c r="IU4" s="1" t="str">
        <f t="shared" si="1"/>
        <v/>
      </c>
      <c r="IV4" s="1" t="str">
        <f t="shared" si="1"/>
        <v/>
      </c>
      <c r="IW4" s="1" t="str">
        <f t="shared" si="1"/>
        <v/>
      </c>
      <c r="IX4" s="1" t="str">
        <f t="shared" si="1"/>
        <v/>
      </c>
      <c r="IY4" s="1" t="str">
        <f t="shared" si="1"/>
        <v/>
      </c>
      <c r="IZ4" s="1" t="str">
        <f t="shared" si="1"/>
        <v/>
      </c>
      <c r="JA4" s="1" t="str">
        <f t="shared" si="1"/>
        <v/>
      </c>
      <c r="JB4" s="1" t="str">
        <f t="shared" si="1"/>
        <v/>
      </c>
      <c r="JC4" s="1" t="str">
        <f t="shared" si="1"/>
        <v/>
      </c>
      <c r="JD4" s="1" t="str">
        <f t="shared" si="1"/>
        <v/>
      </c>
      <c r="JE4" s="1" t="str">
        <f t="shared" si="1"/>
        <v/>
      </c>
      <c r="JF4" s="1" t="str">
        <f t="shared" si="1"/>
        <v/>
      </c>
      <c r="JG4" s="1" t="str">
        <f t="shared" si="1"/>
        <v/>
      </c>
      <c r="JH4" s="1" t="str">
        <f t="shared" si="1"/>
        <v/>
      </c>
      <c r="LY4" s="1"/>
    </row>
    <row r="5" spans="1:337" x14ac:dyDescent="0.25">
      <c r="A5" s="5">
        <v>3</v>
      </c>
      <c r="B5" s="1">
        <v>100625.82795745437</v>
      </c>
      <c r="C5" s="1">
        <v>95079.489205465536</v>
      </c>
      <c r="D5" s="1">
        <v>91824.527583788062</v>
      </c>
      <c r="E5" s="1">
        <v>90665.077441328613</v>
      </c>
      <c r="F5" s="1">
        <v>90927.208276494493</v>
      </c>
      <c r="G5" s="1">
        <v>90955.174511237943</v>
      </c>
      <c r="H5" s="1">
        <v>90098.298700717991</v>
      </c>
      <c r="I5" s="1">
        <v>91854.603702199558</v>
      </c>
      <c r="J5" s="1">
        <v>93442.754192115157</v>
      </c>
      <c r="K5" s="1">
        <v>95363.80943509964</v>
      </c>
      <c r="L5" s="1">
        <v>98937.557676910292</v>
      </c>
      <c r="M5" s="1">
        <v>100286.81209852634</v>
      </c>
      <c r="N5" s="1">
        <v>100678.43919921646</v>
      </c>
      <c r="O5" s="1">
        <v>98375.532733809319</v>
      </c>
      <c r="P5" s="1">
        <v>93377.528306438442</v>
      </c>
      <c r="Q5" s="1">
        <v>90776.330564696633</v>
      </c>
      <c r="R5" s="1">
        <v>88343.855700269196</v>
      </c>
      <c r="S5" s="1">
        <v>89504.567621229216</v>
      </c>
      <c r="T5" s="1">
        <v>88355.025168301116</v>
      </c>
      <c r="U5" s="1">
        <v>90874.211066149146</v>
      </c>
      <c r="V5" s="1">
        <v>93736.033932968276</v>
      </c>
      <c r="W5" s="1">
        <v>97508.476711545169</v>
      </c>
      <c r="X5" s="1">
        <v>101991.59567132824</v>
      </c>
      <c r="Y5" s="1">
        <v>101307.83299860652</v>
      </c>
      <c r="Z5" s="1">
        <v>100603.00142788168</v>
      </c>
      <c r="AA5" s="1">
        <v>96834.262514403817</v>
      </c>
      <c r="AB5" s="1">
        <v>92573.248334843956</v>
      </c>
      <c r="AC5" s="1">
        <v>87565.220997154334</v>
      </c>
      <c r="AD5" s="1">
        <v>84715.183205038018</v>
      </c>
      <c r="AE5" s="1">
        <v>86696.736029402542</v>
      </c>
      <c r="AF5" s="1">
        <v>87066.600319623409</v>
      </c>
      <c r="AG5" s="1">
        <v>89382.173740119266</v>
      </c>
      <c r="AH5" s="1">
        <v>91316.669155138559</v>
      </c>
      <c r="AI5" s="1">
        <v>95142.740772267935</v>
      </c>
      <c r="AJ5" s="1">
        <v>98357.427310747444</v>
      </c>
      <c r="AK5" s="1">
        <v>97963.000906780624</v>
      </c>
      <c r="AL5" s="1">
        <v>95594.108185734134</v>
      </c>
      <c r="AM5" s="1">
        <v>91820.56259849052</v>
      </c>
      <c r="AN5" s="1">
        <v>87906.500377599543</v>
      </c>
      <c r="AO5" s="1">
        <v>83821.854106809129</v>
      </c>
      <c r="AP5" s="1">
        <v>83101.168443635703</v>
      </c>
      <c r="AQ5" s="1">
        <v>85459.036112041213</v>
      </c>
      <c r="AR5" s="1">
        <v>87094.743966181966</v>
      </c>
      <c r="AS5" s="1">
        <v>90151.51904755173</v>
      </c>
      <c r="AT5" s="1">
        <v>92647.768094109284</v>
      </c>
      <c r="AU5" s="1">
        <v>95672.194552021858</v>
      </c>
      <c r="AV5" s="1">
        <v>98877.366967743816</v>
      </c>
      <c r="AW5" s="1">
        <v>100066.70822379347</v>
      </c>
      <c r="AX5" s="1">
        <v>98300.549913903727</v>
      </c>
      <c r="AY5" s="1">
        <v>98184.931907757738</v>
      </c>
      <c r="AZ5" s="1">
        <v>98414.597824795739</v>
      </c>
      <c r="BA5" s="1">
        <v>95695.670172113372</v>
      </c>
      <c r="BB5" s="1">
        <v>99041.445645405518</v>
      </c>
      <c r="BC5" s="1">
        <v>105058.4672214961</v>
      </c>
      <c r="BD5" s="1">
        <v>109839.02896965758</v>
      </c>
      <c r="BE5" s="1">
        <v>117342.1291262978</v>
      </c>
      <c r="BF5" s="1">
        <v>122851.19309726036</v>
      </c>
      <c r="BG5" s="1">
        <v>127353.38363374444</v>
      </c>
      <c r="BH5" s="1">
        <v>147496.01839810901</v>
      </c>
      <c r="BI5" s="1">
        <v>162295.7439911667</v>
      </c>
      <c r="BJ5" s="1">
        <v>171084.81323446718</v>
      </c>
      <c r="BK5" s="1">
        <v>168281.05020277924</v>
      </c>
      <c r="BL5" s="1">
        <v>175389.49771936526</v>
      </c>
      <c r="BM5" s="1">
        <v>182352.28254593624</v>
      </c>
      <c r="BN5" s="1">
        <v>184777.84709161514</v>
      </c>
      <c r="BO5" s="1">
        <v>186737.02907730875</v>
      </c>
      <c r="BP5" s="1">
        <v>179188.27925854101</v>
      </c>
      <c r="BQ5" s="1">
        <v>178401.00605640482</v>
      </c>
      <c r="BR5" s="1">
        <v>182085.71353578934</v>
      </c>
      <c r="BS5" s="1">
        <v>183654.51040362948</v>
      </c>
      <c r="BT5" s="1">
        <v>204140.01823313738</v>
      </c>
      <c r="BU5" s="1">
        <v>198948.35100238252</v>
      </c>
      <c r="BV5" s="1">
        <v>205508.43262981111</v>
      </c>
      <c r="BW5" s="1">
        <v>202590.6516069115</v>
      </c>
      <c r="BX5" s="1">
        <v>202729.25535627216</v>
      </c>
      <c r="BY5" s="1">
        <v>197601.94637616648</v>
      </c>
      <c r="BZ5" s="1">
        <v>194921.06655566685</v>
      </c>
      <c r="CA5" s="1">
        <v>193839.02928847261</v>
      </c>
      <c r="CB5" s="1">
        <v>194660.97098248184</v>
      </c>
      <c r="CC5" s="1">
        <v>198824.02163014794</v>
      </c>
      <c r="CD5" s="1">
        <v>204519.36344583239</v>
      </c>
      <c r="CE5" s="1">
        <v>203291.6331401944</v>
      </c>
      <c r="CF5" s="1">
        <v>216360.52319225966</v>
      </c>
      <c r="CG5" s="1">
        <v>221234.43593894457</v>
      </c>
      <c r="CH5" s="1">
        <v>216798.41099913314</v>
      </c>
      <c r="CI5" s="1">
        <v>218838.58243785193</v>
      </c>
      <c r="CJ5" s="1">
        <v>213420.17072869197</v>
      </c>
      <c r="CK5" s="1">
        <v>202421.49006236333</v>
      </c>
      <c r="CL5" s="1">
        <v>200188.42190608624</v>
      </c>
      <c r="CM5" s="1">
        <v>207114.82918890374</v>
      </c>
      <c r="CN5" s="1">
        <v>208020.51375975748</v>
      </c>
      <c r="CO5" s="1">
        <v>220766.17712856858</v>
      </c>
      <c r="CP5" s="1">
        <v>219882.75473759678</v>
      </c>
      <c r="CQ5" s="1">
        <v>227571.24914973689</v>
      </c>
      <c r="CR5" s="1">
        <v>241944.21102070523</v>
      </c>
      <c r="CS5" s="1">
        <v>244251.97834615892</v>
      </c>
      <c r="CT5" s="1">
        <v>239012.59230541508</v>
      </c>
      <c r="CU5" s="1">
        <v>243366.19631454482</v>
      </c>
      <c r="CV5" s="1">
        <v>244193.19438709741</v>
      </c>
      <c r="CW5" s="1">
        <v>242714.41300171829</v>
      </c>
      <c r="CX5" s="1">
        <v>244289.45144764235</v>
      </c>
      <c r="CY5" s="1">
        <v>246579.72086002625</v>
      </c>
      <c r="CZ5" s="1">
        <v>242570.10966049263</v>
      </c>
      <c r="DA5" s="1">
        <v>263743.31657956552</v>
      </c>
      <c r="DB5" s="1">
        <v>265888.77506669698</v>
      </c>
      <c r="DC5" s="1">
        <v>257131.44567319</v>
      </c>
      <c r="DD5" s="1">
        <v>274674.1089474964</v>
      </c>
      <c r="DE5" s="1">
        <v>285597.31490827876</v>
      </c>
      <c r="DF5" s="1">
        <v>283181.8622103681</v>
      </c>
      <c r="DG5" s="1">
        <v>280329.7243460904</v>
      </c>
      <c r="DH5" s="1">
        <v>269781.58363832533</v>
      </c>
      <c r="DI5" s="1">
        <v>261801.26590469189</v>
      </c>
      <c r="DJ5" s="1">
        <v>251754.60822332796</v>
      </c>
      <c r="DK5" s="1">
        <v>250626.48716262239</v>
      </c>
      <c r="DL5" s="1">
        <v>244196.57313005434</v>
      </c>
      <c r="DM5" s="1">
        <v>254308.46055615629</v>
      </c>
      <c r="DN5" s="1">
        <v>259249.16614835552</v>
      </c>
      <c r="DO5" s="1">
        <v>251399.00203878593</v>
      </c>
      <c r="DP5" s="1">
        <v>267323.25668845949</v>
      </c>
      <c r="DQ5" s="1">
        <v>269495.51354875765</v>
      </c>
      <c r="DR5" s="1">
        <v>257801.15312302596</v>
      </c>
      <c r="DS5" s="1">
        <v>251110.57752743032</v>
      </c>
      <c r="DT5" s="1">
        <v>245880.31815697713</v>
      </c>
      <c r="DU5" s="1">
        <v>236824.13101376491</v>
      </c>
      <c r="DV5" s="1">
        <v>232774.64366561518</v>
      </c>
      <c r="DW5" s="1">
        <v>232081.78895193263</v>
      </c>
      <c r="DX5" s="1">
        <v>226715.45746602956</v>
      </c>
      <c r="DY5" s="1">
        <v>240531.62331959314</v>
      </c>
      <c r="DZ5" s="1">
        <v>240952.17031967937</v>
      </c>
      <c r="EA5" s="1">
        <v>237470.80074042274</v>
      </c>
      <c r="EB5" s="1">
        <v>244322.70206209595</v>
      </c>
      <c r="EC5" s="1">
        <v>240286.6468912501</v>
      </c>
      <c r="ED5" s="1">
        <v>244079.25231549173</v>
      </c>
      <c r="EE5" s="1">
        <v>237760.81163363147</v>
      </c>
      <c r="EF5" s="1">
        <v>227381.83431293583</v>
      </c>
      <c r="EG5" s="1">
        <v>217943.26551662741</v>
      </c>
      <c r="EH5" s="1">
        <v>206472.52308040211</v>
      </c>
      <c r="EI5" s="1">
        <v>205552.75694781699</v>
      </c>
      <c r="EJ5" s="1">
        <v>200244.83257247129</v>
      </c>
      <c r="EK5" s="1">
        <v>217451.33027959743</v>
      </c>
      <c r="EL5" s="1">
        <v>222456.26983877498</v>
      </c>
      <c r="EM5" s="1">
        <v>220862.60244268493</v>
      </c>
      <c r="EN5" s="1">
        <v>229266.12688122503</v>
      </c>
      <c r="EO5" s="1">
        <v>225734.35957258093</v>
      </c>
      <c r="EP5" s="1">
        <v>225594.17365805118</v>
      </c>
      <c r="EQ5" s="1">
        <v>217023.44293273709</v>
      </c>
      <c r="ER5" s="1">
        <v>210454.87651555985</v>
      </c>
      <c r="ES5" s="1">
        <v>200979.27576048375</v>
      </c>
      <c r="ET5" s="1">
        <v>195416.33701979165</v>
      </c>
      <c r="EU5" s="1">
        <v>188246.18641470716</v>
      </c>
      <c r="EV5" s="1">
        <v>179935.38218837878</v>
      </c>
      <c r="EW5" s="1">
        <v>194034.63959039919</v>
      </c>
      <c r="EX5" s="1">
        <v>197897.36790850753</v>
      </c>
      <c r="EY5" s="1">
        <v>195344.53520523838</v>
      </c>
      <c r="EZ5" s="1">
        <v>201050.95880254707</v>
      </c>
      <c r="FA5" s="1">
        <v>208853.50315248856</v>
      </c>
      <c r="FB5" s="1">
        <v>202545.69530557407</v>
      </c>
      <c r="FC5" s="1">
        <v>191783.70890471363</v>
      </c>
      <c r="FD5" s="1">
        <v>183974.82174485017</v>
      </c>
      <c r="FE5" s="1">
        <v>176711.3484428291</v>
      </c>
      <c r="FF5" s="1">
        <v>179910.68577428651</v>
      </c>
      <c r="FG5" s="1">
        <v>180570.34627469897</v>
      </c>
      <c r="FH5" s="1">
        <v>170673.47076900629</v>
      </c>
      <c r="FI5" s="1">
        <v>182948.48575317947</v>
      </c>
      <c r="FJ5" s="1">
        <v>184113.75494948367</v>
      </c>
      <c r="FK5" s="1">
        <v>188506.56229580496</v>
      </c>
      <c r="FL5" s="1">
        <v>180491.38986958354</v>
      </c>
      <c r="FM5" s="1">
        <v>180195.44992240565</v>
      </c>
      <c r="FN5" s="1">
        <v>180856.44495439512</v>
      </c>
      <c r="FO5" s="1">
        <v>181592.03056603164</v>
      </c>
      <c r="FP5" s="1">
        <v>173162.0942192442</v>
      </c>
      <c r="FQ5" s="1">
        <v>168208.69956721831</v>
      </c>
      <c r="FR5" s="1">
        <v>170299.27182726748</v>
      </c>
      <c r="FS5" s="1">
        <v>172543.52720213879</v>
      </c>
      <c r="FT5" s="1">
        <v>168546.11877130321</v>
      </c>
      <c r="FU5" s="1">
        <v>175365.39981019037</v>
      </c>
      <c r="FV5" s="1">
        <v>178646.08059778778</v>
      </c>
      <c r="FW5" s="1">
        <v>179628.90170752158</v>
      </c>
      <c r="FX5" s="1">
        <v>178902.91633897478</v>
      </c>
      <c r="FY5" s="1">
        <v>173700.3739135199</v>
      </c>
      <c r="FZ5" s="1">
        <v>167453.55795534205</v>
      </c>
      <c r="GA5" s="1">
        <v>164952.28692139033</v>
      </c>
      <c r="GB5" s="1">
        <v>158472.06423458946</v>
      </c>
      <c r="GC5" s="1">
        <v>152718.34734530182</v>
      </c>
      <c r="GD5" s="1">
        <v>155317.6112450746</v>
      </c>
      <c r="GE5" s="1">
        <v>161804.22004057228</v>
      </c>
      <c r="GF5" s="1">
        <v>159036.20865028375</v>
      </c>
      <c r="GG5" s="1">
        <v>168934.13108435977</v>
      </c>
      <c r="GH5" s="1">
        <v>170047.54004146135</v>
      </c>
      <c r="GI5" s="1">
        <v>172695.29274594327</v>
      </c>
      <c r="GJ5" s="1">
        <v>180133.25714407244</v>
      </c>
      <c r="GK5" s="1">
        <v>180183.99063561085</v>
      </c>
      <c r="GL5" s="1">
        <v>180528.37567183378</v>
      </c>
      <c r="GM5" s="1">
        <v>177167.77482887905</v>
      </c>
      <c r="GN5" s="1">
        <v>168135.06578022899</v>
      </c>
      <c r="GO5" s="1">
        <v>182921.59699931432</v>
      </c>
      <c r="GP5" s="1">
        <v>200823.69325523521</v>
      </c>
      <c r="GQ5" s="1">
        <v>194617.62121174284</v>
      </c>
      <c r="GR5" s="1">
        <v>189491.01987341646</v>
      </c>
      <c r="GS5" s="1">
        <v>195727.87804885284</v>
      </c>
      <c r="GT5" s="1">
        <v>191126.12001094551</v>
      </c>
      <c r="GU5" s="1">
        <v>184404.52806769151</v>
      </c>
      <c r="GV5" s="1">
        <v>188221.07674673258</v>
      </c>
      <c r="GW5" s="1">
        <v>189767.04434177704</v>
      </c>
      <c r="GX5" s="1">
        <v>199602.5545222275</v>
      </c>
      <c r="GY5" s="1">
        <v>196304.65780678467</v>
      </c>
      <c r="GZ5" s="1">
        <v>193014.536307873</v>
      </c>
      <c r="HA5" s="1" t="str">
        <f t="shared" si="1"/>
        <v/>
      </c>
      <c r="HB5" s="1" t="str">
        <f t="shared" si="1"/>
        <v/>
      </c>
      <c r="HC5" s="1" t="str">
        <f t="shared" si="1"/>
        <v/>
      </c>
      <c r="HD5" s="1" t="str">
        <f t="shared" si="1"/>
        <v/>
      </c>
      <c r="HE5" s="1" t="str">
        <f t="shared" si="1"/>
        <v/>
      </c>
      <c r="HF5" s="1" t="str">
        <f t="shared" si="1"/>
        <v/>
      </c>
      <c r="HG5" s="1" t="str">
        <f t="shared" si="1"/>
        <v/>
      </c>
      <c r="HH5" s="1" t="str">
        <f t="shared" si="1"/>
        <v/>
      </c>
      <c r="HI5" s="1" t="str">
        <f t="shared" si="1"/>
        <v/>
      </c>
      <c r="HJ5" s="1" t="str">
        <f t="shared" si="1"/>
        <v/>
      </c>
      <c r="HK5" s="1" t="str">
        <f t="shared" si="1"/>
        <v/>
      </c>
      <c r="HL5" s="1" t="str">
        <f t="shared" si="1"/>
        <v/>
      </c>
      <c r="HM5" s="1" t="str">
        <f t="shared" si="1"/>
        <v/>
      </c>
      <c r="HN5" s="1" t="str">
        <f t="shared" si="1"/>
        <v/>
      </c>
      <c r="HO5" s="1" t="str">
        <f t="shared" si="1"/>
        <v/>
      </c>
      <c r="HP5" s="1" t="str">
        <f t="shared" si="1"/>
        <v/>
      </c>
      <c r="HQ5" s="1" t="str">
        <f t="shared" si="1"/>
        <v/>
      </c>
      <c r="HR5" s="1" t="str">
        <f t="shared" si="1"/>
        <v/>
      </c>
      <c r="HS5" s="1" t="str">
        <f t="shared" si="1"/>
        <v/>
      </c>
      <c r="HT5" s="1" t="str">
        <f t="shared" si="1"/>
        <v/>
      </c>
      <c r="HU5" s="1" t="str">
        <f t="shared" si="1"/>
        <v/>
      </c>
      <c r="HV5" s="1" t="str">
        <f t="shared" si="1"/>
        <v/>
      </c>
      <c r="HW5" s="1" t="str">
        <f t="shared" si="1"/>
        <v/>
      </c>
      <c r="HX5" s="1" t="str">
        <f t="shared" si="1"/>
        <v/>
      </c>
      <c r="HY5" s="1" t="str">
        <f t="shared" si="1"/>
        <v/>
      </c>
      <c r="HZ5" s="1" t="str">
        <f t="shared" si="1"/>
        <v/>
      </c>
      <c r="IA5" s="1" t="str">
        <f t="shared" si="1"/>
        <v/>
      </c>
      <c r="IB5" s="1" t="str">
        <f t="shared" si="1"/>
        <v/>
      </c>
      <c r="IC5" s="1" t="str">
        <f t="shared" si="1"/>
        <v/>
      </c>
      <c r="ID5" s="1" t="str">
        <f t="shared" si="1"/>
        <v/>
      </c>
      <c r="IE5" s="1" t="str">
        <f t="shared" si="1"/>
        <v/>
      </c>
      <c r="IF5" s="1" t="str">
        <f t="shared" si="1"/>
        <v/>
      </c>
      <c r="IG5" s="1" t="str">
        <f t="shared" si="1"/>
        <v/>
      </c>
      <c r="IH5" s="1" t="str">
        <f t="shared" si="1"/>
        <v/>
      </c>
      <c r="II5" s="1" t="str">
        <f t="shared" si="1"/>
        <v/>
      </c>
      <c r="IJ5" s="1" t="str">
        <f t="shared" si="1"/>
        <v/>
      </c>
      <c r="IK5" s="1" t="str">
        <f t="shared" si="1"/>
        <v/>
      </c>
      <c r="IL5" s="1" t="str">
        <f t="shared" si="1"/>
        <v/>
      </c>
      <c r="IM5" s="1" t="str">
        <f t="shared" si="1"/>
        <v/>
      </c>
      <c r="IN5" s="1" t="str">
        <f t="shared" si="1"/>
        <v/>
      </c>
      <c r="IO5" s="1" t="str">
        <f t="shared" si="1"/>
        <v/>
      </c>
      <c r="IP5" s="1" t="str">
        <f t="shared" si="1"/>
        <v/>
      </c>
      <c r="IQ5" s="1" t="str">
        <f t="shared" si="1"/>
        <v/>
      </c>
      <c r="IR5" s="1" t="str">
        <f t="shared" si="1"/>
        <v/>
      </c>
      <c r="IS5" s="1" t="str">
        <f t="shared" si="1"/>
        <v/>
      </c>
      <c r="IT5" s="1" t="str">
        <f t="shared" si="1"/>
        <v/>
      </c>
      <c r="IU5" s="1" t="str">
        <f t="shared" si="1"/>
        <v/>
      </c>
      <c r="IV5" s="1" t="str">
        <f t="shared" si="1"/>
        <v/>
      </c>
      <c r="IW5" s="1" t="str">
        <f t="shared" si="1"/>
        <v/>
      </c>
      <c r="IX5" s="1" t="str">
        <f t="shared" si="1"/>
        <v/>
      </c>
      <c r="IY5" s="1" t="str">
        <f t="shared" si="1"/>
        <v/>
      </c>
      <c r="IZ5" s="1" t="str">
        <f t="shared" si="1"/>
        <v/>
      </c>
      <c r="JA5" s="1" t="str">
        <f t="shared" si="1"/>
        <v/>
      </c>
      <c r="JB5" s="1" t="str">
        <f t="shared" si="1"/>
        <v/>
      </c>
      <c r="JC5" s="1" t="str">
        <f t="shared" si="1"/>
        <v/>
      </c>
      <c r="JD5" s="1" t="str">
        <f t="shared" si="1"/>
        <v/>
      </c>
      <c r="JE5" s="1" t="str">
        <f t="shared" si="1"/>
        <v/>
      </c>
      <c r="JF5" s="1" t="str">
        <f t="shared" si="1"/>
        <v/>
      </c>
      <c r="JG5" s="1" t="str">
        <f t="shared" si="1"/>
        <v/>
      </c>
      <c r="JH5" s="1" t="str">
        <f t="shared" si="1"/>
        <v/>
      </c>
      <c r="LY5" s="1"/>
    </row>
    <row r="6" spans="1:337" x14ac:dyDescent="0.25">
      <c r="A6" s="5">
        <v>4</v>
      </c>
      <c r="B6" s="1">
        <v>96156.1750691161</v>
      </c>
      <c r="C6" s="1">
        <v>92203.00176435984</v>
      </c>
      <c r="D6" s="1">
        <v>89866.797163552517</v>
      </c>
      <c r="E6" s="1">
        <v>88249.445599373023</v>
      </c>
      <c r="F6" s="1">
        <v>91813.638208842021</v>
      </c>
      <c r="G6" s="1">
        <v>91951.657819553802</v>
      </c>
      <c r="H6" s="1">
        <v>92176.331370205851</v>
      </c>
      <c r="I6" s="1">
        <v>93951.058119848851</v>
      </c>
      <c r="J6" s="1">
        <v>96935.94867751826</v>
      </c>
      <c r="K6" s="1">
        <v>98411.253754181584</v>
      </c>
      <c r="L6" s="1">
        <v>100052.57429930715</v>
      </c>
      <c r="M6" s="1">
        <v>99844.21854302469</v>
      </c>
      <c r="N6" s="1">
        <v>97083.625586960639</v>
      </c>
      <c r="O6" s="1">
        <v>94245.912329925981</v>
      </c>
      <c r="P6" s="1">
        <v>89988.308646621474</v>
      </c>
      <c r="Q6" s="1">
        <v>88210.395171906945</v>
      </c>
      <c r="R6" s="1">
        <v>89485.577654830529</v>
      </c>
      <c r="S6" s="1">
        <v>89915.841060147941</v>
      </c>
      <c r="T6" s="1">
        <v>90154.592265011015</v>
      </c>
      <c r="U6" s="1">
        <v>93260.941205929004</v>
      </c>
      <c r="V6" s="1">
        <v>97508.357015036308</v>
      </c>
      <c r="W6" s="1">
        <v>101248.53761765489</v>
      </c>
      <c r="X6" s="1">
        <v>102616.50156972592</v>
      </c>
      <c r="Y6" s="1">
        <v>101192.62988658651</v>
      </c>
      <c r="Z6" s="1">
        <v>97913.122099638465</v>
      </c>
      <c r="AA6" s="1">
        <v>93235.940864705975</v>
      </c>
      <c r="AB6" s="1">
        <v>88943.375429112348</v>
      </c>
      <c r="AC6" s="1">
        <v>85279.06608454464</v>
      </c>
      <c r="AD6" s="1">
        <v>86549.375223163865</v>
      </c>
      <c r="AE6" s="1">
        <v>87075.814913109905</v>
      </c>
      <c r="AF6" s="1">
        <v>88977.639536106406</v>
      </c>
      <c r="AG6" s="1">
        <v>91103.101369134602</v>
      </c>
      <c r="AH6" s="1">
        <v>95007.603520530363</v>
      </c>
      <c r="AI6" s="1">
        <v>99031.144671303671</v>
      </c>
      <c r="AJ6" s="1">
        <v>98949.378291310102</v>
      </c>
      <c r="AK6" s="1">
        <v>97379.761830796138</v>
      </c>
      <c r="AL6" s="1">
        <v>92578.047780075838</v>
      </c>
      <c r="AM6" s="1">
        <v>88133.53979731079</v>
      </c>
      <c r="AN6" s="1">
        <v>84154.582950966666</v>
      </c>
      <c r="AO6" s="1">
        <v>81656.01984642219</v>
      </c>
      <c r="AP6" s="1">
        <v>84704.885460113641</v>
      </c>
      <c r="AQ6" s="1">
        <v>85950.370342074137</v>
      </c>
      <c r="AR6" s="1">
        <v>88684.557659372527</v>
      </c>
      <c r="AS6" s="1">
        <v>91580.835693786066</v>
      </c>
      <c r="AT6" s="1">
        <v>95672.105675856088</v>
      </c>
      <c r="AU6" s="1">
        <v>99123.427715601487</v>
      </c>
      <c r="AV6" s="1">
        <v>99296.856931722039</v>
      </c>
      <c r="AW6" s="1">
        <v>99308.977428908576</v>
      </c>
      <c r="AX6" s="1">
        <v>96021.230456074496</v>
      </c>
      <c r="AY6" s="1">
        <v>94648.083655233291</v>
      </c>
      <c r="AZ6" s="1">
        <v>94923.350147118093</v>
      </c>
      <c r="BA6" s="1">
        <v>94456.66116321311</v>
      </c>
      <c r="BB6" s="1">
        <v>100002.35587276169</v>
      </c>
      <c r="BC6" s="1">
        <v>105152.13437224913</v>
      </c>
      <c r="BD6" s="1">
        <v>112135.79542225787</v>
      </c>
      <c r="BE6" s="1">
        <v>120959.74635303536</v>
      </c>
      <c r="BF6" s="1">
        <v>127426.8775128042</v>
      </c>
      <c r="BG6" s="1">
        <v>133795.33034354809</v>
      </c>
      <c r="BH6" s="1">
        <v>153368.49233963399</v>
      </c>
      <c r="BI6" s="1">
        <v>166109.62153856858</v>
      </c>
      <c r="BJ6" s="1">
        <v>174832.89261387303</v>
      </c>
      <c r="BK6" s="1">
        <v>170095.40171663841</v>
      </c>
      <c r="BL6" s="1">
        <v>177687.5179210495</v>
      </c>
      <c r="BM6" s="1">
        <v>188207.44814616186</v>
      </c>
      <c r="BN6" s="1">
        <v>192672.09782867739</v>
      </c>
      <c r="BO6" s="1">
        <v>191936.95322576805</v>
      </c>
      <c r="BP6" s="1">
        <v>188085.88717976684</v>
      </c>
      <c r="BQ6" s="1">
        <v>183664.3516461766</v>
      </c>
      <c r="BR6" s="1">
        <v>189042.26176454622</v>
      </c>
      <c r="BS6" s="1">
        <v>190347.09089994314</v>
      </c>
      <c r="BT6" s="1">
        <v>211322.84623465425</v>
      </c>
      <c r="BU6" s="1">
        <v>203414.91725041636</v>
      </c>
      <c r="BV6" s="1">
        <v>204632.56723239779</v>
      </c>
      <c r="BW6" s="1">
        <v>200789.77757290271</v>
      </c>
      <c r="BX6" s="1">
        <v>197766.64116940415</v>
      </c>
      <c r="BY6" s="1">
        <v>196188.25796346748</v>
      </c>
      <c r="BZ6" s="1">
        <v>198022.92693140294</v>
      </c>
      <c r="CA6" s="1">
        <v>194436.86301722599</v>
      </c>
      <c r="CB6" s="1">
        <v>201474.96168938343</v>
      </c>
      <c r="CC6" s="1">
        <v>201914.50122314494</v>
      </c>
      <c r="CD6" s="1">
        <v>210151.29953764105</v>
      </c>
      <c r="CE6" s="1">
        <v>209390.17640815763</v>
      </c>
      <c r="CF6" s="1">
        <v>221702.05150728516</v>
      </c>
      <c r="CG6" s="1">
        <v>225479.52900466032</v>
      </c>
      <c r="CH6" s="1">
        <v>214704.90393212173</v>
      </c>
      <c r="CI6" s="1">
        <v>214984.21410636063</v>
      </c>
      <c r="CJ6" s="1">
        <v>208719.17178469204</v>
      </c>
      <c r="CK6" s="1">
        <v>198432.0060361845</v>
      </c>
      <c r="CL6" s="1">
        <v>202335.07020659314</v>
      </c>
      <c r="CM6" s="1">
        <v>204768.82444668974</v>
      </c>
      <c r="CN6" s="1">
        <v>219239.5740822673</v>
      </c>
      <c r="CO6" s="1">
        <v>226012.34945752751</v>
      </c>
      <c r="CP6" s="1">
        <v>225114.54946995806</v>
      </c>
      <c r="CQ6" s="1">
        <v>236411.30636368954</v>
      </c>
      <c r="CR6" s="1">
        <v>248735.40610049607</v>
      </c>
      <c r="CS6" s="1">
        <v>246544.45210474654</v>
      </c>
      <c r="CT6" s="1">
        <v>237080.42716985513</v>
      </c>
      <c r="CU6" s="1">
        <v>239531.09458934725</v>
      </c>
      <c r="CV6" s="1">
        <v>240191.47486163321</v>
      </c>
      <c r="CW6" s="1">
        <v>240420.40350518841</v>
      </c>
      <c r="CX6" s="1">
        <v>247546.63032725282</v>
      </c>
      <c r="CY6" s="1">
        <v>246792.10797611158</v>
      </c>
      <c r="CZ6" s="1">
        <v>254327.72985961105</v>
      </c>
      <c r="DA6" s="1">
        <v>269438.963525492</v>
      </c>
      <c r="DB6" s="1">
        <v>270570.77639713848</v>
      </c>
      <c r="DC6" s="1">
        <v>266078.33192806027</v>
      </c>
      <c r="DD6" s="1">
        <v>281987.95541178057</v>
      </c>
      <c r="DE6" s="1">
        <v>290224.59422893595</v>
      </c>
      <c r="DF6" s="1">
        <v>280008.11782280903</v>
      </c>
      <c r="DG6" s="1">
        <v>276721.56982939981</v>
      </c>
      <c r="DH6" s="1">
        <v>262944.19685905112</v>
      </c>
      <c r="DI6" s="1">
        <v>261542.24566324995</v>
      </c>
      <c r="DJ6" s="1">
        <v>253344.35542194481</v>
      </c>
      <c r="DK6" s="1">
        <v>249676.54341554822</v>
      </c>
      <c r="DL6" s="1">
        <v>255110.60450158652</v>
      </c>
      <c r="DM6" s="1">
        <v>257639.31555122542</v>
      </c>
      <c r="DN6" s="1">
        <v>261209.97224400018</v>
      </c>
      <c r="DO6" s="1">
        <v>257970.97217176482</v>
      </c>
      <c r="DP6" s="1">
        <v>269757.35891391843</v>
      </c>
      <c r="DQ6" s="1">
        <v>269755.21359380521</v>
      </c>
      <c r="DR6" s="1">
        <v>252822.88152931229</v>
      </c>
      <c r="DS6" s="1">
        <v>244094.40685818007</v>
      </c>
      <c r="DT6" s="1">
        <v>237857.00161093631</v>
      </c>
      <c r="DU6" s="1">
        <v>233391.8777256592</v>
      </c>
      <c r="DV6" s="1">
        <v>232631.61351017281</v>
      </c>
      <c r="DW6" s="1">
        <v>221278.74287742213</v>
      </c>
      <c r="DX6" s="1">
        <v>239333.02328869799</v>
      </c>
      <c r="DY6" s="1">
        <v>243685.42016070825</v>
      </c>
      <c r="DZ6" s="1">
        <v>236436.88835965403</v>
      </c>
      <c r="EA6" s="1">
        <v>242936.72275934665</v>
      </c>
      <c r="EB6" s="1">
        <v>246765.69801653159</v>
      </c>
      <c r="EC6" s="1">
        <v>239319.19015310938</v>
      </c>
      <c r="ED6" s="1">
        <v>237962.78356095965</v>
      </c>
      <c r="EE6" s="1">
        <v>230878.83823917102</v>
      </c>
      <c r="EF6" s="1">
        <v>219011.56402167658</v>
      </c>
      <c r="EG6" s="1">
        <v>214751.11603526134</v>
      </c>
      <c r="EH6" s="1">
        <v>203910.74963420385</v>
      </c>
      <c r="EI6" s="1">
        <v>196088.77932689164</v>
      </c>
      <c r="EJ6" s="1">
        <v>211178.10980532062</v>
      </c>
      <c r="EK6" s="1">
        <v>217919.07870382431</v>
      </c>
      <c r="EL6" s="1">
        <v>220464.46811156004</v>
      </c>
      <c r="EM6" s="1">
        <v>226396.33115292151</v>
      </c>
      <c r="EN6" s="1">
        <v>231639.84544906818</v>
      </c>
      <c r="EO6" s="1">
        <v>224929.66937939025</v>
      </c>
      <c r="EP6" s="1">
        <v>217375.93719828717</v>
      </c>
      <c r="EQ6" s="1">
        <v>210808.45468412194</v>
      </c>
      <c r="ER6" s="1">
        <v>203769.94396415626</v>
      </c>
      <c r="ES6" s="1">
        <v>198321.07508663379</v>
      </c>
      <c r="ET6" s="1">
        <v>194929.15811001754</v>
      </c>
      <c r="EU6" s="1">
        <v>179765.1250074066</v>
      </c>
      <c r="EV6" s="1">
        <v>188944.97019095093</v>
      </c>
      <c r="EW6" s="1">
        <v>194070.60342974003</v>
      </c>
      <c r="EX6" s="1">
        <v>195937.27173310023</v>
      </c>
      <c r="EY6" s="1">
        <v>199687.17952087842</v>
      </c>
      <c r="EZ6" s="1">
        <v>202802.69654309715</v>
      </c>
      <c r="FA6" s="1">
        <v>206894.32530444907</v>
      </c>
      <c r="FB6" s="1">
        <v>193216.89982772793</v>
      </c>
      <c r="FC6" s="1">
        <v>183679.23690144101</v>
      </c>
      <c r="FD6" s="1">
        <v>176470.70421859005</v>
      </c>
      <c r="FE6" s="1">
        <v>173916.01249879174</v>
      </c>
      <c r="FF6" s="1">
        <v>180421.73363083764</v>
      </c>
      <c r="FG6" s="1">
        <v>175196.28160828972</v>
      </c>
      <c r="FH6" s="1">
        <v>181697.04419193781</v>
      </c>
      <c r="FI6" s="1">
        <v>185438.09484475467</v>
      </c>
      <c r="FJ6" s="1">
        <v>181902.38631509891</v>
      </c>
      <c r="FK6" s="1">
        <v>194116.72686226448</v>
      </c>
      <c r="FL6" s="1">
        <v>181240.28080567654</v>
      </c>
      <c r="FM6" s="1">
        <v>177938.83330520859</v>
      </c>
      <c r="FN6" s="1">
        <v>174908.94957604157</v>
      </c>
      <c r="FO6" s="1">
        <v>174740.21001192532</v>
      </c>
      <c r="FP6" s="1">
        <v>165713.80803664436</v>
      </c>
      <c r="FQ6" s="1">
        <v>167840.41400589573</v>
      </c>
      <c r="FR6" s="1">
        <v>171000.1005571381</v>
      </c>
      <c r="FS6" s="1">
        <v>167490.06823581475</v>
      </c>
      <c r="FT6" s="1">
        <v>179345.57909992125</v>
      </c>
      <c r="FU6" s="1">
        <v>178204.14203948836</v>
      </c>
      <c r="FV6" s="1">
        <v>178598.48369566834</v>
      </c>
      <c r="FW6" s="1">
        <v>185218.86889024614</v>
      </c>
      <c r="FX6" s="1">
        <v>180095.23446922732</v>
      </c>
      <c r="FY6" s="1">
        <v>172727.34880128887</v>
      </c>
      <c r="FZ6" s="1">
        <v>161762.34514013276</v>
      </c>
      <c r="GA6" s="1">
        <v>157621.91276620328</v>
      </c>
      <c r="GB6" s="1">
        <v>151386.83924168692</v>
      </c>
      <c r="GC6" s="1">
        <v>149643.74201175774</v>
      </c>
      <c r="GD6" s="1">
        <v>156066.97281320131</v>
      </c>
      <c r="GE6" s="1">
        <v>155970.6329287038</v>
      </c>
      <c r="GF6" s="1">
        <v>168045.24365298575</v>
      </c>
      <c r="GG6" s="1">
        <v>168807.58876330667</v>
      </c>
      <c r="GH6" s="1">
        <v>170070.46827095211</v>
      </c>
      <c r="GI6" s="1">
        <v>179572.9365203713</v>
      </c>
      <c r="GJ6" s="1">
        <v>183036.31522328543</v>
      </c>
      <c r="GK6" s="1">
        <v>180910.17518365267</v>
      </c>
      <c r="GL6" s="1">
        <v>177622.5627162481</v>
      </c>
      <c r="GM6" s="1">
        <v>173913.71850681538</v>
      </c>
      <c r="GN6" s="1">
        <v>163306.11473391773</v>
      </c>
      <c r="GO6" s="1">
        <v>182614.4120666805</v>
      </c>
      <c r="GP6" s="1">
        <v>206588.08774842482</v>
      </c>
      <c r="GQ6" s="1">
        <v>194277.39897275486</v>
      </c>
      <c r="GR6" s="1">
        <v>198173.37298281005</v>
      </c>
      <c r="GS6" s="1">
        <v>195847.77293965511</v>
      </c>
      <c r="GT6" s="1">
        <v>193066.18253375776</v>
      </c>
      <c r="GU6" s="1">
        <v>190003.35654315012</v>
      </c>
      <c r="GV6" s="1">
        <v>190225.83265100495</v>
      </c>
      <c r="GW6" s="1">
        <v>192749.8704853878</v>
      </c>
      <c r="GX6" s="1">
        <v>197256.57177593827</v>
      </c>
      <c r="GY6" s="1">
        <v>192565.10955484174</v>
      </c>
      <c r="GZ6" s="1">
        <v>189183.16522299699</v>
      </c>
      <c r="HA6" s="1" t="str">
        <f t="shared" si="1"/>
        <v/>
      </c>
      <c r="HB6" s="1" t="str">
        <f t="shared" si="1"/>
        <v/>
      </c>
      <c r="HC6" s="1" t="str">
        <f t="shared" si="1"/>
        <v/>
      </c>
      <c r="HD6" s="1" t="str">
        <f t="shared" si="1"/>
        <v/>
      </c>
      <c r="HE6" s="1" t="str">
        <f t="shared" si="1"/>
        <v/>
      </c>
      <c r="HF6" s="1" t="str">
        <f t="shared" si="1"/>
        <v/>
      </c>
      <c r="HG6" s="1" t="str">
        <f t="shared" si="1"/>
        <v/>
      </c>
      <c r="HH6" s="1" t="str">
        <f t="shared" si="1"/>
        <v/>
      </c>
      <c r="HI6" s="1" t="str">
        <f t="shared" si="1"/>
        <v/>
      </c>
      <c r="HJ6" s="1" t="str">
        <f t="shared" si="1"/>
        <v/>
      </c>
      <c r="HK6" s="1" t="str">
        <f t="shared" si="1"/>
        <v/>
      </c>
      <c r="HL6" s="1" t="str">
        <f t="shared" si="1"/>
        <v/>
      </c>
      <c r="HM6" s="1" t="str">
        <f t="shared" si="1"/>
        <v/>
      </c>
      <c r="HN6" s="1" t="str">
        <f t="shared" si="1"/>
        <v/>
      </c>
      <c r="HO6" s="1" t="str">
        <f t="shared" si="1"/>
        <v/>
      </c>
      <c r="HP6" s="1" t="str">
        <f t="shared" si="1"/>
        <v/>
      </c>
      <c r="HQ6" s="1" t="str">
        <f t="shared" si="1"/>
        <v/>
      </c>
      <c r="HR6" s="1" t="str">
        <f t="shared" si="1"/>
        <v/>
      </c>
      <c r="HS6" s="1" t="str">
        <f t="shared" si="1"/>
        <v/>
      </c>
      <c r="HT6" s="1" t="str">
        <f t="shared" si="1"/>
        <v/>
      </c>
      <c r="HU6" s="1" t="str">
        <f t="shared" si="1"/>
        <v/>
      </c>
      <c r="HV6" s="1" t="str">
        <f t="shared" si="1"/>
        <v/>
      </c>
      <c r="HW6" s="1" t="str">
        <f t="shared" si="1"/>
        <v/>
      </c>
      <c r="HX6" s="1" t="str">
        <f t="shared" si="1"/>
        <v/>
      </c>
      <c r="HY6" s="1" t="str">
        <f t="shared" si="1"/>
        <v/>
      </c>
      <c r="HZ6" s="1" t="str">
        <f t="shared" si="1"/>
        <v/>
      </c>
      <c r="IA6" s="1" t="str">
        <f t="shared" si="1"/>
        <v/>
      </c>
      <c r="IB6" s="1" t="str">
        <f t="shared" si="1"/>
        <v/>
      </c>
      <c r="IC6" s="1" t="str">
        <f t="shared" si="1"/>
        <v/>
      </c>
      <c r="ID6" s="1" t="str">
        <f t="shared" si="1"/>
        <v/>
      </c>
      <c r="IE6" s="1" t="str">
        <f t="shared" si="1"/>
        <v/>
      </c>
      <c r="IF6" s="1" t="str">
        <f t="shared" si="1"/>
        <v/>
      </c>
      <c r="IG6" s="1" t="str">
        <f t="shared" si="1"/>
        <v/>
      </c>
      <c r="IH6" s="1" t="str">
        <f t="shared" si="1"/>
        <v/>
      </c>
      <c r="II6" s="1" t="str">
        <f t="shared" si="1"/>
        <v/>
      </c>
      <c r="IJ6" s="1" t="str">
        <f t="shared" si="1"/>
        <v/>
      </c>
      <c r="IK6" s="1" t="str">
        <f t="shared" si="1"/>
        <v/>
      </c>
      <c r="IL6" s="1" t="str">
        <f t="shared" si="1"/>
        <v/>
      </c>
      <c r="IM6" s="1" t="str">
        <f t="shared" si="1"/>
        <v/>
      </c>
      <c r="IN6" s="1" t="str">
        <f t="shared" si="1"/>
        <v/>
      </c>
      <c r="IO6" s="1" t="str">
        <f t="shared" si="1"/>
        <v/>
      </c>
      <c r="IP6" s="1" t="str">
        <f t="shared" si="1"/>
        <v/>
      </c>
      <c r="IQ6" s="1" t="str">
        <f t="shared" si="1"/>
        <v/>
      </c>
      <c r="IR6" s="1" t="str">
        <f t="shared" si="1"/>
        <v/>
      </c>
      <c r="IS6" s="1" t="str">
        <f t="shared" si="1"/>
        <v/>
      </c>
      <c r="IT6" s="1" t="str">
        <f t="shared" si="1"/>
        <v/>
      </c>
      <c r="IU6" s="1" t="str">
        <f t="shared" si="1"/>
        <v/>
      </c>
      <c r="IV6" s="1" t="str">
        <f t="shared" si="1"/>
        <v/>
      </c>
      <c r="IW6" s="1" t="str">
        <f t="shared" si="1"/>
        <v/>
      </c>
      <c r="IX6" s="1" t="str">
        <f t="shared" si="1"/>
        <v/>
      </c>
      <c r="IY6" s="1" t="str">
        <f t="shared" si="1"/>
        <v/>
      </c>
      <c r="IZ6" s="1" t="str">
        <f t="shared" si="1"/>
        <v/>
      </c>
      <c r="JA6" s="1" t="str">
        <f t="shared" si="1"/>
        <v/>
      </c>
      <c r="JB6" s="1" t="str">
        <f t="shared" si="1"/>
        <v/>
      </c>
      <c r="JC6" s="1" t="str">
        <f t="shared" si="1"/>
        <v/>
      </c>
      <c r="JD6" s="1" t="str">
        <f t="shared" si="1"/>
        <v/>
      </c>
      <c r="JE6" s="1" t="str">
        <f t="shared" si="1"/>
        <v/>
      </c>
      <c r="JF6" s="1" t="str">
        <f t="shared" si="1"/>
        <v/>
      </c>
      <c r="JG6" s="1" t="str">
        <f t="shared" si="1"/>
        <v/>
      </c>
      <c r="JH6" s="1" t="str">
        <f t="shared" si="1"/>
        <v/>
      </c>
      <c r="LY6" s="1"/>
    </row>
    <row r="7" spans="1:337" x14ac:dyDescent="0.25">
      <c r="A7" s="5">
        <v>5</v>
      </c>
      <c r="B7" s="1">
        <v>93079.099474097107</v>
      </c>
      <c r="C7" s="1">
        <v>90232.778600229751</v>
      </c>
      <c r="D7" s="1">
        <v>87510.341712813999</v>
      </c>
      <c r="E7" s="1">
        <v>89552.197083080609</v>
      </c>
      <c r="F7" s="1">
        <v>93046.487535655411</v>
      </c>
      <c r="G7" s="1">
        <v>94101.639109122669</v>
      </c>
      <c r="H7" s="1">
        <v>94151.918821439904</v>
      </c>
      <c r="I7" s="1">
        <v>97864.429831759204</v>
      </c>
      <c r="J7" s="1">
        <v>100130.67737116966</v>
      </c>
      <c r="K7" s="1">
        <v>99857.545228443792</v>
      </c>
      <c r="L7" s="1">
        <v>99550.782888419257</v>
      </c>
      <c r="M7" s="1">
        <v>96704.320903878659</v>
      </c>
      <c r="N7" s="1">
        <v>93004.194021963951</v>
      </c>
      <c r="O7" s="1">
        <v>91257.472525819787</v>
      </c>
      <c r="P7" s="1">
        <v>87730.161074444753</v>
      </c>
      <c r="Q7" s="1">
        <v>89468.450515229459</v>
      </c>
      <c r="R7" s="1">
        <v>89747.55203679984</v>
      </c>
      <c r="S7" s="1">
        <v>91681.036721411074</v>
      </c>
      <c r="T7" s="1">
        <v>92536.701970625145</v>
      </c>
      <c r="U7" s="1">
        <v>97279.196488389323</v>
      </c>
      <c r="V7" s="1">
        <v>101296.49111827521</v>
      </c>
      <c r="W7" s="1">
        <v>101903.51706383991</v>
      </c>
      <c r="X7" s="1">
        <v>102266.79207451154</v>
      </c>
      <c r="Y7" s="1">
        <v>98732.653434311185</v>
      </c>
      <c r="Z7" s="1">
        <v>93741.030544945737</v>
      </c>
      <c r="AA7" s="1">
        <v>89160.590358941641</v>
      </c>
      <c r="AB7" s="1">
        <v>86675.182022771885</v>
      </c>
      <c r="AC7" s="1">
        <v>87024.849639718144</v>
      </c>
      <c r="AD7" s="1">
        <v>86849.183885742095</v>
      </c>
      <c r="AE7" s="1">
        <v>88906.695815999032</v>
      </c>
      <c r="AF7" s="1">
        <v>90830.160303261539</v>
      </c>
      <c r="AG7" s="1">
        <v>94775.450810131952</v>
      </c>
      <c r="AH7" s="1">
        <v>98863.648264435134</v>
      </c>
      <c r="AI7" s="1">
        <v>99698.547811164652</v>
      </c>
      <c r="AJ7" s="1">
        <v>98429.50716988268</v>
      </c>
      <c r="AK7" s="1">
        <v>94166.733878913306</v>
      </c>
      <c r="AL7" s="1">
        <v>88899.165520160648</v>
      </c>
      <c r="AM7" s="1">
        <v>84312.94171528297</v>
      </c>
      <c r="AN7" s="1">
        <v>81996.852007511392</v>
      </c>
      <c r="AO7" s="1">
        <v>83357.985525721451</v>
      </c>
      <c r="AP7" s="1">
        <v>85126.16325129196</v>
      </c>
      <c r="AQ7" s="1">
        <v>87523.834837820468</v>
      </c>
      <c r="AR7" s="1">
        <v>90138.623807936659</v>
      </c>
      <c r="AS7" s="1">
        <v>94469.778040785372</v>
      </c>
      <c r="AT7" s="1">
        <v>99392.74135169934</v>
      </c>
      <c r="AU7" s="1">
        <v>99849.01230277757</v>
      </c>
      <c r="AV7" s="1">
        <v>98516.668178460779</v>
      </c>
      <c r="AW7" s="1">
        <v>96969.177323386015</v>
      </c>
      <c r="AX7" s="1">
        <v>92384.223124985554</v>
      </c>
      <c r="AY7" s="1">
        <v>91230.787832941278</v>
      </c>
      <c r="AZ7" s="1">
        <v>93684.491775332863</v>
      </c>
      <c r="BA7" s="1">
        <v>96158.364413243369</v>
      </c>
      <c r="BB7" s="1">
        <v>100174.77158442733</v>
      </c>
      <c r="BC7" s="1">
        <v>106812.37731546146</v>
      </c>
      <c r="BD7" s="1">
        <v>114437.18701947035</v>
      </c>
      <c r="BE7" s="1">
        <v>125497.52290866144</v>
      </c>
      <c r="BF7" s="1">
        <v>134662.47857632878</v>
      </c>
      <c r="BG7" s="1">
        <v>137243.36569967284</v>
      </c>
      <c r="BH7" s="1">
        <v>157251.08238465013</v>
      </c>
      <c r="BI7" s="1">
        <v>167877.93264590626</v>
      </c>
      <c r="BJ7" s="1">
        <v>178238.42583590513</v>
      </c>
      <c r="BK7" s="1">
        <v>171926.85258934146</v>
      </c>
      <c r="BL7" s="1">
        <v>181685.9499022633</v>
      </c>
      <c r="BM7" s="1">
        <v>195854.967038762</v>
      </c>
      <c r="BN7" s="1">
        <v>199338.2191412031</v>
      </c>
      <c r="BO7" s="1">
        <v>201888.36970687233</v>
      </c>
      <c r="BP7" s="1">
        <v>198043.31619154062</v>
      </c>
      <c r="BQ7" s="1">
        <v>189561.55041372689</v>
      </c>
      <c r="BR7" s="1">
        <v>198232.17538544931</v>
      </c>
      <c r="BS7" s="1">
        <v>195994.07331306953</v>
      </c>
      <c r="BT7" s="1">
        <v>217001.42022389872</v>
      </c>
      <c r="BU7" s="1">
        <v>202777.25141612472</v>
      </c>
      <c r="BV7" s="1">
        <v>201942.827535627</v>
      </c>
      <c r="BW7" s="1">
        <v>196364.40897855541</v>
      </c>
      <c r="BX7" s="1">
        <v>195971.30584364638</v>
      </c>
      <c r="BY7" s="1">
        <v>201062.5903434591</v>
      </c>
      <c r="BZ7" s="1">
        <v>198906.26126785265</v>
      </c>
      <c r="CA7" s="1">
        <v>204135.12906456611</v>
      </c>
      <c r="CB7" s="1">
        <v>204880.71433209148</v>
      </c>
      <c r="CC7" s="1">
        <v>207126.65253571013</v>
      </c>
      <c r="CD7" s="1">
        <v>215397.06670951599</v>
      </c>
      <c r="CE7" s="1">
        <v>214434.21302826295</v>
      </c>
      <c r="CF7" s="1">
        <v>223162.79014343524</v>
      </c>
      <c r="CG7" s="1">
        <v>224367.38650594369</v>
      </c>
      <c r="CH7" s="1">
        <v>210729.54974779335</v>
      </c>
      <c r="CI7" s="1">
        <v>209480.68815982767</v>
      </c>
      <c r="CJ7" s="1">
        <v>205607.39832446346</v>
      </c>
      <c r="CK7" s="1">
        <v>201650.51014485917</v>
      </c>
      <c r="CL7" s="1">
        <v>199294.17795922636</v>
      </c>
      <c r="CM7" s="1">
        <v>213927.29547644316</v>
      </c>
      <c r="CN7" s="1">
        <v>225038.83167866227</v>
      </c>
      <c r="CO7" s="1">
        <v>230758.02009601286</v>
      </c>
      <c r="CP7" s="1">
        <v>231379.69046194269</v>
      </c>
      <c r="CQ7" s="1">
        <v>240651.56287886854</v>
      </c>
      <c r="CR7" s="1">
        <v>251933.30195360375</v>
      </c>
      <c r="CS7" s="1">
        <v>245286.07869279216</v>
      </c>
      <c r="CT7" s="1">
        <v>233183.51573250018</v>
      </c>
      <c r="CU7" s="1">
        <v>234214.89728447207</v>
      </c>
      <c r="CV7" s="1">
        <v>237706.15049079171</v>
      </c>
      <c r="CW7" s="1">
        <v>243840.20142515536</v>
      </c>
      <c r="CX7" s="1">
        <v>248355.74310573144</v>
      </c>
      <c r="CY7" s="1">
        <v>259660.86255639978</v>
      </c>
      <c r="CZ7" s="1">
        <v>258053.36791288573</v>
      </c>
      <c r="DA7" s="1">
        <v>273959.13634007738</v>
      </c>
      <c r="DB7" s="1">
        <v>279932.34353143082</v>
      </c>
      <c r="DC7" s="1">
        <v>273581.27043497941</v>
      </c>
      <c r="DD7" s="1">
        <v>285367.77786717028</v>
      </c>
      <c r="DE7" s="1">
        <v>290717.5769585016</v>
      </c>
      <c r="DF7" s="1">
        <v>275851.44083858747</v>
      </c>
      <c r="DG7" s="1">
        <v>271584.51015421038</v>
      </c>
      <c r="DH7" s="1">
        <v>260778.81335751584</v>
      </c>
      <c r="DI7" s="1">
        <v>262398.70115850406</v>
      </c>
      <c r="DJ7" s="1">
        <v>251237.90389313042</v>
      </c>
      <c r="DK7" s="1">
        <v>257833.25818469597</v>
      </c>
      <c r="DL7" s="1">
        <v>259040.76622597931</v>
      </c>
      <c r="DM7" s="1">
        <v>257352.63166216743</v>
      </c>
      <c r="DN7" s="1">
        <v>267418.7880646796</v>
      </c>
      <c r="DO7" s="1">
        <v>259823.21808920259</v>
      </c>
      <c r="DP7" s="1">
        <v>269564.69292682037</v>
      </c>
      <c r="DQ7" s="1">
        <v>266758.50825225352</v>
      </c>
      <c r="DR7" s="1">
        <v>246018.35504038207</v>
      </c>
      <c r="DS7" s="1">
        <v>235893.97991914849</v>
      </c>
      <c r="DT7" s="1">
        <v>233821.78639473685</v>
      </c>
      <c r="DU7" s="1">
        <v>233004.54742542183</v>
      </c>
      <c r="DV7" s="1">
        <v>225031.34732528246</v>
      </c>
      <c r="DW7" s="1">
        <v>233695.59598212325</v>
      </c>
      <c r="DX7" s="1">
        <v>242274.94837694243</v>
      </c>
      <c r="DY7" s="1">
        <v>240115.33943213144</v>
      </c>
      <c r="DZ7" s="1">
        <v>241502.82751515327</v>
      </c>
      <c r="EA7" s="1">
        <v>244789.35012622588</v>
      </c>
      <c r="EB7" s="1">
        <v>246538.79998292134</v>
      </c>
      <c r="EC7" s="1">
        <v>233607.9642671966</v>
      </c>
      <c r="ED7" s="1">
        <v>230635.87971710728</v>
      </c>
      <c r="EE7" s="1">
        <v>223642.85281075371</v>
      </c>
      <c r="EF7" s="1">
        <v>215697.27804927999</v>
      </c>
      <c r="EG7" s="1">
        <v>213121.27242490905</v>
      </c>
      <c r="EH7" s="1">
        <v>194303.24625045792</v>
      </c>
      <c r="EI7" s="1">
        <v>205714.2973189989</v>
      </c>
      <c r="EJ7" s="1">
        <v>210328.62757820808</v>
      </c>
      <c r="EK7" s="1">
        <v>216952.20971642027</v>
      </c>
      <c r="EL7" s="1">
        <v>226240.91239916676</v>
      </c>
      <c r="EM7" s="1">
        <v>227640.62407211331</v>
      </c>
      <c r="EN7" s="1">
        <v>231729.50984244177</v>
      </c>
      <c r="EO7" s="1">
        <v>217960.64507819293</v>
      </c>
      <c r="EP7" s="1">
        <v>211166.51334261656</v>
      </c>
      <c r="EQ7" s="1">
        <v>203227.80935753675</v>
      </c>
      <c r="ER7" s="1">
        <v>202314.02892791998</v>
      </c>
      <c r="ES7" s="1">
        <v>197899.45306645357</v>
      </c>
      <c r="ET7" s="1">
        <v>185277.22280679096</v>
      </c>
      <c r="EU7" s="1">
        <v>189941.15256705746</v>
      </c>
      <c r="EV7" s="1">
        <v>189120.60439116939</v>
      </c>
      <c r="EW7" s="1">
        <v>192455.19438068476</v>
      </c>
      <c r="EX7" s="1">
        <v>200909.04480478965</v>
      </c>
      <c r="EY7" s="1">
        <v>200378.04277441616</v>
      </c>
      <c r="EZ7" s="1">
        <v>200244.79140664625</v>
      </c>
      <c r="FA7" s="1">
        <v>197774.56871419866</v>
      </c>
      <c r="FB7" s="1">
        <v>184988.3469548187</v>
      </c>
      <c r="FC7" s="1">
        <v>176972.6540883483</v>
      </c>
      <c r="FD7" s="1">
        <v>173639.75782207196</v>
      </c>
      <c r="FE7" s="1">
        <v>174155.61964286008</v>
      </c>
      <c r="FF7" s="1">
        <v>174567.19766773412</v>
      </c>
      <c r="FG7" s="1">
        <v>186111.51334318344</v>
      </c>
      <c r="FH7" s="1">
        <v>184187.48553425795</v>
      </c>
      <c r="FI7" s="1">
        <v>185011.17237951446</v>
      </c>
      <c r="FJ7" s="1">
        <v>186716.98943123402</v>
      </c>
      <c r="FK7" s="1">
        <v>196062.50617396983</v>
      </c>
      <c r="FL7" s="1">
        <v>179094.69064800802</v>
      </c>
      <c r="FM7" s="1">
        <v>171540.44124130221</v>
      </c>
      <c r="FN7" s="1">
        <v>167070.15903041203</v>
      </c>
      <c r="FO7" s="1">
        <v>166853.28776728851</v>
      </c>
      <c r="FP7" s="1">
        <v>164342.51590072984</v>
      </c>
      <c r="FQ7" s="1">
        <v>167665.94047875988</v>
      </c>
      <c r="FR7" s="1">
        <v>165478.25884199512</v>
      </c>
      <c r="FS7" s="1">
        <v>177510.90019680376</v>
      </c>
      <c r="FT7" s="1">
        <v>181215.18675922294</v>
      </c>
      <c r="FU7" s="1">
        <v>178169.61137386633</v>
      </c>
      <c r="FV7" s="1">
        <v>185868.27459286223</v>
      </c>
      <c r="FW7" s="1">
        <v>187012.24089544959</v>
      </c>
      <c r="FX7" s="1">
        <v>179660.36458868865</v>
      </c>
      <c r="FY7" s="1">
        <v>167794.39705752619</v>
      </c>
      <c r="FZ7" s="1">
        <v>154671.26445543487</v>
      </c>
      <c r="GA7" s="1">
        <v>150485.47315252607</v>
      </c>
      <c r="GB7" s="1">
        <v>147879.44659352035</v>
      </c>
      <c r="GC7" s="1">
        <v>149939.69822158647</v>
      </c>
      <c r="GD7" s="1">
        <v>150657.84886829025</v>
      </c>
      <c r="GE7" s="1">
        <v>164679.02518039869</v>
      </c>
      <c r="GF7" s="1">
        <v>167214.21296706347</v>
      </c>
      <c r="GG7" s="1">
        <v>169141.84881135658</v>
      </c>
      <c r="GH7" s="1">
        <v>177105.09241698112</v>
      </c>
      <c r="GI7" s="1">
        <v>182703.47052659409</v>
      </c>
      <c r="GJ7" s="1">
        <v>183818.86887444535</v>
      </c>
      <c r="GK7" s="1">
        <v>179258.67808165096</v>
      </c>
      <c r="GL7" s="1">
        <v>173063.55760364782</v>
      </c>
      <c r="GM7" s="1">
        <v>170418.47861117354</v>
      </c>
      <c r="GN7" s="1">
        <v>162685.52919321184</v>
      </c>
      <c r="GO7" s="1">
        <v>184480.30951128842</v>
      </c>
      <c r="GP7" s="1">
        <v>205886.09454406996</v>
      </c>
      <c r="GQ7" s="1">
        <v>202317.24476058542</v>
      </c>
      <c r="GR7" s="1">
        <v>199952.91804147625</v>
      </c>
      <c r="GS7" s="1">
        <v>196762.00091626099</v>
      </c>
      <c r="GT7" s="1">
        <v>198945.49156167597</v>
      </c>
      <c r="GU7" s="1">
        <v>192683.50362391651</v>
      </c>
      <c r="GV7" s="1">
        <v>191803.39399661456</v>
      </c>
      <c r="GW7" s="1">
        <v>191904.69301106731</v>
      </c>
      <c r="GX7" s="1">
        <v>193312.65594341554</v>
      </c>
      <c r="GY7" s="1">
        <v>187689.84492451965</v>
      </c>
      <c r="GZ7" s="1">
        <v>188790.40583824</v>
      </c>
      <c r="HA7" s="1" t="str">
        <f t="shared" si="1"/>
        <v/>
      </c>
      <c r="HB7" s="1" t="str">
        <f t="shared" si="1"/>
        <v/>
      </c>
      <c r="HC7" s="1" t="str">
        <f t="shared" si="1"/>
        <v/>
      </c>
      <c r="HD7" s="1" t="str">
        <f t="shared" si="1"/>
        <v/>
      </c>
      <c r="HE7" s="1" t="str">
        <f t="shared" si="1"/>
        <v/>
      </c>
      <c r="HF7" s="1" t="str">
        <f t="shared" si="1"/>
        <v/>
      </c>
      <c r="HG7" s="1" t="str">
        <f t="shared" si="1"/>
        <v/>
      </c>
      <c r="HH7" s="1" t="str">
        <f t="shared" si="1"/>
        <v/>
      </c>
      <c r="HI7" s="1" t="str">
        <f t="shared" si="1"/>
        <v/>
      </c>
      <c r="HJ7" s="1" t="str">
        <f t="shared" si="1"/>
        <v/>
      </c>
      <c r="HK7" s="1" t="str">
        <f t="shared" si="1"/>
        <v/>
      </c>
      <c r="HL7" s="1" t="str">
        <f t="shared" si="1"/>
        <v/>
      </c>
      <c r="HM7" s="1" t="str">
        <f t="shared" si="1"/>
        <v/>
      </c>
      <c r="HN7" s="1" t="str">
        <f t="shared" si="1"/>
        <v/>
      </c>
      <c r="HO7" s="1" t="str">
        <f t="shared" si="1"/>
        <v/>
      </c>
      <c r="HP7" s="1" t="str">
        <f t="shared" ref="GZ7:JH11" si="2">IF(HO7="","","")</f>
        <v/>
      </c>
      <c r="HQ7" s="1" t="str">
        <f t="shared" si="2"/>
        <v/>
      </c>
      <c r="HR7" s="1" t="str">
        <f t="shared" si="2"/>
        <v/>
      </c>
      <c r="HS7" s="1" t="str">
        <f t="shared" si="2"/>
        <v/>
      </c>
      <c r="HT7" s="1" t="str">
        <f t="shared" si="2"/>
        <v/>
      </c>
      <c r="HU7" s="1" t="str">
        <f t="shared" si="2"/>
        <v/>
      </c>
      <c r="HV7" s="1" t="str">
        <f t="shared" si="2"/>
        <v/>
      </c>
      <c r="HW7" s="1" t="str">
        <f t="shared" si="2"/>
        <v/>
      </c>
      <c r="HX7" s="1" t="str">
        <f t="shared" si="2"/>
        <v/>
      </c>
      <c r="HY7" s="1" t="str">
        <f t="shared" si="2"/>
        <v/>
      </c>
      <c r="HZ7" s="1" t="str">
        <f t="shared" si="2"/>
        <v/>
      </c>
      <c r="IA7" s="1" t="str">
        <f t="shared" si="2"/>
        <v/>
      </c>
      <c r="IB7" s="1" t="str">
        <f t="shared" si="2"/>
        <v/>
      </c>
      <c r="IC7" s="1" t="str">
        <f t="shared" si="2"/>
        <v/>
      </c>
      <c r="ID7" s="1" t="str">
        <f t="shared" si="2"/>
        <v/>
      </c>
      <c r="IE7" s="1" t="str">
        <f t="shared" si="2"/>
        <v/>
      </c>
      <c r="IF7" s="1" t="str">
        <f t="shared" si="2"/>
        <v/>
      </c>
      <c r="IG7" s="1" t="str">
        <f t="shared" si="2"/>
        <v/>
      </c>
      <c r="IH7" s="1" t="str">
        <f t="shared" si="2"/>
        <v/>
      </c>
      <c r="II7" s="1" t="str">
        <f t="shared" si="2"/>
        <v/>
      </c>
      <c r="IJ7" s="1" t="str">
        <f t="shared" si="2"/>
        <v/>
      </c>
      <c r="IK7" s="1" t="str">
        <f t="shared" si="2"/>
        <v/>
      </c>
      <c r="IL7" s="1" t="str">
        <f t="shared" si="2"/>
        <v/>
      </c>
      <c r="IM7" s="1" t="str">
        <f t="shared" si="2"/>
        <v/>
      </c>
      <c r="IN7" s="1" t="str">
        <f t="shared" si="2"/>
        <v/>
      </c>
      <c r="IO7" s="1" t="str">
        <f t="shared" si="2"/>
        <v/>
      </c>
      <c r="IP7" s="1" t="str">
        <f t="shared" si="2"/>
        <v/>
      </c>
      <c r="IQ7" s="1" t="str">
        <f t="shared" si="2"/>
        <v/>
      </c>
      <c r="IR7" s="1" t="str">
        <f t="shared" si="2"/>
        <v/>
      </c>
      <c r="IS7" s="1" t="str">
        <f t="shared" si="2"/>
        <v/>
      </c>
      <c r="IT7" s="1" t="str">
        <f t="shared" si="2"/>
        <v/>
      </c>
      <c r="IU7" s="1" t="str">
        <f t="shared" si="2"/>
        <v/>
      </c>
      <c r="IV7" s="1" t="str">
        <f t="shared" si="2"/>
        <v/>
      </c>
      <c r="IW7" s="1" t="str">
        <f t="shared" si="2"/>
        <v/>
      </c>
      <c r="IX7" s="1" t="str">
        <f t="shared" si="2"/>
        <v/>
      </c>
      <c r="IY7" s="1" t="str">
        <f t="shared" si="2"/>
        <v/>
      </c>
      <c r="IZ7" s="1" t="str">
        <f t="shared" si="2"/>
        <v/>
      </c>
      <c r="JA7" s="1" t="str">
        <f t="shared" si="2"/>
        <v/>
      </c>
      <c r="JB7" s="1" t="str">
        <f t="shared" si="2"/>
        <v/>
      </c>
      <c r="JC7" s="1" t="str">
        <f t="shared" si="2"/>
        <v/>
      </c>
      <c r="JD7" s="1" t="str">
        <f t="shared" si="2"/>
        <v/>
      </c>
      <c r="JE7" s="1" t="str">
        <f t="shared" si="2"/>
        <v/>
      </c>
      <c r="JF7" s="1" t="str">
        <f t="shared" si="2"/>
        <v/>
      </c>
      <c r="JG7" s="1" t="str">
        <f t="shared" si="2"/>
        <v/>
      </c>
      <c r="JH7" s="1" t="str">
        <f t="shared" si="2"/>
        <v/>
      </c>
      <c r="LY7" s="1"/>
    </row>
    <row r="8" spans="1:337" x14ac:dyDescent="0.25">
      <c r="A8" s="5">
        <v>6</v>
      </c>
      <c r="B8" s="1">
        <v>91366.038647169378</v>
      </c>
      <c r="C8" s="1">
        <v>87779.468063881272</v>
      </c>
      <c r="D8" s="1">
        <v>88604.416173631413</v>
      </c>
      <c r="E8" s="1">
        <v>90054.987812675157</v>
      </c>
      <c r="F8" s="1">
        <v>95624.861725054274</v>
      </c>
      <c r="G8" s="1">
        <v>96155.901376067748</v>
      </c>
      <c r="H8" s="1">
        <v>98515.703997395991</v>
      </c>
      <c r="I8" s="1">
        <v>100727.88714219048</v>
      </c>
      <c r="J8" s="1">
        <v>100815.25475389849</v>
      </c>
      <c r="K8" s="1">
        <v>99512.327131508893</v>
      </c>
      <c r="L8" s="1">
        <v>96148.980277076771</v>
      </c>
      <c r="M8" s="1">
        <v>92696.432849420889</v>
      </c>
      <c r="N8" s="1">
        <v>89894.035529428249</v>
      </c>
      <c r="O8" s="1">
        <v>88492.122411428252</v>
      </c>
      <c r="P8" s="1">
        <v>88638.971874365292</v>
      </c>
      <c r="Q8" s="1">
        <v>89735.37603813532</v>
      </c>
      <c r="R8" s="1">
        <v>91749.470408293448</v>
      </c>
      <c r="S8" s="1">
        <v>94095.276367212762</v>
      </c>
      <c r="T8" s="1">
        <v>96146.997379352717</v>
      </c>
      <c r="U8" s="1">
        <v>101019.72356337638</v>
      </c>
      <c r="V8" s="1">
        <v>102171.86686572763</v>
      </c>
      <c r="W8" s="1">
        <v>101645.48968318678</v>
      </c>
      <c r="X8" s="1">
        <v>99598.117919223107</v>
      </c>
      <c r="Y8" s="1">
        <v>94481.580914982755</v>
      </c>
      <c r="Z8" s="1">
        <v>89917.629056852704</v>
      </c>
      <c r="AA8" s="1">
        <v>86920.572475802022</v>
      </c>
      <c r="AB8" s="1">
        <v>88504.308781515108</v>
      </c>
      <c r="AC8" s="1">
        <v>87219.355073308398</v>
      </c>
      <c r="AD8" s="1">
        <v>88816.078688234877</v>
      </c>
      <c r="AE8" s="1">
        <v>90757.814401396434</v>
      </c>
      <c r="AF8" s="1">
        <v>94522.770580200624</v>
      </c>
      <c r="AG8" s="1">
        <v>98665.582380254695</v>
      </c>
      <c r="AH8" s="1">
        <v>99529.990766701987</v>
      </c>
      <c r="AI8" s="1">
        <v>99183.770967482065</v>
      </c>
      <c r="AJ8" s="1">
        <v>95079.357934674656</v>
      </c>
      <c r="AK8" s="1">
        <v>90637.401005080188</v>
      </c>
      <c r="AL8" s="1">
        <v>85212.379059123865</v>
      </c>
      <c r="AM8" s="1">
        <v>82231.938526085389</v>
      </c>
      <c r="AN8" s="1">
        <v>83621.204149279045</v>
      </c>
      <c r="AO8" s="1">
        <v>83658.191678312884</v>
      </c>
      <c r="AP8" s="1">
        <v>86723.034010644449</v>
      </c>
      <c r="AQ8" s="1">
        <v>89041.140990313812</v>
      </c>
      <c r="AR8" s="1">
        <v>93093.4808184953</v>
      </c>
      <c r="AS8" s="1">
        <v>98190.364259221707</v>
      </c>
      <c r="AT8" s="1">
        <v>99868.063559085538</v>
      </c>
      <c r="AU8" s="1">
        <v>99001.875715688089</v>
      </c>
      <c r="AV8" s="1">
        <v>96303.502869192249</v>
      </c>
      <c r="AW8" s="1">
        <v>93395.899887160078</v>
      </c>
      <c r="AX8" s="1">
        <v>89037.663464367331</v>
      </c>
      <c r="AY8" s="1">
        <v>90038.319564801903</v>
      </c>
      <c r="AZ8" s="1">
        <v>95237.995960144675</v>
      </c>
      <c r="BA8" s="1">
        <v>96327.347138555619</v>
      </c>
      <c r="BB8" s="1">
        <v>101351.49986889819</v>
      </c>
      <c r="BC8" s="1">
        <v>108199.70205836221</v>
      </c>
      <c r="BD8" s="1">
        <v>117595.53756407523</v>
      </c>
      <c r="BE8" s="1">
        <v>131714.53328733391</v>
      </c>
      <c r="BF8" s="1">
        <v>139474.96961709758</v>
      </c>
      <c r="BG8" s="1">
        <v>139057.42425843418</v>
      </c>
      <c r="BH8" s="1">
        <v>158186.60076018225</v>
      </c>
      <c r="BI8" s="1">
        <v>168470.26883429207</v>
      </c>
      <c r="BJ8" s="1">
        <v>181233.57035333442</v>
      </c>
      <c r="BK8" s="1">
        <v>175231.20291957795</v>
      </c>
      <c r="BL8" s="1">
        <v>189808.83358591434</v>
      </c>
      <c r="BM8" s="1">
        <v>202975.48613208067</v>
      </c>
      <c r="BN8" s="1">
        <v>208386.07469818753</v>
      </c>
      <c r="BO8" s="1">
        <v>211259.34367399418</v>
      </c>
      <c r="BP8" s="1">
        <v>208244.27457576583</v>
      </c>
      <c r="BQ8" s="1">
        <v>196320.24988009053</v>
      </c>
      <c r="BR8" s="1">
        <v>206039.02832768011</v>
      </c>
      <c r="BS8" s="1">
        <v>199731.3346827561</v>
      </c>
      <c r="BT8" s="1">
        <v>218655.24251042592</v>
      </c>
      <c r="BU8" s="1">
        <v>200289.26686122554</v>
      </c>
      <c r="BV8" s="1">
        <v>197825.38639965141</v>
      </c>
      <c r="BW8" s="1">
        <v>194896.39393784848</v>
      </c>
      <c r="BX8" s="1">
        <v>200375.90028340745</v>
      </c>
      <c r="BY8" s="1">
        <v>200175.90710565879</v>
      </c>
      <c r="BZ8" s="1">
        <v>208259.09073676448</v>
      </c>
      <c r="CA8" s="1">
        <v>208412.41312052443</v>
      </c>
      <c r="CB8" s="1">
        <v>209764.99865961372</v>
      </c>
      <c r="CC8" s="1">
        <v>212566.62226999796</v>
      </c>
      <c r="CD8" s="1">
        <v>219048.22883320271</v>
      </c>
      <c r="CE8" s="1">
        <v>215800.65593581478</v>
      </c>
      <c r="CF8" s="1">
        <v>220718.53345740942</v>
      </c>
      <c r="CG8" s="1">
        <v>218703.86384160534</v>
      </c>
      <c r="CH8" s="1">
        <v>204799.70407194446</v>
      </c>
      <c r="CI8" s="1">
        <v>206826.48609885448</v>
      </c>
      <c r="CJ8" s="1">
        <v>207331.50317779541</v>
      </c>
      <c r="CK8" s="1">
        <v>200588.23186947301</v>
      </c>
      <c r="CL8" s="1">
        <v>208027.27069952691</v>
      </c>
      <c r="CM8" s="1">
        <v>217527.5436687677</v>
      </c>
      <c r="CN8" s="1">
        <v>230002.06812176557</v>
      </c>
      <c r="CO8" s="1">
        <v>239062.31114791686</v>
      </c>
      <c r="CP8" s="1">
        <v>235532.50845905117</v>
      </c>
      <c r="CQ8" s="1">
        <v>242012.39852607672</v>
      </c>
      <c r="CR8" s="1">
        <v>249512.57161222093</v>
      </c>
      <c r="CS8" s="1">
        <v>241896.17481868103</v>
      </c>
      <c r="CT8" s="1">
        <v>227755.60380095811</v>
      </c>
      <c r="CU8" s="1">
        <v>231134.22183042736</v>
      </c>
      <c r="CV8" s="1">
        <v>239909.66408068323</v>
      </c>
      <c r="CW8" s="1">
        <v>242604.11516212474</v>
      </c>
      <c r="CX8" s="1">
        <v>260243.15979221335</v>
      </c>
      <c r="CY8" s="1">
        <v>264171.13915786415</v>
      </c>
      <c r="CZ8" s="1">
        <v>261371.18760846136</v>
      </c>
      <c r="DA8" s="1">
        <v>285165.09851494932</v>
      </c>
      <c r="DB8" s="1">
        <v>288347.17859688046</v>
      </c>
      <c r="DC8" s="1">
        <v>277492.56699512131</v>
      </c>
      <c r="DD8" s="1">
        <v>285232.05937682686</v>
      </c>
      <c r="DE8" s="1">
        <v>286151.81767498062</v>
      </c>
      <c r="DF8" s="1">
        <v>269765.37963984272</v>
      </c>
      <c r="DG8" s="1">
        <v>270086.18910575309</v>
      </c>
      <c r="DH8" s="1">
        <v>260690.74303342431</v>
      </c>
      <c r="DI8" s="1">
        <v>257144.27064559335</v>
      </c>
      <c r="DJ8" s="1">
        <v>259345.28562970783</v>
      </c>
      <c r="DK8" s="1">
        <v>261673.73358218395</v>
      </c>
      <c r="DL8" s="1">
        <v>258779.0290739334</v>
      </c>
      <c r="DM8" s="1">
        <v>263372.61005914927</v>
      </c>
      <c r="DN8" s="1">
        <v>270016.31635205954</v>
      </c>
      <c r="DO8" s="1">
        <v>258268.68280588154</v>
      </c>
      <c r="DP8" s="1">
        <v>265193.2187483068</v>
      </c>
      <c r="DQ8" s="1">
        <v>261869.24185010884</v>
      </c>
      <c r="DR8" s="1">
        <v>237276.31834383449</v>
      </c>
      <c r="DS8" s="1">
        <v>231671.18202836119</v>
      </c>
      <c r="DT8" s="1">
        <v>232415.06373631471</v>
      </c>
      <c r="DU8" s="1">
        <v>224036.92616047678</v>
      </c>
      <c r="DV8" s="1">
        <v>235909.27537067805</v>
      </c>
      <c r="DW8" s="1">
        <v>235372.654664809</v>
      </c>
      <c r="DX8" s="1">
        <v>239044.04696791439</v>
      </c>
      <c r="DY8" s="1">
        <v>245590.53113116231</v>
      </c>
      <c r="DZ8" s="1">
        <v>243537.63134645153</v>
      </c>
      <c r="EA8" s="1">
        <v>243872.47685993559</v>
      </c>
      <c r="EB8" s="1">
        <v>241575.47454052005</v>
      </c>
      <c r="EC8" s="1">
        <v>226388.90592559229</v>
      </c>
      <c r="ED8" s="1">
        <v>223002.27218570147</v>
      </c>
      <c r="EE8" s="1">
        <v>219367.78124475444</v>
      </c>
      <c r="EF8" s="1">
        <v>213848.37937239953</v>
      </c>
      <c r="EG8" s="1">
        <v>202563.0428853207</v>
      </c>
      <c r="EH8" s="1">
        <v>203101.83107279579</v>
      </c>
      <c r="EI8" s="1">
        <v>206258.59239968471</v>
      </c>
      <c r="EJ8" s="1">
        <v>209542.01478712988</v>
      </c>
      <c r="EK8" s="1">
        <v>222026.15769956214</v>
      </c>
      <c r="EL8" s="1">
        <v>227477.18383805058</v>
      </c>
      <c r="EM8" s="1">
        <v>226815.75476346674</v>
      </c>
      <c r="EN8" s="1">
        <v>225711.7049566191</v>
      </c>
      <c r="EO8" s="1">
        <v>211310.06691946246</v>
      </c>
      <c r="EP8" s="1">
        <v>204513.80648232956</v>
      </c>
      <c r="EQ8" s="1">
        <v>200718.76905363586</v>
      </c>
      <c r="ER8" s="1">
        <v>202565.66768663481</v>
      </c>
      <c r="ES8" s="1">
        <v>189133.32432748575</v>
      </c>
      <c r="ET8" s="1">
        <v>198266.83677661233</v>
      </c>
      <c r="EU8" s="1">
        <v>188621.71432130598</v>
      </c>
      <c r="EV8" s="1">
        <v>188767.55256785196</v>
      </c>
      <c r="EW8" s="1">
        <v>197059.12146051106</v>
      </c>
      <c r="EX8" s="1">
        <v>202411.39938767097</v>
      </c>
      <c r="EY8" s="1">
        <v>197521.67974653345</v>
      </c>
      <c r="EZ8" s="1">
        <v>192640.83147581224</v>
      </c>
      <c r="FA8" s="1">
        <v>189809.07174062059</v>
      </c>
      <c r="FB8" s="1">
        <v>178399.15532049467</v>
      </c>
      <c r="FC8" s="1">
        <v>173502.82015836716</v>
      </c>
      <c r="FD8" s="1">
        <v>172787.86382535091</v>
      </c>
      <c r="FE8" s="1">
        <v>166390.55533903808</v>
      </c>
      <c r="FF8" s="1">
        <v>185959.64174220484</v>
      </c>
      <c r="FG8" s="1">
        <v>190122.31642118812</v>
      </c>
      <c r="FH8" s="1">
        <v>183750.3063439508</v>
      </c>
      <c r="FI8" s="1">
        <v>189776.62323053286</v>
      </c>
      <c r="FJ8" s="1">
        <v>187465.80499536076</v>
      </c>
      <c r="FK8" s="1">
        <v>194789.6553684916</v>
      </c>
      <c r="FL8" s="1">
        <v>172803.76670316275</v>
      </c>
      <c r="FM8" s="1">
        <v>163264.07488627743</v>
      </c>
      <c r="FN8" s="1">
        <v>158858.02470082929</v>
      </c>
      <c r="FO8" s="1">
        <v>165319.65564918894</v>
      </c>
      <c r="FP8" s="1">
        <v>164851.74497990959</v>
      </c>
      <c r="FQ8" s="1">
        <v>162805.89083306026</v>
      </c>
      <c r="FR8" s="1">
        <v>176044.95660446756</v>
      </c>
      <c r="FS8" s="1">
        <v>180909.29940851207</v>
      </c>
      <c r="FT8" s="1">
        <v>182967.05828869995</v>
      </c>
      <c r="FU8" s="1">
        <v>185401.64402249962</v>
      </c>
      <c r="FV8" s="1">
        <v>188350.5017237376</v>
      </c>
      <c r="FW8" s="1">
        <v>186797.1138477198</v>
      </c>
      <c r="FX8" s="1">
        <v>175270.38723733835</v>
      </c>
      <c r="FY8" s="1">
        <v>160693.24837114467</v>
      </c>
      <c r="FZ8" s="1">
        <v>146208.61418445501</v>
      </c>
      <c r="GA8" s="1">
        <v>146823.27379308207</v>
      </c>
      <c r="GB8" s="1">
        <v>148316.16055121992</v>
      </c>
      <c r="GC8" s="1">
        <v>145546.45569098883</v>
      </c>
      <c r="GD8" s="1">
        <v>157839.1337127295</v>
      </c>
      <c r="GE8" s="1">
        <v>163565.84847552588</v>
      </c>
      <c r="GF8" s="1">
        <v>166369.44958746969</v>
      </c>
      <c r="GG8" s="1">
        <v>174921.31095674861</v>
      </c>
      <c r="GH8" s="1">
        <v>179296.37893510732</v>
      </c>
      <c r="GI8" s="1">
        <v>183503.59656664872</v>
      </c>
      <c r="GJ8" s="1">
        <v>181674.1426994662</v>
      </c>
      <c r="GK8" s="1">
        <v>176473.33672370337</v>
      </c>
      <c r="GL8" s="1">
        <v>169414.56600805465</v>
      </c>
      <c r="GM8" s="1">
        <v>169400.83337580872</v>
      </c>
      <c r="GN8" s="1">
        <v>164433.13347040792</v>
      </c>
      <c r="GO8" s="1">
        <v>184044.70417280315</v>
      </c>
      <c r="GP8" s="1">
        <v>220027.88771907196</v>
      </c>
      <c r="GQ8" s="1">
        <v>204168.28443412046</v>
      </c>
      <c r="GR8" s="1">
        <v>201676.11192804534</v>
      </c>
      <c r="GS8" s="1">
        <v>204349.37069835328</v>
      </c>
      <c r="GT8" s="1">
        <v>201852.20924744953</v>
      </c>
      <c r="GU8" s="1">
        <v>196616.18797829835</v>
      </c>
      <c r="GV8" s="1">
        <v>193198.06810210709</v>
      </c>
      <c r="GW8" s="1">
        <v>186054.29317658424</v>
      </c>
      <c r="GX8" s="1">
        <v>190004.7133539448</v>
      </c>
      <c r="GY8" s="1">
        <v>187136.07393520279</v>
      </c>
      <c r="GZ8" s="1">
        <v>187858.97463144301</v>
      </c>
      <c r="HA8" s="1" t="str">
        <f t="shared" si="2"/>
        <v/>
      </c>
      <c r="HB8" s="1" t="str">
        <f t="shared" si="2"/>
        <v/>
      </c>
      <c r="HC8" s="1" t="str">
        <f t="shared" si="2"/>
        <v/>
      </c>
      <c r="HD8" s="1" t="str">
        <f t="shared" si="2"/>
        <v/>
      </c>
      <c r="HE8" s="1" t="str">
        <f t="shared" si="2"/>
        <v/>
      </c>
      <c r="HF8" s="1" t="str">
        <f t="shared" si="2"/>
        <v/>
      </c>
      <c r="HG8" s="1" t="str">
        <f t="shared" si="2"/>
        <v/>
      </c>
      <c r="HH8" s="1" t="str">
        <f t="shared" si="2"/>
        <v/>
      </c>
      <c r="HI8" s="1" t="str">
        <f t="shared" si="2"/>
        <v/>
      </c>
      <c r="HJ8" s="1" t="str">
        <f t="shared" si="2"/>
        <v/>
      </c>
      <c r="HK8" s="1" t="str">
        <f t="shared" si="2"/>
        <v/>
      </c>
      <c r="HL8" s="1" t="str">
        <f t="shared" si="2"/>
        <v/>
      </c>
      <c r="HM8" s="1" t="str">
        <f t="shared" si="2"/>
        <v/>
      </c>
      <c r="HN8" s="1" t="str">
        <f t="shared" si="2"/>
        <v/>
      </c>
      <c r="HO8" s="1" t="str">
        <f t="shared" si="2"/>
        <v/>
      </c>
      <c r="HP8" s="1" t="str">
        <f t="shared" si="2"/>
        <v/>
      </c>
      <c r="HQ8" s="1" t="str">
        <f t="shared" si="2"/>
        <v/>
      </c>
      <c r="HR8" s="1" t="str">
        <f t="shared" si="2"/>
        <v/>
      </c>
      <c r="HS8" s="1" t="str">
        <f t="shared" si="2"/>
        <v/>
      </c>
      <c r="HT8" s="1" t="str">
        <f t="shared" si="2"/>
        <v/>
      </c>
      <c r="HU8" s="1" t="str">
        <f t="shared" si="2"/>
        <v/>
      </c>
      <c r="HV8" s="1" t="str">
        <f t="shared" si="2"/>
        <v/>
      </c>
      <c r="HW8" s="1" t="str">
        <f t="shared" si="2"/>
        <v/>
      </c>
      <c r="HX8" s="1" t="str">
        <f t="shared" si="2"/>
        <v/>
      </c>
      <c r="HY8" s="1" t="str">
        <f t="shared" si="2"/>
        <v/>
      </c>
      <c r="HZ8" s="1" t="str">
        <f t="shared" si="2"/>
        <v/>
      </c>
      <c r="IA8" s="1" t="str">
        <f t="shared" si="2"/>
        <v/>
      </c>
      <c r="IB8" s="1" t="str">
        <f t="shared" si="2"/>
        <v/>
      </c>
      <c r="IC8" s="1" t="str">
        <f t="shared" si="2"/>
        <v/>
      </c>
      <c r="ID8" s="1" t="str">
        <f t="shared" si="2"/>
        <v/>
      </c>
      <c r="IE8" s="1" t="str">
        <f t="shared" si="2"/>
        <v/>
      </c>
      <c r="IF8" s="1" t="str">
        <f t="shared" si="2"/>
        <v/>
      </c>
      <c r="IG8" s="1" t="str">
        <f t="shared" si="2"/>
        <v/>
      </c>
      <c r="IH8" s="1" t="str">
        <f t="shared" si="2"/>
        <v/>
      </c>
      <c r="II8" s="1" t="str">
        <f t="shared" si="2"/>
        <v/>
      </c>
      <c r="IJ8" s="1" t="str">
        <f t="shared" si="2"/>
        <v/>
      </c>
      <c r="IK8" s="1" t="str">
        <f t="shared" si="2"/>
        <v/>
      </c>
      <c r="IL8" s="1" t="str">
        <f t="shared" si="2"/>
        <v/>
      </c>
      <c r="IM8" s="1" t="str">
        <f t="shared" si="2"/>
        <v/>
      </c>
      <c r="IN8" s="1" t="str">
        <f t="shared" si="2"/>
        <v/>
      </c>
      <c r="IO8" s="1" t="str">
        <f t="shared" si="2"/>
        <v/>
      </c>
      <c r="IP8" s="1" t="str">
        <f t="shared" si="2"/>
        <v/>
      </c>
      <c r="IQ8" s="1" t="str">
        <f t="shared" si="2"/>
        <v/>
      </c>
      <c r="IR8" s="1" t="str">
        <f t="shared" si="2"/>
        <v/>
      </c>
      <c r="IS8" s="1" t="str">
        <f t="shared" si="2"/>
        <v/>
      </c>
      <c r="IT8" s="1" t="str">
        <f t="shared" si="2"/>
        <v/>
      </c>
      <c r="IU8" s="1" t="str">
        <f t="shared" si="2"/>
        <v/>
      </c>
      <c r="IV8" s="1" t="str">
        <f t="shared" si="2"/>
        <v/>
      </c>
      <c r="IW8" s="1" t="str">
        <f t="shared" si="2"/>
        <v/>
      </c>
      <c r="IX8" s="1" t="str">
        <f t="shared" si="2"/>
        <v/>
      </c>
      <c r="IY8" s="1" t="str">
        <f t="shared" si="2"/>
        <v/>
      </c>
      <c r="IZ8" s="1" t="str">
        <f t="shared" si="2"/>
        <v/>
      </c>
      <c r="JA8" s="1" t="str">
        <f t="shared" si="2"/>
        <v/>
      </c>
      <c r="JB8" s="1" t="str">
        <f t="shared" si="2"/>
        <v/>
      </c>
      <c r="JC8" s="1" t="str">
        <f t="shared" si="2"/>
        <v/>
      </c>
      <c r="JD8" s="1" t="str">
        <f t="shared" si="2"/>
        <v/>
      </c>
      <c r="JE8" s="1" t="str">
        <f t="shared" si="2"/>
        <v/>
      </c>
      <c r="JF8" s="1" t="str">
        <f t="shared" si="2"/>
        <v/>
      </c>
      <c r="JG8" s="1" t="str">
        <f t="shared" si="2"/>
        <v/>
      </c>
      <c r="JH8" s="1" t="str">
        <f t="shared" si="2"/>
        <v/>
      </c>
      <c r="LY8" s="1"/>
    </row>
    <row r="9" spans="1:337" x14ac:dyDescent="0.25">
      <c r="A9" s="4">
        <v>7</v>
      </c>
      <c r="B9" s="1">
        <v>88659.920617068972</v>
      </c>
      <c r="C9" s="1">
        <v>88886.514636088628</v>
      </c>
      <c r="D9" s="1">
        <v>89206.971002417122</v>
      </c>
      <c r="E9" s="1">
        <v>92275.766770059607</v>
      </c>
      <c r="F9" s="1">
        <v>97613.157921060949</v>
      </c>
      <c r="G9" s="1">
        <v>100117.59079996916</v>
      </c>
      <c r="H9" s="1">
        <v>101837.66550731455</v>
      </c>
      <c r="I9" s="1">
        <v>101405.6929000911</v>
      </c>
      <c r="J9" s="1">
        <v>100928.73296558516</v>
      </c>
      <c r="K9" s="1">
        <v>96231.09730217242</v>
      </c>
      <c r="L9" s="1">
        <v>92081.556464296562</v>
      </c>
      <c r="M9" s="1">
        <v>89583.790365789871</v>
      </c>
      <c r="N9" s="1">
        <v>87491.848474588362</v>
      </c>
      <c r="O9" s="1">
        <v>89738.873198419053</v>
      </c>
      <c r="P9" s="1">
        <v>89048.402811875858</v>
      </c>
      <c r="Q9" s="1">
        <v>91720.982802544197</v>
      </c>
      <c r="R9" s="1">
        <v>94418.078599169923</v>
      </c>
      <c r="S9" s="1">
        <v>97676.006472225563</v>
      </c>
      <c r="T9" s="1">
        <v>99881.144331358068</v>
      </c>
      <c r="U9" s="1">
        <v>101660.30493044165</v>
      </c>
      <c r="V9" s="1">
        <v>102011.74534152439</v>
      </c>
      <c r="W9" s="1">
        <v>98847.920617068841</v>
      </c>
      <c r="X9" s="1">
        <v>95147.277754807292</v>
      </c>
      <c r="Y9" s="1">
        <v>90078.04598757776</v>
      </c>
      <c r="Z9" s="1">
        <v>87897.004115685078</v>
      </c>
      <c r="AA9" s="1">
        <v>88710.38328790915</v>
      </c>
      <c r="AB9" s="1">
        <v>88677.124518870813</v>
      </c>
      <c r="AC9" s="1">
        <v>89244.414390528895</v>
      </c>
      <c r="AD9" s="1">
        <v>90390.781601811686</v>
      </c>
      <c r="AE9" s="1">
        <v>94373.054003078447</v>
      </c>
      <c r="AF9" s="1">
        <v>98432.269664430874</v>
      </c>
      <c r="AG9" s="1">
        <v>99311.120817032031</v>
      </c>
      <c r="AH9" s="1">
        <v>99000.258163901919</v>
      </c>
      <c r="AI9" s="1">
        <v>95640.673022252508</v>
      </c>
      <c r="AJ9" s="1">
        <v>91471.276956612564</v>
      </c>
      <c r="AK9" s="1">
        <v>86639.1240516572</v>
      </c>
      <c r="AL9" s="1">
        <v>82999.659240598732</v>
      </c>
      <c r="AM9" s="1">
        <v>83857.793924874961</v>
      </c>
      <c r="AN9" s="1">
        <v>84001.550835432834</v>
      </c>
      <c r="AO9" s="1">
        <v>85377.648593558028</v>
      </c>
      <c r="AP9" s="1">
        <v>88119.335989142142</v>
      </c>
      <c r="AQ9" s="1">
        <v>91992.505124533549</v>
      </c>
      <c r="AR9" s="1">
        <v>96756.435921404278</v>
      </c>
      <c r="AS9" s="1">
        <v>98615.446666197124</v>
      </c>
      <c r="AT9" s="1">
        <v>99186.215398146305</v>
      </c>
      <c r="AU9" s="1">
        <v>96673.905128752958</v>
      </c>
      <c r="AV9" s="1">
        <v>92858.67717307694</v>
      </c>
      <c r="AW9" s="1">
        <v>89864.898575396495</v>
      </c>
      <c r="AX9" s="1">
        <v>87883.613800063729</v>
      </c>
      <c r="AY9" s="1">
        <v>91575.705559932874</v>
      </c>
      <c r="AZ9" s="1">
        <v>95455.569934596366</v>
      </c>
      <c r="BA9" s="1">
        <v>97967.63824880225</v>
      </c>
      <c r="BB9" s="1">
        <v>102855.34833615893</v>
      </c>
      <c r="BC9" s="1">
        <v>110468.25387363844</v>
      </c>
      <c r="BD9" s="1">
        <v>123336.46582573255</v>
      </c>
      <c r="BE9" s="1">
        <v>135080.21276245575</v>
      </c>
      <c r="BF9" s="1">
        <v>141019.3404855456</v>
      </c>
      <c r="BG9" s="1">
        <v>139483.20457634778</v>
      </c>
      <c r="BH9" s="1">
        <v>158565.66474247095</v>
      </c>
      <c r="BI9" s="1">
        <v>170256.64017355966</v>
      </c>
      <c r="BJ9" s="1">
        <v>186286.41696146369</v>
      </c>
      <c r="BK9" s="1">
        <v>180979.08316838808</v>
      </c>
      <c r="BL9" s="1">
        <v>196326.94124331791</v>
      </c>
      <c r="BM9" s="1">
        <v>212470.71738433157</v>
      </c>
      <c r="BN9" s="1">
        <v>217315.10647890222</v>
      </c>
      <c r="BO9" s="1">
        <v>220869.21964082826</v>
      </c>
      <c r="BP9" s="1">
        <v>218270.79416589186</v>
      </c>
      <c r="BQ9" s="1">
        <v>202233.34326536709</v>
      </c>
      <c r="BR9" s="1">
        <v>208887.99326767068</v>
      </c>
      <c r="BS9" s="1">
        <v>198083.37636161162</v>
      </c>
      <c r="BT9" s="1">
        <v>217148.36879546364</v>
      </c>
      <c r="BU9" s="1">
        <v>195996.2027016349</v>
      </c>
      <c r="BV9" s="1">
        <v>196803.14081568643</v>
      </c>
      <c r="BW9" s="1">
        <v>199694.34505059617</v>
      </c>
      <c r="BX9" s="1">
        <v>199926.40632022894</v>
      </c>
      <c r="BY9" s="1">
        <v>212924.32943794367</v>
      </c>
      <c r="BZ9" s="1">
        <v>214009.76804489971</v>
      </c>
      <c r="CA9" s="1">
        <v>214667.98612858157</v>
      </c>
      <c r="CB9" s="1">
        <v>215013.71249186597</v>
      </c>
      <c r="CC9" s="1">
        <v>217753.85523545288</v>
      </c>
      <c r="CD9" s="1">
        <v>220501.55273235313</v>
      </c>
      <c r="CE9" s="1">
        <v>212590.25827863597</v>
      </c>
      <c r="CF9" s="1">
        <v>216580.80516918458</v>
      </c>
      <c r="CG9" s="1">
        <v>212207.22853477474</v>
      </c>
      <c r="CH9" s="1">
        <v>201210.9039429946</v>
      </c>
      <c r="CI9" s="1">
        <v>210696.57643684227</v>
      </c>
      <c r="CJ9" s="1">
        <v>205700.12576438376</v>
      </c>
      <c r="CK9" s="1">
        <v>208181.97242467734</v>
      </c>
      <c r="CL9" s="1">
        <v>212429.04052180192</v>
      </c>
      <c r="CM9" s="1">
        <v>223071.57865766072</v>
      </c>
      <c r="CN9" s="1">
        <v>238166.24279426283</v>
      </c>
      <c r="CO9" s="1">
        <v>244910.14317501875</v>
      </c>
      <c r="CP9" s="1">
        <v>236885.88473763951</v>
      </c>
      <c r="CQ9" s="1">
        <v>239218.89147948741</v>
      </c>
      <c r="CR9" s="1">
        <v>245827.02927879785</v>
      </c>
      <c r="CS9" s="1">
        <v>237460.90041790082</v>
      </c>
      <c r="CT9" s="1">
        <v>225232.09377573858</v>
      </c>
      <c r="CU9" s="1">
        <v>234696.22384268692</v>
      </c>
      <c r="CV9" s="1">
        <v>239566.422546455</v>
      </c>
      <c r="CW9" s="1">
        <v>257782.56764422712</v>
      </c>
      <c r="CX9" s="1">
        <v>265665.96087314107</v>
      </c>
      <c r="CY9" s="1">
        <v>268880.61686969624</v>
      </c>
      <c r="CZ9" s="1">
        <v>269705.99708975694</v>
      </c>
      <c r="DA9" s="1">
        <v>293843.40463643917</v>
      </c>
      <c r="DB9" s="1">
        <v>293125.89451989927</v>
      </c>
      <c r="DC9" s="1">
        <v>275392.56741790392</v>
      </c>
      <c r="DD9" s="1">
        <v>281568.32974102756</v>
      </c>
      <c r="DE9" s="1">
        <v>282267.88298839732</v>
      </c>
      <c r="DF9" s="1">
        <v>268341.96498384053</v>
      </c>
      <c r="DG9" s="1">
        <v>272323.18281543558</v>
      </c>
      <c r="DH9" s="1">
        <v>255866.13840553159</v>
      </c>
      <c r="DI9" s="1">
        <v>268428.67664307135</v>
      </c>
      <c r="DJ9" s="1">
        <v>263907.48510369641</v>
      </c>
      <c r="DK9" s="1">
        <v>262369.47890098143</v>
      </c>
      <c r="DL9" s="1">
        <v>265594.87312862388</v>
      </c>
      <c r="DM9" s="1">
        <v>266136.59543298831</v>
      </c>
      <c r="DN9" s="1">
        <v>269519.83606282983</v>
      </c>
      <c r="DO9" s="1">
        <v>252161.26194744976</v>
      </c>
      <c r="DP9" s="1">
        <v>259784.35152595671</v>
      </c>
      <c r="DQ9" s="1">
        <v>254561.49855817959</v>
      </c>
      <c r="DR9" s="1">
        <v>233717.66751037358</v>
      </c>
      <c r="DS9" s="1">
        <v>230128.4768752064</v>
      </c>
      <c r="DT9" s="1">
        <v>226450.76668584911</v>
      </c>
      <c r="DU9" s="1">
        <v>235689.72869642393</v>
      </c>
      <c r="DV9" s="1">
        <v>237723.95968633273</v>
      </c>
      <c r="DW9" s="1">
        <v>231133.14376736199</v>
      </c>
      <c r="DX9" s="1">
        <v>243458.34962675886</v>
      </c>
      <c r="DY9" s="1">
        <v>247917.50782647118</v>
      </c>
      <c r="DZ9" s="1">
        <v>242936.513645439</v>
      </c>
      <c r="EA9" s="1">
        <v>237376.35877421766</v>
      </c>
      <c r="EB9" s="1">
        <v>235027.3486850367</v>
      </c>
      <c r="EC9" s="1">
        <v>218064.52264405155</v>
      </c>
      <c r="ED9" s="1">
        <v>219293.32495253929</v>
      </c>
      <c r="EE9" s="1">
        <v>218216.58897541097</v>
      </c>
      <c r="EF9" s="1">
        <v>204260.32069001428</v>
      </c>
      <c r="EG9" s="1">
        <v>214959.17547439577</v>
      </c>
      <c r="EH9" s="1">
        <v>203229.17485851343</v>
      </c>
      <c r="EI9" s="1">
        <v>203859.06484404148</v>
      </c>
      <c r="EJ9" s="1">
        <v>212790.61549516299</v>
      </c>
      <c r="EK9" s="1">
        <v>223326.61441671732</v>
      </c>
      <c r="EL9" s="1">
        <v>226619.82342572795</v>
      </c>
      <c r="EM9" s="1">
        <v>218726.939274289</v>
      </c>
      <c r="EN9" s="1">
        <v>219811.59861017508</v>
      </c>
      <c r="EO9" s="1">
        <v>204071.72340851458</v>
      </c>
      <c r="EP9" s="1">
        <v>201709.0261989361</v>
      </c>
      <c r="EQ9" s="1">
        <v>200733.81641579096</v>
      </c>
      <c r="ER9" s="1">
        <v>194015.94743397151</v>
      </c>
      <c r="ES9" s="1">
        <v>202866.5933504366</v>
      </c>
      <c r="ET9" s="1">
        <v>196927.02243227011</v>
      </c>
      <c r="EU9" s="1">
        <v>187416.84588891277</v>
      </c>
      <c r="EV9" s="1">
        <v>192419.76500122884</v>
      </c>
      <c r="EW9" s="1">
        <v>197890.65814734748</v>
      </c>
      <c r="EX9" s="1">
        <v>200327.3842967471</v>
      </c>
      <c r="EY9" s="1">
        <v>188604.89588868589</v>
      </c>
      <c r="EZ9" s="1">
        <v>185073.25668542553</v>
      </c>
      <c r="FA9" s="1">
        <v>182987.11474412191</v>
      </c>
      <c r="FB9" s="1">
        <v>175928.81234846864</v>
      </c>
      <c r="FC9" s="1">
        <v>173978.84519248919</v>
      </c>
      <c r="FD9" s="1">
        <v>166820.73294281663</v>
      </c>
      <c r="FE9" s="1">
        <v>177339.64348542987</v>
      </c>
      <c r="FF9" s="1">
        <v>190090.75153235102</v>
      </c>
      <c r="FG9" s="1">
        <v>190243.69012140937</v>
      </c>
      <c r="FH9" s="1">
        <v>187967.12873059313</v>
      </c>
      <c r="FI9" s="1">
        <v>191431.37869687326</v>
      </c>
      <c r="FJ9" s="1">
        <v>185366.96630626364</v>
      </c>
      <c r="FK9" s="1">
        <v>189799.27670132555</v>
      </c>
      <c r="FL9" s="1">
        <v>164626.29879305314</v>
      </c>
      <c r="FM9" s="1">
        <v>154840.07077631634</v>
      </c>
      <c r="FN9" s="1">
        <v>157818.99200398618</v>
      </c>
      <c r="FO9" s="1">
        <v>165971.78698304866</v>
      </c>
      <c r="FP9" s="1">
        <v>159046.66585283622</v>
      </c>
      <c r="FQ9" s="1">
        <v>171790.04715100123</v>
      </c>
      <c r="FR9" s="1">
        <v>179762.68076424635</v>
      </c>
      <c r="FS9" s="1">
        <v>182584.48023448075</v>
      </c>
      <c r="FT9" s="1">
        <v>188383.08298933652</v>
      </c>
      <c r="FU9" s="1">
        <v>187848.45452324493</v>
      </c>
      <c r="FV9" s="1">
        <v>188528.71076861973</v>
      </c>
      <c r="FW9" s="1">
        <v>182442.2008021957</v>
      </c>
      <c r="FX9" s="1">
        <v>168592.70812982926</v>
      </c>
      <c r="FY9" s="1">
        <v>153516.47529594591</v>
      </c>
      <c r="FZ9" s="1">
        <v>143118.49243283624</v>
      </c>
      <c r="GA9" s="1">
        <v>146576.97989235626</v>
      </c>
      <c r="GB9" s="1">
        <v>142607.2307656958</v>
      </c>
      <c r="GC9" s="1">
        <v>152061.27272980881</v>
      </c>
      <c r="GD9" s="1">
        <v>157096.45625195291</v>
      </c>
      <c r="GE9" s="1">
        <v>162996.98035957152</v>
      </c>
      <c r="GF9" s="1">
        <v>173420.99369369057</v>
      </c>
      <c r="GG9" s="1">
        <v>177120.70243103133</v>
      </c>
      <c r="GH9" s="1">
        <v>179806.22213516891</v>
      </c>
      <c r="GI9" s="1">
        <v>181364.50996406283</v>
      </c>
      <c r="GJ9" s="1">
        <v>177765.05129216379</v>
      </c>
      <c r="GK9" s="1">
        <v>172430.86504078814</v>
      </c>
      <c r="GL9" s="1">
        <v>168401.39372166374</v>
      </c>
      <c r="GM9" s="1">
        <v>170088.02771400596</v>
      </c>
      <c r="GN9" s="1">
        <v>161175.90839024459</v>
      </c>
      <c r="GO9" s="1">
        <v>192418.40688519261</v>
      </c>
      <c r="GP9" s="1">
        <v>223714.58080529113</v>
      </c>
      <c r="GQ9" s="1">
        <v>207250.59484767015</v>
      </c>
      <c r="GR9" s="1">
        <v>209943.36211807889</v>
      </c>
      <c r="GS9" s="1">
        <v>209197.76905166113</v>
      </c>
      <c r="GT9" s="1">
        <v>206259.42859985196</v>
      </c>
      <c r="GU9" s="1">
        <v>198415.87317874446</v>
      </c>
      <c r="GV9" s="1">
        <v>187209.45612423107</v>
      </c>
      <c r="GW9" s="1">
        <v>180070.04456929356</v>
      </c>
      <c r="GX9" s="1">
        <v>188371.82690387842</v>
      </c>
      <c r="GY9" s="1">
        <v>187175.84474165569</v>
      </c>
      <c r="GZ9" s="1">
        <v>184117.192712013</v>
      </c>
      <c r="HA9" s="1" t="str">
        <f t="shared" si="2"/>
        <v/>
      </c>
      <c r="HB9" s="1" t="str">
        <f t="shared" si="2"/>
        <v/>
      </c>
      <c r="HC9" s="1" t="str">
        <f t="shared" si="2"/>
        <v/>
      </c>
      <c r="HD9" s="1" t="str">
        <f t="shared" si="2"/>
        <v/>
      </c>
      <c r="HE9" s="1" t="str">
        <f t="shared" si="2"/>
        <v/>
      </c>
      <c r="HF9" s="1" t="str">
        <f t="shared" si="2"/>
        <v/>
      </c>
      <c r="HG9" s="1" t="str">
        <f t="shared" si="2"/>
        <v/>
      </c>
      <c r="HH9" s="1" t="str">
        <f t="shared" si="2"/>
        <v/>
      </c>
      <c r="HI9" s="1" t="str">
        <f t="shared" si="2"/>
        <v/>
      </c>
      <c r="HJ9" s="1" t="str">
        <f t="shared" si="2"/>
        <v/>
      </c>
      <c r="HK9" s="1" t="str">
        <f t="shared" si="2"/>
        <v/>
      </c>
      <c r="HL9" s="1" t="str">
        <f t="shared" si="2"/>
        <v/>
      </c>
      <c r="HM9" s="1" t="str">
        <f t="shared" si="2"/>
        <v/>
      </c>
      <c r="HN9" s="1" t="str">
        <f t="shared" si="2"/>
        <v/>
      </c>
      <c r="HO9" s="1" t="str">
        <f t="shared" si="2"/>
        <v/>
      </c>
      <c r="HP9" s="1" t="str">
        <f t="shared" si="2"/>
        <v/>
      </c>
      <c r="HQ9" s="1" t="str">
        <f t="shared" si="2"/>
        <v/>
      </c>
      <c r="HR9" s="1" t="str">
        <f t="shared" si="2"/>
        <v/>
      </c>
      <c r="HS9" s="1" t="str">
        <f t="shared" si="2"/>
        <v/>
      </c>
      <c r="HT9" s="1" t="str">
        <f t="shared" si="2"/>
        <v/>
      </c>
      <c r="HU9" s="1" t="str">
        <f t="shared" si="2"/>
        <v/>
      </c>
      <c r="HV9" s="1" t="str">
        <f t="shared" si="2"/>
        <v/>
      </c>
      <c r="HW9" s="1" t="str">
        <f t="shared" si="2"/>
        <v/>
      </c>
      <c r="HX9" s="1" t="str">
        <f t="shared" si="2"/>
        <v/>
      </c>
      <c r="HY9" s="1" t="str">
        <f t="shared" si="2"/>
        <v/>
      </c>
      <c r="HZ9" s="1" t="str">
        <f t="shared" si="2"/>
        <v/>
      </c>
      <c r="IA9" s="1" t="str">
        <f t="shared" si="2"/>
        <v/>
      </c>
      <c r="IB9" s="1" t="str">
        <f t="shared" si="2"/>
        <v/>
      </c>
      <c r="IC9" s="1" t="str">
        <f t="shared" si="2"/>
        <v/>
      </c>
      <c r="ID9" s="1" t="str">
        <f t="shared" si="2"/>
        <v/>
      </c>
      <c r="IE9" s="1" t="str">
        <f t="shared" si="2"/>
        <v/>
      </c>
      <c r="IF9" s="1" t="str">
        <f t="shared" si="2"/>
        <v/>
      </c>
      <c r="IG9" s="1" t="str">
        <f t="shared" si="2"/>
        <v/>
      </c>
      <c r="IH9" s="1" t="str">
        <f t="shared" si="2"/>
        <v/>
      </c>
      <c r="II9" s="1" t="str">
        <f t="shared" si="2"/>
        <v/>
      </c>
      <c r="IJ9" s="1" t="str">
        <f t="shared" si="2"/>
        <v/>
      </c>
      <c r="IK9" s="1" t="str">
        <f t="shared" si="2"/>
        <v/>
      </c>
      <c r="IL9" s="1" t="str">
        <f t="shared" si="2"/>
        <v/>
      </c>
      <c r="IM9" s="1" t="str">
        <f t="shared" si="2"/>
        <v/>
      </c>
      <c r="IN9" s="1" t="str">
        <f t="shared" si="2"/>
        <v/>
      </c>
      <c r="IO9" s="1" t="str">
        <f t="shared" si="2"/>
        <v/>
      </c>
      <c r="IP9" s="1" t="str">
        <f t="shared" si="2"/>
        <v/>
      </c>
      <c r="IQ9" s="1" t="str">
        <f t="shared" si="2"/>
        <v/>
      </c>
      <c r="IR9" s="1" t="str">
        <f t="shared" si="2"/>
        <v/>
      </c>
      <c r="IS9" s="1" t="str">
        <f t="shared" si="2"/>
        <v/>
      </c>
      <c r="IT9" s="1" t="str">
        <f t="shared" si="2"/>
        <v/>
      </c>
      <c r="IU9" s="1" t="str">
        <f t="shared" si="2"/>
        <v/>
      </c>
      <c r="IV9" s="1" t="str">
        <f t="shared" si="2"/>
        <v/>
      </c>
      <c r="IW9" s="1" t="str">
        <f t="shared" si="2"/>
        <v/>
      </c>
      <c r="IX9" s="1" t="str">
        <f t="shared" si="2"/>
        <v/>
      </c>
      <c r="IY9" s="1" t="str">
        <f t="shared" si="2"/>
        <v/>
      </c>
      <c r="IZ9" s="1" t="str">
        <f t="shared" si="2"/>
        <v/>
      </c>
      <c r="JA9" s="1" t="str">
        <f t="shared" si="2"/>
        <v/>
      </c>
      <c r="JB9" s="1" t="str">
        <f t="shared" si="2"/>
        <v/>
      </c>
      <c r="JC9" s="1" t="str">
        <f t="shared" si="2"/>
        <v/>
      </c>
      <c r="JD9" s="1" t="str">
        <f t="shared" si="2"/>
        <v/>
      </c>
      <c r="JE9" s="1" t="str">
        <f t="shared" si="2"/>
        <v/>
      </c>
      <c r="JF9" s="1" t="str">
        <f t="shared" si="2"/>
        <v/>
      </c>
      <c r="JG9" s="1" t="str">
        <f t="shared" si="2"/>
        <v/>
      </c>
      <c r="JH9" s="1" t="str">
        <f t="shared" si="2"/>
        <v/>
      </c>
      <c r="LY9" s="1"/>
    </row>
    <row r="10" spans="1:337" x14ac:dyDescent="0.25">
      <c r="A10" s="4">
        <v>8</v>
      </c>
      <c r="B10" s="1">
        <v>90218.865056353898</v>
      </c>
      <c r="C10" s="1">
        <v>89322.683767105715</v>
      </c>
      <c r="D10" s="1">
        <v>91412.265902119456</v>
      </c>
      <c r="E10" s="1">
        <v>94040.888904965337</v>
      </c>
      <c r="F10" s="1">
        <v>102239.43976009077</v>
      </c>
      <c r="G10" s="1">
        <v>102558.66520988013</v>
      </c>
      <c r="H10" s="1">
        <v>102519.63763582069</v>
      </c>
      <c r="I10" s="1">
        <v>101440.52025395873</v>
      </c>
      <c r="J10" s="1">
        <v>98864.84719261073</v>
      </c>
      <c r="K10" s="1">
        <v>92336.607352894236</v>
      </c>
      <c r="L10" s="1">
        <v>89049.912427669246</v>
      </c>
      <c r="M10" s="1">
        <v>87063.290291301819</v>
      </c>
      <c r="N10" s="1">
        <v>88812.382784426387</v>
      </c>
      <c r="O10" s="1">
        <v>90003.232916289096</v>
      </c>
      <c r="P10" s="1">
        <v>90672.370264148602</v>
      </c>
      <c r="Q10" s="1">
        <v>94224.856113023387</v>
      </c>
      <c r="R10" s="1">
        <v>98434.867139257607</v>
      </c>
      <c r="S10" s="1">
        <v>101355.4932994824</v>
      </c>
      <c r="T10" s="1">
        <v>100512.55176623938</v>
      </c>
      <c r="U10" s="1">
        <v>101380.71081823984</v>
      </c>
      <c r="V10" s="1">
        <v>98947.755612117908</v>
      </c>
      <c r="W10" s="1">
        <v>94732.207745253108</v>
      </c>
      <c r="X10" s="1">
        <v>90979.243894034473</v>
      </c>
      <c r="Y10" s="1">
        <v>87992.15521543214</v>
      </c>
      <c r="Z10" s="1">
        <v>89601.964358005207</v>
      </c>
      <c r="AA10" s="1">
        <v>88950.376037548733</v>
      </c>
      <c r="AB10" s="1">
        <v>90614.430706655403</v>
      </c>
      <c r="AC10" s="1">
        <v>90828.786939724043</v>
      </c>
      <c r="AD10" s="1">
        <v>93974.850194529281</v>
      </c>
      <c r="AE10" s="1">
        <v>98204.214285345835</v>
      </c>
      <c r="AF10" s="1">
        <v>99169.574270390702</v>
      </c>
      <c r="AG10" s="1">
        <v>98831.067299219765</v>
      </c>
      <c r="AH10" s="1">
        <v>95671.624969645345</v>
      </c>
      <c r="AI10" s="1">
        <v>92426.648649799303</v>
      </c>
      <c r="AJ10" s="1">
        <v>87571.01164408194</v>
      </c>
      <c r="AK10" s="1">
        <v>84532.20916003747</v>
      </c>
      <c r="AL10" s="1">
        <v>84643.400603433547</v>
      </c>
      <c r="AM10" s="1">
        <v>84156.799038229583</v>
      </c>
      <c r="AN10" s="1">
        <v>85661.299406713835</v>
      </c>
      <c r="AO10" s="1">
        <v>86839.032787696808</v>
      </c>
      <c r="AP10" s="1">
        <v>91449.020602617558</v>
      </c>
      <c r="AQ10" s="1">
        <v>95738.395066079174</v>
      </c>
      <c r="AR10" s="1">
        <v>97354.942493080976</v>
      </c>
      <c r="AS10" s="1">
        <v>97827.834358846594</v>
      </c>
      <c r="AT10" s="1">
        <v>96788.553871753888</v>
      </c>
      <c r="AU10" s="1">
        <v>92981.252839120469</v>
      </c>
      <c r="AV10" s="1">
        <v>89393.271254604289</v>
      </c>
      <c r="AW10" s="1">
        <v>88322.68228630739</v>
      </c>
      <c r="AX10" s="1">
        <v>89594.733661886858</v>
      </c>
      <c r="AY10" s="1">
        <v>92293.483726414124</v>
      </c>
      <c r="AZ10" s="1">
        <v>97053.149895611219</v>
      </c>
      <c r="BA10" s="1">
        <v>99415.409832647885</v>
      </c>
      <c r="BB10" s="1">
        <v>105451.83520253484</v>
      </c>
      <c r="BC10" s="1">
        <v>114919.94509872724</v>
      </c>
      <c r="BD10" s="1">
        <v>127394.05544641044</v>
      </c>
      <c r="BE10" s="1">
        <v>136625.58440937626</v>
      </c>
      <c r="BF10" s="1">
        <v>140402.01627083344</v>
      </c>
      <c r="BG10" s="1">
        <v>138631.15512557467</v>
      </c>
      <c r="BH10" s="1">
        <v>159532.39925316794</v>
      </c>
      <c r="BI10" s="1">
        <v>173519.12135935354</v>
      </c>
      <c r="BJ10" s="1">
        <v>194924.79726317871</v>
      </c>
      <c r="BK10" s="1">
        <v>186583.93766685098</v>
      </c>
      <c r="BL10" s="1">
        <v>205862.60576560276</v>
      </c>
      <c r="BM10" s="1">
        <v>221846.80802493758</v>
      </c>
      <c r="BN10" s="1">
        <v>227512.69520862377</v>
      </c>
      <c r="BO10" s="1">
        <v>231823.87382542284</v>
      </c>
      <c r="BP10" s="1">
        <v>228047.65276646166</v>
      </c>
      <c r="BQ10" s="1">
        <v>206030.80627411883</v>
      </c>
      <c r="BR10" s="1">
        <v>208707.77967381704</v>
      </c>
      <c r="BS10" s="1">
        <v>193786.67143474345</v>
      </c>
      <c r="BT10" s="1">
        <v>212933.57449856133</v>
      </c>
      <c r="BU10" s="1">
        <v>194261.50688721525</v>
      </c>
      <c r="BV10" s="1">
        <v>199904.94080216403</v>
      </c>
      <c r="BW10" s="1">
        <v>198786.70825134529</v>
      </c>
      <c r="BX10" s="1">
        <v>209732.57308771621</v>
      </c>
      <c r="BY10" s="1">
        <v>218383.31946882192</v>
      </c>
      <c r="BZ10" s="1">
        <v>219759.9663333752</v>
      </c>
      <c r="CA10" s="1">
        <v>221397.82150344504</v>
      </c>
      <c r="CB10" s="1">
        <v>218584.24649963796</v>
      </c>
      <c r="CC10" s="1">
        <v>221070.4753614947</v>
      </c>
      <c r="CD10" s="1">
        <v>219270.05020775326</v>
      </c>
      <c r="CE10" s="1">
        <v>206848.17830354685</v>
      </c>
      <c r="CF10" s="1">
        <v>211729.30469661165</v>
      </c>
      <c r="CG10" s="1">
        <v>209604.98071270064</v>
      </c>
      <c r="CH10" s="1">
        <v>204898.921067569</v>
      </c>
      <c r="CI10" s="1">
        <v>206749.55244458088</v>
      </c>
      <c r="CJ10" s="1">
        <v>214038.62089637117</v>
      </c>
      <c r="CK10" s="1">
        <v>212813.25074587326</v>
      </c>
      <c r="CL10" s="1">
        <v>217409.46770795237</v>
      </c>
      <c r="CM10" s="1">
        <v>230716.63828422228</v>
      </c>
      <c r="CN10" s="1">
        <v>243864.69609651557</v>
      </c>
      <c r="CO10" s="1">
        <v>247980.4604849912</v>
      </c>
      <c r="CP10" s="1">
        <v>234832.05903101878</v>
      </c>
      <c r="CQ10" s="1">
        <v>234670.29635887977</v>
      </c>
      <c r="CR10" s="1">
        <v>241549.57949202828</v>
      </c>
      <c r="CS10" s="1">
        <v>234625.74163819576</v>
      </c>
      <c r="CT10" s="1">
        <v>227544.85442203219</v>
      </c>
      <c r="CU10" s="1">
        <v>232877.7942042973</v>
      </c>
      <c r="CV10" s="1">
        <v>253452.81846055662</v>
      </c>
      <c r="CW10" s="1">
        <v>262240.93856715231</v>
      </c>
      <c r="CX10" s="1">
        <v>271451.46048283286</v>
      </c>
      <c r="CY10" s="1">
        <v>278291.87185491447</v>
      </c>
      <c r="CZ10" s="1">
        <v>276761.31445390568</v>
      </c>
      <c r="DA10" s="1">
        <v>298747.0914003264</v>
      </c>
      <c r="DB10" s="1">
        <v>294106.91607901827</v>
      </c>
      <c r="DC10" s="1">
        <v>269687.14605447272</v>
      </c>
      <c r="DD10" s="1">
        <v>275073.19882070017</v>
      </c>
      <c r="DE10" s="1">
        <v>282520.01695213898</v>
      </c>
      <c r="DF10" s="1">
        <v>270774.20748994284</v>
      </c>
      <c r="DG10" s="1">
        <v>268733.94751739758</v>
      </c>
      <c r="DH10" s="1">
        <v>266218.85733959638</v>
      </c>
      <c r="DI10" s="1">
        <v>273578.26338230644</v>
      </c>
      <c r="DJ10" s="1">
        <v>266942.59992455074</v>
      </c>
      <c r="DK10" s="1">
        <v>269100.8720628958</v>
      </c>
      <c r="DL10" s="1">
        <v>268585.31011515501</v>
      </c>
      <c r="DM10" s="1">
        <v>266054.62202920986</v>
      </c>
      <c r="DN10" s="1">
        <v>265382.80929133657</v>
      </c>
      <c r="DO10" s="1">
        <v>245002.46036083449</v>
      </c>
      <c r="DP10" s="1">
        <v>252756.44946872658</v>
      </c>
      <c r="DQ10" s="1">
        <v>249706.6700254106</v>
      </c>
      <c r="DR10" s="1">
        <v>232758.9294425057</v>
      </c>
      <c r="DS10" s="1">
        <v>224288.30442357872</v>
      </c>
      <c r="DT10" s="1">
        <v>235388.46174859389</v>
      </c>
      <c r="DU10" s="1">
        <v>239570.14348444622</v>
      </c>
      <c r="DV10" s="1">
        <v>235798.63530139817</v>
      </c>
      <c r="DW10" s="1">
        <v>235380.87833910075</v>
      </c>
      <c r="DX10" s="1">
        <v>244960.83826483882</v>
      </c>
      <c r="DY10" s="1">
        <v>246977.1400512461</v>
      </c>
      <c r="DZ10" s="1">
        <v>237568.34345711724</v>
      </c>
      <c r="EA10" s="1">
        <v>229795.75277782744</v>
      </c>
      <c r="EB10" s="1">
        <v>227355.52617284397</v>
      </c>
      <c r="EC10" s="1">
        <v>214611.10688012611</v>
      </c>
      <c r="ED10" s="1">
        <v>217785.70338761344</v>
      </c>
      <c r="EE10" s="1">
        <v>210955.6974946399</v>
      </c>
      <c r="EF10" s="1">
        <v>215547.92031923516</v>
      </c>
      <c r="EG10" s="1">
        <v>214853.1572166807</v>
      </c>
      <c r="EH10" s="1">
        <v>201519.90729211792</v>
      </c>
      <c r="EI10" s="1">
        <v>207755.67252031597</v>
      </c>
      <c r="EJ10" s="1">
        <v>212981.44875072764</v>
      </c>
      <c r="EK10" s="1">
        <v>221825.62313656294</v>
      </c>
      <c r="EL10" s="1">
        <v>219170.23447570606</v>
      </c>
      <c r="EM10" s="1">
        <v>211882.41348126292</v>
      </c>
      <c r="EN10" s="1">
        <v>213292.09016371309</v>
      </c>
      <c r="EO10" s="1">
        <v>201929.3933973168</v>
      </c>
      <c r="EP10" s="1">
        <v>201898.16844885086</v>
      </c>
      <c r="EQ10" s="1">
        <v>193796.99515095033</v>
      </c>
      <c r="ER10" s="1">
        <v>207853.14380193769</v>
      </c>
      <c r="ES10" s="1">
        <v>201469.34662933688</v>
      </c>
      <c r="ET10" s="1">
        <v>194844.21676132316</v>
      </c>
      <c r="EU10" s="1">
        <v>191729.81588240602</v>
      </c>
      <c r="EV10" s="1">
        <v>191772.4591633493</v>
      </c>
      <c r="EW10" s="1">
        <v>195141.24638113924</v>
      </c>
      <c r="EX10" s="1">
        <v>191777.08817574749</v>
      </c>
      <c r="EY10" s="1">
        <v>178892.11706529366</v>
      </c>
      <c r="EZ10" s="1">
        <v>178376.5672618887</v>
      </c>
      <c r="FA10" s="1">
        <v>181329.20924330709</v>
      </c>
      <c r="FB10" s="1">
        <v>176700.85784681703</v>
      </c>
      <c r="FC10" s="1">
        <v>169360.69017831748</v>
      </c>
      <c r="FD10" s="1">
        <v>177728.02001685835</v>
      </c>
      <c r="FE10" s="1">
        <v>179258.26358319839</v>
      </c>
      <c r="FF10" s="1">
        <v>190161.09570037969</v>
      </c>
      <c r="FG10" s="1">
        <v>195057.3421104757</v>
      </c>
      <c r="FH10" s="1">
        <v>188863.88349996152</v>
      </c>
      <c r="FI10" s="1">
        <v>189994.53102735808</v>
      </c>
      <c r="FJ10" s="1">
        <v>179644.62132861934</v>
      </c>
      <c r="FK10" s="1">
        <v>182526.42199734951</v>
      </c>
      <c r="FL10" s="1">
        <v>155826.361258602</v>
      </c>
      <c r="FM10" s="1">
        <v>152713.91172960386</v>
      </c>
      <c r="FN10" s="1">
        <v>157726.98685867066</v>
      </c>
      <c r="FO10" s="1">
        <v>159759.61434697988</v>
      </c>
      <c r="FP10" s="1">
        <v>168245.27264382393</v>
      </c>
      <c r="FQ10" s="1">
        <v>175128.5481096498</v>
      </c>
      <c r="FR10" s="1">
        <v>181257.69416907744</v>
      </c>
      <c r="FS10" s="1">
        <v>188397.33693749382</v>
      </c>
      <c r="FT10" s="1">
        <v>190888.4812882228</v>
      </c>
      <c r="FU10" s="1">
        <v>187801.04981822061</v>
      </c>
      <c r="FV10" s="1">
        <v>183453.06107544748</v>
      </c>
      <c r="FW10" s="1">
        <v>176166.43627016037</v>
      </c>
      <c r="FX10" s="1">
        <v>161802.70664677338</v>
      </c>
      <c r="FY10" s="1">
        <v>150872.11563383479</v>
      </c>
      <c r="FZ10" s="1">
        <v>141994.88970509067</v>
      </c>
      <c r="GA10" s="1">
        <v>141993.44910443266</v>
      </c>
      <c r="GB10" s="1">
        <v>150814.64091873396</v>
      </c>
      <c r="GC10" s="1">
        <v>153046.48014020373</v>
      </c>
      <c r="GD10" s="1">
        <v>156885.49542178895</v>
      </c>
      <c r="GE10" s="1">
        <v>169282.26679740479</v>
      </c>
      <c r="GF10" s="1">
        <v>175683.15574787854</v>
      </c>
      <c r="GG10" s="1">
        <v>177606.1054694608</v>
      </c>
      <c r="GH10" s="1">
        <v>178552.51961394507</v>
      </c>
      <c r="GI10" s="1">
        <v>177578.2097214447</v>
      </c>
      <c r="GJ10" s="1">
        <v>173033.38913425896</v>
      </c>
      <c r="GK10" s="1">
        <v>171104.18215926649</v>
      </c>
      <c r="GL10" s="1">
        <v>169050.61928561373</v>
      </c>
      <c r="GM10" s="1">
        <v>169114.37903433337</v>
      </c>
      <c r="GN10" s="1">
        <v>168412.42823910128</v>
      </c>
      <c r="GO10" s="1">
        <v>193724.11153921852</v>
      </c>
      <c r="GP10" s="1">
        <v>226258.59664120089</v>
      </c>
      <c r="GQ10" s="1">
        <v>216084.39825450827</v>
      </c>
      <c r="GR10" s="1">
        <v>212915.50210310839</v>
      </c>
      <c r="GS10" s="1">
        <v>214219.28280513137</v>
      </c>
      <c r="GT10" s="1">
        <v>208223.87490988686</v>
      </c>
      <c r="GU10" s="1">
        <v>194868.59015983911</v>
      </c>
      <c r="GV10" s="1">
        <v>181148.22554426719</v>
      </c>
      <c r="GW10" s="1">
        <v>178726.13194963755</v>
      </c>
      <c r="GX10" s="1">
        <v>187514.59644206421</v>
      </c>
      <c r="GY10" s="1">
        <v>182785.95750000066</v>
      </c>
      <c r="GZ10" s="1">
        <v>189819.27584088201</v>
      </c>
      <c r="HA10" s="1" t="str">
        <f t="shared" si="2"/>
        <v/>
      </c>
      <c r="HB10" s="1" t="str">
        <f t="shared" si="2"/>
        <v/>
      </c>
      <c r="HC10" s="1" t="str">
        <f t="shared" si="2"/>
        <v/>
      </c>
      <c r="HD10" s="1" t="str">
        <f t="shared" si="2"/>
        <v/>
      </c>
      <c r="HE10" s="1" t="str">
        <f t="shared" si="2"/>
        <v/>
      </c>
      <c r="HF10" s="1" t="str">
        <f t="shared" si="2"/>
        <v/>
      </c>
      <c r="HG10" s="1" t="str">
        <f t="shared" si="2"/>
        <v/>
      </c>
      <c r="HH10" s="1" t="str">
        <f t="shared" si="2"/>
        <v/>
      </c>
      <c r="HI10" s="1" t="str">
        <f t="shared" si="2"/>
        <v/>
      </c>
      <c r="HJ10" s="1" t="str">
        <f t="shared" si="2"/>
        <v/>
      </c>
      <c r="HK10" s="1" t="str">
        <f t="shared" si="2"/>
        <v/>
      </c>
      <c r="HL10" s="1" t="str">
        <f t="shared" si="2"/>
        <v/>
      </c>
      <c r="HM10" s="1" t="str">
        <f t="shared" si="2"/>
        <v/>
      </c>
      <c r="HN10" s="1" t="str">
        <f t="shared" si="2"/>
        <v/>
      </c>
      <c r="HO10" s="1" t="str">
        <f t="shared" si="2"/>
        <v/>
      </c>
      <c r="HP10" s="1" t="str">
        <f t="shared" si="2"/>
        <v/>
      </c>
      <c r="HQ10" s="1" t="str">
        <f t="shared" si="2"/>
        <v/>
      </c>
      <c r="HR10" s="1" t="str">
        <f t="shared" si="2"/>
        <v/>
      </c>
      <c r="HS10" s="1" t="str">
        <f t="shared" si="2"/>
        <v/>
      </c>
      <c r="HT10" s="1" t="str">
        <f t="shared" si="2"/>
        <v/>
      </c>
      <c r="HU10" s="1" t="str">
        <f t="shared" si="2"/>
        <v/>
      </c>
      <c r="HV10" s="1" t="str">
        <f t="shared" si="2"/>
        <v/>
      </c>
      <c r="HW10" s="1" t="str">
        <f t="shared" si="2"/>
        <v/>
      </c>
      <c r="HX10" s="1" t="str">
        <f t="shared" si="2"/>
        <v/>
      </c>
      <c r="HY10" s="1" t="str">
        <f t="shared" si="2"/>
        <v/>
      </c>
      <c r="HZ10" s="1" t="str">
        <f t="shared" si="2"/>
        <v/>
      </c>
      <c r="IA10" s="1" t="str">
        <f t="shared" si="2"/>
        <v/>
      </c>
      <c r="IB10" s="1" t="str">
        <f t="shared" si="2"/>
        <v/>
      </c>
      <c r="IC10" s="1" t="str">
        <f t="shared" si="2"/>
        <v/>
      </c>
      <c r="ID10" s="1" t="str">
        <f t="shared" si="2"/>
        <v/>
      </c>
      <c r="IE10" s="1" t="str">
        <f t="shared" si="2"/>
        <v/>
      </c>
      <c r="IF10" s="1" t="str">
        <f t="shared" si="2"/>
        <v/>
      </c>
      <c r="IG10" s="1" t="str">
        <f t="shared" si="2"/>
        <v/>
      </c>
      <c r="IH10" s="1" t="str">
        <f t="shared" si="2"/>
        <v/>
      </c>
      <c r="II10" s="1" t="str">
        <f t="shared" si="2"/>
        <v/>
      </c>
      <c r="IJ10" s="1" t="str">
        <f t="shared" si="2"/>
        <v/>
      </c>
      <c r="IK10" s="1" t="str">
        <f t="shared" si="2"/>
        <v/>
      </c>
      <c r="IL10" s="1" t="str">
        <f t="shared" si="2"/>
        <v/>
      </c>
      <c r="IM10" s="1" t="str">
        <f t="shared" si="2"/>
        <v/>
      </c>
      <c r="IN10" s="1" t="str">
        <f t="shared" si="2"/>
        <v/>
      </c>
      <c r="IO10" s="1" t="str">
        <f t="shared" si="2"/>
        <v/>
      </c>
      <c r="IP10" s="1" t="str">
        <f t="shared" si="2"/>
        <v/>
      </c>
      <c r="IQ10" s="1" t="str">
        <f t="shared" si="2"/>
        <v/>
      </c>
      <c r="IR10" s="1" t="str">
        <f t="shared" si="2"/>
        <v/>
      </c>
      <c r="IS10" s="1" t="str">
        <f t="shared" si="2"/>
        <v/>
      </c>
      <c r="IT10" s="1" t="str">
        <f t="shared" si="2"/>
        <v/>
      </c>
      <c r="IU10" s="1" t="str">
        <f t="shared" si="2"/>
        <v/>
      </c>
      <c r="IV10" s="1" t="str">
        <f t="shared" si="2"/>
        <v/>
      </c>
      <c r="IW10" s="1" t="str">
        <f t="shared" si="2"/>
        <v/>
      </c>
      <c r="IX10" s="1" t="str">
        <f t="shared" si="2"/>
        <v/>
      </c>
      <c r="IY10" s="1" t="str">
        <f t="shared" si="2"/>
        <v/>
      </c>
      <c r="IZ10" s="1" t="str">
        <f t="shared" si="2"/>
        <v/>
      </c>
      <c r="JA10" s="1" t="str">
        <f t="shared" si="2"/>
        <v/>
      </c>
      <c r="JB10" s="1" t="str">
        <f t="shared" si="2"/>
        <v/>
      </c>
      <c r="JC10" s="1" t="str">
        <f t="shared" si="2"/>
        <v/>
      </c>
      <c r="JD10" s="1" t="str">
        <f t="shared" si="2"/>
        <v/>
      </c>
      <c r="JE10" s="1" t="str">
        <f t="shared" si="2"/>
        <v/>
      </c>
      <c r="JF10" s="1" t="str">
        <f t="shared" si="2"/>
        <v/>
      </c>
      <c r="JG10" s="1" t="str">
        <f t="shared" si="2"/>
        <v/>
      </c>
      <c r="JH10" s="1" t="str">
        <f t="shared" si="2"/>
        <v/>
      </c>
      <c r="LY10" s="1"/>
    </row>
    <row r="11" spans="1:337" x14ac:dyDescent="0.25">
      <c r="A11" s="5">
        <v>9</v>
      </c>
      <c r="B11" s="1">
        <v>91145.360927041096</v>
      </c>
      <c r="C11" s="1">
        <v>91057.05229756757</v>
      </c>
      <c r="D11" s="1">
        <v>93175.88608747792</v>
      </c>
      <c r="E11" s="1">
        <v>98357.597724075822</v>
      </c>
      <c r="F11" s="1">
        <v>104707.76155693203</v>
      </c>
      <c r="G11" s="1">
        <v>103585.59028066727</v>
      </c>
      <c r="H11" s="1">
        <v>102515.57571893587</v>
      </c>
      <c r="I11" s="1">
        <v>99932.274014122901</v>
      </c>
      <c r="J11" s="1">
        <v>94138.483088792098</v>
      </c>
      <c r="K11" s="1">
        <v>89117.766943008202</v>
      </c>
      <c r="L11" s="1">
        <v>86413.557328939787</v>
      </c>
      <c r="M11" s="1">
        <v>88745.104439679781</v>
      </c>
      <c r="N11" s="1">
        <v>89266.239351364697</v>
      </c>
      <c r="O11" s="1">
        <v>91988.349970522511</v>
      </c>
      <c r="P11" s="1">
        <v>93347.93373211642</v>
      </c>
      <c r="Q11" s="1">
        <v>98229.932742757854</v>
      </c>
      <c r="R11" s="1">
        <v>102230.68846474338</v>
      </c>
      <c r="S11" s="1">
        <v>102549.98600678395</v>
      </c>
      <c r="T11" s="1">
        <v>100066.83111691168</v>
      </c>
      <c r="U11" s="1">
        <v>98693.159737894544</v>
      </c>
      <c r="V11" s="1">
        <v>94769.375176628862</v>
      </c>
      <c r="W11" s="1">
        <v>91059.073125963725</v>
      </c>
      <c r="X11" s="1">
        <v>89271.08123687956</v>
      </c>
      <c r="Y11" s="1">
        <v>90001.553157080634</v>
      </c>
      <c r="Z11" s="1">
        <v>89922.673462734965</v>
      </c>
      <c r="AA11" s="1">
        <v>90932.982551767636</v>
      </c>
      <c r="AB11" s="1">
        <v>92478.581988810794</v>
      </c>
      <c r="AC11" s="1">
        <v>94479.56319969277</v>
      </c>
      <c r="AD11" s="1">
        <v>97773.916541254584</v>
      </c>
      <c r="AE11" s="1">
        <v>98718.892375618743</v>
      </c>
      <c r="AF11" s="1">
        <v>98612.575007283682</v>
      </c>
      <c r="AG11" s="1">
        <v>95540.519827460113</v>
      </c>
      <c r="AH11" s="1">
        <v>92151.027756243057</v>
      </c>
      <c r="AI11" s="1">
        <v>88235.15679911914</v>
      </c>
      <c r="AJ11" s="1">
        <v>85387.103568908453</v>
      </c>
      <c r="AK11" s="1">
        <v>86230.506658620085</v>
      </c>
      <c r="AL11" s="1">
        <v>84988.365267455083</v>
      </c>
      <c r="AM11" s="1">
        <v>85828.600417575275</v>
      </c>
      <c r="AN11" s="1">
        <v>87338.318836923514</v>
      </c>
      <c r="AO11" s="1">
        <v>90366.878083829302</v>
      </c>
      <c r="AP11" s="1">
        <v>95008.575009936991</v>
      </c>
      <c r="AQ11" s="1">
        <v>96250.019324806039</v>
      </c>
      <c r="AR11" s="1">
        <v>96719.124217468838</v>
      </c>
      <c r="AS11" s="1">
        <v>95550.453700919039</v>
      </c>
      <c r="AT11" s="1">
        <v>93180.50562762747</v>
      </c>
      <c r="AU11" s="1">
        <v>89415.13454763242</v>
      </c>
      <c r="AV11" s="1">
        <v>88117.129317513478</v>
      </c>
      <c r="AW11" s="1">
        <v>90021.853146225942</v>
      </c>
      <c r="AX11" s="1">
        <v>90164.409451897227</v>
      </c>
      <c r="AY11" s="1">
        <v>93418.11540359183</v>
      </c>
      <c r="AZ11" s="1">
        <v>98630.744760518821</v>
      </c>
      <c r="BA11" s="1">
        <v>102078.95281226635</v>
      </c>
      <c r="BB11" s="1">
        <v>110244.97950486827</v>
      </c>
      <c r="BC11" s="1">
        <v>117275.68850716349</v>
      </c>
      <c r="BD11" s="1">
        <v>127913.52928826652</v>
      </c>
      <c r="BE11" s="1">
        <v>136707.87662149413</v>
      </c>
      <c r="BF11" s="1">
        <v>139408.04289356089</v>
      </c>
      <c r="BG11" s="1">
        <v>138469.6044861204</v>
      </c>
      <c r="BH11" s="1">
        <v>163872.42081787635</v>
      </c>
      <c r="BI11" s="1">
        <v>179230.42016197159</v>
      </c>
      <c r="BJ11" s="1">
        <v>201298.98162443249</v>
      </c>
      <c r="BK11" s="1">
        <v>194565.71345163311</v>
      </c>
      <c r="BL11" s="1">
        <v>218260.91858770169</v>
      </c>
      <c r="BM11" s="1">
        <v>231745.69499433931</v>
      </c>
      <c r="BN11" s="1">
        <v>237952.75001463824</v>
      </c>
      <c r="BO11" s="1">
        <v>242509.06444702944</v>
      </c>
      <c r="BP11" s="1">
        <v>236206.73833550009</v>
      </c>
      <c r="BQ11" s="1">
        <v>207375.69529529149</v>
      </c>
      <c r="BR11" s="1">
        <v>205122.88905924495</v>
      </c>
      <c r="BS11" s="1">
        <v>187977.62952629392</v>
      </c>
      <c r="BT11" s="1">
        <v>210995.95050217985</v>
      </c>
      <c r="BU11" s="1">
        <v>197644.24969012305</v>
      </c>
      <c r="BV11" s="1">
        <v>200898.12015027157</v>
      </c>
      <c r="BW11" s="1">
        <v>209563.05628593985</v>
      </c>
      <c r="BX11" s="1">
        <v>214951.91980275424</v>
      </c>
      <c r="BY11" s="1">
        <v>225178.89575747011</v>
      </c>
      <c r="BZ11" s="1">
        <v>225499.48505573749</v>
      </c>
      <c r="CA11" s="1">
        <v>227088.31455206624</v>
      </c>
      <c r="CB11" s="1">
        <v>220422.78896822713</v>
      </c>
      <c r="CC11" s="1">
        <v>219118.41615590459</v>
      </c>
      <c r="CD11" s="1">
        <v>216842.76157190325</v>
      </c>
      <c r="CE11" s="1">
        <v>200464.4135158557</v>
      </c>
      <c r="CF11" s="1">
        <v>209171.71225865284</v>
      </c>
      <c r="CG11" s="1">
        <v>213276.70911842299</v>
      </c>
      <c r="CH11" s="1">
        <v>200529.38873933663</v>
      </c>
      <c r="CI11" s="1">
        <v>218022.95921196183</v>
      </c>
      <c r="CJ11" s="1">
        <v>218140.99459726998</v>
      </c>
      <c r="CK11" s="1">
        <v>219061.38298854779</v>
      </c>
      <c r="CL11" s="1">
        <v>223457.80862963886</v>
      </c>
      <c r="CM11" s="1">
        <v>235802.55071112569</v>
      </c>
      <c r="CN11" s="1">
        <v>246115.48351008166</v>
      </c>
      <c r="CO11" s="1">
        <v>246907.73993701176</v>
      </c>
      <c r="CP11" s="1">
        <v>230676.31628559477</v>
      </c>
      <c r="CQ11" s="1">
        <v>228825.08981205869</v>
      </c>
      <c r="CR11" s="1">
        <v>239664.83343184966</v>
      </c>
      <c r="CS11" s="1">
        <v>237463.08990456403</v>
      </c>
      <c r="CT11" s="1">
        <v>226764.19699959009</v>
      </c>
      <c r="CU11" s="1">
        <v>247761.00850331315</v>
      </c>
      <c r="CV11" s="1">
        <v>258475.9442879316</v>
      </c>
      <c r="CW11" s="1">
        <v>265407.60724035045</v>
      </c>
      <c r="CX11" s="1">
        <v>281929.11094382871</v>
      </c>
      <c r="CY11" s="1">
        <v>285853.43264378153</v>
      </c>
      <c r="CZ11" s="1">
        <v>280922.9803014755</v>
      </c>
      <c r="DA11" s="1">
        <v>299760.70895748993</v>
      </c>
      <c r="DB11" s="1">
        <v>290824.37853853125</v>
      </c>
      <c r="DC11" s="1">
        <v>261902.23045788062</v>
      </c>
      <c r="DD11" s="1">
        <v>274967.29239874345</v>
      </c>
      <c r="DE11" s="1">
        <v>286180.14212231617</v>
      </c>
      <c r="DF11" s="1">
        <v>264807.12539274828</v>
      </c>
      <c r="DG11" s="1">
        <v>282007.44791737071</v>
      </c>
      <c r="DH11" s="1">
        <v>270647.84296548413</v>
      </c>
      <c r="DI11" s="1">
        <v>276201.3469354469</v>
      </c>
      <c r="DJ11" s="1">
        <v>271779.94446081785</v>
      </c>
      <c r="DK11" s="1">
        <v>272431.37343900616</v>
      </c>
      <c r="DL11" s="1">
        <v>268776.32039568364</v>
      </c>
      <c r="DM11" s="1">
        <v>262097.47403084469</v>
      </c>
      <c r="DN11" s="1">
        <v>259663.00507971412</v>
      </c>
      <c r="DO11" s="1">
        <v>236632.01760514005</v>
      </c>
      <c r="DP11" s="1">
        <v>248887.42176559009</v>
      </c>
      <c r="DQ11" s="1">
        <v>250138.27403203759</v>
      </c>
      <c r="DR11" s="1">
        <v>226157.35885409341</v>
      </c>
      <c r="DS11" s="1">
        <v>232829.03292906078</v>
      </c>
      <c r="DT11" s="1">
        <v>239168.08605647669</v>
      </c>
      <c r="DU11" s="1">
        <v>238526.11336464286</v>
      </c>
      <c r="DV11" s="1">
        <v>240840.29688682366</v>
      </c>
      <c r="DW11" s="1">
        <v>237324.40591807023</v>
      </c>
      <c r="DX11" s="1">
        <v>243698.02689207069</v>
      </c>
      <c r="DY11" s="1">
        <v>242599.43192897693</v>
      </c>
      <c r="DZ11" s="1">
        <v>230650.40907777706</v>
      </c>
      <c r="EA11" s="1">
        <v>222084.16123227833</v>
      </c>
      <c r="EB11" s="1">
        <v>223476.74785518405</v>
      </c>
      <c r="EC11" s="1">
        <v>213574.90135529512</v>
      </c>
      <c r="ED11" s="1">
        <v>210451.78483794708</v>
      </c>
      <c r="EE11" s="1">
        <v>220822.99625426345</v>
      </c>
      <c r="EF11" s="1">
        <v>215909.44313534387</v>
      </c>
      <c r="EG11" s="1">
        <v>212220.7929083599</v>
      </c>
      <c r="EH11" s="1">
        <v>205252.90662239282</v>
      </c>
      <c r="EI11" s="1">
        <v>208043.69632989401</v>
      </c>
      <c r="EJ11" s="1">
        <v>210738.7552022677</v>
      </c>
      <c r="EK11" s="1">
        <v>214764.67422537785</v>
      </c>
      <c r="EL11" s="1">
        <v>212411.37580557971</v>
      </c>
      <c r="EM11" s="1">
        <v>204534.44291752856</v>
      </c>
      <c r="EN11" s="1">
        <v>211973.88093040837</v>
      </c>
      <c r="EO11" s="1">
        <v>201998.28436896714</v>
      </c>
      <c r="EP11" s="1">
        <v>194878.95037735696</v>
      </c>
      <c r="EQ11" s="1">
        <v>206984.02411002869</v>
      </c>
      <c r="ER11" s="1">
        <v>208045.40304688484</v>
      </c>
      <c r="ES11" s="1">
        <v>199443.34195349843</v>
      </c>
      <c r="ET11" s="1">
        <v>199888.68584430107</v>
      </c>
      <c r="EU11" s="1">
        <v>191495.10459842929</v>
      </c>
      <c r="EV11" s="1">
        <v>187578.08835307261</v>
      </c>
      <c r="EW11" s="1">
        <v>186934.2800802103</v>
      </c>
      <c r="EX11" s="1">
        <v>182908.16921653849</v>
      </c>
      <c r="EY11" s="1">
        <v>171472.56556451262</v>
      </c>
      <c r="EZ11" s="1">
        <v>175895.53414878566</v>
      </c>
      <c r="FA11" s="1">
        <v>181755.46776876645</v>
      </c>
      <c r="FB11" s="1">
        <v>172305.79098876056</v>
      </c>
      <c r="FC11" s="1">
        <v>177865.65738710912</v>
      </c>
      <c r="FD11" s="1">
        <v>178288.03435377733</v>
      </c>
      <c r="FE11" s="1">
        <v>177707.30253480098</v>
      </c>
      <c r="FF11" s="1">
        <v>194867.29030346355</v>
      </c>
      <c r="FG11" s="1">
        <v>195646.33874629904</v>
      </c>
      <c r="FH11" s="1">
        <v>186908.25448934227</v>
      </c>
      <c r="FI11" s="1">
        <v>184372.79220554573</v>
      </c>
      <c r="FJ11" s="1">
        <v>172165.56981272041</v>
      </c>
      <c r="FK11" s="1">
        <v>174794.49665357822</v>
      </c>
      <c r="FL11" s="1">
        <v>153866.35472261926</v>
      </c>
      <c r="FM11" s="1">
        <v>152288.50983752892</v>
      </c>
      <c r="FN11" s="1">
        <v>150766.63414238108</v>
      </c>
      <c r="FO11" s="1">
        <v>169577.96531178735</v>
      </c>
      <c r="FP11" s="1">
        <v>169968.90492058615</v>
      </c>
      <c r="FQ11" s="1">
        <v>175099.03214865635</v>
      </c>
      <c r="FR11" s="1">
        <v>187126.69646003129</v>
      </c>
      <c r="FS11" s="1">
        <v>190622.65985968173</v>
      </c>
      <c r="FT11" s="1">
        <v>191141.55060123364</v>
      </c>
      <c r="FU11" s="1">
        <v>182940.7591948366</v>
      </c>
      <c r="FV11" s="1">
        <v>177230.04433805816</v>
      </c>
      <c r="FW11" s="1">
        <v>169793.21092084111</v>
      </c>
      <c r="FX11" s="1">
        <v>159094.27849319635</v>
      </c>
      <c r="FY11" s="1">
        <v>151682.12300758477</v>
      </c>
      <c r="FZ11" s="1">
        <v>136319.30251106873</v>
      </c>
      <c r="GA11" s="1">
        <v>149093.13657599376</v>
      </c>
      <c r="GB11" s="1">
        <v>149944.28734534964</v>
      </c>
      <c r="GC11" s="1">
        <v>150795.71251886728</v>
      </c>
      <c r="GD11" s="1">
        <v>162974.64237013366</v>
      </c>
      <c r="GE11" s="1">
        <v>171024.17933068809</v>
      </c>
      <c r="GF11" s="1">
        <v>175936.52254837329</v>
      </c>
      <c r="GG11" s="1">
        <v>175365.11331737973</v>
      </c>
      <c r="GH11" s="1">
        <v>174659.69541098364</v>
      </c>
      <c r="GI11" s="1">
        <v>174514.63322628255</v>
      </c>
      <c r="GJ11" s="1">
        <v>172289.47415026743</v>
      </c>
      <c r="GK11" s="1">
        <v>170722.37280578961</v>
      </c>
      <c r="GL11" s="1">
        <v>168033.82725631102</v>
      </c>
      <c r="GM11" s="1">
        <v>174806.48120720824</v>
      </c>
      <c r="GN11" s="1">
        <v>168648.78976557549</v>
      </c>
      <c r="GO11" s="1">
        <v>194419.9070437414</v>
      </c>
      <c r="GP11" s="1">
        <v>235833.4025539615</v>
      </c>
      <c r="GQ11" s="1">
        <v>220199.34153777827</v>
      </c>
      <c r="GR11" s="1">
        <v>220348.27207504318</v>
      </c>
      <c r="GS11" s="1">
        <v>215517.8903536541</v>
      </c>
      <c r="GT11" s="1">
        <v>205355.37312887219</v>
      </c>
      <c r="GU11" s="1">
        <v>189707.4395024417</v>
      </c>
      <c r="GV11" s="1">
        <v>179623.49899558324</v>
      </c>
      <c r="GW11" s="1">
        <v>179751.15096921579</v>
      </c>
      <c r="GX11" s="1">
        <v>183856.35254867986</v>
      </c>
      <c r="GY11" s="1">
        <v>188324.9992288847</v>
      </c>
      <c r="GZ11" s="1">
        <v>189426.42951216199</v>
      </c>
      <c r="HA11" s="1" t="str">
        <f t="shared" si="2"/>
        <v/>
      </c>
      <c r="HB11" s="1" t="str">
        <f t="shared" si="2"/>
        <v/>
      </c>
      <c r="HC11" s="1" t="str">
        <f t="shared" si="2"/>
        <v/>
      </c>
      <c r="HD11" s="1" t="str">
        <f t="shared" si="2"/>
        <v/>
      </c>
      <c r="HE11" s="1" t="str">
        <f t="shared" si="2"/>
        <v/>
      </c>
      <c r="HF11" s="1" t="str">
        <f t="shared" si="2"/>
        <v/>
      </c>
      <c r="HG11" s="1" t="str">
        <f t="shared" si="2"/>
        <v/>
      </c>
      <c r="HH11" s="1" t="str">
        <f t="shared" si="2"/>
        <v/>
      </c>
      <c r="HI11" s="1" t="str">
        <f t="shared" si="2"/>
        <v/>
      </c>
      <c r="HJ11" s="1" t="str">
        <f t="shared" si="2"/>
        <v/>
      </c>
      <c r="HK11" s="1" t="str">
        <f t="shared" si="2"/>
        <v/>
      </c>
      <c r="HL11" s="1" t="str">
        <f t="shared" si="2"/>
        <v/>
      </c>
      <c r="HM11" s="1" t="str">
        <f t="shared" si="2"/>
        <v/>
      </c>
      <c r="HN11" s="1" t="str">
        <f t="shared" si="2"/>
        <v/>
      </c>
      <c r="HO11" s="1" t="str">
        <f t="shared" si="2"/>
        <v/>
      </c>
      <c r="HP11" s="1" t="str">
        <f t="shared" si="2"/>
        <v/>
      </c>
      <c r="HQ11" s="1" t="str">
        <f t="shared" si="2"/>
        <v/>
      </c>
      <c r="HR11" s="1" t="str">
        <f t="shared" si="2"/>
        <v/>
      </c>
      <c r="HS11" s="1" t="str">
        <f t="shared" ref="GZ11:JH14" si="3">IF(HR11="","","")</f>
        <v/>
      </c>
      <c r="HT11" s="1" t="str">
        <f t="shared" si="3"/>
        <v/>
      </c>
      <c r="HU11" s="1" t="str">
        <f t="shared" si="3"/>
        <v/>
      </c>
      <c r="HV11" s="1" t="str">
        <f t="shared" si="3"/>
        <v/>
      </c>
      <c r="HW11" s="1" t="str">
        <f t="shared" si="3"/>
        <v/>
      </c>
      <c r="HX11" s="1" t="str">
        <f t="shared" si="3"/>
        <v/>
      </c>
      <c r="HY11" s="1" t="str">
        <f t="shared" si="3"/>
        <v/>
      </c>
      <c r="HZ11" s="1" t="str">
        <f t="shared" si="3"/>
        <v/>
      </c>
      <c r="IA11" s="1" t="str">
        <f t="shared" si="3"/>
        <v/>
      </c>
      <c r="IB11" s="1" t="str">
        <f t="shared" si="3"/>
        <v/>
      </c>
      <c r="IC11" s="1" t="str">
        <f t="shared" si="3"/>
        <v/>
      </c>
      <c r="ID11" s="1" t="str">
        <f t="shared" si="3"/>
        <v/>
      </c>
      <c r="IE11" s="1" t="str">
        <f t="shared" si="3"/>
        <v/>
      </c>
      <c r="IF11" s="1" t="str">
        <f t="shared" si="3"/>
        <v/>
      </c>
      <c r="IG11" s="1" t="str">
        <f t="shared" si="3"/>
        <v/>
      </c>
      <c r="IH11" s="1" t="str">
        <f t="shared" si="3"/>
        <v/>
      </c>
      <c r="II11" s="1" t="str">
        <f t="shared" si="3"/>
        <v/>
      </c>
      <c r="IJ11" s="1" t="str">
        <f t="shared" si="3"/>
        <v/>
      </c>
      <c r="IK11" s="1" t="str">
        <f t="shared" si="3"/>
        <v/>
      </c>
      <c r="IL11" s="1" t="str">
        <f t="shared" si="3"/>
        <v/>
      </c>
      <c r="IM11" s="1" t="str">
        <f t="shared" si="3"/>
        <v/>
      </c>
      <c r="IN11" s="1" t="str">
        <f t="shared" si="3"/>
        <v/>
      </c>
      <c r="IO11" s="1" t="str">
        <f t="shared" si="3"/>
        <v/>
      </c>
      <c r="IP11" s="1" t="str">
        <f t="shared" si="3"/>
        <v/>
      </c>
      <c r="IQ11" s="1" t="str">
        <f t="shared" si="3"/>
        <v/>
      </c>
      <c r="IR11" s="1" t="str">
        <f t="shared" si="3"/>
        <v/>
      </c>
      <c r="IS11" s="1" t="str">
        <f t="shared" si="3"/>
        <v/>
      </c>
      <c r="IT11" s="1" t="str">
        <f t="shared" si="3"/>
        <v/>
      </c>
      <c r="IU11" s="1" t="str">
        <f t="shared" si="3"/>
        <v/>
      </c>
      <c r="IV11" s="1" t="str">
        <f t="shared" si="3"/>
        <v/>
      </c>
      <c r="IW11" s="1" t="str">
        <f t="shared" si="3"/>
        <v/>
      </c>
      <c r="IX11" s="1" t="str">
        <f t="shared" si="3"/>
        <v/>
      </c>
      <c r="IY11" s="1" t="str">
        <f t="shared" si="3"/>
        <v/>
      </c>
      <c r="IZ11" s="1" t="str">
        <f t="shared" si="3"/>
        <v/>
      </c>
      <c r="JA11" s="1" t="str">
        <f t="shared" si="3"/>
        <v/>
      </c>
      <c r="JB11" s="1" t="str">
        <f t="shared" si="3"/>
        <v/>
      </c>
      <c r="JC11" s="1" t="str">
        <f t="shared" si="3"/>
        <v/>
      </c>
      <c r="JD11" s="1" t="str">
        <f t="shared" si="3"/>
        <v/>
      </c>
      <c r="JE11" s="1" t="str">
        <f t="shared" si="3"/>
        <v/>
      </c>
      <c r="JF11" s="1" t="str">
        <f t="shared" si="3"/>
        <v/>
      </c>
      <c r="JG11" s="1" t="str">
        <f t="shared" si="3"/>
        <v/>
      </c>
      <c r="JH11" s="1" t="str">
        <f t="shared" si="3"/>
        <v/>
      </c>
      <c r="LY11" s="1"/>
    </row>
    <row r="12" spans="1:337" x14ac:dyDescent="0.25">
      <c r="A12" s="5">
        <v>10</v>
      </c>
      <c r="B12" s="1">
        <v>93741.988595817791</v>
      </c>
      <c r="C12" s="1">
        <v>92870.302526485961</v>
      </c>
      <c r="D12" s="1">
        <v>97489.472780762211</v>
      </c>
      <c r="E12" s="1">
        <v>101210.75702374669</v>
      </c>
      <c r="F12" s="1">
        <v>105005.49523065188</v>
      </c>
      <c r="G12" s="1">
        <v>103362.20409584715</v>
      </c>
      <c r="H12" s="1">
        <v>100170.75200415072</v>
      </c>
      <c r="I12" s="1">
        <v>94818.36964902046</v>
      </c>
      <c r="J12" s="1">
        <v>90412.818973226094</v>
      </c>
      <c r="K12" s="1">
        <v>86398.848350043423</v>
      </c>
      <c r="L12" s="1">
        <v>87700.642017959995</v>
      </c>
      <c r="M12" s="1">
        <v>88931.235492021646</v>
      </c>
      <c r="N12" s="1">
        <v>90707.161376501608</v>
      </c>
      <c r="O12" s="1">
        <v>94644.425440073624</v>
      </c>
      <c r="P12" s="1">
        <v>97135.691129259285</v>
      </c>
      <c r="Q12" s="1">
        <v>102035.73847352905</v>
      </c>
      <c r="R12" s="1">
        <v>102807.87956624021</v>
      </c>
      <c r="S12" s="1">
        <v>101999.88973931666</v>
      </c>
      <c r="T12" s="1">
        <v>97409.296232368884</v>
      </c>
      <c r="U12" s="1">
        <v>94479.193698762261</v>
      </c>
      <c r="V12" s="1">
        <v>91498.645842834172</v>
      </c>
      <c r="W12" s="1">
        <v>88735.614728340312</v>
      </c>
      <c r="X12" s="1">
        <v>91373.96365765552</v>
      </c>
      <c r="Y12" s="1">
        <v>90017.898970465656</v>
      </c>
      <c r="Z12" s="1">
        <v>91859.469383012984</v>
      </c>
      <c r="AA12" s="1">
        <v>92634.037892158405</v>
      </c>
      <c r="AB12" s="1">
        <v>96227.806831444788</v>
      </c>
      <c r="AC12" s="1">
        <v>98246.18971335041</v>
      </c>
      <c r="AD12" s="1">
        <v>98330.093885687209</v>
      </c>
      <c r="AE12" s="1">
        <v>98171.665863748174</v>
      </c>
      <c r="AF12" s="1">
        <v>95397.606898883969</v>
      </c>
      <c r="AG12" s="1">
        <v>91920.15004380676</v>
      </c>
      <c r="AH12" s="1">
        <v>88226.154700579093</v>
      </c>
      <c r="AI12" s="1">
        <v>86067.507960891089</v>
      </c>
      <c r="AJ12" s="1">
        <v>87081.920938546828</v>
      </c>
      <c r="AK12" s="1">
        <v>86502.768694942308</v>
      </c>
      <c r="AL12" s="1">
        <v>86682.826302303059</v>
      </c>
      <c r="AM12" s="1">
        <v>87332.903496299477</v>
      </c>
      <c r="AN12" s="1">
        <v>90673.220603631751</v>
      </c>
      <c r="AO12" s="1">
        <v>93919.928341886189</v>
      </c>
      <c r="AP12" s="1">
        <v>95725.974433217969</v>
      </c>
      <c r="AQ12" s="1">
        <v>95571.682167802297</v>
      </c>
      <c r="AR12" s="1">
        <v>94248.905793194019</v>
      </c>
      <c r="AS12" s="1">
        <v>92028.296240563563</v>
      </c>
      <c r="AT12" s="1">
        <v>89641.504228409452</v>
      </c>
      <c r="AU12" s="1">
        <v>87856.222811110667</v>
      </c>
      <c r="AV12" s="1">
        <v>89760.499036382927</v>
      </c>
      <c r="AW12" s="1">
        <v>90293.170821243926</v>
      </c>
      <c r="AX12" s="1">
        <v>91463.261457841174</v>
      </c>
      <c r="AY12" s="1">
        <v>94879.210517180865</v>
      </c>
      <c r="AZ12" s="1">
        <v>101281.13397277505</v>
      </c>
      <c r="BA12" s="1">
        <v>106493.3055326514</v>
      </c>
      <c r="BB12" s="1">
        <v>112168.9470819172</v>
      </c>
      <c r="BC12" s="1">
        <v>116994.75655789873</v>
      </c>
      <c r="BD12" s="1">
        <v>128151.73813264372</v>
      </c>
      <c r="BE12" s="1">
        <v>135230.77440347112</v>
      </c>
      <c r="BF12" s="1">
        <v>139248.25685421549</v>
      </c>
      <c r="BG12" s="1">
        <v>139935.24862338795</v>
      </c>
      <c r="BH12" s="1">
        <v>170397.61606110097</v>
      </c>
      <c r="BI12" s="1">
        <v>184794.48611298681</v>
      </c>
      <c r="BJ12" s="1">
        <v>213407.77623166388</v>
      </c>
      <c r="BK12" s="1">
        <v>202419.1098133112</v>
      </c>
      <c r="BL12" s="1">
        <v>230675.34196134011</v>
      </c>
      <c r="BM12" s="1">
        <v>241690.37984298388</v>
      </c>
      <c r="BN12" s="1">
        <v>248432.21520816887</v>
      </c>
      <c r="BO12" s="1">
        <v>251594.00747248612</v>
      </c>
      <c r="BP12" s="1">
        <v>240249.65676806617</v>
      </c>
      <c r="BQ12" s="1">
        <v>206405.90595407056</v>
      </c>
      <c r="BR12" s="1">
        <v>199222.90049336743</v>
      </c>
      <c r="BS12" s="1">
        <v>185688.42238193919</v>
      </c>
      <c r="BT12" s="1">
        <v>213125.99075578889</v>
      </c>
      <c r="BU12" s="1">
        <v>197691.39603785513</v>
      </c>
      <c r="BV12" s="1">
        <v>208277.40460078287</v>
      </c>
      <c r="BW12" s="1">
        <v>214042.40828425239</v>
      </c>
      <c r="BX12" s="1">
        <v>221473.48203877924</v>
      </c>
      <c r="BY12" s="1">
        <v>231485.77009948867</v>
      </c>
      <c r="BZ12" s="1">
        <v>231273.88311557393</v>
      </c>
      <c r="CA12" s="1">
        <v>230620.32549040663</v>
      </c>
      <c r="CB12" s="1">
        <v>220017.82287071942</v>
      </c>
      <c r="CC12" s="1">
        <v>214067.20637146547</v>
      </c>
      <c r="CD12" s="1">
        <v>213820.77610864112</v>
      </c>
      <c r="CE12" s="1">
        <v>196928.78017395356</v>
      </c>
      <c r="CF12" s="1">
        <v>210786.57378119876</v>
      </c>
      <c r="CG12" s="1">
        <v>209351.39237310019</v>
      </c>
      <c r="CH12" s="1">
        <v>211511.52485818911</v>
      </c>
      <c r="CI12" s="1">
        <v>221890.80882866241</v>
      </c>
      <c r="CJ12" s="1">
        <v>222039.23877516022</v>
      </c>
      <c r="CK12" s="1">
        <v>225592.82840096168</v>
      </c>
      <c r="CL12" s="1">
        <v>227549.3689545918</v>
      </c>
      <c r="CM12" s="1">
        <v>238158.46563858562</v>
      </c>
      <c r="CN12" s="1">
        <v>243663.81987093401</v>
      </c>
      <c r="CO12" s="1">
        <v>243563.72407045285</v>
      </c>
      <c r="CP12" s="1">
        <v>225186.5530319204</v>
      </c>
      <c r="CQ12" s="1">
        <v>226232.42957142938</v>
      </c>
      <c r="CR12" s="1">
        <v>242903.9014470863</v>
      </c>
      <c r="CS12" s="1">
        <v>236193.97039808487</v>
      </c>
      <c r="CT12" s="1">
        <v>237295.78808645369</v>
      </c>
      <c r="CU12" s="1">
        <v>252541.47742142703</v>
      </c>
      <c r="CV12" s="1">
        <v>262128.20179575196</v>
      </c>
      <c r="CW12" s="1">
        <v>276275.59592711407</v>
      </c>
      <c r="CX12" s="1">
        <v>288316.40917524323</v>
      </c>
      <c r="CY12" s="1">
        <v>290758.78317752457</v>
      </c>
      <c r="CZ12" s="1">
        <v>281930.79387934669</v>
      </c>
      <c r="DA12" s="1">
        <v>295451.11776304839</v>
      </c>
      <c r="DB12" s="1">
        <v>284075.8616727381</v>
      </c>
      <c r="DC12" s="1">
        <v>259804.57312765805</v>
      </c>
      <c r="DD12" s="1">
        <v>277109.41599284619</v>
      </c>
      <c r="DE12" s="1">
        <v>280016.71119285707</v>
      </c>
      <c r="DF12" s="1">
        <v>280184.95133023872</v>
      </c>
      <c r="DG12" s="1">
        <v>286889.89397635683</v>
      </c>
      <c r="DH12" s="1">
        <v>273085.26420661702</v>
      </c>
      <c r="DI12" s="1">
        <v>283035.3419370444</v>
      </c>
      <c r="DJ12" s="1">
        <v>275302.1771325969</v>
      </c>
      <c r="DK12" s="1">
        <v>272929.40710362967</v>
      </c>
      <c r="DL12" s="1">
        <v>265041.32323346386</v>
      </c>
      <c r="DM12" s="1">
        <v>256232.58552864351</v>
      </c>
      <c r="DN12" s="1">
        <v>252656.53011017083</v>
      </c>
      <c r="DO12" s="1">
        <v>230729.23092553357</v>
      </c>
      <c r="DP12" s="1">
        <v>250016.58977380375</v>
      </c>
      <c r="DQ12" s="1">
        <v>249194.21484588378</v>
      </c>
      <c r="DR12" s="1">
        <v>235760.23054522634</v>
      </c>
      <c r="DS12" s="1">
        <v>236468.45904858195</v>
      </c>
      <c r="DT12" s="1">
        <v>237814.0792323185</v>
      </c>
      <c r="DU12" s="1">
        <v>244926.14235927426</v>
      </c>
      <c r="DV12" s="1">
        <v>242849.19728827156</v>
      </c>
      <c r="DW12" s="1">
        <v>237060.05836312156</v>
      </c>
      <c r="DX12" s="1">
        <v>238150.678814449</v>
      </c>
      <c r="DY12" s="1">
        <v>235979.12574846658</v>
      </c>
      <c r="DZ12" s="1">
        <v>222626.90430820489</v>
      </c>
      <c r="EA12" s="1">
        <v>217172.27385564777</v>
      </c>
      <c r="EB12" s="1">
        <v>223872.71935866942</v>
      </c>
      <c r="EC12" s="1">
        <v>204343.20580512489</v>
      </c>
      <c r="ED12" s="1">
        <v>220612.02115861926</v>
      </c>
      <c r="EE12" s="1">
        <v>222376.90398561448</v>
      </c>
      <c r="EF12" s="1">
        <v>215423.91016273698</v>
      </c>
      <c r="EG12" s="1">
        <v>218026.94115021551</v>
      </c>
      <c r="EH12" s="1">
        <v>205381.75750210712</v>
      </c>
      <c r="EI12" s="1">
        <v>206066.70836671302</v>
      </c>
      <c r="EJ12" s="1">
        <v>204916.88050713082</v>
      </c>
      <c r="EK12" s="1">
        <v>208094.46310732467</v>
      </c>
      <c r="EL12" s="1">
        <v>205151.2764478717</v>
      </c>
      <c r="EM12" s="1">
        <v>202004.46287567005</v>
      </c>
      <c r="EN12" s="1">
        <v>212901.38848884034</v>
      </c>
      <c r="EO12" s="1">
        <v>193723.23664435258</v>
      </c>
      <c r="EP12" s="1">
        <v>207437.00766779768</v>
      </c>
      <c r="EQ12" s="1">
        <v>206651.49588384811</v>
      </c>
      <c r="ER12" s="1">
        <v>206475.04189481516</v>
      </c>
      <c r="ES12" s="1">
        <v>204068.54873782187</v>
      </c>
      <c r="ET12" s="1">
        <v>200738.28061295405</v>
      </c>
      <c r="EU12" s="1">
        <v>188192.73449493645</v>
      </c>
      <c r="EV12" s="1">
        <v>179358.87817333321</v>
      </c>
      <c r="EW12" s="1">
        <v>177755.21500648282</v>
      </c>
      <c r="EX12" s="1">
        <v>174713.70634069125</v>
      </c>
      <c r="EY12" s="1">
        <v>168090.08104587247</v>
      </c>
      <c r="EZ12" s="1">
        <v>175537.11156206275</v>
      </c>
      <c r="FA12" s="1">
        <v>176408.01921986591</v>
      </c>
      <c r="FB12" s="1">
        <v>181267.74799173942</v>
      </c>
      <c r="FC12" s="1">
        <v>180781.09506186569</v>
      </c>
      <c r="FD12" s="1">
        <v>177032.1810423063</v>
      </c>
      <c r="FE12" s="1">
        <v>182064.78989153827</v>
      </c>
      <c r="FF12" s="1">
        <v>195470.60883603728</v>
      </c>
      <c r="FG12" s="1">
        <v>193487.77973707032</v>
      </c>
      <c r="FH12" s="1">
        <v>181234.56811939913</v>
      </c>
      <c r="FI12" s="1">
        <v>176813.40075882632</v>
      </c>
      <c r="FJ12" s="1">
        <v>164073.5500881435</v>
      </c>
      <c r="FK12" s="1">
        <v>174531.01356371504</v>
      </c>
      <c r="FL12" s="1">
        <v>153677.45074822498</v>
      </c>
      <c r="FM12" s="1">
        <v>144898.77162288409</v>
      </c>
      <c r="FN12" s="1">
        <v>159504.48135212337</v>
      </c>
      <c r="FO12" s="1">
        <v>170900.47218912045</v>
      </c>
      <c r="FP12" s="1">
        <v>170275.20163618901</v>
      </c>
      <c r="FQ12" s="1">
        <v>181814.59130793385</v>
      </c>
      <c r="FR12" s="1">
        <v>189280.82855162487</v>
      </c>
      <c r="FS12" s="1">
        <v>190160.74461303608</v>
      </c>
      <c r="FT12" s="1">
        <v>186621.99315603825</v>
      </c>
      <c r="FU12" s="1">
        <v>176654.77715609898</v>
      </c>
      <c r="FV12" s="1">
        <v>170948.5902735251</v>
      </c>
      <c r="FW12" s="1">
        <v>167621.82887376024</v>
      </c>
      <c r="FX12" s="1">
        <v>160438.17015283497</v>
      </c>
      <c r="FY12" s="1">
        <v>145694.67001893659</v>
      </c>
      <c r="FZ12" s="1">
        <v>141228.83614841889</v>
      </c>
      <c r="GA12" s="1">
        <v>147619.60928660701</v>
      </c>
      <c r="GB12" s="1">
        <v>147004.26065123378</v>
      </c>
      <c r="GC12" s="1">
        <v>156573.79189521365</v>
      </c>
      <c r="GD12" s="1">
        <v>164337.78288736218</v>
      </c>
      <c r="GE12" s="1">
        <v>171085.51502538909</v>
      </c>
      <c r="GF12" s="1">
        <v>173066.46412096132</v>
      </c>
      <c r="GG12" s="1">
        <v>171096.18253072558</v>
      </c>
      <c r="GH12" s="1">
        <v>169100.18274601345</v>
      </c>
      <c r="GI12" s="1">
        <v>173930.16637586761</v>
      </c>
      <c r="GJ12" s="1">
        <v>173151.24244863266</v>
      </c>
      <c r="GK12" s="1">
        <v>168742.78326208104</v>
      </c>
      <c r="GL12" s="1">
        <v>174470.89226974436</v>
      </c>
      <c r="GM12" s="1">
        <v>176092.97578423738</v>
      </c>
      <c r="GN12" s="1">
        <v>167821.74820842335</v>
      </c>
      <c r="GO12" s="1">
        <v>201961.78529863735</v>
      </c>
      <c r="GP12" s="1">
        <v>238513.37420925431</v>
      </c>
      <c r="GQ12" s="1">
        <v>227460.38866521523</v>
      </c>
      <c r="GR12" s="1">
        <v>222284.52019925741</v>
      </c>
      <c r="GS12" s="1">
        <v>210969.47890605032</v>
      </c>
      <c r="GT12" s="1">
        <v>201271.65354196384</v>
      </c>
      <c r="GU12" s="1">
        <v>188228.74501951071</v>
      </c>
      <c r="GV12" s="1">
        <v>180240.59252444591</v>
      </c>
      <c r="GW12" s="1">
        <v>174053.63036749547</v>
      </c>
      <c r="GX12" s="1">
        <v>190069.1261788664</v>
      </c>
      <c r="GY12" s="1">
        <v>188117.65964293655</v>
      </c>
      <c r="GZ12" s="1">
        <v>190510.268699868</v>
      </c>
      <c r="HA12" s="1" t="str">
        <f t="shared" si="3"/>
        <v/>
      </c>
      <c r="HB12" s="1" t="str">
        <f t="shared" si="3"/>
        <v/>
      </c>
      <c r="HC12" s="1" t="str">
        <f t="shared" si="3"/>
        <v/>
      </c>
      <c r="HD12" s="1" t="str">
        <f t="shared" si="3"/>
        <v/>
      </c>
      <c r="HE12" s="1" t="str">
        <f t="shared" si="3"/>
        <v/>
      </c>
      <c r="HF12" s="1" t="str">
        <f t="shared" si="3"/>
        <v/>
      </c>
      <c r="HG12" s="1" t="str">
        <f t="shared" si="3"/>
        <v/>
      </c>
      <c r="HH12" s="1" t="str">
        <f t="shared" si="3"/>
        <v/>
      </c>
      <c r="HI12" s="1" t="str">
        <f t="shared" si="3"/>
        <v/>
      </c>
      <c r="HJ12" s="1" t="str">
        <f t="shared" si="3"/>
        <v/>
      </c>
      <c r="HK12" s="1" t="str">
        <f t="shared" si="3"/>
        <v/>
      </c>
      <c r="HL12" s="1" t="str">
        <f t="shared" si="3"/>
        <v/>
      </c>
      <c r="HM12" s="1" t="str">
        <f t="shared" si="3"/>
        <v/>
      </c>
      <c r="HN12" s="1" t="str">
        <f t="shared" si="3"/>
        <v/>
      </c>
      <c r="HO12" s="1" t="str">
        <f t="shared" si="3"/>
        <v/>
      </c>
      <c r="HP12" s="1" t="str">
        <f t="shared" si="3"/>
        <v/>
      </c>
      <c r="HQ12" s="1" t="str">
        <f t="shared" si="3"/>
        <v/>
      </c>
      <c r="HR12" s="1" t="str">
        <f t="shared" si="3"/>
        <v/>
      </c>
      <c r="HS12" s="1" t="str">
        <f t="shared" si="3"/>
        <v/>
      </c>
      <c r="HT12" s="1" t="str">
        <f t="shared" si="3"/>
        <v/>
      </c>
      <c r="HU12" s="1" t="str">
        <f t="shared" si="3"/>
        <v/>
      </c>
      <c r="HV12" s="1" t="str">
        <f t="shared" si="3"/>
        <v/>
      </c>
      <c r="HW12" s="1" t="str">
        <f t="shared" si="3"/>
        <v/>
      </c>
      <c r="HX12" s="1" t="str">
        <f t="shared" si="3"/>
        <v/>
      </c>
      <c r="HY12" s="1" t="str">
        <f t="shared" si="3"/>
        <v/>
      </c>
      <c r="HZ12" s="1" t="str">
        <f t="shared" si="3"/>
        <v/>
      </c>
      <c r="IA12" s="1" t="str">
        <f t="shared" si="3"/>
        <v/>
      </c>
      <c r="IB12" s="1" t="str">
        <f t="shared" si="3"/>
        <v/>
      </c>
      <c r="IC12" s="1" t="str">
        <f t="shared" si="3"/>
        <v/>
      </c>
      <c r="ID12" s="1" t="str">
        <f t="shared" si="3"/>
        <v/>
      </c>
      <c r="IE12" s="1" t="str">
        <f t="shared" si="3"/>
        <v/>
      </c>
      <c r="IF12" s="1" t="str">
        <f t="shared" si="3"/>
        <v/>
      </c>
      <c r="IG12" s="1" t="str">
        <f t="shared" si="3"/>
        <v/>
      </c>
      <c r="IH12" s="1" t="str">
        <f t="shared" si="3"/>
        <v/>
      </c>
      <c r="II12" s="1" t="str">
        <f t="shared" si="3"/>
        <v/>
      </c>
      <c r="IJ12" s="1" t="str">
        <f t="shared" si="3"/>
        <v/>
      </c>
      <c r="IK12" s="1" t="str">
        <f t="shared" si="3"/>
        <v/>
      </c>
      <c r="IL12" s="1" t="str">
        <f t="shared" si="3"/>
        <v/>
      </c>
      <c r="IM12" s="1" t="str">
        <f t="shared" si="3"/>
        <v/>
      </c>
      <c r="IN12" s="1" t="str">
        <f t="shared" si="3"/>
        <v/>
      </c>
      <c r="IO12" s="1" t="str">
        <f t="shared" si="3"/>
        <v/>
      </c>
      <c r="IP12" s="1" t="str">
        <f t="shared" si="3"/>
        <v/>
      </c>
      <c r="IQ12" s="1" t="str">
        <f t="shared" si="3"/>
        <v/>
      </c>
      <c r="IR12" s="1" t="str">
        <f t="shared" si="3"/>
        <v/>
      </c>
      <c r="IS12" s="1" t="str">
        <f t="shared" si="3"/>
        <v/>
      </c>
      <c r="IT12" s="1" t="str">
        <f t="shared" si="3"/>
        <v/>
      </c>
      <c r="IU12" s="1" t="str">
        <f t="shared" si="3"/>
        <v/>
      </c>
      <c r="IV12" s="1" t="str">
        <f t="shared" si="3"/>
        <v/>
      </c>
      <c r="IW12" s="1" t="str">
        <f t="shared" si="3"/>
        <v/>
      </c>
      <c r="IX12" s="1" t="str">
        <f t="shared" si="3"/>
        <v/>
      </c>
      <c r="IY12" s="1" t="str">
        <f t="shared" si="3"/>
        <v/>
      </c>
      <c r="IZ12" s="1" t="str">
        <f t="shared" si="3"/>
        <v/>
      </c>
      <c r="JA12" s="1" t="str">
        <f t="shared" si="3"/>
        <v/>
      </c>
      <c r="JB12" s="1" t="str">
        <f t="shared" si="3"/>
        <v/>
      </c>
      <c r="JC12" s="1" t="str">
        <f t="shared" si="3"/>
        <v/>
      </c>
      <c r="JD12" s="1" t="str">
        <f t="shared" si="3"/>
        <v/>
      </c>
      <c r="JE12" s="1" t="str">
        <f t="shared" si="3"/>
        <v/>
      </c>
      <c r="JF12" s="1" t="str">
        <f t="shared" si="3"/>
        <v/>
      </c>
      <c r="JG12" s="1" t="str">
        <f t="shared" si="3"/>
        <v/>
      </c>
      <c r="JH12" s="1" t="str">
        <f t="shared" si="3"/>
        <v/>
      </c>
      <c r="LY12" s="1"/>
    </row>
    <row r="13" spans="1:337" x14ac:dyDescent="0.25">
      <c r="A13" s="5">
        <v>11</v>
      </c>
      <c r="B13" s="1">
        <v>95502.84671887134</v>
      </c>
      <c r="C13" s="1">
        <v>96885.511588127527</v>
      </c>
      <c r="D13" s="1">
        <v>100334.82307281677</v>
      </c>
      <c r="E13" s="1">
        <v>101898.52991821789</v>
      </c>
      <c r="F13" s="1">
        <v>105606.49523065187</v>
      </c>
      <c r="G13" s="1">
        <v>100292.09258428644</v>
      </c>
      <c r="H13" s="1">
        <v>95688.291577322525</v>
      </c>
      <c r="I13" s="1">
        <v>90919.723821027321</v>
      </c>
      <c r="J13" s="1">
        <v>87649.881323311711</v>
      </c>
      <c r="K13" s="1">
        <v>87712.937041913101</v>
      </c>
      <c r="L13" s="1">
        <v>88176.73902645646</v>
      </c>
      <c r="M13" s="1">
        <v>90859.011171887978</v>
      </c>
      <c r="N13" s="1">
        <v>93413.024451735313</v>
      </c>
      <c r="O13" s="1">
        <v>98651.189897889475</v>
      </c>
      <c r="P13" s="1">
        <v>100888.43751960108</v>
      </c>
      <c r="Q13" s="1">
        <v>102799.38885080727</v>
      </c>
      <c r="R13" s="1">
        <v>102521.58276225318</v>
      </c>
      <c r="S13" s="1">
        <v>98722.592545747713</v>
      </c>
      <c r="T13" s="1">
        <v>92961.464997728501</v>
      </c>
      <c r="U13" s="1">
        <v>90755.983944830659</v>
      </c>
      <c r="V13" s="1">
        <v>89223.194763977983</v>
      </c>
      <c r="W13" s="1">
        <v>90531.440489415079</v>
      </c>
      <c r="X13" s="1">
        <v>91523.031766365471</v>
      </c>
      <c r="Y13" s="1">
        <v>92121.13154228215</v>
      </c>
      <c r="Z13" s="1">
        <v>93472.48222551067</v>
      </c>
      <c r="AA13" s="1">
        <v>96299.696642764437</v>
      </c>
      <c r="AB13" s="1">
        <v>99953.322854937825</v>
      </c>
      <c r="AC13" s="1">
        <v>98721.134993355867</v>
      </c>
      <c r="AD13" s="1">
        <v>97857.655002009211</v>
      </c>
      <c r="AE13" s="1">
        <v>94937.063406675821</v>
      </c>
      <c r="AF13" s="1">
        <v>91837.746880363848</v>
      </c>
      <c r="AG13" s="1">
        <v>88098.355520628902</v>
      </c>
      <c r="AH13" s="1">
        <v>86040.015585796995</v>
      </c>
      <c r="AI13" s="1">
        <v>87787.396728137974</v>
      </c>
      <c r="AJ13" s="1">
        <v>87375.175465652894</v>
      </c>
      <c r="AK13" s="1">
        <v>88221.043651961663</v>
      </c>
      <c r="AL13" s="1">
        <v>88257.334686136659</v>
      </c>
      <c r="AM13" s="1">
        <v>90483.068777698238</v>
      </c>
      <c r="AN13" s="1">
        <v>94174.700111047277</v>
      </c>
      <c r="AO13" s="1">
        <v>94585.08743226972</v>
      </c>
      <c r="AP13" s="1">
        <v>95065.399960412702</v>
      </c>
      <c r="AQ13" s="1">
        <v>93260.976691153803</v>
      </c>
      <c r="AR13" s="1">
        <v>90561.460173053187</v>
      </c>
      <c r="AS13" s="1">
        <v>88588.264944526629</v>
      </c>
      <c r="AT13" s="1">
        <v>88482.80547621008</v>
      </c>
      <c r="AU13" s="1">
        <v>89724.178982024096</v>
      </c>
      <c r="AV13" s="1">
        <v>90266.553429494932</v>
      </c>
      <c r="AW13" s="1">
        <v>91817.451440581863</v>
      </c>
      <c r="AX13" s="1">
        <v>92881.102251555523</v>
      </c>
      <c r="AY13" s="1">
        <v>97650.026962525299</v>
      </c>
      <c r="AZ13" s="1">
        <v>105538.81222207169</v>
      </c>
      <c r="BA13" s="1">
        <v>108032.35823556484</v>
      </c>
      <c r="BB13" s="1">
        <v>111610.92688758395</v>
      </c>
      <c r="BC13" s="1">
        <v>115519.09450733678</v>
      </c>
      <c r="BD13" s="1">
        <v>126741.73233429951</v>
      </c>
      <c r="BE13" s="1">
        <v>133999.96844056022</v>
      </c>
      <c r="BF13" s="1">
        <v>140856.55960380239</v>
      </c>
      <c r="BG13" s="1">
        <v>143659.88853997755</v>
      </c>
      <c r="BH13" s="1">
        <v>175570.00365330622</v>
      </c>
      <c r="BI13" s="1">
        <v>192728.76143480832</v>
      </c>
      <c r="BJ13" s="1">
        <v>223689.32223401175</v>
      </c>
      <c r="BK13" s="1">
        <v>210769.50989495963</v>
      </c>
      <c r="BL13" s="1">
        <v>241740.29563264802</v>
      </c>
      <c r="BM13" s="1">
        <v>251505.48164425601</v>
      </c>
      <c r="BN13" s="1">
        <v>257308.20334848895</v>
      </c>
      <c r="BO13" s="1">
        <v>256778.32043588225</v>
      </c>
      <c r="BP13" s="1">
        <v>238615.22297444689</v>
      </c>
      <c r="BQ13" s="1">
        <v>203466.14412778546</v>
      </c>
      <c r="BR13" s="1">
        <v>198361.35518168018</v>
      </c>
      <c r="BS13" s="1">
        <v>189520.67426135548</v>
      </c>
      <c r="BT13" s="1">
        <v>214619.2529971964</v>
      </c>
      <c r="BU13" s="1">
        <v>205987.41872637116</v>
      </c>
      <c r="BV13" s="1">
        <v>212173.68833829829</v>
      </c>
      <c r="BW13" s="1">
        <v>220440.71583358737</v>
      </c>
      <c r="BX13" s="1">
        <v>227492.14303879614</v>
      </c>
      <c r="BY13" s="1">
        <v>237157.65107759056</v>
      </c>
      <c r="BZ13" s="1">
        <v>235180.61841064598</v>
      </c>
      <c r="CA13" s="1">
        <v>229293.50073392896</v>
      </c>
      <c r="CB13" s="1">
        <v>217677.3658048948</v>
      </c>
      <c r="CC13" s="1">
        <v>207785.86441802728</v>
      </c>
      <c r="CD13" s="1">
        <v>212239.45541383608</v>
      </c>
      <c r="CE13" s="1">
        <v>200847.23055245884</v>
      </c>
      <c r="CF13" s="1">
        <v>209813.84823132242</v>
      </c>
      <c r="CG13" s="1">
        <v>220583.76168050268</v>
      </c>
      <c r="CH13" s="1">
        <v>214910.79906944343</v>
      </c>
      <c r="CI13" s="1">
        <v>226553.21895260279</v>
      </c>
      <c r="CJ13" s="1">
        <v>229409.05991990771</v>
      </c>
      <c r="CK13" s="1">
        <v>228617.11417690379</v>
      </c>
      <c r="CL13" s="1">
        <v>228932.35569217341</v>
      </c>
      <c r="CM13" s="1">
        <v>235477.6968482864</v>
      </c>
      <c r="CN13" s="1">
        <v>239462.96085168861</v>
      </c>
      <c r="CO13" s="1">
        <v>237295.79658866773</v>
      </c>
      <c r="CP13" s="1">
        <v>221734.11686606304</v>
      </c>
      <c r="CQ13" s="1">
        <v>228758.97862293717</v>
      </c>
      <c r="CR13" s="1">
        <v>241595.85595983383</v>
      </c>
      <c r="CS13" s="1">
        <v>249829.78341612301</v>
      </c>
      <c r="CT13" s="1">
        <v>241006.26000303531</v>
      </c>
      <c r="CU13" s="1">
        <v>256149.53011595365</v>
      </c>
      <c r="CV13" s="1">
        <v>273572.76453280752</v>
      </c>
      <c r="CW13" s="1">
        <v>284844.85377325414</v>
      </c>
      <c r="CX13" s="1">
        <v>292796.01391930389</v>
      </c>
      <c r="CY13" s="1">
        <v>292219.08942841832</v>
      </c>
      <c r="CZ13" s="1">
        <v>278738.25223557954</v>
      </c>
      <c r="DA13" s="1">
        <v>287973.61509085435</v>
      </c>
      <c r="DB13" s="1">
        <v>281990.12310178956</v>
      </c>
      <c r="DC13" s="1">
        <v>263476.04544292099</v>
      </c>
      <c r="DD13" s="1">
        <v>271796.73459523497</v>
      </c>
      <c r="DE13" s="1">
        <v>296929.12125121593</v>
      </c>
      <c r="DF13" s="1">
        <v>285461.10372111853</v>
      </c>
      <c r="DG13" s="1">
        <v>287912.13945929671</v>
      </c>
      <c r="DH13" s="1">
        <v>279505.43228794634</v>
      </c>
      <c r="DI13" s="1">
        <v>286428.28048601653</v>
      </c>
      <c r="DJ13" s="1">
        <v>276008.09985979612</v>
      </c>
      <c r="DK13" s="1">
        <v>269482.40956191707</v>
      </c>
      <c r="DL13" s="1">
        <v>259353.99091872771</v>
      </c>
      <c r="DM13" s="1">
        <v>248410.97495237461</v>
      </c>
      <c r="DN13" s="1">
        <v>249475.44643089577</v>
      </c>
      <c r="DO13" s="1">
        <v>229908.35820865701</v>
      </c>
      <c r="DP13" s="1">
        <v>246742.11987513804</v>
      </c>
      <c r="DQ13" s="1">
        <v>256137.44703404506</v>
      </c>
      <c r="DR13" s="1">
        <v>238593.06184493518</v>
      </c>
      <c r="DS13" s="1">
        <v>235588.08346343189</v>
      </c>
      <c r="DT13" s="1">
        <v>243071.40844532801</v>
      </c>
      <c r="DU13" s="1">
        <v>247327.54590088778</v>
      </c>
      <c r="DV13" s="1">
        <v>242225.23391779402</v>
      </c>
      <c r="DW13" s="1">
        <v>232410.55762862356</v>
      </c>
      <c r="DX13" s="1">
        <v>231278.94599243326</v>
      </c>
      <c r="DY13" s="1">
        <v>228240.75603850198</v>
      </c>
      <c r="DZ13" s="1">
        <v>219428.94312628504</v>
      </c>
      <c r="EA13" s="1">
        <v>216817.34687928393</v>
      </c>
      <c r="EB13" s="1">
        <v>215394.68672277586</v>
      </c>
      <c r="EC13" s="1">
        <v>216491.71099567311</v>
      </c>
      <c r="ED13" s="1">
        <v>221465.67161418236</v>
      </c>
      <c r="EE13" s="1">
        <v>222891.7539153579</v>
      </c>
      <c r="EF13" s="1">
        <v>220600.85830781434</v>
      </c>
      <c r="EG13" s="1">
        <v>220030.23385673479</v>
      </c>
      <c r="EH13" s="1">
        <v>203256.77175251429</v>
      </c>
      <c r="EI13" s="1">
        <v>197542.16617569746</v>
      </c>
      <c r="EJ13" s="1">
        <v>197452.07941315207</v>
      </c>
      <c r="EK13" s="1">
        <v>200648.29647605517</v>
      </c>
      <c r="EL13" s="1">
        <v>203348.4912431062</v>
      </c>
      <c r="EM13" s="1">
        <v>202871.90966193436</v>
      </c>
      <c r="EN13" s="1">
        <v>205239.57531166097</v>
      </c>
      <c r="EO13" s="1">
        <v>206462.62166558643</v>
      </c>
      <c r="EP13" s="1">
        <v>207307.32684480119</v>
      </c>
      <c r="EQ13" s="1">
        <v>206595.30186552263</v>
      </c>
      <c r="ER13" s="1">
        <v>211929.10232326057</v>
      </c>
      <c r="ES13" s="1">
        <v>205028.56755473011</v>
      </c>
      <c r="ET13" s="1">
        <v>197885.82939681027</v>
      </c>
      <c r="EU13" s="1">
        <v>178081.35721504246</v>
      </c>
      <c r="EV13" s="1">
        <v>170258.34609173296</v>
      </c>
      <c r="EW13" s="1">
        <v>169258.31465266901</v>
      </c>
      <c r="EX13" s="1">
        <v>172777.73224614034</v>
      </c>
      <c r="EY13" s="1">
        <v>168615.39241620366</v>
      </c>
      <c r="EZ13" s="1">
        <v>169152.77601071776</v>
      </c>
      <c r="FA13" s="1">
        <v>188305.46392065767</v>
      </c>
      <c r="FB13" s="1">
        <v>183602.20150587359</v>
      </c>
      <c r="FC13" s="1">
        <v>180155.71409760357</v>
      </c>
      <c r="FD13" s="1">
        <v>181820.15651902268</v>
      </c>
      <c r="FE13" s="1">
        <v>183274.0200808651</v>
      </c>
      <c r="FF13" s="1">
        <v>193345.48112290999</v>
      </c>
      <c r="FG13" s="1">
        <v>188427.67786422995</v>
      </c>
      <c r="FH13" s="1">
        <v>174434.77935360695</v>
      </c>
      <c r="FI13" s="1">
        <v>168867.72533048177</v>
      </c>
      <c r="FJ13" s="1">
        <v>162275.06796533233</v>
      </c>
      <c r="FK13" s="1">
        <v>175200.56507490159</v>
      </c>
      <c r="FL13" s="1">
        <v>146582.05932062335</v>
      </c>
      <c r="FM13" s="1">
        <v>154570.36145094779</v>
      </c>
      <c r="FN13" s="1">
        <v>159952.61139127624</v>
      </c>
      <c r="FO13" s="1">
        <v>171289.69665514911</v>
      </c>
      <c r="FP13" s="1">
        <v>176502.19883712972</v>
      </c>
      <c r="FQ13" s="1">
        <v>183726.93965504883</v>
      </c>
      <c r="FR13" s="1">
        <v>188745.25083155709</v>
      </c>
      <c r="FS13" s="1">
        <v>185982.693614672</v>
      </c>
      <c r="FT13" s="1">
        <v>180421.98799829558</v>
      </c>
      <c r="FU13" s="1">
        <v>169744.79284327148</v>
      </c>
      <c r="FV13" s="1">
        <v>169086.845831363</v>
      </c>
      <c r="FW13" s="1">
        <v>168424.50823719733</v>
      </c>
      <c r="FX13" s="1">
        <v>154879.23534219421</v>
      </c>
      <c r="FY13" s="1">
        <v>152507.90641757892</v>
      </c>
      <c r="FZ13" s="1">
        <v>142444.27060559721</v>
      </c>
      <c r="GA13" s="1">
        <v>147667.86817647371</v>
      </c>
      <c r="GB13" s="1">
        <v>152882.19716003543</v>
      </c>
      <c r="GC13" s="1">
        <v>157908.62791660748</v>
      </c>
      <c r="GD13" s="1">
        <v>163807.36770652671</v>
      </c>
      <c r="GE13" s="1">
        <v>168628.22846871073</v>
      </c>
      <c r="GF13" s="1">
        <v>168306.53995634976</v>
      </c>
      <c r="GG13" s="1">
        <v>166406.53738627987</v>
      </c>
      <c r="GH13" s="1">
        <v>168617.0028886068</v>
      </c>
      <c r="GI13" s="1">
        <v>175404.22538593499</v>
      </c>
      <c r="GJ13" s="1">
        <v>172531.71333075315</v>
      </c>
      <c r="GK13" s="1">
        <v>174549.1365239686</v>
      </c>
      <c r="GL13" s="1">
        <v>174808.01880793317</v>
      </c>
      <c r="GM13" s="1">
        <v>177539.69668514334</v>
      </c>
      <c r="GN13" s="1">
        <v>174806.99426070123</v>
      </c>
      <c r="GO13" s="1">
        <v>203255.03773145634</v>
      </c>
      <c r="GP13" s="1">
        <v>245021.42929229012</v>
      </c>
      <c r="GQ13" s="1">
        <v>227552.52093197239</v>
      </c>
      <c r="GR13" s="1">
        <v>218388.13500261918</v>
      </c>
      <c r="GS13" s="1">
        <v>206909.72340914365</v>
      </c>
      <c r="GT13" s="1">
        <v>200704.02446154825</v>
      </c>
      <c r="GU13" s="1">
        <v>187234.50766078488</v>
      </c>
      <c r="GV13" s="1">
        <v>174963.1207863935</v>
      </c>
      <c r="GW13" s="1">
        <v>181304.85138049399</v>
      </c>
      <c r="GX13" s="1">
        <v>189730.75436945941</v>
      </c>
      <c r="GY13" s="1">
        <v>190217.98891531402</v>
      </c>
      <c r="GZ13" s="1">
        <v>196651.63030494901</v>
      </c>
      <c r="HA13" s="1" t="str">
        <f t="shared" si="3"/>
        <v/>
      </c>
      <c r="HB13" s="1" t="str">
        <f t="shared" si="3"/>
        <v/>
      </c>
      <c r="HC13" s="1" t="str">
        <f t="shared" si="3"/>
        <v/>
      </c>
      <c r="HD13" s="1" t="str">
        <f t="shared" si="3"/>
        <v/>
      </c>
      <c r="HE13" s="1" t="str">
        <f t="shared" si="3"/>
        <v/>
      </c>
      <c r="HF13" s="1" t="str">
        <f t="shared" si="3"/>
        <v/>
      </c>
      <c r="HG13" s="1" t="str">
        <f t="shared" si="3"/>
        <v/>
      </c>
      <c r="HH13" s="1" t="str">
        <f t="shared" si="3"/>
        <v/>
      </c>
      <c r="HI13" s="1" t="str">
        <f t="shared" si="3"/>
        <v/>
      </c>
      <c r="HJ13" s="1" t="str">
        <f t="shared" si="3"/>
        <v/>
      </c>
      <c r="HK13" s="1" t="str">
        <f t="shared" si="3"/>
        <v/>
      </c>
      <c r="HL13" s="1" t="str">
        <f t="shared" si="3"/>
        <v/>
      </c>
      <c r="HM13" s="1" t="str">
        <f t="shared" si="3"/>
        <v/>
      </c>
      <c r="HN13" s="1" t="str">
        <f t="shared" si="3"/>
        <v/>
      </c>
      <c r="HO13" s="1" t="str">
        <f t="shared" si="3"/>
        <v/>
      </c>
      <c r="HP13" s="1" t="str">
        <f t="shared" si="3"/>
        <v/>
      </c>
      <c r="HQ13" s="1" t="str">
        <f t="shared" si="3"/>
        <v/>
      </c>
      <c r="HR13" s="1" t="str">
        <f t="shared" si="3"/>
        <v/>
      </c>
      <c r="HS13" s="1" t="str">
        <f t="shared" si="3"/>
        <v/>
      </c>
      <c r="HT13" s="1" t="str">
        <f t="shared" si="3"/>
        <v/>
      </c>
      <c r="HU13" s="1" t="str">
        <f t="shared" si="3"/>
        <v/>
      </c>
      <c r="HV13" s="1" t="str">
        <f t="shared" si="3"/>
        <v/>
      </c>
      <c r="HW13" s="1" t="str">
        <f t="shared" si="3"/>
        <v/>
      </c>
      <c r="HX13" s="1" t="str">
        <f t="shared" si="3"/>
        <v/>
      </c>
      <c r="HY13" s="1" t="str">
        <f t="shared" si="3"/>
        <v/>
      </c>
      <c r="HZ13" s="1" t="str">
        <f t="shared" si="3"/>
        <v/>
      </c>
      <c r="IA13" s="1" t="str">
        <f t="shared" si="3"/>
        <v/>
      </c>
      <c r="IB13" s="1" t="str">
        <f t="shared" si="3"/>
        <v/>
      </c>
      <c r="IC13" s="1" t="str">
        <f t="shared" si="3"/>
        <v/>
      </c>
      <c r="ID13" s="1" t="str">
        <f t="shared" si="3"/>
        <v/>
      </c>
      <c r="IE13" s="1" t="str">
        <f t="shared" si="3"/>
        <v/>
      </c>
      <c r="IF13" s="1" t="str">
        <f t="shared" si="3"/>
        <v/>
      </c>
      <c r="IG13" s="1" t="str">
        <f t="shared" si="3"/>
        <v/>
      </c>
      <c r="IH13" s="1" t="str">
        <f t="shared" si="3"/>
        <v/>
      </c>
      <c r="II13" s="1" t="str">
        <f t="shared" si="3"/>
        <v/>
      </c>
      <c r="IJ13" s="1" t="str">
        <f t="shared" si="3"/>
        <v/>
      </c>
      <c r="IK13" s="1" t="str">
        <f t="shared" si="3"/>
        <v/>
      </c>
      <c r="IL13" s="1" t="str">
        <f t="shared" si="3"/>
        <v/>
      </c>
      <c r="IM13" s="1" t="str">
        <f t="shared" si="3"/>
        <v/>
      </c>
      <c r="IN13" s="1" t="str">
        <f t="shared" si="3"/>
        <v/>
      </c>
      <c r="IO13" s="1" t="str">
        <f t="shared" si="3"/>
        <v/>
      </c>
      <c r="IP13" s="1" t="str">
        <f t="shared" si="3"/>
        <v/>
      </c>
      <c r="IQ13" s="1" t="str">
        <f t="shared" si="3"/>
        <v/>
      </c>
      <c r="IR13" s="1" t="str">
        <f t="shared" si="3"/>
        <v/>
      </c>
      <c r="IS13" s="1" t="str">
        <f t="shared" si="3"/>
        <v/>
      </c>
      <c r="IT13" s="1" t="str">
        <f t="shared" si="3"/>
        <v/>
      </c>
      <c r="IU13" s="1" t="str">
        <f t="shared" si="3"/>
        <v/>
      </c>
      <c r="IV13" s="1" t="str">
        <f t="shared" si="3"/>
        <v/>
      </c>
      <c r="IW13" s="1" t="str">
        <f t="shared" si="3"/>
        <v/>
      </c>
      <c r="IX13" s="1" t="str">
        <f t="shared" si="3"/>
        <v/>
      </c>
      <c r="IY13" s="1" t="str">
        <f t="shared" si="3"/>
        <v/>
      </c>
      <c r="IZ13" s="1" t="str">
        <f t="shared" si="3"/>
        <v/>
      </c>
      <c r="JA13" s="1" t="str">
        <f t="shared" si="3"/>
        <v/>
      </c>
      <c r="JB13" s="1" t="str">
        <f t="shared" si="3"/>
        <v/>
      </c>
      <c r="JC13" s="1" t="str">
        <f t="shared" si="3"/>
        <v/>
      </c>
      <c r="JD13" s="1" t="str">
        <f t="shared" si="3"/>
        <v/>
      </c>
      <c r="JE13" s="1" t="str">
        <f t="shared" si="3"/>
        <v/>
      </c>
      <c r="JF13" s="1" t="str">
        <f t="shared" si="3"/>
        <v/>
      </c>
      <c r="JG13" s="1" t="str">
        <f t="shared" si="3"/>
        <v/>
      </c>
      <c r="JH13" s="1" t="str">
        <f t="shared" si="3"/>
        <v/>
      </c>
      <c r="LY13" s="1"/>
    </row>
    <row r="14" spans="1:337" x14ac:dyDescent="0.25">
      <c r="A14" s="5">
        <v>12</v>
      </c>
      <c r="B14" s="1">
        <v>100208.27398230197</v>
      </c>
      <c r="C14" s="1">
        <v>99611.068603166263</v>
      </c>
      <c r="D14" s="1">
        <v>100942.73885190295</v>
      </c>
      <c r="E14" s="1">
        <v>101834.66114048734</v>
      </c>
      <c r="F14" s="1">
        <v>104722.89466496449</v>
      </c>
      <c r="G14" s="1">
        <v>97256.236234851123</v>
      </c>
      <c r="H14" s="1">
        <v>92075.90438644652</v>
      </c>
      <c r="I14" s="1">
        <v>87698.963457576057</v>
      </c>
      <c r="J14" s="1">
        <v>88743.295630683904</v>
      </c>
      <c r="K14" s="1">
        <v>88013.775611893681</v>
      </c>
      <c r="L14" s="1">
        <v>89837.327234232507</v>
      </c>
      <c r="M14" s="1">
        <v>93529.515884645749</v>
      </c>
      <c r="N14" s="1">
        <v>97004.950091714389</v>
      </c>
      <c r="O14" s="1">
        <v>102525.02078058987</v>
      </c>
      <c r="P14" s="1">
        <v>101849.14504765245</v>
      </c>
      <c r="Q14" s="1">
        <v>102702.35742818071</v>
      </c>
      <c r="R14" s="1">
        <v>100235.51857668089</v>
      </c>
      <c r="S14" s="1">
        <v>94497.483966162225</v>
      </c>
      <c r="T14" s="1">
        <v>89209.427810483015</v>
      </c>
      <c r="U14" s="1">
        <v>88445.131492045228</v>
      </c>
      <c r="V14" s="1">
        <v>90596.242857922422</v>
      </c>
      <c r="W14" s="1">
        <v>90770.670717706293</v>
      </c>
      <c r="X14" s="1">
        <v>93564.316723172145</v>
      </c>
      <c r="Y14" s="1">
        <v>93479.825288598746</v>
      </c>
      <c r="Z14" s="1">
        <v>96819.362184292317</v>
      </c>
      <c r="AA14" s="1">
        <v>100151.54715743093</v>
      </c>
      <c r="AB14" s="1">
        <v>100580.18507559321</v>
      </c>
      <c r="AC14" s="1">
        <v>98169.671622388647</v>
      </c>
      <c r="AD14" s="1">
        <v>94829.217419588676</v>
      </c>
      <c r="AE14" s="1">
        <v>91353.638121040276</v>
      </c>
      <c r="AF14" s="1">
        <v>88042.236291876718</v>
      </c>
      <c r="AG14" s="1">
        <v>85814.095969733957</v>
      </c>
      <c r="AH14" s="1">
        <v>87617.233900702966</v>
      </c>
      <c r="AI14" s="1">
        <v>88063.890170754908</v>
      </c>
      <c r="AJ14" s="1">
        <v>89129.694052013016</v>
      </c>
      <c r="AK14" s="1">
        <v>89668.013515096274</v>
      </c>
      <c r="AL14" s="1">
        <v>91291.84995995654</v>
      </c>
      <c r="AM14" s="1">
        <v>94230.590623886877</v>
      </c>
      <c r="AN14" s="1">
        <v>94891.792648564486</v>
      </c>
      <c r="AO14" s="1">
        <v>94043.235952126764</v>
      </c>
      <c r="AP14" s="1">
        <v>92526.710090341512</v>
      </c>
      <c r="AQ14" s="1">
        <v>89854.081570228547</v>
      </c>
      <c r="AR14" s="1">
        <v>87160.434174522103</v>
      </c>
      <c r="AS14" s="1">
        <v>87086.290042601991</v>
      </c>
      <c r="AT14" s="1">
        <v>90010.302945380448</v>
      </c>
      <c r="AU14" s="1">
        <v>90051.779004798635</v>
      </c>
      <c r="AV14" s="1">
        <v>91574.082044585753</v>
      </c>
      <c r="AW14" s="1">
        <v>93359.149852004237</v>
      </c>
      <c r="AX14" s="1">
        <v>95327.665015419843</v>
      </c>
      <c r="AY14" s="1">
        <v>102047.96815510598</v>
      </c>
      <c r="AZ14" s="1">
        <v>107168.8198187317</v>
      </c>
      <c r="BA14" s="1">
        <v>107493.60328912255</v>
      </c>
      <c r="BB14" s="1">
        <v>109970.91252895798</v>
      </c>
      <c r="BC14" s="1">
        <v>113501.42486116718</v>
      </c>
      <c r="BD14" s="1">
        <v>124745.96118090996</v>
      </c>
      <c r="BE14" s="1">
        <v>135075.73256326781</v>
      </c>
      <c r="BF14" s="1">
        <v>144679.7506110273</v>
      </c>
      <c r="BG14" s="1">
        <v>146460.18677940694</v>
      </c>
      <c r="BH14" s="1">
        <v>182621.97216892656</v>
      </c>
      <c r="BI14" s="1">
        <v>200536.37216947225</v>
      </c>
      <c r="BJ14" s="1">
        <v>234554.5409596184</v>
      </c>
      <c r="BK14" s="1">
        <v>219084.72354881145</v>
      </c>
      <c r="BL14" s="1">
        <v>250584.76516765909</v>
      </c>
      <c r="BM14" s="1">
        <v>260622.15926809818</v>
      </c>
      <c r="BN14" s="1">
        <v>262869.52213923127</v>
      </c>
      <c r="BO14" s="1">
        <v>254695.03494214691</v>
      </c>
      <c r="BP14" s="1">
        <v>234223.65426539275</v>
      </c>
      <c r="BQ14" s="1">
        <v>203586.29668916407</v>
      </c>
      <c r="BR14" s="1">
        <v>202517.85493554041</v>
      </c>
      <c r="BS14" s="1">
        <v>189544.57065524394</v>
      </c>
      <c r="BT14" s="1">
        <v>223150.61786266544</v>
      </c>
      <c r="BU14" s="1">
        <v>210506.57226693741</v>
      </c>
      <c r="BV14" s="1">
        <v>218659.11547135285</v>
      </c>
      <c r="BW14" s="1">
        <v>227042.70802218764</v>
      </c>
      <c r="BX14" s="1">
        <v>232577.75348171129</v>
      </c>
      <c r="BY14" s="1">
        <v>240731.58452054649</v>
      </c>
      <c r="BZ14" s="1">
        <v>235407.16783802951</v>
      </c>
      <c r="CA14" s="1">
        <v>224672.84477648139</v>
      </c>
      <c r="CB14" s="1">
        <v>214429.03355411417</v>
      </c>
      <c r="CC14" s="1">
        <v>204488.12675740453</v>
      </c>
      <c r="CD14" s="1">
        <v>213558.09276410865</v>
      </c>
      <c r="CE14" s="1">
        <v>198769.33304195473</v>
      </c>
      <c r="CF14" s="1">
        <v>217445.71482057194</v>
      </c>
      <c r="CG14" s="1">
        <v>224053.31159291224</v>
      </c>
      <c r="CH14" s="1">
        <v>219089.05585324179</v>
      </c>
      <c r="CI14" s="1">
        <v>233405.82421519788</v>
      </c>
      <c r="CJ14" s="1">
        <v>234339.14197873714</v>
      </c>
      <c r="CK14" s="1">
        <v>228224.48937241707</v>
      </c>
      <c r="CL14" s="1">
        <v>226961.87639796647</v>
      </c>
      <c r="CM14" s="1">
        <v>230571.24576588284</v>
      </c>
      <c r="CN14" s="1">
        <v>233685.12458225229</v>
      </c>
      <c r="CO14" s="1">
        <v>233902.69294940142</v>
      </c>
      <c r="CP14" s="1">
        <v>223817.0057602603</v>
      </c>
      <c r="CQ14" s="1">
        <v>228188.48477007169</v>
      </c>
      <c r="CR14" s="1">
        <v>255252.95752553313</v>
      </c>
      <c r="CS14" s="1">
        <v>253670.40447779401</v>
      </c>
      <c r="CT14" s="1">
        <v>244335.47473665874</v>
      </c>
      <c r="CU14" s="1">
        <v>267110.00312519091</v>
      </c>
      <c r="CV14" s="1">
        <v>282181.94265195902</v>
      </c>
      <c r="CW14" s="1">
        <v>289748.17618820746</v>
      </c>
      <c r="CX14" s="1">
        <v>293757.14371025015</v>
      </c>
      <c r="CY14" s="1">
        <v>287341.22653005423</v>
      </c>
      <c r="CZ14" s="1">
        <v>273212.44540676591</v>
      </c>
      <c r="DA14" s="1">
        <v>286781.87594662467</v>
      </c>
      <c r="DB14" s="1">
        <v>286760.60531515302</v>
      </c>
      <c r="DC14" s="1">
        <v>259318.50748396973</v>
      </c>
      <c r="DD14" s="1">
        <v>287436.38481380697</v>
      </c>
      <c r="DE14" s="1">
        <v>302577.41350801033</v>
      </c>
      <c r="DF14" s="1">
        <v>285896.15520101931</v>
      </c>
      <c r="DG14" s="1">
        <v>296966.88577122072</v>
      </c>
      <c r="DH14" s="1">
        <v>283982.79438818624</v>
      </c>
      <c r="DI14" s="1">
        <v>286840.66154109646</v>
      </c>
      <c r="DJ14" s="1">
        <v>272770.48492024781</v>
      </c>
      <c r="DK14" s="1">
        <v>264083.00019255996</v>
      </c>
      <c r="DL14" s="1">
        <v>251627.21650036034</v>
      </c>
      <c r="DM14" s="1">
        <v>245641.72788587003</v>
      </c>
      <c r="DN14" s="1">
        <v>248935.4063290747</v>
      </c>
      <c r="DO14" s="1">
        <v>225368.8833409645</v>
      </c>
      <c r="DP14" s="1">
        <v>254977.13024200831</v>
      </c>
      <c r="DQ14" s="1">
        <v>260689.84161545263</v>
      </c>
      <c r="DR14" s="1">
        <v>237708.14645466959</v>
      </c>
      <c r="DS14" s="1">
        <v>240138.65794426732</v>
      </c>
      <c r="DT14" s="1">
        <v>244883.59434365656</v>
      </c>
      <c r="DU14" s="1">
        <v>246488.15220625911</v>
      </c>
      <c r="DV14" s="1">
        <v>236819.38877701957</v>
      </c>
      <c r="DW14" s="1">
        <v>225574.63631001022</v>
      </c>
      <c r="DX14" s="1">
        <v>224051.25693026959</v>
      </c>
      <c r="DY14" s="1">
        <v>225316.21071909973</v>
      </c>
      <c r="DZ14" s="1">
        <v>218614.25227247996</v>
      </c>
      <c r="EA14" s="1">
        <v>209831.30230314709</v>
      </c>
      <c r="EB14" s="1">
        <v>228081.84717871068</v>
      </c>
      <c r="EC14" s="1">
        <v>216831.31978607422</v>
      </c>
      <c r="ED14" s="1">
        <v>221444.12517573842</v>
      </c>
      <c r="EE14" s="1">
        <v>227670.4355974565</v>
      </c>
      <c r="EF14" s="1">
        <v>221548.82639749045</v>
      </c>
      <c r="EG14" s="1">
        <v>218964.69449061708</v>
      </c>
      <c r="EH14" s="1">
        <v>194587.18206714827</v>
      </c>
      <c r="EI14" s="1">
        <v>189493.01471711323</v>
      </c>
      <c r="EJ14" s="1">
        <v>189357.98062720854</v>
      </c>
      <c r="EK14" s="1">
        <v>198634.16918972789</v>
      </c>
      <c r="EL14" s="1">
        <v>203766.58428164831</v>
      </c>
      <c r="EM14" s="1">
        <v>196548.02986656706</v>
      </c>
      <c r="EN14" s="1">
        <v>219065.14529915864</v>
      </c>
      <c r="EO14" s="1">
        <v>206372.87518457934</v>
      </c>
      <c r="EP14" s="1">
        <v>206207.39336667937</v>
      </c>
      <c r="EQ14" s="1">
        <v>211823.44451142469</v>
      </c>
      <c r="ER14" s="1">
        <v>213475.17222507184</v>
      </c>
      <c r="ES14" s="1">
        <v>202630.58529328459</v>
      </c>
      <c r="ET14" s="1">
        <v>188816.55225465907</v>
      </c>
      <c r="EU14" s="1">
        <v>167313.14769083512</v>
      </c>
      <c r="EV14" s="1">
        <v>161273.63023117965</v>
      </c>
      <c r="EW14" s="1">
        <v>167024.47375832411</v>
      </c>
      <c r="EX14" s="1">
        <v>173250.04446011683</v>
      </c>
      <c r="EY14" s="1">
        <v>163321.17489929352</v>
      </c>
      <c r="EZ14" s="1">
        <v>180290.48819127807</v>
      </c>
      <c r="FA14" s="1">
        <v>192209.81975252207</v>
      </c>
      <c r="FB14" s="1">
        <v>184436.90618590702</v>
      </c>
      <c r="FC14" s="1">
        <v>184351.61223436185</v>
      </c>
      <c r="FD14" s="1">
        <v>182977.83728006258</v>
      </c>
      <c r="FE14" s="1">
        <v>181501.89864841895</v>
      </c>
      <c r="FF14" s="1">
        <v>188336.63895427657</v>
      </c>
      <c r="FG14" s="1">
        <v>181613.52897550398</v>
      </c>
      <c r="FH14" s="1">
        <v>166440.27092962284</v>
      </c>
      <c r="FI14" s="1">
        <v>167628.30784431199</v>
      </c>
      <c r="FJ14" s="1">
        <v>163260.93921743505</v>
      </c>
      <c r="FK14" s="1">
        <v>170080.86960337841</v>
      </c>
      <c r="FL14" s="1">
        <v>156312.92776936191</v>
      </c>
      <c r="FM14" s="1">
        <v>155216.75881587202</v>
      </c>
      <c r="FN14" s="1">
        <v>159465.74144586036</v>
      </c>
      <c r="FO14" s="1">
        <v>178051.85807914898</v>
      </c>
      <c r="FP14" s="1">
        <v>177927.01766335889</v>
      </c>
      <c r="FQ14" s="1">
        <v>182849.6757690587</v>
      </c>
      <c r="FR14" s="1">
        <v>184489.46308246255</v>
      </c>
      <c r="FS14" s="1">
        <v>180509.23716428946</v>
      </c>
      <c r="FT14" s="1">
        <v>174489.5054541089</v>
      </c>
      <c r="FU14" s="1">
        <v>167827.06184825196</v>
      </c>
      <c r="FV14" s="1">
        <v>170590.29471600038</v>
      </c>
      <c r="FW14" s="1">
        <v>165256.96108245524</v>
      </c>
      <c r="FX14" s="1">
        <v>161883.02059523226</v>
      </c>
      <c r="FY14" s="1">
        <v>150178.14113562007</v>
      </c>
      <c r="FZ14" s="1">
        <v>142383.48785694892</v>
      </c>
      <c r="GA14" s="1">
        <v>151472.30875674283</v>
      </c>
      <c r="GB14" s="1">
        <v>153935.42951381172</v>
      </c>
      <c r="GC14" s="1">
        <v>157203.82179981604</v>
      </c>
      <c r="GD14" s="1">
        <v>160448.89607097759</v>
      </c>
      <c r="GE14" s="1">
        <v>163720.53395327582</v>
      </c>
      <c r="GF14" s="1">
        <v>162945.0538557141</v>
      </c>
      <c r="GG14" s="1">
        <v>163968.12715628935</v>
      </c>
      <c r="GH14" s="1">
        <v>170846.35440201266</v>
      </c>
      <c r="GI14" s="1">
        <v>172590.24709337979</v>
      </c>
      <c r="GJ14" s="1">
        <v>178683.50682641027</v>
      </c>
      <c r="GK14" s="1">
        <v>176352.4946152007</v>
      </c>
      <c r="GL14" s="1">
        <v>176117.82204854186</v>
      </c>
      <c r="GM14" s="1">
        <v>182494.95689524087</v>
      </c>
      <c r="GN14" s="1">
        <v>174212.009984879</v>
      </c>
      <c r="GO14" s="1">
        <v>209378.78180084022</v>
      </c>
      <c r="GP14" s="1">
        <v>251131.84263588645</v>
      </c>
      <c r="GQ14" s="1">
        <v>226709.93823200298</v>
      </c>
      <c r="GR14" s="1">
        <v>213512.49916987313</v>
      </c>
      <c r="GS14" s="1">
        <v>204993.07968458772</v>
      </c>
      <c r="GT14" s="1">
        <v>199951.16904543265</v>
      </c>
      <c r="GU14" s="1">
        <v>182624.09867324663</v>
      </c>
      <c r="GV14" s="1">
        <v>183016.53646461261</v>
      </c>
      <c r="GW14" s="1">
        <v>181731.80480937086</v>
      </c>
      <c r="GX14" s="1">
        <v>190555.02997926038</v>
      </c>
      <c r="GY14" s="1">
        <v>195528.07831310097</v>
      </c>
      <c r="GZ14" s="1">
        <v>199431.51388560701</v>
      </c>
      <c r="HA14" s="1" t="str">
        <f t="shared" si="3"/>
        <v/>
      </c>
      <c r="HB14" s="1" t="str">
        <f t="shared" si="3"/>
        <v/>
      </c>
      <c r="HC14" s="1" t="str">
        <f t="shared" si="3"/>
        <v/>
      </c>
      <c r="HD14" s="1" t="str">
        <f t="shared" si="3"/>
        <v/>
      </c>
      <c r="HE14" s="1" t="str">
        <f t="shared" si="3"/>
        <v/>
      </c>
      <c r="HF14" s="1" t="str">
        <f t="shared" si="3"/>
        <v/>
      </c>
      <c r="HG14" s="1" t="str">
        <f t="shared" si="3"/>
        <v/>
      </c>
      <c r="HH14" s="1" t="str">
        <f t="shared" si="3"/>
        <v/>
      </c>
      <c r="HI14" s="1" t="str">
        <f t="shared" si="3"/>
        <v/>
      </c>
      <c r="HJ14" s="1" t="str">
        <f t="shared" si="3"/>
        <v/>
      </c>
      <c r="HK14" s="1" t="str">
        <f t="shared" si="3"/>
        <v/>
      </c>
      <c r="HL14" s="1" t="str">
        <f t="shared" si="3"/>
        <v/>
      </c>
      <c r="HM14" s="1" t="str">
        <f t="shared" si="3"/>
        <v/>
      </c>
      <c r="HN14" s="1" t="str">
        <f t="shared" si="3"/>
        <v/>
      </c>
      <c r="HO14" s="1" t="str">
        <f t="shared" si="3"/>
        <v/>
      </c>
      <c r="HP14" s="1" t="str">
        <f t="shared" si="3"/>
        <v/>
      </c>
      <c r="HQ14" s="1" t="str">
        <f t="shared" si="3"/>
        <v/>
      </c>
      <c r="HR14" s="1" t="str">
        <f t="shared" si="3"/>
        <v/>
      </c>
      <c r="HS14" s="1" t="str">
        <f t="shared" si="3"/>
        <v/>
      </c>
      <c r="HT14" s="1" t="str">
        <f t="shared" si="3"/>
        <v/>
      </c>
      <c r="HU14" s="1" t="str">
        <f t="shared" si="3"/>
        <v/>
      </c>
      <c r="HV14" s="1" t="str">
        <f t="shared" si="3"/>
        <v/>
      </c>
      <c r="HW14" s="1" t="str">
        <f t="shared" si="3"/>
        <v/>
      </c>
      <c r="HX14" s="1" t="str">
        <f t="shared" si="3"/>
        <v/>
      </c>
      <c r="HY14" s="1" t="str">
        <f t="shared" si="3"/>
        <v/>
      </c>
      <c r="HZ14" s="1" t="str">
        <f t="shared" si="3"/>
        <v/>
      </c>
      <c r="IA14" s="1" t="str">
        <f t="shared" si="3"/>
        <v/>
      </c>
      <c r="IB14" s="1" t="str">
        <f t="shared" si="3"/>
        <v/>
      </c>
      <c r="IC14" s="1" t="str">
        <f t="shared" si="3"/>
        <v/>
      </c>
      <c r="ID14" s="1" t="str">
        <f t="shared" si="3"/>
        <v/>
      </c>
      <c r="IE14" s="1" t="str">
        <f t="shared" si="3"/>
        <v/>
      </c>
      <c r="IF14" s="1" t="str">
        <f t="shared" si="3"/>
        <v/>
      </c>
      <c r="IG14" s="1" t="str">
        <f t="shared" si="3"/>
        <v/>
      </c>
      <c r="IH14" s="1" t="str">
        <f t="shared" si="3"/>
        <v/>
      </c>
      <c r="II14" s="1" t="str">
        <f t="shared" si="3"/>
        <v/>
      </c>
      <c r="IJ14" s="1" t="str">
        <f t="shared" si="3"/>
        <v/>
      </c>
      <c r="IK14" s="1" t="str">
        <f t="shared" si="3"/>
        <v/>
      </c>
      <c r="IL14" s="1" t="str">
        <f t="shared" si="3"/>
        <v/>
      </c>
      <c r="IM14" s="1" t="str">
        <f t="shared" si="3"/>
        <v/>
      </c>
      <c r="IN14" s="1" t="str">
        <f t="shared" si="3"/>
        <v/>
      </c>
      <c r="IO14" s="1" t="str">
        <f t="shared" si="3"/>
        <v/>
      </c>
      <c r="IP14" s="1" t="str">
        <f t="shared" si="3"/>
        <v/>
      </c>
      <c r="IQ14" s="1" t="str">
        <f t="shared" si="3"/>
        <v/>
      </c>
      <c r="IR14" s="1" t="str">
        <f t="shared" si="3"/>
        <v/>
      </c>
      <c r="IS14" s="1" t="str">
        <f t="shared" si="3"/>
        <v/>
      </c>
      <c r="IT14" s="1" t="str">
        <f t="shared" si="3"/>
        <v/>
      </c>
      <c r="IU14" s="1" t="str">
        <f t="shared" si="3"/>
        <v/>
      </c>
      <c r="IV14" s="1" t="str">
        <f t="shared" si="3"/>
        <v/>
      </c>
      <c r="IW14" s="1" t="str">
        <f t="shared" si="3"/>
        <v/>
      </c>
      <c r="IX14" s="1" t="str">
        <f t="shared" si="3"/>
        <v/>
      </c>
      <c r="IY14" s="1" t="str">
        <f t="shared" si="3"/>
        <v/>
      </c>
      <c r="IZ14" s="1" t="str">
        <f t="shared" si="3"/>
        <v/>
      </c>
      <c r="JA14" s="1" t="str">
        <f t="shared" si="3"/>
        <v/>
      </c>
      <c r="JB14" s="1" t="str">
        <f t="shared" si="3"/>
        <v/>
      </c>
      <c r="JC14" s="1" t="str">
        <f t="shared" si="3"/>
        <v/>
      </c>
      <c r="JD14" s="1" t="str">
        <f t="shared" si="3"/>
        <v/>
      </c>
      <c r="JE14" s="1" t="str">
        <f t="shared" si="3"/>
        <v/>
      </c>
      <c r="JF14" s="1" t="str">
        <f t="shared" si="3"/>
        <v/>
      </c>
      <c r="JG14" s="1" t="str">
        <f t="shared" si="3"/>
        <v/>
      </c>
      <c r="JH14" s="1" t="str">
        <f t="shared" si="3"/>
        <v/>
      </c>
      <c r="LY14" s="1"/>
    </row>
    <row r="15" spans="1:337" hidden="1" x14ac:dyDescent="0.25">
      <c r="A15" s="5"/>
      <c r="LY15" s="1"/>
    </row>
    <row r="16" spans="1:337" hidden="1" x14ac:dyDescent="0.25">
      <c r="A16" s="5"/>
      <c r="LY16" s="1"/>
    </row>
    <row r="17" spans="1:337" hidden="1" x14ac:dyDescent="0.25">
      <c r="A17" s="5"/>
      <c r="LY17" s="1"/>
    </row>
    <row r="18" spans="1:337" hidden="1" x14ac:dyDescent="0.25">
      <c r="A18" s="5"/>
      <c r="LY18" s="1"/>
    </row>
    <row r="19" spans="1:337" hidden="1" x14ac:dyDescent="0.25">
      <c r="A19" s="5"/>
      <c r="LY19" s="1"/>
    </row>
    <row r="20" spans="1:337" hidden="1" x14ac:dyDescent="0.25">
      <c r="A20" s="5"/>
      <c r="LY20" s="1"/>
    </row>
    <row r="21" spans="1:337" hidden="1" x14ac:dyDescent="0.25">
      <c r="A21" s="5"/>
      <c r="LY21" s="1"/>
    </row>
    <row r="22" spans="1:337" hidden="1" x14ac:dyDescent="0.25">
      <c r="A22" s="5"/>
      <c r="LY22" s="1"/>
    </row>
    <row r="23" spans="1:337" hidden="1" x14ac:dyDescent="0.25">
      <c r="A23" s="5"/>
      <c r="LY23" s="1"/>
    </row>
    <row r="24" spans="1:337" hidden="1" x14ac:dyDescent="0.25">
      <c r="A24" s="5"/>
      <c r="LY24" s="1"/>
    </row>
    <row r="25" spans="1:337" hidden="1" x14ac:dyDescent="0.25">
      <c r="A25" s="5"/>
      <c r="LY25" s="1"/>
    </row>
    <row r="26" spans="1:337" hidden="1" x14ac:dyDescent="0.25">
      <c r="A26" s="5"/>
      <c r="LY26" s="1"/>
    </row>
    <row r="27" spans="1:337" x14ac:dyDescent="0.25">
      <c r="A27" s="5"/>
      <c r="JN27" s="18"/>
      <c r="LY27" s="1"/>
    </row>
    <row r="28" spans="1:337" x14ac:dyDescent="0.25">
      <c r="A28" s="5"/>
      <c r="B28" s="1">
        <f t="shared" ref="B28:BM28" si="4">IF(OR(B3="",C3=""),0,MIN(24,C28+1))</f>
        <v>24</v>
      </c>
      <c r="C28" s="1">
        <f t="shared" si="4"/>
        <v>24</v>
      </c>
      <c r="D28" s="1">
        <f t="shared" si="4"/>
        <v>24</v>
      </c>
      <c r="E28" s="1">
        <f t="shared" si="4"/>
        <v>24</v>
      </c>
      <c r="F28" s="1">
        <f t="shared" si="4"/>
        <v>24</v>
      </c>
      <c r="G28" s="1">
        <f t="shared" si="4"/>
        <v>24</v>
      </c>
      <c r="H28" s="1">
        <f t="shared" si="4"/>
        <v>24</v>
      </c>
      <c r="I28" s="1">
        <f t="shared" si="4"/>
        <v>24</v>
      </c>
      <c r="J28" s="1">
        <f t="shared" si="4"/>
        <v>24</v>
      </c>
      <c r="K28" s="1">
        <f t="shared" si="4"/>
        <v>24</v>
      </c>
      <c r="L28" s="1">
        <f t="shared" si="4"/>
        <v>24</v>
      </c>
      <c r="M28" s="1">
        <f t="shared" si="4"/>
        <v>24</v>
      </c>
      <c r="N28" s="1">
        <f t="shared" si="4"/>
        <v>24</v>
      </c>
      <c r="O28" s="1">
        <f t="shared" si="4"/>
        <v>24</v>
      </c>
      <c r="P28" s="1">
        <f t="shared" si="4"/>
        <v>24</v>
      </c>
      <c r="Q28" s="1">
        <f t="shared" si="4"/>
        <v>24</v>
      </c>
      <c r="R28" s="1">
        <f t="shared" si="4"/>
        <v>24</v>
      </c>
      <c r="S28" s="1">
        <f t="shared" si="4"/>
        <v>24</v>
      </c>
      <c r="T28" s="1">
        <f t="shared" si="4"/>
        <v>24</v>
      </c>
      <c r="U28" s="1">
        <f t="shared" si="4"/>
        <v>24</v>
      </c>
      <c r="V28" s="1">
        <f t="shared" si="4"/>
        <v>24</v>
      </c>
      <c r="W28" s="1">
        <f t="shared" si="4"/>
        <v>24</v>
      </c>
      <c r="X28" s="1">
        <f t="shared" si="4"/>
        <v>24</v>
      </c>
      <c r="Y28" s="1">
        <f t="shared" si="4"/>
        <v>24</v>
      </c>
      <c r="Z28" s="1">
        <f t="shared" si="4"/>
        <v>24</v>
      </c>
      <c r="AA28" s="1">
        <f t="shared" si="4"/>
        <v>24</v>
      </c>
      <c r="AB28" s="1">
        <f t="shared" si="4"/>
        <v>24</v>
      </c>
      <c r="AC28" s="1">
        <f t="shared" si="4"/>
        <v>24</v>
      </c>
      <c r="AD28" s="1">
        <f t="shared" si="4"/>
        <v>24</v>
      </c>
      <c r="AE28" s="1">
        <f t="shared" si="4"/>
        <v>24</v>
      </c>
      <c r="AF28" s="1">
        <f t="shared" si="4"/>
        <v>24</v>
      </c>
      <c r="AG28" s="1">
        <f t="shared" si="4"/>
        <v>24</v>
      </c>
      <c r="AH28" s="1">
        <f t="shared" si="4"/>
        <v>24</v>
      </c>
      <c r="AI28" s="1">
        <f t="shared" si="4"/>
        <v>24</v>
      </c>
      <c r="AJ28" s="1">
        <f t="shared" si="4"/>
        <v>24</v>
      </c>
      <c r="AK28" s="1">
        <f t="shared" si="4"/>
        <v>24</v>
      </c>
      <c r="AL28" s="1">
        <f t="shared" si="4"/>
        <v>24</v>
      </c>
      <c r="AM28" s="1">
        <f t="shared" si="4"/>
        <v>24</v>
      </c>
      <c r="AN28" s="1">
        <f t="shared" si="4"/>
        <v>24</v>
      </c>
      <c r="AO28" s="1">
        <f t="shared" si="4"/>
        <v>24</v>
      </c>
      <c r="AP28" s="1">
        <f t="shared" si="4"/>
        <v>24</v>
      </c>
      <c r="AQ28" s="1">
        <f t="shared" si="4"/>
        <v>24</v>
      </c>
      <c r="AR28" s="1">
        <f t="shared" si="4"/>
        <v>24</v>
      </c>
      <c r="AS28" s="1">
        <f t="shared" si="4"/>
        <v>24</v>
      </c>
      <c r="AT28" s="1">
        <f t="shared" si="4"/>
        <v>24</v>
      </c>
      <c r="AU28" s="1">
        <f t="shared" si="4"/>
        <v>24</v>
      </c>
      <c r="AV28" s="1">
        <f t="shared" si="4"/>
        <v>24</v>
      </c>
      <c r="AW28" s="1">
        <f t="shared" si="4"/>
        <v>24</v>
      </c>
      <c r="AX28" s="1">
        <f t="shared" si="4"/>
        <v>24</v>
      </c>
      <c r="AY28" s="1">
        <f t="shared" si="4"/>
        <v>24</v>
      </c>
      <c r="AZ28" s="1">
        <f t="shared" si="4"/>
        <v>24</v>
      </c>
      <c r="BA28" s="1">
        <f t="shared" si="4"/>
        <v>24</v>
      </c>
      <c r="BB28" s="1">
        <f t="shared" si="4"/>
        <v>24</v>
      </c>
      <c r="BC28" s="1">
        <f t="shared" si="4"/>
        <v>24</v>
      </c>
      <c r="BD28" s="1">
        <f t="shared" si="4"/>
        <v>24</v>
      </c>
      <c r="BE28" s="1">
        <f t="shared" si="4"/>
        <v>24</v>
      </c>
      <c r="BF28" s="1">
        <f t="shared" si="4"/>
        <v>24</v>
      </c>
      <c r="BG28" s="1">
        <f t="shared" si="4"/>
        <v>24</v>
      </c>
      <c r="BH28" s="1">
        <f t="shared" si="4"/>
        <v>24</v>
      </c>
      <c r="BI28" s="1">
        <f t="shared" si="4"/>
        <v>24</v>
      </c>
      <c r="BJ28" s="1">
        <f t="shared" si="4"/>
        <v>24</v>
      </c>
      <c r="BK28" s="1">
        <f t="shared" si="4"/>
        <v>24</v>
      </c>
      <c r="BL28" s="1">
        <f t="shared" si="4"/>
        <v>24</v>
      </c>
      <c r="BM28" s="1">
        <f t="shared" si="4"/>
        <v>24</v>
      </c>
      <c r="BN28" s="1">
        <f t="shared" ref="BN28:DY28" si="5">IF(OR(BN3="",BO3=""),0,MIN(24,BO28+1))</f>
        <v>24</v>
      </c>
      <c r="BO28" s="1">
        <f t="shared" si="5"/>
        <v>24</v>
      </c>
      <c r="BP28" s="1">
        <f t="shared" si="5"/>
        <v>24</v>
      </c>
      <c r="BQ28" s="1">
        <f t="shared" si="5"/>
        <v>24</v>
      </c>
      <c r="BR28" s="1">
        <f t="shared" si="5"/>
        <v>24</v>
      </c>
      <c r="BS28" s="1">
        <f t="shared" si="5"/>
        <v>24</v>
      </c>
      <c r="BT28" s="1">
        <f t="shared" si="5"/>
        <v>24</v>
      </c>
      <c r="BU28" s="1">
        <f t="shared" si="5"/>
        <v>24</v>
      </c>
      <c r="BV28" s="1">
        <f t="shared" si="5"/>
        <v>24</v>
      </c>
      <c r="BW28" s="1">
        <f t="shared" si="5"/>
        <v>24</v>
      </c>
      <c r="BX28" s="1">
        <f t="shared" si="5"/>
        <v>24</v>
      </c>
      <c r="BY28" s="1">
        <f t="shared" si="5"/>
        <v>24</v>
      </c>
      <c r="BZ28" s="1">
        <f t="shared" si="5"/>
        <v>24</v>
      </c>
      <c r="CA28" s="1">
        <f t="shared" si="5"/>
        <v>24</v>
      </c>
      <c r="CB28" s="1">
        <f t="shared" si="5"/>
        <v>24</v>
      </c>
      <c r="CC28" s="1">
        <f t="shared" si="5"/>
        <v>24</v>
      </c>
      <c r="CD28" s="1">
        <f t="shared" si="5"/>
        <v>24</v>
      </c>
      <c r="CE28" s="1">
        <f t="shared" si="5"/>
        <v>24</v>
      </c>
      <c r="CF28" s="1">
        <f t="shared" si="5"/>
        <v>24</v>
      </c>
      <c r="CG28" s="1">
        <f t="shared" si="5"/>
        <v>24</v>
      </c>
      <c r="CH28" s="1">
        <f t="shared" si="5"/>
        <v>24</v>
      </c>
      <c r="CI28" s="1">
        <f t="shared" si="5"/>
        <v>24</v>
      </c>
      <c r="CJ28" s="1">
        <f t="shared" si="5"/>
        <v>24</v>
      </c>
      <c r="CK28" s="1">
        <f t="shared" si="5"/>
        <v>24</v>
      </c>
      <c r="CL28" s="1">
        <f t="shared" si="5"/>
        <v>24</v>
      </c>
      <c r="CM28" s="1">
        <f t="shared" si="5"/>
        <v>24</v>
      </c>
      <c r="CN28" s="1">
        <f t="shared" si="5"/>
        <v>24</v>
      </c>
      <c r="CO28" s="1">
        <f t="shared" si="5"/>
        <v>24</v>
      </c>
      <c r="CP28" s="1">
        <f t="shared" si="5"/>
        <v>24</v>
      </c>
      <c r="CQ28" s="1">
        <f t="shared" si="5"/>
        <v>24</v>
      </c>
      <c r="CR28" s="1">
        <f t="shared" si="5"/>
        <v>24</v>
      </c>
      <c r="CS28" s="1">
        <f t="shared" si="5"/>
        <v>24</v>
      </c>
      <c r="CT28" s="1">
        <f t="shared" si="5"/>
        <v>24</v>
      </c>
      <c r="CU28" s="1">
        <f t="shared" si="5"/>
        <v>24</v>
      </c>
      <c r="CV28" s="1">
        <f t="shared" si="5"/>
        <v>24</v>
      </c>
      <c r="CW28" s="1">
        <f t="shared" si="5"/>
        <v>24</v>
      </c>
      <c r="CX28" s="1">
        <f t="shared" si="5"/>
        <v>24</v>
      </c>
      <c r="CY28" s="1">
        <f t="shared" si="5"/>
        <v>24</v>
      </c>
      <c r="CZ28" s="1">
        <f t="shared" si="5"/>
        <v>24</v>
      </c>
      <c r="DA28" s="1">
        <f t="shared" si="5"/>
        <v>24</v>
      </c>
      <c r="DB28" s="1">
        <f t="shared" si="5"/>
        <v>24</v>
      </c>
      <c r="DC28" s="1">
        <f t="shared" si="5"/>
        <v>24</v>
      </c>
      <c r="DD28" s="1">
        <f t="shared" si="5"/>
        <v>24</v>
      </c>
      <c r="DE28" s="1">
        <f t="shared" si="5"/>
        <v>24</v>
      </c>
      <c r="DF28" s="1">
        <f t="shared" si="5"/>
        <v>24</v>
      </c>
      <c r="DG28" s="1">
        <f t="shared" si="5"/>
        <v>24</v>
      </c>
      <c r="DH28" s="1">
        <f t="shared" si="5"/>
        <v>24</v>
      </c>
      <c r="DI28" s="1">
        <f t="shared" si="5"/>
        <v>24</v>
      </c>
      <c r="DJ28" s="1">
        <f t="shared" si="5"/>
        <v>24</v>
      </c>
      <c r="DK28" s="1">
        <f t="shared" si="5"/>
        <v>24</v>
      </c>
      <c r="DL28" s="1">
        <f t="shared" si="5"/>
        <v>24</v>
      </c>
      <c r="DM28" s="1">
        <f t="shared" si="5"/>
        <v>24</v>
      </c>
      <c r="DN28" s="1">
        <f t="shared" si="5"/>
        <v>24</v>
      </c>
      <c r="DO28" s="1">
        <f t="shared" si="5"/>
        <v>24</v>
      </c>
      <c r="DP28" s="1">
        <f t="shared" si="5"/>
        <v>24</v>
      </c>
      <c r="DQ28" s="1">
        <f t="shared" si="5"/>
        <v>24</v>
      </c>
      <c r="DR28" s="1">
        <f t="shared" si="5"/>
        <v>24</v>
      </c>
      <c r="DS28" s="1">
        <f t="shared" si="5"/>
        <v>24</v>
      </c>
      <c r="DT28" s="1">
        <f t="shared" si="5"/>
        <v>24</v>
      </c>
      <c r="DU28" s="1">
        <f t="shared" si="5"/>
        <v>24</v>
      </c>
      <c r="DV28" s="1">
        <f t="shared" si="5"/>
        <v>24</v>
      </c>
      <c r="DW28" s="1">
        <f t="shared" si="5"/>
        <v>24</v>
      </c>
      <c r="DX28" s="1">
        <f t="shared" si="5"/>
        <v>24</v>
      </c>
      <c r="DY28" s="1">
        <f t="shared" si="5"/>
        <v>24</v>
      </c>
      <c r="DZ28" s="1">
        <f t="shared" ref="DZ28:GK28" si="6">IF(OR(DZ3="",EA3=""),0,MIN(24,EA28+1))</f>
        <v>24</v>
      </c>
      <c r="EA28" s="1">
        <f t="shared" si="6"/>
        <v>24</v>
      </c>
      <c r="EB28" s="1">
        <f t="shared" si="6"/>
        <v>24</v>
      </c>
      <c r="EC28" s="1">
        <f t="shared" si="6"/>
        <v>24</v>
      </c>
      <c r="ED28" s="1">
        <f t="shared" si="6"/>
        <v>24</v>
      </c>
      <c r="EE28" s="1">
        <f t="shared" si="6"/>
        <v>24</v>
      </c>
      <c r="EF28" s="1">
        <f t="shared" si="6"/>
        <v>24</v>
      </c>
      <c r="EG28" s="1">
        <f t="shared" si="6"/>
        <v>24</v>
      </c>
      <c r="EH28" s="1">
        <f t="shared" si="6"/>
        <v>24</v>
      </c>
      <c r="EI28" s="1">
        <f t="shared" si="6"/>
        <v>24</v>
      </c>
      <c r="EJ28" s="1">
        <f t="shared" si="6"/>
        <v>24</v>
      </c>
      <c r="EK28" s="1">
        <f t="shared" si="6"/>
        <v>24</v>
      </c>
      <c r="EL28" s="1">
        <f t="shared" si="6"/>
        <v>24</v>
      </c>
      <c r="EM28" s="1">
        <f t="shared" si="6"/>
        <v>24</v>
      </c>
      <c r="EN28" s="1">
        <f t="shared" si="6"/>
        <v>24</v>
      </c>
      <c r="EO28" s="1">
        <f t="shared" si="6"/>
        <v>24</v>
      </c>
      <c r="EP28" s="1">
        <f t="shared" si="6"/>
        <v>24</v>
      </c>
      <c r="EQ28" s="1">
        <f t="shared" si="6"/>
        <v>24</v>
      </c>
      <c r="ER28" s="1">
        <f t="shared" si="6"/>
        <v>24</v>
      </c>
      <c r="ES28" s="1">
        <f t="shared" si="6"/>
        <v>24</v>
      </c>
      <c r="ET28" s="1">
        <f t="shared" si="6"/>
        <v>24</v>
      </c>
      <c r="EU28" s="1">
        <f t="shared" si="6"/>
        <v>24</v>
      </c>
      <c r="EV28" s="1">
        <f t="shared" si="6"/>
        <v>24</v>
      </c>
      <c r="EW28" s="1">
        <f t="shared" si="6"/>
        <v>24</v>
      </c>
      <c r="EX28" s="1">
        <f t="shared" si="6"/>
        <v>24</v>
      </c>
      <c r="EY28" s="1">
        <f t="shared" si="6"/>
        <v>24</v>
      </c>
      <c r="EZ28" s="1">
        <f t="shared" si="6"/>
        <v>24</v>
      </c>
      <c r="FA28" s="1">
        <f t="shared" si="6"/>
        <v>24</v>
      </c>
      <c r="FB28" s="1">
        <f t="shared" si="6"/>
        <v>24</v>
      </c>
      <c r="FC28" s="1">
        <f t="shared" si="6"/>
        <v>24</v>
      </c>
      <c r="FD28" s="1">
        <f t="shared" si="6"/>
        <v>24</v>
      </c>
      <c r="FE28" s="1">
        <f t="shared" si="6"/>
        <v>24</v>
      </c>
      <c r="FF28" s="1">
        <f t="shared" si="6"/>
        <v>24</v>
      </c>
      <c r="FG28" s="1">
        <f t="shared" si="6"/>
        <v>24</v>
      </c>
      <c r="FH28" s="1">
        <f t="shared" si="6"/>
        <v>24</v>
      </c>
      <c r="FI28" s="1">
        <f t="shared" si="6"/>
        <v>24</v>
      </c>
      <c r="FJ28" s="1">
        <f t="shared" si="6"/>
        <v>24</v>
      </c>
      <c r="FK28" s="1">
        <f t="shared" si="6"/>
        <v>24</v>
      </c>
      <c r="FL28" s="1">
        <f t="shared" si="6"/>
        <v>24</v>
      </c>
      <c r="FM28" s="1">
        <f t="shared" si="6"/>
        <v>24</v>
      </c>
      <c r="FN28" s="1">
        <f t="shared" si="6"/>
        <v>24</v>
      </c>
      <c r="FO28" s="1">
        <f t="shared" si="6"/>
        <v>24</v>
      </c>
      <c r="FP28" s="1">
        <f t="shared" si="6"/>
        <v>24</v>
      </c>
      <c r="FQ28" s="1">
        <f t="shared" si="6"/>
        <v>24</v>
      </c>
      <c r="FR28" s="1">
        <f t="shared" si="6"/>
        <v>24</v>
      </c>
      <c r="FS28" s="1">
        <f t="shared" si="6"/>
        <v>24</v>
      </c>
      <c r="FT28" s="1">
        <f t="shared" si="6"/>
        <v>24</v>
      </c>
      <c r="FU28" s="1">
        <f t="shared" si="6"/>
        <v>24</v>
      </c>
      <c r="FV28" s="1">
        <f t="shared" si="6"/>
        <v>24</v>
      </c>
      <c r="FW28" s="1">
        <f t="shared" si="6"/>
        <v>24</v>
      </c>
      <c r="FX28" s="1">
        <f t="shared" si="6"/>
        <v>24</v>
      </c>
      <c r="FY28" s="1">
        <f t="shared" si="6"/>
        <v>24</v>
      </c>
      <c r="FZ28" s="1">
        <f t="shared" si="6"/>
        <v>24</v>
      </c>
      <c r="GA28" s="1">
        <f t="shared" si="6"/>
        <v>24</v>
      </c>
      <c r="GB28" s="1">
        <f t="shared" si="6"/>
        <v>23</v>
      </c>
      <c r="GC28" s="1">
        <f t="shared" si="6"/>
        <v>22</v>
      </c>
      <c r="GD28" s="1">
        <f t="shared" si="6"/>
        <v>21</v>
      </c>
      <c r="GE28" s="1">
        <f t="shared" si="6"/>
        <v>20</v>
      </c>
      <c r="GF28" s="1">
        <f t="shared" si="6"/>
        <v>19</v>
      </c>
      <c r="GG28" s="1">
        <f t="shared" si="6"/>
        <v>18</v>
      </c>
      <c r="GH28" s="1">
        <f t="shared" si="6"/>
        <v>17</v>
      </c>
      <c r="GI28" s="1">
        <f t="shared" si="6"/>
        <v>16</v>
      </c>
      <c r="GJ28" s="1">
        <f t="shared" si="6"/>
        <v>15</v>
      </c>
      <c r="GK28" s="1">
        <f t="shared" si="6"/>
        <v>14</v>
      </c>
      <c r="GL28" s="1">
        <f t="shared" ref="GL28:GX28" si="7">IF(OR(GL3="",GM3=""),0,MIN(24,GM28+1))</f>
        <v>13</v>
      </c>
      <c r="GM28" s="1">
        <f t="shared" si="7"/>
        <v>12</v>
      </c>
      <c r="GN28" s="1">
        <f t="shared" si="7"/>
        <v>11</v>
      </c>
      <c r="GO28" s="1">
        <f t="shared" si="7"/>
        <v>10</v>
      </c>
      <c r="GP28" s="1">
        <f t="shared" si="7"/>
        <v>9</v>
      </c>
      <c r="GQ28" s="1">
        <f t="shared" si="7"/>
        <v>8</v>
      </c>
      <c r="GR28" s="1">
        <f t="shared" si="7"/>
        <v>7</v>
      </c>
      <c r="GS28" s="1">
        <f t="shared" si="7"/>
        <v>6</v>
      </c>
      <c r="GT28" s="1">
        <f t="shared" si="7"/>
        <v>5</v>
      </c>
      <c r="GU28" s="1">
        <f t="shared" si="7"/>
        <v>4</v>
      </c>
      <c r="GV28" s="1">
        <f t="shared" si="7"/>
        <v>3</v>
      </c>
      <c r="GW28" s="1">
        <f t="shared" si="7"/>
        <v>2</v>
      </c>
      <c r="GX28" s="1">
        <f t="shared" si="7"/>
        <v>1</v>
      </c>
      <c r="GY28" s="1">
        <f>IF(OR(GY3="",JH3=""),0,MIN(24,JH28+1))</f>
        <v>0</v>
      </c>
      <c r="GZ28" s="1">
        <f t="shared" ref="GZ28:HH28" si="8">IF(OR(GZ3="",HA3=""),0,MIN(24,HA28+1))</f>
        <v>0</v>
      </c>
      <c r="HA28" s="1">
        <f t="shared" si="8"/>
        <v>0</v>
      </c>
      <c r="HB28" s="1">
        <f t="shared" si="8"/>
        <v>0</v>
      </c>
      <c r="HC28" s="1">
        <f t="shared" si="8"/>
        <v>0</v>
      </c>
      <c r="HD28" s="1">
        <f t="shared" si="8"/>
        <v>0</v>
      </c>
      <c r="HE28" s="1">
        <f t="shared" si="8"/>
        <v>0</v>
      </c>
      <c r="HF28" s="1">
        <f t="shared" si="8"/>
        <v>0</v>
      </c>
      <c r="HG28" s="1">
        <f t="shared" si="8"/>
        <v>0</v>
      </c>
      <c r="HH28" s="1">
        <f t="shared" si="8"/>
        <v>0</v>
      </c>
      <c r="HI28" s="1">
        <f>IF(OR(HI3="",JR3=""),0,MIN(24,JR28+1))</f>
        <v>0</v>
      </c>
      <c r="HJ28" s="1">
        <f t="shared" ref="HJ28:HR28" si="9">IF(OR(HJ3="",HK3=""),0,MIN(24,HK28+1))</f>
        <v>0</v>
      </c>
      <c r="HK28" s="1">
        <f t="shared" si="9"/>
        <v>0</v>
      </c>
      <c r="HL28" s="1">
        <f t="shared" si="9"/>
        <v>0</v>
      </c>
      <c r="HM28" s="1">
        <f t="shared" si="9"/>
        <v>0</v>
      </c>
      <c r="HN28" s="1">
        <f t="shared" si="9"/>
        <v>0</v>
      </c>
      <c r="HO28" s="1">
        <f t="shared" si="9"/>
        <v>0</v>
      </c>
      <c r="HP28" s="1">
        <f t="shared" si="9"/>
        <v>0</v>
      </c>
      <c r="HQ28" s="1">
        <f t="shared" si="9"/>
        <v>0</v>
      </c>
      <c r="HR28" s="1">
        <f t="shared" si="9"/>
        <v>0</v>
      </c>
      <c r="HS28" s="1">
        <f>IF(OR(HS3="",KB3=""),0,MIN(24,KB28+1))</f>
        <v>0</v>
      </c>
      <c r="HT28" s="1">
        <f t="shared" ref="HT28:IB28" si="10">IF(OR(HT3="",HU3=""),0,MIN(24,HU28+1))</f>
        <v>0</v>
      </c>
      <c r="HU28" s="1">
        <f t="shared" si="10"/>
        <v>0</v>
      </c>
      <c r="HV28" s="1">
        <f t="shared" si="10"/>
        <v>0</v>
      </c>
      <c r="HW28" s="1">
        <f t="shared" si="10"/>
        <v>0</v>
      </c>
      <c r="HX28" s="1">
        <f t="shared" si="10"/>
        <v>0</v>
      </c>
      <c r="HY28" s="1">
        <f t="shared" si="10"/>
        <v>0</v>
      </c>
      <c r="HZ28" s="1">
        <f t="shared" si="10"/>
        <v>0</v>
      </c>
      <c r="IA28" s="1">
        <f t="shared" si="10"/>
        <v>0</v>
      </c>
      <c r="IB28" s="1">
        <f t="shared" si="10"/>
        <v>0</v>
      </c>
      <c r="IC28" s="1">
        <f>IF(OR(IC3="",KL3=""),0,MIN(24,KL28+1))</f>
        <v>0</v>
      </c>
      <c r="ID28" s="1">
        <f t="shared" ref="ID28:IL28" si="11">IF(OR(ID3="",IE3=""),0,MIN(24,IE28+1))</f>
        <v>0</v>
      </c>
      <c r="IE28" s="1">
        <f t="shared" si="11"/>
        <v>0</v>
      </c>
      <c r="IF28" s="1">
        <f t="shared" si="11"/>
        <v>0</v>
      </c>
      <c r="IG28" s="1">
        <f t="shared" si="11"/>
        <v>0</v>
      </c>
      <c r="IH28" s="1">
        <f t="shared" si="11"/>
        <v>0</v>
      </c>
      <c r="II28" s="1">
        <f t="shared" si="11"/>
        <v>0</v>
      </c>
      <c r="IJ28" s="1">
        <f t="shared" si="11"/>
        <v>0</v>
      </c>
      <c r="IK28" s="1">
        <f t="shared" si="11"/>
        <v>0</v>
      </c>
      <c r="IL28" s="1">
        <f t="shared" si="11"/>
        <v>0</v>
      </c>
      <c r="IM28" s="1">
        <f>IF(OR(IM3="",KV3=""),0,MIN(24,KV28+1))</f>
        <v>0</v>
      </c>
      <c r="IN28" s="1">
        <f t="shared" ref="IN28:IV28" si="12">IF(OR(IN3="",IO3=""),0,MIN(24,IO28+1))</f>
        <v>0</v>
      </c>
      <c r="IO28" s="1">
        <f t="shared" si="12"/>
        <v>0</v>
      </c>
      <c r="IP28" s="1">
        <f t="shared" si="12"/>
        <v>0</v>
      </c>
      <c r="IQ28" s="1">
        <f t="shared" si="12"/>
        <v>0</v>
      </c>
      <c r="IR28" s="1">
        <f t="shared" si="12"/>
        <v>0</v>
      </c>
      <c r="IS28" s="1">
        <f t="shared" si="12"/>
        <v>0</v>
      </c>
      <c r="IT28" s="1">
        <f t="shared" si="12"/>
        <v>0</v>
      </c>
      <c r="IU28" s="1">
        <f t="shared" si="12"/>
        <v>0</v>
      </c>
      <c r="IV28" s="1">
        <f t="shared" si="12"/>
        <v>0</v>
      </c>
      <c r="IW28" s="1">
        <f>IF(OR(IW3="",LF3=""),0,MIN(24,LF28+1))</f>
        <v>0</v>
      </c>
      <c r="IX28" s="1">
        <f t="shared" ref="IX28:JF28" si="13">IF(OR(IX3="",IY3=""),0,MIN(24,IY28+1))</f>
        <v>0</v>
      </c>
      <c r="IY28" s="1">
        <f t="shared" si="13"/>
        <v>0</v>
      </c>
      <c r="IZ28" s="1">
        <f t="shared" si="13"/>
        <v>0</v>
      </c>
      <c r="JA28" s="1">
        <f t="shared" si="13"/>
        <v>0</v>
      </c>
      <c r="JB28" s="1">
        <f t="shared" si="13"/>
        <v>0</v>
      </c>
      <c r="JC28" s="1">
        <f t="shared" si="13"/>
        <v>0</v>
      </c>
      <c r="JD28" s="1">
        <f t="shared" si="13"/>
        <v>0</v>
      </c>
      <c r="JE28" s="1">
        <f t="shared" si="13"/>
        <v>0</v>
      </c>
      <c r="JF28" s="1">
        <f t="shared" si="13"/>
        <v>0</v>
      </c>
      <c r="JG28" s="1">
        <f>IF(OR(JG3="",LP3=""),0,MIN(24,LP28+1))</f>
        <v>0</v>
      </c>
      <c r="JH28" s="1">
        <f>IF(OR(JH3="",JI3=""),0,MIN(24,JI28+1))</f>
        <v>0</v>
      </c>
      <c r="LY28" s="1"/>
    </row>
    <row r="29" spans="1:337" ht="15.75" x14ac:dyDescent="0.25">
      <c r="A29" s="3" t="s">
        <v>2</v>
      </c>
      <c r="B29" s="7">
        <v>37986</v>
      </c>
      <c r="C29" s="7">
        <v>38017</v>
      </c>
      <c r="D29" s="7">
        <v>38046</v>
      </c>
      <c r="E29" s="7">
        <v>38077</v>
      </c>
      <c r="F29" s="7">
        <v>38107</v>
      </c>
      <c r="G29" s="7">
        <v>38138</v>
      </c>
      <c r="H29" s="7">
        <v>38168</v>
      </c>
      <c r="I29" s="7">
        <v>38199</v>
      </c>
      <c r="J29" s="7">
        <v>38230</v>
      </c>
      <c r="K29" s="7">
        <v>38260</v>
      </c>
      <c r="L29" s="7">
        <v>38291</v>
      </c>
      <c r="M29" s="7">
        <v>38321</v>
      </c>
      <c r="N29" s="7">
        <v>38352</v>
      </c>
      <c r="O29" s="7">
        <v>38383</v>
      </c>
      <c r="P29" s="7">
        <v>38411</v>
      </c>
      <c r="Q29" s="7">
        <v>38442</v>
      </c>
      <c r="R29" s="7">
        <v>38472</v>
      </c>
      <c r="S29" s="7">
        <v>38503</v>
      </c>
      <c r="T29" s="7">
        <v>38533</v>
      </c>
      <c r="U29" s="7">
        <v>38564</v>
      </c>
      <c r="V29" s="7">
        <v>38595</v>
      </c>
      <c r="W29" s="7">
        <v>38625</v>
      </c>
      <c r="X29" s="7">
        <v>38656</v>
      </c>
      <c r="Y29" s="7">
        <v>38686</v>
      </c>
      <c r="Z29" s="7">
        <v>38717</v>
      </c>
      <c r="AA29" s="7">
        <v>38748</v>
      </c>
      <c r="AB29" s="7">
        <v>38776</v>
      </c>
      <c r="AC29" s="7">
        <v>38807</v>
      </c>
      <c r="AD29" s="7">
        <v>38837</v>
      </c>
      <c r="AE29" s="7">
        <v>38868</v>
      </c>
      <c r="AF29" s="7">
        <v>38898</v>
      </c>
      <c r="AG29" s="7">
        <v>38929</v>
      </c>
      <c r="AH29" s="7">
        <v>38960</v>
      </c>
      <c r="AI29" s="7">
        <v>38990</v>
      </c>
      <c r="AJ29" s="7">
        <v>39021</v>
      </c>
      <c r="AK29" s="7">
        <v>39051</v>
      </c>
      <c r="AL29" s="7">
        <v>39082</v>
      </c>
      <c r="AM29" s="7">
        <v>39113</v>
      </c>
      <c r="AN29" s="7">
        <v>39141</v>
      </c>
      <c r="AO29" s="7">
        <v>39172</v>
      </c>
      <c r="AP29" s="7">
        <v>39202</v>
      </c>
      <c r="AQ29" s="7">
        <v>39233</v>
      </c>
      <c r="AR29" s="7">
        <v>39263</v>
      </c>
      <c r="AS29" s="7">
        <v>39294</v>
      </c>
      <c r="AT29" s="7">
        <v>39325</v>
      </c>
      <c r="AU29" s="7">
        <v>39355</v>
      </c>
      <c r="AV29" s="7">
        <v>39386</v>
      </c>
      <c r="AW29" s="7">
        <v>39416</v>
      </c>
      <c r="AX29" s="7">
        <v>39447</v>
      </c>
      <c r="AY29" s="7">
        <v>39478</v>
      </c>
      <c r="AZ29" s="7">
        <v>39507</v>
      </c>
      <c r="BA29" s="7">
        <v>39538</v>
      </c>
      <c r="BB29" s="7">
        <v>39568</v>
      </c>
      <c r="BC29" s="7">
        <v>39599</v>
      </c>
      <c r="BD29" s="7">
        <v>39629</v>
      </c>
      <c r="BE29" s="7">
        <v>39660</v>
      </c>
      <c r="BF29" s="7">
        <v>39691</v>
      </c>
      <c r="BG29" s="7">
        <v>39721</v>
      </c>
      <c r="BH29" s="7">
        <v>39752</v>
      </c>
      <c r="BI29" s="7">
        <v>39782</v>
      </c>
      <c r="BJ29" s="7">
        <v>39813</v>
      </c>
      <c r="BK29" s="7">
        <v>39844</v>
      </c>
      <c r="BL29" s="7">
        <v>39872</v>
      </c>
      <c r="BM29" s="7">
        <v>39903</v>
      </c>
      <c r="BN29" s="7">
        <v>39933</v>
      </c>
      <c r="BO29" s="7">
        <v>39964</v>
      </c>
      <c r="BP29" s="7">
        <v>39994</v>
      </c>
      <c r="BQ29" s="7">
        <v>40025</v>
      </c>
      <c r="BR29" s="7">
        <v>40056</v>
      </c>
      <c r="BS29" s="7">
        <v>40086</v>
      </c>
      <c r="BT29" s="7">
        <v>40117</v>
      </c>
      <c r="BU29" s="7">
        <v>40147</v>
      </c>
      <c r="BV29" s="7">
        <v>40178</v>
      </c>
      <c r="BW29" s="7">
        <v>40209</v>
      </c>
      <c r="BX29" s="7">
        <v>40237</v>
      </c>
      <c r="BY29" s="7">
        <v>40268</v>
      </c>
      <c r="BZ29" s="7">
        <v>40298</v>
      </c>
      <c r="CA29" s="7">
        <v>40329</v>
      </c>
      <c r="CB29" s="7">
        <v>40359</v>
      </c>
      <c r="CC29" s="7">
        <v>40390</v>
      </c>
      <c r="CD29" s="7">
        <v>40421</v>
      </c>
      <c r="CE29" s="7">
        <v>40451</v>
      </c>
      <c r="CF29" s="7">
        <v>40482</v>
      </c>
      <c r="CG29" s="7">
        <v>40512</v>
      </c>
      <c r="CH29" s="7">
        <v>40543</v>
      </c>
      <c r="CI29" s="7">
        <v>40574</v>
      </c>
      <c r="CJ29" s="7">
        <v>40602</v>
      </c>
      <c r="CK29" s="7">
        <v>40633</v>
      </c>
      <c r="CL29" s="7">
        <v>40663</v>
      </c>
      <c r="CM29" s="7">
        <v>40694</v>
      </c>
      <c r="CN29" s="7">
        <v>40724</v>
      </c>
      <c r="CO29" s="7">
        <v>40755</v>
      </c>
      <c r="CP29" s="7">
        <v>40786</v>
      </c>
      <c r="CQ29" s="7">
        <v>40816</v>
      </c>
      <c r="CR29" s="7">
        <v>40847</v>
      </c>
      <c r="CS29" s="7">
        <v>40877</v>
      </c>
      <c r="CT29" s="7">
        <v>40908</v>
      </c>
      <c r="CU29" s="7">
        <v>40939</v>
      </c>
      <c r="CV29" s="8">
        <v>40968</v>
      </c>
      <c r="CW29" s="7">
        <v>40999</v>
      </c>
      <c r="CX29" s="7">
        <v>41029</v>
      </c>
      <c r="CY29" s="7">
        <v>41060</v>
      </c>
      <c r="CZ29" s="7">
        <v>41090</v>
      </c>
      <c r="DA29" s="7">
        <v>41121</v>
      </c>
      <c r="DB29" s="7">
        <v>41152</v>
      </c>
      <c r="DC29" s="7">
        <v>41182</v>
      </c>
      <c r="DD29" s="7">
        <v>41213</v>
      </c>
      <c r="DE29" s="7">
        <v>41243</v>
      </c>
      <c r="DF29" s="7">
        <v>41274</v>
      </c>
      <c r="DG29" s="7">
        <v>41305</v>
      </c>
      <c r="DH29" s="7">
        <v>41333</v>
      </c>
      <c r="DI29" s="7">
        <v>41364</v>
      </c>
      <c r="DJ29" s="7">
        <v>41394</v>
      </c>
      <c r="DK29" s="7">
        <v>41425</v>
      </c>
      <c r="DL29" s="7">
        <v>41455</v>
      </c>
      <c r="DM29" s="7">
        <v>41486</v>
      </c>
      <c r="DN29" s="7">
        <v>41517</v>
      </c>
      <c r="DO29" s="7">
        <v>41547</v>
      </c>
      <c r="DP29" s="7">
        <v>41578</v>
      </c>
      <c r="DQ29" s="7">
        <v>41608</v>
      </c>
      <c r="DR29" s="7">
        <v>41639</v>
      </c>
      <c r="DS29" s="7">
        <v>41670</v>
      </c>
      <c r="DT29" s="7">
        <v>41698</v>
      </c>
      <c r="DU29" s="7">
        <v>41729</v>
      </c>
      <c r="DV29" s="7">
        <v>41759</v>
      </c>
      <c r="DW29" s="7">
        <v>41790</v>
      </c>
      <c r="DX29" s="7">
        <v>41820</v>
      </c>
      <c r="DY29" s="7">
        <v>41851</v>
      </c>
      <c r="DZ29" s="7">
        <v>41882</v>
      </c>
      <c r="EA29" s="7">
        <v>41912</v>
      </c>
      <c r="EB29" s="7">
        <v>41943</v>
      </c>
      <c r="EC29" s="7">
        <v>41973</v>
      </c>
      <c r="ED29" s="7">
        <v>42004</v>
      </c>
      <c r="EE29" s="7">
        <v>42035</v>
      </c>
      <c r="EF29" s="7">
        <v>42063</v>
      </c>
      <c r="EG29" s="7">
        <v>42094</v>
      </c>
      <c r="EH29" s="7">
        <v>42124</v>
      </c>
      <c r="EI29" s="7">
        <v>42155</v>
      </c>
      <c r="EJ29" s="7">
        <v>42185</v>
      </c>
      <c r="EK29" s="7">
        <v>42216</v>
      </c>
      <c r="EL29" s="7">
        <v>42247</v>
      </c>
      <c r="EM29" s="7">
        <v>42277</v>
      </c>
      <c r="EN29" s="7">
        <v>42308</v>
      </c>
      <c r="EO29" s="7">
        <v>42338</v>
      </c>
      <c r="EP29" s="7">
        <v>42369</v>
      </c>
      <c r="EQ29" s="7">
        <v>42400</v>
      </c>
      <c r="ER29" s="7">
        <v>42429</v>
      </c>
      <c r="ES29" s="7">
        <v>42460</v>
      </c>
      <c r="ET29" s="7">
        <v>42490</v>
      </c>
      <c r="EU29" s="7">
        <v>42521</v>
      </c>
      <c r="EV29" s="7">
        <v>42551</v>
      </c>
      <c r="EW29" s="7">
        <v>42582</v>
      </c>
      <c r="EX29" s="7">
        <v>42613</v>
      </c>
      <c r="EY29" s="7">
        <v>42643</v>
      </c>
      <c r="EZ29" s="7">
        <v>42674</v>
      </c>
      <c r="FA29" s="7">
        <v>42704</v>
      </c>
      <c r="FB29" s="7">
        <v>42735</v>
      </c>
      <c r="FC29" s="7">
        <v>42766</v>
      </c>
      <c r="FD29" s="7">
        <v>42794</v>
      </c>
      <c r="FE29" s="7">
        <v>42825</v>
      </c>
      <c r="FF29" s="7">
        <v>42855</v>
      </c>
      <c r="FG29" s="7">
        <v>42886</v>
      </c>
      <c r="FH29" s="7">
        <v>42916</v>
      </c>
      <c r="FI29" s="7">
        <v>42947</v>
      </c>
      <c r="FJ29" s="7">
        <v>42978</v>
      </c>
      <c r="FK29" s="7">
        <v>43008</v>
      </c>
      <c r="FL29" s="7">
        <v>43039</v>
      </c>
      <c r="FM29" s="7">
        <v>43069</v>
      </c>
      <c r="FN29" s="7">
        <v>43100</v>
      </c>
      <c r="FO29" s="7">
        <v>43131</v>
      </c>
      <c r="FP29" s="7">
        <v>43159</v>
      </c>
      <c r="FQ29" s="7">
        <v>43190</v>
      </c>
      <c r="FR29" s="7">
        <v>43220</v>
      </c>
      <c r="FS29" s="7">
        <v>43251</v>
      </c>
      <c r="FT29" s="7">
        <v>43281</v>
      </c>
      <c r="FU29" s="7">
        <v>43312</v>
      </c>
      <c r="FV29" s="7">
        <v>43343</v>
      </c>
      <c r="FW29" s="7">
        <v>43373</v>
      </c>
      <c r="FX29" s="7">
        <v>43404</v>
      </c>
      <c r="FY29" s="7">
        <v>43434</v>
      </c>
      <c r="FZ29" s="7">
        <v>43465</v>
      </c>
      <c r="GA29" s="7">
        <v>43496</v>
      </c>
      <c r="GB29" s="7">
        <v>43524</v>
      </c>
      <c r="GC29" s="7">
        <v>43555</v>
      </c>
      <c r="GD29" s="7">
        <v>43585</v>
      </c>
      <c r="GE29" s="7">
        <v>43616</v>
      </c>
      <c r="GF29" s="7">
        <v>43646</v>
      </c>
      <c r="GG29" s="7">
        <v>43677</v>
      </c>
      <c r="GH29" s="7">
        <v>43708</v>
      </c>
      <c r="GI29" s="7">
        <v>43738</v>
      </c>
      <c r="GJ29" s="7">
        <v>43769</v>
      </c>
      <c r="GK29" s="7">
        <v>43799</v>
      </c>
      <c r="GL29" s="7">
        <v>43830</v>
      </c>
      <c r="GM29" s="7">
        <v>43861</v>
      </c>
      <c r="GN29" s="7">
        <v>43890</v>
      </c>
      <c r="GO29" s="7">
        <v>43921</v>
      </c>
      <c r="GP29" s="7">
        <v>43951</v>
      </c>
      <c r="GQ29" s="7">
        <v>43982</v>
      </c>
      <c r="GR29" s="7">
        <v>44012</v>
      </c>
      <c r="GS29" s="7">
        <v>44043</v>
      </c>
      <c r="GT29" s="7">
        <v>44074</v>
      </c>
      <c r="GU29" s="7">
        <v>44104</v>
      </c>
      <c r="GV29" s="7">
        <v>44135</v>
      </c>
      <c r="GW29" s="7">
        <v>44165</v>
      </c>
      <c r="GX29" s="7">
        <v>44196</v>
      </c>
      <c r="GY29" s="7">
        <v>44227</v>
      </c>
      <c r="GZ29" s="7">
        <v>44255</v>
      </c>
      <c r="HA29" s="7">
        <v>44286</v>
      </c>
      <c r="HB29" s="7">
        <v>44316</v>
      </c>
      <c r="HC29" s="7">
        <v>44347</v>
      </c>
      <c r="HD29" s="7">
        <v>44377</v>
      </c>
      <c r="HE29" s="7">
        <v>44408</v>
      </c>
      <c r="HF29" s="7">
        <v>44439</v>
      </c>
      <c r="HG29" s="7">
        <v>44469</v>
      </c>
      <c r="HH29" s="7">
        <v>44500</v>
      </c>
      <c r="HI29" s="7">
        <v>44530</v>
      </c>
      <c r="HJ29" s="7">
        <v>44561</v>
      </c>
      <c r="HK29" s="7">
        <v>44592</v>
      </c>
      <c r="HL29" s="7">
        <v>44620</v>
      </c>
      <c r="HM29" s="7">
        <v>44651</v>
      </c>
      <c r="HN29" s="7">
        <v>44681</v>
      </c>
      <c r="HO29" s="7">
        <v>44712</v>
      </c>
      <c r="HP29" s="7">
        <v>44742</v>
      </c>
      <c r="HQ29" s="7">
        <v>44773</v>
      </c>
      <c r="HR29" s="7">
        <v>44804</v>
      </c>
      <c r="HS29" s="7">
        <v>44834</v>
      </c>
      <c r="HT29" s="7">
        <v>44865</v>
      </c>
      <c r="HU29" s="7">
        <v>44895</v>
      </c>
      <c r="HV29" s="7">
        <v>44926</v>
      </c>
      <c r="HW29" s="7">
        <v>44957</v>
      </c>
      <c r="HX29" s="7">
        <v>44985</v>
      </c>
      <c r="HY29" s="7">
        <v>45016</v>
      </c>
      <c r="HZ29" s="7">
        <v>45046</v>
      </c>
      <c r="IA29" s="7">
        <v>45077</v>
      </c>
      <c r="IB29" s="7">
        <v>45107</v>
      </c>
      <c r="IC29" s="7">
        <v>45138</v>
      </c>
      <c r="ID29" s="7">
        <v>45169</v>
      </c>
      <c r="IE29" s="7">
        <v>45199</v>
      </c>
      <c r="IF29" s="7">
        <v>45230</v>
      </c>
      <c r="IG29" s="7">
        <v>45260</v>
      </c>
      <c r="IH29" s="7">
        <v>45291</v>
      </c>
      <c r="II29" s="7">
        <v>45322</v>
      </c>
      <c r="IJ29" s="7">
        <v>45351</v>
      </c>
      <c r="IK29" s="7">
        <v>45382</v>
      </c>
      <c r="IL29" s="7">
        <v>45412</v>
      </c>
      <c r="IM29" s="7">
        <v>45443</v>
      </c>
      <c r="IN29" s="7">
        <v>45473</v>
      </c>
      <c r="IO29" s="7">
        <v>45504</v>
      </c>
      <c r="IP29" s="7">
        <v>45535</v>
      </c>
      <c r="IQ29" s="7">
        <v>45565</v>
      </c>
      <c r="IR29" s="7">
        <v>45596</v>
      </c>
      <c r="IS29" s="7">
        <v>45626</v>
      </c>
      <c r="IT29" s="7">
        <v>45657</v>
      </c>
      <c r="IU29" s="7">
        <v>45688</v>
      </c>
      <c r="IV29" s="7">
        <v>45716</v>
      </c>
      <c r="IW29" s="7">
        <v>45747</v>
      </c>
      <c r="IX29" s="7">
        <v>45777</v>
      </c>
      <c r="IY29" s="7">
        <v>45808</v>
      </c>
      <c r="IZ29" s="7">
        <v>45838</v>
      </c>
      <c r="JA29" s="7">
        <v>45869</v>
      </c>
      <c r="JB29" s="7">
        <v>45900</v>
      </c>
      <c r="JC29" s="7">
        <v>45930</v>
      </c>
      <c r="JD29" s="7">
        <v>45961</v>
      </c>
      <c r="JE29" s="7">
        <v>45991</v>
      </c>
      <c r="JF29" s="7">
        <v>46022</v>
      </c>
      <c r="JG29" s="7">
        <v>46053</v>
      </c>
      <c r="JH29" s="7">
        <v>46081</v>
      </c>
      <c r="JI29" s="10" t="s">
        <v>3</v>
      </c>
      <c r="JJ29" s="11" t="s">
        <v>4</v>
      </c>
      <c r="JK29" s="10" t="s">
        <v>5</v>
      </c>
      <c r="JL29" s="12" t="s">
        <v>6</v>
      </c>
      <c r="JM29" s="10" t="s">
        <v>7</v>
      </c>
      <c r="JN29" s="19">
        <v>1.28</v>
      </c>
      <c r="LY29" s="1"/>
    </row>
    <row r="30" spans="1:337" x14ac:dyDescent="0.25">
      <c r="A30" s="4">
        <v>1</v>
      </c>
      <c r="B30" s="9">
        <f ca="1">IF(OR(B3="",B$28&lt;$A30),"",B3/OFFSET(ParoRegCLM!$A$2,MATCH(B$29,ParoRegCLM!$A$2:$A$500)+$A30-1,1)-1)</f>
        <v>1.2623460860711644E-2</v>
      </c>
      <c r="C30" s="9">
        <f ca="1">IF(OR(C3="",C$28&lt;$A30),"",C3/OFFSET(ParoRegCLM!$A$2,MATCH(C$29,ParoRegCLM!$A$2:$A$500)+$A30-1,1)-1)</f>
        <v>5.3169098979450879E-3</v>
      </c>
      <c r="D30" s="9">
        <f ca="1">IF(OR(D3="",D$28&lt;$A30),"",D3/OFFSET(ParoRegCLM!$A$2,MATCH(D$29,ParoRegCLM!$A$2:$A$500)+$A30-1,1)-1)</f>
        <v>-7.5877975360542083E-3</v>
      </c>
      <c r="E30" s="9">
        <f ca="1">IF(OR(E3="",E$28&lt;$A30),"",E3/OFFSET(ParoRegCLM!$A$2,MATCH(E$29,ParoRegCLM!$A$2:$A$500)+$A30-1,1)-1)</f>
        <v>-4.6384775843800519E-2</v>
      </c>
      <c r="F30" s="9">
        <f ca="1">IF(OR(F3="",F$28&lt;$A30),"",F3/OFFSET(ParoRegCLM!$A$2,MATCH(F$29,ParoRegCLM!$A$2:$A$500)+$A30-1,1)-1)</f>
        <v>8.2735773682165448E-3</v>
      </c>
      <c r="G30" s="9">
        <f ca="1">IF(OR(G3="",G$28&lt;$A30),"",G3/OFFSET(ParoRegCLM!$A$2,MATCH(G$29,ParoRegCLM!$A$2:$A$500)+$A30-1,1)-1)</f>
        <v>2.9852309626315909E-2</v>
      </c>
      <c r="H30" s="9">
        <f ca="1">IF(OR(H3="",H$28&lt;$A30),"",H3/OFFSET(ParoRegCLM!$A$2,MATCH(H$29,ParoRegCLM!$A$2:$A$500)+$A30-1,1)-1)</f>
        <v>2.7411420497366557E-2</v>
      </c>
      <c r="I30" s="9">
        <f ca="1">IF(OR(I3="",I$28&lt;$A30),"",I3/OFFSET(ParoRegCLM!$A$2,MATCH(I$29,ParoRegCLM!$A$2:$A$500)+$A30-1,1)-1)</f>
        <v>8.7647009496745198E-3</v>
      </c>
      <c r="J30" s="9">
        <f ca="1">IF(OR(J3="",J$28&lt;$A30),"",J3/OFFSET(ParoRegCLM!$A$2,MATCH(J$29,ParoRegCLM!$A$2:$A$500)+$A30-1,1)-1)</f>
        <v>1.4583489684456774E-2</v>
      </c>
      <c r="K30" s="9">
        <f ca="1">IF(OR(K3="",K$28&lt;$A30),"",K3/OFFSET(ParoRegCLM!$A$2,MATCH(K$29,ParoRegCLM!$A$2:$A$500)+$A30-1,1)-1)</f>
        <v>2.5808856580700201E-4</v>
      </c>
      <c r="L30" s="9">
        <f ca="1">IF(OR(L3="",L$28&lt;$A30),"",L3/OFFSET(ParoRegCLM!$A$2,MATCH(L$29,ParoRegCLM!$A$2:$A$500)+$A30-1,1)-1)</f>
        <v>-6.3171123548276809E-3</v>
      </c>
      <c r="M30" s="9">
        <f ca="1">IF(OR(M3="",M$28&lt;$A30),"",M3/OFFSET(ParoRegCLM!$A$2,MATCH(M$29,ParoRegCLM!$A$2:$A$500)+$A30-1,1)-1)</f>
        <v>-2.0035406568825742E-3</v>
      </c>
      <c r="N30" s="9">
        <f ca="1">IF(OR(N3="",N$28&lt;$A30),"",N3/OFFSET(ParoRegCLM!$A$2,MATCH(N$29,ParoRegCLM!$A$2:$A$500)+$A30-1,1)-1)</f>
        <v>-1.1140942982910795E-2</v>
      </c>
      <c r="O30" s="9">
        <f ca="1">IF(OR(O3="",O$28&lt;$A30),"",O3/OFFSET(ParoRegCLM!$A$2,MATCH(O$29,ParoRegCLM!$A$2:$A$500)+$A30-1,1)-1)</f>
        <v>8.0472202815116134E-3</v>
      </c>
      <c r="P30" s="9">
        <f ca="1">IF(OR(P3="",P$28&lt;$A30),"",P3/OFFSET(ParoRegCLM!$A$2,MATCH(P$29,ParoRegCLM!$A$2:$A$500)+$A30-1,1)-1)</f>
        <v>1.786504862164362E-3</v>
      </c>
      <c r="Q30" s="9">
        <f ca="1">IF(OR(Q3="",Q$28&lt;$A30),"",Q3/OFFSET(ParoRegCLM!$A$2,MATCH(Q$29,ParoRegCLM!$A$2:$A$500)+$A30-1,1)-1)</f>
        <v>-5.4277829619707729E-3</v>
      </c>
      <c r="R30" s="9">
        <f ca="1">IF(OR(R3="",R$28&lt;$A30),"",R3/OFFSET(ParoRegCLM!$A$2,MATCH(R$29,ParoRegCLM!$A$2:$A$500)+$A30-1,1)-1)</f>
        <v>3.7257091386824204E-3</v>
      </c>
      <c r="S30" s="9">
        <f ca="1">IF(OR(S3="",S$28&lt;$A30),"",S3/OFFSET(ParoRegCLM!$A$2,MATCH(S$29,ParoRegCLM!$A$2:$A$500)+$A30-1,1)-1)</f>
        <v>2.4735828889330458E-2</v>
      </c>
      <c r="T30" s="9">
        <f ca="1">IF(OR(T3="",T$28&lt;$A30),"",T3/OFFSET(ParoRegCLM!$A$2,MATCH(T$29,ParoRegCLM!$A$2:$A$500)+$A30-1,1)-1)</f>
        <v>-7.3862320374307178E-3</v>
      </c>
      <c r="U30" s="9">
        <f ca="1">IF(OR(U3="",U$28&lt;$A30),"",U3/OFFSET(ParoRegCLM!$A$2,MATCH(U$29,ParoRegCLM!$A$2:$A$500)+$A30-1,1)-1)</f>
        <v>-1.1414373789685461E-2</v>
      </c>
      <c r="V30" s="9">
        <f ca="1">IF(OR(V3="",V$28&lt;$A30),"",V3/OFFSET(ParoRegCLM!$A$2,MATCH(V$29,ParoRegCLM!$A$2:$A$500)+$A30-1,1)-1)</f>
        <v>6.1523902117932572E-4</v>
      </c>
      <c r="W30" s="9">
        <f ca="1">IF(OR(W3="",W$28&lt;$A30),"",W3/OFFSET(ParoRegCLM!$A$2,MATCH(W$29,ParoRegCLM!$A$2:$A$500)+$A30-1,1)-1)</f>
        <v>-4.655041411441907E-3</v>
      </c>
      <c r="X30" s="9">
        <f ca="1">IF(OR(X3="",X$28&lt;$A30),"",X3/OFFSET(ParoRegCLM!$A$2,MATCH(X$29,ParoRegCLM!$A$2:$A$500)+$A30-1,1)-1)</f>
        <v>2.2379234002793513E-2</v>
      </c>
      <c r="Y30" s="9">
        <f ca="1">IF(OR(Y3="",Y$28&lt;$A30),"",Y3/OFFSET(ParoRegCLM!$A$2,MATCH(Y$29,ParoRegCLM!$A$2:$A$500)+$A30-1,1)-1)</f>
        <v>1.8895738939570084E-2</v>
      </c>
      <c r="Z30" s="9">
        <f ca="1">IF(OR(Z3="",Z$28&lt;$A30),"",Z3/OFFSET(ParoRegCLM!$A$2,MATCH(Z$29,ParoRegCLM!$A$2:$A$500)+$A30-1,1)-1)</f>
        <v>1.0794175748047419E-2</v>
      </c>
      <c r="AA30" s="9">
        <f ca="1">IF(OR(AA3="",AA$28&lt;$A30),"",AA3/OFFSET(ParoRegCLM!$A$2,MATCH(AA$29,ParoRegCLM!$A$2:$A$500)+$A30-1,1)-1)</f>
        <v>1.0262538685175127E-2</v>
      </c>
      <c r="AB30" s="9">
        <f ca="1">IF(OR(AB3="",AB$28&lt;$A30),"",AB3/OFFSET(ParoRegCLM!$A$2,MATCH(AB$29,ParoRegCLM!$A$2:$A$500)+$A30-1,1)-1)</f>
        <v>1.6586058458657682E-2</v>
      </c>
      <c r="AC30" s="9">
        <f ca="1">IF(OR(AC3="",AC$28&lt;$A30),"",AC3/OFFSET(ParoRegCLM!$A$2,MATCH(AC$29,ParoRegCLM!$A$2:$A$500)+$A30-1,1)-1)</f>
        <v>1.2552566789945541E-2</v>
      </c>
      <c r="AD30" s="9">
        <f ca="1">IF(OR(AD3="",AD$28&lt;$A30),"",AD3/OFFSET(ParoRegCLM!$A$2,MATCH(AD$29,ParoRegCLM!$A$2:$A$500)+$A30-1,1)-1)</f>
        <v>-7.1410644508200782E-3</v>
      </c>
      <c r="AE30" s="9">
        <f ca="1">IF(OR(AE3="",AE$28&lt;$A30),"",AE3/OFFSET(ParoRegCLM!$A$2,MATCH(AE$29,ParoRegCLM!$A$2:$A$500)+$A30-1,1)-1)</f>
        <v>9.5284244190119161E-4</v>
      </c>
      <c r="AF30" s="9">
        <f ca="1">IF(OR(AF3="",AF$28&lt;$A30),"",AF3/OFFSET(ParoRegCLM!$A$2,MATCH(AF$29,ParoRegCLM!$A$2:$A$500)+$A30-1,1)-1)</f>
        <v>-7.891325134259497E-3</v>
      </c>
      <c r="AG30" s="9">
        <f ca="1">IF(OR(AG3="",AG$28&lt;$A30),"",AG3/OFFSET(ParoRegCLM!$A$2,MATCH(AG$29,ParoRegCLM!$A$2:$A$500)+$A30-1,1)-1)</f>
        <v>-2.4470883441779501E-3</v>
      </c>
      <c r="AH30" s="9">
        <f ca="1">IF(OR(AH3="",AH$28&lt;$A30),"",AH3/OFFSET(ParoRegCLM!$A$2,MATCH(AH$29,ParoRegCLM!$A$2:$A$500)+$A30-1,1)-1)</f>
        <v>-2.0982290163690243E-3</v>
      </c>
      <c r="AI30" s="9">
        <f ca="1">IF(OR(AI3="",AI$28&lt;$A30),"",AI3/OFFSET(ParoRegCLM!$A$2,MATCH(AI$29,ParoRegCLM!$A$2:$A$500)+$A30-1,1)-1)</f>
        <v>9.3386027255952797E-3</v>
      </c>
      <c r="AJ30" s="9">
        <f ca="1">IF(OR(AJ3="",AJ$28&lt;$A30),"",AJ3/OFFSET(ParoRegCLM!$A$2,MATCH(AJ$29,ParoRegCLM!$A$2:$A$500)+$A30-1,1)-1)</f>
        <v>1.5195906975911333E-2</v>
      </c>
      <c r="AK30" s="9">
        <f ca="1">IF(OR(AK3="",AK$28&lt;$A30),"",AK3/OFFSET(ParoRegCLM!$A$2,MATCH(AK$29,ParoRegCLM!$A$2:$A$500)+$A30-1,1)-1)</f>
        <v>3.0032900746983726E-2</v>
      </c>
      <c r="AL30" s="9">
        <f ca="1">IF(OR(AL3="",AL$28&lt;$A30),"",AL3/OFFSET(ParoRegCLM!$A$2,MATCH(AL$29,ParoRegCLM!$A$2:$A$500)+$A30-1,1)-1)</f>
        <v>1.0618869675410147E-2</v>
      </c>
      <c r="AM30" s="9">
        <f ca="1">IF(OR(AM3="",AM$28&lt;$A30),"",AM3/OFFSET(ParoRegCLM!$A$2,MATCH(AM$29,ParoRegCLM!$A$2:$A$500)+$A30-1,1)-1)</f>
        <v>3.267085199811115E-3</v>
      </c>
      <c r="AN30" s="9">
        <f ca="1">IF(OR(AN3="",AN$28&lt;$A30),"",AN3/OFFSET(ParoRegCLM!$A$2,MATCH(AN$29,ParoRegCLM!$A$2:$A$500)+$A30-1,1)-1)</f>
        <v>4.1008620610294422E-3</v>
      </c>
      <c r="AO30" s="9">
        <f ca="1">IF(OR(AO3="",AO$28&lt;$A30),"",AO3/OFFSET(ParoRegCLM!$A$2,MATCH(AO$29,ParoRegCLM!$A$2:$A$500)+$A30-1,1)-1)</f>
        <v>-1.6749914304159064E-2</v>
      </c>
      <c r="AP30" s="9">
        <f ca="1">IF(OR(AP3="",AP$28&lt;$A30),"",AP3/OFFSET(ParoRegCLM!$A$2,MATCH(AP$29,ParoRegCLM!$A$2:$A$500)+$A30-1,1)-1)</f>
        <v>-1.1351999010949854E-2</v>
      </c>
      <c r="AQ30" s="9">
        <f ca="1">IF(OR(AQ3="",AQ$28&lt;$A30),"",AQ3/OFFSET(ParoRegCLM!$A$2,MATCH(AQ$29,ParoRegCLM!$A$2:$A$500)+$A30-1,1)-1)</f>
        <v>-1.4022850823077193E-2</v>
      </c>
      <c r="AR30" s="9">
        <f ca="1">IF(OR(AR3="",AR$28&lt;$A30),"",AR3/OFFSET(ParoRegCLM!$A$2,MATCH(AR$29,ParoRegCLM!$A$2:$A$500)+$A30-1,1)-1)</f>
        <v>-2.2639934371672554E-2</v>
      </c>
      <c r="AS30" s="9">
        <f ca="1">IF(OR(AS3="",AS$28&lt;$A30),"",AS3/OFFSET(ParoRegCLM!$A$2,MATCH(AS$29,ParoRegCLM!$A$2:$A$500)+$A30-1,1)-1)</f>
        <v>-1.3788131009194848E-2</v>
      </c>
      <c r="AT30" s="9">
        <f ca="1">IF(OR(AT3="",AT$28&lt;$A30),"",AT3/OFFSET(ParoRegCLM!$A$2,MATCH(AT$29,ParoRegCLM!$A$2:$A$500)+$A30-1,1)-1)</f>
        <v>1.1377497752584897E-3</v>
      </c>
      <c r="AU30" s="9">
        <f ca="1">IF(OR(AU3="",AU$28&lt;$A30),"",AU3/OFFSET(ParoRegCLM!$A$2,MATCH(AU$29,ParoRegCLM!$A$2:$A$500)+$A30-1,1)-1)</f>
        <v>-1.1622086173181945E-3</v>
      </c>
      <c r="AV30" s="9">
        <f ca="1">IF(OR(AV3="",AV$28&lt;$A30),"",AV3/OFFSET(ParoRegCLM!$A$2,MATCH(AV$29,ParoRegCLM!$A$2:$A$500)+$A30-1,1)-1)</f>
        <v>-7.2576073121065621E-3</v>
      </c>
      <c r="AW30" s="9">
        <f ca="1">IF(OR(AW3="",AW$28&lt;$A30),"",AW3/OFFSET(ParoRegCLM!$A$2,MATCH(AW$29,ParoRegCLM!$A$2:$A$500)+$A30-1,1)-1)</f>
        <v>9.9008233236970167E-3</v>
      </c>
      <c r="AX30" s="9">
        <f ca="1">IF(OR(AX3="",AX$28&lt;$A30),"",AX3/OFFSET(ParoRegCLM!$A$2,MATCH(AX$29,ParoRegCLM!$A$2:$A$500)+$A30-1,1)-1)</f>
        <v>-2.4289070068716612E-2</v>
      </c>
      <c r="AY30" s="9">
        <f ca="1">IF(OR(AY3="",AY$28&lt;$A30),"",AY3/OFFSET(ParoRegCLM!$A$2,MATCH(AY$29,ParoRegCLM!$A$2:$A$500)+$A30-1,1)-1)</f>
        <v>-3.899715281016225E-2</v>
      </c>
      <c r="AZ30" s="9">
        <f ca="1">IF(OR(AZ3="",AZ$28&lt;$A30),"",AZ3/OFFSET(ParoRegCLM!$A$2,MATCH(AZ$29,ParoRegCLM!$A$2:$A$500)+$A30-1,1)-1)</f>
        <v>-8.125177339910139E-3</v>
      </c>
      <c r="BA30" s="9">
        <f ca="1">IF(OR(BA3="",BA$28&lt;$A30),"",BA3/OFFSET(ParoRegCLM!$A$2,MATCH(BA$29,ParoRegCLM!$A$2:$A$500)+$A30-1,1)-1)</f>
        <v>-4.0411984263118539E-2</v>
      </c>
      <c r="BB30" s="9">
        <f ca="1">IF(OR(BB3="",BB$28&lt;$A30),"",BB3/OFFSET(ParoRegCLM!$A$2,MATCH(BB$29,ParoRegCLM!$A$2:$A$500)+$A30-1,1)-1)</f>
        <v>-3.5787289426376545E-2</v>
      </c>
      <c r="BC30" s="9">
        <f ca="1">IF(OR(BC3="",BC$28&lt;$A30),"",BC3/OFFSET(ParoRegCLM!$A$2,MATCH(BC$29,ParoRegCLM!$A$2:$A$500)+$A30-1,1)-1)</f>
        <v>-2.3648599871691323E-2</v>
      </c>
      <c r="BD30" s="9">
        <f ca="1">IF(OR(BD3="",BD$28&lt;$A30),"",BD3/OFFSET(ParoRegCLM!$A$2,MATCH(BD$29,ParoRegCLM!$A$2:$A$500)+$A30-1,1)-1)</f>
        <v>-2.1758392055169828E-2</v>
      </c>
      <c r="BE30" s="9">
        <f ca="1">IF(OR(BE3="",BE$28&lt;$A30),"",BE3/OFFSET(ParoRegCLM!$A$2,MATCH(BE$29,ParoRegCLM!$A$2:$A$500)+$A30-1,1)-1)</f>
        <v>-1.8798184084884761E-2</v>
      </c>
      <c r="BF30" s="9">
        <f ca="1">IF(OR(BF3="",BF$28&lt;$A30),"",BF3/OFFSET(ParoRegCLM!$A$2,MATCH(BF$29,ParoRegCLM!$A$2:$A$500)+$A30-1,1)-1)</f>
        <v>2.5161330110319291E-3</v>
      </c>
      <c r="BG30" s="9">
        <f ca="1">IF(OR(BG3="",BG$28&lt;$A30),"",BG3/OFFSET(ParoRegCLM!$A$2,MATCH(BG$29,ParoRegCLM!$A$2:$A$500)+$A30-1,1)-1)</f>
        <v>-7.8722925972608881E-2</v>
      </c>
      <c r="BH30" s="9">
        <f ca="1">IF(OR(BH3="",BH$28&lt;$A30),"",BH3/OFFSET(ParoRegCLM!$A$2,MATCH(BH$29,ParoRegCLM!$A$2:$A$500)+$A30-1,1)-1)</f>
        <v>-5.2668347154419815E-2</v>
      </c>
      <c r="BI30" s="9">
        <f ca="1">IF(OR(BI3="",BI$28&lt;$A30),"",BI3/OFFSET(ParoRegCLM!$A$2,MATCH(BI$29,ParoRegCLM!$A$2:$A$500)+$A30-1,1)-1)</f>
        <v>-1.4531737776074416E-2</v>
      </c>
      <c r="BJ30" s="9">
        <f ca="1">IF(OR(BJ3="",BJ$28&lt;$A30),"",BJ3/OFFSET(ParoRegCLM!$A$2,MATCH(BJ$29,ParoRegCLM!$A$2:$A$500)+$A30-1,1)-1)</f>
        <v>2.1285988535773015E-2</v>
      </c>
      <c r="BK30" s="9">
        <f ca="1">IF(OR(BK3="",BK$28&lt;$A30),"",BK3/OFFSET(ParoRegCLM!$A$2,MATCH(BK$29,ParoRegCLM!$A$2:$A$500)+$A30-1,1)-1)</f>
        <v>-1.3136285929861824E-2</v>
      </c>
      <c r="BL30" s="9">
        <f ca="1">IF(OR(BL3="",BL$28&lt;$A30),"",BL3/OFFSET(ParoRegCLM!$A$2,MATCH(BL$29,ParoRegCLM!$A$2:$A$500)+$A30-1,1)-1)</f>
        <v>-2.5722365286959481E-2</v>
      </c>
      <c r="BM30" s="9">
        <f ca="1">IF(OR(BM3="",BM$28&lt;$A30),"",BM3/OFFSET(ParoRegCLM!$A$2,MATCH(BM$29,ParoRegCLM!$A$2:$A$500)+$A30-1,1)-1)</f>
        <v>4.1781702958019196E-3</v>
      </c>
      <c r="BN30" s="9">
        <f ca="1">IF(OR(BN3="",BN$28&lt;$A30),"",BN3/OFFSET(ParoRegCLM!$A$2,MATCH(BN$29,ParoRegCLM!$A$2:$A$500)+$A30-1,1)-1)</f>
        <v>1.9994662351690895E-2</v>
      </c>
      <c r="BO30" s="9">
        <f ca="1">IF(OR(BO3="",BO$28&lt;$A30),"",BO3/OFFSET(ParoRegCLM!$A$2,MATCH(BO$29,ParoRegCLM!$A$2:$A$500)+$A30-1,1)-1)</f>
        <v>3.9794766664671632E-2</v>
      </c>
      <c r="BP30" s="9">
        <f ca="1">IF(OR(BP3="",BP$28&lt;$A30),"",BP3/OFFSET(ParoRegCLM!$A$2,MATCH(BP$29,ParoRegCLM!$A$2:$A$500)+$A30-1,1)-1)</f>
        <v>2.6679374933040068E-2</v>
      </c>
      <c r="BQ30" s="9">
        <f ca="1">IF(OR(BQ3="",BQ$28&lt;$A30),"",BQ3/OFFSET(ParoRegCLM!$A$2,MATCH(BQ$29,ParoRegCLM!$A$2:$A$500)+$A30-1,1)-1)</f>
        <v>6.198146895196377E-3</v>
      </c>
      <c r="BR30" s="9">
        <f ca="1">IF(OR(BR3="",BR$28&lt;$A30),"",BR3/OFFSET(ParoRegCLM!$A$2,MATCH(BR$29,ParoRegCLM!$A$2:$A$500)+$A30-1,1)-1)</f>
        <v>2.9023999982105808E-2</v>
      </c>
      <c r="BS30" s="9">
        <f ca="1">IF(OR(BS3="",BS$28&lt;$A30),"",BS3/OFFSET(ParoRegCLM!$A$2,MATCH(BS$29,ParoRegCLM!$A$2:$A$500)+$A30-1,1)-1)</f>
        <v>-4.3701111514080737E-2</v>
      </c>
      <c r="BT30" s="9">
        <f ca="1">IF(OR(BT3="",BT$28&lt;$A30),"",BT3/OFFSET(ParoRegCLM!$A$2,MATCH(BT$29,ParoRegCLM!$A$2:$A$500)+$A30-1,1)-1)</f>
        <v>3.3629668713239136E-2</v>
      </c>
      <c r="BU30" s="9">
        <f ca="1">IF(OR(BU3="",BU$28&lt;$A30),"",BU3/OFFSET(ParoRegCLM!$A$2,MATCH(BU$29,ParoRegCLM!$A$2:$A$500)+$A30-1,1)-1)</f>
        <v>-5.1508803093321953E-3</v>
      </c>
      <c r="BV30" s="9">
        <f ca="1">IF(OR(BV3="",BV$28&lt;$A30),"",BV3/OFFSET(ParoRegCLM!$A$2,MATCH(BV$29,ParoRegCLM!$A$2:$A$500)+$A30-1,1)-1)</f>
        <v>9.7616524810035799E-3</v>
      </c>
      <c r="BW30" s="9">
        <f ca="1">IF(OR(BW3="",BW$28&lt;$A30),"",BW3/OFFSET(ParoRegCLM!$A$2,MATCH(BW$29,ParoRegCLM!$A$2:$A$500)+$A30-1,1)-1)</f>
        <v>-8.0505981356232548E-3</v>
      </c>
      <c r="BX30" s="9">
        <f ca="1">IF(OR(BX3="",BX$28&lt;$A30),"",BX3/OFFSET(ParoRegCLM!$A$2,MATCH(BX$29,ParoRegCLM!$A$2:$A$500)+$A30-1,1)-1)</f>
        <v>-6.2555920166158518E-3</v>
      </c>
      <c r="BY30" s="9">
        <f ca="1">IF(OR(BY3="",BY$28&lt;$A30),"",BY3/OFFSET(ParoRegCLM!$A$2,MATCH(BY$29,ParoRegCLM!$A$2:$A$500)+$A30-1,1)-1)</f>
        <v>1.1554465182445739E-2</v>
      </c>
      <c r="BZ30" s="9">
        <f ca="1">IF(OR(BZ3="",BZ$28&lt;$A30),"",BZ3/OFFSET(ParoRegCLM!$A$2,MATCH(BZ$29,ParoRegCLM!$A$2:$A$500)+$A30-1,1)-1)</f>
        <v>8.3663948181929015E-3</v>
      </c>
      <c r="CA30" s="9">
        <f ca="1">IF(OR(CA3="",CA$28&lt;$A30),"",CA3/OFFSET(ParoRegCLM!$A$2,MATCH(CA$29,ParoRegCLM!$A$2:$A$500)+$A30-1,1)-1)</f>
        <v>-6.4607861371795972E-3</v>
      </c>
      <c r="CB30" s="9">
        <f ca="1">IF(OR(CB3="",CB$28&lt;$A30),"",CB3/OFFSET(ParoRegCLM!$A$2,MATCH(CB$29,ParoRegCLM!$A$2:$A$500)+$A30-1,1)-1)</f>
        <v>1.2493037593127365E-2</v>
      </c>
      <c r="CC30" s="9">
        <f ca="1">IF(OR(CC3="",CC$28&lt;$A30),"",CC3/OFFSET(ParoRegCLM!$A$2,MATCH(CC$29,ParoRegCLM!$A$2:$A$500)+$A30-1,1)-1)</f>
        <v>-8.2759861397753154E-3</v>
      </c>
      <c r="CD30" s="9">
        <f ca="1">IF(OR(CD3="",CD$28&lt;$A30),"",CD3/OFFSET(ParoRegCLM!$A$2,MATCH(CD$29,ParoRegCLM!$A$2:$A$500)+$A30-1,1)-1)</f>
        <v>2.798254586895732E-2</v>
      </c>
      <c r="CE30" s="9">
        <f ca="1">IF(OR(CE3="",CE$28&lt;$A30),"",CE3/OFFSET(ParoRegCLM!$A$2,MATCH(CE$29,ParoRegCLM!$A$2:$A$500)+$A30-1,1)-1)</f>
        <v>-2.1297033433894108E-2</v>
      </c>
      <c r="CF30" s="9">
        <f ca="1">IF(OR(CF3="",CF$28&lt;$A30),"",CF3/OFFSET(ParoRegCLM!$A$2,MATCH(CF$29,ParoRegCLM!$A$2:$A$500)+$A30-1,1)-1)</f>
        <v>1.655634768881864E-3</v>
      </c>
      <c r="CG30" s="9">
        <f ca="1">IF(OR(CG3="",CG$28&lt;$A30),"",CG3/OFFSET(ParoRegCLM!$A$2,MATCH(CG$29,ParoRegCLM!$A$2:$A$500)+$A30-1,1)-1)</f>
        <v>1.8402686618183006E-2</v>
      </c>
      <c r="CH30" s="9">
        <f ca="1">IF(OR(CH3="",CH$28&lt;$A30),"",CH3/OFFSET(ParoRegCLM!$A$2,MATCH(CH$29,ParoRegCLM!$A$2:$A$500)+$A30-1,1)-1)</f>
        <v>-1.0948234331722762E-2</v>
      </c>
      <c r="CI30" s="9">
        <f ca="1">IF(OR(CI3="",CI$28&lt;$A30),"",CI3/OFFSET(ParoRegCLM!$A$2,MATCH(CI$29,ParoRegCLM!$A$2:$A$500)+$A30-1,1)-1)</f>
        <v>2.2401717424325174E-3</v>
      </c>
      <c r="CJ30" s="9">
        <f ca="1">IF(OR(CJ3="",CJ$28&lt;$A30),"",CJ3/OFFSET(ParoRegCLM!$A$2,MATCH(CJ$29,ParoRegCLM!$A$2:$A$500)+$A30-1,1)-1)</f>
        <v>4.2167986444423544E-3</v>
      </c>
      <c r="CK30" s="9">
        <f ca="1">IF(OR(CK3="",CK$28&lt;$A30),"",CK3/OFFSET(ParoRegCLM!$A$2,MATCH(CK$29,ParoRegCLM!$A$2:$A$500)+$A30-1,1)-1)</f>
        <v>-2.3870721923481275E-3</v>
      </c>
      <c r="CL30" s="9">
        <f ca="1">IF(OR(CL3="",CL$28&lt;$A30),"",CL3/OFFSET(ParoRegCLM!$A$2,MATCH(CL$29,ParoRegCLM!$A$2:$A$500)+$A30-1,1)-1)</f>
        <v>-8.9968569148821675E-3</v>
      </c>
      <c r="CM30" s="9">
        <f ca="1">IF(OR(CM3="",CM$28&lt;$A30),"",CM3/OFFSET(ParoRegCLM!$A$2,MATCH(CM$29,ParoRegCLM!$A$2:$A$500)+$A30-1,1)-1)</f>
        <v>-9.9251892317621104E-3</v>
      </c>
      <c r="CN30" s="9">
        <f ca="1">IF(OR(CN3="",CN$28&lt;$A30),"",CN3/OFFSET(ParoRegCLM!$A$2,MATCH(CN$29,ParoRegCLM!$A$2:$A$500)+$A30-1,1)-1)</f>
        <v>-1.5476679569496055E-3</v>
      </c>
      <c r="CO30" s="9">
        <f ca="1">IF(OR(CO3="",CO$28&lt;$A30),"",CO3/OFFSET(ParoRegCLM!$A$2,MATCH(CO$29,ParoRegCLM!$A$2:$A$500)+$A30-1,1)-1)</f>
        <v>1.5280076534954778E-2</v>
      </c>
      <c r="CP30" s="9">
        <f ca="1">IF(OR(CP3="",CP$28&lt;$A30),"",CP3/OFFSET(ParoRegCLM!$A$2,MATCH(CP$29,ParoRegCLM!$A$2:$A$500)+$A30-1,1)-1)</f>
        <v>-1.1008159352850599E-2</v>
      </c>
      <c r="CQ30" s="9">
        <f ca="1">IF(OR(CQ3="",CQ$28&lt;$A30),"",CQ3/OFFSET(ParoRegCLM!$A$2,MATCH(CQ$29,ParoRegCLM!$A$2:$A$500)+$A30-1,1)-1)</f>
        <v>-2.0070621284973056E-2</v>
      </c>
      <c r="CR30" s="9">
        <f ca="1">IF(OR(CR3="",CR$28&lt;$A30),"",CR3/OFFSET(ParoRegCLM!$A$2,MATCH(CR$29,ParoRegCLM!$A$2:$A$500)+$A30-1,1)-1)</f>
        <v>9.2318967114626282E-3</v>
      </c>
      <c r="CS30" s="9">
        <f ca="1">IF(OR(CS3="",CS$28&lt;$A30),"",CS3/OFFSET(ParoRegCLM!$A$2,MATCH(CS$29,ParoRegCLM!$A$2:$A$500)+$A30-1,1)-1)</f>
        <v>1.9934828596954945E-2</v>
      </c>
      <c r="CT30" s="9">
        <f ca="1">IF(OR(CT3="",CT$28&lt;$A30),"",CT3/OFFSET(ParoRegCLM!$A$2,MATCH(CT$29,ParoRegCLM!$A$2:$A$500)+$A30-1,1)-1)</f>
        <v>-1.751310507703141E-2</v>
      </c>
      <c r="CU30" s="9">
        <f ca="1">IF(OR(CU3="",CU$28&lt;$A30),"",CU3/OFFSET(ParoRegCLM!$A$2,MATCH(CU$29,ParoRegCLM!$A$2:$A$500)+$A30-1,1)-1)</f>
        <v>-1.2526390966214884E-2</v>
      </c>
      <c r="CV30" s="9">
        <f ca="1">IF(OR(CV3="",CV$28&lt;$A30),"",CV3/OFFSET(ParoRegCLM!$A$2,MATCH(CV$29,ParoRegCLM!$A$2:$A$500)+$A30-1,1)-1)</f>
        <v>-7.5092803120130336E-3</v>
      </c>
      <c r="CW30" s="9">
        <f ca="1">IF(OR(CW3="",CW$28&lt;$A30),"",CW3/OFFSET(ParoRegCLM!$A$2,MATCH(CW$29,ParoRegCLM!$A$2:$A$500)+$A30-1,1)-1)</f>
        <v>-9.719745298032878E-3</v>
      </c>
      <c r="CX30" s="9">
        <f ca="1">IF(OR(CX3="",CX$28&lt;$A30),"",CX3/OFFSET(ParoRegCLM!$A$2,MATCH(CX$29,ParoRegCLM!$A$2:$A$500)+$A30-1,1)-1)</f>
        <v>4.2165730943555246E-4</v>
      </c>
      <c r="CY30" s="9">
        <f ca="1">IF(OR(CY3="",CY$28&lt;$A30),"",CY3/OFFSET(ParoRegCLM!$A$2,MATCH(CY$29,ParoRegCLM!$A$2:$A$500)+$A30-1,1)-1)</f>
        <v>9.6633784394744016E-3</v>
      </c>
      <c r="CZ30" s="9">
        <f ca="1">IF(OR(CZ3="",CZ$28&lt;$A30),"",CZ3/OFFSET(ParoRegCLM!$A$2,MATCH(CZ$29,ParoRegCLM!$A$2:$A$500)+$A30-1,1)-1)</f>
        <v>-2.1015188780781235E-2</v>
      </c>
      <c r="DA30" s="9">
        <f ca="1">IF(OR(DA3="",DA$28&lt;$A30),"",DA3/OFFSET(ParoRegCLM!$A$2,MATCH(DA$29,ParoRegCLM!$A$2:$A$500)+$A30-1,1)-1)</f>
        <v>9.4687969770859137E-3</v>
      </c>
      <c r="DB30" s="9">
        <f ca="1">IF(OR(DB3="",DB$28&lt;$A30),"",DB3/OFFSET(ParoRegCLM!$A$2,MATCH(DB$29,ParoRegCLM!$A$2:$A$500)+$A30-1,1)-1)</f>
        <v>3.6852283794045704E-2</v>
      </c>
      <c r="DC30" s="9">
        <f ca="1">IF(OR(DC3="",DC$28&lt;$A30),"",DC3/OFFSET(ParoRegCLM!$A$2,MATCH(DC$29,ParoRegCLM!$A$2:$A$500)+$A30-1,1)-1)</f>
        <v>-2.2268413115449026E-2</v>
      </c>
      <c r="DD30" s="9">
        <f ca="1">IF(OR(DD3="",DD$28&lt;$A30),"",DD3/OFFSET(ParoRegCLM!$A$2,MATCH(DD$29,ParoRegCLM!$A$2:$A$500)+$A30-1,1)-1)</f>
        <v>-8.8276924785635202E-3</v>
      </c>
      <c r="DE30" s="9">
        <f ca="1">IF(OR(DE3="",DE$28&lt;$A30),"",DE3/OFFSET(ParoRegCLM!$A$2,MATCH(DE$29,ParoRegCLM!$A$2:$A$500)+$A30-1,1)-1)</f>
        <v>1.870615098872519E-2</v>
      </c>
      <c r="DF30" s="9">
        <f ca="1">IF(OR(DF3="",DF$28&lt;$A30),"",DF3/OFFSET(ParoRegCLM!$A$2,MATCH(DF$29,ParoRegCLM!$A$2:$A$500)+$A30-1,1)-1)</f>
        <v>2.6437098098675005E-3</v>
      </c>
      <c r="DG30" s="9">
        <f ca="1">IF(OR(DG3="",DG$28&lt;$A30),"",DG3/OFFSET(ParoRegCLM!$A$2,MATCH(DG$29,ParoRegCLM!$A$2:$A$500)+$A30-1,1)-1)</f>
        <v>1.1465841583278014E-2</v>
      </c>
      <c r="DH30" s="9">
        <f ca="1">IF(OR(DH3="",DH$28&lt;$A30),"",DH3/OFFSET(ParoRegCLM!$A$2,MATCH(DH$29,ParoRegCLM!$A$2:$A$500)+$A30-1,1)-1)</f>
        <v>8.4144869222784191E-3</v>
      </c>
      <c r="DI30" s="9">
        <f ca="1">IF(OR(DI3="",DI$28&lt;$A30),"",DI3/OFFSET(ParoRegCLM!$A$2,MATCH(DI$29,ParoRegCLM!$A$2:$A$500)+$A30-1,1)-1)</f>
        <v>1.7046209832807468E-2</v>
      </c>
      <c r="DJ30" s="9">
        <f ca="1">IF(OR(DJ3="",DJ$28&lt;$A30),"",DJ3/OFFSET(ParoRegCLM!$A$2,MATCH(DJ$29,ParoRegCLM!$A$2:$A$500)+$A30-1,1)-1)</f>
        <v>8.2168756938560961E-5</v>
      </c>
      <c r="DK30" s="9">
        <f ca="1">IF(OR(DK3="",DK$28&lt;$A30),"",DK3/OFFSET(ParoRegCLM!$A$2,MATCH(DK$29,ParoRegCLM!$A$2:$A$500)+$A30-1,1)-1)</f>
        <v>3.9377205473676291E-3</v>
      </c>
      <c r="DL30" s="9">
        <f ca="1">IF(OR(DL3="",DL$28&lt;$A30),"",DL3/OFFSET(ParoRegCLM!$A$2,MATCH(DL$29,ParoRegCLM!$A$2:$A$500)+$A30-1,1)-1)</f>
        <v>-2.6656552669761524E-3</v>
      </c>
      <c r="DM30" s="9">
        <f ca="1">IF(OR(DM3="",DM$28&lt;$A30),"",DM3/OFFSET(ParoRegCLM!$A$2,MATCH(DM$29,ParoRegCLM!$A$2:$A$500)+$A30-1,1)-1)</f>
        <v>-6.6440474321494136E-4</v>
      </c>
      <c r="DN30" s="9">
        <f ca="1">IF(OR(DN3="",DN$28&lt;$A30),"",DN3/OFFSET(ParoRegCLM!$A$2,MATCH(DN$29,ParoRegCLM!$A$2:$A$500)+$A30-1,1)-1)</f>
        <v>2.6942720847271895E-2</v>
      </c>
      <c r="DO30" s="9">
        <f ca="1">IF(OR(DO3="",DO$28&lt;$A30),"",DO3/OFFSET(ParoRegCLM!$A$2,MATCH(DO$29,ParoRegCLM!$A$2:$A$500)+$A30-1,1)-1)</f>
        <v>-1.9305659900067162E-2</v>
      </c>
      <c r="DP30" s="9">
        <f ca="1">IF(OR(DP3="",DP$28&lt;$A30),"",DP3/OFFSET(ParoRegCLM!$A$2,MATCH(DP$29,ParoRegCLM!$A$2:$A$500)+$A30-1,1)-1)</f>
        <v>6.4786980841047281E-4</v>
      </c>
      <c r="DQ30" s="9">
        <f ca="1">IF(OR(DQ3="",DQ$28&lt;$A30),"",DQ3/OFFSET(ParoRegCLM!$A$2,MATCH(DQ$29,ParoRegCLM!$A$2:$A$500)+$A30-1,1)-1)</f>
        <v>2.8128162775211907E-2</v>
      </c>
      <c r="DR30" s="9">
        <f ca="1">IF(OR(DR3="",DR$28&lt;$A30),"",DR3/OFFSET(ParoRegCLM!$A$2,MATCH(DR$29,ParoRegCLM!$A$2:$A$500)+$A30-1,1)-1)</f>
        <v>3.232193193185573E-3</v>
      </c>
      <c r="DS30" s="9">
        <f ca="1">IF(OR(DS3="",DS$28&lt;$A30),"",DS3/OFFSET(ParoRegCLM!$A$2,MATCH(DS$29,ParoRegCLM!$A$2:$A$500)+$A30-1,1)-1)</f>
        <v>-4.2294757841944142E-3</v>
      </c>
      <c r="DT30" s="9">
        <f ca="1">IF(OR(DT3="",DT$28&lt;$A30),"",DT3/OFFSET(ParoRegCLM!$A$2,MATCH(DT$29,ParoRegCLM!$A$2:$A$500)+$A30-1,1)-1)</f>
        <v>-6.584014129043636E-3</v>
      </c>
      <c r="DU30" s="9">
        <f ca="1">IF(OR(DU3="",DU$28&lt;$A30),"",DU3/OFFSET(ParoRegCLM!$A$2,MATCH(DU$29,ParoRegCLM!$A$2:$A$500)+$A30-1,1)-1)</f>
        <v>1.6801779503217151E-3</v>
      </c>
      <c r="DV30" s="9">
        <f ca="1">IF(OR(DV3="",DV$28&lt;$A30),"",DV3/OFFSET(ParoRegCLM!$A$2,MATCH(DV$29,ParoRegCLM!$A$2:$A$500)+$A30-1,1)-1)</f>
        <v>-1.1201471821749021E-3</v>
      </c>
      <c r="DW30" s="9">
        <f ca="1">IF(OR(DW3="",DW$28&lt;$A30),"",DW3/OFFSET(ParoRegCLM!$A$2,MATCH(DW$29,ParoRegCLM!$A$2:$A$500)+$A30-1,1)-1)</f>
        <v>-9.6246855644535056E-3</v>
      </c>
      <c r="DX30" s="9">
        <f ca="1">IF(OR(DX3="",DX$28&lt;$A30),"",DX3/OFFSET(ParoRegCLM!$A$2,MATCH(DX$29,ParoRegCLM!$A$2:$A$500)+$A30-1,1)-1)</f>
        <v>-7.4544635254960578E-3</v>
      </c>
      <c r="DY30" s="9">
        <f ca="1">IF(OR(DY3="",DY$28&lt;$A30),"",DY3/OFFSET(ParoRegCLM!$A$2,MATCH(DY$29,ParoRegCLM!$A$2:$A$500)+$A30-1,1)-1)</f>
        <v>8.2747118925337038E-3</v>
      </c>
      <c r="DZ30" s="9">
        <f ca="1">IF(OR(DZ3="",DZ$28&lt;$A30),"",DZ3/OFFSET(ParoRegCLM!$A$2,MATCH(DZ$29,ParoRegCLM!$A$2:$A$500)+$A30-1,1)-1)</f>
        <v>4.9541397263799247E-3</v>
      </c>
      <c r="EA30" s="9">
        <f ca="1">IF(OR(EA3="",EA$28&lt;$A30),"",EA3/OFFSET(ParoRegCLM!$A$2,MATCH(EA$29,ParoRegCLM!$A$2:$A$500)+$A30-1,1)-1)</f>
        <v>-1.5470167703869997E-2</v>
      </c>
      <c r="EB30" s="9">
        <f ca="1">IF(OR(EB3="",EB$28&lt;$A30),"",EB3/OFFSET(ParoRegCLM!$A$2,MATCH(EB$29,ParoRegCLM!$A$2:$A$500)+$A30-1,1)-1)</f>
        <v>1.7666934111421284E-2</v>
      </c>
      <c r="EC30" s="9">
        <f ca="1">IF(OR(EC3="",EC$28&lt;$A30),"",EC3/OFFSET(ParoRegCLM!$A$2,MATCH(EC$29,ParoRegCLM!$A$2:$A$500)+$A30-1,1)-1)</f>
        <v>-1.1127213069216046E-2</v>
      </c>
      <c r="ED30" s="9">
        <f ca="1">IF(OR(ED3="",ED$28&lt;$A30),"",ED3/OFFSET(ParoRegCLM!$A$2,MATCH(ED$29,ParoRegCLM!$A$2:$A$500)+$A30-1,1)-1)</f>
        <v>3.9052951855036433E-3</v>
      </c>
      <c r="EE30" s="9">
        <f ca="1">IF(OR(EE3="",EE$28&lt;$A30),"",EE3/OFFSET(ParoRegCLM!$A$2,MATCH(EE$29,ParoRegCLM!$A$2:$A$500)+$A30-1,1)-1)</f>
        <v>7.0457814868818414E-3</v>
      </c>
      <c r="EF30" s="9">
        <f ca="1">IF(OR(EF3="",EF$28&lt;$A30),"",EF3/OFFSET(ParoRegCLM!$A$2,MATCH(EF$29,ParoRegCLM!$A$2:$A$500)+$A30-1,1)-1)</f>
        <v>2.4459194136805529E-4</v>
      </c>
      <c r="EG30" s="9">
        <f ca="1">IF(OR(EG3="",EG$28&lt;$A30),"",EG3/OFFSET(ParoRegCLM!$A$2,MATCH(EG$29,ParoRegCLM!$A$2:$A$500)+$A30-1,1)-1)</f>
        <v>2.0416095826298442E-2</v>
      </c>
      <c r="EH30" s="9">
        <f ca="1">IF(OR(EH3="",EH$28&lt;$A30),"",EH3/OFFSET(ParoRegCLM!$A$2,MATCH(EH$29,ParoRegCLM!$A$2:$A$500)+$A30-1,1)-1)</f>
        <v>-6.0690035799318975E-3</v>
      </c>
      <c r="EI30" s="9">
        <f ca="1">IF(OR(EI3="",EI$28&lt;$A30),"",EI3/OFFSET(ParoRegCLM!$A$2,MATCH(EI$29,ParoRegCLM!$A$2:$A$500)+$A30-1,1)-1)</f>
        <v>-1.2012564657435165E-2</v>
      </c>
      <c r="EJ30" s="9">
        <f ca="1">IF(OR(EJ3="",EJ$28&lt;$A30),"",EJ3/OFFSET(ParoRegCLM!$A$2,MATCH(EJ$29,ParoRegCLM!$A$2:$A$500)+$A30-1,1)-1)</f>
        <v>-1.9565175317539651E-2</v>
      </c>
      <c r="EK30" s="9">
        <f ca="1">IF(OR(EK3="",EK$28&lt;$A30),"",EK3/OFFSET(ParoRegCLM!$A$2,MATCH(EK$29,ParoRegCLM!$A$2:$A$500)+$A30-1,1)-1)</f>
        <v>-1.0010327908366534E-2</v>
      </c>
      <c r="EL30" s="9">
        <f ca="1">IF(OR(EL3="",EL$28&lt;$A30),"",EL3/OFFSET(ParoRegCLM!$A$2,MATCH(EL$29,ParoRegCLM!$A$2:$A$500)+$A30-1,1)-1)</f>
        <v>2.2217893602980432E-3</v>
      </c>
      <c r="EM30" s="9">
        <f ca="1">IF(OR(EM3="",EM$28&lt;$A30),"",EM3/OFFSET(ParoRegCLM!$A$2,MATCH(EM$29,ParoRegCLM!$A$2:$A$500)+$A30-1,1)-1)</f>
        <v>-1.8143968088206952E-2</v>
      </c>
      <c r="EN30" s="9">
        <f ca="1">IF(OR(EN3="",EN$28&lt;$A30),"",EN3/OFFSET(ParoRegCLM!$A$2,MATCH(EN$29,ParoRegCLM!$A$2:$A$500)+$A30-1,1)-1)</f>
        <v>1.3847092962517182E-2</v>
      </c>
      <c r="EO30" s="9">
        <f ca="1">IF(OR(EO3="",EO$28&lt;$A30),"",EO3/OFFSET(ParoRegCLM!$A$2,MATCH(EO$29,ParoRegCLM!$A$2:$A$500)+$A30-1,1)-1)</f>
        <v>-2.9525929510577642E-3</v>
      </c>
      <c r="EP30" s="9">
        <f ca="1">IF(OR(EP3="",EP$28&lt;$A30),"",EP3/OFFSET(ParoRegCLM!$A$2,MATCH(EP$29,ParoRegCLM!$A$2:$A$500)+$A30-1,1)-1)</f>
        <v>1.7268149949851708E-3</v>
      </c>
      <c r="EQ30" s="9">
        <f ca="1">IF(OR(EQ3="",EQ$28&lt;$A30),"",EQ3/OFFSET(ParoRegCLM!$A$2,MATCH(EQ$29,ParoRegCLM!$A$2:$A$500)+$A30-1,1)-1)</f>
        <v>-2.6333595261125442E-3</v>
      </c>
      <c r="ER30" s="9">
        <f ca="1">IF(OR(ER3="",ER$28&lt;$A30),"",ER3/OFFSET(ParoRegCLM!$A$2,MATCH(ER$29,ParoRegCLM!$A$2:$A$500)+$A30-1,1)-1)</f>
        <v>1.1093826917976557E-2</v>
      </c>
      <c r="ES30" s="9">
        <f ca="1">IF(OR(ES3="",ES$28&lt;$A30),"",ES3/OFFSET(ParoRegCLM!$A$2,MATCH(ES$29,ParoRegCLM!$A$2:$A$500)+$A30-1,1)-1)</f>
        <v>1.5390187529670252E-2</v>
      </c>
      <c r="ET30" s="9">
        <f ca="1">IF(OR(ET3="",ET$28&lt;$A30),"",ET3/OFFSET(ParoRegCLM!$A$2,MATCH(ET$29,ParoRegCLM!$A$2:$A$500)+$A30-1,1)-1)</f>
        <v>1.6977534519253767E-2</v>
      </c>
      <c r="EU30" s="9">
        <f ca="1">IF(OR(EU3="",EU$28&lt;$A30),"",EU3/OFFSET(ParoRegCLM!$A$2,MATCH(EU$29,ParoRegCLM!$A$2:$A$500)+$A30-1,1)-1)</f>
        <v>-1.3759020583996584E-3</v>
      </c>
      <c r="EV30" s="9">
        <f ca="1">IF(OR(EV3="",EV$28&lt;$A30),"",EV3/OFFSET(ParoRegCLM!$A$2,MATCH(EV$29,ParoRegCLM!$A$2:$A$500)+$A30-1,1)-1)</f>
        <v>-1.4988217641211499E-2</v>
      </c>
      <c r="EW30" s="9">
        <f ca="1">IF(OR(EW3="",EW$28&lt;$A30),"",EW3/OFFSET(ParoRegCLM!$A$2,MATCH(EW$29,ParoRegCLM!$A$2:$A$500)+$A30-1,1)-1)</f>
        <v>-1.1174320081824618E-2</v>
      </c>
      <c r="EX30" s="9">
        <f ca="1">IF(OR(EX3="",EX$28&lt;$A30),"",EX3/OFFSET(ParoRegCLM!$A$2,MATCH(EX$29,ParoRegCLM!$A$2:$A$500)+$A30-1,1)-1)</f>
        <v>4.3383382671733361E-3</v>
      </c>
      <c r="EY30" s="9">
        <f ca="1">IF(OR(EY3="",EY$28&lt;$A30),"",EY3/OFFSET(ParoRegCLM!$A$2,MATCH(EY$29,ParoRegCLM!$A$2:$A$500)+$A30-1,1)-1)</f>
        <v>-9.3745917989986882E-3</v>
      </c>
      <c r="EZ30" s="9">
        <f ca="1">IF(OR(EZ3="",EZ$28&lt;$A30),"",EZ3/OFFSET(ParoRegCLM!$A$2,MATCH(EZ$29,ParoRegCLM!$A$2:$A$500)+$A30-1,1)-1)</f>
        <v>-1.9702283089007899E-2</v>
      </c>
      <c r="FA30" s="9">
        <f ca="1">IF(OR(FA3="",FA$28&lt;$A30),"",FA3/OFFSET(ParoRegCLM!$A$2,MATCH(FA$29,ParoRegCLM!$A$2:$A$500)+$A30-1,1)-1)</f>
        <v>1.2600803461106036E-2</v>
      </c>
      <c r="FB30" s="9">
        <f ca="1">IF(OR(FB3="",FB$28&lt;$A30),"",FB3/OFFSET(ParoRegCLM!$A$2,MATCH(FB$29,ParoRegCLM!$A$2:$A$500)+$A30-1,1)-1)</f>
        <v>5.3821534236835333E-3</v>
      </c>
      <c r="FC30" s="9">
        <f ca="1">IF(OR(FC3="",FC$28&lt;$A30),"",FC3/OFFSET(ParoRegCLM!$A$2,MATCH(FC$29,ParoRegCLM!$A$2:$A$500)+$A30-1,1)-1)</f>
        <v>4.1125692436070338E-3</v>
      </c>
      <c r="FD30" s="9">
        <f ca="1">IF(OR(FD3="",FD$28&lt;$A30),"",FD3/OFFSET(ParoRegCLM!$A$2,MATCH(FD$29,ParoRegCLM!$A$2:$A$500)+$A30-1,1)-1)</f>
        <v>-3.7130328465091456E-3</v>
      </c>
      <c r="FE30" s="9">
        <f ca="1">IF(OR(FE3="",FE$28&lt;$A30),"",FE3/OFFSET(ParoRegCLM!$A$2,MATCH(FE$29,ParoRegCLM!$A$2:$A$500)+$A30-1,1)-1)</f>
        <v>-1.8492044973721478E-2</v>
      </c>
      <c r="FF30" s="9">
        <f ca="1">IF(OR(FF3="",FF$28&lt;$A30),"",FF3/OFFSET(ParoRegCLM!$A$2,MATCH(FF$29,ParoRegCLM!$A$2:$A$500)+$A30-1,1)-1)</f>
        <v>2.4089165418994529E-3</v>
      </c>
      <c r="FG30" s="9">
        <f ca="1">IF(OR(FG3="",FG$28&lt;$A30),"",FG3/OFFSET(ParoRegCLM!$A$2,MATCH(FG$29,ParoRegCLM!$A$2:$A$500)+$A30-1,1)-1)</f>
        <v>1.3928295002407554E-2</v>
      </c>
      <c r="FH30" s="9">
        <f ca="1">IF(OR(FH3="",FH$28&lt;$A30),"",FH3/OFFSET(ParoRegCLM!$A$2,MATCH(FH$29,ParoRegCLM!$A$2:$A$500)+$A30-1,1)-1)</f>
        <v>-4.2725046861387117E-3</v>
      </c>
      <c r="FI30" s="9">
        <f ca="1">IF(OR(FI3="",FI$28&lt;$A30),"",FI3/OFFSET(ParoRegCLM!$A$2,MATCH(FI$29,ParoRegCLM!$A$2:$A$500)+$A30-1,1)-1)</f>
        <v>4.8800014880021614E-3</v>
      </c>
      <c r="FJ30" s="9">
        <f ca="1">IF(OR(FJ3="",FJ$28&lt;$A30),"",FJ3/OFFSET(ParoRegCLM!$A$2,MATCH(FJ$29,ParoRegCLM!$A$2:$A$500)+$A30-1,1)-1)</f>
        <v>-2.5041043229527715E-2</v>
      </c>
      <c r="FK30" s="9">
        <f ca="1">IF(OR(FK3="",FK$28&lt;$A30),"",FK3/OFFSET(ParoRegCLM!$A$2,MATCH(FK$29,ParoRegCLM!$A$2:$A$500)+$A30-1,1)-1)</f>
        <v>4.8450764217919495E-2</v>
      </c>
      <c r="FL30" s="9">
        <f ca="1">IF(OR(FL3="",FL$28&lt;$A30),"",FL3/OFFSET(ParoRegCLM!$A$2,MATCH(FL$29,ParoRegCLM!$A$2:$A$500)+$A30-1,1)-1)</f>
        <v>4.310096617810899E-3</v>
      </c>
      <c r="FM30" s="9">
        <f ca="1">IF(OR(FM3="",FM$28&lt;$A30),"",FM3/OFFSET(ParoRegCLM!$A$2,MATCH(FM$29,ParoRegCLM!$A$2:$A$500)+$A30-1,1)-1)</f>
        <v>-1.4301604219246866E-2</v>
      </c>
      <c r="FN30" s="9">
        <f ca="1">IF(OR(FN3="",FN$28&lt;$A30),"",FN3/OFFSET(ParoRegCLM!$A$2,MATCH(FN$29,ParoRegCLM!$A$2:$A$500)+$A30-1,1)-1)</f>
        <v>-2.1952062519487558E-2</v>
      </c>
      <c r="FO30" s="9">
        <f ca="1">IF(OR(FO3="",FO$28&lt;$A30),"",FO3/OFFSET(ParoRegCLM!$A$2,MATCH(FO$29,ParoRegCLM!$A$2:$A$500)+$A30-1,1)-1)</f>
        <v>2.1776869864715831E-3</v>
      </c>
      <c r="FP30" s="9">
        <f ca="1">IF(OR(FP3="",FP$28&lt;$A30),"",FP3/OFFSET(ParoRegCLM!$A$2,MATCH(FP$29,ParoRegCLM!$A$2:$A$500)+$A30-1,1)-1)</f>
        <v>-1.0435590916362592E-2</v>
      </c>
      <c r="FQ30" s="9">
        <f ca="1">IF(OR(FQ3="",FQ$28&lt;$A30),"",FQ3/OFFSET(ParoRegCLM!$A$2,MATCH(FQ$29,ParoRegCLM!$A$2:$A$500)+$A30-1,1)-1)</f>
        <v>-1.2474580031758942E-2</v>
      </c>
      <c r="FR30" s="9">
        <f ca="1">IF(OR(FR3="",FR$28&lt;$A30),"",FR3/OFFSET(ParoRegCLM!$A$2,MATCH(FR$29,ParoRegCLM!$A$2:$A$500)+$A30-1,1)-1)</f>
        <v>-5.2509376739311442E-3</v>
      </c>
      <c r="FS30" s="9">
        <f ca="1">IF(OR(FS3="",FS$28&lt;$A30),"",FS3/OFFSET(ParoRegCLM!$A$2,MATCH(FS$29,ParoRegCLM!$A$2:$A$500)+$A30-1,1)-1)</f>
        <v>-4.0029432860136938E-3</v>
      </c>
      <c r="FT30" s="9">
        <f ca="1">IF(OR(FT3="",FT$28&lt;$A30),"",FT3/OFFSET(ParoRegCLM!$A$2,MATCH(FT$29,ParoRegCLM!$A$2:$A$500)+$A30-1,1)-1)</f>
        <v>1.4419302703389869E-2</v>
      </c>
      <c r="FU30" s="9">
        <f ca="1">IF(OR(FU3="",FU$28&lt;$A30),"",FU3/OFFSET(ParoRegCLM!$A$2,MATCH(FU$29,ParoRegCLM!$A$2:$A$500)+$A30-1,1)-1)</f>
        <v>-3.1519574968369435E-3</v>
      </c>
      <c r="FV30" s="9">
        <f ca="1">IF(OR(FV3="",FV$28&lt;$A30),"",FV3/OFFSET(ParoRegCLM!$A$2,MATCH(FV$29,ParoRegCLM!$A$2:$A$500)+$A30-1,1)-1)</f>
        <v>-5.1345231956486659E-3</v>
      </c>
      <c r="FW30" s="9">
        <f ca="1">IF(OR(FW3="",FW$28&lt;$A30),"",FW3/OFFSET(ParoRegCLM!$A$2,MATCH(FW$29,ParoRegCLM!$A$2:$A$500)+$A30-1,1)-1)</f>
        <v>2.3756923100069605E-2</v>
      </c>
      <c r="FX30" s="9">
        <f ca="1">IF(OR(FX3="",FX$28&lt;$A30),"",FX3/OFFSET(ParoRegCLM!$A$2,MATCH(FX$29,ParoRegCLM!$A$2:$A$500)+$A30-1,1)-1)</f>
        <v>2.918627954302111E-2</v>
      </c>
      <c r="FY30" s="9">
        <f ca="1">IF(OR(FY3="",FY$28&lt;$A30),"",FY3/OFFSET(ParoRegCLM!$A$2,MATCH(FY$29,ParoRegCLM!$A$2:$A$500)+$A30-1,1)-1)</f>
        <v>1.0911558188313908E-2</v>
      </c>
      <c r="FZ30" s="9">
        <f ca="1">IF(OR(FZ3="",FZ$28&lt;$A30),"",FZ3/OFFSET(ParoRegCLM!$A$2,MATCH(FZ$29,ParoRegCLM!$A$2:$A$500)+$A30-1,1)-1)</f>
        <v>-5.9538319389074168E-3</v>
      </c>
      <c r="GA30" s="9">
        <f ca="1">IF(OR(GA3="",GA$28&lt;$A30),"",GA3/OFFSET(ParoRegCLM!$A$2,MATCH(GA$29,ParoRegCLM!$A$2:$A$500)+$A30-1,1)-1)</f>
        <v>-4.5317740667005779E-3</v>
      </c>
      <c r="GB30" s="9">
        <f ca="1">IF(OR(GB3="",GB$28&lt;$A30),"",GB3/OFFSET(ParoRegCLM!$A$2,MATCH(GB$29,ParoRegCLM!$A$2:$A$500)+$A30-1,1)-1)</f>
        <v>-3.7016771950650895E-3</v>
      </c>
      <c r="GC30" s="9">
        <f ca="1">IF(OR(GC3="",GC$28&lt;$A30),"",GC3/OFFSET(ParoRegCLM!$A$2,MATCH(GC$29,ParoRegCLM!$A$2:$A$500)+$A30-1,1)-1)</f>
        <v>-1.983382374616216E-2</v>
      </c>
      <c r="GD30" s="9">
        <f ca="1">IF(OR(GD3="",GD$28&lt;$A30),"",GD3/OFFSET(ParoRegCLM!$A$2,MATCH(GD$29,ParoRegCLM!$A$2:$A$500)+$A30-1,1)-1)</f>
        <v>-1.9843655443701591E-2</v>
      </c>
      <c r="GE30" s="9">
        <f ca="1">IF(OR(GE3="",GE$28&lt;$A30),"",GE3/OFFSET(ParoRegCLM!$A$2,MATCH(GE$29,ParoRegCLM!$A$2:$A$500)+$A30-1,1)-1)</f>
        <v>-1.2378409057734463E-2</v>
      </c>
      <c r="GF30" s="9">
        <f ca="1">IF(OR(GF3="",GF$28&lt;$A30),"",GF3/OFFSET(ParoRegCLM!$A$2,MATCH(GF$29,ParoRegCLM!$A$2:$A$500)+$A30-1,1)-1)</f>
        <v>-3.7586587819811168E-3</v>
      </c>
      <c r="GG30" s="9">
        <f ca="1">IF(OR(GG3="",GG$28&lt;$A30),"",GG3/OFFSET(ParoRegCLM!$A$2,MATCH(GG$29,ParoRegCLM!$A$2:$A$500)+$A30-1,1)-1)</f>
        <v>-1.912011712616013E-3</v>
      </c>
      <c r="GH30" s="9">
        <f ca="1">IF(OR(GH3="",GH$28&lt;$A30),"",GH3/OFFSET(ParoRegCLM!$A$2,MATCH(GH$29,ParoRegCLM!$A$2:$A$500)+$A30-1,1)-1)</f>
        <v>-1.1503319162023851E-2</v>
      </c>
      <c r="GI30" s="9">
        <f ca="1">IF(OR(GI3="",GI$28&lt;$A30),"",GI3/OFFSET(ParoRegCLM!$A$2,MATCH(GI$29,ParoRegCLM!$A$2:$A$500)+$A30-1,1)-1)</f>
        <v>-1.806704794409697E-3</v>
      </c>
      <c r="GJ30" s="9">
        <f ca="1">IF(OR(GJ3="",GJ$28&lt;$A30),"",GJ3/OFFSET(ParoRegCLM!$A$2,MATCH(GJ$29,ParoRegCLM!$A$2:$A$500)+$A30-1,1)-1)</f>
        <v>1.0603093018270338E-2</v>
      </c>
      <c r="GK30" s="9">
        <f ca="1">IF(OR(GK3="",GK$28&lt;$A30),"",GK3/OFFSET(ParoRegCLM!$A$2,MATCH(GK$29,ParoRegCLM!$A$2:$A$500)+$A30-1,1)-1)</f>
        <v>-4.3707799444532291E-3</v>
      </c>
      <c r="GL30" s="9">
        <f ca="1">IF(OR(GL3="",GL$28&lt;$A30),"",GL3/OFFSET(ParoRegCLM!$A$2,MATCH(GL$29,ParoRegCLM!$A$2:$A$500)+$A30-1,1)-1)</f>
        <v>1.0572173802934071E-3</v>
      </c>
      <c r="GM30" s="9">
        <f ca="1">IF(OR(GM3="",GM$28&lt;$A30),"",GM3/OFFSET(ParoRegCLM!$A$2,MATCH(GM$29,ParoRegCLM!$A$2:$A$500)+$A30-1,1)-1)</f>
        <v>2.569195445662853E-2</v>
      </c>
      <c r="GN30" s="9">
        <f ca="1">IF(OR(GN3="",GN$28&lt;$A30),"",GN3/OFFSET(ParoRegCLM!$A$2,MATCH(GN$29,ParoRegCLM!$A$2:$A$500)+$A30-1,1)-1)</f>
        <v>-6.5916437122651272E-2</v>
      </c>
      <c r="GO30" s="9">
        <f ca="1">IF(OR(GO3="",GO$28&lt;$A30),"",GO3/OFFSET(ParoRegCLM!$A$2,MATCH(GO$29,ParoRegCLM!$A$2:$A$500)+$A30-1,1)-1)</f>
        <v>-6.2486869386080501E-2</v>
      </c>
      <c r="GP30" s="9">
        <f ca="1">IF(OR(GP3="",GP$28&lt;$A30),"",GP3/OFFSET(ParoRegCLM!$A$2,MATCH(GP$29,ParoRegCLM!$A$2:$A$500)+$A30-1,1)-1)</f>
        <v>2.1071428965490302E-2</v>
      </c>
      <c r="GQ30" s="9">
        <f ca="1">IF(OR(GQ3="",GQ$28&lt;$A30),"",GQ3/OFFSET(ParoRegCLM!$A$2,MATCH(GQ$29,ParoRegCLM!$A$2:$A$500)+$A30-1,1)-1)</f>
        <v>1.2153051689600458E-2</v>
      </c>
      <c r="GR30" s="9">
        <f ca="1">IF(OR(GR3="",GR$28&lt;$A30),"",GR3/OFFSET(ParoRegCLM!$A$2,MATCH(GR$29,ParoRegCLM!$A$2:$A$500)+$A30-1,1)-1)</f>
        <v>1.2713833228157556E-2</v>
      </c>
      <c r="GS30" s="9">
        <f ca="1">IF(OR(GS3="",GS$28&lt;$A30),"",GS3/OFFSET(ParoRegCLM!$A$2,MATCH(GS$29,ParoRegCLM!$A$2:$A$500)+$A30-1,1)-1)</f>
        <v>1.41219364124201E-2</v>
      </c>
      <c r="GT30" s="9">
        <f ca="1">IF(OR(GT3="",GT$28&lt;$A30),"",GT3/OFFSET(ParoRegCLM!$A$2,MATCH(GT$29,ParoRegCLM!$A$2:$A$500)+$A30-1,1)-1)</f>
        <v>2.4976666766087119E-2</v>
      </c>
      <c r="GU30" s="9">
        <f ca="1">IF(OR(GU3="",GU$28&lt;$A30),"",GU3/OFFSET(ParoRegCLM!$A$2,MATCH(GU$29,ParoRegCLM!$A$2:$A$500)+$A30-1,1)-1)</f>
        <v>6.8076555492040391E-3</v>
      </c>
      <c r="GV30" s="9">
        <f ca="1">IF(OR(GV3="",GV$28&lt;$A30),"",GV3/OFFSET(ParoRegCLM!$A$2,MATCH(GV$29,ParoRegCLM!$A$2:$A$500)+$A30-1,1)-1)</f>
        <v>7.0621697441346498E-3</v>
      </c>
      <c r="GW30" s="9">
        <f ca="1">IF(OR(GW3="",GW$28&lt;$A30),"",GW3/OFFSET(ParoRegCLM!$A$2,MATCH(GW$29,ParoRegCLM!$A$2:$A$500)+$A30-1,1)-1)</f>
        <v>-2.6030357220593658E-2</v>
      </c>
      <c r="GX30" s="9">
        <f ca="1">IF(OR(GX3="",GX$28&lt;$A30),"",GX3/OFFSET(ParoRegCLM!$A$2,MATCH(GX$29,ParoRegCLM!$A$2:$A$500)+$A30-1,1)-1)</f>
        <v>1.0559250518373586E-2</v>
      </c>
      <c r="GY30" s="9" t="str">
        <f ca="1">IF(OR(GY3="",GY$28&lt;$A30),"",GY3/OFFSET(ParoRegCLM!$A$2,MATCH(GY$29,ParoRegCLM!$A$2:$A$500)+$A30-1,1)-1)</f>
        <v/>
      </c>
      <c r="GZ30" s="9" t="str">
        <f ca="1">IF(OR(GZ3="",GZ$28&lt;$A30),"",GZ3/OFFSET(ParoRegCLM!$A$2,MATCH(GZ$29,ParoRegCLM!$A$2:$A$500)+$A30-1,1)-1)</f>
        <v/>
      </c>
      <c r="HA30" s="9" t="str">
        <f ca="1">IF(OR(HA3="",HA$28&lt;$A30),"",HA3/OFFSET(ParoRegCLM!$A$2,MATCH(HA$29,ParoRegCLM!$A$2:$A$500)+$A30-1,1)-1)</f>
        <v/>
      </c>
      <c r="HB30" s="9" t="str">
        <f ca="1">IF(OR(HB3="",HB$28&lt;$A30),"",HB3/OFFSET(ParoRegCLM!$A$2,MATCH(HB$29,ParoRegCLM!$A$2:$A$500)+$A30-1,1)-1)</f>
        <v/>
      </c>
      <c r="HC30" s="9" t="str">
        <f ca="1">IF(OR(HC3="",HC$28&lt;$A30),"",HC3/OFFSET(ParoRegCLM!$A$2,MATCH(HC$29,ParoRegCLM!$A$2:$A$500)+$A30-1,1)-1)</f>
        <v/>
      </c>
      <c r="HD30" s="9" t="str">
        <f ca="1">IF(OR(HD3="",HD$28&lt;$A30),"",HD3/OFFSET(ParoRegCLM!$A$2,MATCH(HD$29,ParoRegCLM!$A$2:$A$500)+$A30-1,1)-1)</f>
        <v/>
      </c>
      <c r="HE30" s="9" t="str">
        <f ca="1">IF(OR(HE3="",HE$28&lt;$A30),"",HE3/OFFSET(ParoRegCLM!$A$2,MATCH(HE$29,ParoRegCLM!$A$2:$A$500)+$A30-1,1)-1)</f>
        <v/>
      </c>
      <c r="HF30" s="9" t="str">
        <f ca="1">IF(OR(HF3="",HF$28&lt;$A30),"",HF3/OFFSET(ParoRegCLM!$A$2,MATCH(HF$29,ParoRegCLM!$A$2:$A$500)+$A30-1,1)-1)</f>
        <v/>
      </c>
      <c r="HG30" s="9" t="str">
        <f ca="1">IF(OR(HG3="",HG$28&lt;$A30),"",HG3/OFFSET(ParoRegCLM!$A$2,MATCH(HG$29,ParoRegCLM!$A$2:$A$500)+$A30-1,1)-1)</f>
        <v/>
      </c>
      <c r="HH30" s="9" t="str">
        <f ca="1">IF(OR(HH3="",HH$28&lt;$A30),"",HH3/OFFSET(ParoRegCLM!$A$2,MATCH(HH$29,ParoRegCLM!$A$2:$A$500)+$A30-1,1)-1)</f>
        <v/>
      </c>
      <c r="HI30" s="9" t="str">
        <f ca="1">IF(OR(HI3="",HI$28&lt;$A30),"",HI3/OFFSET(ParoRegCLM!$A$2,MATCH(HI$29,ParoRegCLM!$A$2:$A$500)+$A30-1,1)-1)</f>
        <v/>
      </c>
      <c r="HJ30" s="9" t="str">
        <f ca="1">IF(OR(HJ3="",HJ$28&lt;$A30),"",HJ3/OFFSET(ParoRegCLM!$A$2,MATCH(HJ$29,ParoRegCLM!$A$2:$A$500)+$A30-1,1)-1)</f>
        <v/>
      </c>
      <c r="HK30" s="9" t="str">
        <f ca="1">IF(OR(HK3="",HK$28&lt;$A30),"",HK3/OFFSET(ParoRegCLM!$A$2,MATCH(HK$29,ParoRegCLM!$A$2:$A$500)+$A30-1,1)-1)</f>
        <v/>
      </c>
      <c r="HL30" s="9" t="str">
        <f ca="1">IF(OR(HL3="",HL$28&lt;$A30),"",HL3/OFFSET(ParoRegCLM!$A$2,MATCH(HL$29,ParoRegCLM!$A$2:$A$500)+$A30-1,1)-1)</f>
        <v/>
      </c>
      <c r="HM30" s="9" t="str">
        <f ca="1">IF(OR(HM3="",HM$28&lt;$A30),"",HM3/OFFSET(ParoRegCLM!$A$2,MATCH(HM$29,ParoRegCLM!$A$2:$A$500)+$A30-1,1)-1)</f>
        <v/>
      </c>
      <c r="HN30" s="9" t="str">
        <f ca="1">IF(OR(HN3="",HN$28&lt;$A30),"",HN3/OFFSET(ParoRegCLM!$A$2,MATCH(HN$29,ParoRegCLM!$A$2:$A$500)+$A30-1,1)-1)</f>
        <v/>
      </c>
      <c r="HO30" s="9" t="str">
        <f ca="1">IF(OR(HO3="",HO$28&lt;$A30),"",HO3/OFFSET(ParoRegCLM!$A$2,MATCH(HO$29,ParoRegCLM!$A$2:$A$500)+$A30-1,1)-1)</f>
        <v/>
      </c>
      <c r="HP30" s="9" t="str">
        <f ca="1">IF(OR(HP3="",HP$28&lt;$A30),"",HP3/OFFSET(ParoRegCLM!$A$2,MATCH(HP$29,ParoRegCLM!$A$2:$A$500)+$A30-1,1)-1)</f>
        <v/>
      </c>
      <c r="HQ30" s="9" t="str">
        <f ca="1">IF(OR(HQ3="",HQ$28&lt;$A30),"",HQ3/OFFSET(ParoRegCLM!$A$2,MATCH(HQ$29,ParoRegCLM!$A$2:$A$500)+$A30-1,1)-1)</f>
        <v/>
      </c>
      <c r="HR30" s="9" t="str">
        <f ca="1">IF(OR(HR3="",HR$28&lt;$A30),"",HR3/OFFSET(ParoRegCLM!$A$2,MATCH(HR$29,ParoRegCLM!$A$2:$A$500)+$A30-1,1)-1)</f>
        <v/>
      </c>
      <c r="HS30" s="9" t="str">
        <f ca="1">IF(OR(HS3="",HS$28&lt;$A30),"",HS3/OFFSET(ParoRegCLM!$A$2,MATCH(HS$29,ParoRegCLM!$A$2:$A$500)+$A30-1,1)-1)</f>
        <v/>
      </c>
      <c r="HT30" s="9" t="str">
        <f ca="1">IF(OR(HT3="",HT$28&lt;$A30),"",HT3/OFFSET(ParoRegCLM!$A$2,MATCH(HT$29,ParoRegCLM!$A$2:$A$500)+$A30-1,1)-1)</f>
        <v/>
      </c>
      <c r="HU30" s="9" t="str">
        <f ca="1">IF(OR(HU3="",HU$28&lt;$A30),"",HU3/OFFSET(ParoRegCLM!$A$2,MATCH(HU$29,ParoRegCLM!$A$2:$A$500)+$A30-1,1)-1)</f>
        <v/>
      </c>
      <c r="HV30" s="9" t="str">
        <f ca="1">IF(OR(HV3="",HV$28&lt;$A30),"",HV3/OFFSET(ParoRegCLM!$A$2,MATCH(HV$29,ParoRegCLM!$A$2:$A$500)+$A30-1,1)-1)</f>
        <v/>
      </c>
      <c r="HW30" s="9" t="str">
        <f ca="1">IF(OR(HW3="",HW$28&lt;$A30),"",HW3/OFFSET(ParoRegCLM!$A$2,MATCH(HW$29,ParoRegCLM!$A$2:$A$500)+$A30-1,1)-1)</f>
        <v/>
      </c>
      <c r="HX30" s="9" t="str">
        <f ca="1">IF(OR(HX3="",HX$28&lt;$A30),"",HX3/OFFSET(ParoRegCLM!$A$2,MATCH(HX$29,ParoRegCLM!$A$2:$A$500)+$A30-1,1)-1)</f>
        <v/>
      </c>
      <c r="HY30" s="9" t="str">
        <f ca="1">IF(OR(HY3="",HY$28&lt;$A30),"",HY3/OFFSET(ParoRegCLM!$A$2,MATCH(HY$29,ParoRegCLM!$A$2:$A$500)+$A30-1,1)-1)</f>
        <v/>
      </c>
      <c r="HZ30" s="9" t="str">
        <f ca="1">IF(OR(HZ3="",HZ$28&lt;$A30),"",HZ3/OFFSET(ParoRegCLM!$A$2,MATCH(HZ$29,ParoRegCLM!$A$2:$A$500)+$A30-1,1)-1)</f>
        <v/>
      </c>
      <c r="IA30" s="9" t="str">
        <f ca="1">IF(OR(IA3="",IA$28&lt;$A30),"",IA3/OFFSET(ParoRegCLM!$A$2,MATCH(IA$29,ParoRegCLM!$A$2:$A$500)+$A30-1,1)-1)</f>
        <v/>
      </c>
      <c r="IB30" s="9" t="str">
        <f ca="1">IF(OR(IB3="",IB$28&lt;$A30),"",IB3/OFFSET(ParoRegCLM!$A$2,MATCH(IB$29,ParoRegCLM!$A$2:$A$500)+$A30-1,1)-1)</f>
        <v/>
      </c>
      <c r="IC30" s="9" t="str">
        <f ca="1">IF(OR(IC3="",IC$28&lt;$A30),"",IC3/OFFSET(ParoRegCLM!$A$2,MATCH(IC$29,ParoRegCLM!$A$2:$A$500)+$A30-1,1)-1)</f>
        <v/>
      </c>
      <c r="ID30" s="9" t="str">
        <f ca="1">IF(OR(ID3="",ID$28&lt;$A30),"",ID3/OFFSET(ParoRegCLM!$A$2,MATCH(ID$29,ParoRegCLM!$A$2:$A$500)+$A30-1,1)-1)</f>
        <v/>
      </c>
      <c r="IE30" s="9" t="str">
        <f ca="1">IF(OR(IE3="",IE$28&lt;$A30),"",IE3/OFFSET(ParoRegCLM!$A$2,MATCH(IE$29,ParoRegCLM!$A$2:$A$500)+$A30-1,1)-1)</f>
        <v/>
      </c>
      <c r="IF30" s="9" t="str">
        <f ca="1">IF(OR(IF3="",IF$28&lt;$A30),"",IF3/OFFSET(ParoRegCLM!$A$2,MATCH(IF$29,ParoRegCLM!$A$2:$A$500)+$A30-1,1)-1)</f>
        <v/>
      </c>
      <c r="IG30" s="9" t="str">
        <f ca="1">IF(OR(IG3="",IG$28&lt;$A30),"",IG3/OFFSET(ParoRegCLM!$A$2,MATCH(IG$29,ParoRegCLM!$A$2:$A$500)+$A30-1,1)-1)</f>
        <v/>
      </c>
      <c r="IH30" s="9" t="str">
        <f ca="1">IF(OR(IH3="",IH$28&lt;$A30),"",IH3/OFFSET(ParoRegCLM!$A$2,MATCH(IH$29,ParoRegCLM!$A$2:$A$500)+$A30-1,1)-1)</f>
        <v/>
      </c>
      <c r="II30" s="9" t="str">
        <f ca="1">IF(OR(II3="",II$28&lt;$A30),"",II3/OFFSET(ParoRegCLM!$A$2,MATCH(II$29,ParoRegCLM!$A$2:$A$500)+$A30-1,1)-1)</f>
        <v/>
      </c>
      <c r="IJ30" s="9" t="str">
        <f ca="1">IF(OR(IJ3="",IJ$28&lt;$A30),"",IJ3/OFFSET(ParoRegCLM!$A$2,MATCH(IJ$29,ParoRegCLM!$A$2:$A$500)+$A30-1,1)-1)</f>
        <v/>
      </c>
      <c r="IK30" s="9" t="str">
        <f ca="1">IF(OR(IK3="",IK$28&lt;$A30),"",IK3/OFFSET(ParoRegCLM!$A$2,MATCH(IK$29,ParoRegCLM!$A$2:$A$500)+$A30-1,1)-1)</f>
        <v/>
      </c>
      <c r="IL30" s="9" t="str">
        <f ca="1">IF(OR(IL3="",IL$28&lt;$A30),"",IL3/OFFSET(ParoRegCLM!$A$2,MATCH(IL$29,ParoRegCLM!$A$2:$A$500)+$A30-1,1)-1)</f>
        <v/>
      </c>
      <c r="IM30" s="9" t="str">
        <f ca="1">IF(OR(IM3="",IM$28&lt;$A30),"",IM3/OFFSET(ParoRegCLM!$A$2,MATCH(IM$29,ParoRegCLM!$A$2:$A$500)+$A30-1,1)-1)</f>
        <v/>
      </c>
      <c r="IN30" s="9" t="str">
        <f ca="1">IF(OR(IN3="",IN$28&lt;$A30),"",IN3/OFFSET(ParoRegCLM!$A$2,MATCH(IN$29,ParoRegCLM!$A$2:$A$500)+$A30-1,1)-1)</f>
        <v/>
      </c>
      <c r="IO30" s="9" t="str">
        <f ca="1">IF(OR(IO3="",IO$28&lt;$A30),"",IO3/OFFSET(ParoRegCLM!$A$2,MATCH(IO$29,ParoRegCLM!$A$2:$A$500)+$A30-1,1)-1)</f>
        <v/>
      </c>
      <c r="IP30" s="9" t="str">
        <f ca="1">IF(OR(IP3="",IP$28&lt;$A30),"",IP3/OFFSET(ParoRegCLM!$A$2,MATCH(IP$29,ParoRegCLM!$A$2:$A$500)+$A30-1,1)-1)</f>
        <v/>
      </c>
      <c r="IQ30" s="9" t="str">
        <f ca="1">IF(OR(IQ3="",IQ$28&lt;$A30),"",IQ3/OFFSET(ParoRegCLM!$A$2,MATCH(IQ$29,ParoRegCLM!$A$2:$A$500)+$A30-1,1)-1)</f>
        <v/>
      </c>
      <c r="IR30" s="9" t="str">
        <f ca="1">IF(OR(IR3="",IR$28&lt;$A30),"",IR3/OFFSET(ParoRegCLM!$A$2,MATCH(IR$29,ParoRegCLM!$A$2:$A$500)+$A30-1,1)-1)</f>
        <v/>
      </c>
      <c r="IS30" s="9" t="str">
        <f ca="1">IF(OR(IS3="",IS$28&lt;$A30),"",IS3/OFFSET(ParoRegCLM!$A$2,MATCH(IS$29,ParoRegCLM!$A$2:$A$500)+$A30-1,1)-1)</f>
        <v/>
      </c>
      <c r="IT30" s="9" t="str">
        <f ca="1">IF(OR(IT3="",IT$28&lt;$A30),"",IT3/OFFSET(ParoRegCLM!$A$2,MATCH(IT$29,ParoRegCLM!$A$2:$A$500)+$A30-1,1)-1)</f>
        <v/>
      </c>
      <c r="IU30" s="9" t="str">
        <f ca="1">IF(OR(IU3="",IU$28&lt;$A30),"",IU3/OFFSET(ParoRegCLM!$A$2,MATCH(IU$29,ParoRegCLM!$A$2:$A$500)+$A30-1,1)-1)</f>
        <v/>
      </c>
      <c r="IV30" s="9" t="str">
        <f ca="1">IF(OR(IV3="",IV$28&lt;$A30),"",IV3/OFFSET(ParoRegCLM!$A$2,MATCH(IV$29,ParoRegCLM!$A$2:$A$500)+$A30-1,1)-1)</f>
        <v/>
      </c>
      <c r="IW30" s="9" t="str">
        <f ca="1">IF(OR(IW3="",IW$28&lt;$A30),"",IW3/OFFSET(ParoRegCLM!$A$2,MATCH(IW$29,ParoRegCLM!$A$2:$A$500)+$A30-1,1)-1)</f>
        <v/>
      </c>
      <c r="IX30" s="9" t="str">
        <f ca="1">IF(OR(IX3="",IX$28&lt;$A30),"",IX3/OFFSET(ParoRegCLM!$A$2,MATCH(IX$29,ParoRegCLM!$A$2:$A$500)+$A30-1,1)-1)</f>
        <v/>
      </c>
      <c r="IY30" s="9" t="str">
        <f ca="1">IF(OR(IY3="",IY$28&lt;$A30),"",IY3/OFFSET(ParoRegCLM!$A$2,MATCH(IY$29,ParoRegCLM!$A$2:$A$500)+$A30-1,1)-1)</f>
        <v/>
      </c>
      <c r="IZ30" s="9" t="str">
        <f ca="1">IF(OR(IZ3="",IZ$28&lt;$A30),"",IZ3/OFFSET(ParoRegCLM!$A$2,MATCH(IZ$29,ParoRegCLM!$A$2:$A$500)+$A30-1,1)-1)</f>
        <v/>
      </c>
      <c r="JA30" s="9" t="str">
        <f ca="1">IF(OR(JA3="",JA$28&lt;$A30),"",JA3/OFFSET(ParoRegCLM!$A$2,MATCH(JA$29,ParoRegCLM!$A$2:$A$500)+$A30-1,1)-1)</f>
        <v/>
      </c>
      <c r="JB30" s="9" t="str">
        <f ca="1">IF(OR(JB3="",JB$28&lt;$A30),"",JB3/OFFSET(ParoRegCLM!$A$2,MATCH(JB$29,ParoRegCLM!$A$2:$A$500)+$A30-1,1)-1)</f>
        <v/>
      </c>
      <c r="JC30" s="9" t="str">
        <f ca="1">IF(OR(JC3="",JC$28&lt;$A30),"",JC3/OFFSET(ParoRegCLM!$A$2,MATCH(JC$29,ParoRegCLM!$A$2:$A$500)+$A30-1,1)-1)</f>
        <v/>
      </c>
      <c r="JD30" s="9" t="str">
        <f ca="1">IF(OR(JD3="",JD$28&lt;$A30),"",JD3/OFFSET(ParoRegCLM!$A$2,MATCH(JD$29,ParoRegCLM!$A$2:$A$500)+$A30-1,1)-1)</f>
        <v/>
      </c>
      <c r="JE30" s="9" t="str">
        <f ca="1">IF(OR(JE3="",JE$28&lt;$A30),"",JE3/OFFSET(ParoRegCLM!$A$2,MATCH(JE$29,ParoRegCLM!$A$2:$A$500)+$A30-1,1)-1)</f>
        <v/>
      </c>
      <c r="JF30" s="9" t="str">
        <f ca="1">IF(OR(JF3="",JF$28&lt;$A30),"",JF3/OFFSET(ParoRegCLM!$A$2,MATCH(JF$29,ParoRegCLM!$A$2:$A$500)+$A30-1,1)-1)</f>
        <v/>
      </c>
      <c r="JG30" s="9" t="str">
        <f ca="1">IF(OR(JG3="",JG$28&lt;$A30),"",JG3/OFFSET(ParoRegCLM!$A$2,MATCH(JG$29,ParoRegCLM!$A$2:$A$500)+$A30-1,1)-1)</f>
        <v/>
      </c>
      <c r="JH30" s="9" t="str">
        <f ca="1">IF(OR(JH3="",JH$28&lt;$A30),"",JH3/OFFSET(ParoRegCLM!$A$2,MATCH(JH$29,ParoRegCLM!$A$2:$A$500)+$A30-1,1)-1)</f>
        <v/>
      </c>
      <c r="JI30" s="13">
        <f t="shared" ref="JI30:JI41" ca="1" si="14">AVERAGE(OFFSET($B30,0,Inicio-1,1,Amplitud))</f>
        <v>-1.4397332351122191E-3</v>
      </c>
      <c r="JJ30" s="13">
        <f t="shared" ref="JJ30:JJ41" ca="1" si="15">MEDIAN(OFFSET($B30,0,Inicio-1,1,Amplitud))</f>
        <v>-2.5319846047264782E-3</v>
      </c>
      <c r="JK30" s="14">
        <f t="shared" ref="JK30:JK41" ca="1" si="16">VARP(OFFSET($B30,0,Inicio-1,1,Amplitud))</f>
        <v>4.2870265493178533E-4</v>
      </c>
      <c r="JL30" s="17">
        <f ca="1">SQRT(JK30)</f>
        <v>2.0705135955404526E-2</v>
      </c>
      <c r="JM30" s="15" t="str">
        <f t="shared" ref="JM30:JM41" ca="1" si="17">CONCATENATE("[ ",TEXT(JI30-2*JL30,"0,00%")," ; ",TEXT(JI30+2*JL30,"0,00%")," ]")</f>
        <v>[ -4,29% ; 4,00% ]</v>
      </c>
      <c r="JN30" s="17">
        <f t="shared" ref="JN30:JN41" ca="1" si="18">JL30*JN$29</f>
        <v>2.6502574022917794E-2</v>
      </c>
      <c r="LY30" s="1"/>
    </row>
    <row r="31" spans="1:337" x14ac:dyDescent="0.25">
      <c r="A31" s="4">
        <v>2</v>
      </c>
      <c r="B31" s="9">
        <f ca="1">IF(OR(B4="",B$28&lt;$A31),"",B4/OFFSET(ParoRegCLM!$A$2,MATCH(B$29,ParoRegCLM!$A$2:$A$500)+$A31-1,1)-1)</f>
        <v>1.8052264353664027E-2</v>
      </c>
      <c r="C31" s="9">
        <f ca="1">IF(OR(C4="",C$28&lt;$A31),"",C4/OFFSET(ParoRegCLM!$A$2,MATCH(C$29,ParoRegCLM!$A$2:$A$500)+$A31-1,1)-1)</f>
        <v>-5.0181615748599029E-3</v>
      </c>
      <c r="D31" s="9">
        <f ca="1">IF(OR(D4="",D$28&lt;$A31),"",D4/OFFSET(ParoRegCLM!$A$2,MATCH(D$29,ParoRegCLM!$A$2:$A$500)+$A31-1,1)-1)</f>
        <v>-5.0385163494264362E-2</v>
      </c>
      <c r="E31" s="9">
        <f ca="1">IF(OR(E4="",E$28&lt;$A31),"",E4/OFFSET(ParoRegCLM!$A$2,MATCH(E$29,ParoRegCLM!$A$2:$A$500)+$A31-1,1)-1)</f>
        <v>-1.6177077106104276E-2</v>
      </c>
      <c r="F31" s="9">
        <f ca="1">IF(OR(F4="",F$28&lt;$A31),"",F4/OFFSET(ParoRegCLM!$A$2,MATCH(F$29,ParoRegCLM!$A$2:$A$500)+$A31-1,1)-1)</f>
        <v>3.8949348816757823E-2</v>
      </c>
      <c r="G31" s="9">
        <f ca="1">IF(OR(G4="",G$28&lt;$A31),"",G4/OFFSET(ParoRegCLM!$A$2,MATCH(G$29,ParoRegCLM!$A$2:$A$500)+$A31-1,1)-1)</f>
        <v>4.8207063686183549E-2</v>
      </c>
      <c r="H31" s="9">
        <f ca="1">IF(OR(H4="",H$28&lt;$A31),"",H4/OFFSET(ParoRegCLM!$A$2,MATCH(H$29,ParoRegCLM!$A$2:$A$500)+$A31-1,1)-1)</f>
        <v>1.8956509731352433E-2</v>
      </c>
      <c r="I31" s="9">
        <f ca="1">IF(OR(I4="",I$28&lt;$A31),"",I4/OFFSET(ParoRegCLM!$A$2,MATCH(I$29,ParoRegCLM!$A$2:$A$500)+$A31-1,1)-1)</f>
        <v>1.8046993421261259E-2</v>
      </c>
      <c r="J31" s="9">
        <f ca="1">IF(OR(J4="",J$28&lt;$A31),"",J4/OFFSET(ParoRegCLM!$A$2,MATCH(J$29,ParoRegCLM!$A$2:$A$500)+$A31-1,1)-1)</f>
        <v>1.7791030270191355E-2</v>
      </c>
      <c r="K31" s="9">
        <f ca="1">IF(OR(K4="",K$28&lt;$A31),"",K4/OFFSET(ParoRegCLM!$A$2,MATCH(K$29,ParoRegCLM!$A$2:$A$500)+$A31-1,1)-1)</f>
        <v>-1.0801403508405194E-2</v>
      </c>
      <c r="L31" s="9">
        <f ca="1">IF(OR(L4="",L$28&lt;$A31),"",L4/OFFSET(ParoRegCLM!$A$2,MATCH(L$29,ParoRegCLM!$A$2:$A$500)+$A31-1,1)-1)</f>
        <v>-5.2563074790731301E-3</v>
      </c>
      <c r="M31" s="9">
        <f ca="1">IF(OR(M4="",M$28&lt;$A31),"",M4/OFFSET(ParoRegCLM!$A$2,MATCH(M$29,ParoRegCLM!$A$2:$A$500)+$A31-1,1)-1)</f>
        <v>-1.5640995755215492E-2</v>
      </c>
      <c r="N31" s="9">
        <f ca="1">IF(OR(N4="",N$28&lt;$A31),"",N4/OFFSET(ParoRegCLM!$A$2,MATCH(N$29,ParoRegCLM!$A$2:$A$500)+$A31-1,1)-1)</f>
        <v>-6.8050735099034476E-4</v>
      </c>
      <c r="O31" s="9">
        <f ca="1">IF(OR(O4="",O$28&lt;$A31),"",O4/OFFSET(ParoRegCLM!$A$2,MATCH(O$29,ParoRegCLM!$A$2:$A$500)+$A31-1,1)-1)</f>
        <v>8.0092478457769456E-3</v>
      </c>
      <c r="P31" s="9">
        <f ca="1">IF(OR(P4="",P$28&lt;$A31),"",P4/OFFSET(ParoRegCLM!$A$2,MATCH(P$29,ParoRegCLM!$A$2:$A$500)+$A31-1,1)-1)</f>
        <v>-1.211601274706009E-2</v>
      </c>
      <c r="Q31" s="9">
        <f ca="1">IF(OR(Q4="",Q$28&lt;$A31),"",Q4/OFFSET(ParoRegCLM!$A$2,MATCH(Q$29,ParoRegCLM!$A$2:$A$500)+$A31-1,1)-1)</f>
        <v>1.1450887492829853E-3</v>
      </c>
      <c r="R31" s="9">
        <f ca="1">IF(OR(R4="",R$28&lt;$A31),"",R4/OFFSET(ParoRegCLM!$A$2,MATCH(R$29,ParoRegCLM!$A$2:$A$500)+$A31-1,1)-1)</f>
        <v>2.8198973543904993E-2</v>
      </c>
      <c r="S31" s="9">
        <f ca="1">IF(OR(S4="",S$28&lt;$A31),"",S4/OFFSET(ParoRegCLM!$A$2,MATCH(S$29,ParoRegCLM!$A$2:$A$500)+$A31-1,1)-1)</f>
        <v>1.4487497370641034E-2</v>
      </c>
      <c r="T31" s="9">
        <f ca="1">IF(OR(T4="",T$28&lt;$A31),"",T4/OFFSET(ParoRegCLM!$A$2,MATCH(T$29,ParoRegCLM!$A$2:$A$500)+$A31-1,1)-1)</f>
        <v>-1.9546913669309829E-2</v>
      </c>
      <c r="U31" s="9">
        <f ca="1">IF(OR(U4="",U$28&lt;$A31),"",U4/OFFSET(ParoRegCLM!$A$2,MATCH(U$29,ParoRegCLM!$A$2:$A$500)+$A31-1,1)-1)</f>
        <v>-5.0424665970411064E-3</v>
      </c>
      <c r="V31" s="9">
        <f ca="1">IF(OR(V4="",V$28&lt;$A31),"",V4/OFFSET(ParoRegCLM!$A$2,MATCH(V$29,ParoRegCLM!$A$2:$A$500)+$A31-1,1)-1)</f>
        <v>-2.1525497348535705E-3</v>
      </c>
      <c r="W31" s="9">
        <f ca="1">IF(OR(W4="",W$28&lt;$A31),"",W4/OFFSET(ParoRegCLM!$A$2,MATCH(W$29,ParoRegCLM!$A$2:$A$500)+$A31-1,1)-1)</f>
        <v>1.6713245781642794E-2</v>
      </c>
      <c r="X31" s="9">
        <f ca="1">IF(OR(X4="",X$28&lt;$A31),"",X4/OFFSET(ParoRegCLM!$A$2,MATCH(X$29,ParoRegCLM!$A$2:$A$500)+$A31-1,1)-1)</f>
        <v>3.1455929009798433E-2</v>
      </c>
      <c r="Y31" s="9">
        <f ca="1">IF(OR(Y4="",Y$28&lt;$A31),"",Y4/OFFSET(ParoRegCLM!$A$2,MATCH(Y$29,ParoRegCLM!$A$2:$A$500)+$A31-1,1)-1)</f>
        <v>2.1248186420472326E-2</v>
      </c>
      <c r="Z31" s="9">
        <f ca="1">IF(OR(Z4="",Z$28&lt;$A31),"",Z4/OFFSET(ParoRegCLM!$A$2,MATCH(Z$29,ParoRegCLM!$A$2:$A$500)+$A31-1,1)-1)</f>
        <v>1.7666296001030535E-2</v>
      </c>
      <c r="AA31" s="9">
        <f ca="1">IF(OR(AA4="",AA$28&lt;$A31),"",AA4/OFFSET(ParoRegCLM!$A$2,MATCH(AA$29,ParoRegCLM!$A$2:$A$500)+$A31-1,1)-1)</f>
        <v>2.3782034603483826E-2</v>
      </c>
      <c r="AB31" s="9">
        <f ca="1">IF(OR(AB4="",AB$28&lt;$A31),"",AB4/OFFSET(ParoRegCLM!$A$2,MATCH(AB$29,ParoRegCLM!$A$2:$A$500)+$A31-1,1)-1)</f>
        <v>2.5443793938930703E-2</v>
      </c>
      <c r="AC31" s="9">
        <f ca="1">IF(OR(AC4="",AC$28&lt;$A31),"",AC4/OFFSET(ParoRegCLM!$A$2,MATCH(AC$29,ParoRegCLM!$A$2:$A$500)+$A31-1,1)-1)</f>
        <v>2.0630547581410585E-3</v>
      </c>
      <c r="AD31" s="9">
        <f ca="1">IF(OR(AD4="",AD$28&lt;$A31),"",AD4/OFFSET(ParoRegCLM!$A$2,MATCH(AD$29,ParoRegCLM!$A$2:$A$500)+$A31-1,1)-1)</f>
        <v>-3.8685944292050634E-3</v>
      </c>
      <c r="AE31" s="9">
        <f ca="1">IF(OR(AE4="",AE$28&lt;$A31),"",AE4/OFFSET(ParoRegCLM!$A$2,MATCH(AE$29,ParoRegCLM!$A$2:$A$500)+$A31-1,1)-1)</f>
        <v>-7.8869340626026574E-3</v>
      </c>
      <c r="AF31" s="9">
        <f ca="1">IF(OR(AF4="",AF$28&lt;$A31),"",AF4/OFFSET(ParoRegCLM!$A$2,MATCH(AF$29,ParoRegCLM!$A$2:$A$500)+$A31-1,1)-1)</f>
        <v>-7.3293279686460489E-3</v>
      </c>
      <c r="AG31" s="9">
        <f ca="1">IF(OR(AG4="",AG$28&lt;$A31),"",AG4/OFFSET(ParoRegCLM!$A$2,MATCH(AG$29,ParoRegCLM!$A$2:$A$500)+$A31-1,1)-1)</f>
        <v>-1.8096278899396578E-3</v>
      </c>
      <c r="AH31" s="9">
        <f ca="1">IF(OR(AH4="",AH$28&lt;$A31),"",AH4/OFFSET(ParoRegCLM!$A$2,MATCH(AH$29,ParoRegCLM!$A$2:$A$500)+$A31-1,1)-1)</f>
        <v>8.8877925046397799E-3</v>
      </c>
      <c r="AI31" s="9">
        <f ca="1">IF(OR(AI4="",AI$28&lt;$A31),"",AI4/OFFSET(ParoRegCLM!$A$2,MATCH(AI$29,ParoRegCLM!$A$2:$A$500)+$A31-1,1)-1)</f>
        <v>2.2365061371520056E-2</v>
      </c>
      <c r="AJ31" s="9">
        <f ca="1">IF(OR(AJ4="",AJ$28&lt;$A31),"",AJ4/OFFSET(ParoRegCLM!$A$2,MATCH(AJ$29,ParoRegCLM!$A$2:$A$500)+$A31-1,1)-1)</f>
        <v>3.9715933683070803E-2</v>
      </c>
      <c r="AK31" s="9">
        <f ca="1">IF(OR(AK4="",AK$28&lt;$A31),"",AK4/OFFSET(ParoRegCLM!$A$2,MATCH(AK$29,ParoRegCLM!$A$2:$A$500)+$A31-1,1)-1)</f>
        <v>2.9955307847319368E-2</v>
      </c>
      <c r="AL31" s="9">
        <f ca="1">IF(OR(AL4="",AL$28&lt;$A31),"",AL4/OFFSET(ParoRegCLM!$A$2,MATCH(AL$29,ParoRegCLM!$A$2:$A$500)+$A31-1,1)-1)</f>
        <v>1.1486641029047062E-2</v>
      </c>
      <c r="AM31" s="9">
        <f ca="1">IF(OR(AM4="",AM$28&lt;$A31),"",AM4/OFFSET(ParoRegCLM!$A$2,MATCH(AM$29,ParoRegCLM!$A$2:$A$500)+$A31-1,1)-1)</f>
        <v>7.7034295525895136E-3</v>
      </c>
      <c r="AN31" s="9">
        <f ca="1">IF(OR(AN4="",AN$28&lt;$A31),"",AN4/OFFSET(ParoRegCLM!$A$2,MATCH(AN$29,ParoRegCLM!$A$2:$A$500)+$A31-1,1)-1)</f>
        <v>-1.374741406186919E-2</v>
      </c>
      <c r="AO31" s="9">
        <f ca="1">IF(OR(AO4="",AO$28&lt;$A31),"",AO4/OFFSET(ParoRegCLM!$A$2,MATCH(AO$29,ParoRegCLM!$A$2:$A$500)+$A31-1,1)-1)</f>
        <v>-2.724793001788306E-2</v>
      </c>
      <c r="AP31" s="9">
        <f ca="1">IF(OR(AP4="",AP$28&lt;$A31),"",AP4/OFFSET(ParoRegCLM!$A$2,MATCH(AP$29,ParoRegCLM!$A$2:$A$500)+$A31-1,1)-1)</f>
        <v>-2.3219292845211625E-2</v>
      </c>
      <c r="AQ31" s="9">
        <f ca="1">IF(OR(AQ4="",AQ$28&lt;$A31),"",AQ4/OFFSET(ParoRegCLM!$A$2,MATCH(AQ$29,ParoRegCLM!$A$2:$A$500)+$A31-1,1)-1)</f>
        <v>-3.6157662784343292E-2</v>
      </c>
      <c r="AR31" s="9">
        <f ca="1">IF(OR(AR4="",AR$28&lt;$A31),"",AR4/OFFSET(ParoRegCLM!$A$2,MATCH(AR$29,ParoRegCLM!$A$2:$A$500)+$A31-1,1)-1)</f>
        <v>-3.3448096786539816E-2</v>
      </c>
      <c r="AS31" s="9">
        <f ca="1">IF(OR(AS4="",AS$28&lt;$A31),"",AS4/OFFSET(ParoRegCLM!$A$2,MATCH(AS$29,ParoRegCLM!$A$2:$A$500)+$A31-1,1)-1)</f>
        <v>-1.2214412793835838E-2</v>
      </c>
      <c r="AT31" s="9">
        <f ca="1">IF(OR(AT4="",AT$28&lt;$A31),"",AT4/OFFSET(ParoRegCLM!$A$2,MATCH(AT$29,ParoRegCLM!$A$2:$A$500)+$A31-1,1)-1)</f>
        <v>1.8263379497389653E-3</v>
      </c>
      <c r="AU31" s="9">
        <f ca="1">IF(OR(AU4="",AU$28&lt;$A31),"",AU4/OFFSET(ParoRegCLM!$A$2,MATCH(AU$29,ParoRegCLM!$A$2:$A$500)+$A31-1,1)-1)</f>
        <v>-6.9750930360737984E-3</v>
      </c>
      <c r="AV31" s="9">
        <f ca="1">IF(OR(AV4="",AV$28&lt;$A31),"",AV4/OFFSET(ParoRegCLM!$A$2,MATCH(AV$29,ParoRegCLM!$A$2:$A$500)+$A31-1,1)-1)</f>
        <v>2.0251795476629031E-3</v>
      </c>
      <c r="AW31" s="9">
        <f ca="1">IF(OR(AW4="",AW$28&lt;$A31),"",AW4/OFFSET(ParoRegCLM!$A$2,MATCH(AW$29,ParoRegCLM!$A$2:$A$500)+$A31-1,1)-1)</f>
        <v>-1.4890291060607463E-2</v>
      </c>
      <c r="AX31" s="9">
        <f ca="1">IF(OR(AX4="",AX$28&lt;$A31),"",AX4/OFFSET(ParoRegCLM!$A$2,MATCH(AX$29,ParoRegCLM!$A$2:$A$500)+$A31-1,1)-1)</f>
        <v>-6.0900515600110228E-2</v>
      </c>
      <c r="AY31" s="9">
        <f ca="1">IF(OR(AY4="",AY$28&lt;$A31),"",AY4/OFFSET(ParoRegCLM!$A$2,MATCH(AY$29,ParoRegCLM!$A$2:$A$500)+$A31-1,1)-1)</f>
        <v>-4.7793304949247051E-2</v>
      </c>
      <c r="AZ31" s="9">
        <f ca="1">IF(OR(AZ4="",AZ$28&lt;$A31),"",AZ4/OFFSET(ParoRegCLM!$A$2,MATCH(AZ$29,ParoRegCLM!$A$2:$A$500)+$A31-1,1)-1)</f>
        <v>-4.910879314904526E-2</v>
      </c>
      <c r="BA31" s="9">
        <f ca="1">IF(OR(BA4="",BA$28&lt;$A31),"",BA4/OFFSET(ParoRegCLM!$A$2,MATCH(BA$29,ParoRegCLM!$A$2:$A$500)+$A31-1,1)-1)</f>
        <v>-7.668745690346257E-2</v>
      </c>
      <c r="BB31" s="9">
        <f ca="1">IF(OR(BB4="",BB$28&lt;$A31),"",BB4/OFFSET(ParoRegCLM!$A$2,MATCH(BB$29,ParoRegCLM!$A$2:$A$500)+$A31-1,1)-1)</f>
        <v>-5.7430184453539312E-2</v>
      </c>
      <c r="BC31" s="9">
        <f ca="1">IF(OR(BC4="",BC$28&lt;$A31),"",BC4/OFFSET(ParoRegCLM!$A$2,MATCH(BC$29,ParoRegCLM!$A$2:$A$500)+$A31-1,1)-1)</f>
        <v>-5.270354602478311E-2</v>
      </c>
      <c r="BD31" s="9">
        <f ca="1">IF(OR(BD4="",BD$28&lt;$A31),"",BD4/OFFSET(ParoRegCLM!$A$2,MATCH(BD$29,ParoRegCLM!$A$2:$A$500)+$A31-1,1)-1)</f>
        <v>-3.9920390625277857E-2</v>
      </c>
      <c r="BE31" s="9">
        <f ca="1">IF(OR(BE4="",BE$28&lt;$A31),"",BE4/OFFSET(ParoRegCLM!$A$2,MATCH(BE$29,ParoRegCLM!$A$2:$A$500)+$A31-1,1)-1)</f>
        <v>-1.5394493054217917E-2</v>
      </c>
      <c r="BF31" s="9">
        <f ca="1">IF(OR(BF4="",BF$28&lt;$A31),"",BF4/OFFSET(ParoRegCLM!$A$2,MATCH(BF$29,ParoRegCLM!$A$2:$A$500)+$A31-1,1)-1)</f>
        <v>-7.6789487209104168E-2</v>
      </c>
      <c r="BG31" s="9">
        <f ca="1">IF(OR(BG4="",BG$28&lt;$A31),"",BG4/OFFSET(ParoRegCLM!$A$2,MATCH(BG$29,ParoRegCLM!$A$2:$A$500)+$A31-1,1)-1)</f>
        <v>-0.11647750607699092</v>
      </c>
      <c r="BH31" s="9">
        <f ca="1">IF(OR(BH4="",BH$28&lt;$A31),"",BH4/OFFSET(ParoRegCLM!$A$2,MATCH(BH$29,ParoRegCLM!$A$2:$A$500)+$A31-1,1)-1)</f>
        <v>-6.0959230616515869E-2</v>
      </c>
      <c r="BI31" s="9">
        <f ca="1">IF(OR(BI4="",BI$28&lt;$A31),"",BI4/OFFSET(ParoRegCLM!$A$2,MATCH(BI$29,ParoRegCLM!$A$2:$A$500)+$A31-1,1)-1)</f>
        <v>1.6313463113397653E-3</v>
      </c>
      <c r="BJ31" s="9">
        <f ca="1">IF(OR(BJ4="",BJ$28&lt;$A31),"",BJ4/OFFSET(ParoRegCLM!$A$2,MATCH(BJ$29,ParoRegCLM!$A$2:$A$500)+$A31-1,1)-1)</f>
        <v>1.2457095484592173E-2</v>
      </c>
      <c r="BK31" s="9">
        <f ca="1">IF(OR(BK4="",BK$28&lt;$A31),"",BK4/OFFSET(ParoRegCLM!$A$2,MATCH(BK$29,ParoRegCLM!$A$2:$A$500)+$A31-1,1)-1)</f>
        <v>-3.9204281605182967E-2</v>
      </c>
      <c r="BL31" s="9">
        <f ca="1">IF(OR(BL4="",BL$28&lt;$A31),"",BL4/OFFSET(ParoRegCLM!$A$2,MATCH(BL$29,ParoRegCLM!$A$2:$A$500)+$A31-1,1)-1)</f>
        <v>-1.851411864756225E-2</v>
      </c>
      <c r="BM31" s="9">
        <f ca="1">IF(OR(BM4="",BM$28&lt;$A31),"",BM4/OFFSET(ParoRegCLM!$A$2,MATCH(BM$29,ParoRegCLM!$A$2:$A$500)+$A31-1,1)-1)</f>
        <v>3.1167200311353449E-2</v>
      </c>
      <c r="BN31" s="9">
        <f ca="1">IF(OR(BN4="",BN$28&lt;$A31),"",BN4/OFFSET(ParoRegCLM!$A$2,MATCH(BN$29,ParoRegCLM!$A$2:$A$500)+$A31-1,1)-1)</f>
        <v>6.5839389292749795E-2</v>
      </c>
      <c r="BO31" s="9">
        <f ca="1">IF(OR(BO4="",BO$28&lt;$A31),"",BO4/OFFSET(ParoRegCLM!$A$2,MATCH(BO$29,ParoRegCLM!$A$2:$A$500)+$A31-1,1)-1)</f>
        <v>8.2028401272918661E-2</v>
      </c>
      <c r="BP31" s="9">
        <f ca="1">IF(OR(BP4="",BP$28&lt;$A31),"",BP4/OFFSET(ParoRegCLM!$A$2,MATCH(BP$29,ParoRegCLM!$A$2:$A$500)+$A31-1,1)-1)</f>
        <v>4.2749700381945477E-2</v>
      </c>
      <c r="BQ31" s="9">
        <f ca="1">IF(OR(BQ4="",BQ$28&lt;$A31),"",BQ4/OFFSET(ParoRegCLM!$A$2,MATCH(BQ$29,ParoRegCLM!$A$2:$A$500)+$A31-1,1)-1)</f>
        <v>3.4745667799438218E-2</v>
      </c>
      <c r="BR31" s="9">
        <f ca="1">IF(OR(BR4="",BR$28&lt;$A31),"",BR4/OFFSET(ParoRegCLM!$A$2,MATCH(BR$29,ParoRegCLM!$A$2:$A$500)+$A31-1,1)-1)</f>
        <v>-1.4183466390286004E-2</v>
      </c>
      <c r="BS31" s="9">
        <f ca="1">IF(OR(BS4="",BS$28&lt;$A31),"",BS4/OFFSET(ParoRegCLM!$A$2,MATCH(BS$29,ParoRegCLM!$A$2:$A$500)+$A31-1,1)-1)</f>
        <v>-2.5569618936194916E-2</v>
      </c>
      <c r="BT31" s="9">
        <f ca="1">IF(OR(BT4="",BT$28&lt;$A31),"",BT4/OFFSET(ParoRegCLM!$A$2,MATCH(BT$29,ParoRegCLM!$A$2:$A$500)+$A31-1,1)-1)</f>
        <v>4.4168050418788685E-2</v>
      </c>
      <c r="BU31" s="9">
        <f ca="1">IF(OR(BU4="",BU$28&lt;$A31),"",BU4/OFFSET(ParoRegCLM!$A$2,MATCH(BU$29,ParoRegCLM!$A$2:$A$500)+$A31-1,1)-1)</f>
        <v>1.2014597461251775E-4</v>
      </c>
      <c r="BV31" s="9">
        <f ca="1">IF(OR(BV4="",BV$28&lt;$A31),"",BV4/OFFSET(ParoRegCLM!$A$2,MATCH(BV$29,ParoRegCLM!$A$2:$A$500)+$A31-1,1)-1)</f>
        <v>6.5138140945455447E-3</v>
      </c>
      <c r="BW31" s="9">
        <f ca="1">IF(OR(BW4="",BW$28&lt;$A31),"",BW4/OFFSET(ParoRegCLM!$A$2,MATCH(BW$29,ParoRegCLM!$A$2:$A$500)+$A31-1,1)-1)</f>
        <v>-1.2945090771065981E-2</v>
      </c>
      <c r="BX31" s="9">
        <f ca="1">IF(OR(BX4="",BX$28&lt;$A31),"",BX4/OFFSET(ParoRegCLM!$A$2,MATCH(BX$29,ParoRegCLM!$A$2:$A$500)+$A31-1,1)-1)</f>
        <v>6.8652614938384815E-3</v>
      </c>
      <c r="BY31" s="9">
        <f ca="1">IF(OR(BY4="",BY$28&lt;$A31),"",BY4/OFFSET(ParoRegCLM!$A$2,MATCH(BY$29,ParoRegCLM!$A$2:$A$500)+$A31-1,1)-1)</f>
        <v>2.5771864259504174E-2</v>
      </c>
      <c r="BZ31" s="9">
        <f ca="1">IF(OR(BZ4="",BZ$28&lt;$A31),"",BZ4/OFFSET(ParoRegCLM!$A$2,MATCH(BZ$29,ParoRegCLM!$A$2:$A$500)+$A31-1,1)-1)</f>
        <v>1.5241592691945804E-2</v>
      </c>
      <c r="CA31" s="9">
        <f ca="1">IF(OR(CA4="",CA$28&lt;$A31),"",CA4/OFFSET(ParoRegCLM!$A$2,MATCH(CA$29,ParoRegCLM!$A$2:$A$500)+$A31-1,1)-1)</f>
        <v>3.3546562587298823E-3</v>
      </c>
      <c r="CB31" s="9">
        <f ca="1">IF(OR(CB4="",CB$28&lt;$A31),"",CB4/OFFSET(ParoRegCLM!$A$2,MATCH(CB$29,ParoRegCLM!$A$2:$A$500)+$A31-1,1)-1)</f>
        <v>9.4002842978204715E-3</v>
      </c>
      <c r="CC31" s="9">
        <f ca="1">IF(OR(CC4="",CC$28&lt;$A31),"",CC4/OFFSET(ParoRegCLM!$A$2,MATCH(CC$29,ParoRegCLM!$A$2:$A$500)+$A31-1,1)-1)</f>
        <v>1.6308793682635825E-2</v>
      </c>
      <c r="CD31" s="9">
        <f ca="1">IF(OR(CD4="",CD$28&lt;$A31),"",CD4/OFFSET(ParoRegCLM!$A$2,MATCH(CD$29,ParoRegCLM!$A$2:$A$500)+$A31-1,1)-1)</f>
        <v>5.5568940048678073E-3</v>
      </c>
      <c r="CE31" s="9">
        <f ca="1">IF(OR(CE4="",CE$28&lt;$A31),"",CE4/OFFSET(ParoRegCLM!$A$2,MATCH(CE$29,ParoRegCLM!$A$2:$A$500)+$A31-1,1)-1)</f>
        <v>-2.6717812658869966E-2</v>
      </c>
      <c r="CF31" s="9">
        <f ca="1">IF(OR(CF4="",CF$28&lt;$A31),"",CF4/OFFSET(ParoRegCLM!$A$2,MATCH(CF$29,ParoRegCLM!$A$2:$A$500)+$A31-1,1)-1)</f>
        <v>2.3620034246375043E-2</v>
      </c>
      <c r="CG31" s="9">
        <f ca="1">IF(OR(CG4="",CG$28&lt;$A31),"",CG4/OFFSET(ParoRegCLM!$A$2,MATCH(CG$29,ParoRegCLM!$A$2:$A$500)+$A31-1,1)-1)</f>
        <v>1.456221890465681E-2</v>
      </c>
      <c r="CH31" s="9">
        <f ca="1">IF(OR(CH4="",CH$28&lt;$A31),"",CH4/OFFSET(ParoRegCLM!$A$2,MATCH(CH$29,ParoRegCLM!$A$2:$A$500)+$A31-1,1)-1)</f>
        <v>-6.8681717333513026E-3</v>
      </c>
      <c r="CI31" s="9">
        <f ca="1">IF(OR(CI4="",CI$28&lt;$A31),"",CI4/OFFSET(ParoRegCLM!$A$2,MATCH(CI$29,ParoRegCLM!$A$2:$A$500)+$A31-1,1)-1)</f>
        <v>9.2032967260398113E-3</v>
      </c>
      <c r="CJ31" s="9">
        <f ca="1">IF(OR(CJ4="",CJ$28&lt;$A31),"",CJ4/OFFSET(ParoRegCLM!$A$2,MATCH(CJ$29,ParoRegCLM!$A$2:$A$500)+$A31-1,1)-1)</f>
        <v>8.8027733003008812E-3</v>
      </c>
      <c r="CK31" s="9">
        <f ca="1">IF(OR(CK4="",CK$28&lt;$A31),"",CK4/OFFSET(ParoRegCLM!$A$2,MATCH(CK$29,ParoRegCLM!$A$2:$A$500)+$A31-1,1)-1)</f>
        <v>-1.3805678375798047E-2</v>
      </c>
      <c r="CL31" s="9">
        <f ca="1">IF(OR(CL4="",CL$28&lt;$A31),"",CL4/OFFSET(ParoRegCLM!$A$2,MATCH(CL$29,ParoRegCLM!$A$2:$A$500)+$A31-1,1)-1)</f>
        <v>-2.4830943230612523E-2</v>
      </c>
      <c r="CM31" s="9">
        <f ca="1">IF(OR(CM4="",CM$28&lt;$A31),"",CM4/OFFSET(ParoRegCLM!$A$2,MATCH(CM$29,ParoRegCLM!$A$2:$A$500)+$A31-1,1)-1)</f>
        <v>-1.1231179965318305E-2</v>
      </c>
      <c r="CN31" s="9">
        <f ca="1">IF(OR(CN4="",CN$28&lt;$A31),"",CN4/OFFSET(ParoRegCLM!$A$2,MATCH(CN$29,ParoRegCLM!$A$2:$A$500)+$A31-1,1)-1)</f>
        <v>1.2362390077266916E-2</v>
      </c>
      <c r="CO31" s="9">
        <f ca="1">IF(OR(CO4="",CO$28&lt;$A31),"",CO4/OFFSET(ParoRegCLM!$A$2,MATCH(CO$29,ParoRegCLM!$A$2:$A$500)+$A31-1,1)-1)</f>
        <v>2.123726796755987E-3</v>
      </c>
      <c r="CP31" s="9">
        <f ca="1">IF(OR(CP4="",CP$28&lt;$A31),"",CP4/OFFSET(ParoRegCLM!$A$2,MATCH(CP$29,ParoRegCLM!$A$2:$A$500)+$A31-1,1)-1)</f>
        <v>-3.11152643104049E-2</v>
      </c>
      <c r="CQ31" s="9">
        <f ca="1">IF(OR(CQ4="",CQ$28&lt;$A31),"",CQ4/OFFSET(ParoRegCLM!$A$2,MATCH(CQ$29,ParoRegCLM!$A$2:$A$500)+$A31-1,1)-1)</f>
        <v>-1.4184595515333132E-2</v>
      </c>
      <c r="CR31" s="9">
        <f ca="1">IF(OR(CR4="",CR$28&lt;$A31),"",CR4/OFFSET(ParoRegCLM!$A$2,MATCH(CR$29,ParoRegCLM!$A$2:$A$500)+$A31-1,1)-1)</f>
        <v>3.1281778219344636E-2</v>
      </c>
      <c r="CS31" s="9">
        <f ca="1">IF(OR(CS4="",CS$28&lt;$A31),"",CS4/OFFSET(ParoRegCLM!$A$2,MATCH(CS$29,ParoRegCLM!$A$2:$A$500)+$A31-1,1)-1)</f>
        <v>8.596322729808703E-3</v>
      </c>
      <c r="CT31" s="9">
        <f ca="1">IF(OR(CT4="",CT$28&lt;$A31),"",CT4/OFFSET(ParoRegCLM!$A$2,MATCH(CT$29,ParoRegCLM!$A$2:$A$500)+$A31-1,1)-1)</f>
        <v>-3.2968924100568286E-2</v>
      </c>
      <c r="CU31" s="9">
        <f ca="1">IF(OR(CU4="",CU$28&lt;$A31),"",CU4/OFFSET(ParoRegCLM!$A$2,MATCH(CU$29,ParoRegCLM!$A$2:$A$500)+$A31-1,1)-1)</f>
        <v>-2.2071254433721155E-2</v>
      </c>
      <c r="CV31" s="9">
        <f ca="1">IF(OR(CV4="",CV$28&lt;$A31),"",CV4/OFFSET(ParoRegCLM!$A$2,MATCH(CV$29,ParoRegCLM!$A$2:$A$500)+$A31-1,1)-1)</f>
        <v>-1.4465959656742022E-2</v>
      </c>
      <c r="CW31" s="9">
        <f ca="1">IF(OR(CW4="",CW$28&lt;$A31),"",CW4/OFFSET(ParoRegCLM!$A$2,MATCH(CW$29,ParoRegCLM!$A$2:$A$500)+$A31-1,1)-1)</f>
        <v>-8.0422424152083449E-3</v>
      </c>
      <c r="CX31" s="9">
        <f ca="1">IF(OR(CX4="",CX$28&lt;$A31),"",CX4/OFFSET(ParoRegCLM!$A$2,MATCH(CX$29,ParoRegCLM!$A$2:$A$500)+$A31-1,1)-1)</f>
        <v>1.03960190478114E-2</v>
      </c>
      <c r="CY31" s="9">
        <f ca="1">IF(OR(CY4="",CY$28&lt;$A31),"",CY4/OFFSET(ParoRegCLM!$A$2,MATCH(CY$29,ParoRegCLM!$A$2:$A$500)+$A31-1,1)-1)</f>
        <v>-5.2453313812178548E-3</v>
      </c>
      <c r="CZ31" s="9">
        <f ca="1">IF(OR(CZ4="",CZ$28&lt;$A31),"",CZ4/OFFSET(ParoRegCLM!$A$2,MATCH(CZ$29,ParoRegCLM!$A$2:$A$500)+$A31-1,1)-1)</f>
        <v>-1.7959472387415465E-2</v>
      </c>
      <c r="DA31" s="9">
        <f ca="1">IF(OR(DA4="",DA$28&lt;$A31),"",DA4/OFFSET(ParoRegCLM!$A$2,MATCH(DA$29,ParoRegCLM!$A$2:$A$500)+$A31-1,1)-1)</f>
        <v>4.6125699676595966E-2</v>
      </c>
      <c r="DB31" s="9">
        <f ca="1">IF(OR(DB4="",DB$28&lt;$A31),"",DB4/OFFSET(ParoRegCLM!$A$2,MATCH(DB$29,ParoRegCLM!$A$2:$A$500)+$A31-1,1)-1)</f>
        <v>2.099655613816731E-2</v>
      </c>
      <c r="DC31" s="9">
        <f ca="1">IF(OR(DC4="",DC$28&lt;$A31),"",DC4/OFFSET(ParoRegCLM!$A$2,MATCH(DC$29,ParoRegCLM!$A$2:$A$500)+$A31-1,1)-1)</f>
        <v>-3.2458111479519047E-2</v>
      </c>
      <c r="DD31" s="9">
        <f ca="1">IF(OR(DD4="",DD$28&lt;$A31),"",DD4/OFFSET(ParoRegCLM!$A$2,MATCH(DD$29,ParoRegCLM!$A$2:$A$500)+$A31-1,1)-1)</f>
        <v>7.019801917385271E-3</v>
      </c>
      <c r="DE31" s="9">
        <f ca="1">IF(OR(DE4="",DE$28&lt;$A31),"",DE4/OFFSET(ParoRegCLM!$A$2,MATCH(DE$29,ParoRegCLM!$A$2:$A$500)+$A31-1,1)-1)</f>
        <v>2.4189185294848814E-2</v>
      </c>
      <c r="DF31" s="9">
        <f ca="1">IF(OR(DF4="",DF$28&lt;$A31),"",DF4/OFFSET(ParoRegCLM!$A$2,MATCH(DF$29,ParoRegCLM!$A$2:$A$500)+$A31-1,1)-1)</f>
        <v>1.7881201972736571E-2</v>
      </c>
      <c r="DG31" s="9">
        <f ca="1">IF(OR(DG4="",DG$28&lt;$A31),"",DG4/OFFSET(ParoRegCLM!$A$2,MATCH(DG$29,ParoRegCLM!$A$2:$A$500)+$A31-1,1)-1)</f>
        <v>2.3483345983227766E-2</v>
      </c>
      <c r="DH31" s="9">
        <f ca="1">IF(OR(DH4="",DH$28&lt;$A31),"",DH4/OFFSET(ParoRegCLM!$A$2,MATCH(DH$29,ParoRegCLM!$A$2:$A$500)+$A31-1,1)-1)</f>
        <v>2.3745060196180612E-2</v>
      </c>
      <c r="DI31" s="9">
        <f ca="1">IF(OR(DI4="",DI$28&lt;$A31),"",DI4/OFFSET(ParoRegCLM!$A$2,MATCH(DI$29,ParoRegCLM!$A$2:$A$500)+$A31-1,1)-1)</f>
        <v>2.5640094601280028E-2</v>
      </c>
      <c r="DJ31" s="9">
        <f ca="1">IF(OR(DJ4="",DJ$28&lt;$A31),"",DJ4/OFFSET(ParoRegCLM!$A$2,MATCH(DJ$29,ParoRegCLM!$A$2:$A$500)+$A31-1,1)-1)</f>
        <v>4.0883797217936557E-3</v>
      </c>
      <c r="DK31" s="9">
        <f ca="1">IF(OR(DK4="",DK$28&lt;$A31),"",DK4/OFFSET(ParoRegCLM!$A$2,MATCH(DK$29,ParoRegCLM!$A$2:$A$500)+$A31-1,1)-1)</f>
        <v>4.9284864340188861E-3</v>
      </c>
      <c r="DL31" s="9">
        <f ca="1">IF(OR(DL4="",DL$28&lt;$A31),"",DL4/OFFSET(ParoRegCLM!$A$2,MATCH(DL$29,ParoRegCLM!$A$2:$A$500)+$A31-1,1)-1)</f>
        <v>-2.9202102195917679E-3</v>
      </c>
      <c r="DM31" s="9">
        <f ca="1">IF(OR(DM4="",DM$28&lt;$A31),"",DM4/OFFSET(ParoRegCLM!$A$2,MATCH(DM$29,ParoRegCLM!$A$2:$A$500)+$A31-1,1)-1)</f>
        <v>2.9400340209136067E-2</v>
      </c>
      <c r="DN31" s="9">
        <f ca="1">IF(OR(DN4="",DN$28&lt;$A31),"",DN4/OFFSET(ParoRegCLM!$A$2,MATCH(DN$29,ParoRegCLM!$A$2:$A$500)+$A31-1,1)-1)</f>
        <v>2.5220456372212485E-3</v>
      </c>
      <c r="DO31" s="9">
        <f ca="1">IF(OR(DO4="",DO$28&lt;$A31),"",DO4/OFFSET(ParoRegCLM!$A$2,MATCH(DO$29,ParoRegCLM!$A$2:$A$500)+$A31-1,1)-1)</f>
        <v>-2.4704333003267798E-2</v>
      </c>
      <c r="DP31" s="9">
        <f ca="1">IF(OR(DP4="",DP$28&lt;$A31),"",DP4/OFFSET(ParoRegCLM!$A$2,MATCH(DP$29,ParoRegCLM!$A$2:$A$500)+$A31-1,1)-1)</f>
        <v>3.1808504222328615E-2</v>
      </c>
      <c r="DQ31" s="9">
        <f ca="1">IF(OR(DQ4="",DQ$28&lt;$A31),"",DQ4/OFFSET(ParoRegCLM!$A$2,MATCH(DQ$29,ParoRegCLM!$A$2:$A$500)+$A31-1,1)-1)</f>
        <v>3.5887889176868359E-2</v>
      </c>
      <c r="DR31" s="9">
        <f ca="1">IF(OR(DR4="",DR$28&lt;$A31),"",DR4/OFFSET(ParoRegCLM!$A$2,MATCH(DR$29,ParoRegCLM!$A$2:$A$500)+$A31-1,1)-1)</f>
        <v>1.0397525947114516E-3</v>
      </c>
      <c r="DS31" s="9">
        <f ca="1">IF(OR(DS4="",DS$28&lt;$A31),"",DS4/OFFSET(ParoRegCLM!$A$2,MATCH(DS$29,ParoRegCLM!$A$2:$A$500)+$A31-1,1)-1)</f>
        <v>-1.0657846047324115E-2</v>
      </c>
      <c r="DT31" s="9">
        <f ca="1">IF(OR(DT4="",DT$28&lt;$A31),"",DT4/OFFSET(ParoRegCLM!$A$2,MATCH(DT$29,ParoRegCLM!$A$2:$A$500)+$A31-1,1)-1)</f>
        <v>-4.1423557277304734E-3</v>
      </c>
      <c r="DU31" s="9">
        <f ca="1">IF(OR(DU4="",DU$28&lt;$A31),"",DU4/OFFSET(ParoRegCLM!$A$2,MATCH(DU$29,ParoRegCLM!$A$2:$A$500)+$A31-1,1)-1)</f>
        <v>8.8332462916484999E-4</v>
      </c>
      <c r="DV31" s="9">
        <f ca="1">IF(OR(DV4="",DV$28&lt;$A31),"",DV4/OFFSET(ParoRegCLM!$A$2,MATCH(DV$29,ParoRegCLM!$A$2:$A$500)+$A31-1,1)-1)</f>
        <v>-1.1437239129225785E-2</v>
      </c>
      <c r="DW31" s="9">
        <f ca="1">IF(OR(DW4="",DW$28&lt;$A31),"",DW4/OFFSET(ParoRegCLM!$A$2,MATCH(DW$29,ParoRegCLM!$A$2:$A$500)+$A31-1,1)-1)</f>
        <v>-1.6243107234068521E-2</v>
      </c>
      <c r="DX31" s="9">
        <f ca="1">IF(OR(DX4="",DX$28&lt;$A31),"",DX4/OFFSET(ParoRegCLM!$A$2,MATCH(DX$29,ParoRegCLM!$A$2:$A$500)+$A31-1,1)-1)</f>
        <v>3.6383572118341423E-3</v>
      </c>
      <c r="DY31" s="9">
        <f ca="1">IF(OR(DY4="",DY$28&lt;$A31),"",DY4/OFFSET(ParoRegCLM!$A$2,MATCH(DY$29,ParoRegCLM!$A$2:$A$500)+$A31-1,1)-1)</f>
        <v>1.3878660114341912E-2</v>
      </c>
      <c r="DZ31" s="9">
        <f ca="1">IF(OR(DZ4="",DZ$28&lt;$A31),"",DZ4/OFFSET(ParoRegCLM!$A$2,MATCH(DZ$29,ParoRegCLM!$A$2:$A$500)+$A31-1,1)-1)</f>
        <v>-9.6044536518545831E-3</v>
      </c>
      <c r="EA31" s="9">
        <f ca="1">IF(OR(EA4="",EA$28&lt;$A31),"",EA4/OFFSET(ParoRegCLM!$A$2,MATCH(EA$29,ParoRegCLM!$A$2:$A$500)+$A31-1,1)-1)</f>
        <v>7.1230497829777306E-4</v>
      </c>
      <c r="EB31" s="9">
        <f ca="1">IF(OR(EB4="",EB$28&lt;$A31),"",EB4/OFFSET(ParoRegCLM!$A$2,MATCH(EB$29,ParoRegCLM!$A$2:$A$500)+$A31-1,1)-1)</f>
        <v>7.0997575782278943E-3</v>
      </c>
      <c r="EC31" s="9">
        <f ca="1">IF(OR(EC4="",EC$28&lt;$A31),"",EC4/OFFSET(ParoRegCLM!$A$2,MATCH(EC$29,ParoRegCLM!$A$2:$A$500)+$A31-1,1)-1)</f>
        <v>-1.4649795480413119E-2</v>
      </c>
      <c r="ED31" s="9">
        <f ca="1">IF(OR(ED4="",ED$28&lt;$A31),"",ED4/OFFSET(ParoRegCLM!$A$2,MATCH(ED$29,ParoRegCLM!$A$2:$A$500)+$A31-1,1)-1)</f>
        <v>1.1062027986251888E-2</v>
      </c>
      <c r="EE31" s="9">
        <f ca="1">IF(OR(EE4="",EE$28&lt;$A31),"",EE4/OFFSET(ParoRegCLM!$A$2,MATCH(EE$29,ParoRegCLM!$A$2:$A$500)+$A31-1,1)-1)</f>
        <v>9.5250963317110582E-3</v>
      </c>
      <c r="EF31" s="9">
        <f ca="1">IF(OR(EF4="",EF$28&lt;$A31),"",EF4/OFFSET(ParoRegCLM!$A$2,MATCH(EF$29,ParoRegCLM!$A$2:$A$500)+$A31-1,1)-1)</f>
        <v>2.3071679494487851E-2</v>
      </c>
      <c r="EG31" s="9">
        <f ca="1">IF(OR(EG4="",EG$28&lt;$A31),"",EG4/OFFSET(ParoRegCLM!$A$2,MATCH(EG$29,ParoRegCLM!$A$2:$A$500)+$A31-1,1)-1)</f>
        <v>2.0205248863718328E-2</v>
      </c>
      <c r="EH31" s="9">
        <f ca="1">IF(OR(EH4="",EH$28&lt;$A31),"",EH4/OFFSET(ParoRegCLM!$A$2,MATCH(EH$29,ParoRegCLM!$A$2:$A$500)+$A31-1,1)-1)</f>
        <v>-1.888420553214909E-2</v>
      </c>
      <c r="EI31" s="9">
        <f ca="1">IF(OR(EI4="",EI$28&lt;$A31),"",EI4/OFFSET(ParoRegCLM!$A$2,MATCH(EI$29,ParoRegCLM!$A$2:$A$500)+$A31-1,1)-1)</f>
        <v>-3.2278952710038444E-2</v>
      </c>
      <c r="EJ31" s="9">
        <f ca="1">IF(OR(EJ4="",EJ$28&lt;$A31),"",EJ4/OFFSET(ParoRegCLM!$A$2,MATCH(EJ$29,ParoRegCLM!$A$2:$A$500)+$A31-1,1)-1)</f>
        <v>-3.1652106602858332E-2</v>
      </c>
      <c r="EK31" s="9">
        <f ca="1">IF(OR(EK4="",EK$28&lt;$A31),"",EK4/OFFSET(ParoRegCLM!$A$2,MATCH(EK$29,ParoRegCLM!$A$2:$A$500)+$A31-1,1)-1)</f>
        <v>-8.6913547529716695E-3</v>
      </c>
      <c r="EL31" s="9">
        <f ca="1">IF(OR(EL4="",EL$28&lt;$A31),"",EL4/OFFSET(ParoRegCLM!$A$2,MATCH(EL$29,ParoRegCLM!$A$2:$A$500)+$A31-1,1)-1)</f>
        <v>-9.2232457639023213E-3</v>
      </c>
      <c r="EM31" s="9">
        <f ca="1">IF(OR(EM4="",EM$28&lt;$A31),"",EM4/OFFSET(ParoRegCLM!$A$2,MATCH(EM$29,ParoRegCLM!$A$2:$A$500)+$A31-1,1)-1)</f>
        <v>-3.8762475606399782E-3</v>
      </c>
      <c r="EN31" s="9">
        <f ca="1">IF(OR(EN4="",EN$28&lt;$A31),"",EN4/OFFSET(ParoRegCLM!$A$2,MATCH(EN$29,ParoRegCLM!$A$2:$A$500)+$A31-1,1)-1)</f>
        <v>1.6257580031393992E-2</v>
      </c>
      <c r="EO31" s="9">
        <f ca="1">IF(OR(EO4="",EO$28&lt;$A31),"",EO4/OFFSET(ParoRegCLM!$A$2,MATCH(EO$29,ParoRegCLM!$A$2:$A$500)+$A31-1,1)-1)</f>
        <v>-3.8421324426071157E-3</v>
      </c>
      <c r="EP31" s="9">
        <f ca="1">IF(OR(EP4="",EP$28&lt;$A31),"",EP4/OFFSET(ParoRegCLM!$A$2,MATCH(EP$29,ParoRegCLM!$A$2:$A$500)+$A31-1,1)-1)</f>
        <v>-1.9306176227050775E-3</v>
      </c>
      <c r="EQ31" s="9">
        <f ca="1">IF(OR(EQ4="",EQ$28&lt;$A31),"",EQ4/OFFSET(ParoRegCLM!$A$2,MATCH(EQ$29,ParoRegCLM!$A$2:$A$500)+$A31-1,1)-1)</f>
        <v>7.7483174322166004E-3</v>
      </c>
      <c r="ER31" s="9">
        <f ca="1">IF(OR(ER4="",ER$28&lt;$A31),"",ER4/OFFSET(ParoRegCLM!$A$2,MATCH(ER$29,ParoRegCLM!$A$2:$A$500)+$A31-1,1)-1)</f>
        <v>2.2917615973344407E-2</v>
      </c>
      <c r="ES31" s="9">
        <f ca="1">IF(OR(ES4="",ES$28&lt;$A31),"",ES4/OFFSET(ParoRegCLM!$A$2,MATCH(ES$29,ParoRegCLM!$A$2:$A$500)+$A31-1,1)-1)</f>
        <v>3.5858459191949965E-2</v>
      </c>
      <c r="ET31" s="9">
        <f ca="1">IF(OR(ET4="",ET$28&lt;$A31),"",ET4/OFFSET(ParoRegCLM!$A$2,MATCH(ET$29,ParoRegCLM!$A$2:$A$500)+$A31-1,1)-1)</f>
        <v>1.9899052682777807E-2</v>
      </c>
      <c r="EU31" s="9">
        <f ca="1">IF(OR(EU4="",EU$28&lt;$A31),"",EU4/OFFSET(ParoRegCLM!$A$2,MATCH(EU$29,ParoRegCLM!$A$2:$A$500)+$A31-1,1)-1)</f>
        <v>-1.056490413160005E-2</v>
      </c>
      <c r="EV31" s="9">
        <f ca="1">IF(OR(EV4="",EV$28&lt;$A31),"",EV4/OFFSET(ParoRegCLM!$A$2,MATCH(EV$29,ParoRegCLM!$A$2:$A$500)+$A31-1,1)-1)</f>
        <v>-3.1093005275951491E-2</v>
      </c>
      <c r="EW31" s="9">
        <f ca="1">IF(OR(EW4="",EW$28&lt;$A31),"",EW4/OFFSET(ParoRegCLM!$A$2,MATCH(EW$29,ParoRegCLM!$A$2:$A$500)+$A31-1,1)-1)</f>
        <v>-9.9339127700039942E-3</v>
      </c>
      <c r="EX31" s="9">
        <f ca="1">IF(OR(EX4="",EX$28&lt;$A31),"",EX4/OFFSET(ParoRegCLM!$A$2,MATCH(EX$29,ParoRegCLM!$A$2:$A$500)+$A31-1,1)-1)</f>
        <v>-2.5351580817595254E-3</v>
      </c>
      <c r="EY31" s="9">
        <f ca="1">IF(OR(EY4="",EY$28&lt;$A31),"",EY4/OFFSET(ParoRegCLM!$A$2,MATCH(EY$29,ParoRegCLM!$A$2:$A$500)+$A31-1,1)-1)</f>
        <v>-2.8866142188469501E-2</v>
      </c>
      <c r="EZ31" s="9">
        <f ca="1">IF(OR(EZ4="",EZ$28&lt;$A31),"",EZ4/OFFSET(ParoRegCLM!$A$2,MATCH(EZ$29,ParoRegCLM!$A$2:$A$500)+$A31-1,1)-1)</f>
        <v>-1.0537070477352084E-2</v>
      </c>
      <c r="FA31" s="9">
        <f ca="1">IF(OR(FA4="",FA$28&lt;$A31),"",FA4/OFFSET(ParoRegCLM!$A$2,MATCH(FA$29,ParoRegCLM!$A$2:$A$500)+$A31-1,1)-1)</f>
        <v>2.2134620773505809E-2</v>
      </c>
      <c r="FB31" s="9">
        <f ca="1">IF(OR(FB4="",FB$28&lt;$A31),"",FB4/OFFSET(ParoRegCLM!$A$2,MATCH(FB$29,ParoRegCLM!$A$2:$A$500)+$A31-1,1)-1)</f>
        <v>1.3056529599517974E-2</v>
      </c>
      <c r="FC31" s="9">
        <f ca="1">IF(OR(FC4="",FC$28&lt;$A31),"",FC4/OFFSET(ParoRegCLM!$A$2,MATCH(FC$29,ParoRegCLM!$A$2:$A$500)+$A31-1,1)-1)</f>
        <v>2.9441295900420883E-3</v>
      </c>
      <c r="FD31" s="9">
        <f ca="1">IF(OR(FD4="",FD$28&lt;$A31),"",FD4/OFFSET(ParoRegCLM!$A$2,MATCH(FD$29,ParoRegCLM!$A$2:$A$500)+$A31-1,1)-1)</f>
        <v>-2.3322257097625587E-2</v>
      </c>
      <c r="FE31" s="9">
        <f ca="1">IF(OR(FE4="",FE$28&lt;$A31),"",FE4/OFFSET(ParoRegCLM!$A$2,MATCH(FE$29,ParoRegCLM!$A$2:$A$500)+$A31-1,1)-1)</f>
        <v>-1.9948483926281235E-2</v>
      </c>
      <c r="FF31" s="9">
        <f ca="1">IF(OR(FF4="",FF$28&lt;$A31),"",FF4/OFFSET(ParoRegCLM!$A$2,MATCH(FF$29,ParoRegCLM!$A$2:$A$500)+$A31-1,1)-1)</f>
        <v>1.2816040375023485E-2</v>
      </c>
      <c r="FG31" s="9">
        <f ca="1">IF(OR(FG4="",FG$28&lt;$A31),"",FG4/OFFSET(ParoRegCLM!$A$2,MATCH(FG$29,ParoRegCLM!$A$2:$A$500)+$A31-1,1)-1)</f>
        <v>1.1339007941796764E-2</v>
      </c>
      <c r="FH31" s="9">
        <f ca="1">IF(OR(FH4="",FH$28&lt;$A31),"",FH4/OFFSET(ParoRegCLM!$A$2,MATCH(FH$29,ParoRegCLM!$A$2:$A$500)+$A31-1,1)-1)</f>
        <v>-3.0335454193375355E-4</v>
      </c>
      <c r="FI31" s="9">
        <f ca="1">IF(OR(FI4="",FI$28&lt;$A31),"",FI4/OFFSET(ParoRegCLM!$A$2,MATCH(FI$29,ParoRegCLM!$A$2:$A$500)+$A31-1,1)-1)</f>
        <v>-1.7766381857551306E-2</v>
      </c>
      <c r="FJ31" s="9">
        <f ca="1">IF(OR(FJ4="",FJ$28&lt;$A31),"",FJ4/OFFSET(ParoRegCLM!$A$2,MATCH(FJ$29,ParoRegCLM!$A$2:$A$500)+$A31-1,1)-1)</f>
        <v>2.0249161426150408E-2</v>
      </c>
      <c r="FK31" s="9">
        <f ca="1">IF(OR(FK4="",FK$28&lt;$A31),"",FK4/OFFSET(ParoRegCLM!$A$2,MATCH(FK$29,ParoRegCLM!$A$2:$A$500)+$A31-1,1)-1)</f>
        <v>5.9739285783042329E-2</v>
      </c>
      <c r="FL31" s="9">
        <f ca="1">IF(OR(FL4="",FL$28&lt;$A31),"",FL4/OFFSET(ParoRegCLM!$A$2,MATCH(FL$29,ParoRegCLM!$A$2:$A$500)+$A31-1,1)-1)</f>
        <v>-1.0741895164533499E-2</v>
      </c>
      <c r="FM31" s="9">
        <f ca="1">IF(OR(FM4="",FM$28&lt;$A31),"",FM4/OFFSET(ParoRegCLM!$A$2,MATCH(FM$29,ParoRegCLM!$A$2:$A$500)+$A31-1,1)-1)</f>
        <v>-3.8119115899913902E-2</v>
      </c>
      <c r="FN31" s="9">
        <f ca="1">IF(OR(FN4="",FN$28&lt;$A31),"",FN4/OFFSET(ParoRegCLM!$A$2,MATCH(FN$29,ParoRegCLM!$A$2:$A$500)+$A31-1,1)-1)</f>
        <v>-2.4957956907800338E-2</v>
      </c>
      <c r="FO31" s="9">
        <f ca="1">IF(OR(FO4="",FO$28&lt;$A31),"",FO4/OFFSET(ParoRegCLM!$A$2,MATCH(FO$29,ParoRegCLM!$A$2:$A$500)+$A31-1,1)-1)</f>
        <v>-7.7266207393467123E-3</v>
      </c>
      <c r="FP31" s="9">
        <f ca="1">IF(OR(FP4="",FP$28&lt;$A31),"",FP4/OFFSET(ParoRegCLM!$A$2,MATCH(FP$29,ParoRegCLM!$A$2:$A$500)+$A31-1,1)-1)</f>
        <v>-2.2997434510691028E-2</v>
      </c>
      <c r="FQ31" s="9">
        <f ca="1">IF(OR(FQ4="",FQ$28&lt;$A31),"",FQ4/OFFSET(ParoRegCLM!$A$2,MATCH(FQ$29,ParoRegCLM!$A$2:$A$500)+$A31-1,1)-1)</f>
        <v>-1.8235555188800934E-2</v>
      </c>
      <c r="FR31" s="9">
        <f ca="1">IF(OR(FR4="",FR$28&lt;$A31),"",FR4/OFFSET(ParoRegCLM!$A$2,MATCH(FR$29,ParoRegCLM!$A$2:$A$500)+$A31-1,1)-1)</f>
        <v>-1.0550598608225381E-2</v>
      </c>
      <c r="FS31" s="9">
        <f ca="1">IF(OR(FS4="",FS$28&lt;$A31),"",FS4/OFFSET(ParoRegCLM!$A$2,MATCH(FS$29,ParoRegCLM!$A$2:$A$500)+$A31-1,1)-1)</f>
        <v>6.7656107905926799E-3</v>
      </c>
      <c r="FT31" s="9">
        <f ca="1">IF(OR(FT4="",FT$28&lt;$A31),"",FT4/OFFSET(ParoRegCLM!$A$2,MATCH(FT$29,ParoRegCLM!$A$2:$A$500)+$A31-1,1)-1)</f>
        <v>1.3261407285149795E-2</v>
      </c>
      <c r="FU31" s="9">
        <f ca="1">IF(OR(FU4="",FU$28&lt;$A31),"",FU4/OFFSET(ParoRegCLM!$A$2,MATCH(FU$29,ParoRegCLM!$A$2:$A$500)+$A31-1,1)-1)</f>
        <v>-1.0467082513853088E-2</v>
      </c>
      <c r="FV31" s="9">
        <f ca="1">IF(OR(FV4="",FV$28&lt;$A31),"",FV4/OFFSET(ParoRegCLM!$A$2,MATCH(FV$29,ParoRegCLM!$A$2:$A$500)+$A31-1,1)-1)</f>
        <v>2.458137933618576E-2</v>
      </c>
      <c r="FW31" s="9">
        <f ca="1">IF(OR(FW4="",FW$28&lt;$A31),"",FW4/OFFSET(ParoRegCLM!$A$2,MATCH(FW$29,ParoRegCLM!$A$2:$A$500)+$A31-1,1)-1)</f>
        <v>5.2477947239838452E-2</v>
      </c>
      <c r="FX31" s="9">
        <f ca="1">IF(OR(FX4="",FX$28&lt;$A31),"",FX4/OFFSET(ParoRegCLM!$A$2,MATCH(FX$29,ParoRegCLM!$A$2:$A$500)+$A31-1,1)-1)</f>
        <v>4.1657284240105508E-2</v>
      </c>
      <c r="FY31" s="9">
        <f ca="1">IF(OR(FY4="",FY$28&lt;$A31),"",FY4/OFFSET(ParoRegCLM!$A$2,MATCH(FY$29,ParoRegCLM!$A$2:$A$500)+$A31-1,1)-1)</f>
        <v>1.0226848526827759E-2</v>
      </c>
      <c r="FZ31" s="9">
        <f ca="1">IF(OR(FZ4="",FZ$28&lt;$A31),"",FZ4/OFFSET(ParoRegCLM!$A$2,MATCH(FZ$29,ParoRegCLM!$A$2:$A$500)+$A31-1,1)-1)</f>
        <v>-1.5227028782395902E-2</v>
      </c>
      <c r="GA31" s="9">
        <f ca="1">IF(OR(GA4="",GA$28&lt;$A31),"",GA4/OFFSET(ParoRegCLM!$A$2,MATCH(GA$29,ParoRegCLM!$A$2:$A$500)+$A31-1,1)-1)</f>
        <v>-8.9694701081276529E-3</v>
      </c>
      <c r="GB31" s="9">
        <f ca="1">IF(OR(GB4="",GB$28&lt;$A31),"",GB4/OFFSET(ParoRegCLM!$A$2,MATCH(GB$29,ParoRegCLM!$A$2:$A$500)+$A31-1,1)-1)</f>
        <v>-2.7113233222198607E-2</v>
      </c>
      <c r="GC31" s="9">
        <f ca="1">IF(OR(GC4="",GC$28&lt;$A31),"",GC4/OFFSET(ParoRegCLM!$A$2,MATCH(GC$29,ParoRegCLM!$A$2:$A$500)+$A31-1,1)-1)</f>
        <v>-4.4326451139964917E-2</v>
      </c>
      <c r="GD31" s="9">
        <f ca="1">IF(OR(GD4="",GD$28&lt;$A31),"",GD4/OFFSET(ParoRegCLM!$A$2,MATCH(GD$29,ParoRegCLM!$A$2:$A$500)+$A31-1,1)-1)</f>
        <v>-3.7944338659307908E-2</v>
      </c>
      <c r="GE31" s="9">
        <f ca="1">IF(OR(GE4="",GE$28&lt;$A31),"",GE4/OFFSET(ParoRegCLM!$A$2,MATCH(GE$29,ParoRegCLM!$A$2:$A$500)+$A31-1,1)-1)</f>
        <v>-1.9381798353085511E-2</v>
      </c>
      <c r="GF31" s="9">
        <f ca="1">IF(OR(GF4="",GF$28&lt;$A31),"",GF4/OFFSET(ParoRegCLM!$A$2,MATCH(GF$29,ParoRegCLM!$A$2:$A$500)+$A31-1,1)-1)</f>
        <v>-2.4930852928602976E-3</v>
      </c>
      <c r="GG31" s="9">
        <f ca="1">IF(OR(GG4="",GG$28&lt;$A31),"",GG4/OFFSET(ParoRegCLM!$A$2,MATCH(GG$29,ParoRegCLM!$A$2:$A$500)+$A31-1,1)-1)</f>
        <v>-1.5452320062970704E-2</v>
      </c>
      <c r="GH31" s="9">
        <f ca="1">IF(OR(GH4="",GH$28&lt;$A31),"",GH4/OFFSET(ParoRegCLM!$A$2,MATCH(GH$29,ParoRegCLM!$A$2:$A$500)+$A31-1,1)-1)</f>
        <v>-1.7486383006718786E-2</v>
      </c>
      <c r="GI31" s="9">
        <f ca="1">IF(OR(GI4="",GI$28&lt;$A31),"",GI4/OFFSET(ParoRegCLM!$A$2,MATCH(GI$29,ParoRegCLM!$A$2:$A$500)+$A31-1,1)-1)</f>
        <v>7.1468223365644956E-3</v>
      </c>
      <c r="GJ31" s="9">
        <f ca="1">IF(OR(GJ4="",GJ$28&lt;$A31),"",GJ4/OFFSET(ParoRegCLM!$A$2,MATCH(GJ$29,ParoRegCLM!$A$2:$A$500)+$A31-1,1)-1)</f>
        <v>1.173077796703037E-2</v>
      </c>
      <c r="GK31" s="9">
        <f ca="1">IF(OR(GK4="",GK$28&lt;$A31),"",GK4/OFFSET(ParoRegCLM!$A$2,MATCH(GK$29,ParoRegCLM!$A$2:$A$500)+$A31-1,1)-1)</f>
        <v>3.933003069456209E-4</v>
      </c>
      <c r="GL31" s="9">
        <f ca="1">IF(OR(GL4="",GL$28&lt;$A31),"",GL4/OFFSET(ParoRegCLM!$A$2,MATCH(GL$29,ParoRegCLM!$A$2:$A$500)+$A31-1,1)-1)</f>
        <v>2.6576360120793785E-2</v>
      </c>
      <c r="GM31" s="9">
        <f ca="1">IF(OR(GM4="",GM$28&lt;$A31),"",GM4/OFFSET(ParoRegCLM!$A$2,MATCH(GM$29,ParoRegCLM!$A$2:$A$500)+$A31-1,1)-1)</f>
        <v>-3.9615840822092241E-2</v>
      </c>
      <c r="GN31" s="9">
        <f ca="1">IF(OR(GN4="",GN$28&lt;$A31),"",GN4/OFFSET(ParoRegCLM!$A$2,MATCH(GN$29,ParoRegCLM!$A$2:$A$500)+$A31-1,1)-1)</f>
        <v>-0.13351038624657063</v>
      </c>
      <c r="GO31" s="9">
        <f ca="1">IF(OR(GO4="",GO$28&lt;$A31),"",GO4/OFFSET(ParoRegCLM!$A$2,MATCH(GO$29,ParoRegCLM!$A$2:$A$500)+$A31-1,1)-1)</f>
        <v>-5.0288594690041877E-2</v>
      </c>
      <c r="GP31" s="9">
        <f ca="1">IF(OR(GP4="",GP$28&lt;$A31),"",GP4/OFFSET(ParoRegCLM!$A$2,MATCH(GP$29,ParoRegCLM!$A$2:$A$500)+$A31-1,1)-1)</f>
        <v>5.0734916955747611E-2</v>
      </c>
      <c r="GQ31" s="9">
        <f ca="1">IF(OR(GQ4="",GQ$28&lt;$A31),"",GQ4/OFFSET(ParoRegCLM!$A$2,MATCH(GQ$29,ParoRegCLM!$A$2:$A$500)+$A31-1,1)-1)</f>
        <v>3.0331237093502939E-2</v>
      </c>
      <c r="GR31" s="9">
        <f ca="1">IF(OR(GR4="",GR$28&lt;$A31),"",GR4/OFFSET(ParoRegCLM!$A$2,MATCH(GR$29,ParoRegCLM!$A$2:$A$500)+$A31-1,1)-1)</f>
        <v>2.3598492068729326E-2</v>
      </c>
      <c r="GS31" s="9">
        <f ca="1">IF(OR(GS4="",GS$28&lt;$A31),"",GS4/OFFSET(ParoRegCLM!$A$2,MATCH(GS$29,ParoRegCLM!$A$2:$A$500)+$A31-1,1)-1)</f>
        <v>4.3838070926277561E-2</v>
      </c>
      <c r="GT31" s="9">
        <f ca="1">IF(OR(GT4="",GT$28&lt;$A31),"",GT4/OFFSET(ParoRegCLM!$A$2,MATCH(GT$29,ParoRegCLM!$A$2:$A$500)+$A31-1,1)-1)</f>
        <v>3.7374088469237732E-2</v>
      </c>
      <c r="GU31" s="9">
        <f ca="1">IF(OR(GU4="",GU$28&lt;$A31),"",GU4/OFFSET(ParoRegCLM!$A$2,MATCH(GU$29,ParoRegCLM!$A$2:$A$500)+$A31-1,1)-1)</f>
        <v>6.5816556736439935E-3</v>
      </c>
      <c r="GV31" s="9">
        <f ca="1">IF(OR(GV4="",GV$28&lt;$A31),"",GV4/OFFSET(ParoRegCLM!$A$2,MATCH(GV$29,ParoRegCLM!$A$2:$A$500)+$A31-1,1)-1)</f>
        <v>-2.3324328741006095E-2</v>
      </c>
      <c r="GW31" s="9">
        <f ca="1">IF(OR(GW4="",GW$28&lt;$A31),"",GW4/OFFSET(ParoRegCLM!$A$2,MATCH(GW$29,ParoRegCLM!$A$2:$A$500)+$A31-1,1)-1)</f>
        <v>-2.3677072939695565E-2</v>
      </c>
      <c r="GX31" s="9" t="str">
        <f ca="1">IF(OR(GX4="",GX$28&lt;$A31),"",GX4/OFFSET(ParoRegCLM!$A$2,MATCH(GX$29,ParoRegCLM!$A$2:$A$500)+$A31-1,1)-1)</f>
        <v/>
      </c>
      <c r="GY31" s="9" t="str">
        <f ca="1">IF(OR(GY4="",GY$28&lt;$A31),"",GY4/OFFSET(ParoRegCLM!$A$2,MATCH(GY$29,ParoRegCLM!$A$2:$A$500)+$A31-1,1)-1)</f>
        <v/>
      </c>
      <c r="GZ31" s="9" t="str">
        <f ca="1">IF(OR(GZ4="",GZ$28&lt;$A31),"",GZ4/OFFSET(ParoRegCLM!$A$2,MATCH(GZ$29,ParoRegCLM!$A$2:$A$500)+$A31-1,1)-1)</f>
        <v/>
      </c>
      <c r="HA31" s="9" t="str">
        <f ca="1">IF(OR(HA4="",HA$28&lt;$A31),"",HA4/OFFSET(ParoRegCLM!$A$2,MATCH(HA$29,ParoRegCLM!$A$2:$A$500)+$A31-1,1)-1)</f>
        <v/>
      </c>
      <c r="HB31" s="9" t="str">
        <f ca="1">IF(OR(HB4="",HB$28&lt;$A31),"",HB4/OFFSET(ParoRegCLM!$A$2,MATCH(HB$29,ParoRegCLM!$A$2:$A$500)+$A31-1,1)-1)</f>
        <v/>
      </c>
      <c r="HC31" s="9" t="str">
        <f ca="1">IF(OR(HC4="",HC$28&lt;$A31),"",HC4/OFFSET(ParoRegCLM!$A$2,MATCH(HC$29,ParoRegCLM!$A$2:$A$500)+$A31-1,1)-1)</f>
        <v/>
      </c>
      <c r="HD31" s="9" t="str">
        <f ca="1">IF(OR(HD4="",HD$28&lt;$A31),"",HD4/OFFSET(ParoRegCLM!$A$2,MATCH(HD$29,ParoRegCLM!$A$2:$A$500)+$A31-1,1)-1)</f>
        <v/>
      </c>
      <c r="HE31" s="9" t="str">
        <f ca="1">IF(OR(HE4="",HE$28&lt;$A31),"",HE4/OFFSET(ParoRegCLM!$A$2,MATCH(HE$29,ParoRegCLM!$A$2:$A$500)+$A31-1,1)-1)</f>
        <v/>
      </c>
      <c r="HF31" s="9" t="str">
        <f ca="1">IF(OR(HF4="",HF$28&lt;$A31),"",HF4/OFFSET(ParoRegCLM!$A$2,MATCH(HF$29,ParoRegCLM!$A$2:$A$500)+$A31-1,1)-1)</f>
        <v/>
      </c>
      <c r="HG31" s="9" t="str">
        <f ca="1">IF(OR(HG4="",HG$28&lt;$A31),"",HG4/OFFSET(ParoRegCLM!$A$2,MATCH(HG$29,ParoRegCLM!$A$2:$A$500)+$A31-1,1)-1)</f>
        <v/>
      </c>
      <c r="HH31" s="9" t="str">
        <f ca="1">IF(OR(HH4="",HH$28&lt;$A31),"",HH4/OFFSET(ParoRegCLM!$A$2,MATCH(HH$29,ParoRegCLM!$A$2:$A$500)+$A31-1,1)-1)</f>
        <v/>
      </c>
      <c r="HI31" s="9" t="str">
        <f ca="1">IF(OR(HI4="",HI$28&lt;$A31),"",HI4/OFFSET(ParoRegCLM!$A$2,MATCH(HI$29,ParoRegCLM!$A$2:$A$500)+$A31-1,1)-1)</f>
        <v/>
      </c>
      <c r="HJ31" s="9" t="str">
        <f ca="1">IF(OR(HJ4="",HJ$28&lt;$A31),"",HJ4/OFFSET(ParoRegCLM!$A$2,MATCH(HJ$29,ParoRegCLM!$A$2:$A$500)+$A31-1,1)-1)</f>
        <v/>
      </c>
      <c r="HK31" s="9" t="str">
        <f ca="1">IF(OR(HK4="",HK$28&lt;$A31),"",HK4/OFFSET(ParoRegCLM!$A$2,MATCH(HK$29,ParoRegCLM!$A$2:$A$500)+$A31-1,1)-1)</f>
        <v/>
      </c>
      <c r="HL31" s="9" t="str">
        <f ca="1">IF(OR(HL4="",HL$28&lt;$A31),"",HL4/OFFSET(ParoRegCLM!$A$2,MATCH(HL$29,ParoRegCLM!$A$2:$A$500)+$A31-1,1)-1)</f>
        <v/>
      </c>
      <c r="HM31" s="9" t="str">
        <f ca="1">IF(OR(HM4="",HM$28&lt;$A31),"",HM4/OFFSET(ParoRegCLM!$A$2,MATCH(HM$29,ParoRegCLM!$A$2:$A$500)+$A31-1,1)-1)</f>
        <v/>
      </c>
      <c r="HN31" s="9" t="str">
        <f ca="1">IF(OR(HN4="",HN$28&lt;$A31),"",HN4/OFFSET(ParoRegCLM!$A$2,MATCH(HN$29,ParoRegCLM!$A$2:$A$500)+$A31-1,1)-1)</f>
        <v/>
      </c>
      <c r="HO31" s="9" t="str">
        <f ca="1">IF(OR(HO4="",HO$28&lt;$A31),"",HO4/OFFSET(ParoRegCLM!$A$2,MATCH(HO$29,ParoRegCLM!$A$2:$A$500)+$A31-1,1)-1)</f>
        <v/>
      </c>
      <c r="HP31" s="9" t="str">
        <f ca="1">IF(OR(HP4="",HP$28&lt;$A31),"",HP4/OFFSET(ParoRegCLM!$A$2,MATCH(HP$29,ParoRegCLM!$A$2:$A$500)+$A31-1,1)-1)</f>
        <v/>
      </c>
      <c r="HQ31" s="9" t="str">
        <f ca="1">IF(OR(HQ4="",HQ$28&lt;$A31),"",HQ4/OFFSET(ParoRegCLM!$A$2,MATCH(HQ$29,ParoRegCLM!$A$2:$A$500)+$A31-1,1)-1)</f>
        <v/>
      </c>
      <c r="HR31" s="9" t="str">
        <f ca="1">IF(OR(HR4="",HR$28&lt;$A31),"",HR4/OFFSET(ParoRegCLM!$A$2,MATCH(HR$29,ParoRegCLM!$A$2:$A$500)+$A31-1,1)-1)</f>
        <v/>
      </c>
      <c r="HS31" s="9" t="str">
        <f ca="1">IF(OR(HS4="",HS$28&lt;$A31),"",HS4/OFFSET(ParoRegCLM!$A$2,MATCH(HS$29,ParoRegCLM!$A$2:$A$500)+$A31-1,1)-1)</f>
        <v/>
      </c>
      <c r="HT31" s="9" t="str">
        <f ca="1">IF(OR(HT4="",HT$28&lt;$A31),"",HT4/OFFSET(ParoRegCLM!$A$2,MATCH(HT$29,ParoRegCLM!$A$2:$A$500)+$A31-1,1)-1)</f>
        <v/>
      </c>
      <c r="HU31" s="9" t="str">
        <f ca="1">IF(OR(HU4="",HU$28&lt;$A31),"",HU4/OFFSET(ParoRegCLM!$A$2,MATCH(HU$29,ParoRegCLM!$A$2:$A$500)+$A31-1,1)-1)</f>
        <v/>
      </c>
      <c r="HV31" s="9" t="str">
        <f ca="1">IF(OR(HV4="",HV$28&lt;$A31),"",HV4/OFFSET(ParoRegCLM!$A$2,MATCH(HV$29,ParoRegCLM!$A$2:$A$500)+$A31-1,1)-1)</f>
        <v/>
      </c>
      <c r="HW31" s="9" t="str">
        <f ca="1">IF(OR(HW4="",HW$28&lt;$A31),"",HW4/OFFSET(ParoRegCLM!$A$2,MATCH(HW$29,ParoRegCLM!$A$2:$A$500)+$A31-1,1)-1)</f>
        <v/>
      </c>
      <c r="HX31" s="9" t="str">
        <f ca="1">IF(OR(HX4="",HX$28&lt;$A31),"",HX4/OFFSET(ParoRegCLM!$A$2,MATCH(HX$29,ParoRegCLM!$A$2:$A$500)+$A31-1,1)-1)</f>
        <v/>
      </c>
      <c r="HY31" s="9" t="str">
        <f ca="1">IF(OR(HY4="",HY$28&lt;$A31),"",HY4/OFFSET(ParoRegCLM!$A$2,MATCH(HY$29,ParoRegCLM!$A$2:$A$500)+$A31-1,1)-1)</f>
        <v/>
      </c>
      <c r="HZ31" s="9" t="str">
        <f ca="1">IF(OR(HZ4="",HZ$28&lt;$A31),"",HZ4/OFFSET(ParoRegCLM!$A$2,MATCH(HZ$29,ParoRegCLM!$A$2:$A$500)+$A31-1,1)-1)</f>
        <v/>
      </c>
      <c r="IA31" s="9" t="str">
        <f ca="1">IF(OR(IA4="",IA$28&lt;$A31),"",IA4/OFFSET(ParoRegCLM!$A$2,MATCH(IA$29,ParoRegCLM!$A$2:$A$500)+$A31-1,1)-1)</f>
        <v/>
      </c>
      <c r="IB31" s="9" t="str">
        <f ca="1">IF(OR(IB4="",IB$28&lt;$A31),"",IB4/OFFSET(ParoRegCLM!$A$2,MATCH(IB$29,ParoRegCLM!$A$2:$A$500)+$A31-1,1)-1)</f>
        <v/>
      </c>
      <c r="IC31" s="9" t="str">
        <f ca="1">IF(OR(IC4="",IC$28&lt;$A31),"",IC4/OFFSET(ParoRegCLM!$A$2,MATCH(IC$29,ParoRegCLM!$A$2:$A$500)+$A31-1,1)-1)</f>
        <v/>
      </c>
      <c r="ID31" s="9" t="str">
        <f ca="1">IF(OR(ID4="",ID$28&lt;$A31),"",ID4/OFFSET(ParoRegCLM!$A$2,MATCH(ID$29,ParoRegCLM!$A$2:$A$500)+$A31-1,1)-1)</f>
        <v/>
      </c>
      <c r="IE31" s="9" t="str">
        <f ca="1">IF(OR(IE4="",IE$28&lt;$A31),"",IE4/OFFSET(ParoRegCLM!$A$2,MATCH(IE$29,ParoRegCLM!$A$2:$A$500)+$A31-1,1)-1)</f>
        <v/>
      </c>
      <c r="IF31" s="9" t="str">
        <f ca="1">IF(OR(IF4="",IF$28&lt;$A31),"",IF4/OFFSET(ParoRegCLM!$A$2,MATCH(IF$29,ParoRegCLM!$A$2:$A$500)+$A31-1,1)-1)</f>
        <v/>
      </c>
      <c r="IG31" s="9" t="str">
        <f ca="1">IF(OR(IG4="",IG$28&lt;$A31),"",IG4/OFFSET(ParoRegCLM!$A$2,MATCH(IG$29,ParoRegCLM!$A$2:$A$500)+$A31-1,1)-1)</f>
        <v/>
      </c>
      <c r="IH31" s="9" t="str">
        <f ca="1">IF(OR(IH4="",IH$28&lt;$A31),"",IH4/OFFSET(ParoRegCLM!$A$2,MATCH(IH$29,ParoRegCLM!$A$2:$A$500)+$A31-1,1)-1)</f>
        <v/>
      </c>
      <c r="II31" s="9" t="str">
        <f ca="1">IF(OR(II4="",II$28&lt;$A31),"",II4/OFFSET(ParoRegCLM!$A$2,MATCH(II$29,ParoRegCLM!$A$2:$A$500)+$A31-1,1)-1)</f>
        <v/>
      </c>
      <c r="IJ31" s="9" t="str">
        <f ca="1">IF(OR(IJ4="",IJ$28&lt;$A31),"",IJ4/OFFSET(ParoRegCLM!$A$2,MATCH(IJ$29,ParoRegCLM!$A$2:$A$500)+$A31-1,1)-1)</f>
        <v/>
      </c>
      <c r="IK31" s="9" t="str">
        <f ca="1">IF(OR(IK4="",IK$28&lt;$A31),"",IK4/OFFSET(ParoRegCLM!$A$2,MATCH(IK$29,ParoRegCLM!$A$2:$A$500)+$A31-1,1)-1)</f>
        <v/>
      </c>
      <c r="IL31" s="9" t="str">
        <f ca="1">IF(OR(IL4="",IL$28&lt;$A31),"",IL4/OFFSET(ParoRegCLM!$A$2,MATCH(IL$29,ParoRegCLM!$A$2:$A$500)+$A31-1,1)-1)</f>
        <v/>
      </c>
      <c r="IM31" s="9" t="str">
        <f ca="1">IF(OR(IM4="",IM$28&lt;$A31),"",IM4/OFFSET(ParoRegCLM!$A$2,MATCH(IM$29,ParoRegCLM!$A$2:$A$500)+$A31-1,1)-1)</f>
        <v/>
      </c>
      <c r="IN31" s="9" t="str">
        <f ca="1">IF(OR(IN4="",IN$28&lt;$A31),"",IN4/OFFSET(ParoRegCLM!$A$2,MATCH(IN$29,ParoRegCLM!$A$2:$A$500)+$A31-1,1)-1)</f>
        <v/>
      </c>
      <c r="IO31" s="9" t="str">
        <f ca="1">IF(OR(IO4="",IO$28&lt;$A31),"",IO4/OFFSET(ParoRegCLM!$A$2,MATCH(IO$29,ParoRegCLM!$A$2:$A$500)+$A31-1,1)-1)</f>
        <v/>
      </c>
      <c r="IP31" s="9" t="str">
        <f ca="1">IF(OR(IP4="",IP$28&lt;$A31),"",IP4/OFFSET(ParoRegCLM!$A$2,MATCH(IP$29,ParoRegCLM!$A$2:$A$500)+$A31-1,1)-1)</f>
        <v/>
      </c>
      <c r="IQ31" s="9" t="str">
        <f ca="1">IF(OR(IQ4="",IQ$28&lt;$A31),"",IQ4/OFFSET(ParoRegCLM!$A$2,MATCH(IQ$29,ParoRegCLM!$A$2:$A$500)+$A31-1,1)-1)</f>
        <v/>
      </c>
      <c r="IR31" s="9" t="str">
        <f ca="1">IF(OR(IR4="",IR$28&lt;$A31),"",IR4/OFFSET(ParoRegCLM!$A$2,MATCH(IR$29,ParoRegCLM!$A$2:$A$500)+$A31-1,1)-1)</f>
        <v/>
      </c>
      <c r="IS31" s="9" t="str">
        <f ca="1">IF(OR(IS4="",IS$28&lt;$A31),"",IS4/OFFSET(ParoRegCLM!$A$2,MATCH(IS$29,ParoRegCLM!$A$2:$A$500)+$A31-1,1)-1)</f>
        <v/>
      </c>
      <c r="IT31" s="9" t="str">
        <f ca="1">IF(OR(IT4="",IT$28&lt;$A31),"",IT4/OFFSET(ParoRegCLM!$A$2,MATCH(IT$29,ParoRegCLM!$A$2:$A$500)+$A31-1,1)-1)</f>
        <v/>
      </c>
      <c r="IU31" s="9" t="str">
        <f ca="1">IF(OR(IU4="",IU$28&lt;$A31),"",IU4/OFFSET(ParoRegCLM!$A$2,MATCH(IU$29,ParoRegCLM!$A$2:$A$500)+$A31-1,1)-1)</f>
        <v/>
      </c>
      <c r="IV31" s="9" t="str">
        <f ca="1">IF(OR(IV4="",IV$28&lt;$A31),"",IV4/OFFSET(ParoRegCLM!$A$2,MATCH(IV$29,ParoRegCLM!$A$2:$A$500)+$A31-1,1)-1)</f>
        <v/>
      </c>
      <c r="IW31" s="9" t="str">
        <f ca="1">IF(OR(IW4="",IW$28&lt;$A31),"",IW4/OFFSET(ParoRegCLM!$A$2,MATCH(IW$29,ParoRegCLM!$A$2:$A$500)+$A31-1,1)-1)</f>
        <v/>
      </c>
      <c r="IX31" s="9" t="str">
        <f ca="1">IF(OR(IX4="",IX$28&lt;$A31),"",IX4/OFFSET(ParoRegCLM!$A$2,MATCH(IX$29,ParoRegCLM!$A$2:$A$500)+$A31-1,1)-1)</f>
        <v/>
      </c>
      <c r="IY31" s="9" t="str">
        <f ca="1">IF(OR(IY4="",IY$28&lt;$A31),"",IY4/OFFSET(ParoRegCLM!$A$2,MATCH(IY$29,ParoRegCLM!$A$2:$A$500)+$A31-1,1)-1)</f>
        <v/>
      </c>
      <c r="IZ31" s="9" t="str">
        <f ca="1">IF(OR(IZ4="",IZ$28&lt;$A31),"",IZ4/OFFSET(ParoRegCLM!$A$2,MATCH(IZ$29,ParoRegCLM!$A$2:$A$500)+$A31-1,1)-1)</f>
        <v/>
      </c>
      <c r="JA31" s="9" t="str">
        <f ca="1">IF(OR(JA4="",JA$28&lt;$A31),"",JA4/OFFSET(ParoRegCLM!$A$2,MATCH(JA$29,ParoRegCLM!$A$2:$A$500)+$A31-1,1)-1)</f>
        <v/>
      </c>
      <c r="JB31" s="9" t="str">
        <f ca="1">IF(OR(JB4="",JB$28&lt;$A31),"",JB4/OFFSET(ParoRegCLM!$A$2,MATCH(JB$29,ParoRegCLM!$A$2:$A$500)+$A31-1,1)-1)</f>
        <v/>
      </c>
      <c r="JC31" s="9" t="str">
        <f ca="1">IF(OR(JC4="",JC$28&lt;$A31),"",JC4/OFFSET(ParoRegCLM!$A$2,MATCH(JC$29,ParoRegCLM!$A$2:$A$500)+$A31-1,1)-1)</f>
        <v/>
      </c>
      <c r="JD31" s="9" t="str">
        <f ca="1">IF(OR(JD4="",JD$28&lt;$A31),"",JD4/OFFSET(ParoRegCLM!$A$2,MATCH(JD$29,ParoRegCLM!$A$2:$A$500)+$A31-1,1)-1)</f>
        <v/>
      </c>
      <c r="JE31" s="9" t="str">
        <f ca="1">IF(OR(JE4="",JE$28&lt;$A31),"",JE4/OFFSET(ParoRegCLM!$A$2,MATCH(JE$29,ParoRegCLM!$A$2:$A$500)+$A31-1,1)-1)</f>
        <v/>
      </c>
      <c r="JF31" s="9" t="str">
        <f ca="1">IF(OR(JF4="",JF$28&lt;$A31),"",JF4/OFFSET(ParoRegCLM!$A$2,MATCH(JF$29,ParoRegCLM!$A$2:$A$500)+$A31-1,1)-1)</f>
        <v/>
      </c>
      <c r="JG31" s="9" t="str">
        <f ca="1">IF(OR(JG4="",JG$28&lt;$A31),"",JG4/OFFSET(ParoRegCLM!$A$2,MATCH(JG$29,ParoRegCLM!$A$2:$A$500)+$A31-1,1)-1)</f>
        <v/>
      </c>
      <c r="JH31" s="9" t="str">
        <f ca="1">IF(OR(JH4="",JH$28&lt;$A31),"",JH4/OFFSET(ParoRegCLM!$A$2,MATCH(JH$29,ParoRegCLM!$A$2:$A$500)+$A31-1,1)-1)</f>
        <v/>
      </c>
      <c r="JI31" s="13">
        <f t="shared" ca="1" si="14"/>
        <v>-3.3571930012346275E-3</v>
      </c>
      <c r="JJ31" s="13">
        <f t="shared" ca="1" si="15"/>
        <v>-2.4930852928602976E-3</v>
      </c>
      <c r="JK31" s="14">
        <f t="shared" ca="1" si="16"/>
        <v>1.2822925250581987E-3</v>
      </c>
      <c r="JL31" s="17">
        <f t="shared" ref="JL31:JL41" ca="1" si="19">SQRT(JK31)</f>
        <v>3.5809112318768793E-2</v>
      </c>
      <c r="JM31" s="15" t="str">
        <f t="shared" ca="1" si="17"/>
        <v>[ -7,50% ; 6,83% ]</v>
      </c>
      <c r="JN31" s="17">
        <f t="shared" ca="1" si="18"/>
        <v>4.5835663768024053E-2</v>
      </c>
      <c r="LY31" s="1"/>
    </row>
    <row r="32" spans="1:337" x14ac:dyDescent="0.25">
      <c r="A32" s="4">
        <v>3</v>
      </c>
      <c r="B32" s="9">
        <f ca="1">IF(OR(B5="",B$28&lt;$A32),"",B5/OFFSET(ParoRegCLM!$A$2,MATCH(B$29,ParoRegCLM!$A$2:$A$500)+$A32-1,1)-1)</f>
        <v>6.3186586940653378E-3</v>
      </c>
      <c r="C32" s="9">
        <f ca="1">IF(OR(C5="",C$28&lt;$A32),"",C5/OFFSET(ParoRegCLM!$A$2,MATCH(C$29,ParoRegCLM!$A$2:$A$500)+$A32-1,1)-1)</f>
        <v>-4.785305928953576E-2</v>
      </c>
      <c r="D32" s="9">
        <f ca="1">IF(OR(D5="",D$28&lt;$A32),"",D5/OFFSET(ParoRegCLM!$A$2,MATCH(D$29,ParoRegCLM!$A$2:$A$500)+$A32-1,1)-1)</f>
        <v>-2.0287566056504502E-2</v>
      </c>
      <c r="E32" s="9">
        <f ca="1">IF(OR(E5="",E$28&lt;$A32),"",E5/OFFSET(ParoRegCLM!$A$2,MATCH(E$29,ParoRegCLM!$A$2:$A$500)+$A32-1,1)-1)</f>
        <v>1.2915767591288096E-2</v>
      </c>
      <c r="F32" s="9">
        <f ca="1">IF(OR(F5="",F$28&lt;$A32),"",F5/OFFSET(ParoRegCLM!$A$2,MATCH(F$29,ParoRegCLM!$A$2:$A$500)+$A32-1,1)-1)</f>
        <v>5.5636016445051339E-2</v>
      </c>
      <c r="G32" s="9">
        <f ca="1">IF(OR(G5="",G$28&lt;$A32),"",G5/OFFSET(ParoRegCLM!$A$2,MATCH(G$29,ParoRegCLM!$A$2:$A$500)+$A32-1,1)-1)</f>
        <v>3.6892514862663095E-2</v>
      </c>
      <c r="H32" s="9">
        <f ca="1">IF(OR(H5="",H$28&lt;$A32),"",H5/OFFSET(ParoRegCLM!$A$2,MATCH(H$29,ParoRegCLM!$A$2:$A$500)+$A32-1,1)-1)</f>
        <v>2.6083030028220655E-2</v>
      </c>
      <c r="I32" s="9">
        <f ca="1">IF(OR(I5="",I$28&lt;$A32),"",I5/OFFSET(ParoRegCLM!$A$2,MATCH(I$29,ParoRegCLM!$A$2:$A$500)+$A32-1,1)-1)</f>
        <v>2.3198811457910695E-2</v>
      </c>
      <c r="J32" s="9">
        <f ca="1">IF(OR(J5="",J$28&lt;$A32),"",J5/OFFSET(ParoRegCLM!$A$2,MATCH(J$29,ParoRegCLM!$A$2:$A$500)+$A32-1,1)-1)</f>
        <v>8.7197516285977272E-3</v>
      </c>
      <c r="K32" s="9">
        <f ca="1">IF(OR(K5="",K$28&lt;$A32),"",K5/OFFSET(ParoRegCLM!$A$2,MATCH(K$29,ParoRegCLM!$A$2:$A$500)+$A32-1,1)-1)</f>
        <v>-1.1681820738725479E-2</v>
      </c>
      <c r="L32" s="9">
        <f ca="1">IF(OR(L5="",L$28&lt;$A32),"",L5/OFFSET(ParoRegCLM!$A$2,MATCH(L$29,ParoRegCLM!$A$2:$A$500)+$A32-1,1)-1)</f>
        <v>-1.7823774960437078E-2</v>
      </c>
      <c r="M32" s="9">
        <f ca="1">IF(OR(M5="",M$28&lt;$A32),"",M5/OFFSET(ParoRegCLM!$A$2,MATCH(M$29,ParoRegCLM!$A$2:$A$500)+$A32-1,1)-1)</f>
        <v>-5.3674366393626771E-3</v>
      </c>
      <c r="N32" s="9">
        <f ca="1">IF(OR(N5="",N$28&lt;$A32),"",N5/OFFSET(ParoRegCLM!$A$2,MATCH(N$29,ParoRegCLM!$A$2:$A$500)+$A32-1,1)-1)</f>
        <v>2.2043182577267117E-3</v>
      </c>
      <c r="O32" s="9">
        <f ca="1">IF(OR(O5="",O$28&lt;$A32),"",O5/OFFSET(ParoRegCLM!$A$2,MATCH(O$29,ParoRegCLM!$A$2:$A$500)+$A32-1,1)-1)</f>
        <v>-5.635141997001325E-4</v>
      </c>
      <c r="P32" s="9">
        <f ca="1">IF(OR(P5="",P$28&lt;$A32),"",P5/OFFSET(ParoRegCLM!$A$2,MATCH(P$29,ParoRegCLM!$A$2:$A$500)+$A32-1,1)-1)</f>
        <v>-2.515373864330317E-3</v>
      </c>
      <c r="Q32" s="9">
        <f ca="1">IF(OR(Q5="",Q$28&lt;$A32),"",Q5/OFFSET(ParoRegCLM!$A$2,MATCH(Q$29,ParoRegCLM!$A$2:$A$500)+$A32-1,1)-1)</f>
        <v>2.5616949289864577E-2</v>
      </c>
      <c r="R32" s="9">
        <f ca="1">IF(OR(R5="",R$28&lt;$A32),"",R5/OFFSET(ParoRegCLM!$A$2,MATCH(R$29,ParoRegCLM!$A$2:$A$500)+$A32-1,1)-1)</f>
        <v>1.3001441351556009E-2</v>
      </c>
      <c r="S32" s="9">
        <f ca="1">IF(OR(S5="",S$28&lt;$A32),"",S5/OFFSET(ParoRegCLM!$A$2,MATCH(S$29,ParoRegCLM!$A$2:$A$500)+$A32-1,1)-1)</f>
        <v>-1.4774298422614018E-3</v>
      </c>
      <c r="T32" s="9">
        <f ca="1">IF(OR(T5="",T$28&lt;$A32),"",T5/OFFSET(ParoRegCLM!$A$2,MATCH(T$29,ParoRegCLM!$A$2:$A$500)+$A32-1,1)-1)</f>
        <v>-1.1876654681983068E-2</v>
      </c>
      <c r="U32" s="9">
        <f ca="1">IF(OR(U5="",U$28&lt;$A32),"",U5/OFFSET(ParoRegCLM!$A$2,MATCH(U$29,ParoRegCLM!$A$2:$A$500)+$A32-1,1)-1)</f>
        <v>-8.410594509802527E-3</v>
      </c>
      <c r="V32" s="9">
        <f ca="1">IF(OR(V5="",V$28&lt;$A32),"",V5/OFFSET(ParoRegCLM!$A$2,MATCH(V$29,ParoRegCLM!$A$2:$A$500)+$A32-1,1)-1)</f>
        <v>1.9146876139910507E-2</v>
      </c>
      <c r="W32" s="9">
        <f ca="1">IF(OR(W5="",W$28&lt;$A32),"",W5/OFFSET(ParoRegCLM!$A$2,MATCH(W$29,ParoRegCLM!$A$2:$A$500)+$A32-1,1)-1)</f>
        <v>2.6156580107396854E-2</v>
      </c>
      <c r="X32" s="9">
        <f ca="1">IF(OR(X5="",X$28&lt;$A32),"",X5/OFFSET(ParoRegCLM!$A$2,MATCH(X$29,ParoRegCLM!$A$2:$A$500)+$A32-1,1)-1)</f>
        <v>3.2282703501226973E-2</v>
      </c>
      <c r="Y32" s="9">
        <f ca="1">IF(OR(Y5="",Y$28&lt;$A32),"",Y5/OFFSET(ParoRegCLM!$A$2,MATCH(Y$29,ParoRegCLM!$A$2:$A$500)+$A32-1,1)-1)</f>
        <v>2.2041635126121228E-2</v>
      </c>
      <c r="Z32" s="9">
        <f ca="1">IF(OR(Z5="",Z$28&lt;$A32),"",Z5/OFFSET(ParoRegCLM!$A$2,MATCH(Z$29,ParoRegCLM!$A$2:$A$500)+$A32-1,1)-1)</f>
        <v>2.928148297931954E-2</v>
      </c>
      <c r="AA32" s="9">
        <f ca="1">IF(OR(AA5="",AA$28&lt;$A32),"",AA5/OFFSET(ParoRegCLM!$A$2,MATCH(AA$29,ParoRegCLM!$A$2:$A$500)+$A32-1,1)-1)</f>
        <v>2.6428196801007164E-2</v>
      </c>
      <c r="AB32" s="9">
        <f ca="1">IF(OR(AB5="",AB$28&lt;$A32),"",AB5/OFFSET(ParoRegCLM!$A$2,MATCH(AB$29,ParoRegCLM!$A$2:$A$500)+$A32-1,1)-1)</f>
        <v>1.2769931239130505E-2</v>
      </c>
      <c r="AC32" s="9">
        <f ca="1">IF(OR(AC5="",AC$28&lt;$A32),"",AC5/OFFSET(ParoRegCLM!$A$2,MATCH(AC$29,ParoRegCLM!$A$2:$A$500)+$A32-1,1)-1)</f>
        <v>2.4753688897907189E-3</v>
      </c>
      <c r="AD32" s="9">
        <f ca="1">IF(OR(AD5="",AD$28&lt;$A32),"",AD5/OFFSET(ParoRegCLM!$A$2,MATCH(AD$29,ParoRegCLM!$A$2:$A$500)+$A32-1,1)-1)</f>
        <v>-1.2298202109851664E-2</v>
      </c>
      <c r="AE32" s="9">
        <f ca="1">IF(OR(AE5="",AE$28&lt;$A32),"",AE5/OFFSET(ParoRegCLM!$A$2,MATCH(AE$29,ParoRegCLM!$A$2:$A$500)+$A32-1,1)-1)</f>
        <v>-8.1713282149552535E-3</v>
      </c>
      <c r="AF32" s="9">
        <f ca="1">IF(OR(AF5="",AF$28&lt;$A32),"",AF5/OFFSET(ParoRegCLM!$A$2,MATCH(AF$29,ParoRegCLM!$A$2:$A$500)+$A32-1,1)-1)</f>
        <v>-7.8671750444589961E-3</v>
      </c>
      <c r="AG32" s="9">
        <f ca="1">IF(OR(AG5="",AG$28&lt;$A32),"",AG5/OFFSET(ParoRegCLM!$A$2,MATCH(AG$29,ParoRegCLM!$A$2:$A$500)+$A32-1,1)-1)</f>
        <v>7.2025257216825622E-3</v>
      </c>
      <c r="AH32" s="9">
        <f ca="1">IF(OR(AH5="",AH$28&lt;$A32),"",AH5/OFFSET(ParoRegCLM!$A$2,MATCH(AH$29,ParoRegCLM!$A$2:$A$500)+$A32-1,1)-1)</f>
        <v>2.1039516466020647E-2</v>
      </c>
      <c r="AI32" s="9">
        <f ca="1">IF(OR(AI5="",AI$28&lt;$A32),"",AI5/OFFSET(ParoRegCLM!$A$2,MATCH(AI$29,ParoRegCLM!$A$2:$A$500)+$A32-1,1)-1)</f>
        <v>4.6433065763332282E-2</v>
      </c>
      <c r="AJ32" s="9">
        <f ca="1">IF(OR(AJ5="",AJ$28&lt;$A32),"",AJ5/OFFSET(ParoRegCLM!$A$2,MATCH(AJ$29,ParoRegCLM!$A$2:$A$500)+$A32-1,1)-1)</f>
        <v>3.9829023266174435E-2</v>
      </c>
      <c r="AK32" s="9">
        <f ca="1">IF(OR(AK5="",AK$28&lt;$A32),"",AK5/OFFSET(ParoRegCLM!$A$2,MATCH(AK$29,ParoRegCLM!$A$2:$A$500)+$A32-1,1)-1)</f>
        <v>3.0874795133913002E-2</v>
      </c>
      <c r="AL32" s="9">
        <f ca="1">IF(OR(AL5="",AL$28&lt;$A32),"",AL5/OFFSET(ParoRegCLM!$A$2,MATCH(AL$29,ParoRegCLM!$A$2:$A$500)+$A32-1,1)-1)</f>
        <v>1.5165858013870492E-2</v>
      </c>
      <c r="AM32" s="9">
        <f ca="1">IF(OR(AM5="",AM$28&lt;$A32),"",AM5/OFFSET(ParoRegCLM!$A$2,MATCH(AM$29,ParoRegCLM!$A$2:$A$500)+$A32-1,1)-1)</f>
        <v>-1.1885255867737254E-2</v>
      </c>
      <c r="AN32" s="9">
        <f ca="1">IF(OR(AN5="",AN$28&lt;$A32),"",AN5/OFFSET(ParoRegCLM!$A$2,MATCH(AN$29,ParoRegCLM!$A$2:$A$500)+$A32-1,1)-1)</f>
        <v>-2.3163423257886451E-2</v>
      </c>
      <c r="AO32" s="9">
        <f ca="1">IF(OR(AO5="",AO$28&lt;$A32),"",AO5/OFFSET(ParoRegCLM!$A$2,MATCH(AO$29,ParoRegCLM!$A$2:$A$500)+$A32-1,1)-1)</f>
        <v>-3.8828386079154065E-2</v>
      </c>
      <c r="AP32" s="9">
        <f ca="1">IF(OR(AP5="",AP$28&lt;$A32),"",AP5/OFFSET(ParoRegCLM!$A$2,MATCH(AP$29,ParoRegCLM!$A$2:$A$500)+$A32-1,1)-1)</f>
        <v>-4.5614961657049813E-2</v>
      </c>
      <c r="AQ32" s="9">
        <f ca="1">IF(OR(AQ5="",AQ$28&lt;$A32),"",AQ5/OFFSET(ParoRegCLM!$A$2,MATCH(AQ$29,ParoRegCLM!$A$2:$A$500)+$A32-1,1)-1)</f>
        <v>-4.7120074571654014E-2</v>
      </c>
      <c r="AR32" s="9">
        <f ca="1">IF(OR(AR5="",AR$28&lt;$A32),"",AR5/OFFSET(ParoRegCLM!$A$2,MATCH(AR$29,ParoRegCLM!$A$2:$A$500)+$A32-1,1)-1)</f>
        <v>-2.9822840460478006E-2</v>
      </c>
      <c r="AS32" s="9">
        <f ca="1">IF(OR(AS5="",AS$28&lt;$A32),"",AS5/OFFSET(ParoRegCLM!$A$2,MATCH(AS$29,ParoRegCLM!$A$2:$A$500)+$A32-1,1)-1)</f>
        <v>-1.3173673607884351E-2</v>
      </c>
      <c r="AT32" s="9">
        <f ca="1">IF(OR(AT5="",AT$28&lt;$A32),"",AT5/OFFSET(ParoRegCLM!$A$2,MATCH(AT$29,ParoRegCLM!$A$2:$A$500)+$A32-1,1)-1)</f>
        <v>-5.5304348925079294E-3</v>
      </c>
      <c r="AU32" s="9">
        <f ca="1">IF(OR(AU5="",AU$28&lt;$A32),"",AU5/OFFSET(ParoRegCLM!$A$2,MATCH(AU$29,ParoRegCLM!$A$2:$A$500)+$A32-1,1)-1)</f>
        <v>7.5529940711058785E-3</v>
      </c>
      <c r="AV32" s="9">
        <f ca="1">IF(OR(AV5="",AV$28&lt;$A32),"",AV5/OFFSET(ParoRegCLM!$A$2,MATCH(AV$29,ParoRegCLM!$A$2:$A$500)+$A32-1,1)-1)</f>
        <v>-2.2351964961302206E-2</v>
      </c>
      <c r="AW32" s="9">
        <f ca="1">IF(OR(AW5="",AW$28&lt;$A32),"",AW5/OFFSET(ParoRegCLM!$A$2,MATCH(AW$29,ParoRegCLM!$A$2:$A$500)+$A32-1,1)-1)</f>
        <v>-5.1671185058676961E-2</v>
      </c>
      <c r="AX32" s="9">
        <f ca="1">IF(OR(AX5="",AX$28&lt;$A32),"",AX5/OFFSET(ParoRegCLM!$A$2,MATCH(AX$29,ParoRegCLM!$A$2:$A$500)+$A32-1,1)-1)</f>
        <v>-6.9634576521382829E-2</v>
      </c>
      <c r="AY32" s="9">
        <f ca="1">IF(OR(AY5="",AY$28&lt;$A32),"",AY5/OFFSET(ParoRegCLM!$A$2,MATCH(AY$29,ParoRegCLM!$A$2:$A$500)+$A32-1,1)-1)</f>
        <v>-8.5673679678188397E-2</v>
      </c>
      <c r="AZ32" s="9">
        <f ca="1">IF(OR(AZ5="",AZ$28&lt;$A32),"",AZ5/OFFSET(ParoRegCLM!$A$2,MATCH(AZ$29,ParoRegCLM!$A$2:$A$500)+$A32-1,1)-1)</f>
        <v>-8.5272678203201613E-2</v>
      </c>
      <c r="BA32" s="9">
        <f ca="1">IF(OR(BA5="",BA$28&lt;$A32),"",BA5/OFFSET(ParoRegCLM!$A$2,MATCH(BA$29,ParoRegCLM!$A$2:$A$500)+$A32-1,1)-1)</f>
        <v>-0.1009932719678206</v>
      </c>
      <c r="BB32" s="9">
        <f ca="1">IF(OR(BB5="",BB$28&lt;$A32),"",BB5/OFFSET(ParoRegCLM!$A$2,MATCH(BB$29,ParoRegCLM!$A$2:$A$500)+$A32-1,1)-1)</f>
        <v>-8.5911899903963862E-2</v>
      </c>
      <c r="BC32" s="9">
        <f ca="1">IF(OR(BC5="",BC$28&lt;$A32),"",BC5/OFFSET(ParoRegCLM!$A$2,MATCH(BC$29,ParoRegCLM!$A$2:$A$500)+$A32-1,1)-1)</f>
        <v>-7.4252392637827902E-2</v>
      </c>
      <c r="BD32" s="9">
        <f ca="1">IF(OR(BD5="",BD$28&lt;$A32),"",BD5/OFFSET(ParoRegCLM!$A$2,MATCH(BD$29,ParoRegCLM!$A$2:$A$500)+$A32-1,1)-1)</f>
        <v>-4.7734804545861764E-2</v>
      </c>
      <c r="BE32" s="9">
        <f ca="1">IF(OR(BE5="",BE$28&lt;$A32),"",BE5/OFFSET(ParoRegCLM!$A$2,MATCH(BE$29,ParoRegCLM!$A$2:$A$500)+$A32-1,1)-1)</f>
        <v>-9.0004272060847712E-2</v>
      </c>
      <c r="BF32" s="9">
        <f ca="1">IF(OR(BF5="",BF$28&lt;$A32),"",BF5/OFFSET(ParoRegCLM!$A$2,MATCH(BF$29,ParoRegCLM!$A$2:$A$500)+$A32-1,1)-1)</f>
        <v>-0.11419656139087919</v>
      </c>
      <c r="BG32" s="9">
        <f ca="1">IF(OR(BG5="",BG$28&lt;$A32),"",BG5/OFFSET(ParoRegCLM!$A$2,MATCH(BG$29,ParoRegCLM!$A$2:$A$500)+$A32-1,1)-1)</f>
        <v>-0.13843885592493121</v>
      </c>
      <c r="BH32" s="9">
        <f ca="1">IF(OR(BH5="",BH$28&lt;$A32),"",BH5/OFFSET(ParoRegCLM!$A$2,MATCH(BH$29,ParoRegCLM!$A$2:$A$500)+$A32-1,1)-1)</f>
        <v>-5.2569254893955475E-2</v>
      </c>
      <c r="BI32" s="9">
        <f ca="1">IF(OR(BI5="",BI$28&lt;$A32),"",BI5/OFFSET(ParoRegCLM!$A$2,MATCH(BI$29,ParoRegCLM!$A$2:$A$500)+$A32-1,1)-1)</f>
        <v>-1.3591617489809305E-2</v>
      </c>
      <c r="BJ32" s="9">
        <f ca="1">IF(OR(BJ5="",BJ$28&lt;$A32),"",BJ5/OFFSET(ParoRegCLM!$A$2,MATCH(BJ$29,ParoRegCLM!$A$2:$A$500)+$A32-1,1)-1)</f>
        <v>-1.1361891959785431E-2</v>
      </c>
      <c r="BK32" s="9">
        <f ca="1">IF(OR(BK5="",BK$28&lt;$A32),"",BK5/OFFSET(ParoRegCLM!$A$2,MATCH(BK$29,ParoRegCLM!$A$2:$A$500)+$A32-1,1)-1)</f>
        <v>-4.4595936079056875E-2</v>
      </c>
      <c r="BL32" s="9">
        <f ca="1">IF(OR(BL5="",BL$28&lt;$A32),"",BL5/OFFSET(ParoRegCLM!$A$2,MATCH(BL$29,ParoRegCLM!$A$2:$A$500)+$A32-1,1)-1)</f>
        <v>3.7801264779473431E-3</v>
      </c>
      <c r="BM32" s="9">
        <f ca="1">IF(OR(BM5="",BM$28&lt;$A32),"",BM5/OFFSET(ParoRegCLM!$A$2,MATCH(BM$29,ParoRegCLM!$A$2:$A$500)+$A32-1,1)-1)</f>
        <v>8.2582031476331474E-2</v>
      </c>
      <c r="BN32" s="9">
        <f ca="1">IF(OR(BN5="",BN$28&lt;$A32),"",BN5/OFFSET(ParoRegCLM!$A$2,MATCH(BN$29,ParoRegCLM!$A$2:$A$500)+$A32-1,1)-1)</f>
        <v>0.11448245198414408</v>
      </c>
      <c r="BO32" s="9">
        <f ca="1">IF(OR(BO5="",BO$28&lt;$A32),"",BO5/OFFSET(ParoRegCLM!$A$2,MATCH(BO$29,ParoRegCLM!$A$2:$A$500)+$A32-1,1)-1)</f>
        <v>0.10387508691105585</v>
      </c>
      <c r="BP32" s="9">
        <f ca="1">IF(OR(BP5="",BP$28&lt;$A32),"",BP5/OFFSET(ParoRegCLM!$A$2,MATCH(BP$29,ParoRegCLM!$A$2:$A$500)+$A32-1,1)-1)</f>
        <v>7.4135026516691571E-2</v>
      </c>
      <c r="BQ32" s="9">
        <f ca="1">IF(OR(BQ5="",BQ$28&lt;$A32),"",BQ5/OFFSET(ParoRegCLM!$A$2,MATCH(BQ$29,ParoRegCLM!$A$2:$A$500)+$A32-1,1)-1)</f>
        <v>-4.6197543008954511E-3</v>
      </c>
      <c r="BR32" s="9">
        <f ca="1">IF(OR(BR5="",BR$28&lt;$A32),"",BR5/OFFSET(ParoRegCLM!$A$2,MATCH(BR$29,ParoRegCLM!$A$2:$A$500)+$A32-1,1)-1)</f>
        <v>2.2165724684717336E-3</v>
      </c>
      <c r="BS32" s="9">
        <f ca="1">IF(OR(BS5="",BS$28&lt;$A32),"",BS5/OFFSET(ParoRegCLM!$A$2,MATCH(BS$29,ParoRegCLM!$A$2:$A$500)+$A32-1,1)-1)</f>
        <v>-2.3893115048474689E-2</v>
      </c>
      <c r="BT32" s="9">
        <f ca="1">IF(OR(BT5="",BT$28&lt;$A32),"",BT5/OFFSET(ParoRegCLM!$A$2,MATCH(BT$29,ParoRegCLM!$A$2:$A$500)+$A32-1,1)-1)</f>
        <v>5.4992626489735796E-2</v>
      </c>
      <c r="BU32" s="9">
        <f ca="1">IF(OR(BU5="",BU$28&lt;$A32),"",BU5/OFFSET(ParoRegCLM!$A$2,MATCH(BU$29,ParoRegCLM!$A$2:$A$500)+$A32-1,1)-1)</f>
        <v>-4.8452557692316711E-3</v>
      </c>
      <c r="BV32" s="9">
        <f ca="1">IF(OR(BV5="",BV$28&lt;$A32),"",BV5/OFFSET(ParoRegCLM!$A$2,MATCH(BV$29,ParoRegCLM!$A$2:$A$500)+$A32-1,1)-1)</f>
        <v>5.51140819549234E-3</v>
      </c>
      <c r="BW32" s="9">
        <f ca="1">IF(OR(BW5="",BW$28&lt;$A32),"",BW5/OFFSET(ParoRegCLM!$A$2,MATCH(BW$29,ParoRegCLM!$A$2:$A$500)+$A32-1,1)-1)</f>
        <v>-1.3720597680695334E-3</v>
      </c>
      <c r="BX32" s="9">
        <f ca="1">IF(OR(BX5="",BX$28&lt;$A32),"",BX5/OFFSET(ParoRegCLM!$A$2,MATCH(BX$29,ParoRegCLM!$A$2:$A$500)+$A32-1,1)-1)</f>
        <v>2.1666357689221094E-2</v>
      </c>
      <c r="BY32" s="9">
        <f ca="1">IF(OR(BY5="",BY$28&lt;$A32),"",BY5/OFFSET(ParoRegCLM!$A$2,MATCH(BY$29,ParoRegCLM!$A$2:$A$500)+$A32-1,1)-1)</f>
        <v>2.4390977444783912E-2</v>
      </c>
      <c r="BZ32" s="9">
        <f ca="1">IF(OR(BZ5="",BZ$28&lt;$A32),"",BZ5/OFFSET(ParoRegCLM!$A$2,MATCH(BZ$29,ParoRegCLM!$A$2:$A$500)+$A32-1,1)-1)</f>
        <v>3.1486664915076235E-2</v>
      </c>
      <c r="CA32" s="9">
        <f ca="1">IF(OR(CA5="",CA$28&lt;$A32),"",CA5/OFFSET(ParoRegCLM!$A$2,MATCH(CA$29,ParoRegCLM!$A$2:$A$500)+$A32-1,1)-1)</f>
        <v>2.8560083630695399E-3</v>
      </c>
      <c r="CB32" s="9">
        <f ca="1">IF(OR(CB5="",CB$28&lt;$A32),"",CB5/OFFSET(ParoRegCLM!$A$2,MATCH(CB$29,ParoRegCLM!$A$2:$A$500)+$A32-1,1)-1)</f>
        <v>3.83413663966643E-2</v>
      </c>
      <c r="CC32" s="9">
        <f ca="1">IF(OR(CC5="",CC$28&lt;$A32),"",CC5/OFFSET(ParoRegCLM!$A$2,MATCH(CC$29,ParoRegCLM!$A$2:$A$500)+$A32-1,1)-1)</f>
        <v>-1.1704103339850169E-3</v>
      </c>
      <c r="CD32" s="9">
        <f ca="1">IF(OR(CD5="",CD$28&lt;$A32),"",CD5/OFFSET(ParoRegCLM!$A$2,MATCH(CD$29,ParoRegCLM!$A$2:$A$500)+$A32-1,1)-1)</f>
        <v>9.0901456299057326E-3</v>
      </c>
      <c r="CE32" s="9">
        <f ca="1">IF(OR(CE5="",CE$28&lt;$A32),"",CE5/OFFSET(ParoRegCLM!$A$2,MATCH(CE$29,ParoRegCLM!$A$2:$A$500)+$A32-1,1)-1)</f>
        <v>-8.9812847202589419E-3</v>
      </c>
      <c r="CF32" s="9">
        <f ca="1">IF(OR(CF5="",CF$28&lt;$A32),"",CF5/OFFSET(ParoRegCLM!$A$2,MATCH(CF$29,ParoRegCLM!$A$2:$A$500)+$A32-1,1)-1)</f>
        <v>1.7721765026410319E-2</v>
      </c>
      <c r="CG32" s="9">
        <f ca="1">IF(OR(CG5="",CG$28&lt;$A32),"",CG5/OFFSET(ParoRegCLM!$A$2,MATCH(CG$29,ParoRegCLM!$A$2:$A$500)+$A32-1,1)-1)</f>
        <v>2.1221840862569952E-2</v>
      </c>
      <c r="CH32" s="9">
        <f ca="1">IF(OR(CH5="",CH$28&lt;$A32),"",CH5/OFFSET(ParoRegCLM!$A$2,MATCH(CH$29,ParoRegCLM!$A$2:$A$500)+$A32-1,1)-1)</f>
        <v>-4.3472364502830096E-3</v>
      </c>
      <c r="CI32" s="9">
        <f ca="1">IF(OR(CI5="",CI$28&lt;$A32),"",CI5/OFFSET(ParoRegCLM!$A$2,MATCH(CI$29,ParoRegCLM!$A$2:$A$500)+$A32-1,1)-1)</f>
        <v>1.492239827220887E-2</v>
      </c>
      <c r="CJ32" s="9">
        <f ca="1">IF(OR(CJ5="",CJ$28&lt;$A32),"",CJ5/OFFSET(ParoRegCLM!$A$2,MATCH(CJ$29,ParoRegCLM!$A$2:$A$500)+$A32-1,1)-1)</f>
        <v>4.6469744752084541E-3</v>
      </c>
      <c r="CK32" s="9">
        <f ca="1">IF(OR(CK5="",CK$28&lt;$A32),"",CK5/OFFSET(ParoRegCLM!$A$2,MATCH(CK$29,ParoRegCLM!$A$2:$A$500)+$A32-1,1)-1)</f>
        <v>-3.2369677463570334E-2</v>
      </c>
      <c r="CL32" s="9">
        <f ca="1">IF(OR(CL5="",CL$28&lt;$A32),"",CL5/OFFSET(ParoRegCLM!$A$2,MATCH(CL$29,ParoRegCLM!$A$2:$A$500)+$A32-1,1)-1)</f>
        <v>-3.108536377014659E-2</v>
      </c>
      <c r="CM32" s="9">
        <f ca="1">IF(OR(CM5="",CM$28&lt;$A32),"",CM5/OFFSET(ParoRegCLM!$A$2,MATCH(CM$29,ParoRegCLM!$A$2:$A$500)+$A32-1,1)-1)</f>
        <v>-5.9235744404640966E-3</v>
      </c>
      <c r="CN32" s="9">
        <f ca="1">IF(OR(CN5="",CN$28&lt;$A32),"",CN5/OFFSET(ParoRegCLM!$A$2,MATCH(CN$29,ParoRegCLM!$A$2:$A$500)+$A32-1,1)-1)</f>
        <v>2.0497302909872062E-3</v>
      </c>
      <c r="CO32" s="9">
        <f ca="1">IF(OR(CO5="",CO$28&lt;$A32),"",CO5/OFFSET(ParoRegCLM!$A$2,MATCH(CO$29,ParoRegCLM!$A$2:$A$500)+$A32-1,1)-1)</f>
        <v>-3.5064202950733092E-3</v>
      </c>
      <c r="CP32" s="9">
        <f ca="1">IF(OR(CP5="",CP$28&lt;$A32),"",CP5/OFFSET(ParoRegCLM!$A$2,MATCH(CP$29,ParoRegCLM!$A$2:$A$500)+$A32-1,1)-1)</f>
        <v>-2.3181795115984505E-2</v>
      </c>
      <c r="CQ32" s="9">
        <f ca="1">IF(OR(CQ5="",CQ$28&lt;$A32),"",CQ5/OFFSET(ParoRegCLM!$A$2,MATCH(CQ$29,ParoRegCLM!$A$2:$A$500)+$A32-1,1)-1)</f>
        <v>7.656897962898368E-3</v>
      </c>
      <c r="CR32" s="9">
        <f ca="1">IF(OR(CR5="",CR$28&lt;$A32),"",CR5/OFFSET(ParoRegCLM!$A$2,MATCH(CR$29,ParoRegCLM!$A$2:$A$500)+$A32-1,1)-1)</f>
        <v>2.174543812456009E-2</v>
      </c>
      <c r="CS32" s="9">
        <f ca="1">IF(OR(CS5="",CS$28&lt;$A32),"",CS5/OFFSET(ParoRegCLM!$A$2,MATCH(CS$29,ParoRegCLM!$A$2:$A$500)+$A32-1,1)-1)</f>
        <v>-3.2484315474563541E-3</v>
      </c>
      <c r="CT32" s="9">
        <f ca="1">IF(OR(CT5="",CT$28&lt;$A32),"",CT5/OFFSET(ParoRegCLM!$A$2,MATCH(CT$29,ParoRegCLM!$A$2:$A$500)+$A32-1,1)-1)</f>
        <v>-4.2513400879659158E-2</v>
      </c>
      <c r="CU32" s="9">
        <f ca="1">IF(OR(CU5="",CU$28&lt;$A32),"",CU5/OFFSET(ParoRegCLM!$A$2,MATCH(CU$29,ParoRegCLM!$A$2:$A$500)+$A32-1,1)-1)</f>
        <v>-3.1802210715528245E-2</v>
      </c>
      <c r="CV32" s="9">
        <f ca="1">IF(OR(CV5="",CV$28&lt;$A32),"",CV5/OFFSET(ParoRegCLM!$A$2,MATCH(CV$29,ParoRegCLM!$A$2:$A$500)+$A32-1,1)-1)</f>
        <v>-1.7659315451589941E-2</v>
      </c>
      <c r="CW32" s="9">
        <f ca="1">IF(OR(CW5="",CW$28&lt;$A32),"",CW5/OFFSET(ParoRegCLM!$A$2,MATCH(CW$29,ParoRegCLM!$A$2:$A$500)+$A32-1,1)-1)</f>
        <v>-4.4718580316405188E-4</v>
      </c>
      <c r="CX32" s="9">
        <f ca="1">IF(OR(CX5="",CX$28&lt;$A32),"",CX5/OFFSET(ParoRegCLM!$A$2,MATCH(CX$29,ParoRegCLM!$A$2:$A$500)+$A32-1,1)-1)</f>
        <v>-4.7850134942706291E-3</v>
      </c>
      <c r="CY32" s="9">
        <f ca="1">IF(OR(CY5="",CY$28&lt;$A32),"",CY5/OFFSET(ParoRegCLM!$A$2,MATCH(CY$29,ParoRegCLM!$A$2:$A$500)+$A32-1,1)-1)</f>
        <v>-5.7590043062067942E-3</v>
      </c>
      <c r="CZ32" s="9">
        <f ca="1">IF(OR(CZ5="",CZ$28&lt;$A32),"",CZ5/OFFSET(ParoRegCLM!$A$2,MATCH(CZ$29,ParoRegCLM!$A$2:$A$500)+$A32-1,1)-1)</f>
        <v>1.3940726317188679E-2</v>
      </c>
      <c r="DA32" s="9">
        <f ca="1">IF(OR(DA5="",DA$28&lt;$A32),"",DA5/OFFSET(ParoRegCLM!$A$2,MATCH(DA$29,ParoRegCLM!$A$2:$A$500)+$A32-1,1)-1)</f>
        <v>3.0142706520296825E-2</v>
      </c>
      <c r="DB32" s="9">
        <f ca="1">IF(OR(DB5="",DB$28&lt;$A32),"",DB5/OFFSET(ParoRegCLM!$A$2,MATCH(DB$29,ParoRegCLM!$A$2:$A$500)+$A32-1,1)-1)</f>
        <v>1.1437736576475288E-2</v>
      </c>
      <c r="DC32" s="9">
        <f ca="1">IF(OR(DC5="",DC$28&lt;$A32),"",DC5/OFFSET(ParoRegCLM!$A$2,MATCH(DC$29,ParoRegCLM!$A$2:$A$500)+$A32-1,1)-1)</f>
        <v>-1.9854213336929161E-2</v>
      </c>
      <c r="DD32" s="9">
        <f ca="1">IF(OR(DD5="",DD$28&lt;$A32),"",DD5/OFFSET(ParoRegCLM!$A$2,MATCH(DD$29,ParoRegCLM!$A$2:$A$500)+$A32-1,1)-1)</f>
        <v>1.1281281791894138E-2</v>
      </c>
      <c r="DE32" s="9">
        <f ca="1">IF(OR(DE5="",DE$28&lt;$A32),"",DE5/OFFSET(ParoRegCLM!$A$2,MATCH(DE$29,ParoRegCLM!$A$2:$A$500)+$A32-1,1)-1)</f>
        <v>3.9715294837338266E-2</v>
      </c>
      <c r="DF32" s="9">
        <f ca="1">IF(OR(DF5="",DF$28&lt;$A32),"",DF5/OFFSET(ParoRegCLM!$A$2,MATCH(DF$29,ParoRegCLM!$A$2:$A$500)+$A32-1,1)-1)</f>
        <v>3.2718946101047086E-2</v>
      </c>
      <c r="DG32" s="9">
        <f ca="1">IF(OR(DG5="",DG$28&lt;$A32),"",DG5/OFFSET(ParoRegCLM!$A$2,MATCH(DG$29,ParoRegCLM!$A$2:$A$500)+$A32-1,1)-1)</f>
        <v>4.5273182790021904E-2</v>
      </c>
      <c r="DH32" s="9">
        <f ca="1">IF(OR(DH5="",DH$28&lt;$A32),"",DH5/OFFSET(ParoRegCLM!$A$2,MATCH(DH$29,ParoRegCLM!$A$2:$A$500)+$A32-1,1)-1)</f>
        <v>3.1503864153081818E-2</v>
      </c>
      <c r="DI32" s="9">
        <f ca="1">IF(OR(DI5="",DI$28&lt;$A32),"",DI5/OFFSET(ParoRegCLM!$A$2,MATCH(DI$29,ParoRegCLM!$A$2:$A$500)+$A32-1,1)-1)</f>
        <v>3.7210503209837542E-2</v>
      </c>
      <c r="DJ32" s="9">
        <f ca="1">IF(OR(DJ5="",DJ$28&lt;$A32),"",DJ5/OFFSET(ParoRegCLM!$A$2,MATCH(DJ$29,ParoRegCLM!$A$2:$A$500)+$A32-1,1)-1)</f>
        <v>7.8004860705025436E-3</v>
      </c>
      <c r="DK32" s="9">
        <f ca="1">IF(OR(DK5="",DK$28&lt;$A32),"",DK5/OFFSET(ParoRegCLM!$A$2,MATCH(DK$29,ParoRegCLM!$A$2:$A$500)+$A32-1,1)-1)</f>
        <v>-1.4016029117103201E-5</v>
      </c>
      <c r="DL32" s="9">
        <f ca="1">IF(OR(DL5="",DL$28&lt;$A32),"",DL5/OFFSET(ParoRegCLM!$A$2,MATCH(DL$29,ParoRegCLM!$A$2:$A$500)+$A32-1,1)-1)</f>
        <v>2.349877668826994E-2</v>
      </c>
      <c r="DM32" s="9">
        <f ca="1">IF(OR(DM5="",DM$28&lt;$A32),"",DM5/OFFSET(ParoRegCLM!$A$2,MATCH(DM$29,ParoRegCLM!$A$2:$A$500)+$A32-1,1)-1)</f>
        <v>-2.8448734045017909E-3</v>
      </c>
      <c r="DN32" s="9">
        <f ca="1">IF(OR(DN5="",DN$28&lt;$A32),"",DN5/OFFSET(ParoRegCLM!$A$2,MATCH(DN$29,ParoRegCLM!$A$2:$A$500)+$A32-1,1)-1)</f>
        <v>2.0259586369910654E-3</v>
      </c>
      <c r="DO32" s="9">
        <f ca="1">IF(OR(DO5="",DO$28&lt;$A32),"",DO5/OFFSET(ParoRegCLM!$A$2,MATCH(DO$29,ParoRegCLM!$A$2:$A$500)+$A32-1,1)-1)</f>
        <v>-2.8360105397323698E-3</v>
      </c>
      <c r="DP32" s="9">
        <f ca="1">IF(OR(DP5="",DP$28&lt;$A32),"",DP5/OFFSET(ParoRegCLM!$A$2,MATCH(DP$29,ParoRegCLM!$A$2:$A$500)+$A32-1,1)-1)</f>
        <v>3.725834017584706E-2</v>
      </c>
      <c r="DQ32" s="9">
        <f ca="1">IF(OR(DQ5="",DQ$28&lt;$A32),"",DQ5/OFFSET(ParoRegCLM!$A$2,MATCH(DQ$29,ParoRegCLM!$A$2:$A$500)+$A32-1,1)-1)</f>
        <v>3.5899666157065857E-2</v>
      </c>
      <c r="DR32" s="9">
        <f ca="1">IF(OR(DR5="",DR$28&lt;$A32),"",DR5/OFFSET(ParoRegCLM!$A$2,MATCH(DR$29,ParoRegCLM!$A$2:$A$500)+$A32-1,1)-1)</f>
        <v>-8.5448090244865105E-3</v>
      </c>
      <c r="DS32" s="9">
        <f ca="1">IF(OR(DS5="",DS$28&lt;$A32),"",DS5/OFFSET(ParoRegCLM!$A$2,MATCH(DS$29,ParoRegCLM!$A$2:$A$500)+$A32-1,1)-1)</f>
        <v>-1.0007618687910003E-2</v>
      </c>
      <c r="DT32" s="9">
        <f ca="1">IF(OR(DT5="",DT$28&lt;$A32),"",DT5/OFFSET(ParoRegCLM!$A$2,MATCH(DT$29,ParoRegCLM!$A$2:$A$500)+$A32-1,1)-1)</f>
        <v>-1.805264764124126E-3</v>
      </c>
      <c r="DU32" s="9">
        <f ca="1">IF(OR(DU5="",DU$28&lt;$A32),"",DU5/OFFSET(ParoRegCLM!$A$2,MATCH(DU$29,ParoRegCLM!$A$2:$A$500)+$A32-1,1)-1)</f>
        <v>-8.668532142720009E-3</v>
      </c>
      <c r="DV32" s="9">
        <f ca="1">IF(OR(DV5="",DV$28&lt;$A32),"",DV5/OFFSET(ParoRegCLM!$A$2,MATCH(DV$29,ParoRegCLM!$A$2:$A$500)+$A32-1,1)-1)</f>
        <v>-1.6604449987895564E-2</v>
      </c>
      <c r="DW32" s="9">
        <f ca="1">IF(OR(DW5="",DW$28&lt;$A32),"",DW5/OFFSET(ParoRegCLM!$A$2,MATCH(DW$29,ParoRegCLM!$A$2:$A$500)+$A32-1,1)-1)</f>
        <v>-1.2623797795639935E-2</v>
      </c>
      <c r="DX32" s="9">
        <f ca="1">IF(OR(DX5="",DX$28&lt;$A32),"",DX5/OFFSET(ParoRegCLM!$A$2,MATCH(DX$29,ParoRegCLM!$A$2:$A$500)+$A32-1,1)-1)</f>
        <v>7.6556046900551067E-3</v>
      </c>
      <c r="DY32" s="9">
        <f ca="1">IF(OR(DY5="",DY$28&lt;$A32),"",DY5/OFFSET(ParoRegCLM!$A$2,MATCH(DY$29,ParoRegCLM!$A$2:$A$500)+$A32-1,1)-1)</f>
        <v>3.5782910102604149E-3</v>
      </c>
      <c r="DZ32" s="9">
        <f ca="1">IF(OR(DZ5="",DZ$28&lt;$A32),"",DZ5/OFFSET(ParoRegCLM!$A$2,MATCH(DZ$29,ParoRegCLM!$A$2:$A$500)+$A32-1,1)-1)</f>
        <v>1.0832614505513982E-2</v>
      </c>
      <c r="EA32" s="9">
        <f ca="1">IF(OR(EA5="",EA$28&lt;$A32),"",EA5/OFFSET(ParoRegCLM!$A$2,MATCH(EA$29,ParoRegCLM!$A$2:$A$500)+$A32-1,1)-1)</f>
        <v>9.7285761432619466E-4</v>
      </c>
      <c r="EB32" s="9">
        <f ca="1">IF(OR(EB5="",EB$28&lt;$A32),"",EB5/OFFSET(ParoRegCLM!$A$2,MATCH(EB$29,ParoRegCLM!$A$2:$A$500)+$A32-1,1)-1)</f>
        <v>8.4894374864650235E-3</v>
      </c>
      <c r="EC32" s="9">
        <f ca="1">IF(OR(EC5="",EC$28&lt;$A32),"",EC5/OFFSET(ParoRegCLM!$A$2,MATCH(EC$29,ParoRegCLM!$A$2:$A$500)+$A32-1,1)-1)</f>
        <v>-8.7389002237986402E-3</v>
      </c>
      <c r="ED32" s="9">
        <f ca="1">IF(OR(ED5="",ED$28&lt;$A32),"",ED5/OFFSET(ParoRegCLM!$A$2,MATCH(ED$29,ParoRegCLM!$A$2:$A$500)+$A32-1,1)-1)</f>
        <v>1.3521351015026495E-2</v>
      </c>
      <c r="EE32" s="9">
        <f ca="1">IF(OR(EE5="",EE$28&lt;$A32),"",EE5/OFFSET(ParoRegCLM!$A$2,MATCH(EE$29,ParoRegCLM!$A$2:$A$500)+$A32-1,1)-1)</f>
        <v>3.5498504567011313E-2</v>
      </c>
      <c r="EF32" s="9">
        <f ca="1">IF(OR(EF5="",EF$28&lt;$A32),"",EF5/OFFSET(ParoRegCLM!$A$2,MATCH(EF$29,ParoRegCLM!$A$2:$A$500)+$A32-1,1)-1)</f>
        <v>2.4168682945985065E-2</v>
      </c>
      <c r="EG32" s="9">
        <f ca="1">IF(OR(EG5="",EG$28&lt;$A32),"",EG5/OFFSET(ParoRegCLM!$A$2,MATCH(EG$29,ParoRegCLM!$A$2:$A$500)+$A32-1,1)-1)</f>
        <v>1.2629878111870774E-2</v>
      </c>
      <c r="EH32" s="9">
        <f ca="1">IF(OR(EH5="",EH$28&lt;$A32),"",EH5/OFFSET(ParoRegCLM!$A$2,MATCH(EH$29,ParoRegCLM!$A$2:$A$500)+$A32-1,1)-1)</f>
        <v>-4.0269768516649429E-2</v>
      </c>
      <c r="EI32" s="9">
        <f ca="1">IF(OR(EI5="",EI$28&lt;$A32),"",EI5/OFFSET(ParoRegCLM!$A$2,MATCH(EI$29,ParoRegCLM!$A$2:$A$500)+$A32-1,1)-1)</f>
        <v>-4.9458228756719236E-2</v>
      </c>
      <c r="EJ32" s="9">
        <f ca="1">IF(OR(EJ5="",EJ$28&lt;$A32),"",EJ5/OFFSET(ParoRegCLM!$A$2,MATCH(EJ$29,ParoRegCLM!$A$2:$A$500)+$A32-1,1)-1)</f>
        <v>-3.4108160622087547E-2</v>
      </c>
      <c r="EK32" s="9">
        <f ca="1">IF(OR(EK5="",EK$28&lt;$A32),"",EK5/OFFSET(ParoRegCLM!$A$2,MATCH(EK$29,ParoRegCLM!$A$2:$A$500)+$A32-1,1)-1)</f>
        <v>-2.5576695183266551E-2</v>
      </c>
      <c r="EL32" s="9">
        <f ca="1">IF(OR(EL5="",EL$28&lt;$A32),"",EL5/OFFSET(ParoRegCLM!$A$2,MATCH(EL$29,ParoRegCLM!$A$2:$A$500)+$A32-1,1)-1)</f>
        <v>5.0659400400974164E-3</v>
      </c>
      <c r="EM32" s="9">
        <f ca="1">IF(OR(EM5="",EM$28&lt;$A32),"",EM5/OFFSET(ParoRegCLM!$A$2,MATCH(EM$29,ParoRegCLM!$A$2:$A$500)+$A32-1,1)-1)</f>
        <v>4.3911578724808997E-3</v>
      </c>
      <c r="EN32" s="9">
        <f ca="1">IF(OR(EN5="",EN$28&lt;$A32),"",EN5/OFFSET(ParoRegCLM!$A$2,MATCH(EN$29,ParoRegCLM!$A$2:$A$500)+$A32-1,1)-1)</f>
        <v>1.8132482830520269E-2</v>
      </c>
      <c r="EO32" s="9">
        <f ca="1">IF(OR(EO5="",EO$28&lt;$A32),"",EO5/OFFSET(ParoRegCLM!$A$2,MATCH(EO$29,ParoRegCLM!$A$2:$A$500)+$A32-1,1)-1)</f>
        <v>-4.887258709411646E-3</v>
      </c>
      <c r="EP32" s="9">
        <f ca="1">IF(OR(EP5="",EP$28&lt;$A32),"",EP5/OFFSET(ParoRegCLM!$A$2,MATCH(EP$29,ParoRegCLM!$A$2:$A$500)+$A32-1,1)-1)</f>
        <v>1.0174428215989462E-2</v>
      </c>
      <c r="EQ32" s="9">
        <f ca="1">IF(OR(EQ5="",EQ$28&lt;$A32),"",EQ5/OFFSET(ParoRegCLM!$A$2,MATCH(EQ$29,ParoRegCLM!$A$2:$A$500)+$A32-1,1)-1)</f>
        <v>2.0724791210190663E-2</v>
      </c>
      <c r="ER32" s="9">
        <f ca="1">IF(OR(ER5="",ER$28&lt;$A32),"",ER5/OFFSET(ParoRegCLM!$A$2,MATCH(ER$29,ParoRegCLM!$A$2:$A$500)+$A32-1,1)-1)</f>
        <v>4.4451441282592707E-2</v>
      </c>
      <c r="ES32" s="9">
        <f ca="1">IF(OR(ES5="",ES$28&lt;$A32),"",ES5/OFFSET(ParoRegCLM!$A$2,MATCH(ES$29,ParoRegCLM!$A$2:$A$500)+$A32-1,1)-1)</f>
        <v>4.0647835180028569E-2</v>
      </c>
      <c r="ET32" s="9">
        <f ca="1">IF(OR(ET5="",ET$28&lt;$A32),"",ET5/OFFSET(ParoRegCLM!$A$2,MATCH(ET$29,ParoRegCLM!$A$2:$A$500)+$A32-1,1)-1)</f>
        <v>1.5413546478522555E-2</v>
      </c>
      <c r="EU32" s="9">
        <f ca="1">IF(OR(EU5="",EU$28&lt;$A32),"",EU5/OFFSET(ParoRegCLM!$A$2,MATCH(EU$29,ParoRegCLM!$A$2:$A$500)+$A32-1,1)-1)</f>
        <v>-2.8973107737385928E-2</v>
      </c>
      <c r="EV32" s="9">
        <f ca="1">IF(OR(EV5="",EV$28&lt;$A32),"",EV5/OFFSET(ParoRegCLM!$A$2,MATCH(EV$29,ParoRegCLM!$A$2:$A$500)+$A32-1,1)-1)</f>
        <v>-2.4026348881952764E-2</v>
      </c>
      <c r="EW32" s="9">
        <f ca="1">IF(OR(EW5="",EW$28&lt;$A32),"",EW5/OFFSET(ParoRegCLM!$A$2,MATCH(EW$29,ParoRegCLM!$A$2:$A$500)+$A32-1,1)-1)</f>
        <v>-2.1159166467069945E-2</v>
      </c>
      <c r="EX32" s="9">
        <f ca="1">IF(OR(EX5="",EX$28&lt;$A32),"",EX5/OFFSET(ParoRegCLM!$A$2,MATCH(EX$29,ParoRegCLM!$A$2:$A$500)+$A32-1,1)-1)</f>
        <v>-1.917871649720948E-2</v>
      </c>
      <c r="EY32" s="9">
        <f ca="1">IF(OR(EY5="",EY$28&lt;$A32),"",EY5/OFFSET(ParoRegCLM!$A$2,MATCH(EY$29,ParoRegCLM!$A$2:$A$500)+$A32-1,1)-1)</f>
        <v>-1.4899040311658784E-2</v>
      </c>
      <c r="EZ32" s="9">
        <f ca="1">IF(OR(EZ5="",EZ$28&lt;$A32),"",EZ5/OFFSET(ParoRegCLM!$A$2,MATCH(EZ$29,ParoRegCLM!$A$2:$A$500)+$A32-1,1)-1)</f>
        <v>-5.8105347356567361E-3</v>
      </c>
      <c r="FA32" s="9">
        <f ca="1">IF(OR(FA5="",FA$28&lt;$A32),"",FA5/OFFSET(ParoRegCLM!$A$2,MATCH(FA$29,ParoRegCLM!$A$2:$A$500)+$A32-1,1)-1)</f>
        <v>3.0627165230615594E-2</v>
      </c>
      <c r="FB32" s="9">
        <f ca="1">IF(OR(FB5="",FB$28&lt;$A32),"",FB5/OFFSET(ParoRegCLM!$A$2,MATCH(FB$29,ParoRegCLM!$A$2:$A$500)+$A32-1,1)-1)</f>
        <v>1.0268472796610695E-2</v>
      </c>
      <c r="FC32" s="9">
        <f ca="1">IF(OR(FC5="",FC$28&lt;$A32),"",FC5/OFFSET(ParoRegCLM!$A$2,MATCH(FC$29,ParoRegCLM!$A$2:$A$500)+$A32-1,1)-1)</f>
        <v>-2.2489200061603598E-2</v>
      </c>
      <c r="FD32" s="9">
        <f ca="1">IF(OR(FD5="",FD$28&lt;$A32),"",FD5/OFFSET(ParoRegCLM!$A$2,MATCH(FD$29,ParoRegCLM!$A$2:$A$500)+$A32-1,1)-1)</f>
        <v>-2.2362159467910647E-2</v>
      </c>
      <c r="FE32" s="9">
        <f ca="1">IF(OR(FE5="",FE$28&lt;$A32),"",FE5/OFFSET(ParoRegCLM!$A$2,MATCH(FE$29,ParoRegCLM!$A$2:$A$500)+$A32-1,1)-1)</f>
        <v>-1.235539261337848E-2</v>
      </c>
      <c r="FF32" s="9">
        <f ca="1">IF(OR(FF5="",FF$28&lt;$A32),"",FF5/OFFSET(ParoRegCLM!$A$2,MATCH(FF$29,ParoRegCLM!$A$2:$A$500)+$A32-1,1)-1)</f>
        <v>1.0603606131154519E-2</v>
      </c>
      <c r="FG32" s="9">
        <f ca="1">IF(OR(FG5="",FG$28&lt;$A32),"",FG5/OFFSET(ParoRegCLM!$A$2,MATCH(FG$29,ParoRegCLM!$A$2:$A$500)+$A32-1,1)-1)</f>
        <v>1.6061279089665259E-2</v>
      </c>
      <c r="FH32" s="9">
        <f ca="1">IF(OR(FH5="",FH$28&lt;$A32),"",FH5/OFFSET(ParoRegCLM!$A$2,MATCH(FH$29,ParoRegCLM!$A$2:$A$500)+$A32-1,1)-1)</f>
        <v>-1.6750273537966209E-2</v>
      </c>
      <c r="FI32" s="9">
        <f ca="1">IF(OR(FI5="",FI$28&lt;$A32),"",FI5/OFFSET(ParoRegCLM!$A$2,MATCH(FI$29,ParoRegCLM!$A$2:$A$500)+$A32-1,1)-1)</f>
        <v>2.4749262046599885E-2</v>
      </c>
      <c r="FJ32" s="9">
        <f ca="1">IF(OR(FJ5="",FJ$28&lt;$A32),"",FJ5/OFFSET(ParoRegCLM!$A$2,MATCH(FJ$29,ParoRegCLM!$A$2:$A$500)+$A32-1,1)-1)</f>
        <v>2.8660410704217432E-2</v>
      </c>
      <c r="FK32" s="9">
        <f ca="1">IF(OR(FK5="",FK$28&lt;$A32),"",FK5/OFFSET(ParoRegCLM!$A$2,MATCH(FK$29,ParoRegCLM!$A$2:$A$500)+$A32-1,1)-1)</f>
        <v>5.5651105711545412E-2</v>
      </c>
      <c r="FL32" s="9">
        <f ca="1">IF(OR(FL5="",FL$28&lt;$A32),"",FL5/OFFSET(ParoRegCLM!$A$2,MATCH(FL$29,ParoRegCLM!$A$2:$A$500)+$A32-1,1)-1)</f>
        <v>-3.3347669375295652E-2</v>
      </c>
      <c r="FM32" s="9">
        <f ca="1">IF(OR(FM5="",FM$28&lt;$A32),"",FM5/OFFSET(ParoRegCLM!$A$2,MATCH(FM$29,ParoRegCLM!$A$2:$A$500)+$A32-1,1)-1)</f>
        <v>-4.12024650423507E-2</v>
      </c>
      <c r="FN32" s="9">
        <f ca="1">IF(OR(FN5="",FN$28&lt;$A32),"",FN5/OFFSET(ParoRegCLM!$A$2,MATCH(FN$29,ParoRegCLM!$A$2:$A$500)+$A32-1,1)-1)</f>
        <v>-3.9224155575886543E-2</v>
      </c>
      <c r="FO32" s="9">
        <f ca="1">IF(OR(FO5="",FO$28&lt;$A32),"",FO5/OFFSET(ParoRegCLM!$A$2,MATCH(FO$29,ParoRegCLM!$A$2:$A$500)+$A32-1,1)-1)</f>
        <v>-1.8633643720105675E-2</v>
      </c>
      <c r="FP32" s="9">
        <f ca="1">IF(OR(FP5="",FP$28&lt;$A32),"",FP5/OFFSET(ParoRegCLM!$A$2,MATCH(FP$29,ParoRegCLM!$A$2:$A$500)+$A32-1,1)-1)</f>
        <v>-3.3871584924404563E-2</v>
      </c>
      <c r="FQ32" s="9">
        <f ca="1">IF(OR(FQ5="",FQ$28&lt;$A32),"",FQ5/OFFSET(ParoRegCLM!$A$2,MATCH(FQ$29,ParoRegCLM!$A$2:$A$500)+$A32-1,1)-1)</f>
        <v>-2.8200938429612799E-2</v>
      </c>
      <c r="FR32" s="9">
        <f ca="1">IF(OR(FR5="",FR$28&lt;$A32),"",FR5/OFFSET(ParoRegCLM!$A$2,MATCH(FR$29,ParoRegCLM!$A$2:$A$500)+$A32-1,1)-1)</f>
        <v>1.6016624734249696E-4</v>
      </c>
      <c r="FS32" s="9">
        <f ca="1">IF(OR(FS5="",FS$28&lt;$A32),"",FS5/OFFSET(ParoRegCLM!$A$2,MATCH(FS$29,ParoRegCLM!$A$2:$A$500)+$A32-1,1)-1)</f>
        <v>4.6260950697749603E-3</v>
      </c>
      <c r="FT32" s="9">
        <f ca="1">IF(OR(FT5="",FT$28&lt;$A32),"",FT5/OFFSET(ParoRegCLM!$A$2,MATCH(FT$29,ParoRegCLM!$A$2:$A$500)+$A32-1,1)-1)</f>
        <v>1.196687403591179E-2</v>
      </c>
      <c r="FU32" s="9">
        <f ca="1">IF(OR(FU5="",FU$28&lt;$A32),"",FU5/OFFSET(ParoRegCLM!$A$2,MATCH(FU$29,ParoRegCLM!$A$2:$A$500)+$A32-1,1)-1)</f>
        <v>1.860689240477198E-2</v>
      </c>
      <c r="FV32" s="9">
        <f ca="1">IF(OR(FV5="",FV$28&lt;$A32),"",FV5/OFFSET(ParoRegCLM!$A$2,MATCH(FV$29,ParoRegCLM!$A$2:$A$500)+$A32-1,1)-1)</f>
        <v>5.9252314502485914E-2</v>
      </c>
      <c r="FW32" s="9">
        <f ca="1">IF(OR(FW5="",FW$28&lt;$A32),"",FW5/OFFSET(ParoRegCLM!$A$2,MATCH(FW$29,ParoRegCLM!$A$2:$A$500)+$A32-1,1)-1)</f>
        <v>8.8389562033201363E-2</v>
      </c>
      <c r="FX32" s="9">
        <f ca="1">IF(OR(FX5="",FX$28&lt;$A32),"",FX5/OFFSET(ParoRegCLM!$A$2,MATCH(FX$29,ParoRegCLM!$A$2:$A$500)+$A32-1,1)-1)</f>
        <v>4.3433395967331423E-2</v>
      </c>
      <c r="FY32" s="9">
        <f ca="1">IF(OR(FY5="",FY$28&lt;$A32),"",FY5/OFFSET(ParoRegCLM!$A$2,MATCH(FY$29,ParoRegCLM!$A$2:$A$500)+$A32-1,1)-1)</f>
        <v>6.8594626240885415E-3</v>
      </c>
      <c r="FZ32" s="9">
        <f ca="1">IF(OR(FZ5="",FZ$28&lt;$A32),"",FZ5/OFFSET(ParoRegCLM!$A$2,MATCH(FZ$29,ParoRegCLM!$A$2:$A$500)+$A32-1,1)-1)</f>
        <v>-2.571341656140258E-2</v>
      </c>
      <c r="GA32" s="9">
        <f ca="1">IF(OR(GA5="",GA$28&lt;$A32),"",GA5/OFFSET(ParoRegCLM!$A$2,MATCH(GA$29,ParoRegCLM!$A$2:$A$500)+$A32-1,1)-1)</f>
        <v>-3.075290023039301E-2</v>
      </c>
      <c r="GB32" s="9">
        <f ca="1">IF(OR(GB5="",GB$28&lt;$A32),"",GB5/OFFSET(ParoRegCLM!$A$2,MATCH(GB$29,ParoRegCLM!$A$2:$A$500)+$A32-1,1)-1)</f>
        <v>-5.1843312763843685E-2</v>
      </c>
      <c r="GC32" s="9">
        <f ca="1">IF(OR(GC5="",GC$28&lt;$A32),"",GC5/OFFSET(ParoRegCLM!$A$2,MATCH(GC$29,ParoRegCLM!$A$2:$A$500)+$A32-1,1)-1)</f>
        <v>-6.4942003090146527E-2</v>
      </c>
      <c r="GD32" s="9">
        <f ca="1">IF(OR(GD5="",GD$28&lt;$A32),"",GD5/OFFSET(ParoRegCLM!$A$2,MATCH(GD$29,ParoRegCLM!$A$2:$A$500)+$A32-1,1)-1)</f>
        <v>-4.7335779157391955E-2</v>
      </c>
      <c r="GE32" s="9">
        <f ca="1">IF(OR(GE5="",GE$28&lt;$A32),"",GE5/OFFSET(ParoRegCLM!$A$2,MATCH(GE$29,ParoRegCLM!$A$2:$A$500)+$A32-1,1)-1)</f>
        <v>-2.0241239377207676E-2</v>
      </c>
      <c r="GF32" s="9">
        <f ca="1">IF(OR(GF5="",GF$28&lt;$A32),"",GF5/OFFSET(ParoRegCLM!$A$2,MATCH(GF$29,ParoRegCLM!$A$2:$A$500)+$A32-1,1)-1)</f>
        <v>-2.432970975642168E-2</v>
      </c>
      <c r="GG32" s="9">
        <f ca="1">IF(OR(GG5="",GG$28&lt;$A32),"",GG5/OFFSET(ParoRegCLM!$A$2,MATCH(GG$29,ParoRegCLM!$A$2:$A$500)+$A32-1,1)-1)</f>
        <v>-1.6893154068333471E-2</v>
      </c>
      <c r="GH32" s="9">
        <f ca="1">IF(OR(GH5="",GH$28&lt;$A32),"",GH5/OFFSET(ParoRegCLM!$A$2,MATCH(GH$29,ParoRegCLM!$A$2:$A$500)+$A32-1,1)-1)</f>
        <v>-3.2909164143664071E-3</v>
      </c>
      <c r="GI32" s="9">
        <f ca="1">IF(OR(GI5="",GI$28&lt;$A32),"",GI5/OFFSET(ParoRegCLM!$A$2,MATCH(GI$29,ParoRegCLM!$A$2:$A$500)+$A32-1,1)-1)</f>
        <v>1.3999640339985575E-2</v>
      </c>
      <c r="GJ32" s="9">
        <f ca="1">IF(OR(GJ5="",GJ$28&lt;$A32),"",GJ5/OFFSET(ParoRegCLM!$A$2,MATCH(GJ$29,ParoRegCLM!$A$2:$A$500)+$A32-1,1)-1)</f>
        <v>1.4338082990716927E-2</v>
      </c>
      <c r="GK32" s="9">
        <f ca="1">IF(OR(GK5="",GK$28&lt;$A32),"",GK5/OFFSET(ParoRegCLM!$A$2,MATCH(GK$29,ParoRegCLM!$A$2:$A$500)+$A32-1,1)-1)</f>
        <v>2.5281468954944319E-2</v>
      </c>
      <c r="GL32" s="9">
        <f ca="1">IF(OR(GL5="",GL$28&lt;$A32),"",GL5/OFFSET(ParoRegCLM!$A$2,MATCH(GL$29,ParoRegCLM!$A$2:$A$500)+$A32-1,1)-1)</f>
        <v>-3.9803971704817864E-2</v>
      </c>
      <c r="GM32" s="9">
        <f ca="1">IF(OR(GM5="",GM$28&lt;$A32),"",GM5/OFFSET(ParoRegCLM!$A$2,MATCH(GM$29,ParoRegCLM!$A$2:$A$500)+$A32-1,1)-1)</f>
        <v>-0.10979466870560572</v>
      </c>
      <c r="GN32" s="9">
        <f ca="1">IF(OR(GN5="",GN$28&lt;$A32),"",GN5/OFFSET(ParoRegCLM!$A$2,MATCH(GN$29,ParoRegCLM!$A$2:$A$500)+$A32-1,1)-1)</f>
        <v>-0.13307415655947596</v>
      </c>
      <c r="GO32" s="9">
        <f ca="1">IF(OR(GO5="",GO$28&lt;$A32),"",GO5/OFFSET(ParoRegCLM!$A$2,MATCH(GO$29,ParoRegCLM!$A$2:$A$500)+$A32-1,1)-1)</f>
        <v>-2.5623777516276758E-2</v>
      </c>
      <c r="GP32" s="9">
        <f ca="1">IF(OR(GP5="",GP$28&lt;$A32),"",GP5/OFFSET(ParoRegCLM!$A$2,MATCH(GP$29,ParoRegCLM!$A$2:$A$500)+$A32-1,1)-1)</f>
        <v>7.9076516494464011E-2</v>
      </c>
      <c r="GQ32" s="9">
        <f ca="1">IF(OR(GQ5="",GQ$28&lt;$A32),"",GQ5/OFFSET(ParoRegCLM!$A$2,MATCH(GQ$29,ParoRegCLM!$A$2:$A$500)+$A32-1,1)-1)</f>
        <v>4.7598553151623424E-2</v>
      </c>
      <c r="GR32" s="9">
        <f ca="1">IF(OR(GR5="",GR$28&lt;$A32),"",GR5/OFFSET(ParoRegCLM!$A$2,MATCH(GR$29,ParoRegCLM!$A$2:$A$500)+$A32-1,1)-1)</f>
        <v>6.4030253994746822E-2</v>
      </c>
      <c r="GS32" s="9">
        <f ca="1">IF(OR(GS5="",GS$28&lt;$A32),"",GS5/OFFSET(ParoRegCLM!$A$2,MATCH(GS$29,ParoRegCLM!$A$2:$A$500)+$A32-1,1)-1)</f>
        <v>6.1926267396143819E-2</v>
      </c>
      <c r="GT32" s="9">
        <f ca="1">IF(OR(GT5="",GT$28&lt;$A32),"",GT5/OFFSET(ParoRegCLM!$A$2,MATCH(GT$29,ParoRegCLM!$A$2:$A$500)+$A32-1,1)-1)</f>
        <v>4.6394893080532906E-2</v>
      </c>
      <c r="GU32" s="9">
        <f ca="1">IF(OR(GU5="",GU$28&lt;$A32),"",GU5/OFFSET(ParoRegCLM!$A$2,MATCH(GU$29,ParoRegCLM!$A$2:$A$500)+$A32-1,1)-1)</f>
        <v>-1.0030825360135331E-2</v>
      </c>
      <c r="GV32" s="9">
        <f ca="1">IF(OR(GV5="",GV$28&lt;$A32),"",GV5/OFFSET(ParoRegCLM!$A$2,MATCH(GV$29,ParoRegCLM!$A$2:$A$500)+$A32-1,1)-1)</f>
        <v>-2.0727469385642516E-2</v>
      </c>
      <c r="GW32" s="9" t="str">
        <f ca="1">IF(OR(GW5="",GW$28&lt;$A32),"",GW5/OFFSET(ParoRegCLM!$A$2,MATCH(GW$29,ParoRegCLM!$A$2:$A$500)+$A32-1,1)-1)</f>
        <v/>
      </c>
      <c r="GX32" s="9" t="str">
        <f ca="1">IF(OR(GX5="",GX$28&lt;$A32),"",GX5/OFFSET(ParoRegCLM!$A$2,MATCH(GX$29,ParoRegCLM!$A$2:$A$500)+$A32-1,1)-1)</f>
        <v/>
      </c>
      <c r="GY32" s="9" t="str">
        <f ca="1">IF(OR(GY5="",GY$28&lt;$A32),"",GY5/OFFSET(ParoRegCLM!$A$2,MATCH(GY$29,ParoRegCLM!$A$2:$A$500)+$A32-1,1)-1)</f>
        <v/>
      </c>
      <c r="GZ32" s="9" t="str">
        <f ca="1">IF(OR(GZ5="",GZ$28&lt;$A32),"",GZ5/OFFSET(ParoRegCLM!$A$2,MATCH(GZ$29,ParoRegCLM!$A$2:$A$500)+$A32-1,1)-1)</f>
        <v/>
      </c>
      <c r="HA32" s="9" t="str">
        <f ca="1">IF(OR(HA5="",HA$28&lt;$A32),"",HA5/OFFSET(ParoRegCLM!$A$2,MATCH(HA$29,ParoRegCLM!$A$2:$A$500)+$A32-1,1)-1)</f>
        <v/>
      </c>
      <c r="HB32" s="9" t="str">
        <f ca="1">IF(OR(HB5="",HB$28&lt;$A32),"",HB5/OFFSET(ParoRegCLM!$A$2,MATCH(HB$29,ParoRegCLM!$A$2:$A$500)+$A32-1,1)-1)</f>
        <v/>
      </c>
      <c r="HC32" s="9" t="str">
        <f ca="1">IF(OR(HC5="",HC$28&lt;$A32),"",HC5/OFFSET(ParoRegCLM!$A$2,MATCH(HC$29,ParoRegCLM!$A$2:$A$500)+$A32-1,1)-1)</f>
        <v/>
      </c>
      <c r="HD32" s="9" t="str">
        <f ca="1">IF(OR(HD5="",HD$28&lt;$A32),"",HD5/OFFSET(ParoRegCLM!$A$2,MATCH(HD$29,ParoRegCLM!$A$2:$A$500)+$A32-1,1)-1)</f>
        <v/>
      </c>
      <c r="HE32" s="9" t="str">
        <f ca="1">IF(OR(HE5="",HE$28&lt;$A32),"",HE5/OFFSET(ParoRegCLM!$A$2,MATCH(HE$29,ParoRegCLM!$A$2:$A$500)+$A32-1,1)-1)</f>
        <v/>
      </c>
      <c r="HF32" s="9" t="str">
        <f ca="1">IF(OR(HF5="",HF$28&lt;$A32),"",HF5/OFFSET(ParoRegCLM!$A$2,MATCH(HF$29,ParoRegCLM!$A$2:$A$500)+$A32-1,1)-1)</f>
        <v/>
      </c>
      <c r="HG32" s="9" t="str">
        <f ca="1">IF(OR(HG5="",HG$28&lt;$A32),"",HG5/OFFSET(ParoRegCLM!$A$2,MATCH(HG$29,ParoRegCLM!$A$2:$A$500)+$A32-1,1)-1)</f>
        <v/>
      </c>
      <c r="HH32" s="9" t="str">
        <f ca="1">IF(OR(HH5="",HH$28&lt;$A32),"",HH5/OFFSET(ParoRegCLM!$A$2,MATCH(HH$29,ParoRegCLM!$A$2:$A$500)+$A32-1,1)-1)</f>
        <v/>
      </c>
      <c r="HI32" s="9" t="str">
        <f ca="1">IF(OR(HI5="",HI$28&lt;$A32),"",HI5/OFFSET(ParoRegCLM!$A$2,MATCH(HI$29,ParoRegCLM!$A$2:$A$500)+$A32-1,1)-1)</f>
        <v/>
      </c>
      <c r="HJ32" s="9" t="str">
        <f ca="1">IF(OR(HJ5="",HJ$28&lt;$A32),"",HJ5/OFFSET(ParoRegCLM!$A$2,MATCH(HJ$29,ParoRegCLM!$A$2:$A$500)+$A32-1,1)-1)</f>
        <v/>
      </c>
      <c r="HK32" s="9" t="str">
        <f ca="1">IF(OR(HK5="",HK$28&lt;$A32),"",HK5/OFFSET(ParoRegCLM!$A$2,MATCH(HK$29,ParoRegCLM!$A$2:$A$500)+$A32-1,1)-1)</f>
        <v/>
      </c>
      <c r="HL32" s="9" t="str">
        <f ca="1">IF(OR(HL5="",HL$28&lt;$A32),"",HL5/OFFSET(ParoRegCLM!$A$2,MATCH(HL$29,ParoRegCLM!$A$2:$A$500)+$A32-1,1)-1)</f>
        <v/>
      </c>
      <c r="HM32" s="9" t="str">
        <f ca="1">IF(OR(HM5="",HM$28&lt;$A32),"",HM5/OFFSET(ParoRegCLM!$A$2,MATCH(HM$29,ParoRegCLM!$A$2:$A$500)+$A32-1,1)-1)</f>
        <v/>
      </c>
      <c r="HN32" s="9" t="str">
        <f ca="1">IF(OR(HN5="",HN$28&lt;$A32),"",HN5/OFFSET(ParoRegCLM!$A$2,MATCH(HN$29,ParoRegCLM!$A$2:$A$500)+$A32-1,1)-1)</f>
        <v/>
      </c>
      <c r="HO32" s="9" t="str">
        <f ca="1">IF(OR(HO5="",HO$28&lt;$A32),"",HO5/OFFSET(ParoRegCLM!$A$2,MATCH(HO$29,ParoRegCLM!$A$2:$A$500)+$A32-1,1)-1)</f>
        <v/>
      </c>
      <c r="HP32" s="9" t="str">
        <f ca="1">IF(OR(HP5="",HP$28&lt;$A32),"",HP5/OFFSET(ParoRegCLM!$A$2,MATCH(HP$29,ParoRegCLM!$A$2:$A$500)+$A32-1,1)-1)</f>
        <v/>
      </c>
      <c r="HQ32" s="9" t="str">
        <f ca="1">IF(OR(HQ5="",HQ$28&lt;$A32),"",HQ5/OFFSET(ParoRegCLM!$A$2,MATCH(HQ$29,ParoRegCLM!$A$2:$A$500)+$A32-1,1)-1)</f>
        <v/>
      </c>
      <c r="HR32" s="9" t="str">
        <f ca="1">IF(OR(HR5="",HR$28&lt;$A32),"",HR5/OFFSET(ParoRegCLM!$A$2,MATCH(HR$29,ParoRegCLM!$A$2:$A$500)+$A32-1,1)-1)</f>
        <v/>
      </c>
      <c r="HS32" s="9" t="str">
        <f ca="1">IF(OR(HS5="",HS$28&lt;$A32),"",HS5/OFFSET(ParoRegCLM!$A$2,MATCH(HS$29,ParoRegCLM!$A$2:$A$500)+$A32-1,1)-1)</f>
        <v/>
      </c>
      <c r="HT32" s="9" t="str">
        <f ca="1">IF(OR(HT5="",HT$28&lt;$A32),"",HT5/OFFSET(ParoRegCLM!$A$2,MATCH(HT$29,ParoRegCLM!$A$2:$A$500)+$A32-1,1)-1)</f>
        <v/>
      </c>
      <c r="HU32" s="9" t="str">
        <f ca="1">IF(OR(HU5="",HU$28&lt;$A32),"",HU5/OFFSET(ParoRegCLM!$A$2,MATCH(HU$29,ParoRegCLM!$A$2:$A$500)+$A32-1,1)-1)</f>
        <v/>
      </c>
      <c r="HV32" s="9" t="str">
        <f ca="1">IF(OR(HV5="",HV$28&lt;$A32),"",HV5/OFFSET(ParoRegCLM!$A$2,MATCH(HV$29,ParoRegCLM!$A$2:$A$500)+$A32-1,1)-1)</f>
        <v/>
      </c>
      <c r="HW32" s="9" t="str">
        <f ca="1">IF(OR(HW5="",HW$28&lt;$A32),"",HW5/OFFSET(ParoRegCLM!$A$2,MATCH(HW$29,ParoRegCLM!$A$2:$A$500)+$A32-1,1)-1)</f>
        <v/>
      </c>
      <c r="HX32" s="9" t="str">
        <f ca="1">IF(OR(HX5="",HX$28&lt;$A32),"",HX5/OFFSET(ParoRegCLM!$A$2,MATCH(HX$29,ParoRegCLM!$A$2:$A$500)+$A32-1,1)-1)</f>
        <v/>
      </c>
      <c r="HY32" s="9" t="str">
        <f ca="1">IF(OR(HY5="",HY$28&lt;$A32),"",HY5/OFFSET(ParoRegCLM!$A$2,MATCH(HY$29,ParoRegCLM!$A$2:$A$500)+$A32-1,1)-1)</f>
        <v/>
      </c>
      <c r="HZ32" s="9" t="str">
        <f ca="1">IF(OR(HZ5="",HZ$28&lt;$A32),"",HZ5/OFFSET(ParoRegCLM!$A$2,MATCH(HZ$29,ParoRegCLM!$A$2:$A$500)+$A32-1,1)-1)</f>
        <v/>
      </c>
      <c r="IA32" s="9" t="str">
        <f ca="1">IF(OR(IA5="",IA$28&lt;$A32),"",IA5/OFFSET(ParoRegCLM!$A$2,MATCH(IA$29,ParoRegCLM!$A$2:$A$500)+$A32-1,1)-1)</f>
        <v/>
      </c>
      <c r="IB32" s="9" t="str">
        <f ca="1">IF(OR(IB5="",IB$28&lt;$A32),"",IB5/OFFSET(ParoRegCLM!$A$2,MATCH(IB$29,ParoRegCLM!$A$2:$A$500)+$A32-1,1)-1)</f>
        <v/>
      </c>
      <c r="IC32" s="9" t="str">
        <f ca="1">IF(OR(IC5="",IC$28&lt;$A32),"",IC5/OFFSET(ParoRegCLM!$A$2,MATCH(IC$29,ParoRegCLM!$A$2:$A$500)+$A32-1,1)-1)</f>
        <v/>
      </c>
      <c r="ID32" s="9" t="str">
        <f ca="1">IF(OR(ID5="",ID$28&lt;$A32),"",ID5/OFFSET(ParoRegCLM!$A$2,MATCH(ID$29,ParoRegCLM!$A$2:$A$500)+$A32-1,1)-1)</f>
        <v/>
      </c>
      <c r="IE32" s="9" t="str">
        <f ca="1">IF(OR(IE5="",IE$28&lt;$A32),"",IE5/OFFSET(ParoRegCLM!$A$2,MATCH(IE$29,ParoRegCLM!$A$2:$A$500)+$A32-1,1)-1)</f>
        <v/>
      </c>
      <c r="IF32" s="9" t="str">
        <f ca="1">IF(OR(IF5="",IF$28&lt;$A32),"",IF5/OFFSET(ParoRegCLM!$A$2,MATCH(IF$29,ParoRegCLM!$A$2:$A$500)+$A32-1,1)-1)</f>
        <v/>
      </c>
      <c r="IG32" s="9" t="str">
        <f ca="1">IF(OR(IG5="",IG$28&lt;$A32),"",IG5/OFFSET(ParoRegCLM!$A$2,MATCH(IG$29,ParoRegCLM!$A$2:$A$500)+$A32-1,1)-1)</f>
        <v/>
      </c>
      <c r="IH32" s="9" t="str">
        <f ca="1">IF(OR(IH5="",IH$28&lt;$A32),"",IH5/OFFSET(ParoRegCLM!$A$2,MATCH(IH$29,ParoRegCLM!$A$2:$A$500)+$A32-1,1)-1)</f>
        <v/>
      </c>
      <c r="II32" s="9" t="str">
        <f ca="1">IF(OR(II5="",II$28&lt;$A32),"",II5/OFFSET(ParoRegCLM!$A$2,MATCH(II$29,ParoRegCLM!$A$2:$A$500)+$A32-1,1)-1)</f>
        <v/>
      </c>
      <c r="IJ32" s="9" t="str">
        <f ca="1">IF(OR(IJ5="",IJ$28&lt;$A32),"",IJ5/OFFSET(ParoRegCLM!$A$2,MATCH(IJ$29,ParoRegCLM!$A$2:$A$500)+$A32-1,1)-1)</f>
        <v/>
      </c>
      <c r="IK32" s="9" t="str">
        <f ca="1">IF(OR(IK5="",IK$28&lt;$A32),"",IK5/OFFSET(ParoRegCLM!$A$2,MATCH(IK$29,ParoRegCLM!$A$2:$A$500)+$A32-1,1)-1)</f>
        <v/>
      </c>
      <c r="IL32" s="9" t="str">
        <f ca="1">IF(OR(IL5="",IL$28&lt;$A32),"",IL5/OFFSET(ParoRegCLM!$A$2,MATCH(IL$29,ParoRegCLM!$A$2:$A$500)+$A32-1,1)-1)</f>
        <v/>
      </c>
      <c r="IM32" s="9" t="str">
        <f ca="1">IF(OR(IM5="",IM$28&lt;$A32),"",IM5/OFFSET(ParoRegCLM!$A$2,MATCH(IM$29,ParoRegCLM!$A$2:$A$500)+$A32-1,1)-1)</f>
        <v/>
      </c>
      <c r="IN32" s="9" t="str">
        <f ca="1">IF(OR(IN5="",IN$28&lt;$A32),"",IN5/OFFSET(ParoRegCLM!$A$2,MATCH(IN$29,ParoRegCLM!$A$2:$A$500)+$A32-1,1)-1)</f>
        <v/>
      </c>
      <c r="IO32" s="9" t="str">
        <f ca="1">IF(OR(IO5="",IO$28&lt;$A32),"",IO5/OFFSET(ParoRegCLM!$A$2,MATCH(IO$29,ParoRegCLM!$A$2:$A$500)+$A32-1,1)-1)</f>
        <v/>
      </c>
      <c r="IP32" s="9" t="str">
        <f ca="1">IF(OR(IP5="",IP$28&lt;$A32),"",IP5/OFFSET(ParoRegCLM!$A$2,MATCH(IP$29,ParoRegCLM!$A$2:$A$500)+$A32-1,1)-1)</f>
        <v/>
      </c>
      <c r="IQ32" s="9" t="str">
        <f ca="1">IF(OR(IQ5="",IQ$28&lt;$A32),"",IQ5/OFFSET(ParoRegCLM!$A$2,MATCH(IQ$29,ParoRegCLM!$A$2:$A$500)+$A32-1,1)-1)</f>
        <v/>
      </c>
      <c r="IR32" s="9" t="str">
        <f ca="1">IF(OR(IR5="",IR$28&lt;$A32),"",IR5/OFFSET(ParoRegCLM!$A$2,MATCH(IR$29,ParoRegCLM!$A$2:$A$500)+$A32-1,1)-1)</f>
        <v/>
      </c>
      <c r="IS32" s="9" t="str">
        <f ca="1">IF(OR(IS5="",IS$28&lt;$A32),"",IS5/OFFSET(ParoRegCLM!$A$2,MATCH(IS$29,ParoRegCLM!$A$2:$A$500)+$A32-1,1)-1)</f>
        <v/>
      </c>
      <c r="IT32" s="9" t="str">
        <f ca="1">IF(OR(IT5="",IT$28&lt;$A32),"",IT5/OFFSET(ParoRegCLM!$A$2,MATCH(IT$29,ParoRegCLM!$A$2:$A$500)+$A32-1,1)-1)</f>
        <v/>
      </c>
      <c r="IU32" s="9" t="str">
        <f ca="1">IF(OR(IU5="",IU$28&lt;$A32),"",IU5/OFFSET(ParoRegCLM!$A$2,MATCH(IU$29,ParoRegCLM!$A$2:$A$500)+$A32-1,1)-1)</f>
        <v/>
      </c>
      <c r="IV32" s="9" t="str">
        <f ca="1">IF(OR(IV5="",IV$28&lt;$A32),"",IV5/OFFSET(ParoRegCLM!$A$2,MATCH(IV$29,ParoRegCLM!$A$2:$A$500)+$A32-1,1)-1)</f>
        <v/>
      </c>
      <c r="IW32" s="9" t="str">
        <f ca="1">IF(OR(IW5="",IW$28&lt;$A32),"",IW5/OFFSET(ParoRegCLM!$A$2,MATCH(IW$29,ParoRegCLM!$A$2:$A$500)+$A32-1,1)-1)</f>
        <v/>
      </c>
      <c r="IX32" s="9" t="str">
        <f ca="1">IF(OR(IX5="",IX$28&lt;$A32),"",IX5/OFFSET(ParoRegCLM!$A$2,MATCH(IX$29,ParoRegCLM!$A$2:$A$500)+$A32-1,1)-1)</f>
        <v/>
      </c>
      <c r="IY32" s="9" t="str">
        <f ca="1">IF(OR(IY5="",IY$28&lt;$A32),"",IY5/OFFSET(ParoRegCLM!$A$2,MATCH(IY$29,ParoRegCLM!$A$2:$A$500)+$A32-1,1)-1)</f>
        <v/>
      </c>
      <c r="IZ32" s="9" t="str">
        <f ca="1">IF(OR(IZ5="",IZ$28&lt;$A32),"",IZ5/OFFSET(ParoRegCLM!$A$2,MATCH(IZ$29,ParoRegCLM!$A$2:$A$500)+$A32-1,1)-1)</f>
        <v/>
      </c>
      <c r="JA32" s="9" t="str">
        <f ca="1">IF(OR(JA5="",JA$28&lt;$A32),"",JA5/OFFSET(ParoRegCLM!$A$2,MATCH(JA$29,ParoRegCLM!$A$2:$A$500)+$A32-1,1)-1)</f>
        <v/>
      </c>
      <c r="JB32" s="9" t="str">
        <f ca="1">IF(OR(JB5="",JB$28&lt;$A32),"",JB5/OFFSET(ParoRegCLM!$A$2,MATCH(JB$29,ParoRegCLM!$A$2:$A$500)+$A32-1,1)-1)</f>
        <v/>
      </c>
      <c r="JC32" s="9" t="str">
        <f ca="1">IF(OR(JC5="",JC$28&lt;$A32),"",JC5/OFFSET(ParoRegCLM!$A$2,MATCH(JC$29,ParoRegCLM!$A$2:$A$500)+$A32-1,1)-1)</f>
        <v/>
      </c>
      <c r="JD32" s="9" t="str">
        <f ca="1">IF(OR(JD5="",JD$28&lt;$A32),"",JD5/OFFSET(ParoRegCLM!$A$2,MATCH(JD$29,ParoRegCLM!$A$2:$A$500)+$A32-1,1)-1)</f>
        <v/>
      </c>
      <c r="JE32" s="9" t="str">
        <f ca="1">IF(OR(JE5="",JE$28&lt;$A32),"",JE5/OFFSET(ParoRegCLM!$A$2,MATCH(JE$29,ParoRegCLM!$A$2:$A$500)+$A32-1,1)-1)</f>
        <v/>
      </c>
      <c r="JF32" s="9" t="str">
        <f ca="1">IF(OR(JF5="",JF$28&lt;$A32),"",JF5/OFFSET(ParoRegCLM!$A$2,MATCH(JF$29,ParoRegCLM!$A$2:$A$500)+$A32-1,1)-1)</f>
        <v/>
      </c>
      <c r="JG32" s="9" t="str">
        <f ca="1">IF(OR(JG5="",JG$28&lt;$A32),"",JG5/OFFSET(ParoRegCLM!$A$2,MATCH(JG$29,ParoRegCLM!$A$2:$A$500)+$A32-1,1)-1)</f>
        <v/>
      </c>
      <c r="JH32" s="9" t="str">
        <f ca="1">IF(OR(JH5="",JH$28&lt;$A32),"",JH5/OFFSET(ParoRegCLM!$A$2,MATCH(JH$29,ParoRegCLM!$A$2:$A$500)+$A32-1,1)-1)</f>
        <v/>
      </c>
      <c r="JI32" s="13">
        <f t="shared" ca="1" si="14"/>
        <v>-2.0830562435314899E-3</v>
      </c>
      <c r="JJ32" s="13">
        <f t="shared" ca="1" si="15"/>
        <v>-1.5653750835119551E-3</v>
      </c>
      <c r="JK32" s="14">
        <f t="shared" ca="1" si="16"/>
        <v>2.4580136680788568E-3</v>
      </c>
      <c r="JL32" s="17">
        <f t="shared" ca="1" si="19"/>
        <v>4.9578358868349576E-2</v>
      </c>
      <c r="JM32" s="15" t="str">
        <f t="shared" ca="1" si="17"/>
        <v>[ -10,12% ; 9,71% ]</v>
      </c>
      <c r="JN32" s="17">
        <f t="shared" ca="1" si="18"/>
        <v>6.3460299351487462E-2</v>
      </c>
      <c r="LY32" s="1"/>
    </row>
    <row r="33" spans="1:337" x14ac:dyDescent="0.25">
      <c r="A33" s="4">
        <v>4</v>
      </c>
      <c r="B33" s="9">
        <f ca="1">IF(OR(B6="",B$28&lt;$A33),"",B6/OFFSET(ParoRegCLM!$A$2,MATCH(B$29,ParoRegCLM!$A$2:$A$500)+$A33-1,1)-1)</f>
        <v>-3.7070889972600107E-2</v>
      </c>
      <c r="C33" s="9">
        <f ca="1">IF(OR(C6="",C$28&lt;$A33),"",C6/OFFSET(ParoRegCLM!$A$2,MATCH(C$29,ParoRegCLM!$A$2:$A$500)+$A33-1,1)-1)</f>
        <v>-1.6249474378936091E-2</v>
      </c>
      <c r="D33" s="9">
        <f ca="1">IF(OR(D6="",D$28&lt;$A33),"",D6/OFFSET(ParoRegCLM!$A$2,MATCH(D$29,ParoRegCLM!$A$2:$A$500)+$A33-1,1)-1)</f>
        <v>3.9973317046611001E-3</v>
      </c>
      <c r="E33" s="9">
        <f ca="1">IF(OR(E6="",E$28&lt;$A33),"",E6/OFFSET(ParoRegCLM!$A$2,MATCH(E$29,ParoRegCLM!$A$2:$A$500)+$A33-1,1)-1)</f>
        <v>2.4548042019771454E-2</v>
      </c>
      <c r="F33" s="9">
        <f ca="1">IF(OR(F6="",F$28&lt;$A33),"",F6/OFFSET(ParoRegCLM!$A$2,MATCH(F$29,ParoRegCLM!$A$2:$A$500)+$A33-1,1)-1)</f>
        <v>4.6679034289515586E-2</v>
      </c>
      <c r="G33" s="9">
        <f ca="1">IF(OR(G6="",G$28&lt;$A33),"",G6/OFFSET(ParoRegCLM!$A$2,MATCH(G$29,ParoRegCLM!$A$2:$A$500)+$A33-1,1)-1)</f>
        <v>4.7189980634495754E-2</v>
      </c>
      <c r="H33" s="9">
        <f ca="1">IF(OR(H6="",H$28&lt;$A33),"",H6/OFFSET(ParoRegCLM!$A$2,MATCH(H$29,ParoRegCLM!$A$2:$A$500)+$A33-1,1)-1)</f>
        <v>2.6782642362940035E-2</v>
      </c>
      <c r="I33" s="9">
        <f ca="1">IF(OR(I6="",I$28&lt;$A33),"",I6/OFFSET(ParoRegCLM!$A$2,MATCH(I$29,ParoRegCLM!$A$2:$A$500)+$A33-1,1)-1)</f>
        <v>1.4206920924584088E-2</v>
      </c>
      <c r="J33" s="9">
        <f ca="1">IF(OR(J6="",J$28&lt;$A33),"",J6/OFFSET(ParoRegCLM!$A$2,MATCH(J$29,ParoRegCLM!$A$2:$A$500)+$A33-1,1)-1)</f>
        <v>4.6112971937097846E-3</v>
      </c>
      <c r="K33" s="9">
        <f ca="1">IF(OR(K6="",K$28&lt;$A33),"",K6/OFFSET(ParoRegCLM!$A$2,MATCH(K$29,ParoRegCLM!$A$2:$A$500)+$A33-1,1)-1)</f>
        <v>-2.3048516829821564E-2</v>
      </c>
      <c r="L33" s="9">
        <f ca="1">IF(OR(L6="",L$28&lt;$A33),"",L6/OFFSET(ParoRegCLM!$A$2,MATCH(L$29,ParoRegCLM!$A$2:$A$500)+$A33-1,1)-1)</f>
        <v>-7.6905790127033136E-3</v>
      </c>
      <c r="M33" s="9">
        <f ca="1">IF(OR(M6="",M$28&lt;$A33),"",M6/OFFSET(ParoRegCLM!$A$2,MATCH(M$29,ParoRegCLM!$A$2:$A$500)+$A33-1,1)-1)</f>
        <v>-6.0999378537613946E-3</v>
      </c>
      <c r="N33" s="9">
        <f ca="1">IF(OR(N6="",N$28&lt;$A33),"",N6/OFFSET(ParoRegCLM!$A$2,MATCH(N$29,ParoRegCLM!$A$2:$A$500)+$A33-1,1)-1)</f>
        <v>-1.3688516961519848E-2</v>
      </c>
      <c r="O33" s="9">
        <f ca="1">IF(OR(O6="",O$28&lt;$A33),"",O6/OFFSET(ParoRegCLM!$A$2,MATCH(O$29,ParoRegCLM!$A$2:$A$500)+$A33-1,1)-1)</f>
        <v>6.7609448466130484E-3</v>
      </c>
      <c r="P33" s="9">
        <f ca="1">IF(OR(P6="",P$28&lt;$A33),"",P6/OFFSET(ParoRegCLM!$A$2,MATCH(P$29,ParoRegCLM!$A$2:$A$500)+$A33-1,1)-1)</f>
        <v>1.6713652245776922E-2</v>
      </c>
      <c r="Q33" s="9">
        <f ca="1">IF(OR(Q6="",Q$28&lt;$A33),"",Q6/OFFSET(ParoRegCLM!$A$2,MATCH(Q$29,ParoRegCLM!$A$2:$A$500)+$A33-1,1)-1)</f>
        <v>1.1471106202350034E-2</v>
      </c>
      <c r="R33" s="9">
        <f ca="1">IF(OR(R6="",R$28&lt;$A33),"",R6/OFFSET(ParoRegCLM!$A$2,MATCH(R$29,ParoRegCLM!$A$2:$A$500)+$A33-1,1)-1)</f>
        <v>-1.6892839471364107E-3</v>
      </c>
      <c r="S33" s="9">
        <f ca="1">IF(OR(S6="",S$28&lt;$A33),"",S6/OFFSET(ParoRegCLM!$A$2,MATCH(S$29,ParoRegCLM!$A$2:$A$500)+$A33-1,1)-1)</f>
        <v>5.5788167814614376E-3</v>
      </c>
      <c r="T33" s="9">
        <f ca="1">IF(OR(T6="",T$28&lt;$A33),"",T6/OFFSET(ParoRegCLM!$A$2,MATCH(T$29,ParoRegCLM!$A$2:$A$500)+$A33-1,1)-1)</f>
        <v>-1.6262837415996323E-2</v>
      </c>
      <c r="U33" s="9">
        <f ca="1">IF(OR(U6="",U$28&lt;$A33),"",U6/OFFSET(ParoRegCLM!$A$2,MATCH(U$29,ParoRegCLM!$A$2:$A$500)+$A33-1,1)-1)</f>
        <v>1.3981421102788882E-2</v>
      </c>
      <c r="V33" s="9">
        <f ca="1">IF(OR(V6="",V$28&lt;$A33),"",V6/OFFSET(ParoRegCLM!$A$2,MATCH(V$29,ParoRegCLM!$A$2:$A$500)+$A33-1,1)-1)</f>
        <v>2.6155320449115615E-2</v>
      </c>
      <c r="W33" s="9">
        <f ca="1">IF(OR(W6="",W$28&lt;$A33),"",W6/OFFSET(ParoRegCLM!$A$2,MATCH(W$29,ParoRegCLM!$A$2:$A$500)+$A33-1,1)-1)</f>
        <v>2.4762025238911134E-2</v>
      </c>
      <c r="X33" s="9">
        <f ca="1">IF(OR(X6="",X$28&lt;$A33),"",X6/OFFSET(ParoRegCLM!$A$2,MATCH(X$29,ParoRegCLM!$A$2:$A$500)+$A33-1,1)-1)</f>
        <v>3.5244106511363782E-2</v>
      </c>
      <c r="Y33" s="9">
        <f ca="1">IF(OR(Y6="",Y$28&lt;$A33),"",Y6/OFFSET(ParoRegCLM!$A$2,MATCH(Y$29,ParoRegCLM!$A$2:$A$500)+$A33-1,1)-1)</f>
        <v>3.5314043099482495E-2</v>
      </c>
      <c r="Z33" s="9">
        <f ca="1">IF(OR(Z6="",Z$28&lt;$A33),"",Z6/OFFSET(ParoRegCLM!$A$2,MATCH(Z$29,ParoRegCLM!$A$2:$A$500)+$A33-1,1)-1)</f>
        <v>3.7863941442622728E-2</v>
      </c>
      <c r="AA33" s="9">
        <f ca="1">IF(OR(AA6="",AA$28&lt;$A33),"",AA6/OFFSET(ParoRegCLM!$A$2,MATCH(AA$29,ParoRegCLM!$A$2:$A$500)+$A33-1,1)-1)</f>
        <v>2.0019920625625964E-2</v>
      </c>
      <c r="AB33" s="9">
        <f ca="1">IF(OR(AB6="",AB$28&lt;$A33),"",AB6/OFFSET(ParoRegCLM!$A$2,MATCH(AB$29,ParoRegCLM!$A$2:$A$500)+$A33-1,1)-1)</f>
        <v>1.8252932822497625E-2</v>
      </c>
      <c r="AC33" s="9">
        <f ca="1">IF(OR(AC6="",AC$28&lt;$A33),"",AC6/OFFSET(ParoRegCLM!$A$2,MATCH(AC$29,ParoRegCLM!$A$2:$A$500)+$A33-1,1)-1)</f>
        <v>-5.7238418497768118E-3</v>
      </c>
      <c r="AD33" s="9">
        <f ca="1">IF(OR(AD6="",AD$28&lt;$A33),"",AD6/OFFSET(ParoRegCLM!$A$2,MATCH(AD$29,ParoRegCLM!$A$2:$A$500)+$A33-1,1)-1)</f>
        <v>-9.8571664531481584E-3</v>
      </c>
      <c r="AE33" s="9">
        <f ca="1">IF(OR(AE6="",AE$28&lt;$A33),"",AE6/OFFSET(ParoRegCLM!$A$2,MATCH(AE$29,ParoRegCLM!$A$2:$A$500)+$A33-1,1)-1)</f>
        <v>-7.7621738082442882E-3</v>
      </c>
      <c r="AF33" s="9">
        <f ca="1">IF(OR(AF6="",AF$28&lt;$A33),"",AF6/OFFSET(ParoRegCLM!$A$2,MATCH(AF$29,ParoRegCLM!$A$2:$A$500)+$A33-1,1)-1)</f>
        <v>2.6440343024960455E-3</v>
      </c>
      <c r="AG33" s="9">
        <f ca="1">IF(OR(AG6="",AG$28&lt;$A33),"",AG6/OFFSET(ParoRegCLM!$A$2,MATCH(AG$29,ParoRegCLM!$A$2:$A$500)+$A33-1,1)-1)</f>
        <v>1.8651549942803269E-2</v>
      </c>
      <c r="AH33" s="9">
        <f ca="1">IF(OR(AH6="",AH$28&lt;$A33),"",AH6/OFFSET(ParoRegCLM!$A$2,MATCH(AH$29,ParoRegCLM!$A$2:$A$500)+$A33-1,1)-1)</f>
        <v>4.4946750701492011E-2</v>
      </c>
      <c r="AI33" s="9">
        <f ca="1">IF(OR(AI6="",AI$28&lt;$A33),"",AI6/OFFSET(ParoRegCLM!$A$2,MATCH(AI$29,ParoRegCLM!$A$2:$A$500)+$A33-1,1)-1)</f>
        <v>4.6951524170669945E-2</v>
      </c>
      <c r="AJ33" s="9">
        <f ca="1">IF(OR(AJ6="",AJ$28&lt;$A33),"",AJ6/OFFSET(ParoRegCLM!$A$2,MATCH(AJ$29,ParoRegCLM!$A$2:$A$500)+$A33-1,1)-1)</f>
        <v>4.1254546415411042E-2</v>
      </c>
      <c r="AK33" s="9">
        <f ca="1">IF(OR(AK6="",AK$28&lt;$A33),"",AK6/OFFSET(ParoRegCLM!$A$2,MATCH(AK$29,ParoRegCLM!$A$2:$A$500)+$A33-1,1)-1)</f>
        <v>3.4128685839858841E-2</v>
      </c>
      <c r="AL33" s="9">
        <f ca="1">IF(OR(AL6="",AL$28&lt;$A33),"",AL6/OFFSET(ParoRegCLM!$A$2,MATCH(AL$29,ParoRegCLM!$A$2:$A$500)+$A33-1,1)-1)</f>
        <v>-3.7336800637520762E-3</v>
      </c>
      <c r="AM33" s="9">
        <f ca="1">IF(OR(AM6="",AM$28&lt;$A33),"",AM6/OFFSET(ParoRegCLM!$A$2,MATCH(AM$29,ParoRegCLM!$A$2:$A$500)+$A33-1,1)-1)</f>
        <v>-2.0640510747621521E-2</v>
      </c>
      <c r="AN33" s="9">
        <f ca="1">IF(OR(AN6="",AN$28&lt;$A33),"",AN6/OFFSET(ParoRegCLM!$A$2,MATCH(AN$29,ParoRegCLM!$A$2:$A$500)+$A33-1,1)-1)</f>
        <v>-3.5013038356955017E-2</v>
      </c>
      <c r="AO33" s="9">
        <f ca="1">IF(OR(AO6="",AO$28&lt;$A33),"",AO6/OFFSET(ParoRegCLM!$A$2,MATCH(AO$29,ParoRegCLM!$A$2:$A$500)+$A33-1,1)-1)</f>
        <v>-6.2211938874023098E-2</v>
      </c>
      <c r="AP33" s="9">
        <f ca="1">IF(OR(AP6="",AP$28&lt;$A33),"",AP6/OFFSET(ParoRegCLM!$A$2,MATCH(AP$29,ParoRegCLM!$A$2:$A$500)+$A33-1,1)-1)</f>
        <v>-5.5528957349460395E-2</v>
      </c>
      <c r="AQ33" s="9">
        <f ca="1">IF(OR(AQ6="",AQ$28&lt;$A33),"",AQ6/OFFSET(ParoRegCLM!$A$2,MATCH(AQ$29,ParoRegCLM!$A$2:$A$500)+$A33-1,1)-1)</f>
        <v>-4.2570396759856743E-2</v>
      </c>
      <c r="AR33" s="9">
        <f ca="1">IF(OR(AR6="",AR$28&lt;$A33),"",AR6/OFFSET(ParoRegCLM!$A$2,MATCH(AR$29,ParoRegCLM!$A$2:$A$500)+$A33-1,1)-1)</f>
        <v>-2.923148531144959E-2</v>
      </c>
      <c r="AS33" s="9">
        <f ca="1">IF(OR(AS6="",AS$28&lt;$A33),"",AS6/OFFSET(ParoRegCLM!$A$2,MATCH(AS$29,ParoRegCLM!$A$2:$A$500)+$A33-1,1)-1)</f>
        <v>-1.6982753949678853E-2</v>
      </c>
      <c r="AT33" s="9">
        <f ca="1">IF(OR(AT6="",AT$28&lt;$A33),"",AT6/OFFSET(ParoRegCLM!$A$2,MATCH(AT$29,ParoRegCLM!$A$2:$A$500)+$A33-1,1)-1)</f>
        <v>7.5520580891590416E-3</v>
      </c>
      <c r="AU33" s="9">
        <f ca="1">IF(OR(AU6="",AU$28&lt;$A33),"",AU6/OFFSET(ParoRegCLM!$A$2,MATCH(AU$29,ParoRegCLM!$A$2:$A$500)+$A33-1,1)-1)</f>
        <v>-1.9919044121878171E-2</v>
      </c>
      <c r="AV33" s="9">
        <f ca="1">IF(OR(AV6="",AV$28&lt;$A33),"",AV6/OFFSET(ParoRegCLM!$A$2,MATCH(AV$29,ParoRegCLM!$A$2:$A$500)+$A33-1,1)-1)</f>
        <v>-5.8967039758507589E-2</v>
      </c>
      <c r="AW33" s="9">
        <f ca="1">IF(OR(AW6="",AW$28&lt;$A33),"",AW6/OFFSET(ParoRegCLM!$A$2,MATCH(AW$29,ParoRegCLM!$A$2:$A$500)+$A33-1,1)-1)</f>
        <v>-6.0090315651360249E-2</v>
      </c>
      <c r="AX33" s="9">
        <f ca="1">IF(OR(AX6="",AX$28&lt;$A33),"",AX6/OFFSET(ParoRegCLM!$A$2,MATCH(AX$29,ParoRegCLM!$A$2:$A$500)+$A33-1,1)-1)</f>
        <v>-0.10582268979769527</v>
      </c>
      <c r="AY33" s="9">
        <f ca="1">IF(OR(AY6="",AY$28&lt;$A33),"",AY6/OFFSET(ParoRegCLM!$A$2,MATCH(AY$29,ParoRegCLM!$A$2:$A$500)+$A33-1,1)-1)</f>
        <v>-0.12028103565203419</v>
      </c>
      <c r="AZ33" s="9">
        <f ca="1">IF(OR(AZ6="",AZ$28&lt;$A33),"",AZ6/OFFSET(ParoRegCLM!$A$2,MATCH(AZ$29,ParoRegCLM!$A$2:$A$500)+$A33-1,1)-1)</f>
        <v>-0.10824878203861021</v>
      </c>
      <c r="BA33" s="9">
        <f ca="1">IF(OR(BA6="",BA$28&lt;$A33),"",BA6/OFFSET(ParoRegCLM!$A$2,MATCH(BA$29,ParoRegCLM!$A$2:$A$500)+$A33-1,1)-1)</f>
        <v>-0.12822647749687943</v>
      </c>
      <c r="BB33" s="9">
        <f ca="1">IF(OR(BB6="",BB$28&lt;$A33),"",BB6/OFFSET(ParoRegCLM!$A$2,MATCH(BB$29,ParoRegCLM!$A$2:$A$500)+$A33-1,1)-1)</f>
        <v>-0.11880551726869903</v>
      </c>
      <c r="BC33" s="9">
        <f ca="1">IF(OR(BC6="",BC$28&lt;$A33),"",BC6/OFFSET(ParoRegCLM!$A$2,MATCH(BC$29,ParoRegCLM!$A$2:$A$500)+$A33-1,1)-1)</f>
        <v>-8.8368508628470011E-2</v>
      </c>
      <c r="BD33" s="9">
        <f ca="1">IF(OR(BD6="",BD$28&lt;$A33),"",BD6/OFFSET(ParoRegCLM!$A$2,MATCH(BD$29,ParoRegCLM!$A$2:$A$500)+$A33-1,1)-1)</f>
        <v>-0.13037972343690585</v>
      </c>
      <c r="BE33" s="9">
        <f ca="1">IF(OR(BE6="",BE$28&lt;$A33),"",BE6/OFFSET(ParoRegCLM!$A$2,MATCH(BE$29,ParoRegCLM!$A$2:$A$500)+$A33-1,1)-1)</f>
        <v>-0.12783460582284567</v>
      </c>
      <c r="BF33" s="9">
        <f ca="1">IF(OR(BF6="",BF$28&lt;$A33),"",BF6/OFFSET(ParoRegCLM!$A$2,MATCH(BF$29,ParoRegCLM!$A$2:$A$500)+$A33-1,1)-1)</f>
        <v>-0.13794166088606719</v>
      </c>
      <c r="BG33" s="9">
        <f ca="1">IF(OR(BG6="",BG$28&lt;$A33),"",BG6/OFFSET(ParoRegCLM!$A$2,MATCH(BG$29,ParoRegCLM!$A$2:$A$500)+$A33-1,1)-1)</f>
        <v>-0.14057470231533853</v>
      </c>
      <c r="BH33" s="9">
        <f ca="1">IF(OR(BH6="",BH$28&lt;$A33),"",BH6/OFFSET(ParoRegCLM!$A$2,MATCH(BH$29,ParoRegCLM!$A$2:$A$500)+$A33-1,1)-1)</f>
        <v>-6.7850069654328715E-2</v>
      </c>
      <c r="BI33" s="9">
        <f ca="1">IF(OR(BI6="",BI$28&lt;$A33),"",BI6/OFFSET(ParoRegCLM!$A$2,MATCH(BI$29,ParoRegCLM!$A$2:$A$500)+$A33-1,1)-1)</f>
        <v>-4.0111750070392138E-2</v>
      </c>
      <c r="BJ33" s="9">
        <f ca="1">IF(OR(BJ6="",BJ$28&lt;$A33),"",BJ6/OFFSET(ParoRegCLM!$A$2,MATCH(BJ$29,ParoRegCLM!$A$2:$A$500)+$A33-1,1)-1)</f>
        <v>-7.3983023693451333E-3</v>
      </c>
      <c r="BK33" s="9">
        <f ca="1">IF(OR(BK6="",BK$28&lt;$A33),"",BK6/OFFSET(ParoRegCLM!$A$2,MATCH(BK$29,ParoRegCLM!$A$2:$A$500)+$A33-1,1)-1)</f>
        <v>-2.6518770686958626E-2</v>
      </c>
      <c r="BL33" s="9">
        <f ca="1">IF(OR(BL6="",BL$28&lt;$A33),"",BL6/OFFSET(ParoRegCLM!$A$2,MATCH(BL$29,ParoRegCLM!$A$2:$A$500)+$A33-1,1)-1)</f>
        <v>5.488843590701542E-2</v>
      </c>
      <c r="BM33" s="9">
        <f ca="1">IF(OR(BM6="",BM$28&lt;$A33),"",BM6/OFFSET(ParoRegCLM!$A$2,MATCH(BM$29,ParoRegCLM!$A$2:$A$500)+$A33-1,1)-1)</f>
        <v>0.13516799547737213</v>
      </c>
      <c r="BN33" s="9">
        <f ca="1">IF(OR(BN6="",BN$28&lt;$A33),"",BN6/OFFSET(ParoRegCLM!$A$2,MATCH(BN$29,ParoRegCLM!$A$2:$A$500)+$A33-1,1)-1)</f>
        <v>0.13895958282550991</v>
      </c>
      <c r="BO33" s="9">
        <f ca="1">IF(OR(BO6="",BO$28&lt;$A33),"",BO6/OFFSET(ParoRegCLM!$A$2,MATCH(BO$29,ParoRegCLM!$A$2:$A$500)+$A33-1,1)-1)</f>
        <v>0.15055630421690358</v>
      </c>
      <c r="BP33" s="9">
        <f ca="1">IF(OR(BP6="",BP$28&lt;$A33),"",BP6/OFFSET(ParoRegCLM!$A$2,MATCH(BP$29,ParoRegCLM!$A$2:$A$500)+$A33-1,1)-1)</f>
        <v>4.9416596531626222E-2</v>
      </c>
      <c r="BQ33" s="9">
        <f ca="1">IF(OR(BQ6="",BQ$28&lt;$A33),"",BQ6/OFFSET(ParoRegCLM!$A$2,MATCH(BQ$29,ParoRegCLM!$A$2:$A$500)+$A33-1,1)-1)</f>
        <v>1.0905542324689765E-2</v>
      </c>
      <c r="BR33" s="9">
        <f ca="1">IF(OR(BR6="",BR$28&lt;$A33),"",BR6/OFFSET(ParoRegCLM!$A$2,MATCH(BR$29,ParoRegCLM!$A$2:$A$500)+$A33-1,1)-1)</f>
        <v>4.7422894740696275E-3</v>
      </c>
      <c r="BS33" s="9">
        <f ca="1">IF(OR(BS6="",BS$28&lt;$A33),"",BS6/OFFSET(ParoRegCLM!$A$2,MATCH(BS$29,ParoRegCLM!$A$2:$A$500)+$A33-1,1)-1)</f>
        <v>-1.6289020098588902E-2</v>
      </c>
      <c r="BT33" s="9">
        <f ca="1">IF(OR(BT6="",BT$28&lt;$A33),"",BT6/OFFSET(ParoRegCLM!$A$2,MATCH(BT$29,ParoRegCLM!$A$2:$A$500)+$A33-1,1)-1)</f>
        <v>5.7052908130145186E-2</v>
      </c>
      <c r="BU33" s="9">
        <f ca="1">IF(OR(BU6="",BU$28&lt;$A33),"",BU6/OFFSET(ParoRegCLM!$A$2,MATCH(BU$29,ParoRegCLM!$A$2:$A$500)+$A33-1,1)-1)</f>
        <v>-4.7317412961201955E-3</v>
      </c>
      <c r="BV33" s="9">
        <f ca="1">IF(OR(BV6="",BV$28&lt;$A33),"",BV6/OFFSET(ParoRegCLM!$A$2,MATCH(BV$29,ParoRegCLM!$A$2:$A$500)+$A33-1,1)-1)</f>
        <v>8.6931331667123857E-3</v>
      </c>
      <c r="BW33" s="9">
        <f ca="1">IF(OR(BW6="",BW$28&lt;$A33),"",BW6/OFFSET(ParoRegCLM!$A$2,MATCH(BW$29,ParoRegCLM!$A$2:$A$500)+$A33-1,1)-1)</f>
        <v>1.1892241963930461E-2</v>
      </c>
      <c r="BX33" s="9">
        <f ca="1">IF(OR(BX6="",BX$28&lt;$A33),"",BX6/OFFSET(ParoRegCLM!$A$2,MATCH(BX$29,ParoRegCLM!$A$2:$A$500)+$A33-1,1)-1)</f>
        <v>2.524477399546976E-2</v>
      </c>
      <c r="BY33" s="9">
        <f ca="1">IF(OR(BY6="",BY$28&lt;$A33),"",BY6/OFFSET(ParoRegCLM!$A$2,MATCH(BY$29,ParoRegCLM!$A$2:$A$500)+$A33-1,1)-1)</f>
        <v>3.8192410282358091E-2</v>
      </c>
      <c r="BZ33" s="9">
        <f ca="1">IF(OR(BZ6="",BZ$28&lt;$A33),"",BZ6/OFFSET(ParoRegCLM!$A$2,MATCH(BZ$29,ParoRegCLM!$A$2:$A$500)+$A33-1,1)-1)</f>
        <v>2.4502045825135266E-2</v>
      </c>
      <c r="CA33" s="9">
        <f ca="1">IF(OR(CA6="",CA$28&lt;$A33),"",CA6/OFFSET(ParoRegCLM!$A$2,MATCH(CA$29,ParoRegCLM!$A$2:$A$500)+$A33-1,1)-1)</f>
        <v>3.7145951775594321E-2</v>
      </c>
      <c r="CB33" s="9">
        <f ca="1">IF(OR(CB6="",CB$28&lt;$A33),"",CB6/OFFSET(ParoRegCLM!$A$2,MATCH(CB$29,ParoRegCLM!$A$2:$A$500)+$A33-1,1)-1)</f>
        <v>1.2147081938256088E-2</v>
      </c>
      <c r="CC33" s="9">
        <f ca="1">IF(OR(CC6="",CC$28&lt;$A33),"",CC6/OFFSET(ParoRegCLM!$A$2,MATCH(CC$29,ParoRegCLM!$A$2:$A$500)+$A33-1,1)-1)</f>
        <v>-3.7621376715417654E-3</v>
      </c>
      <c r="CD33" s="9">
        <f ca="1">IF(OR(CD6="",CD$28&lt;$A33),"",CD6/OFFSET(ParoRegCLM!$A$2,MATCH(CD$29,ParoRegCLM!$A$2:$A$500)+$A33-1,1)-1)</f>
        <v>2.4458644289298892E-2</v>
      </c>
      <c r="CE33" s="9">
        <f ca="1">IF(OR(CE6="",CE$28&lt;$A33),"",CE6/OFFSET(ParoRegCLM!$A$2,MATCH(CE$29,ParoRegCLM!$A$2:$A$500)+$A33-1,1)-1)</f>
        <v>-1.5065517640949433E-2</v>
      </c>
      <c r="CF33" s="9">
        <f ca="1">IF(OR(CF6="",CF$28&lt;$A33),"",CF6/OFFSET(ParoRegCLM!$A$2,MATCH(CF$29,ParoRegCLM!$A$2:$A$500)+$A33-1,1)-1)</f>
        <v>2.3380362113974762E-2</v>
      </c>
      <c r="CG33" s="9">
        <f ca="1">IF(OR(CG6="",CG$28&lt;$A33),"",CG6/OFFSET(ParoRegCLM!$A$2,MATCH(CG$29,ParoRegCLM!$A$2:$A$500)+$A33-1,1)-1)</f>
        <v>3.5521040688237804E-2</v>
      </c>
      <c r="CH33" s="9">
        <f ca="1">IF(OR(CH6="",CH$28&lt;$A33),"",CH6/OFFSET(ParoRegCLM!$A$2,MATCH(CH$29,ParoRegCLM!$A$2:$A$500)+$A33-1,1)-1)</f>
        <v>-4.2486402895741682E-3</v>
      </c>
      <c r="CI33" s="9">
        <f ca="1">IF(OR(CI6="",CI$28&lt;$A33),"",CI6/OFFSET(ParoRegCLM!$A$2,MATCH(CI$29,ParoRegCLM!$A$2:$A$500)+$A33-1,1)-1)</f>
        <v>1.2009499966392445E-2</v>
      </c>
      <c r="CJ33" s="9">
        <f ca="1">IF(OR(CJ6="",CJ$28&lt;$A33),"",CJ6/OFFSET(ParoRegCLM!$A$2,MATCH(CJ$29,ParoRegCLM!$A$2:$A$500)+$A33-1,1)-1)</f>
        <v>-2.265029017739395E-3</v>
      </c>
      <c r="CK33" s="9">
        <f ca="1">IF(OR(CK6="",CK$28&lt;$A33),"",CK6/OFFSET(ParoRegCLM!$A$2,MATCH(CK$29,ParoRegCLM!$A$2:$A$500)+$A33-1,1)-1)</f>
        <v>-3.9586440043441584E-2</v>
      </c>
      <c r="CL33" s="9">
        <f ca="1">IF(OR(CL6="",CL$28&lt;$A33),"",CL6/OFFSET(ParoRegCLM!$A$2,MATCH(CL$29,ParoRegCLM!$A$2:$A$500)+$A33-1,1)-1)</f>
        <v>-2.8864692383485657E-2</v>
      </c>
      <c r="CM33" s="9">
        <f ca="1">IF(OR(CM6="",CM$28&lt;$A33),"",CM6/OFFSET(ParoRegCLM!$A$2,MATCH(CM$29,ParoRegCLM!$A$2:$A$500)+$A33-1,1)-1)</f>
        <v>-1.3613890283052377E-2</v>
      </c>
      <c r="CN33" s="9">
        <f ca="1">IF(OR(CN6="",CN$28&lt;$A33),"",CN6/OFFSET(ParoRegCLM!$A$2,MATCH(CN$29,ParoRegCLM!$A$2:$A$500)+$A33-1,1)-1)</f>
        <v>-1.0397195658326863E-2</v>
      </c>
      <c r="CO33" s="9">
        <f ca="1">IF(OR(CO6="",CO$28&lt;$A33),"",CO6/OFFSET(ParoRegCLM!$A$2,MATCH(CO$29,ParoRegCLM!$A$2:$A$500)+$A33-1,1)-1)</f>
        <v>4.0486246508346646E-3</v>
      </c>
      <c r="CP33" s="9">
        <f ca="1">IF(OR(CP6="",CP$28&lt;$A33),"",CP6/OFFSET(ParoRegCLM!$A$2,MATCH(CP$29,ParoRegCLM!$A$2:$A$500)+$A33-1,1)-1)</f>
        <v>-3.2210595462400793E-3</v>
      </c>
      <c r="CQ33" s="9">
        <f ca="1">IF(OR(CQ6="",CQ$28&lt;$A33),"",CQ6/OFFSET(ParoRegCLM!$A$2,MATCH(CQ$29,ParoRegCLM!$A$2:$A$500)+$A33-1,1)-1)</f>
        <v>-1.6203620697669008E-3</v>
      </c>
      <c r="CR33" s="9">
        <f ca="1">IF(OR(CR6="",CR$28&lt;$A33),"",CR6/OFFSET(ParoRegCLM!$A$2,MATCH(CR$29,ParoRegCLM!$A$2:$A$500)+$A33-1,1)-1)</f>
        <v>1.5047689026215449E-2</v>
      </c>
      <c r="CS33" s="9">
        <f ca="1">IF(OR(CS6="",CS$28&lt;$A33),"",CS6/OFFSET(ParoRegCLM!$A$2,MATCH(CS$29,ParoRegCLM!$A$2:$A$500)+$A33-1,1)-1)</f>
        <v>-1.2340702634966338E-2</v>
      </c>
      <c r="CT33" s="9">
        <f ca="1">IF(OR(CT6="",CT$28&lt;$A33),"",CT6/OFFSET(ParoRegCLM!$A$2,MATCH(CT$29,ParoRegCLM!$A$2:$A$500)+$A33-1,1)-1)</f>
        <v>-5.6809249005986939E-2</v>
      </c>
      <c r="CU33" s="9">
        <f ca="1">IF(OR(CU6="",CU$28&lt;$A33),"",CU6/OFFSET(ParoRegCLM!$A$2,MATCH(CU$29,ParoRegCLM!$A$2:$A$500)+$A33-1,1)-1)</f>
        <v>-3.641401628692531E-2</v>
      </c>
      <c r="CV33" s="9">
        <f ca="1">IF(OR(CV6="",CV$28&lt;$A33),"",CV6/OFFSET(ParoRegCLM!$A$2,MATCH(CV$29,ParoRegCLM!$A$2:$A$500)+$A33-1,1)-1)</f>
        <v>-1.0837215331195083E-2</v>
      </c>
      <c r="CW33" s="9">
        <f ca="1">IF(OR(CW6="",CW$28&lt;$A33),"",CW6/OFFSET(ParoRegCLM!$A$2,MATCH(CW$29,ParoRegCLM!$A$2:$A$500)+$A33-1,1)-1)</f>
        <v>-2.0547194272119707E-2</v>
      </c>
      <c r="CX33" s="9">
        <f ca="1">IF(OR(CX6="",CX$28&lt;$A33),"",CX6/OFFSET(ParoRegCLM!$A$2,MATCH(CX$29,ParoRegCLM!$A$2:$A$500)+$A33-1,1)-1)</f>
        <v>-1.8603015739298012E-3</v>
      </c>
      <c r="CY33" s="9">
        <f ca="1">IF(OR(CY6="",CY$28&lt;$A33),"",CY6/OFFSET(ParoRegCLM!$A$2,MATCH(CY$29,ParoRegCLM!$A$2:$A$500)+$A33-1,1)-1)</f>
        <v>3.158863868627737E-2</v>
      </c>
      <c r="CZ33" s="9">
        <f ca="1">IF(OR(CZ6="",CZ$28&lt;$A33),"",CZ6/OFFSET(ParoRegCLM!$A$2,MATCH(CZ$29,ParoRegCLM!$A$2:$A$500)+$A33-1,1)-1)</f>
        <v>-6.6331940521233701E-3</v>
      </c>
      <c r="DA33" s="9">
        <f ca="1">IF(OR(DA6="",DA$28&lt;$A33),"",DA6/OFFSET(ParoRegCLM!$A$2,MATCH(DA$29,ParoRegCLM!$A$2:$A$500)+$A33-1,1)-1)</f>
        <v>2.494261123048358E-2</v>
      </c>
      <c r="DB33" s="9">
        <f ca="1">IF(OR(DB6="",DB$28&lt;$A33),"",DB6/OFFSET(ParoRegCLM!$A$2,MATCH(DB$29,ParoRegCLM!$A$2:$A$500)+$A33-1,1)-1)</f>
        <v>3.1374462137449433E-2</v>
      </c>
      <c r="DC33" s="9">
        <f ca="1">IF(OR(DC6="",DC$28&lt;$A33),"",DC6/OFFSET(ParoRegCLM!$A$2,MATCH(DC$29,ParoRegCLM!$A$2:$A$500)+$A33-1,1)-1)</f>
        <v>-2.0366216530833592E-2</v>
      </c>
      <c r="DD33" s="9">
        <f ca="1">IF(OR(DD6="",DD$28&lt;$A33),"",DD6/OFFSET(ParoRegCLM!$A$2,MATCH(DD$29,ParoRegCLM!$A$2:$A$500)+$A33-1,1)-1)</f>
        <v>2.6575443455049141E-2</v>
      </c>
      <c r="DE33" s="9">
        <f ca="1">IF(OR(DE6="",DE$28&lt;$A33),"",DE6/OFFSET(ParoRegCLM!$A$2,MATCH(DE$29,ParoRegCLM!$A$2:$A$500)+$A33-1,1)-1)</f>
        <v>5.8402663028102264E-2</v>
      </c>
      <c r="DF33" s="9">
        <f ca="1">IF(OR(DF6="",DF$28&lt;$A33),"",DF6/OFFSET(ParoRegCLM!$A$2,MATCH(DF$29,ParoRegCLM!$A$2:$A$500)+$A33-1,1)-1)</f>
        <v>4.4073999667431085E-2</v>
      </c>
      <c r="DG33" s="9">
        <f ca="1">IF(OR(DG6="",DG$28&lt;$A33),"",DG6/OFFSET(ParoRegCLM!$A$2,MATCH(DG$29,ParoRegCLM!$A$2:$A$500)+$A33-1,1)-1)</f>
        <v>5.8038746470546965E-2</v>
      </c>
      <c r="DH33" s="9">
        <f ca="1">IF(OR(DH6="",DH$28&lt;$A33),"",DH6/OFFSET(ParoRegCLM!$A$2,MATCH(DH$29,ParoRegCLM!$A$2:$A$500)+$A33-1,1)-1)</f>
        <v>4.1738594341133251E-2</v>
      </c>
      <c r="DI33" s="9">
        <f ca="1">IF(OR(DI6="",DI$28&lt;$A33),"",DI6/OFFSET(ParoRegCLM!$A$2,MATCH(DI$29,ParoRegCLM!$A$2:$A$500)+$A33-1,1)-1)</f>
        <v>4.6981440250634332E-2</v>
      </c>
      <c r="DJ33" s="9">
        <f ca="1">IF(OR(DJ6="",DJ$28&lt;$A33),"",DJ6/OFFSET(ParoRegCLM!$A$2,MATCH(DJ$29,ParoRegCLM!$A$2:$A$500)+$A33-1,1)-1)</f>
        <v>1.0830129760782015E-2</v>
      </c>
      <c r="DK33" s="9">
        <f ca="1">IF(OR(DK6="",DK$28&lt;$A33),"",DK6/OFFSET(ParoRegCLM!$A$2,MATCH(DK$29,ParoRegCLM!$A$2:$A$500)+$A33-1,1)-1)</f>
        <v>4.6466924077070315E-2</v>
      </c>
      <c r="DL33" s="9">
        <f ca="1">IF(OR(DL6="",DL$28&lt;$A33),"",DL6/OFFSET(ParoRegCLM!$A$2,MATCH(DL$29,ParoRegCLM!$A$2:$A$500)+$A33-1,1)-1)</f>
        <v>3.0036976084168998E-4</v>
      </c>
      <c r="DM33" s="9">
        <f ca="1">IF(OR(DM6="",DM$28&lt;$A33),"",DM6/OFFSET(ParoRegCLM!$A$2,MATCH(DM$29,ParoRegCLM!$A$2:$A$500)+$A33-1,1)-1)</f>
        <v>-4.1962873660240652E-3</v>
      </c>
      <c r="DN33" s="9">
        <f ca="1">IF(OR(DN6="",DN$28&lt;$A33),"",DN6/OFFSET(ParoRegCLM!$A$2,MATCH(DN$29,ParoRegCLM!$A$2:$A$500)+$A33-1,1)-1)</f>
        <v>3.6078806587496848E-2</v>
      </c>
      <c r="DO33" s="9">
        <f ca="1">IF(OR(DO6="",DO$28&lt;$A33),"",DO6/OFFSET(ParoRegCLM!$A$2,MATCH(DO$29,ParoRegCLM!$A$2:$A$500)+$A33-1,1)-1)</f>
        <v>9.6993326800998148E-4</v>
      </c>
      <c r="DP33" s="9">
        <f ca="1">IF(OR(DP6="",DP$28&lt;$A33),"",DP6/OFFSET(ParoRegCLM!$A$2,MATCH(DP$29,ParoRegCLM!$A$2:$A$500)+$A33-1,1)-1)</f>
        <v>3.6906159819179329E-2</v>
      </c>
      <c r="DQ33" s="9">
        <f ca="1">IF(OR(DQ6="",DQ$28&lt;$A33),"",DQ6/OFFSET(ParoRegCLM!$A$2,MATCH(DQ$29,ParoRegCLM!$A$2:$A$500)+$A33-1,1)-1)</f>
        <v>3.7428279782193208E-2</v>
      </c>
      <c r="DR33" s="9">
        <f ca="1">IF(OR(DR6="",DR$28&lt;$A33),"",DR6/OFFSET(ParoRegCLM!$A$2,MATCH(DR$29,ParoRegCLM!$A$2:$A$500)+$A33-1,1)-1)</f>
        <v>-3.2569356500034008E-3</v>
      </c>
      <c r="DS33" s="9">
        <f ca="1">IF(OR(DS6="",DS$28&lt;$A33),"",DS6/OFFSET(ParoRegCLM!$A$2,MATCH(DS$29,ParoRegCLM!$A$2:$A$500)+$A33-1,1)-1)</f>
        <v>-9.0554882444734419E-3</v>
      </c>
      <c r="DT33" s="9">
        <f ca="1">IF(OR(DT6="",DT$28&lt;$A33),"",DT6/OFFSET(ParoRegCLM!$A$2,MATCH(DT$29,ParoRegCLM!$A$2:$A$500)+$A33-1,1)-1)</f>
        <v>-4.344998384493981E-3</v>
      </c>
      <c r="DU33" s="9">
        <f ca="1">IF(OR(DU6="",DU$28&lt;$A33),"",DU6/OFFSET(ParoRegCLM!$A$2,MATCH(DU$29,ParoRegCLM!$A$2:$A$500)+$A33-1,1)-1)</f>
        <v>-1.3996841107457803E-2</v>
      </c>
      <c r="DV33" s="9">
        <f ca="1">IF(OR(DV6="",DV$28&lt;$A33),"",DV6/OFFSET(ParoRegCLM!$A$2,MATCH(DV$29,ParoRegCLM!$A$2:$A$500)+$A33-1,1)-1)</f>
        <v>-1.0284606570660548E-2</v>
      </c>
      <c r="DW33" s="9">
        <f ca="1">IF(OR(DW6="",DW$28&lt;$A33),"",DW6/OFFSET(ParoRegCLM!$A$2,MATCH(DW$29,ParoRegCLM!$A$2:$A$500)+$A33-1,1)-1)</f>
        <v>-1.6508323025951288E-2</v>
      </c>
      <c r="DX33" s="9">
        <f ca="1">IF(OR(DX6="",DX$28&lt;$A33),"",DX6/OFFSET(ParoRegCLM!$A$2,MATCH(DX$29,ParoRegCLM!$A$2:$A$500)+$A33-1,1)-1)</f>
        <v>-1.4226687554845796E-3</v>
      </c>
      <c r="DY33" s="9">
        <f ca="1">IF(OR(DY6="",DY$28&lt;$A33),"",DY6/OFFSET(ParoRegCLM!$A$2,MATCH(DY$29,ParoRegCLM!$A$2:$A$500)+$A33-1,1)-1)</f>
        <v>2.2299031592516894E-2</v>
      </c>
      <c r="DZ33" s="9">
        <f ca="1">IF(OR(DZ6="",DZ$28&lt;$A33),"",DZ6/OFFSET(ParoRegCLM!$A$2,MATCH(DZ$29,ParoRegCLM!$A$2:$A$500)+$A33-1,1)-1)</f>
        <v>-3.38522863069457E-3</v>
      </c>
      <c r="EA33" s="9">
        <f ca="1">IF(OR(EA6="",EA$28&lt;$A33),"",EA6/OFFSET(ParoRegCLM!$A$2,MATCH(EA$29,ParoRegCLM!$A$2:$A$500)+$A33-1,1)-1)</f>
        <v>2.768538545840693E-3</v>
      </c>
      <c r="EB33" s="9">
        <f ca="1">IF(OR(EB6="",EB$28&lt;$A33),"",EB6/OFFSET(ParoRegCLM!$A$2,MATCH(EB$29,ParoRegCLM!$A$2:$A$500)+$A33-1,1)-1)</f>
        <v>1.7989307219453465E-2</v>
      </c>
      <c r="EC33" s="9">
        <f ca="1">IF(OR(EC6="",EC$28&lt;$A33),"",EC6/OFFSET(ParoRegCLM!$A$2,MATCH(EC$29,ParoRegCLM!$A$2:$A$500)+$A33-1,1)-1)</f>
        <v>-6.244461064311202E-3</v>
      </c>
      <c r="ED33" s="9">
        <f ca="1">IF(OR(ED6="",ED$28&lt;$A33),"",ED6/OFFSET(ParoRegCLM!$A$2,MATCH(ED$29,ParoRegCLM!$A$2:$A$500)+$A33-1,1)-1)</f>
        <v>3.6378134928616523E-2</v>
      </c>
      <c r="EE33" s="9">
        <f ca="1">IF(OR(EE6="",EE$28&lt;$A33),"",EE6/OFFSET(ParoRegCLM!$A$2,MATCH(EE$29,ParoRegCLM!$A$2:$A$500)+$A33-1,1)-1)</f>
        <v>3.9919817667064539E-2</v>
      </c>
      <c r="EF33" s="9">
        <f ca="1">IF(OR(EF6="",EF$28&lt;$A33),"",EF6/OFFSET(ParoRegCLM!$A$2,MATCH(EF$29,ParoRegCLM!$A$2:$A$500)+$A33-1,1)-1)</f>
        <v>1.7593513865380661E-2</v>
      </c>
      <c r="EG33" s="9">
        <f ca="1">IF(OR(EG6="",EG$28&lt;$A33),"",EG6/OFFSET(ParoRegCLM!$A$2,MATCH(EG$29,ParoRegCLM!$A$2:$A$500)+$A33-1,1)-1)</f>
        <v>-1.7890263123728767E-3</v>
      </c>
      <c r="EH33" s="9">
        <f ca="1">IF(OR(EH6="",EH$28&lt;$A33),"",EH6/OFFSET(ParoRegCLM!$A$2,MATCH(EH$29,ParoRegCLM!$A$2:$A$500)+$A33-1,1)-1)</f>
        <v>-5.7051396386538333E-2</v>
      </c>
      <c r="EI33" s="9">
        <f ca="1">IF(OR(EI6="",EI$28&lt;$A33),"",EI6/OFFSET(ParoRegCLM!$A$2,MATCH(EI$29,ParoRegCLM!$A$2:$A$500)+$A33-1,1)-1)</f>
        <v>-5.4155109461442197E-2</v>
      </c>
      <c r="EJ33" s="9">
        <f ca="1">IF(OR(EJ6="",EJ$28&lt;$A33),"",EJ6/OFFSET(ParoRegCLM!$A$2,MATCH(EJ$29,ParoRegCLM!$A$2:$A$500)+$A33-1,1)-1)</f>
        <v>-5.368768543809288E-2</v>
      </c>
      <c r="EK33" s="9">
        <f ca="1">IF(OR(EK6="",EK$28&lt;$A33),"",EK6/OFFSET(ParoRegCLM!$A$2,MATCH(EK$29,ParoRegCLM!$A$2:$A$500)+$A33-1,1)-1)</f>
        <v>-1.5433263135860464E-2</v>
      </c>
      <c r="EL33" s="9">
        <f ca="1">IF(OR(EL6="",EL$28&lt;$A33),"",EL6/OFFSET(ParoRegCLM!$A$2,MATCH(EL$29,ParoRegCLM!$A$2:$A$500)+$A33-1,1)-1)</f>
        <v>2.5806087011648327E-3</v>
      </c>
      <c r="EM33" s="9">
        <f ca="1">IF(OR(EM6="",EM$28&lt;$A33),"",EM6/OFFSET(ParoRegCLM!$A$2,MATCH(EM$29,ParoRegCLM!$A$2:$A$500)+$A33-1,1)-1)</f>
        <v>5.3882004988010657E-3</v>
      </c>
      <c r="EN33" s="9">
        <f ca="1">IF(OR(EN6="",EN$28&lt;$A33),"",EN6/OFFSET(ParoRegCLM!$A$2,MATCH(EN$29,ParoRegCLM!$A$2:$A$500)+$A33-1,1)-1)</f>
        <v>2.1146103027504415E-2</v>
      </c>
      <c r="EO33" s="9">
        <f ca="1">IF(OR(EO6="",EO$28&lt;$A33),"",EO6/OFFSET(ParoRegCLM!$A$2,MATCH(EO$29,ParoRegCLM!$A$2:$A$500)+$A33-1,1)-1)</f>
        <v>7.1988849257584864E-3</v>
      </c>
      <c r="EP33" s="9">
        <f ca="1">IF(OR(EP6="",EP$28&lt;$A33),"",EP6/OFFSET(ParoRegCLM!$A$2,MATCH(EP$29,ParoRegCLM!$A$2:$A$500)+$A33-1,1)-1)</f>
        <v>2.2382674942676983E-2</v>
      </c>
      <c r="EQ33" s="9">
        <f ca="1">IF(OR(EQ6="",EQ$28&lt;$A33),"",EQ6/OFFSET(ParoRegCLM!$A$2,MATCH(EQ$29,ParoRegCLM!$A$2:$A$500)+$A33-1,1)-1)</f>
        <v>4.6206189064516456E-2</v>
      </c>
      <c r="ER33" s="9">
        <f ca="1">IF(OR(ER6="",ER$28&lt;$A33),"",ER6/OFFSET(ParoRegCLM!$A$2,MATCH(ER$29,ParoRegCLM!$A$2:$A$500)+$A33-1,1)-1)</f>
        <v>5.5097597792958419E-2</v>
      </c>
      <c r="ES33" s="9">
        <f ca="1">IF(OR(ES6="",ES$28&lt;$A33),"",ES6/OFFSET(ParoRegCLM!$A$2,MATCH(ES$29,ParoRegCLM!$A$2:$A$500)+$A33-1,1)-1)</f>
        <v>3.0507015259203962E-2</v>
      </c>
      <c r="ET33" s="9">
        <f ca="1">IF(OR(ET6="",ET$28&lt;$A33),"",ET6/OFFSET(ParoRegCLM!$A$2,MATCH(ET$29,ParoRegCLM!$A$2:$A$500)+$A33-1,1)-1)</f>
        <v>5.4995440595551059E-3</v>
      </c>
      <c r="EU33" s="9">
        <f ca="1">IF(OR(EU6="",EU$28&lt;$A33),"",EU6/OFFSET(ParoRegCLM!$A$2,MATCH(EU$29,ParoRegCLM!$A$2:$A$500)+$A33-1,1)-1)</f>
        <v>-2.4949827747096198E-2</v>
      </c>
      <c r="EV33" s="9">
        <f ca="1">IF(OR(EV6="",EV$28&lt;$A33),"",EV6/OFFSET(ParoRegCLM!$A$2,MATCH(EV$29,ParoRegCLM!$A$2:$A$500)+$A33-1,1)-1)</f>
        <v>-4.6834871835347291E-2</v>
      </c>
      <c r="EW33" s="9">
        <f ca="1">IF(OR(EW6="",EW$28&lt;$A33),"",EW6/OFFSET(ParoRegCLM!$A$2,MATCH(EW$29,ParoRegCLM!$A$2:$A$500)+$A33-1,1)-1)</f>
        <v>-3.8144972023472445E-2</v>
      </c>
      <c r="EX33" s="9">
        <f ca="1">IF(OR(EX6="",EX$28&lt;$A33),"",EX6/OFFSET(ParoRegCLM!$A$2,MATCH(EX$29,ParoRegCLM!$A$2:$A$500)+$A33-1,1)-1)</f>
        <v>-1.1909935334518895E-2</v>
      </c>
      <c r="EY33" s="9">
        <f ca="1">IF(OR(EY6="",EY$28&lt;$A33),"",EY6/OFFSET(ParoRegCLM!$A$2,MATCH(EY$29,ParoRegCLM!$A$2:$A$500)+$A33-1,1)-1)</f>
        <v>-1.2554372232658428E-2</v>
      </c>
      <c r="EZ33" s="9">
        <f ca="1">IF(OR(EZ6="",EZ$28&lt;$A33),"",EZ6/OFFSET(ParoRegCLM!$A$2,MATCH(EZ$29,ParoRegCLM!$A$2:$A$500)+$A33-1,1)-1)</f>
        <v>7.6831407865474155E-4</v>
      </c>
      <c r="FA33" s="9">
        <f ca="1">IF(OR(FA6="",FA$28&lt;$A33),"",FA6/OFFSET(ParoRegCLM!$A$2,MATCH(FA$29,ParoRegCLM!$A$2:$A$500)+$A33-1,1)-1)</f>
        <v>3.1958806827620201E-2</v>
      </c>
      <c r="FB33" s="9">
        <f ca="1">IF(OR(FB6="",FB$28&lt;$A33),"",FB6/OFFSET(ParoRegCLM!$A$2,MATCH(FB$29,ParoRegCLM!$A$2:$A$500)+$A33-1,1)-1)</f>
        <v>-1.5184306368488998E-2</v>
      </c>
      <c r="FC33" s="9">
        <f ca="1">IF(OR(FC6="",FC$28&lt;$A33),"",FC6/OFFSET(ParoRegCLM!$A$2,MATCH(FC$29,ParoRegCLM!$A$2:$A$500)+$A33-1,1)-1)</f>
        <v>-2.3932890317185929E-2</v>
      </c>
      <c r="FD33" s="9">
        <f ca="1">IF(OR(FD6="",FD$28&lt;$A33),"",FD6/OFFSET(ParoRegCLM!$A$2,MATCH(FD$29,ParoRegCLM!$A$2:$A$500)+$A33-1,1)-1)</f>
        <v>-1.3700359829478481E-2</v>
      </c>
      <c r="FE33" s="9">
        <f ca="1">IF(OR(FE6="",FE$28&lt;$A33),"",FE6/OFFSET(ParoRegCLM!$A$2,MATCH(FE$29,ParoRegCLM!$A$2:$A$500)+$A33-1,1)-1)</f>
        <v>-2.3069982537134326E-2</v>
      </c>
      <c r="FF33" s="9">
        <f ca="1">IF(OR(FF6="",FF$28&lt;$A33),"",FF6/OFFSET(ParoRegCLM!$A$2,MATCH(FF$29,ParoRegCLM!$A$2:$A$500)+$A33-1,1)-1)</f>
        <v>1.5225042375687226E-2</v>
      </c>
      <c r="FG33" s="9">
        <f ca="1">IF(OR(FG6="",FG$28&lt;$A33),"",FG6/OFFSET(ParoRegCLM!$A$2,MATCH(FG$29,ParoRegCLM!$A$2:$A$500)+$A33-1,1)-1)</f>
        <v>9.3056360332623989E-3</v>
      </c>
      <c r="FH33" s="9">
        <f ca="1">IF(OR(FH6="",FH$28&lt;$A33),"",FH6/OFFSET(ParoRegCLM!$A$2,MATCH(FH$29,ParoRegCLM!$A$2:$A$500)+$A33-1,1)-1)</f>
        <v>1.7739563053480012E-2</v>
      </c>
      <c r="FI33" s="9">
        <f ca="1">IF(OR(FI6="",FI$28&lt;$A33),"",FI6/OFFSET(ParoRegCLM!$A$2,MATCH(FI$29,ParoRegCLM!$A$2:$A$500)+$A33-1,1)-1)</f>
        <v>3.6059618986918673E-2</v>
      </c>
      <c r="FJ33" s="9">
        <f ca="1">IF(OR(FJ6="",FJ$28&lt;$A33),"",FJ6/OFFSET(ParoRegCLM!$A$2,MATCH(FJ$29,ParoRegCLM!$A$2:$A$500)+$A33-1,1)-1)</f>
        <v>1.8667217238708345E-2</v>
      </c>
      <c r="FK33" s="9">
        <f ca="1">IF(OR(FK6="",FK$28&lt;$A33),"",FK6/OFFSET(ParoRegCLM!$A$2,MATCH(FK$29,ParoRegCLM!$A$2:$A$500)+$A33-1,1)-1)</f>
        <v>3.9625139848672664E-2</v>
      </c>
      <c r="FL33" s="9">
        <f ca="1">IF(OR(FL6="",FL$28&lt;$A33),"",FL6/OFFSET(ParoRegCLM!$A$2,MATCH(FL$29,ParoRegCLM!$A$2:$A$500)+$A33-1,1)-1)</f>
        <v>-3.5643050108404628E-2</v>
      </c>
      <c r="FM33" s="9">
        <f ca="1">IF(OR(FM6="",FM$28&lt;$A33),"",FM6/OFFSET(ParoRegCLM!$A$2,MATCH(FM$29,ParoRegCLM!$A$2:$A$500)+$A33-1,1)-1)</f>
        <v>-5.472357997657995E-2</v>
      </c>
      <c r="FN33" s="9">
        <f ca="1">IF(OR(FN6="",FN$28&lt;$A33),"",FN6/OFFSET(ParoRegCLM!$A$2,MATCH(FN$29,ParoRegCLM!$A$2:$A$500)+$A33-1,1)-1)</f>
        <v>-5.475059675723315E-2</v>
      </c>
      <c r="FO33" s="9">
        <f ca="1">IF(OR(FO6="",FO$28&lt;$A33),"",FO6/OFFSET(ParoRegCLM!$A$2,MATCH(FO$29,ParoRegCLM!$A$2:$A$500)+$A33-1,1)-1)</f>
        <v>-2.5066756613317254E-2</v>
      </c>
      <c r="FP33" s="9">
        <f ca="1">IF(OR(FP6="",FP$28&lt;$A33),"",FP6/OFFSET(ParoRegCLM!$A$2,MATCH(FP$29,ParoRegCLM!$A$2:$A$500)+$A33-1,1)-1)</f>
        <v>-4.2614778227255456E-2</v>
      </c>
      <c r="FQ33" s="9">
        <f ca="1">IF(OR(FQ6="",FQ$28&lt;$A33),"",FQ6/OFFSET(ParoRegCLM!$A$2,MATCH(FQ$29,ParoRegCLM!$A$2:$A$500)+$A33-1,1)-1)</f>
        <v>-1.4280598067235251E-2</v>
      </c>
      <c r="FR33" s="9">
        <f ca="1">IF(OR(FR6="",FR$28&lt;$A33),"",FR6/OFFSET(ParoRegCLM!$A$2,MATCH(FR$29,ParoRegCLM!$A$2:$A$500)+$A33-1,1)-1)</f>
        <v>-4.3604297134882675E-3</v>
      </c>
      <c r="FS33" s="9">
        <f ca="1">IF(OR(FS6="",FS$28&lt;$A33),"",FS6/OFFSET(ParoRegCLM!$A$2,MATCH(FS$29,ParoRegCLM!$A$2:$A$500)+$A33-1,1)-1)</f>
        <v>5.6262465150116459E-3</v>
      </c>
      <c r="FT33" s="9">
        <f ca="1">IF(OR(FT6="",FT$28&lt;$A33),"",FT6/OFFSET(ParoRegCLM!$A$2,MATCH(FT$29,ParoRegCLM!$A$2:$A$500)+$A33-1,1)-1)</f>
        <v>4.1725694984498629E-2</v>
      </c>
      <c r="FU33" s="9">
        <f ca="1">IF(OR(FU6="",FU$28&lt;$A33),"",FU6/OFFSET(ParoRegCLM!$A$2,MATCH(FU$29,ParoRegCLM!$A$2:$A$500)+$A33-1,1)-1)</f>
        <v>5.6631913096644393E-2</v>
      </c>
      <c r="FV33" s="9">
        <f ca="1">IF(OR(FV6="",FV$28&lt;$A33),"",FV6/OFFSET(ParoRegCLM!$A$2,MATCH(FV$29,ParoRegCLM!$A$2:$A$500)+$A33-1,1)-1)</f>
        <v>8.2146155777463425E-2</v>
      </c>
      <c r="FW33" s="9">
        <f ca="1">IF(OR(FW6="",FW$28&lt;$A33),"",FW6/OFFSET(ParoRegCLM!$A$2,MATCH(FW$29,ParoRegCLM!$A$2:$A$500)+$A33-1,1)-1)</f>
        <v>8.0270558570397998E-2</v>
      </c>
      <c r="FX33" s="9">
        <f ca="1">IF(OR(FX6="",FX$28&lt;$A33),"",FX6/OFFSET(ParoRegCLM!$A$2,MATCH(FX$29,ParoRegCLM!$A$2:$A$500)+$A33-1,1)-1)</f>
        <v>4.3927464941004857E-2</v>
      </c>
      <c r="FY33" s="9">
        <f ca="1">IF(OR(FY6="",FY$28&lt;$A33),"",FY6/OFFSET(ParoRegCLM!$A$2,MATCH(FY$29,ParoRegCLM!$A$2:$A$500)+$A33-1,1)-1)</f>
        <v>4.9708145042495211E-3</v>
      </c>
      <c r="FZ33" s="9">
        <f ca="1">IF(OR(FZ6="",FZ$28&lt;$A33),"",FZ6/OFFSET(ParoRegCLM!$A$2,MATCH(FZ$29,ParoRegCLM!$A$2:$A$500)+$A33-1,1)-1)</f>
        <v>-4.9496755666548542E-2</v>
      </c>
      <c r="GA33" s="9">
        <f ca="1">IF(OR(GA6="",GA$28&lt;$A33),"",GA6/OFFSET(ParoRegCLM!$A$2,MATCH(GA$29,ParoRegCLM!$A$2:$A$500)+$A33-1,1)-1)</f>
        <v>-5.6929867317211169E-2</v>
      </c>
      <c r="GB33" s="9">
        <f ca="1">IF(OR(GB6="",GB$28&lt;$A33),"",GB6/OFFSET(ParoRegCLM!$A$2,MATCH(GB$29,ParoRegCLM!$A$2:$A$500)+$A33-1,1)-1)</f>
        <v>-7.3094509464644575E-2</v>
      </c>
      <c r="GC33" s="9">
        <f ca="1">IF(OR(GC6="",GC$28&lt;$A33),"",GC6/OFFSET(ParoRegCLM!$A$2,MATCH(GC$29,ParoRegCLM!$A$2:$A$500)+$A33-1,1)-1)</f>
        <v>-8.2137320135199587E-2</v>
      </c>
      <c r="GD33" s="9">
        <f ca="1">IF(OR(GD6="",GD$28&lt;$A33),"",GD6/OFFSET(ParoRegCLM!$A$2,MATCH(GD$29,ParoRegCLM!$A$2:$A$500)+$A33-1,1)-1)</f>
        <v>-5.4981484294590155E-2</v>
      </c>
      <c r="GE33" s="9">
        <f ca="1">IF(OR(GE6="",GE$28&lt;$A33),"",GE6/OFFSET(ParoRegCLM!$A$2,MATCH(GE$29,ParoRegCLM!$A$2:$A$500)+$A33-1,1)-1)</f>
        <v>-4.3136692011731204E-2</v>
      </c>
      <c r="GF33" s="9">
        <f ca="1">IF(OR(GF6="",GF$28&lt;$A33),"",GF6/OFFSET(ParoRegCLM!$A$2,MATCH(GF$29,ParoRegCLM!$A$2:$A$500)+$A33-1,1)-1)</f>
        <v>-2.2066006430595531E-2</v>
      </c>
      <c r="GG33" s="9">
        <f ca="1">IF(OR(GG6="",GG$28&lt;$A33),"",GG6/OFFSET(ParoRegCLM!$A$2,MATCH(GG$29,ParoRegCLM!$A$2:$A$500)+$A33-1,1)-1)</f>
        <v>-1.0558711654680142E-2</v>
      </c>
      <c r="GH33" s="9">
        <f ca="1">IF(OR(GH6="",GH$28&lt;$A33),"",GH6/OFFSET(ParoRegCLM!$A$2,MATCH(GH$29,ParoRegCLM!$A$2:$A$500)+$A33-1,1)-1)</f>
        <v>-1.4123088294231145E-3</v>
      </c>
      <c r="GI33" s="9">
        <f ca="1">IF(OR(GI6="",GI$28&lt;$A33),"",GI6/OFFSET(ParoRegCLM!$A$2,MATCH(GI$29,ParoRegCLM!$A$2:$A$500)+$A33-1,1)-1)</f>
        <v>1.1182893569750663E-2</v>
      </c>
      <c r="GJ33" s="9">
        <f ca="1">IF(OR(GJ6="",GJ$28&lt;$A33),"",GJ6/OFFSET(ParoRegCLM!$A$2,MATCH(GJ$29,ParoRegCLM!$A$2:$A$500)+$A33-1,1)-1)</f>
        <v>4.1511742981350075E-2</v>
      </c>
      <c r="GK33" s="9">
        <f ca="1">IF(OR(GK6="",GK$28&lt;$A33),"",GK6/OFFSET(ParoRegCLM!$A$2,MATCH(GK$29,ParoRegCLM!$A$2:$A$500)+$A33-1,1)-1)</f>
        <v>-3.7773252858048112E-2</v>
      </c>
      <c r="GL33" s="9">
        <f ca="1">IF(OR(GL6="",GL$28&lt;$A33),"",GL6/OFFSET(ParoRegCLM!$A$2,MATCH(GL$29,ParoRegCLM!$A$2:$A$500)+$A33-1,1)-1)</f>
        <v>-0.10750952061738783</v>
      </c>
      <c r="GM33" s="9">
        <f ca="1">IF(OR(GM6="",GM$28&lt;$A33),"",GM6/OFFSET(ParoRegCLM!$A$2,MATCH(GM$29,ParoRegCLM!$A$2:$A$500)+$A33-1,1)-1)</f>
        <v>-0.10327868608043878</v>
      </c>
      <c r="GN33" s="9">
        <f ca="1">IF(OR(GN6="",GN$28&lt;$A33),"",GN6/OFFSET(ParoRegCLM!$A$2,MATCH(GN$29,ParoRegCLM!$A$2:$A$500)+$A33-1,1)-1)</f>
        <v>-0.13011039815312397</v>
      </c>
      <c r="GO33" s="9">
        <f ca="1">IF(OR(GO6="",GO$28&lt;$A33),"",GO6/OFFSET(ParoRegCLM!$A$2,MATCH(GO$29,ParoRegCLM!$A$2:$A$500)+$A33-1,1)-1)</f>
        <v>-1.8766558664206623E-2</v>
      </c>
      <c r="GP33" s="9">
        <f ca="1">IF(OR(GP6="",GP$28&lt;$A33),"",GP6/OFFSET(ParoRegCLM!$A$2,MATCH(GP$29,ParoRegCLM!$A$2:$A$500)+$A33-1,1)-1)</f>
        <v>0.11203384604185063</v>
      </c>
      <c r="GQ33" s="9">
        <f ca="1">IF(OR(GQ6="",GQ$28&lt;$A33),"",GQ6/OFFSET(ParoRegCLM!$A$2,MATCH(GQ$29,ParoRegCLM!$A$2:$A$500)+$A33-1,1)-1)</f>
        <v>9.0906736965740809E-2</v>
      </c>
      <c r="GR33" s="9">
        <f ca="1">IF(OR(GR6="",GR$28&lt;$A33),"",GR6/OFFSET(ParoRegCLM!$A$2,MATCH(GR$29,ParoRegCLM!$A$2:$A$500)+$A33-1,1)-1)</f>
        <v>7.5194358447052467E-2</v>
      </c>
      <c r="GS33" s="9">
        <f ca="1">IF(OR(GS6="",GS$28&lt;$A33),"",GS6/OFFSET(ParoRegCLM!$A$2,MATCH(GS$29,ParoRegCLM!$A$2:$A$500)+$A33-1,1)-1)</f>
        <v>7.2245433609569698E-2</v>
      </c>
      <c r="GT33" s="9">
        <f ca="1">IF(OR(GT6="",GT$28&lt;$A33),"",GT6/OFFSET(ParoRegCLM!$A$2,MATCH(GT$29,ParoRegCLM!$A$2:$A$500)+$A33-1,1)-1)</f>
        <v>3.6468959719109906E-2</v>
      </c>
      <c r="GU33" s="9">
        <f ca="1">IF(OR(GU6="",GU$28&lt;$A33),"",GU6/OFFSET(ParoRegCLM!$A$2,MATCH(GU$29,ParoRegCLM!$A$2:$A$500)+$A33-1,1)-1)</f>
        <v>-1.1454662765536194E-2</v>
      </c>
      <c r="GV33" s="9" t="str">
        <f ca="1">IF(OR(GV6="",GV$28&lt;$A33),"",GV6/OFFSET(ParoRegCLM!$A$2,MATCH(GV$29,ParoRegCLM!$A$2:$A$500)+$A33-1,1)-1)</f>
        <v/>
      </c>
      <c r="GW33" s="9" t="str">
        <f ca="1">IF(OR(GW6="",GW$28&lt;$A33),"",GW6/OFFSET(ParoRegCLM!$A$2,MATCH(GW$29,ParoRegCLM!$A$2:$A$500)+$A33-1,1)-1)</f>
        <v/>
      </c>
      <c r="GX33" s="9" t="str">
        <f ca="1">IF(OR(GX6="",GX$28&lt;$A33),"",GX6/OFFSET(ParoRegCLM!$A$2,MATCH(GX$29,ParoRegCLM!$A$2:$A$500)+$A33-1,1)-1)</f>
        <v/>
      </c>
      <c r="GY33" s="9" t="str">
        <f ca="1">IF(OR(GY6="",GY$28&lt;$A33),"",GY6/OFFSET(ParoRegCLM!$A$2,MATCH(GY$29,ParoRegCLM!$A$2:$A$500)+$A33-1,1)-1)</f>
        <v/>
      </c>
      <c r="GZ33" s="9" t="str">
        <f ca="1">IF(OR(GZ6="",GZ$28&lt;$A33),"",GZ6/OFFSET(ParoRegCLM!$A$2,MATCH(GZ$29,ParoRegCLM!$A$2:$A$500)+$A33-1,1)-1)</f>
        <v/>
      </c>
      <c r="HA33" s="9" t="str">
        <f ca="1">IF(OR(HA6="",HA$28&lt;$A33),"",HA6/OFFSET(ParoRegCLM!$A$2,MATCH(HA$29,ParoRegCLM!$A$2:$A$500)+$A33-1,1)-1)</f>
        <v/>
      </c>
      <c r="HB33" s="9" t="str">
        <f ca="1">IF(OR(HB6="",HB$28&lt;$A33),"",HB6/OFFSET(ParoRegCLM!$A$2,MATCH(HB$29,ParoRegCLM!$A$2:$A$500)+$A33-1,1)-1)</f>
        <v/>
      </c>
      <c r="HC33" s="9" t="str">
        <f ca="1">IF(OR(HC6="",HC$28&lt;$A33),"",HC6/OFFSET(ParoRegCLM!$A$2,MATCH(HC$29,ParoRegCLM!$A$2:$A$500)+$A33-1,1)-1)</f>
        <v/>
      </c>
      <c r="HD33" s="9" t="str">
        <f ca="1">IF(OR(HD6="",HD$28&lt;$A33),"",HD6/OFFSET(ParoRegCLM!$A$2,MATCH(HD$29,ParoRegCLM!$A$2:$A$500)+$A33-1,1)-1)</f>
        <v/>
      </c>
      <c r="HE33" s="9" t="str">
        <f ca="1">IF(OR(HE6="",HE$28&lt;$A33),"",HE6/OFFSET(ParoRegCLM!$A$2,MATCH(HE$29,ParoRegCLM!$A$2:$A$500)+$A33-1,1)-1)</f>
        <v/>
      </c>
      <c r="HF33" s="9" t="str">
        <f ca="1">IF(OR(HF6="",HF$28&lt;$A33),"",HF6/OFFSET(ParoRegCLM!$A$2,MATCH(HF$29,ParoRegCLM!$A$2:$A$500)+$A33-1,1)-1)</f>
        <v/>
      </c>
      <c r="HG33" s="9" t="str">
        <f ca="1">IF(OR(HG6="",HG$28&lt;$A33),"",HG6/OFFSET(ParoRegCLM!$A$2,MATCH(HG$29,ParoRegCLM!$A$2:$A$500)+$A33-1,1)-1)</f>
        <v/>
      </c>
      <c r="HH33" s="9" t="str">
        <f ca="1">IF(OR(HH6="",HH$28&lt;$A33),"",HH6/OFFSET(ParoRegCLM!$A$2,MATCH(HH$29,ParoRegCLM!$A$2:$A$500)+$A33-1,1)-1)</f>
        <v/>
      </c>
      <c r="HI33" s="9" t="str">
        <f ca="1">IF(OR(HI6="",HI$28&lt;$A33),"",HI6/OFFSET(ParoRegCLM!$A$2,MATCH(HI$29,ParoRegCLM!$A$2:$A$500)+$A33-1,1)-1)</f>
        <v/>
      </c>
      <c r="HJ33" s="9" t="str">
        <f ca="1">IF(OR(HJ6="",HJ$28&lt;$A33),"",HJ6/OFFSET(ParoRegCLM!$A$2,MATCH(HJ$29,ParoRegCLM!$A$2:$A$500)+$A33-1,1)-1)</f>
        <v/>
      </c>
      <c r="HK33" s="9" t="str">
        <f ca="1">IF(OR(HK6="",HK$28&lt;$A33),"",HK6/OFFSET(ParoRegCLM!$A$2,MATCH(HK$29,ParoRegCLM!$A$2:$A$500)+$A33-1,1)-1)</f>
        <v/>
      </c>
      <c r="HL33" s="9" t="str">
        <f ca="1">IF(OR(HL6="",HL$28&lt;$A33),"",HL6/OFFSET(ParoRegCLM!$A$2,MATCH(HL$29,ParoRegCLM!$A$2:$A$500)+$A33-1,1)-1)</f>
        <v/>
      </c>
      <c r="HM33" s="9" t="str">
        <f ca="1">IF(OR(HM6="",HM$28&lt;$A33),"",HM6/OFFSET(ParoRegCLM!$A$2,MATCH(HM$29,ParoRegCLM!$A$2:$A$500)+$A33-1,1)-1)</f>
        <v/>
      </c>
      <c r="HN33" s="9" t="str">
        <f ca="1">IF(OR(HN6="",HN$28&lt;$A33),"",HN6/OFFSET(ParoRegCLM!$A$2,MATCH(HN$29,ParoRegCLM!$A$2:$A$500)+$A33-1,1)-1)</f>
        <v/>
      </c>
      <c r="HO33" s="9" t="str">
        <f ca="1">IF(OR(HO6="",HO$28&lt;$A33),"",HO6/OFFSET(ParoRegCLM!$A$2,MATCH(HO$29,ParoRegCLM!$A$2:$A$500)+$A33-1,1)-1)</f>
        <v/>
      </c>
      <c r="HP33" s="9" t="str">
        <f ca="1">IF(OR(HP6="",HP$28&lt;$A33),"",HP6/OFFSET(ParoRegCLM!$A$2,MATCH(HP$29,ParoRegCLM!$A$2:$A$500)+$A33-1,1)-1)</f>
        <v/>
      </c>
      <c r="HQ33" s="9" t="str">
        <f ca="1">IF(OR(HQ6="",HQ$28&lt;$A33),"",HQ6/OFFSET(ParoRegCLM!$A$2,MATCH(HQ$29,ParoRegCLM!$A$2:$A$500)+$A33-1,1)-1)</f>
        <v/>
      </c>
      <c r="HR33" s="9" t="str">
        <f ca="1">IF(OR(HR6="",HR$28&lt;$A33),"",HR6/OFFSET(ParoRegCLM!$A$2,MATCH(HR$29,ParoRegCLM!$A$2:$A$500)+$A33-1,1)-1)</f>
        <v/>
      </c>
      <c r="HS33" s="9" t="str">
        <f ca="1">IF(OR(HS6="",HS$28&lt;$A33),"",HS6/OFFSET(ParoRegCLM!$A$2,MATCH(HS$29,ParoRegCLM!$A$2:$A$500)+$A33-1,1)-1)</f>
        <v/>
      </c>
      <c r="HT33" s="9" t="str">
        <f ca="1">IF(OR(HT6="",HT$28&lt;$A33),"",HT6/OFFSET(ParoRegCLM!$A$2,MATCH(HT$29,ParoRegCLM!$A$2:$A$500)+$A33-1,1)-1)</f>
        <v/>
      </c>
      <c r="HU33" s="9" t="str">
        <f ca="1">IF(OR(HU6="",HU$28&lt;$A33),"",HU6/OFFSET(ParoRegCLM!$A$2,MATCH(HU$29,ParoRegCLM!$A$2:$A$500)+$A33-1,1)-1)</f>
        <v/>
      </c>
      <c r="HV33" s="9" t="str">
        <f ca="1">IF(OR(HV6="",HV$28&lt;$A33),"",HV6/OFFSET(ParoRegCLM!$A$2,MATCH(HV$29,ParoRegCLM!$A$2:$A$500)+$A33-1,1)-1)</f>
        <v/>
      </c>
      <c r="HW33" s="9" t="str">
        <f ca="1">IF(OR(HW6="",HW$28&lt;$A33),"",HW6/OFFSET(ParoRegCLM!$A$2,MATCH(HW$29,ParoRegCLM!$A$2:$A$500)+$A33-1,1)-1)</f>
        <v/>
      </c>
      <c r="HX33" s="9" t="str">
        <f ca="1">IF(OR(HX6="",HX$28&lt;$A33),"",HX6/OFFSET(ParoRegCLM!$A$2,MATCH(HX$29,ParoRegCLM!$A$2:$A$500)+$A33-1,1)-1)</f>
        <v/>
      </c>
      <c r="HY33" s="9" t="str">
        <f ca="1">IF(OR(HY6="",HY$28&lt;$A33),"",HY6/OFFSET(ParoRegCLM!$A$2,MATCH(HY$29,ParoRegCLM!$A$2:$A$500)+$A33-1,1)-1)</f>
        <v/>
      </c>
      <c r="HZ33" s="9" t="str">
        <f ca="1">IF(OR(HZ6="",HZ$28&lt;$A33),"",HZ6/OFFSET(ParoRegCLM!$A$2,MATCH(HZ$29,ParoRegCLM!$A$2:$A$500)+$A33-1,1)-1)</f>
        <v/>
      </c>
      <c r="IA33" s="9" t="str">
        <f ca="1">IF(OR(IA6="",IA$28&lt;$A33),"",IA6/OFFSET(ParoRegCLM!$A$2,MATCH(IA$29,ParoRegCLM!$A$2:$A$500)+$A33-1,1)-1)</f>
        <v/>
      </c>
      <c r="IB33" s="9" t="str">
        <f ca="1">IF(OR(IB6="",IB$28&lt;$A33),"",IB6/OFFSET(ParoRegCLM!$A$2,MATCH(IB$29,ParoRegCLM!$A$2:$A$500)+$A33-1,1)-1)</f>
        <v/>
      </c>
      <c r="IC33" s="9" t="str">
        <f ca="1">IF(OR(IC6="",IC$28&lt;$A33),"",IC6/OFFSET(ParoRegCLM!$A$2,MATCH(IC$29,ParoRegCLM!$A$2:$A$500)+$A33-1,1)-1)</f>
        <v/>
      </c>
      <c r="ID33" s="9" t="str">
        <f ca="1">IF(OR(ID6="",ID$28&lt;$A33),"",ID6/OFFSET(ParoRegCLM!$A$2,MATCH(ID$29,ParoRegCLM!$A$2:$A$500)+$A33-1,1)-1)</f>
        <v/>
      </c>
      <c r="IE33" s="9" t="str">
        <f ca="1">IF(OR(IE6="",IE$28&lt;$A33),"",IE6/OFFSET(ParoRegCLM!$A$2,MATCH(IE$29,ParoRegCLM!$A$2:$A$500)+$A33-1,1)-1)</f>
        <v/>
      </c>
      <c r="IF33" s="9" t="str">
        <f ca="1">IF(OR(IF6="",IF$28&lt;$A33),"",IF6/OFFSET(ParoRegCLM!$A$2,MATCH(IF$29,ParoRegCLM!$A$2:$A$500)+$A33-1,1)-1)</f>
        <v/>
      </c>
      <c r="IG33" s="9" t="str">
        <f ca="1">IF(OR(IG6="",IG$28&lt;$A33),"",IG6/OFFSET(ParoRegCLM!$A$2,MATCH(IG$29,ParoRegCLM!$A$2:$A$500)+$A33-1,1)-1)</f>
        <v/>
      </c>
      <c r="IH33" s="9" t="str">
        <f ca="1">IF(OR(IH6="",IH$28&lt;$A33),"",IH6/OFFSET(ParoRegCLM!$A$2,MATCH(IH$29,ParoRegCLM!$A$2:$A$500)+$A33-1,1)-1)</f>
        <v/>
      </c>
      <c r="II33" s="9" t="str">
        <f ca="1">IF(OR(II6="",II$28&lt;$A33),"",II6/OFFSET(ParoRegCLM!$A$2,MATCH(II$29,ParoRegCLM!$A$2:$A$500)+$A33-1,1)-1)</f>
        <v/>
      </c>
      <c r="IJ33" s="9" t="str">
        <f ca="1">IF(OR(IJ6="",IJ$28&lt;$A33),"",IJ6/OFFSET(ParoRegCLM!$A$2,MATCH(IJ$29,ParoRegCLM!$A$2:$A$500)+$A33-1,1)-1)</f>
        <v/>
      </c>
      <c r="IK33" s="9" t="str">
        <f ca="1">IF(OR(IK6="",IK$28&lt;$A33),"",IK6/OFFSET(ParoRegCLM!$A$2,MATCH(IK$29,ParoRegCLM!$A$2:$A$500)+$A33-1,1)-1)</f>
        <v/>
      </c>
      <c r="IL33" s="9" t="str">
        <f ca="1">IF(OR(IL6="",IL$28&lt;$A33),"",IL6/OFFSET(ParoRegCLM!$A$2,MATCH(IL$29,ParoRegCLM!$A$2:$A$500)+$A33-1,1)-1)</f>
        <v/>
      </c>
      <c r="IM33" s="9" t="str">
        <f ca="1">IF(OR(IM6="",IM$28&lt;$A33),"",IM6/OFFSET(ParoRegCLM!$A$2,MATCH(IM$29,ParoRegCLM!$A$2:$A$500)+$A33-1,1)-1)</f>
        <v/>
      </c>
      <c r="IN33" s="9" t="str">
        <f ca="1">IF(OR(IN6="",IN$28&lt;$A33),"",IN6/OFFSET(ParoRegCLM!$A$2,MATCH(IN$29,ParoRegCLM!$A$2:$A$500)+$A33-1,1)-1)</f>
        <v/>
      </c>
      <c r="IO33" s="9" t="str">
        <f ca="1">IF(OR(IO6="",IO$28&lt;$A33),"",IO6/OFFSET(ParoRegCLM!$A$2,MATCH(IO$29,ParoRegCLM!$A$2:$A$500)+$A33-1,1)-1)</f>
        <v/>
      </c>
      <c r="IP33" s="9" t="str">
        <f ca="1">IF(OR(IP6="",IP$28&lt;$A33),"",IP6/OFFSET(ParoRegCLM!$A$2,MATCH(IP$29,ParoRegCLM!$A$2:$A$500)+$A33-1,1)-1)</f>
        <v/>
      </c>
      <c r="IQ33" s="9" t="str">
        <f ca="1">IF(OR(IQ6="",IQ$28&lt;$A33),"",IQ6/OFFSET(ParoRegCLM!$A$2,MATCH(IQ$29,ParoRegCLM!$A$2:$A$500)+$A33-1,1)-1)</f>
        <v/>
      </c>
      <c r="IR33" s="9" t="str">
        <f ca="1">IF(OR(IR6="",IR$28&lt;$A33),"",IR6/OFFSET(ParoRegCLM!$A$2,MATCH(IR$29,ParoRegCLM!$A$2:$A$500)+$A33-1,1)-1)</f>
        <v/>
      </c>
      <c r="IS33" s="9" t="str">
        <f ca="1">IF(OR(IS6="",IS$28&lt;$A33),"",IS6/OFFSET(ParoRegCLM!$A$2,MATCH(IS$29,ParoRegCLM!$A$2:$A$500)+$A33-1,1)-1)</f>
        <v/>
      </c>
      <c r="IT33" s="9" t="str">
        <f ca="1">IF(OR(IT6="",IT$28&lt;$A33),"",IT6/OFFSET(ParoRegCLM!$A$2,MATCH(IT$29,ParoRegCLM!$A$2:$A$500)+$A33-1,1)-1)</f>
        <v/>
      </c>
      <c r="IU33" s="9" t="str">
        <f ca="1">IF(OR(IU6="",IU$28&lt;$A33),"",IU6/OFFSET(ParoRegCLM!$A$2,MATCH(IU$29,ParoRegCLM!$A$2:$A$500)+$A33-1,1)-1)</f>
        <v/>
      </c>
      <c r="IV33" s="9" t="str">
        <f ca="1">IF(OR(IV6="",IV$28&lt;$A33),"",IV6/OFFSET(ParoRegCLM!$A$2,MATCH(IV$29,ParoRegCLM!$A$2:$A$500)+$A33-1,1)-1)</f>
        <v/>
      </c>
      <c r="IW33" s="9" t="str">
        <f ca="1">IF(OR(IW6="",IW$28&lt;$A33),"",IW6/OFFSET(ParoRegCLM!$A$2,MATCH(IW$29,ParoRegCLM!$A$2:$A$500)+$A33-1,1)-1)</f>
        <v/>
      </c>
      <c r="IX33" s="9" t="str">
        <f ca="1">IF(OR(IX6="",IX$28&lt;$A33),"",IX6/OFFSET(ParoRegCLM!$A$2,MATCH(IX$29,ParoRegCLM!$A$2:$A$500)+$A33-1,1)-1)</f>
        <v/>
      </c>
      <c r="IY33" s="9" t="str">
        <f ca="1">IF(OR(IY6="",IY$28&lt;$A33),"",IY6/OFFSET(ParoRegCLM!$A$2,MATCH(IY$29,ParoRegCLM!$A$2:$A$500)+$A33-1,1)-1)</f>
        <v/>
      </c>
      <c r="IZ33" s="9" t="str">
        <f ca="1">IF(OR(IZ6="",IZ$28&lt;$A33),"",IZ6/OFFSET(ParoRegCLM!$A$2,MATCH(IZ$29,ParoRegCLM!$A$2:$A$500)+$A33-1,1)-1)</f>
        <v/>
      </c>
      <c r="JA33" s="9" t="str">
        <f ca="1">IF(OR(JA6="",JA$28&lt;$A33),"",JA6/OFFSET(ParoRegCLM!$A$2,MATCH(JA$29,ParoRegCLM!$A$2:$A$500)+$A33-1,1)-1)</f>
        <v/>
      </c>
      <c r="JB33" s="9" t="str">
        <f ca="1">IF(OR(JB6="",JB$28&lt;$A33),"",JB6/OFFSET(ParoRegCLM!$A$2,MATCH(JB$29,ParoRegCLM!$A$2:$A$500)+$A33-1,1)-1)</f>
        <v/>
      </c>
      <c r="JC33" s="9" t="str">
        <f ca="1">IF(OR(JC6="",JC$28&lt;$A33),"",JC6/OFFSET(ParoRegCLM!$A$2,MATCH(JC$29,ParoRegCLM!$A$2:$A$500)+$A33-1,1)-1)</f>
        <v/>
      </c>
      <c r="JD33" s="9" t="str">
        <f ca="1">IF(OR(JD6="",JD$28&lt;$A33),"",JD6/OFFSET(ParoRegCLM!$A$2,MATCH(JD$29,ParoRegCLM!$A$2:$A$500)+$A33-1,1)-1)</f>
        <v/>
      </c>
      <c r="JE33" s="9" t="str">
        <f ca="1">IF(OR(JE6="",JE$28&lt;$A33),"",JE6/OFFSET(ParoRegCLM!$A$2,MATCH(JE$29,ParoRegCLM!$A$2:$A$500)+$A33-1,1)-1)</f>
        <v/>
      </c>
      <c r="JF33" s="9" t="str">
        <f ca="1">IF(OR(JF6="",JF$28&lt;$A33),"",JF6/OFFSET(ParoRegCLM!$A$2,MATCH(JF$29,ParoRegCLM!$A$2:$A$500)+$A33-1,1)-1)</f>
        <v/>
      </c>
      <c r="JG33" s="9" t="str">
        <f ca="1">IF(OR(JG6="",JG$28&lt;$A33),"",JG6/OFFSET(ParoRegCLM!$A$2,MATCH(JG$29,ParoRegCLM!$A$2:$A$500)+$A33-1,1)-1)</f>
        <v/>
      </c>
      <c r="JH33" s="9" t="str">
        <f ca="1">IF(OR(JH6="",JH$28&lt;$A33),"",JH6/OFFSET(ParoRegCLM!$A$2,MATCH(JH$29,ParoRegCLM!$A$2:$A$500)+$A33-1,1)-1)</f>
        <v/>
      </c>
      <c r="JI33" s="13">
        <f t="shared" ca="1" si="14"/>
        <v>-2.1453207419482043E-3</v>
      </c>
      <c r="JJ33" s="13">
        <f t="shared" ca="1" si="15"/>
        <v>-4.3604297134882675E-3</v>
      </c>
      <c r="JK33" s="14">
        <f t="shared" ca="1" si="16"/>
        <v>3.8516588282610201E-3</v>
      </c>
      <c r="JL33" s="17">
        <f t="shared" ca="1" si="19"/>
        <v>6.2061734009460454E-2</v>
      </c>
      <c r="JM33" s="15" t="str">
        <f t="shared" ca="1" si="17"/>
        <v>[ -12,63% ; 12,20% ]</v>
      </c>
      <c r="JN33" s="17">
        <f t="shared" ca="1" si="18"/>
        <v>7.9439019532109384E-2</v>
      </c>
      <c r="LY33" s="1"/>
    </row>
    <row r="34" spans="1:337" x14ac:dyDescent="0.25">
      <c r="A34" s="4">
        <v>5</v>
      </c>
      <c r="B34" s="9">
        <f ca="1">IF(OR(B7="",B$28&lt;$A34),"",B7/OFFSET(ParoRegCLM!$A$2,MATCH(B$29,ParoRegCLM!$A$2:$A$500)+$A34-1,1)-1)</f>
        <v>-6.9020391983323215E-3</v>
      </c>
      <c r="C34" s="9">
        <f ca="1">IF(OR(C7="",C$28&lt;$A34),"",C7/OFFSET(ParoRegCLM!$A$2,MATCH(C$29,ParoRegCLM!$A$2:$A$500)+$A34-1,1)-1)</f>
        <v>8.0860986071764618E-3</v>
      </c>
      <c r="D34" s="9">
        <f ca="1">IF(OR(D7="",D$28&lt;$A34),"",D7/OFFSET(ParoRegCLM!$A$2,MATCH(D$29,ParoRegCLM!$A$2:$A$500)+$A34-1,1)-1)</f>
        <v>1.5967280580646559E-2</v>
      </c>
      <c r="E34" s="9">
        <f ca="1">IF(OR(E7="",E$28&lt;$A34),"",E7/OFFSET(ParoRegCLM!$A$2,MATCH(E$29,ParoRegCLM!$A$2:$A$500)+$A34-1,1)-1)</f>
        <v>2.0898517802079519E-2</v>
      </c>
      <c r="F34" s="9">
        <f ca="1">IF(OR(F7="",F$28&lt;$A34),"",F7/OFFSET(ParoRegCLM!$A$2,MATCH(F$29,ParoRegCLM!$A$2:$A$500)+$A34-1,1)-1)</f>
        <v>5.9658431300740444E-2</v>
      </c>
      <c r="G34" s="9">
        <f ca="1">IF(OR(G7="",G$28&lt;$A34),"",G7/OFFSET(ParoRegCLM!$A$2,MATCH(G$29,ParoRegCLM!$A$2:$A$500)+$A34-1,1)-1)</f>
        <v>4.8229282060360257E-2</v>
      </c>
      <c r="H34" s="9">
        <f ca="1">IF(OR(H7="",H$28&lt;$A34),"",H7/OFFSET(ParoRegCLM!$A$2,MATCH(H$29,ParoRegCLM!$A$2:$A$500)+$A34-1,1)-1)</f>
        <v>1.6375223419224927E-2</v>
      </c>
      <c r="I34" s="9">
        <f ca="1">IF(OR(I7="",I$28&lt;$A34),"",I7/OFFSET(ParoRegCLM!$A$2,MATCH(I$29,ParoRegCLM!$A$2:$A$500)+$A34-1,1)-1)</f>
        <v>1.4233760990757682E-2</v>
      </c>
      <c r="J34" s="9">
        <f ca="1">IF(OR(J7="",J$28&lt;$A34),"",J7/OFFSET(ParoRegCLM!$A$2,MATCH(J$29,ParoRegCLM!$A$2:$A$500)+$A34-1,1)-1)</f>
        <v>-5.9793973060500161E-3</v>
      </c>
      <c r="K34" s="9">
        <f ca="1">IF(OR(K7="",K$28&lt;$A34),"",K7/OFFSET(ParoRegCLM!$A$2,MATCH(K$29,ParoRegCLM!$A$2:$A$500)+$A34-1,1)-1)</f>
        <v>-9.6248539250625154E-3</v>
      </c>
      <c r="L34" s="9">
        <f ca="1">IF(OR(L7="",L$28&lt;$A34),"",L7/OFFSET(ParoRegCLM!$A$2,MATCH(L$29,ParoRegCLM!$A$2:$A$500)+$A34-1,1)-1)</f>
        <v>-9.0209453953506991E-3</v>
      </c>
      <c r="M34" s="9">
        <f ca="1">IF(OR(M7="",M$28&lt;$A34),"",M7/OFFSET(ParoRegCLM!$A$2,MATCH(M$29,ParoRegCLM!$A$2:$A$500)+$A34-1,1)-1)</f>
        <v>-1.7542025338778799E-2</v>
      </c>
      <c r="N34" s="9">
        <f ca="1">IF(OR(N7="",N$28&lt;$A34),"",N7/OFFSET(ParoRegCLM!$A$2,MATCH(N$29,ParoRegCLM!$A$2:$A$500)+$A34-1,1)-1)</f>
        <v>-6.5034341174414756E-3</v>
      </c>
      <c r="O34" s="9">
        <f ca="1">IF(OR(O7="",O$28&lt;$A34),"",O7/OFFSET(ParoRegCLM!$A$2,MATCH(O$29,ParoRegCLM!$A$2:$A$500)+$A34-1,1)-1)</f>
        <v>3.105302879729499E-2</v>
      </c>
      <c r="P34" s="9">
        <f ca="1">IF(OR(P7="",P$28&lt;$A34),"",P7/OFFSET(ParoRegCLM!$A$2,MATCH(P$29,ParoRegCLM!$A$2:$A$500)+$A34-1,1)-1)</f>
        <v>5.9644659379056719E-3</v>
      </c>
      <c r="Q34" s="9">
        <f ca="1">IF(OR(Q7="",Q$28&lt;$A34),"",Q7/OFFSET(ParoRegCLM!$A$2,MATCH(Q$29,ParoRegCLM!$A$2:$A$500)+$A34-1,1)-1)</f>
        <v>-1.8803561561692161E-3</v>
      </c>
      <c r="R34" s="9">
        <f ca="1">IF(OR(R7="",R$28&lt;$A34),"",R7/OFFSET(ParoRegCLM!$A$2,MATCH(R$29,ParoRegCLM!$A$2:$A$500)+$A34-1,1)-1)</f>
        <v>3.6967471152000719E-3</v>
      </c>
      <c r="S34" s="9">
        <f ca="1">IF(OR(S7="",S$28&lt;$A34),"",S7/OFFSET(ParoRegCLM!$A$2,MATCH(S$29,ParoRegCLM!$A$2:$A$500)+$A34-1,1)-1)</f>
        <v>3.9322081304016265E-4</v>
      </c>
      <c r="T34" s="9">
        <f ca="1">IF(OR(T7="",T$28&lt;$A34),"",T7/OFFSET(ParoRegCLM!$A$2,MATCH(T$29,ParoRegCLM!$A$2:$A$500)+$A34-1,1)-1)</f>
        <v>6.1071157447691871E-3</v>
      </c>
      <c r="U34" s="9">
        <f ca="1">IF(OR(U7="",U$28&lt;$A34),"",U7/OFFSET(ParoRegCLM!$A$2,MATCH(U$29,ParoRegCLM!$A$2:$A$500)+$A34-1,1)-1)</f>
        <v>2.3743688247995998E-2</v>
      </c>
      <c r="V34" s="9">
        <f ca="1">IF(OR(V7="",V$28&lt;$A34),"",V7/OFFSET(ParoRegCLM!$A$2,MATCH(V$29,ParoRegCLM!$A$2:$A$500)+$A34-1,1)-1)</f>
        <v>2.5247374732042083E-2</v>
      </c>
      <c r="W34" s="9">
        <f ca="1">IF(OR(W7="",W$28&lt;$A34),"",W7/OFFSET(ParoRegCLM!$A$2,MATCH(W$29,ParoRegCLM!$A$2:$A$500)+$A34-1,1)-1)</f>
        <v>2.8051179482460276E-2</v>
      </c>
      <c r="X34" s="9">
        <f ca="1">IF(OR(X7="",X$28&lt;$A34),"",X7/OFFSET(ParoRegCLM!$A$2,MATCH(X$29,ParoRegCLM!$A$2:$A$500)+$A34-1,1)-1)</f>
        <v>4.6303926443473475E-2</v>
      </c>
      <c r="Y34" s="9">
        <f ca="1">IF(OR(Y7="",Y$28&lt;$A34),"",Y7/OFFSET(ParoRegCLM!$A$2,MATCH(Y$29,ParoRegCLM!$A$2:$A$500)+$A34-1,1)-1)</f>
        <v>4.6550846761335807E-2</v>
      </c>
      <c r="Z34" s="9">
        <f ca="1">IF(OR(Z7="",Z$28&lt;$A34),"",Z7/OFFSET(ParoRegCLM!$A$2,MATCH(Z$29,ParoRegCLM!$A$2:$A$500)+$A34-1,1)-1)</f>
        <v>2.5545703180816837E-2</v>
      </c>
      <c r="AA34" s="9">
        <f ca="1">IF(OR(AA7="",AA$28&lt;$A34),"",AA7/OFFSET(ParoRegCLM!$A$2,MATCH(AA$29,ParoRegCLM!$A$2:$A$500)+$A34-1,1)-1)</f>
        <v>2.0739680579533237E-2</v>
      </c>
      <c r="AB34" s="9">
        <f ca="1">IF(OR(AB7="",AB$28&lt;$A34),"",AB7/OFFSET(ParoRegCLM!$A$2,MATCH(AB$29,ParoRegCLM!$A$2:$A$500)+$A34-1,1)-1)</f>
        <v>1.0553597094227429E-2</v>
      </c>
      <c r="AC34" s="9">
        <f ca="1">IF(OR(AC7="",AC$28&lt;$A34),"",AC7/OFFSET(ParoRegCLM!$A$2,MATCH(AC$29,ParoRegCLM!$A$2:$A$500)+$A34-1,1)-1)</f>
        <v>-4.4176403459731395E-3</v>
      </c>
      <c r="AD34" s="9">
        <f ca="1">IF(OR(AD7="",AD$28&lt;$A34),"",AD7/OFFSET(ParoRegCLM!$A$2,MATCH(AD$29,ParoRegCLM!$A$2:$A$500)+$A34-1,1)-1)</f>
        <v>-1.0344657568717053E-2</v>
      </c>
      <c r="AE34" s="9">
        <f ca="1">IF(OR(AE7="",AE$28&lt;$A34),"",AE7/OFFSET(ParoRegCLM!$A$2,MATCH(AE$29,ParoRegCLM!$A$2:$A$500)+$A34-1,1)-1)</f>
        <v>1.8446053885832203E-3</v>
      </c>
      <c r="AF34" s="9">
        <f ca="1">IF(OR(AF7="",AF$28&lt;$A34),"",AF7/OFFSET(ParoRegCLM!$A$2,MATCH(AF$29,ParoRegCLM!$A$2:$A$500)+$A34-1,1)-1)</f>
        <v>1.5599712676933386E-2</v>
      </c>
      <c r="AG34" s="9">
        <f ca="1">IF(OR(AG7="",AG$28&lt;$A34),"",AG7/OFFSET(ParoRegCLM!$A$2,MATCH(AG$29,ParoRegCLM!$A$2:$A$500)+$A34-1,1)-1)</f>
        <v>4.2393405375347193E-2</v>
      </c>
      <c r="AH34" s="9">
        <f ca="1">IF(OR(AH7="",AH$28&lt;$A34),"",AH7/OFFSET(ParoRegCLM!$A$2,MATCH(AH$29,ParoRegCLM!$A$2:$A$500)+$A34-1,1)-1)</f>
        <v>4.5180761861033147E-2</v>
      </c>
      <c r="AI34" s="9">
        <f ca="1">IF(OR(AI7="",AI$28&lt;$A34),"",AI7/OFFSET(ParoRegCLM!$A$2,MATCH(AI$29,ParoRegCLM!$A$2:$A$500)+$A34-1,1)-1)</f>
        <v>4.9138134792165111E-2</v>
      </c>
      <c r="AJ34" s="9">
        <f ca="1">IF(OR(AJ7="",AJ$28&lt;$A34),"",AJ7/OFFSET(ParoRegCLM!$A$2,MATCH(AJ$29,ParoRegCLM!$A$2:$A$500)+$A34-1,1)-1)</f>
        <v>4.5276502876650637E-2</v>
      </c>
      <c r="AK34" s="9">
        <f ca="1">IF(OR(AK7="",AK$28&lt;$A34),"",AK7/OFFSET(ParoRegCLM!$A$2,MATCH(AK$29,ParoRegCLM!$A$2:$A$500)+$A34-1,1)-1)</f>
        <v>1.336275360681527E-2</v>
      </c>
      <c r="AL34" s="9">
        <f ca="1">IF(OR(AL7="",AL$28&lt;$A34),"",AL7/OFFSET(ParoRegCLM!$A$2,MATCH(AL$29,ParoRegCLM!$A$2:$A$500)+$A34-1,1)-1)</f>
        <v>-1.2132707491186334E-2</v>
      </c>
      <c r="AM34" s="9">
        <f ca="1">IF(OR(AM7="",AM$28&lt;$A34),"",AM7/OFFSET(ParoRegCLM!$A$2,MATCH(AM$29,ParoRegCLM!$A$2:$A$500)+$A34-1,1)-1)</f>
        <v>-3.3197164075738805E-2</v>
      </c>
      <c r="AN34" s="9">
        <f ca="1">IF(OR(AN7="",AN$28&lt;$A34),"",AN7/OFFSET(ParoRegCLM!$A$2,MATCH(AN$29,ParoRegCLM!$A$2:$A$500)+$A34-1,1)-1)</f>
        <v>-5.8297612261994036E-2</v>
      </c>
      <c r="AO34" s="9">
        <f ca="1">IF(OR(AO7="",AO$28&lt;$A34),"",AO7/OFFSET(ParoRegCLM!$A$2,MATCH(AO$29,ParoRegCLM!$A$2:$A$500)+$A34-1,1)-1)</f>
        <v>-7.0547075589881825E-2</v>
      </c>
      <c r="AP34" s="9">
        <f ca="1">IF(OR(AP7="",AP$28&lt;$A34),"",AP7/OFFSET(ParoRegCLM!$A$2,MATCH(AP$29,ParoRegCLM!$A$2:$A$500)+$A34-1,1)-1)</f>
        <v>-5.1751512149757595E-2</v>
      </c>
      <c r="AQ34" s="9">
        <f ca="1">IF(OR(AQ7="",AQ$28&lt;$A34),"",AQ7/OFFSET(ParoRegCLM!$A$2,MATCH(AQ$29,ParoRegCLM!$A$2:$A$500)+$A34-1,1)-1)</f>
        <v>-4.1937115233753319E-2</v>
      </c>
      <c r="AR34" s="9">
        <f ca="1">IF(OR(AR7="",AR$28&lt;$A34),"",AR7/OFFSET(ParoRegCLM!$A$2,MATCH(AR$29,ParoRegCLM!$A$2:$A$500)+$A34-1,1)-1)</f>
        <v>-3.2463276108147476E-2</v>
      </c>
      <c r="AS34" s="9">
        <f ca="1">IF(OR(AS7="",AS$28&lt;$A34),"",AS7/OFFSET(ParoRegCLM!$A$2,MATCH(AS$29,ParoRegCLM!$A$2:$A$500)+$A34-1,1)-1)</f>
        <v>-5.1100201065202855E-3</v>
      </c>
      <c r="AT34" s="9">
        <f ca="1">IF(OR(AT7="",AT$28&lt;$A34),"",AT7/OFFSET(ParoRegCLM!$A$2,MATCH(AT$29,ParoRegCLM!$A$2:$A$500)+$A34-1,1)-1)</f>
        <v>-1.7256210804056482E-2</v>
      </c>
      <c r="AU34" s="9">
        <f ca="1">IF(OR(AU7="",AU$28&lt;$A34),"",AU7/OFFSET(ParoRegCLM!$A$2,MATCH(AU$29,ParoRegCLM!$A$2:$A$500)+$A34-1,1)-1)</f>
        <v>-5.3734281951330343E-2</v>
      </c>
      <c r="AV34" s="9">
        <f ca="1">IF(OR(AV7="",AV$28&lt;$A34),"",AV7/OFFSET(ParoRegCLM!$A$2,MATCH(AV$29,ParoRegCLM!$A$2:$A$500)+$A34-1,1)-1)</f>
        <v>-6.7589125494891267E-2</v>
      </c>
      <c r="AW34" s="9">
        <f ca="1">IF(OR(AW7="",AW$28&lt;$A34),"",AW7/OFFSET(ParoRegCLM!$A$2,MATCH(AW$29,ParoRegCLM!$A$2:$A$500)+$A34-1,1)-1)</f>
        <v>-9.6995135974428326E-2</v>
      </c>
      <c r="AX34" s="9">
        <f ca="1">IF(OR(AX7="",AX$28&lt;$A34),"",AX7/OFFSET(ParoRegCLM!$A$2,MATCH(AX$29,ParoRegCLM!$A$2:$A$500)+$A34-1,1)-1)</f>
        <v>-0.14132278276603039</v>
      </c>
      <c r="AY34" s="9">
        <f ca="1">IF(OR(AY7="",AY$28&lt;$A34),"",AY7/OFFSET(ParoRegCLM!$A$2,MATCH(AY$29,ParoRegCLM!$A$2:$A$500)+$A34-1,1)-1)</f>
        <v>-0.14293831771094001</v>
      </c>
      <c r="AZ34" s="9">
        <f ca="1">IF(OR(AZ7="",AZ$28&lt;$A34),"",AZ7/OFFSET(ParoRegCLM!$A$2,MATCH(AZ$29,ParoRegCLM!$A$2:$A$500)+$A34-1,1)-1)</f>
        <v>-0.13535309852023203</v>
      </c>
      <c r="BA34" s="9">
        <f ca="1">IF(OR(BA7="",BA$28&lt;$A34),"",BA7/OFFSET(ParoRegCLM!$A$2,MATCH(BA$29,ParoRegCLM!$A$2:$A$500)+$A34-1,1)-1)</f>
        <v>-0.15267775993969801</v>
      </c>
      <c r="BB34" s="9">
        <f ca="1">IF(OR(BB7="",BB$28&lt;$A34),"",BB7/OFFSET(ParoRegCLM!$A$2,MATCH(BB$29,ParoRegCLM!$A$2:$A$500)+$A34-1,1)-1)</f>
        <v>-0.1315204682957446</v>
      </c>
      <c r="BC34" s="9">
        <f ca="1">IF(OR(BC7="",BC$28&lt;$A34),"",BC7/OFFSET(ParoRegCLM!$A$2,MATCH(BC$29,ParoRegCLM!$A$2:$A$500)+$A34-1,1)-1)</f>
        <v>-0.1716631718563959</v>
      </c>
      <c r="BD34" s="9">
        <f ca="1">IF(OR(BD7="",BD$28&lt;$A34),"",BD7/OFFSET(ParoRegCLM!$A$2,MATCH(BD$29,ParoRegCLM!$A$2:$A$500)+$A34-1,1)-1)</f>
        <v>-0.17486471876305731</v>
      </c>
      <c r="BE34" s="9">
        <f ca="1">IF(OR(BE7="",BE$28&lt;$A34),"",BE7/OFFSET(ParoRegCLM!$A$2,MATCH(BE$29,ParoRegCLM!$A$2:$A$500)+$A34-1,1)-1)</f>
        <v>-0.15099397965956929</v>
      </c>
      <c r="BF34" s="9">
        <f ca="1">IF(OR(BF7="",BF$28&lt;$A34),"",BF7/OFFSET(ParoRegCLM!$A$2,MATCH(BF$29,ParoRegCLM!$A$2:$A$500)+$A34-1,1)-1)</f>
        <v>-0.13500463401638763</v>
      </c>
      <c r="BG34" s="9">
        <f ca="1">IF(OR(BG7="",BG$28&lt;$A34),"",BG7/OFFSET(ParoRegCLM!$A$2,MATCH(BG$29,ParoRegCLM!$A$2:$A$500)+$A34-1,1)-1)</f>
        <v>-0.16585609061050233</v>
      </c>
      <c r="BH34" s="9">
        <f ca="1">IF(OR(BH7="",BH$28&lt;$A34),"",BH7/OFFSET(ParoRegCLM!$A$2,MATCH(BH$29,ParoRegCLM!$A$2:$A$500)+$A34-1,1)-1)</f>
        <v>-9.1302087912522145E-2</v>
      </c>
      <c r="BI34" s="9">
        <f ca="1">IF(OR(BI7="",BI$28&lt;$A34),"",BI7/OFFSET(ParoRegCLM!$A$2,MATCH(BI$29,ParoRegCLM!$A$2:$A$500)+$A34-1,1)-1)</f>
        <v>-4.6884608223723423E-2</v>
      </c>
      <c r="BJ34" s="9">
        <f ca="1">IF(OR(BJ7="",BJ$28&lt;$A34),"",BJ7/OFFSET(ParoRegCLM!$A$2,MATCH(BJ$29,ParoRegCLM!$A$2:$A$500)+$A34-1,1)-1)</f>
        <v>2.0084964922280291E-2</v>
      </c>
      <c r="BK34" s="9">
        <f ca="1">IF(OR(BK7="",BK$28&lt;$A34),"",BK7/OFFSET(ParoRegCLM!$A$2,MATCH(BK$29,ParoRegCLM!$A$2:$A$500)+$A34-1,1)-1)</f>
        <v>2.0688739087290964E-2</v>
      </c>
      <c r="BL34" s="9">
        <f ca="1">IF(OR(BL7="",BL$28&lt;$A34),"",BL7/OFFSET(ParoRegCLM!$A$2,MATCH(BL$29,ParoRegCLM!$A$2:$A$500)+$A34-1,1)-1)</f>
        <v>9.5833759973119603E-2</v>
      </c>
      <c r="BM34" s="9">
        <f ca="1">IF(OR(BM7="",BM$28&lt;$A34),"",BM7/OFFSET(ParoRegCLM!$A$2,MATCH(BM$29,ParoRegCLM!$A$2:$A$500)+$A34-1,1)-1)</f>
        <v>0.15777475860114087</v>
      </c>
      <c r="BN34" s="9">
        <f ca="1">IF(OR(BN7="",BN$28&lt;$A34),"",BN7/OFFSET(ParoRegCLM!$A$2,MATCH(BN$29,ParoRegCLM!$A$2:$A$500)+$A34-1,1)-1)</f>
        <v>0.19492281631930686</v>
      </c>
      <c r="BO34" s="9">
        <f ca="1">IF(OR(BO7="",BO$28&lt;$A34),"",BO7/OFFSET(ParoRegCLM!$A$2,MATCH(BO$29,ParoRegCLM!$A$2:$A$500)+$A34-1,1)-1)</f>
        <v>0.12642691588343591</v>
      </c>
      <c r="BP34" s="9">
        <f ca="1">IF(OR(BP7="",BP$28&lt;$A34),"",BP7/OFFSET(ParoRegCLM!$A$2,MATCH(BP$29,ParoRegCLM!$A$2:$A$500)+$A34-1,1)-1)</f>
        <v>9.0048690254677766E-2</v>
      </c>
      <c r="BQ34" s="9">
        <f ca="1">IF(OR(BQ7="",BQ$28&lt;$A34),"",BQ7/OFFSET(ParoRegCLM!$A$2,MATCH(BQ$29,ParoRegCLM!$A$2:$A$500)+$A34-1,1)-1)</f>
        <v>7.5022610349555485E-3</v>
      </c>
      <c r="BR34" s="9">
        <f ca="1">IF(OR(BR7="",BR$28&lt;$A34),"",BR7/OFFSET(ParoRegCLM!$A$2,MATCH(BR$29,ParoRegCLM!$A$2:$A$500)+$A34-1,1)-1)</f>
        <v>2.4460981118503478E-2</v>
      </c>
      <c r="BS34" s="9">
        <f ca="1">IF(OR(BS7="",BS$28&lt;$A34),"",BS7/OFFSET(ParoRegCLM!$A$2,MATCH(BS$29,ParoRegCLM!$A$2:$A$500)+$A34-1,1)-1)</f>
        <v>-1.9622776887060489E-2</v>
      </c>
      <c r="BT34" s="9">
        <f ca="1">IF(OR(BT7="",BT$28&lt;$A34),"",BT7/OFFSET(ParoRegCLM!$A$2,MATCH(BT$29,ParoRegCLM!$A$2:$A$500)+$A34-1,1)-1)</f>
        <v>6.1744283860118321E-2</v>
      </c>
      <c r="BU34" s="9">
        <f ca="1">IF(OR(BU7="",BU$28&lt;$A34),"",BU7/OFFSET(ParoRegCLM!$A$2,MATCH(BU$29,ParoRegCLM!$A$2:$A$500)+$A34-1,1)-1)</f>
        <v>-4.5225531685610942E-4</v>
      </c>
      <c r="BV34" s="9">
        <f ca="1">IF(OR(BV7="",BV$28&lt;$A34),"",BV7/OFFSET(ParoRegCLM!$A$2,MATCH(BV$29,ParoRegCLM!$A$2:$A$500)+$A34-1,1)-1)</f>
        <v>1.7703107068623769E-2</v>
      </c>
      <c r="BW34" s="9">
        <f ca="1">IF(OR(BW7="",BW$28&lt;$A34),"",BW7/OFFSET(ParoRegCLM!$A$2,MATCH(BW$29,ParoRegCLM!$A$2:$A$500)+$A34-1,1)-1)</f>
        <v>1.7975442741750225E-2</v>
      </c>
      <c r="BX34" s="9">
        <f ca="1">IF(OR(BX7="",BX$28&lt;$A34),"",BX7/OFFSET(ParoRegCLM!$A$2,MATCH(BX$29,ParoRegCLM!$A$2:$A$500)+$A34-1,1)-1)</f>
        <v>3.7044339309451502E-2</v>
      </c>
      <c r="BY34" s="9">
        <f ca="1">IF(OR(BY7="",BY$28&lt;$A34),"",BY7/OFFSET(ParoRegCLM!$A$2,MATCH(BY$29,ParoRegCLM!$A$2:$A$500)+$A34-1,1)-1)</f>
        <v>4.0228211641026634E-2</v>
      </c>
      <c r="BZ34" s="9">
        <f ca="1">IF(OR(BZ7="",BZ$28&lt;$A34),"",BZ7/OFFSET(ParoRegCLM!$A$2,MATCH(BZ$29,ParoRegCLM!$A$2:$A$500)+$A34-1,1)-1)</f>
        <v>6.0986175437810486E-2</v>
      </c>
      <c r="CA34" s="9">
        <f ca="1">IF(OR(CA7="",CA$28&lt;$A34),"",CA7/OFFSET(ParoRegCLM!$A$2,MATCH(CA$29,ParoRegCLM!$A$2:$A$500)+$A34-1,1)-1)</f>
        <v>2.5510929354738199E-2</v>
      </c>
      <c r="CB34" s="9">
        <f ca="1">IF(OR(CB7="",CB$28&lt;$A34),"",CB7/OFFSET(ParoRegCLM!$A$2,MATCH(CB$29,ParoRegCLM!$A$2:$A$500)+$A34-1,1)-1)</f>
        <v>1.0873036072625242E-2</v>
      </c>
      <c r="CC34" s="9">
        <f ca="1">IF(OR(CC7="",CC$28&lt;$A34),"",CC7/OFFSET(ParoRegCLM!$A$2,MATCH(CC$29,ParoRegCLM!$A$2:$A$500)+$A34-1,1)-1)</f>
        <v>9.7139066937228513E-3</v>
      </c>
      <c r="CD34" s="9">
        <f ca="1">IF(OR(CD7="",CD$28&lt;$A34),"",CD7/OFFSET(ParoRegCLM!$A$2,MATCH(CD$29,ParoRegCLM!$A$2:$A$500)+$A34-1,1)-1)</f>
        <v>1.3189835552045448E-2</v>
      </c>
      <c r="CE34" s="9">
        <f ca="1">IF(OR(CE7="",CE$28&lt;$A34),"",CE7/OFFSET(ParoRegCLM!$A$2,MATCH(CE$29,ParoRegCLM!$A$2:$A$500)+$A34-1,1)-1)</f>
        <v>-1.0168101348047909E-2</v>
      </c>
      <c r="CF34" s="9">
        <f ca="1">IF(OR(CF7="",CF$28&lt;$A34),"",CF7/OFFSET(ParoRegCLM!$A$2,MATCH(CF$29,ParoRegCLM!$A$2:$A$500)+$A34-1,1)-1)</f>
        <v>2.4881352698960857E-2</v>
      </c>
      <c r="CG34" s="9">
        <f ca="1">IF(OR(CG7="",CG$28&lt;$A34),"",CG7/OFFSET(ParoRegCLM!$A$2,MATCH(CG$29,ParoRegCLM!$A$2:$A$500)+$A34-1,1)-1)</f>
        <v>4.0563704397733602E-2</v>
      </c>
      <c r="CH34" s="9">
        <f ca="1">IF(OR(CH7="",CH$28&lt;$A34),"",CH7/OFFSET(ParoRegCLM!$A$2,MATCH(CH$29,ParoRegCLM!$A$2:$A$500)+$A34-1,1)-1)</f>
        <v>-8.0187647503290327E-3</v>
      </c>
      <c r="CI34" s="9">
        <f ca="1">IF(OR(CI7="",CI$28&lt;$A34),"",CI7/OFFSET(ParoRegCLM!$A$2,MATCH(CI$29,ParoRegCLM!$A$2:$A$500)+$A34-1,1)-1)</f>
        <v>1.3752284246015822E-3</v>
      </c>
      <c r="CJ34" s="9">
        <f ca="1">IF(OR(CJ7="",CJ$28&lt;$A34),"",CJ7/OFFSET(ParoRegCLM!$A$2,MATCH(CJ$29,ParoRegCLM!$A$2:$A$500)+$A34-1,1)-1)</f>
        <v>-4.8574455161465302E-3</v>
      </c>
      <c r="CK34" s="9">
        <f ca="1">IF(OR(CK7="",CK$28&lt;$A34),"",CK7/OFFSET(ParoRegCLM!$A$2,MATCH(CK$29,ParoRegCLM!$A$2:$A$500)+$A34-1,1)-1)</f>
        <v>-3.2150333599589298E-2</v>
      </c>
      <c r="CL34" s="9">
        <f ca="1">IF(OR(CL7="",CL$28&lt;$A34),"",CL7/OFFSET(ParoRegCLM!$A$2,MATCH(CL$29,ParoRegCLM!$A$2:$A$500)+$A34-1,1)-1)</f>
        <v>-3.9985654956880667E-2</v>
      </c>
      <c r="CM34" s="9">
        <f ca="1">IF(OR(CM7="",CM$28&lt;$A34),"",CM7/OFFSET(ParoRegCLM!$A$2,MATCH(CM$29,ParoRegCLM!$A$2:$A$500)+$A34-1,1)-1)</f>
        <v>-3.4375739804718863E-2</v>
      </c>
      <c r="CN34" s="9">
        <f ca="1">IF(OR(CN7="",CN$28&lt;$A34),"",CN7/OFFSET(ParoRegCLM!$A$2,MATCH(CN$29,ParoRegCLM!$A$2:$A$500)+$A34-1,1)-1)</f>
        <v>-2.7617967640181096E-4</v>
      </c>
      <c r="CO34" s="9">
        <f ca="1">IF(OR(CO7="",CO$28&lt;$A34),"",CO7/OFFSET(ParoRegCLM!$A$2,MATCH(CO$29,ParoRegCLM!$A$2:$A$500)+$A34-1,1)-1)</f>
        <v>2.1767519310017081E-2</v>
      </c>
      <c r="CP34" s="9">
        <f ca="1">IF(OR(CP7="",CP$28&lt;$A34),"",CP7/OFFSET(ParoRegCLM!$A$2,MATCH(CP$29,ParoRegCLM!$A$2:$A$500)+$A34-1,1)-1)</f>
        <v>-2.2869188699327747E-2</v>
      </c>
      <c r="CQ34" s="9">
        <f ca="1">IF(OR(CQ7="",CQ$28&lt;$A34),"",CQ7/OFFSET(ParoRegCLM!$A$2,MATCH(CQ$29,ParoRegCLM!$A$2:$A$500)+$A34-1,1)-1)</f>
        <v>-1.7941126314564682E-2</v>
      </c>
      <c r="CR34" s="9">
        <f ca="1">IF(OR(CR7="",CR$28&lt;$A34),"",CR7/OFFSET(ParoRegCLM!$A$2,MATCH(CR$29,ParoRegCLM!$A$2:$A$500)+$A34-1,1)-1)</f>
        <v>9.2470784320630717E-3</v>
      </c>
      <c r="CS34" s="9">
        <f ca="1">IF(OR(CS7="",CS$28&lt;$A34),"",CS7/OFFSET(ParoRegCLM!$A$2,MATCH(CS$29,ParoRegCLM!$A$2:$A$500)+$A34-1,1)-1)</f>
        <v>-2.4164231807796921E-2</v>
      </c>
      <c r="CT34" s="9">
        <f ca="1">IF(OR(CT7="",CT$28&lt;$A34),"",CT7/OFFSET(ParoRegCLM!$A$2,MATCH(CT$29,ParoRegCLM!$A$2:$A$500)+$A34-1,1)-1)</f>
        <v>-6.1949064366830453E-2</v>
      </c>
      <c r="CU34" s="9">
        <f ca="1">IF(OR(CU7="",CU$28&lt;$A34),"",CU7/OFFSET(ParoRegCLM!$A$2,MATCH(CU$29,ParoRegCLM!$A$2:$A$500)+$A34-1,1)-1)</f>
        <v>-3.5450112697429481E-2</v>
      </c>
      <c r="CV34" s="9">
        <f ca="1">IF(OR(CV7="",CV$28&lt;$A34),"",CV7/OFFSET(ParoRegCLM!$A$2,MATCH(CV$29,ParoRegCLM!$A$2:$A$500)+$A34-1,1)-1)</f>
        <v>-3.1604836184565888E-2</v>
      </c>
      <c r="CW34" s="9">
        <f ca="1">IF(OR(CW7="",CW$28&lt;$A34),"",CW7/OFFSET(ParoRegCLM!$A$2,MATCH(CW$29,ParoRegCLM!$A$2:$A$500)+$A34-1,1)-1)</f>
        <v>-1.6805097314782746E-2</v>
      </c>
      <c r="CX34" s="9">
        <f ca="1">IF(OR(CX7="",CX$28&lt;$A34),"",CX7/OFFSET(ParoRegCLM!$A$2,MATCH(CX$29,ParoRegCLM!$A$2:$A$500)+$A34-1,1)-1)</f>
        <v>3.8124618495334772E-2</v>
      </c>
      <c r="CY34" s="9">
        <f ca="1">IF(OR(CY7="",CY$28&lt;$A34),"",CY7/OFFSET(ParoRegCLM!$A$2,MATCH(CY$29,ParoRegCLM!$A$2:$A$500)+$A34-1,1)-1)</f>
        <v>1.4197239953753771E-2</v>
      </c>
      <c r="CZ34" s="9">
        <f ca="1">IF(OR(CZ7="",CZ$28&lt;$A34),"",CZ7/OFFSET(ParoRegCLM!$A$2,MATCH(CZ$29,ParoRegCLM!$A$2:$A$500)+$A34-1,1)-1)</f>
        <v>-1.8368059004094106E-2</v>
      </c>
      <c r="DA34" s="9">
        <f ca="1">IF(OR(DA7="",DA$28&lt;$A34),"",DA7/OFFSET(ParoRegCLM!$A$2,MATCH(DA$29,ParoRegCLM!$A$2:$A$500)+$A34-1,1)-1)</f>
        <v>4.4290372570242376E-2</v>
      </c>
      <c r="DB34" s="9">
        <f ca="1">IF(OR(DB7="",DB$28&lt;$A34),"",DB7/OFFSET(ParoRegCLM!$A$2,MATCH(DB$29,ParoRegCLM!$A$2:$A$500)+$A34-1,1)-1)</f>
        <v>3.0640784696553292E-2</v>
      </c>
      <c r="DC34" s="9">
        <f ca="1">IF(OR(DC7="",DC$28&lt;$A34),"",DC7/OFFSET(ParoRegCLM!$A$2,MATCH(DC$29,ParoRegCLM!$A$2:$A$500)+$A34-1,1)-1)</f>
        <v>-4.0290422771310785E-3</v>
      </c>
      <c r="DD34" s="9">
        <f ca="1">IF(OR(DD7="",DD$28&lt;$A34),"",DD7/OFFSET(ParoRegCLM!$A$2,MATCH(DD$29,ParoRegCLM!$A$2:$A$500)+$A34-1,1)-1)</f>
        <v>4.069063078359747E-2</v>
      </c>
      <c r="DE34" s="9">
        <f ca="1">IF(OR(DE7="",DE$28&lt;$A34),"",DE7/OFFSET(ParoRegCLM!$A$2,MATCH(DE$29,ParoRegCLM!$A$2:$A$500)+$A34-1,1)-1)</f>
        <v>8.4006655624045745E-2</v>
      </c>
      <c r="DF34" s="9">
        <f ca="1">IF(OR(DF7="",DF$28&lt;$A34),"",DF7/OFFSET(ParoRegCLM!$A$2,MATCH(DF$29,ParoRegCLM!$A$2:$A$500)+$A34-1,1)-1)</f>
        <v>5.4711827693400883E-2</v>
      </c>
      <c r="DG34" s="9">
        <f ca="1">IF(OR(DG7="",DG$28&lt;$A34),"",DG7/OFFSET(ParoRegCLM!$A$2,MATCH(DG$29,ParoRegCLM!$A$2:$A$500)+$A34-1,1)-1)</f>
        <v>7.5969993756999088E-2</v>
      </c>
      <c r="DH34" s="9">
        <f ca="1">IF(OR(DH7="",DH$28&lt;$A34),"",DH7/OFFSET(ParoRegCLM!$A$2,MATCH(DH$29,ParoRegCLM!$A$2:$A$500)+$A34-1,1)-1)</f>
        <v>4.3925339493510407E-2</v>
      </c>
      <c r="DI34" s="9">
        <f ca="1">IF(OR(DI7="",DI$28&lt;$A34),"",DI7/OFFSET(ParoRegCLM!$A$2,MATCH(DI$29,ParoRegCLM!$A$2:$A$500)+$A34-1,1)-1)</f>
        <v>4.6956474318732955E-2</v>
      </c>
      <c r="DJ34" s="9">
        <f ca="1">IF(OR(DJ7="",DJ$28&lt;$A34),"",DJ7/OFFSET(ParoRegCLM!$A$2,MATCH(DJ$29,ParoRegCLM!$A$2:$A$500)+$A34-1,1)-1)</f>
        <v>5.3011039411251293E-2</v>
      </c>
      <c r="DK34" s="9">
        <f ca="1">IF(OR(DK7="",DK$28&lt;$A34),"",DK7/OFFSET(ParoRegCLM!$A$2,MATCH(DK$29,ParoRegCLM!$A$2:$A$500)+$A34-1,1)-1)</f>
        <v>1.0976019607958021E-2</v>
      </c>
      <c r="DL34" s="9">
        <f ca="1">IF(OR(DL7="",DL$28&lt;$A34),"",DL7/OFFSET(ParoRegCLM!$A$2,MATCH(DL$29,ParoRegCLM!$A$2:$A$500)+$A34-1,1)-1)</f>
        <v>1.2204704840248493E-3</v>
      </c>
      <c r="DM34" s="9">
        <f ca="1">IF(OR(DM7="",DM$28&lt;$A34),"",DM7/OFFSET(ParoRegCLM!$A$2,MATCH(DM$29,ParoRegCLM!$A$2:$A$500)+$A34-1,1)-1)</f>
        <v>2.0778820938811116E-2</v>
      </c>
      <c r="DN34" s="9">
        <f ca="1">IF(OR(DN7="",DN$28&lt;$A34),"",DN7/OFFSET(ParoRegCLM!$A$2,MATCH(DN$29,ParoRegCLM!$A$2:$A$500)+$A34-1,1)-1)</f>
        <v>3.762901767678839E-2</v>
      </c>
      <c r="DO34" s="9">
        <f ca="1">IF(OR(DO7="",DO$28&lt;$A34),"",DO7/OFFSET(ParoRegCLM!$A$2,MATCH(DO$29,ParoRegCLM!$A$2:$A$500)+$A34-1,1)-1)</f>
        <v>-1.2791629283868122E-3</v>
      </c>
      <c r="DP34" s="9">
        <f ca="1">IF(OR(DP7="",DP$28&lt;$A34),"",DP7/OFFSET(ParoRegCLM!$A$2,MATCH(DP$29,ParoRegCLM!$A$2:$A$500)+$A34-1,1)-1)</f>
        <v>3.6695572802484255E-2</v>
      </c>
      <c r="DQ34" s="9">
        <f ca="1">IF(OR(DQ7="",DQ$28&lt;$A34),"",DQ7/OFFSET(ParoRegCLM!$A$2,MATCH(DQ$29,ParoRegCLM!$A$2:$A$500)+$A34-1,1)-1)</f>
        <v>5.1683658332000171E-2</v>
      </c>
      <c r="DR34" s="9">
        <f ca="1">IF(OR(DR7="",DR$28&lt;$A34),"",DR7/OFFSET(ParoRegCLM!$A$2,MATCH(DR$29,ParoRegCLM!$A$2:$A$500)+$A34-1,1)-1)</f>
        <v>-1.2448795681231362E-3</v>
      </c>
      <c r="DS34" s="9">
        <f ca="1">IF(OR(DS7="",DS$28&lt;$A34),"",DS7/OFFSET(ParoRegCLM!$A$2,MATCH(DS$29,ParoRegCLM!$A$2:$A$500)+$A34-1,1)-1)</f>
        <v>-1.2562088285026918E-2</v>
      </c>
      <c r="DT34" s="9">
        <f ca="1">IF(OR(DT7="",DT$28&lt;$A34),"",DT7/OFFSET(ParoRegCLM!$A$2,MATCH(DT$29,ParoRegCLM!$A$2:$A$500)+$A34-1,1)-1)</f>
        <v>-1.2180619781006596E-2</v>
      </c>
      <c r="DU34" s="9">
        <f ca="1">IF(OR(DU7="",DU$28&lt;$A34),"",DU7/OFFSET(ParoRegCLM!$A$2,MATCH(DU$29,ParoRegCLM!$A$2:$A$500)+$A34-1,1)-1)</f>
        <v>-8.6979845673802458E-3</v>
      </c>
      <c r="DV34" s="9">
        <f ca="1">IF(OR(DV7="",DV$28&lt;$A34),"",DV7/OFFSET(ParoRegCLM!$A$2,MATCH(DV$29,ParoRegCLM!$A$2:$A$500)+$A34-1,1)-1)</f>
        <v>1.7043785932213673E-4</v>
      </c>
      <c r="DW34" s="9">
        <f ca="1">IF(OR(DW7="",DW$28&lt;$A34),"",DW7/OFFSET(ParoRegCLM!$A$2,MATCH(DW$29,ParoRegCLM!$A$2:$A$500)+$A34-1,1)-1)</f>
        <v>-2.4943898870452119E-2</v>
      </c>
      <c r="DX34" s="9">
        <f ca="1">IF(OR(DX7="",DX$28&lt;$A34),"",DX7/OFFSET(ParoRegCLM!$A$2,MATCH(DX$29,ParoRegCLM!$A$2:$A$500)+$A34-1,1)-1)</f>
        <v>1.6381878495374425E-2</v>
      </c>
      <c r="DY34" s="9">
        <f ca="1">IF(OR(DY7="",DY$28&lt;$A34),"",DY7/OFFSET(ParoRegCLM!$A$2,MATCH(DY$29,ParoRegCLM!$A$2:$A$500)+$A34-1,1)-1)</f>
        <v>1.2119960513115258E-2</v>
      </c>
      <c r="DZ34" s="9">
        <f ca="1">IF(OR(DZ7="",DZ$28&lt;$A34),"",DZ7/OFFSET(ParoRegCLM!$A$2,MATCH(DZ$29,ParoRegCLM!$A$2:$A$500)+$A34-1,1)-1)</f>
        <v>-3.1501427556764883E-3</v>
      </c>
      <c r="EA34" s="9">
        <f ca="1">IF(OR(EA7="",EA$28&lt;$A34),"",EA7/OFFSET(ParoRegCLM!$A$2,MATCH(EA$29,ParoRegCLM!$A$2:$A$500)+$A34-1,1)-1)</f>
        <v>9.8362250210428659E-3</v>
      </c>
      <c r="EB34" s="9">
        <f ca="1">IF(OR(EB7="",EB$28&lt;$A34),"",EB7/OFFSET(ParoRegCLM!$A$2,MATCH(EB$29,ParoRegCLM!$A$2:$A$500)+$A34-1,1)-1)</f>
        <v>2.3734443898304258E-2</v>
      </c>
      <c r="EC34" s="9">
        <f ca="1">IF(OR(EC7="",EC$28&lt;$A34),"",EC7/OFFSET(ParoRegCLM!$A$2,MATCH(EC$29,ParoRegCLM!$A$2:$A$500)+$A34-1,1)-1)</f>
        <v>1.7411977993974981E-2</v>
      </c>
      <c r="ED34" s="9">
        <f ca="1">IF(OR(ED7="",ED$28&lt;$A34),"",ED7/OFFSET(ParoRegCLM!$A$2,MATCH(ED$29,ParoRegCLM!$A$2:$A$500)+$A34-1,1)-1)</f>
        <v>3.8825488780571238E-2</v>
      </c>
      <c r="EE34" s="9">
        <f ca="1">IF(OR(EE7="",EE$28&lt;$A34),"",EE7/OFFSET(ParoRegCLM!$A$2,MATCH(EE$29,ParoRegCLM!$A$2:$A$500)+$A34-1,1)-1)</f>
        <v>3.911187274133443E-2</v>
      </c>
      <c r="EF34" s="9">
        <f ca="1">IF(OR(EF7="",EF$28&lt;$A34),"",EF7/OFFSET(ParoRegCLM!$A$2,MATCH(EF$29,ParoRegCLM!$A$2:$A$500)+$A34-1,1)-1)</f>
        <v>2.6089452684812109E-3</v>
      </c>
      <c r="EG34" s="9">
        <f ca="1">IF(OR(EG7="",EG$28&lt;$A34),"",EG7/OFFSET(ParoRegCLM!$A$2,MATCH(EG$29,ParoRegCLM!$A$2:$A$500)+$A34-1,1)-1)</f>
        <v>-1.4458989563329805E-2</v>
      </c>
      <c r="EH34" s="9">
        <f ca="1">IF(OR(EH7="",EH$28&lt;$A34),"",EH7/OFFSET(ParoRegCLM!$A$2,MATCH(EH$29,ParoRegCLM!$A$2:$A$500)+$A34-1,1)-1)</f>
        <v>-6.2767725354251902E-2</v>
      </c>
      <c r="EI34" s="9">
        <f ca="1">IF(OR(EI7="",EI$28&lt;$A34),"",EI7/OFFSET(ParoRegCLM!$A$2,MATCH(EI$29,ParoRegCLM!$A$2:$A$500)+$A34-1,1)-1)</f>
        <v>-7.817162956009438E-2</v>
      </c>
      <c r="EJ34" s="9">
        <f ca="1">IF(OR(EJ7="",EJ$28&lt;$A34),"",EJ7/OFFSET(ParoRegCLM!$A$2,MATCH(EJ$29,ParoRegCLM!$A$2:$A$500)+$A34-1,1)-1)</f>
        <v>-4.9727211791139814E-2</v>
      </c>
      <c r="EK34" s="9">
        <f ca="1">IF(OR(EK7="",EK$28&lt;$A34),"",EK7/OFFSET(ParoRegCLM!$A$2,MATCH(EK$29,ParoRegCLM!$A$2:$A$500)+$A34-1,1)-1)</f>
        <v>-1.3391680121055405E-2</v>
      </c>
      <c r="EL34" s="9">
        <f ca="1">IF(OR(EL7="",EL$28&lt;$A34),"",EL7/OFFSET(ParoRegCLM!$A$2,MATCH(EL$29,ParoRegCLM!$A$2:$A$500)+$A34-1,1)-1)</f>
        <v>4.6980118355592904E-3</v>
      </c>
      <c r="EM34" s="9">
        <f ca="1">IF(OR(EM7="",EM$28&lt;$A34),"",EM7/OFFSET(ParoRegCLM!$A$2,MATCH(EM$29,ParoRegCLM!$A$2:$A$500)+$A34-1,1)-1)</f>
        <v>3.5161943375519034E-3</v>
      </c>
      <c r="EN34" s="9">
        <f ca="1">IF(OR(EN7="",EN$28&lt;$A34),"",EN7/OFFSET(ParoRegCLM!$A$2,MATCH(EN$29,ParoRegCLM!$A$2:$A$500)+$A34-1,1)-1)</f>
        <v>3.7647476927672896E-2</v>
      </c>
      <c r="EO34" s="9">
        <f ca="1">IF(OR(EO7="",EO$28&lt;$A34),"",EO7/OFFSET(ParoRegCLM!$A$2,MATCH(EO$29,ParoRegCLM!$A$2:$A$500)+$A34-1,1)-1)</f>
        <v>2.5132727289882473E-2</v>
      </c>
      <c r="EP34" s="9">
        <f ca="1">IF(OR(EP7="",EP$28&lt;$A34),"",EP7/OFFSET(ParoRegCLM!$A$2,MATCH(EP$29,ParoRegCLM!$A$2:$A$500)+$A34-1,1)-1)</f>
        <v>4.7983172749191283E-2</v>
      </c>
      <c r="EQ34" s="9">
        <f ca="1">IF(OR(EQ7="",EQ$28&lt;$A34),"",EQ7/OFFSET(ParoRegCLM!$A$2,MATCH(EQ$29,ParoRegCLM!$A$2:$A$500)+$A34-1,1)-1)</f>
        <v>5.2290486449661833E-2</v>
      </c>
      <c r="ER34" s="9">
        <f ca="1">IF(OR(ER7="",ER$28&lt;$A34),"",ER7/OFFSET(ParoRegCLM!$A$2,MATCH(ER$29,ParoRegCLM!$A$2:$A$500)+$A34-1,1)-1)</f>
        <v>5.125502170911922E-2</v>
      </c>
      <c r="ES34" s="9">
        <f ca="1">IF(OR(ES7="",ES$28&lt;$A34),"",ES7/OFFSET(ParoRegCLM!$A$2,MATCH(ES$29,ParoRegCLM!$A$2:$A$500)+$A34-1,1)-1)</f>
        <v>2.0821162710024987E-2</v>
      </c>
      <c r="ET34" s="9">
        <f ca="1">IF(OR(ET7="",ET$28&lt;$A34),"",ET7/OFFSET(ParoRegCLM!$A$2,MATCH(ET$29,ParoRegCLM!$A$2:$A$500)+$A34-1,1)-1)</f>
        <v>4.9479174832043338E-3</v>
      </c>
      <c r="EU34" s="9">
        <f ca="1">IF(OR(EU7="",EU$28&lt;$A34),"",EU7/OFFSET(ParoRegCLM!$A$2,MATCH(EU$29,ParoRegCLM!$A$2:$A$500)+$A34-1,1)-1)</f>
        <v>-4.180945993241425E-2</v>
      </c>
      <c r="EV34" s="9">
        <f ca="1">IF(OR(EV7="",EV$28&lt;$A34),"",EV7/OFFSET(ParoRegCLM!$A$2,MATCH(EV$29,ParoRegCLM!$A$2:$A$500)+$A34-1,1)-1)</f>
        <v>-6.2678216005742304E-2</v>
      </c>
      <c r="EW34" s="9">
        <f ca="1">IF(OR(EW7="",EW$28&lt;$A34),"",EW7/OFFSET(ParoRegCLM!$A$2,MATCH(EW$29,ParoRegCLM!$A$2:$A$500)+$A34-1,1)-1)</f>
        <v>-2.9469667619681617E-2</v>
      </c>
      <c r="EX34" s="9">
        <f ca="1">IF(OR(EX7="",EX$28&lt;$A34),"",EX7/OFFSET(ParoRegCLM!$A$2,MATCH(EX$29,ParoRegCLM!$A$2:$A$500)+$A34-1,1)-1)</f>
        <v>-6.5122941422485203E-3</v>
      </c>
      <c r="EY34" s="9">
        <f ca="1">IF(OR(EY7="",EY$28&lt;$A34),"",EY7/OFFSET(ParoRegCLM!$A$2,MATCH(EY$29,ParoRegCLM!$A$2:$A$500)+$A34-1,1)-1)</f>
        <v>-1.1196599138323493E-2</v>
      </c>
      <c r="EZ34" s="9">
        <f ca="1">IF(OR(EZ7="",EZ$28&lt;$A34),"",EZ7/OFFSET(ParoRegCLM!$A$2,MATCH(EZ$29,ParoRegCLM!$A$2:$A$500)+$A34-1,1)-1)</f>
        <v>-1.2081012402487268E-3</v>
      </c>
      <c r="FA34" s="9">
        <f ca="1">IF(OR(FA7="",FA$28&lt;$A34),"",FA7/OFFSET(ParoRegCLM!$A$2,MATCH(FA$29,ParoRegCLM!$A$2:$A$500)+$A34-1,1)-1)</f>
        <v>8.0458761350825636E-3</v>
      </c>
      <c r="FB34" s="9">
        <f ca="1">IF(OR(FB7="",FB$28&lt;$A34),"",FB7/OFFSET(ParoRegCLM!$A$2,MATCH(FB$29,ParoRegCLM!$A$2:$A$500)+$A34-1,1)-1)</f>
        <v>-1.697631053379578E-2</v>
      </c>
      <c r="FC34" s="9">
        <f ca="1">IF(OR(FC7="",FC$28&lt;$A34),"",FC7/OFFSET(ParoRegCLM!$A$2,MATCH(FC$29,ParoRegCLM!$A$2:$A$500)+$A34-1,1)-1)</f>
        <v>-1.0894948143055139E-2</v>
      </c>
      <c r="FD34" s="9">
        <f ca="1">IF(OR(FD7="",FD$28&lt;$A34),"",FD7/OFFSET(ParoRegCLM!$A$2,MATCH(FD$29,ParoRegCLM!$A$2:$A$500)+$A34-1,1)-1)</f>
        <v>-2.4621774590519396E-2</v>
      </c>
      <c r="FE34" s="9">
        <f ca="1">IF(OR(FE7="",FE$28&lt;$A34),"",FE7/OFFSET(ParoRegCLM!$A$2,MATCH(FE$29,ParoRegCLM!$A$2:$A$500)+$A34-1,1)-1)</f>
        <v>-2.0034101359134304E-2</v>
      </c>
      <c r="FF34" s="9">
        <f ca="1">IF(OR(FF7="",FF$28&lt;$A34),"",FF7/OFFSET(ParoRegCLM!$A$2,MATCH(FF$29,ParoRegCLM!$A$2:$A$500)+$A34-1,1)-1)</f>
        <v>5.6814839627270519E-3</v>
      </c>
      <c r="FG34" s="9">
        <f ca="1">IF(OR(FG7="",FG$28&lt;$A34),"",FG7/OFFSET(ParoRegCLM!$A$2,MATCH(FG$29,ParoRegCLM!$A$2:$A$500)+$A34-1,1)-1)</f>
        <v>4.2466326909670338E-2</v>
      </c>
      <c r="FH34" s="9">
        <f ca="1">IF(OR(FH7="",FH$28&lt;$A34),"",FH7/OFFSET(ParoRegCLM!$A$2,MATCH(FH$29,ParoRegCLM!$A$2:$A$500)+$A34-1,1)-1)</f>
        <v>2.9072350233864119E-2</v>
      </c>
      <c r="FI34" s="9">
        <f ca="1">IF(OR(FI7="",FI$28&lt;$A34),"",FI7/OFFSET(ParoRegCLM!$A$2,MATCH(FI$29,ParoRegCLM!$A$2:$A$500)+$A34-1,1)-1)</f>
        <v>3.6076655967802074E-2</v>
      </c>
      <c r="FJ34" s="9">
        <f ca="1">IF(OR(FJ7="",FJ$28&lt;$A34),"",FJ7/OFFSET(ParoRegCLM!$A$2,MATCH(FJ$29,ParoRegCLM!$A$2:$A$500)+$A34-1,1)-1)</f>
        <v>-5.4122728713190682E-6</v>
      </c>
      <c r="FK34" s="9">
        <f ca="1">IF(OR(FK7="",FK$28&lt;$A34),"",FK7/OFFSET(ParoRegCLM!$A$2,MATCH(FK$29,ParoRegCLM!$A$2:$A$500)+$A34-1,1)-1)</f>
        <v>4.3224164084994854E-2</v>
      </c>
      <c r="FL34" s="9">
        <f ca="1">IF(OR(FL7="",FL$28&lt;$A34),"",FL7/OFFSET(ParoRegCLM!$A$2,MATCH(FL$29,ParoRegCLM!$A$2:$A$500)+$A34-1,1)-1)</f>
        <v>-4.8583241351423556E-2</v>
      </c>
      <c r="FM34" s="9">
        <f ca="1">IF(OR(FM7="",FM$28&lt;$A34),"",FM7/OFFSET(ParoRegCLM!$A$2,MATCH(FM$29,ParoRegCLM!$A$2:$A$500)+$A34-1,1)-1)</f>
        <v>-7.2954813871042967E-2</v>
      </c>
      <c r="FN34" s="9">
        <f ca="1">IF(OR(FN7="",FN$28&lt;$A34),"",FN7/OFFSET(ParoRegCLM!$A$2,MATCH(FN$29,ParoRegCLM!$A$2:$A$500)+$A34-1,1)-1)</f>
        <v>-6.7860499849848877E-2</v>
      </c>
      <c r="FO34" s="9">
        <f ca="1">IF(OR(FO7="",FO$28&lt;$A34),"",FO7/OFFSET(ParoRegCLM!$A$2,MATCH(FO$29,ParoRegCLM!$A$2:$A$500)+$A34-1,1)-1)</f>
        <v>-3.6031614955869706E-2</v>
      </c>
      <c r="FP34" s="9">
        <f ca="1">IF(OR(FP7="",FP$28&lt;$A34),"",FP7/OFFSET(ParoRegCLM!$A$2,MATCH(FP$29,ParoRegCLM!$A$2:$A$500)+$A34-1,1)-1)</f>
        <v>-3.4823600470248572E-2</v>
      </c>
      <c r="FQ34" s="9">
        <f ca="1">IF(OR(FQ7="",FQ$28&lt;$A34),"",FQ7/OFFSET(ParoRegCLM!$A$2,MATCH(FQ$29,ParoRegCLM!$A$2:$A$500)+$A34-1,1)-1)</f>
        <v>-2.377341074032524E-2</v>
      </c>
      <c r="FR34" s="9">
        <f ca="1">IF(OR(FR7="",FR$28&lt;$A34),"",FR7/OFFSET(ParoRegCLM!$A$2,MATCH(FR$29,ParoRegCLM!$A$2:$A$500)+$A34-1,1)-1)</f>
        <v>-6.4528477902222603E-3</v>
      </c>
      <c r="FS34" s="9">
        <f ca="1">IF(OR(FS7="",FS$28&lt;$A34),"",FS7/OFFSET(ParoRegCLM!$A$2,MATCH(FS$29,ParoRegCLM!$A$2:$A$500)+$A34-1,1)-1)</f>
        <v>3.1068994300738728E-2</v>
      </c>
      <c r="FT34" s="9">
        <f ca="1">IF(OR(FT7="",FT$28&lt;$A34),"",FT7/OFFSET(ParoRegCLM!$A$2,MATCH(FT$29,ParoRegCLM!$A$2:$A$500)+$A34-1,1)-1)</f>
        <v>7.448540351623123E-2</v>
      </c>
      <c r="FU34" s="9">
        <f ca="1">IF(OR(FU7="",FU$28&lt;$A34),"",FU7/OFFSET(ParoRegCLM!$A$2,MATCH(FU$29,ParoRegCLM!$A$2:$A$500)+$A34-1,1)-1)</f>
        <v>7.9547575292602035E-2</v>
      </c>
      <c r="FV34" s="9">
        <f ca="1">IF(OR(FV7="",FV$28&lt;$A34),"",FV7/OFFSET(ParoRegCLM!$A$2,MATCH(FV$29,ParoRegCLM!$A$2:$A$500)+$A34-1,1)-1)</f>
        <v>8.405815248729831E-2</v>
      </c>
      <c r="FW34" s="9">
        <f ca="1">IF(OR(FW7="",FW$28&lt;$A34),"",FW7/OFFSET(ParoRegCLM!$A$2,MATCH(FW$29,ParoRegCLM!$A$2:$A$500)+$A34-1,1)-1)</f>
        <v>8.4022101563611562E-2</v>
      </c>
      <c r="FX34" s="9">
        <f ca="1">IF(OR(FX7="",FX$28&lt;$A34),"",FX7/OFFSET(ParoRegCLM!$A$2,MATCH(FX$29,ParoRegCLM!$A$2:$A$500)+$A34-1,1)-1)</f>
        <v>4.5308830291486357E-2</v>
      </c>
      <c r="FY34" s="9">
        <f ca="1">IF(OR(FY7="",FY$28&lt;$A34),"",FY7/OFFSET(ParoRegCLM!$A$2,MATCH(FY$29,ParoRegCLM!$A$2:$A$500)+$A34-1,1)-1)</f>
        <v>-1.4052877101957906E-2</v>
      </c>
      <c r="FZ34" s="9">
        <f ca="1">IF(OR(FZ7="",FZ$28&lt;$A34),"",FZ7/OFFSET(ParoRegCLM!$A$2,MATCH(FZ$29,ParoRegCLM!$A$2:$A$500)+$A34-1,1)-1)</f>
        <v>-7.4583937396059174E-2</v>
      </c>
      <c r="GA34" s="9">
        <f ca="1">IF(OR(GA7="",GA$28&lt;$A34),"",GA7/OFFSET(ParoRegCLM!$A$2,MATCH(GA$29,ParoRegCLM!$A$2:$A$500)+$A34-1,1)-1)</f>
        <v>-7.861335893141852E-2</v>
      </c>
      <c r="GB34" s="9">
        <f ca="1">IF(OR(GB7="",GB$28&lt;$A34),"",GB7/OFFSET(ParoRegCLM!$A$2,MATCH(GB$29,ParoRegCLM!$A$2:$A$500)+$A34-1,1)-1)</f>
        <v>-9.2958894755602484E-2</v>
      </c>
      <c r="GC34" s="9">
        <f ca="1">IF(OR(GC7="",GC$28&lt;$A34),"",GC7/OFFSET(ParoRegCLM!$A$2,MATCH(GC$29,ParoRegCLM!$A$2:$A$500)+$A34-1,1)-1)</f>
        <v>-9.2083427361160264E-2</v>
      </c>
      <c r="GD34" s="9">
        <f ca="1">IF(OR(GD7="",GD$28&lt;$A34),"",GD7/OFFSET(ParoRegCLM!$A$2,MATCH(GD$29,ParoRegCLM!$A$2:$A$500)+$A34-1,1)-1)</f>
        <v>-7.5730059334914612E-2</v>
      </c>
      <c r="GE34" s="9">
        <f ca="1">IF(OR(GE7="",GE$28&lt;$A34),"",GE7/OFFSET(ParoRegCLM!$A$2,MATCH(GE$29,ParoRegCLM!$A$2:$A$500)+$A34-1,1)-1)</f>
        <v>-4.1655608626787632E-2</v>
      </c>
      <c r="GF34" s="9">
        <f ca="1">IF(OR(GF7="",GF$28&lt;$A34),"",GF7/OFFSET(ParoRegCLM!$A$2,MATCH(GF$29,ParoRegCLM!$A$2:$A$500)+$A34-1,1)-1)</f>
        <v>-1.9898053636892121E-2</v>
      </c>
      <c r="GG34" s="9">
        <f ca="1">IF(OR(GG7="",GG$28&lt;$A34),"",GG7/OFFSET(ParoRegCLM!$A$2,MATCH(GG$29,ParoRegCLM!$A$2:$A$500)+$A34-1,1)-1)</f>
        <v>-6.8648013847808498E-3</v>
      </c>
      <c r="GH34" s="9">
        <f ca="1">IF(OR(GH7="",GH$28&lt;$A34),"",GH7/OFFSET(ParoRegCLM!$A$2,MATCH(GH$29,ParoRegCLM!$A$2:$A$500)+$A34-1,1)-1)</f>
        <v>-2.713642231801261E-3</v>
      </c>
      <c r="GI34" s="9">
        <f ca="1">IF(OR(GI7="",GI$28&lt;$A34),"",GI7/OFFSET(ParoRegCLM!$A$2,MATCH(GI$29,ParoRegCLM!$A$2:$A$500)+$A34-1,1)-1)</f>
        <v>3.9617792812115971E-2</v>
      </c>
      <c r="GJ34" s="9">
        <f ca="1">IF(OR(GJ7="",GJ$28&lt;$A34),"",GJ7/OFFSET(ParoRegCLM!$A$2,MATCH(GJ$29,ParoRegCLM!$A$2:$A$500)+$A34-1,1)-1)</f>
        <v>-2.230246540409464E-2</v>
      </c>
      <c r="GK34" s="9">
        <f ca="1">IF(OR(GK7="",GK$28&lt;$A34),"",GK7/OFFSET(ParoRegCLM!$A$2,MATCH(GK$29,ParoRegCLM!$A$2:$A$500)+$A34-1,1)-1)</f>
        <v>-9.9288620274190165E-2</v>
      </c>
      <c r="GL34" s="9">
        <f ca="1">IF(OR(GL7="",GL$28&lt;$A34),"",GL7/OFFSET(ParoRegCLM!$A$2,MATCH(GL$29,ParoRegCLM!$A$2:$A$500)+$A34-1,1)-1)</f>
        <v>-0.1076622241283679</v>
      </c>
      <c r="GM34" s="9">
        <f ca="1">IF(OR(GM7="",GM$28&lt;$A34),"",GM7/OFFSET(ParoRegCLM!$A$2,MATCH(GM$29,ParoRegCLM!$A$2:$A$500)+$A34-1,1)-1)</f>
        <v>-9.2224668084431305E-2</v>
      </c>
      <c r="GN34" s="9">
        <f ca="1">IF(OR(GN7="",GN$28&lt;$A34),"",GN7/OFFSET(ParoRegCLM!$A$2,MATCH(GN$29,ParoRegCLM!$A$2:$A$500)+$A34-1,1)-1)</f>
        <v>-0.12584948877144952</v>
      </c>
      <c r="GO34" s="9">
        <f ca="1">IF(OR(GO7="",GO$28&lt;$A34),"",GO7/OFFSET(ParoRegCLM!$A$2,MATCH(GO$29,ParoRegCLM!$A$2:$A$500)+$A34-1,1)-1)</f>
        <v>-6.9691319537698027E-3</v>
      </c>
      <c r="GP34" s="9">
        <f ca="1">IF(OR(GP7="",GP$28&lt;$A34),"",GP7/OFFSET(ParoRegCLM!$A$2,MATCH(GP$29,ParoRegCLM!$A$2:$A$500)+$A34-1,1)-1)</f>
        <v>0.1560919014423765</v>
      </c>
      <c r="GQ34" s="9">
        <f ca="1">IF(OR(GQ7="",GQ$28&lt;$A34),"",GQ7/OFFSET(ParoRegCLM!$A$2,MATCH(GQ$29,ParoRegCLM!$A$2:$A$500)+$A34-1,1)-1)</f>
        <v>9.7677033543764669E-2</v>
      </c>
      <c r="GR34" s="9">
        <f ca="1">IF(OR(GR7="",GR$28&lt;$A34),"",GR7/OFFSET(ParoRegCLM!$A$2,MATCH(GR$29,ParoRegCLM!$A$2:$A$500)+$A34-1,1)-1)</f>
        <v>9.4720660280074975E-2</v>
      </c>
      <c r="GS34" s="9">
        <f ca="1">IF(OR(GS7="",GS$28&lt;$A34),"",GS7/OFFSET(ParoRegCLM!$A$2,MATCH(GS$29,ParoRegCLM!$A$2:$A$500)+$A34-1,1)-1)</f>
        <v>5.6309829745915918E-2</v>
      </c>
      <c r="GT34" s="9">
        <f ca="1">IF(OR(GT7="",GT$28&lt;$A34),"",GT7/OFFSET(ParoRegCLM!$A$2,MATCH(GT$29,ParoRegCLM!$A$2:$A$500)+$A34-1,1)-1)</f>
        <v>3.506928311790003E-2</v>
      </c>
      <c r="GU34" s="9" t="str">
        <f ca="1">IF(OR(GU7="",GU$28&lt;$A34),"",GU7/OFFSET(ParoRegCLM!$A$2,MATCH(GU$29,ParoRegCLM!$A$2:$A$500)+$A34-1,1)-1)</f>
        <v/>
      </c>
      <c r="GV34" s="9" t="str">
        <f ca="1">IF(OR(GV7="",GV$28&lt;$A34),"",GV7/OFFSET(ParoRegCLM!$A$2,MATCH(GV$29,ParoRegCLM!$A$2:$A$500)+$A34-1,1)-1)</f>
        <v/>
      </c>
      <c r="GW34" s="9" t="str">
        <f ca="1">IF(OR(GW7="",GW$28&lt;$A34),"",GW7/OFFSET(ParoRegCLM!$A$2,MATCH(GW$29,ParoRegCLM!$A$2:$A$500)+$A34-1,1)-1)</f>
        <v/>
      </c>
      <c r="GX34" s="9" t="str">
        <f ca="1">IF(OR(GX7="",GX$28&lt;$A34),"",GX7/OFFSET(ParoRegCLM!$A$2,MATCH(GX$29,ParoRegCLM!$A$2:$A$500)+$A34-1,1)-1)</f>
        <v/>
      </c>
      <c r="GY34" s="9" t="str">
        <f ca="1">IF(OR(GY7="",GY$28&lt;$A34),"",GY7/OFFSET(ParoRegCLM!$A$2,MATCH(GY$29,ParoRegCLM!$A$2:$A$500)+$A34-1,1)-1)</f>
        <v/>
      </c>
      <c r="GZ34" s="9" t="str">
        <f ca="1">IF(OR(GZ7="",GZ$28&lt;$A34),"",GZ7/OFFSET(ParoRegCLM!$A$2,MATCH(GZ$29,ParoRegCLM!$A$2:$A$500)+$A34-1,1)-1)</f>
        <v/>
      </c>
      <c r="HA34" s="9" t="str">
        <f ca="1">IF(OR(HA7="",HA$28&lt;$A34),"",HA7/OFFSET(ParoRegCLM!$A$2,MATCH(HA$29,ParoRegCLM!$A$2:$A$500)+$A34-1,1)-1)</f>
        <v/>
      </c>
      <c r="HB34" s="9" t="str">
        <f ca="1">IF(OR(HB7="",HB$28&lt;$A34),"",HB7/OFFSET(ParoRegCLM!$A$2,MATCH(HB$29,ParoRegCLM!$A$2:$A$500)+$A34-1,1)-1)</f>
        <v/>
      </c>
      <c r="HC34" s="9" t="str">
        <f ca="1">IF(OR(HC7="",HC$28&lt;$A34),"",HC7/OFFSET(ParoRegCLM!$A$2,MATCH(HC$29,ParoRegCLM!$A$2:$A$500)+$A34-1,1)-1)</f>
        <v/>
      </c>
      <c r="HD34" s="9" t="str">
        <f ca="1">IF(OR(HD7="",HD$28&lt;$A34),"",HD7/OFFSET(ParoRegCLM!$A$2,MATCH(HD$29,ParoRegCLM!$A$2:$A$500)+$A34-1,1)-1)</f>
        <v/>
      </c>
      <c r="HE34" s="9" t="str">
        <f ca="1">IF(OR(HE7="",HE$28&lt;$A34),"",HE7/OFFSET(ParoRegCLM!$A$2,MATCH(HE$29,ParoRegCLM!$A$2:$A$500)+$A34-1,1)-1)</f>
        <v/>
      </c>
      <c r="HF34" s="9" t="str">
        <f ca="1">IF(OR(HF7="",HF$28&lt;$A34),"",HF7/OFFSET(ParoRegCLM!$A$2,MATCH(HF$29,ParoRegCLM!$A$2:$A$500)+$A34-1,1)-1)</f>
        <v/>
      </c>
      <c r="HG34" s="9" t="str">
        <f ca="1">IF(OR(HG7="",HG$28&lt;$A34),"",HG7/OFFSET(ParoRegCLM!$A$2,MATCH(HG$29,ParoRegCLM!$A$2:$A$500)+$A34-1,1)-1)</f>
        <v/>
      </c>
      <c r="HH34" s="9" t="str">
        <f ca="1">IF(OR(HH7="",HH$28&lt;$A34),"",HH7/OFFSET(ParoRegCLM!$A$2,MATCH(HH$29,ParoRegCLM!$A$2:$A$500)+$A34-1,1)-1)</f>
        <v/>
      </c>
      <c r="HI34" s="9" t="str">
        <f ca="1">IF(OR(HI7="",HI$28&lt;$A34),"",HI7/OFFSET(ParoRegCLM!$A$2,MATCH(HI$29,ParoRegCLM!$A$2:$A$500)+$A34-1,1)-1)</f>
        <v/>
      </c>
      <c r="HJ34" s="9" t="str">
        <f ca="1">IF(OR(HJ7="",HJ$28&lt;$A34),"",HJ7/OFFSET(ParoRegCLM!$A$2,MATCH(HJ$29,ParoRegCLM!$A$2:$A$500)+$A34-1,1)-1)</f>
        <v/>
      </c>
      <c r="HK34" s="9" t="str">
        <f ca="1">IF(OR(HK7="",HK$28&lt;$A34),"",HK7/OFFSET(ParoRegCLM!$A$2,MATCH(HK$29,ParoRegCLM!$A$2:$A$500)+$A34-1,1)-1)</f>
        <v/>
      </c>
      <c r="HL34" s="9" t="str">
        <f ca="1">IF(OR(HL7="",HL$28&lt;$A34),"",HL7/OFFSET(ParoRegCLM!$A$2,MATCH(HL$29,ParoRegCLM!$A$2:$A$500)+$A34-1,1)-1)</f>
        <v/>
      </c>
      <c r="HM34" s="9" t="str">
        <f ca="1">IF(OR(HM7="",HM$28&lt;$A34),"",HM7/OFFSET(ParoRegCLM!$A$2,MATCH(HM$29,ParoRegCLM!$A$2:$A$500)+$A34-1,1)-1)</f>
        <v/>
      </c>
      <c r="HN34" s="9" t="str">
        <f ca="1">IF(OR(HN7="",HN$28&lt;$A34),"",HN7/OFFSET(ParoRegCLM!$A$2,MATCH(HN$29,ParoRegCLM!$A$2:$A$500)+$A34-1,1)-1)</f>
        <v/>
      </c>
      <c r="HO34" s="9" t="str">
        <f ca="1">IF(OR(HO7="",HO$28&lt;$A34),"",HO7/OFFSET(ParoRegCLM!$A$2,MATCH(HO$29,ParoRegCLM!$A$2:$A$500)+$A34-1,1)-1)</f>
        <v/>
      </c>
      <c r="HP34" s="9" t="str">
        <f ca="1">IF(OR(HP7="",HP$28&lt;$A34),"",HP7/OFFSET(ParoRegCLM!$A$2,MATCH(HP$29,ParoRegCLM!$A$2:$A$500)+$A34-1,1)-1)</f>
        <v/>
      </c>
      <c r="HQ34" s="9" t="str">
        <f ca="1">IF(OR(HQ7="",HQ$28&lt;$A34),"",HQ7/OFFSET(ParoRegCLM!$A$2,MATCH(HQ$29,ParoRegCLM!$A$2:$A$500)+$A34-1,1)-1)</f>
        <v/>
      </c>
      <c r="HR34" s="9" t="str">
        <f ca="1">IF(OR(HR7="",HR$28&lt;$A34),"",HR7/OFFSET(ParoRegCLM!$A$2,MATCH(HR$29,ParoRegCLM!$A$2:$A$500)+$A34-1,1)-1)</f>
        <v/>
      </c>
      <c r="HS34" s="9" t="str">
        <f ca="1">IF(OR(HS7="",HS$28&lt;$A34),"",HS7/OFFSET(ParoRegCLM!$A$2,MATCH(HS$29,ParoRegCLM!$A$2:$A$500)+$A34-1,1)-1)</f>
        <v/>
      </c>
      <c r="HT34" s="9" t="str">
        <f ca="1">IF(OR(HT7="",HT$28&lt;$A34),"",HT7/OFFSET(ParoRegCLM!$A$2,MATCH(HT$29,ParoRegCLM!$A$2:$A$500)+$A34-1,1)-1)</f>
        <v/>
      </c>
      <c r="HU34" s="9" t="str">
        <f ca="1">IF(OR(HU7="",HU$28&lt;$A34),"",HU7/OFFSET(ParoRegCLM!$A$2,MATCH(HU$29,ParoRegCLM!$A$2:$A$500)+$A34-1,1)-1)</f>
        <v/>
      </c>
      <c r="HV34" s="9" t="str">
        <f ca="1">IF(OR(HV7="",HV$28&lt;$A34),"",HV7/OFFSET(ParoRegCLM!$A$2,MATCH(HV$29,ParoRegCLM!$A$2:$A$500)+$A34-1,1)-1)</f>
        <v/>
      </c>
      <c r="HW34" s="9" t="str">
        <f ca="1">IF(OR(HW7="",HW$28&lt;$A34),"",HW7/OFFSET(ParoRegCLM!$A$2,MATCH(HW$29,ParoRegCLM!$A$2:$A$500)+$A34-1,1)-1)</f>
        <v/>
      </c>
      <c r="HX34" s="9" t="str">
        <f ca="1">IF(OR(HX7="",HX$28&lt;$A34),"",HX7/OFFSET(ParoRegCLM!$A$2,MATCH(HX$29,ParoRegCLM!$A$2:$A$500)+$A34-1,1)-1)</f>
        <v/>
      </c>
      <c r="HY34" s="9" t="str">
        <f ca="1">IF(OR(HY7="",HY$28&lt;$A34),"",HY7/OFFSET(ParoRegCLM!$A$2,MATCH(HY$29,ParoRegCLM!$A$2:$A$500)+$A34-1,1)-1)</f>
        <v/>
      </c>
      <c r="HZ34" s="9" t="str">
        <f ca="1">IF(OR(HZ7="",HZ$28&lt;$A34),"",HZ7/OFFSET(ParoRegCLM!$A$2,MATCH(HZ$29,ParoRegCLM!$A$2:$A$500)+$A34-1,1)-1)</f>
        <v/>
      </c>
      <c r="IA34" s="9" t="str">
        <f ca="1">IF(OR(IA7="",IA$28&lt;$A34),"",IA7/OFFSET(ParoRegCLM!$A$2,MATCH(IA$29,ParoRegCLM!$A$2:$A$500)+$A34-1,1)-1)</f>
        <v/>
      </c>
      <c r="IB34" s="9" t="str">
        <f ca="1">IF(OR(IB7="",IB$28&lt;$A34),"",IB7/OFFSET(ParoRegCLM!$A$2,MATCH(IB$29,ParoRegCLM!$A$2:$A$500)+$A34-1,1)-1)</f>
        <v/>
      </c>
      <c r="IC34" s="9" t="str">
        <f ca="1">IF(OR(IC7="",IC$28&lt;$A34),"",IC7/OFFSET(ParoRegCLM!$A$2,MATCH(IC$29,ParoRegCLM!$A$2:$A$500)+$A34-1,1)-1)</f>
        <v/>
      </c>
      <c r="ID34" s="9" t="str">
        <f ca="1">IF(OR(ID7="",ID$28&lt;$A34),"",ID7/OFFSET(ParoRegCLM!$A$2,MATCH(ID$29,ParoRegCLM!$A$2:$A$500)+$A34-1,1)-1)</f>
        <v/>
      </c>
      <c r="IE34" s="9" t="str">
        <f ca="1">IF(OR(IE7="",IE$28&lt;$A34),"",IE7/OFFSET(ParoRegCLM!$A$2,MATCH(IE$29,ParoRegCLM!$A$2:$A$500)+$A34-1,1)-1)</f>
        <v/>
      </c>
      <c r="IF34" s="9" t="str">
        <f ca="1">IF(OR(IF7="",IF$28&lt;$A34),"",IF7/OFFSET(ParoRegCLM!$A$2,MATCH(IF$29,ParoRegCLM!$A$2:$A$500)+$A34-1,1)-1)</f>
        <v/>
      </c>
      <c r="IG34" s="9" t="str">
        <f ca="1">IF(OR(IG7="",IG$28&lt;$A34),"",IG7/OFFSET(ParoRegCLM!$A$2,MATCH(IG$29,ParoRegCLM!$A$2:$A$500)+$A34-1,1)-1)</f>
        <v/>
      </c>
      <c r="IH34" s="9" t="str">
        <f ca="1">IF(OR(IH7="",IH$28&lt;$A34),"",IH7/OFFSET(ParoRegCLM!$A$2,MATCH(IH$29,ParoRegCLM!$A$2:$A$500)+$A34-1,1)-1)</f>
        <v/>
      </c>
      <c r="II34" s="9" t="str">
        <f ca="1">IF(OR(II7="",II$28&lt;$A34),"",II7/OFFSET(ParoRegCLM!$A$2,MATCH(II$29,ParoRegCLM!$A$2:$A$500)+$A34-1,1)-1)</f>
        <v/>
      </c>
      <c r="IJ34" s="9" t="str">
        <f ca="1">IF(OR(IJ7="",IJ$28&lt;$A34),"",IJ7/OFFSET(ParoRegCLM!$A$2,MATCH(IJ$29,ParoRegCLM!$A$2:$A$500)+$A34-1,1)-1)</f>
        <v/>
      </c>
      <c r="IK34" s="9" t="str">
        <f ca="1">IF(OR(IK7="",IK$28&lt;$A34),"",IK7/OFFSET(ParoRegCLM!$A$2,MATCH(IK$29,ParoRegCLM!$A$2:$A$500)+$A34-1,1)-1)</f>
        <v/>
      </c>
      <c r="IL34" s="9" t="str">
        <f ca="1">IF(OR(IL7="",IL$28&lt;$A34),"",IL7/OFFSET(ParoRegCLM!$A$2,MATCH(IL$29,ParoRegCLM!$A$2:$A$500)+$A34-1,1)-1)</f>
        <v/>
      </c>
      <c r="IM34" s="9" t="str">
        <f ca="1">IF(OR(IM7="",IM$28&lt;$A34),"",IM7/OFFSET(ParoRegCLM!$A$2,MATCH(IM$29,ParoRegCLM!$A$2:$A$500)+$A34-1,1)-1)</f>
        <v/>
      </c>
      <c r="IN34" s="9" t="str">
        <f ca="1">IF(OR(IN7="",IN$28&lt;$A34),"",IN7/OFFSET(ParoRegCLM!$A$2,MATCH(IN$29,ParoRegCLM!$A$2:$A$500)+$A34-1,1)-1)</f>
        <v/>
      </c>
      <c r="IO34" s="9" t="str">
        <f ca="1">IF(OR(IO7="",IO$28&lt;$A34),"",IO7/OFFSET(ParoRegCLM!$A$2,MATCH(IO$29,ParoRegCLM!$A$2:$A$500)+$A34-1,1)-1)</f>
        <v/>
      </c>
      <c r="IP34" s="9" t="str">
        <f ca="1">IF(OR(IP7="",IP$28&lt;$A34),"",IP7/OFFSET(ParoRegCLM!$A$2,MATCH(IP$29,ParoRegCLM!$A$2:$A$500)+$A34-1,1)-1)</f>
        <v/>
      </c>
      <c r="IQ34" s="9" t="str">
        <f ca="1">IF(OR(IQ7="",IQ$28&lt;$A34),"",IQ7/OFFSET(ParoRegCLM!$A$2,MATCH(IQ$29,ParoRegCLM!$A$2:$A$500)+$A34-1,1)-1)</f>
        <v/>
      </c>
      <c r="IR34" s="9" t="str">
        <f ca="1">IF(OR(IR7="",IR$28&lt;$A34),"",IR7/OFFSET(ParoRegCLM!$A$2,MATCH(IR$29,ParoRegCLM!$A$2:$A$500)+$A34-1,1)-1)</f>
        <v/>
      </c>
      <c r="IS34" s="9" t="str">
        <f ca="1">IF(OR(IS7="",IS$28&lt;$A34),"",IS7/OFFSET(ParoRegCLM!$A$2,MATCH(IS$29,ParoRegCLM!$A$2:$A$500)+$A34-1,1)-1)</f>
        <v/>
      </c>
      <c r="IT34" s="9" t="str">
        <f ca="1">IF(OR(IT7="",IT$28&lt;$A34),"",IT7/OFFSET(ParoRegCLM!$A$2,MATCH(IT$29,ParoRegCLM!$A$2:$A$500)+$A34-1,1)-1)</f>
        <v/>
      </c>
      <c r="IU34" s="9" t="str">
        <f ca="1">IF(OR(IU7="",IU$28&lt;$A34),"",IU7/OFFSET(ParoRegCLM!$A$2,MATCH(IU$29,ParoRegCLM!$A$2:$A$500)+$A34-1,1)-1)</f>
        <v/>
      </c>
      <c r="IV34" s="9" t="str">
        <f ca="1">IF(OR(IV7="",IV$28&lt;$A34),"",IV7/OFFSET(ParoRegCLM!$A$2,MATCH(IV$29,ParoRegCLM!$A$2:$A$500)+$A34-1,1)-1)</f>
        <v/>
      </c>
      <c r="IW34" s="9" t="str">
        <f ca="1">IF(OR(IW7="",IW$28&lt;$A34),"",IW7/OFFSET(ParoRegCLM!$A$2,MATCH(IW$29,ParoRegCLM!$A$2:$A$500)+$A34-1,1)-1)</f>
        <v/>
      </c>
      <c r="IX34" s="9" t="str">
        <f ca="1">IF(OR(IX7="",IX$28&lt;$A34),"",IX7/OFFSET(ParoRegCLM!$A$2,MATCH(IX$29,ParoRegCLM!$A$2:$A$500)+$A34-1,1)-1)</f>
        <v/>
      </c>
      <c r="IY34" s="9" t="str">
        <f ca="1">IF(OR(IY7="",IY$28&lt;$A34),"",IY7/OFFSET(ParoRegCLM!$A$2,MATCH(IY$29,ParoRegCLM!$A$2:$A$500)+$A34-1,1)-1)</f>
        <v/>
      </c>
      <c r="IZ34" s="9" t="str">
        <f ca="1">IF(OR(IZ7="",IZ$28&lt;$A34),"",IZ7/OFFSET(ParoRegCLM!$A$2,MATCH(IZ$29,ParoRegCLM!$A$2:$A$500)+$A34-1,1)-1)</f>
        <v/>
      </c>
      <c r="JA34" s="9" t="str">
        <f ca="1">IF(OR(JA7="",JA$28&lt;$A34),"",JA7/OFFSET(ParoRegCLM!$A$2,MATCH(JA$29,ParoRegCLM!$A$2:$A$500)+$A34-1,1)-1)</f>
        <v/>
      </c>
      <c r="JB34" s="9" t="str">
        <f ca="1">IF(OR(JB7="",JB$28&lt;$A34),"",JB7/OFFSET(ParoRegCLM!$A$2,MATCH(JB$29,ParoRegCLM!$A$2:$A$500)+$A34-1,1)-1)</f>
        <v/>
      </c>
      <c r="JC34" s="9" t="str">
        <f ca="1">IF(OR(JC7="",JC$28&lt;$A34),"",JC7/OFFSET(ParoRegCLM!$A$2,MATCH(JC$29,ParoRegCLM!$A$2:$A$500)+$A34-1,1)-1)</f>
        <v/>
      </c>
      <c r="JD34" s="9" t="str">
        <f ca="1">IF(OR(JD7="",JD$28&lt;$A34),"",JD7/OFFSET(ParoRegCLM!$A$2,MATCH(JD$29,ParoRegCLM!$A$2:$A$500)+$A34-1,1)-1)</f>
        <v/>
      </c>
      <c r="JE34" s="9" t="str">
        <f ca="1">IF(OR(JE7="",JE$28&lt;$A34),"",JE7/OFFSET(ParoRegCLM!$A$2,MATCH(JE$29,ParoRegCLM!$A$2:$A$500)+$A34-1,1)-1)</f>
        <v/>
      </c>
      <c r="JF34" s="9" t="str">
        <f ca="1">IF(OR(JF7="",JF$28&lt;$A34),"",JF7/OFFSET(ParoRegCLM!$A$2,MATCH(JF$29,ParoRegCLM!$A$2:$A$500)+$A34-1,1)-1)</f>
        <v/>
      </c>
      <c r="JG34" s="9" t="str">
        <f ca="1">IF(OR(JG7="",JG$28&lt;$A34),"",JG7/OFFSET(ParoRegCLM!$A$2,MATCH(JG$29,ParoRegCLM!$A$2:$A$500)+$A34-1,1)-1)</f>
        <v/>
      </c>
      <c r="JH34" s="9" t="str">
        <f ca="1">IF(OR(JH7="",JH$28&lt;$A34),"",JH7/OFFSET(ParoRegCLM!$A$2,MATCH(JH$29,ParoRegCLM!$A$2:$A$500)+$A34-1,1)-1)</f>
        <v/>
      </c>
      <c r="JI34" s="13">
        <f t="shared" ca="1" si="14"/>
        <v>-3.523331983803646E-3</v>
      </c>
      <c r="JJ34" s="13">
        <f t="shared" ca="1" si="15"/>
        <v>-6.9169666692753262E-3</v>
      </c>
      <c r="JK34" s="14">
        <f t="shared" ca="1" si="16"/>
        <v>5.3807389867401379E-3</v>
      </c>
      <c r="JL34" s="17">
        <f t="shared" ca="1" si="19"/>
        <v>7.3353520615851417E-2</v>
      </c>
      <c r="JM34" s="15" t="str">
        <f t="shared" ca="1" si="17"/>
        <v>[ -15,02% ; 14,32% ]</v>
      </c>
      <c r="JN34" s="17">
        <f t="shared" ca="1" si="18"/>
        <v>9.3892506388289818E-2</v>
      </c>
      <c r="LY34" s="1"/>
    </row>
    <row r="35" spans="1:337" x14ac:dyDescent="0.25">
      <c r="A35" s="4">
        <v>6</v>
      </c>
      <c r="B35" s="9">
        <f ca="1">IF(OR(B8="",B$28&lt;$A35),"",B8/OFFSET(ParoRegCLM!$A$2,MATCH(B$29,ParoRegCLM!$A$2:$A$500)+$A35-1,1)-1)</f>
        <v>2.0746948878541671E-2</v>
      </c>
      <c r="C35" s="9">
        <f ca="1">IF(OR(C8="",C$28&lt;$A35),"",C8/OFFSET(ParoRegCLM!$A$2,MATCH(C$29,ParoRegCLM!$A$2:$A$500)+$A35-1,1)-1)</f>
        <v>1.9091752062242673E-2</v>
      </c>
      <c r="D35" s="9">
        <f ca="1">IF(OR(D8="",D$28&lt;$A35),"",D8/OFFSET(ParoRegCLM!$A$2,MATCH(D$29,ParoRegCLM!$A$2:$A$500)+$A35-1,1)-1)</f>
        <v>1.009377869824557E-2</v>
      </c>
      <c r="E35" s="9">
        <f ca="1">IF(OR(E8="",E$28&lt;$A35),"",E8/OFFSET(ParoRegCLM!$A$2,MATCH(E$29,ParoRegCLM!$A$2:$A$500)+$A35-1,1)-1)</f>
        <v>2.5589784674234117E-2</v>
      </c>
      <c r="F35" s="9">
        <f ca="1">IF(OR(F8="",F$28&lt;$A35),"",F8/OFFSET(ParoRegCLM!$A$2,MATCH(F$29,ParoRegCLM!$A$2:$A$500)+$A35-1,1)-1)</f>
        <v>6.5196962583592644E-2</v>
      </c>
      <c r="G35" s="9">
        <f ca="1">IF(OR(G8="",G$28&lt;$A35),"",G8/OFFSET(ParoRegCLM!$A$2,MATCH(G$29,ParoRegCLM!$A$2:$A$500)+$A35-1,1)-1)</f>
        <v>3.8008327047743817E-2</v>
      </c>
      <c r="H35" s="9">
        <f ca="1">IF(OR(H8="",H$28&lt;$A35),"",H8/OFFSET(ParoRegCLM!$A$2,MATCH(H$29,ParoRegCLM!$A$2:$A$500)+$A35-1,1)-1)</f>
        <v>2.0983345570011691E-2</v>
      </c>
      <c r="I35" s="9">
        <f ca="1">IF(OR(I8="",I$28&lt;$A35),"",I8/OFFSET(ParoRegCLM!$A$2,MATCH(I$29,ParoRegCLM!$A$2:$A$500)+$A35-1,1)-1)</f>
        <v>-5.075653271047198E-5</v>
      </c>
      <c r="J35" s="9">
        <f ca="1">IF(OR(J8="",J$28&lt;$A35),"",J8/OFFSET(ParoRegCLM!$A$2,MATCH(J$29,ParoRegCLM!$A$2:$A$500)+$A35-1,1)-1)</f>
        <v>-1.264058208186869E-4</v>
      </c>
      <c r="K35" s="9">
        <f ca="1">IF(OR(K8="",K$28&lt;$A35),"",K8/OFFSET(ParoRegCLM!$A$2,MATCH(K$29,ParoRegCLM!$A$2:$A$500)+$A35-1,1)-1)</f>
        <v>-9.4037535312730958E-3</v>
      </c>
      <c r="L35" s="9">
        <f ca="1">IF(OR(L8="",L$28&lt;$A35),"",L8/OFFSET(ParoRegCLM!$A$2,MATCH(L$29,ParoRegCLM!$A$2:$A$500)+$A35-1,1)-1)</f>
        <v>-2.3183953459004036E-2</v>
      </c>
      <c r="M35" s="9">
        <f ca="1">IF(OR(M8="",M$28&lt;$A35),"",M8/OFFSET(ParoRegCLM!$A$2,MATCH(M$29,ParoRegCLM!$A$2:$A$500)+$A35-1,1)-1)</f>
        <v>-9.7910242229082289E-3</v>
      </c>
      <c r="N35" s="9">
        <f ca="1">IF(OR(N8="",N$28&lt;$A35),"",N8/OFFSET(ParoRegCLM!$A$2,MATCH(N$29,ParoRegCLM!$A$2:$A$500)+$A35-1,1)-1)</f>
        <v>1.5648527600902185E-2</v>
      </c>
      <c r="O35" s="9">
        <f ca="1">IF(OR(O8="",O$28&lt;$A35),"",O8/OFFSET(ParoRegCLM!$A$2,MATCH(O$29,ParoRegCLM!$A$2:$A$500)+$A35-1,1)-1)</f>
        <v>1.4701552705288945E-2</v>
      </c>
      <c r="P35" s="9">
        <f ca="1">IF(OR(P8="",P$28&lt;$A35),"",P8/OFFSET(ParoRegCLM!$A$2,MATCH(P$29,ParoRegCLM!$A$2:$A$500)+$A35-1,1)-1)</f>
        <v>-1.1134108968781975E-2</v>
      </c>
      <c r="Q35" s="9">
        <f ca="1">IF(OR(Q8="",Q$28&lt;$A35),"",Q8/OFFSET(ParoRegCLM!$A$2,MATCH(Q$29,ParoRegCLM!$A$2:$A$500)+$A35-1,1)-1)</f>
        <v>3.5605761559358573E-3</v>
      </c>
      <c r="R35" s="9">
        <f ca="1">IF(OR(R8="",R$28&lt;$A35),"",R8/OFFSET(ParoRegCLM!$A$2,MATCH(R$29,ParoRegCLM!$A$2:$A$500)+$A35-1,1)-1)</f>
        <v>1.1399466233121824E-3</v>
      </c>
      <c r="S35" s="9">
        <f ca="1">IF(OR(S8="",S$28&lt;$A35),"",S8/OFFSET(ParoRegCLM!$A$2,MATCH(S$29,ParoRegCLM!$A$2:$A$500)+$A35-1,1)-1)</f>
        <v>2.305274658562384E-2</v>
      </c>
      <c r="T35" s="9">
        <f ca="1">IF(OR(T8="",T$28&lt;$A35),"",T8/OFFSET(ParoRegCLM!$A$2,MATCH(T$29,ParoRegCLM!$A$2:$A$500)+$A35-1,1)-1)</f>
        <v>1.1828687574089614E-2</v>
      </c>
      <c r="U35" s="9">
        <f ca="1">IF(OR(U8="",U$28&lt;$A35),"",U8/OFFSET(ParoRegCLM!$A$2,MATCH(U$29,ParoRegCLM!$A$2:$A$500)+$A35-1,1)-1)</f>
        <v>2.2446140395704361E-2</v>
      </c>
      <c r="V35" s="9">
        <f ca="1">IF(OR(V8="",V$28&lt;$A35),"",V8/OFFSET(ParoRegCLM!$A$2,MATCH(V$29,ParoRegCLM!$A$2:$A$500)+$A35-1,1)-1)</f>
        <v>3.0758420000682296E-2</v>
      </c>
      <c r="W35" s="9">
        <f ca="1">IF(OR(W8="",W$28&lt;$A35),"",W8/OFFSET(ParoRegCLM!$A$2,MATCH(W$29,ParoRegCLM!$A$2:$A$500)+$A35-1,1)-1)</f>
        <v>3.9947306485372369E-2</v>
      </c>
      <c r="X35" s="9">
        <f ca="1">IF(OR(X8="",X$28&lt;$A35),"",X8/OFFSET(ParoRegCLM!$A$2,MATCH(X$29,ParoRegCLM!$A$2:$A$500)+$A35-1,1)-1)</f>
        <v>5.5724636364073987E-2</v>
      </c>
      <c r="Y35" s="9">
        <f ca="1">IF(OR(Y8="",Y$28&lt;$A35),"",Y8/OFFSET(ParoRegCLM!$A$2,MATCH(Y$29,ParoRegCLM!$A$2:$A$500)+$A35-1,1)-1)</f>
        <v>3.3647472977515136E-2</v>
      </c>
      <c r="Z35" s="9">
        <f ca="1">IF(OR(Z8="",Z$28&lt;$A35),"",Z8/OFFSET(ParoRegCLM!$A$2,MATCH(Z$29,ParoRegCLM!$A$2:$A$500)+$A35-1,1)-1)</f>
        <v>2.9406507880487487E-2</v>
      </c>
      <c r="AA35" s="9">
        <f ca="1">IF(OR(AA8="",AA$28&lt;$A35),"",AA8/OFFSET(ParoRegCLM!$A$2,MATCH(AA$29,ParoRegCLM!$A$2:$A$500)+$A35-1,1)-1)</f>
        <v>1.3414626044094824E-2</v>
      </c>
      <c r="AB35" s="9">
        <f ca="1">IF(OR(AB8="",AB$28&lt;$A35),"",AB8/OFFSET(ParoRegCLM!$A$2,MATCH(AB$29,ParoRegCLM!$A$2:$A$500)+$A35-1,1)-1)</f>
        <v>1.2507679599994326E-2</v>
      </c>
      <c r="AC35" s="9">
        <f ca="1">IF(OR(AC8="",AC$28&lt;$A35),"",AC8/OFFSET(ParoRegCLM!$A$2,MATCH(AC$29,ParoRegCLM!$A$2:$A$500)+$A35-1,1)-1)</f>
        <v>-6.1265189864239122E-3</v>
      </c>
      <c r="AD35" s="9">
        <f ca="1">IF(OR(AD8="",AD$28&lt;$A35),"",AD8/OFFSET(ParoRegCLM!$A$2,MATCH(AD$29,ParoRegCLM!$A$2:$A$500)+$A35-1,1)-1)</f>
        <v>8.2348679033694694E-4</v>
      </c>
      <c r="AE35" s="9">
        <f ca="1">IF(OR(AE8="",AE$28&lt;$A35),"",AE8/OFFSET(ParoRegCLM!$A$2,MATCH(AE$29,ParoRegCLM!$A$2:$A$500)+$A35-1,1)-1)</f>
        <v>1.4790791092932576E-2</v>
      </c>
      <c r="AF35" s="9">
        <f ca="1">IF(OR(AF8="",AF$28&lt;$A35),"",AF8/OFFSET(ParoRegCLM!$A$2,MATCH(AF$29,ParoRegCLM!$A$2:$A$500)+$A35-1,1)-1)</f>
        <v>3.9614286910621521E-2</v>
      </c>
      <c r="AG35" s="9">
        <f ca="1">IF(OR(AG8="",AG$28&lt;$A35),"",AG8/OFFSET(ParoRegCLM!$A$2,MATCH(AG$29,ParoRegCLM!$A$2:$A$500)+$A35-1,1)-1)</f>
        <v>4.308682080827464E-2</v>
      </c>
      <c r="AH35" s="9">
        <f ca="1">IF(OR(AH8="",AH$28&lt;$A35),"",AH8/OFFSET(ParoRegCLM!$A$2,MATCH(AH$29,ParoRegCLM!$A$2:$A$500)+$A35-1,1)-1)</f>
        <v>4.7364391572067399E-2</v>
      </c>
      <c r="AI35" s="9">
        <f ca="1">IF(OR(AI8="",AI$28&lt;$A35),"",AI8/OFFSET(ParoRegCLM!$A$2,MATCH(AI$29,ParoRegCLM!$A$2:$A$500)+$A35-1,1)-1)</f>
        <v>5.328644062062815E-2</v>
      </c>
      <c r="AJ35" s="9">
        <f ca="1">IF(OR(AJ8="",AJ$28&lt;$A35),"",AJ8/OFFSET(ParoRegCLM!$A$2,MATCH(AJ$29,ParoRegCLM!$A$2:$A$500)+$A35-1,1)-1)</f>
        <v>2.3183835724236213E-2</v>
      </c>
      <c r="AK35" s="9">
        <f ca="1">IF(OR(AK8="",AK$28&lt;$A35),"",AK8/OFFSET(ParoRegCLM!$A$2,MATCH(AK$29,ParoRegCLM!$A$2:$A$500)+$A35-1,1)-1)</f>
        <v>7.1829516849484243E-3</v>
      </c>
      <c r="AL35" s="9">
        <f ca="1">IF(OR(AL8="",AL$28&lt;$A35),"",AL8/OFFSET(ParoRegCLM!$A$2,MATCH(AL$29,ParoRegCLM!$A$2:$A$500)+$A35-1,1)-1)</f>
        <v>-2.2883461848409947E-2</v>
      </c>
      <c r="AM35" s="9">
        <f ca="1">IF(OR(AM8="",AM$28&lt;$A35),"",AM8/OFFSET(ParoRegCLM!$A$2,MATCH(AM$29,ParoRegCLM!$A$2:$A$500)+$A35-1,1)-1)</f>
        <v>-5.5597733785612169E-2</v>
      </c>
      <c r="AN35" s="9">
        <f ca="1">IF(OR(AN8="",AN$28&lt;$A35),"",AN8/OFFSET(ParoRegCLM!$A$2,MATCH(AN$29,ParoRegCLM!$A$2:$A$500)+$A35-1,1)-1)</f>
        <v>-6.7612151984400404E-2</v>
      </c>
      <c r="AO35" s="9">
        <f ca="1">IF(OR(AO8="",AO$28&lt;$A35),"",AO8/OFFSET(ParoRegCLM!$A$2,MATCH(AO$29,ParoRegCLM!$A$2:$A$500)+$A35-1,1)-1)</f>
        <v>-6.8103733031314007E-2</v>
      </c>
      <c r="AP35" s="9">
        <f ca="1">IF(OR(AP8="",AP$28&lt;$A35),"",AP8/OFFSET(ParoRegCLM!$A$2,MATCH(AP$29,ParoRegCLM!$A$2:$A$500)+$A35-1,1)-1)</f>
        <v>-5.0702928020968208E-2</v>
      </c>
      <c r="AQ35" s="9">
        <f ca="1">IF(OR(AQ8="",AQ$28&lt;$A35),"",AQ8/OFFSET(ParoRegCLM!$A$2,MATCH(AQ$29,ParoRegCLM!$A$2:$A$500)+$A35-1,1)-1)</f>
        <v>-4.4243519526917185E-2</v>
      </c>
      <c r="AR35" s="9">
        <f ca="1">IF(OR(AR8="",AR$28&lt;$A35),"",AR8/OFFSET(ParoRegCLM!$A$2,MATCH(AR$29,ParoRegCLM!$A$2:$A$500)+$A35-1,1)-1)</f>
        <v>-1.9604224964506312E-2</v>
      </c>
      <c r="AS35" s="9">
        <f ca="1">IF(OR(AS8="",AS$28&lt;$A35),"",AS8/OFFSET(ParoRegCLM!$A$2,MATCH(AS$29,ParoRegCLM!$A$2:$A$500)+$A35-1,1)-1)</f>
        <v>-2.9144690826180986E-2</v>
      </c>
      <c r="AT35" s="9">
        <f ca="1">IF(OR(AT8="",AT$28&lt;$A35),"",AT8/OFFSET(ParoRegCLM!$A$2,MATCH(AT$29,ParoRegCLM!$A$2:$A$500)+$A35-1,1)-1)</f>
        <v>-5.3553733838592743E-2</v>
      </c>
      <c r="AU35" s="9">
        <f ca="1">IF(OR(AU8="",AU$28&lt;$A35),"",AU8/OFFSET(ParoRegCLM!$A$2,MATCH(AU$29,ParoRegCLM!$A$2:$A$500)+$A35-1,1)-1)</f>
        <v>-6.2996879406310047E-2</v>
      </c>
      <c r="AV35" s="9">
        <f ca="1">IF(OR(AV8="",AV$28&lt;$A35),"",AV8/OFFSET(ParoRegCLM!$A$2,MATCH(AV$29,ParoRegCLM!$A$2:$A$500)+$A35-1,1)-1)</f>
        <v>-0.10319408791551665</v>
      </c>
      <c r="AW35" s="9">
        <f ca="1">IF(OR(AW8="",AW$28&lt;$A35),"",AW8/OFFSET(ParoRegCLM!$A$2,MATCH(AW$29,ParoRegCLM!$A$2:$A$500)+$A35-1,1)-1)</f>
        <v>-0.13191962108431088</v>
      </c>
      <c r="AX35" s="9">
        <f ca="1">IF(OR(AX8="",AX$28&lt;$A35),"",AX8/OFFSET(ParoRegCLM!$A$2,MATCH(AX$29,ParoRegCLM!$A$2:$A$500)+$A35-1,1)-1)</f>
        <v>-0.16354148146132941</v>
      </c>
      <c r="AY35" s="9">
        <f ca="1">IF(OR(AY8="",AY$28&lt;$A35),"",AY8/OFFSET(ParoRegCLM!$A$2,MATCH(AY$29,ParoRegCLM!$A$2:$A$500)+$A35-1,1)-1)</f>
        <v>-0.16900489557174059</v>
      </c>
      <c r="AZ35" s="9">
        <f ca="1">IF(OR(AZ8="",AZ$28&lt;$A35),"",AZ8/OFFSET(ParoRegCLM!$A$2,MATCH(AZ$29,ParoRegCLM!$A$2:$A$500)+$A35-1,1)-1)</f>
        <v>-0.16078780490686284</v>
      </c>
      <c r="BA35" s="9">
        <f ca="1">IF(OR(BA8="",BA$28&lt;$A35),"",BA8/OFFSET(ParoRegCLM!$A$2,MATCH(BA$29,ParoRegCLM!$A$2:$A$500)+$A35-1,1)-1)</f>
        <v>-0.16487626565039126</v>
      </c>
      <c r="BB35" s="9">
        <f ca="1">IF(OR(BB8="",BB$28&lt;$A35),"",BB8/OFFSET(ParoRegCLM!$A$2,MATCH(BB$29,ParoRegCLM!$A$2:$A$500)+$A35-1,1)-1)</f>
        <v>-0.21401262626098749</v>
      </c>
      <c r="BC35" s="9">
        <f ca="1">IF(OR(BC8="",BC$28&lt;$A35),"",BC8/OFFSET(ParoRegCLM!$A$2,MATCH(BC$29,ParoRegCLM!$A$2:$A$500)+$A35-1,1)-1)</f>
        <v>-0.2198393379549769</v>
      </c>
      <c r="BD35" s="9">
        <f ca="1">IF(OR(BD8="",BD$28&lt;$A35),"",BD8/OFFSET(ParoRegCLM!$A$2,MATCH(BD$29,ParoRegCLM!$A$2:$A$500)+$A35-1,1)-1)</f>
        <v>-0.20445187249047647</v>
      </c>
      <c r="BE35" s="9">
        <f ca="1">IF(OR(BE8="",BE$28&lt;$A35),"",BE8/OFFSET(ParoRegCLM!$A$2,MATCH(BE$29,ParoRegCLM!$A$2:$A$500)+$A35-1,1)-1)</f>
        <v>-0.15394056213171947</v>
      </c>
      <c r="BF35" s="9">
        <f ca="1">IF(OR(BF8="",BF$28&lt;$A35),"",BF8/OFFSET(ParoRegCLM!$A$2,MATCH(BF$29,ParoRegCLM!$A$2:$A$500)+$A35-1,1)-1)</f>
        <v>-0.15229274781138269</v>
      </c>
      <c r="BG35" s="9">
        <f ca="1">IF(OR(BG8="",BG$28&lt;$A35),"",BG8/OFFSET(ParoRegCLM!$A$2,MATCH(BG$29,ParoRegCLM!$A$2:$A$500)+$A35-1,1)-1)</f>
        <v>-0.19643674836646896</v>
      </c>
      <c r="BH35" s="9">
        <f ca="1">IF(OR(BH8="",BH$28&lt;$A35),"",BH8/OFFSET(ParoRegCLM!$A$2,MATCH(BH$29,ParoRegCLM!$A$2:$A$500)+$A35-1,1)-1)</f>
        <v>-0.10190647703943401</v>
      </c>
      <c r="BI35" s="9">
        <f ca="1">IF(OR(BI8="",BI$28&lt;$A35),"",BI8/OFFSET(ParoRegCLM!$A$2,MATCH(BI$29,ParoRegCLM!$A$2:$A$500)+$A35-1,1)-1)</f>
        <v>-3.5819647372261731E-2</v>
      </c>
      <c r="BJ35" s="9">
        <f ca="1">IF(OR(BJ8="",BJ$28&lt;$A35),"",BJ8/OFFSET(ParoRegCLM!$A$2,MATCH(BJ$29,ParoRegCLM!$A$2:$A$500)+$A35-1,1)-1)</f>
        <v>7.5940503872753862E-2</v>
      </c>
      <c r="BK35" s="9">
        <f ca="1">IF(OR(BK8="",BK$28&lt;$A35),"",BK8/OFFSET(ParoRegCLM!$A$2,MATCH(BK$29,ParoRegCLM!$A$2:$A$500)+$A35-1,1)-1)</f>
        <v>5.6902132846661457E-2</v>
      </c>
      <c r="BL35" s="9">
        <f ca="1">IF(OR(BL8="",BL$28&lt;$A35),"",BL8/OFFSET(ParoRegCLM!$A$2,MATCH(BL$29,ParoRegCLM!$A$2:$A$500)+$A35-1,1)-1)</f>
        <v>0.12203371611098235</v>
      </c>
      <c r="BM35" s="9">
        <f ca="1">IF(OR(BM8="",BM$28&lt;$A35),"",BM8/OFFSET(ParoRegCLM!$A$2,MATCH(BM$29,ParoRegCLM!$A$2:$A$500)+$A35-1,1)-1)</f>
        <v>0.21672622830507349</v>
      </c>
      <c r="BN35" s="9">
        <f ca="1">IF(OR(BN8="",BN$28&lt;$A35),"",BN8/OFFSET(ParoRegCLM!$A$2,MATCH(BN$29,ParoRegCLM!$A$2:$A$500)+$A35-1,1)-1)</f>
        <v>0.16268056340317427</v>
      </c>
      <c r="BO35" s="9">
        <f ca="1">IF(OR(BO8="",BO$28&lt;$A35),"",BO8/OFFSET(ParoRegCLM!$A$2,MATCH(BO$29,ParoRegCLM!$A$2:$A$500)+$A35-1,1)-1)</f>
        <v>0.16279092525989869</v>
      </c>
      <c r="BP35" s="9">
        <f ca="1">IF(OR(BP8="",BP$28&lt;$A35),"",BP8/OFFSET(ParoRegCLM!$A$2,MATCH(BP$29,ParoRegCLM!$A$2:$A$500)+$A35-1,1)-1)</f>
        <v>0.10679922708352807</v>
      </c>
      <c r="BQ35" s="9">
        <f ca="1">IF(OR(BQ8="",BQ$28&lt;$A35),"",BQ8/OFFSET(ParoRegCLM!$A$2,MATCH(BQ$29,ParoRegCLM!$A$2:$A$500)+$A35-1,1)-1)</f>
        <v>1.4580178089243612E-2</v>
      </c>
      <c r="BR35" s="9">
        <f ca="1">IF(OR(BR8="",BR$28&lt;$A35),"",BR8/OFFSET(ParoRegCLM!$A$2,MATCH(BR$29,ParoRegCLM!$A$2:$A$500)+$A35-1,1)-1)</f>
        <v>3.0622850121200917E-2</v>
      </c>
      <c r="BS35" s="9">
        <f ca="1">IF(OR(BS8="",BS$28&lt;$A35),"",BS8/OFFSET(ParoRegCLM!$A$2,MATCH(BS$29,ParoRegCLM!$A$2:$A$500)+$A35-1,1)-1)</f>
        <v>-2.2754769584620416E-2</v>
      </c>
      <c r="BT35" s="9">
        <f ca="1">IF(OR(BT8="",BT$28&lt;$A35),"",BT8/OFFSET(ParoRegCLM!$A$2,MATCH(BT$29,ParoRegCLM!$A$2:$A$500)+$A35-1,1)-1)</f>
        <v>7.7814956994049833E-2</v>
      </c>
      <c r="BU35" s="9">
        <f ca="1">IF(OR(BU8="",BU$28&lt;$A35),"",BU8/OFFSET(ParoRegCLM!$A$2,MATCH(BU$29,ParoRegCLM!$A$2:$A$500)+$A35-1,1)-1)</f>
        <v>9.3698879263495183E-3</v>
      </c>
      <c r="BV35" s="9">
        <f ca="1">IF(OR(BV8="",BV$28&lt;$A35),"",BV8/OFFSET(ParoRegCLM!$A$2,MATCH(BV$29,ParoRegCLM!$A$2:$A$500)+$A35-1,1)-1)</f>
        <v>2.5549315954376706E-2</v>
      </c>
      <c r="BW35" s="9">
        <f ca="1">IF(OR(BW8="",BW$28&lt;$A35),"",BW8/OFFSET(ParoRegCLM!$A$2,MATCH(BW$29,ParoRegCLM!$A$2:$A$500)+$A35-1,1)-1)</f>
        <v>3.1356101930182234E-2</v>
      </c>
      <c r="BX35" s="9">
        <f ca="1">IF(OR(BX8="",BX$28&lt;$A35),"",BX8/OFFSET(ParoRegCLM!$A$2,MATCH(BX$29,ParoRegCLM!$A$2:$A$500)+$A35-1,1)-1)</f>
        <v>3.6675515080721643E-2</v>
      </c>
      <c r="BY35" s="9">
        <f ca="1">IF(OR(BY8="",BY$28&lt;$A35),"",BY8/OFFSET(ParoRegCLM!$A$2,MATCH(BY$29,ParoRegCLM!$A$2:$A$500)+$A35-1,1)-1)</f>
        <v>6.7758595134546296E-2</v>
      </c>
      <c r="BZ35" s="9">
        <f ca="1">IF(OR(BZ8="",BZ$28&lt;$A35),"",BZ8/OFFSET(ParoRegCLM!$A$2,MATCH(BZ$29,ParoRegCLM!$A$2:$A$500)+$A35-1,1)-1)</f>
        <v>4.6228420687363325E-2</v>
      </c>
      <c r="CA35" s="9">
        <f ca="1">IF(OR(CA8="",CA$28&lt;$A35),"",CA8/OFFSET(ParoRegCLM!$A$2,MATCH(CA$29,ParoRegCLM!$A$2:$A$500)+$A35-1,1)-1)</f>
        <v>2.8298292951466797E-2</v>
      </c>
      <c r="CB35" s="9">
        <f ca="1">IF(OR(CB8="",CB$28&lt;$A35),"",CB8/OFFSET(ParoRegCLM!$A$2,MATCH(CB$29,ParoRegCLM!$A$2:$A$500)+$A35-1,1)-1)</f>
        <v>2.2575480708286966E-2</v>
      </c>
      <c r="CC35" s="9">
        <f ca="1">IF(OR(CC8="",CC$28&lt;$A35),"",CC8/OFFSET(ParoRegCLM!$A$2,MATCH(CC$29,ParoRegCLM!$A$2:$A$500)+$A35-1,1)-1)</f>
        <v>-1.2407619254650726E-4</v>
      </c>
      <c r="CD35" s="9">
        <f ca="1">IF(OR(CD8="",CD$28&lt;$A35),"",CD8/OFFSET(ParoRegCLM!$A$2,MATCH(CD$29,ParoRegCLM!$A$2:$A$500)+$A35-1,1)-1)</f>
        <v>1.1130272452086754E-2</v>
      </c>
      <c r="CE35" s="9">
        <f ca="1">IF(OR(CE8="",CE$28&lt;$A35),"",CE8/OFFSET(ParoRegCLM!$A$2,MATCH(CE$29,ParoRegCLM!$A$2:$A$500)+$A35-1,1)-1)</f>
        <v>-8.9294544728247827E-3</v>
      </c>
      <c r="CF35" s="9">
        <f ca="1">IF(OR(CF8="",CF$28&lt;$A35),"",CF8/OFFSET(ParoRegCLM!$A$2,MATCH(CF$29,ParoRegCLM!$A$2:$A$500)+$A35-1,1)-1)</f>
        <v>2.3641173435840823E-2</v>
      </c>
      <c r="CG35" s="9">
        <f ca="1">IF(OR(CG8="",CG$28&lt;$A35),"",CG8/OFFSET(ParoRegCLM!$A$2,MATCH(CG$29,ParoRegCLM!$A$2:$A$500)+$A35-1,1)-1)</f>
        <v>2.9519254737283562E-2</v>
      </c>
      <c r="CH35" s="9">
        <f ca="1">IF(OR(CH8="",CH$28&lt;$A35),"",CH8/OFFSET(ParoRegCLM!$A$2,MATCH(CH$29,ParoRegCLM!$A$2:$A$500)+$A35-1,1)-1)</f>
        <v>-2.100116126283158E-2</v>
      </c>
      <c r="CI35" s="9">
        <f ca="1">IF(OR(CI8="",CI$28&lt;$A35),"",CI8/OFFSET(ParoRegCLM!$A$2,MATCH(CI$29,ParoRegCLM!$A$2:$A$500)+$A35-1,1)-1)</f>
        <v>1.0429555970130622E-3</v>
      </c>
      <c r="CJ35" s="9">
        <f ca="1">IF(OR(CJ8="",CJ$28&lt;$A35),"",CJ8/OFFSET(ParoRegCLM!$A$2,MATCH(CJ$29,ParoRegCLM!$A$2:$A$500)+$A35-1,1)-1)</f>
        <v>-4.8836174985461556E-3</v>
      </c>
      <c r="CK35" s="9">
        <f ca="1">IF(OR(CK8="",CK$28&lt;$A35),"",CK8/OFFSET(ParoRegCLM!$A$2,MATCH(CK$29,ParoRegCLM!$A$2:$A$500)+$A35-1,1)-1)</f>
        <v>-3.3752104484823797E-2</v>
      </c>
      <c r="CL35" s="9">
        <f ca="1">IF(OR(CL8="",CL$28&lt;$A35),"",CL8/OFFSET(ParoRegCLM!$A$2,MATCH(CL$29,ParoRegCLM!$A$2:$A$500)+$A35-1,1)-1)</f>
        <v>-6.1007250513322897E-2</v>
      </c>
      <c r="CM35" s="9">
        <f ca="1">IF(OR(CM8="",CM$28&lt;$A35),"",CM8/OFFSET(ParoRegCLM!$A$2,MATCH(CM$29,ParoRegCLM!$A$2:$A$500)+$A35-1,1)-1)</f>
        <v>-3.3644703183159153E-2</v>
      </c>
      <c r="CN35" s="9">
        <f ca="1">IF(OR(CN8="",CN$28&lt;$A35),"",CN8/OFFSET(ParoRegCLM!$A$2,MATCH(CN$29,ParoRegCLM!$A$2:$A$500)+$A35-1,1)-1)</f>
        <v>1.8420258949910062E-2</v>
      </c>
      <c r="CO35" s="9">
        <f ca="1">IF(OR(CO8="",CO$28&lt;$A35),"",CO8/OFFSET(ParoRegCLM!$A$2,MATCH(CO$29,ParoRegCLM!$A$2:$A$500)+$A35-1,1)-1)</f>
        <v>9.5749958737172403E-3</v>
      </c>
      <c r="CP35" s="9">
        <f ca="1">IF(OR(CP8="",CP$28&lt;$A35),"",CP8/OFFSET(ParoRegCLM!$A$2,MATCH(CP$29,ParoRegCLM!$A$2:$A$500)+$A35-1,1)-1)</f>
        <v>-3.8831133251235772E-2</v>
      </c>
      <c r="CQ35" s="9">
        <f ca="1">IF(OR(CQ8="",CQ$28&lt;$A35),"",CQ8/OFFSET(ParoRegCLM!$A$2,MATCH(CQ$29,ParoRegCLM!$A$2:$A$500)+$A35-1,1)-1)</f>
        <v>-3.0496150120874477E-2</v>
      </c>
      <c r="CR35" s="9">
        <f ca="1">IF(OR(CR8="",CR$28&lt;$A35),"",CR8/OFFSET(ParoRegCLM!$A$2,MATCH(CR$29,ParoRegCLM!$A$2:$A$500)+$A35-1,1)-1)</f>
        <v>-7.3497310143979533E-3</v>
      </c>
      <c r="CS35" s="9">
        <f ca="1">IF(OR(CS8="",CS$28&lt;$A35),"",CS8/OFFSET(ParoRegCLM!$A$2,MATCH(CS$29,ParoRegCLM!$A$2:$A$500)+$A35-1,1)-1)</f>
        <v>-2.6899768613778741E-2</v>
      </c>
      <c r="CT35" s="9">
        <f ca="1">IF(OR(CT8="",CT$28&lt;$A35),"",CT8/OFFSET(ParoRegCLM!$A$2,MATCH(CT$29,ParoRegCLM!$A$2:$A$500)+$A35-1,1)-1)</f>
        <v>-6.2050943275727133E-2</v>
      </c>
      <c r="CU35" s="9">
        <f ca="1">IF(OR(CU8="",CU$28&lt;$A35),"",CU8/OFFSET(ParoRegCLM!$A$2,MATCH(CU$29,ParoRegCLM!$A$2:$A$500)+$A35-1,1)-1)</f>
        <v>-5.8378329081138713E-2</v>
      </c>
      <c r="CV35" s="9">
        <f ca="1">IF(OR(CV8="",CV$28&lt;$A35),"",CV8/OFFSET(ParoRegCLM!$A$2,MATCH(CV$29,ParoRegCLM!$A$2:$A$500)+$A35-1,1)-1)</f>
        <v>-3.2653526980245706E-2</v>
      </c>
      <c r="CW35" s="9">
        <f ca="1">IF(OR(CW8="",CW$28&lt;$A35),"",CW8/OFFSET(ParoRegCLM!$A$2,MATCH(CW$29,ParoRegCLM!$A$2:$A$500)+$A35-1,1)-1)</f>
        <v>1.4082868987082664E-2</v>
      </c>
      <c r="CX35" s="9">
        <f ca="1">IF(OR(CX8="",CX$28&lt;$A35),"",CX8/OFFSET(ParoRegCLM!$A$2,MATCH(CX$29,ParoRegCLM!$A$2:$A$500)+$A35-1,1)-1)</f>
        <v>1.6471607540692546E-2</v>
      </c>
      <c r="CY35" s="9">
        <f ca="1">IF(OR(CY8="",CY$28&lt;$A35),"",CY8/OFFSET(ParoRegCLM!$A$2,MATCH(CY$29,ParoRegCLM!$A$2:$A$500)+$A35-1,1)-1)</f>
        <v>4.9038700172097105E-3</v>
      </c>
      <c r="CZ35" s="9">
        <f ca="1">IF(OR(CZ8="",CZ$28&lt;$A35),"",CZ8/OFFSET(ParoRegCLM!$A$2,MATCH(CZ$29,ParoRegCLM!$A$2:$A$500)+$A35-1,1)-1)</f>
        <v>-3.6929648225152434E-3</v>
      </c>
      <c r="DA35" s="9">
        <f ca="1">IF(OR(DA8="",DA$28&lt;$A35),"",DA8/OFFSET(ParoRegCLM!$A$2,MATCH(DA$29,ParoRegCLM!$A$2:$A$500)+$A35-1,1)-1)</f>
        <v>4.9906478093403539E-2</v>
      </c>
      <c r="DB35" s="9">
        <f ca="1">IF(OR(DB8="",DB$28&lt;$A35),"",DB8/OFFSET(ParoRegCLM!$A$2,MATCH(DB$29,ParoRegCLM!$A$2:$A$500)+$A35-1,1)-1)</f>
        <v>4.9726156937618171E-2</v>
      </c>
      <c r="DC35" s="9">
        <f ca="1">IF(OR(DC8="",DC$28&lt;$A35),"",DC8/OFFSET(ParoRegCLM!$A$2,MATCH(DC$29,ParoRegCLM!$A$2:$A$500)+$A35-1,1)-1)</f>
        <v>1.19709966635837E-2</v>
      </c>
      <c r="DD35" s="9">
        <f ca="1">IF(OR(DD8="",DD$28&lt;$A35),"",DD8/OFFSET(ParoRegCLM!$A$2,MATCH(DD$29,ParoRegCLM!$A$2:$A$500)+$A35-1,1)-1)</f>
        <v>6.3552654767651262E-2</v>
      </c>
      <c r="DE35" s="9">
        <f ca="1">IF(OR(DE8="",DE$28&lt;$A35),"",DE8/OFFSET(ParoRegCLM!$A$2,MATCH(DE$29,ParoRegCLM!$A$2:$A$500)+$A35-1,1)-1)</f>
        <v>9.409508864725602E-2</v>
      </c>
      <c r="DF35" s="9">
        <f ca="1">IF(OR(DF8="",DF$28&lt;$A35),"",DF8/OFFSET(ParoRegCLM!$A$2,MATCH(DF$29,ParoRegCLM!$A$2:$A$500)+$A35-1,1)-1)</f>
        <v>6.876291907120069E-2</v>
      </c>
      <c r="DG35" s="9">
        <f ca="1">IF(OR(DG8="",DG$28&lt;$A35),"",DG8/OFFSET(ParoRegCLM!$A$2,MATCH(DG$29,ParoRegCLM!$A$2:$A$500)+$A35-1,1)-1)</f>
        <v>8.1183755016905446E-2</v>
      </c>
      <c r="DH35" s="9">
        <f ca="1">IF(OR(DH8="",DH$28&lt;$A35),"",DH8/OFFSET(ParoRegCLM!$A$2,MATCH(DH$29,ParoRegCLM!$A$2:$A$500)+$A35-1,1)-1)</f>
        <v>4.0141814760500827E-2</v>
      </c>
      <c r="DI35" s="9">
        <f ca="1">IF(OR(DI8="",DI$28&lt;$A35),"",DI8/OFFSET(ParoRegCLM!$A$2,MATCH(DI$29,ParoRegCLM!$A$2:$A$500)+$A35-1,1)-1)</f>
        <v>7.7766338260586654E-2</v>
      </c>
      <c r="DJ35" s="9">
        <f ca="1">IF(OR(DJ8="",DJ$28&lt;$A35),"",DJ8/OFFSET(ParoRegCLM!$A$2,MATCH(DJ$29,ParoRegCLM!$A$2:$A$500)+$A35-1,1)-1)</f>
        <v>1.6904748502975409E-2</v>
      </c>
      <c r="DK35" s="9">
        <f ca="1">IF(OR(DK8="",DK$28&lt;$A35),"",DK8/OFFSET(ParoRegCLM!$A$2,MATCH(DK$29,ParoRegCLM!$A$2:$A$500)+$A35-1,1)-1)</f>
        <v>1.1397172991338023E-2</v>
      </c>
      <c r="DL35" s="9">
        <f ca="1">IF(OR(DL8="",DL$28&lt;$A35),"",DL8/OFFSET(ParoRegCLM!$A$2,MATCH(DL$29,ParoRegCLM!$A$2:$A$500)+$A35-1,1)-1)</f>
        <v>2.6436568671051264E-2</v>
      </c>
      <c r="DM35" s="9">
        <f ca="1">IF(OR(DM8="",DM$28&lt;$A35),"",DM8/OFFSET(ParoRegCLM!$A$2,MATCH(DM$29,ParoRegCLM!$A$2:$A$500)+$A35-1,1)-1)</f>
        <v>2.1929179458209713E-2</v>
      </c>
      <c r="DN35" s="9">
        <f ca="1">IF(OR(DN8="",DN$28&lt;$A35),"",DN8/OFFSET(ParoRegCLM!$A$2,MATCH(DN$29,ParoRegCLM!$A$2:$A$500)+$A35-1,1)-1)</f>
        <v>3.7901552730129406E-2</v>
      </c>
      <c r="DO35" s="9">
        <f ca="1">IF(OR(DO8="",DO$28&lt;$A35),"",DO8/OFFSET(ParoRegCLM!$A$2,MATCH(DO$29,ParoRegCLM!$A$2:$A$500)+$A35-1,1)-1)</f>
        <v>-6.7467769932600952E-3</v>
      </c>
      <c r="DP35" s="9">
        <f ca="1">IF(OR(DP8="",DP$28&lt;$A35),"",DP8/OFFSET(ParoRegCLM!$A$2,MATCH(DP$29,ParoRegCLM!$A$2:$A$500)+$A35-1,1)-1)</f>
        <v>4.5512573470846807E-2</v>
      </c>
      <c r="DQ35" s="9">
        <f ca="1">IF(OR(DQ8="",DQ$28&lt;$A35),"",DQ8/OFFSET(ParoRegCLM!$A$2,MATCH(DQ$29,ParoRegCLM!$A$2:$A$500)+$A35-1,1)-1)</f>
        <v>6.3104605095336774E-2</v>
      </c>
      <c r="DR35" s="9">
        <f ca="1">IF(OR(DR8="",DR$28&lt;$A35),"",DR8/OFFSET(ParoRegCLM!$A$2,MATCH(DR$29,ParoRegCLM!$A$2:$A$500)+$A35-1,1)-1)</f>
        <v>-6.7757033682811496E-3</v>
      </c>
      <c r="DS35" s="9">
        <f ca="1">IF(OR(DS8="",DS$28&lt;$A35),"",DS8/OFFSET(ParoRegCLM!$A$2,MATCH(DS$29,ParoRegCLM!$A$2:$A$500)+$A35-1,1)-1)</f>
        <v>-2.1266208874501258E-2</v>
      </c>
      <c r="DT35" s="9">
        <f ca="1">IF(OR(DT8="",DT$28&lt;$A35),"",DT8/OFFSET(ParoRegCLM!$A$2,MATCH(DT$29,ParoRegCLM!$A$2:$A$500)+$A35-1,1)-1)</f>
        <v>-1.1205902869977247E-2</v>
      </c>
      <c r="DU35" s="9">
        <f ca="1">IF(OR(DU8="",DU$28&lt;$A35),"",DU8/OFFSET(ParoRegCLM!$A$2,MATCH(DU$29,ParoRegCLM!$A$2:$A$500)+$A35-1,1)-1)</f>
        <v>-4.2493492665248711E-3</v>
      </c>
      <c r="DV35" s="9">
        <f ca="1">IF(OR(DV8="",DV$28&lt;$A35),"",DV8/OFFSET(ParoRegCLM!$A$2,MATCH(DV$29,ParoRegCLM!$A$2:$A$500)+$A35-1,1)-1)</f>
        <v>-1.5707688899596728E-2</v>
      </c>
      <c r="DW35" s="9">
        <f ca="1">IF(OR(DW8="",DW$28&lt;$A35),"",DW8/OFFSET(ParoRegCLM!$A$2,MATCH(DW$29,ParoRegCLM!$A$2:$A$500)+$A35-1,1)-1)</f>
        <v>-1.2574339619880859E-2</v>
      </c>
      <c r="DX35" s="9">
        <f ca="1">IF(OR(DX8="",DX$28&lt;$A35),"",DX8/OFFSET(ParoRegCLM!$A$2,MATCH(DX$29,ParoRegCLM!$A$2:$A$500)+$A35-1,1)-1)</f>
        <v>7.6043119537783088E-3</v>
      </c>
      <c r="DY35" s="9">
        <f ca="1">IF(OR(DY8="",DY$28&lt;$A35),"",DY8/OFFSET(ParoRegCLM!$A$2,MATCH(DY$29,ParoRegCLM!$A$2:$A$500)+$A35-1,1)-1)</f>
        <v>1.3722648374771218E-2</v>
      </c>
      <c r="DZ35" s="9">
        <f ca="1">IF(OR(DZ8="",DZ$28&lt;$A35),"",DZ8/OFFSET(ParoRegCLM!$A$2,MATCH(DZ$29,ParoRegCLM!$A$2:$A$500)+$A35-1,1)-1)</f>
        <v>4.6724751818301158E-3</v>
      </c>
      <c r="EA35" s="9">
        <f ca="1">IF(OR(EA8="",EA$28&lt;$A35),"",EA8/OFFSET(ParoRegCLM!$A$2,MATCH(EA$29,ParoRegCLM!$A$2:$A$500)+$A35-1,1)-1)</f>
        <v>1.2662730968120206E-2</v>
      </c>
      <c r="EB35" s="9">
        <f ca="1">IF(OR(EB8="",EB$28&lt;$A35),"",EB8/OFFSET(ParoRegCLM!$A$2,MATCH(EB$29,ParoRegCLM!$A$2:$A$500)+$A35-1,1)-1)</f>
        <v>5.2112166458429643E-2</v>
      </c>
      <c r="EC35" s="9">
        <f ca="1">IF(OR(EC8="",EC$28&lt;$A35),"",EC8/OFFSET(ParoRegCLM!$A$2,MATCH(EC$29,ParoRegCLM!$A$2:$A$500)+$A35-1,1)-1)</f>
        <v>1.9696354882496214E-2</v>
      </c>
      <c r="ED35" s="9">
        <f ca="1">IF(OR(ED8="",ED$28&lt;$A35),"",ED8/OFFSET(ParoRegCLM!$A$2,MATCH(ED$29,ParoRegCLM!$A$2:$A$500)+$A35-1,1)-1)</f>
        <v>3.6135542737607107E-2</v>
      </c>
      <c r="EE35" s="9">
        <f ca="1">IF(OR(EE8="",EE$28&lt;$A35),"",EE8/OFFSET(ParoRegCLM!$A$2,MATCH(EE$29,ParoRegCLM!$A$2:$A$500)+$A35-1,1)-1)</f>
        <v>1.9670260880347401E-2</v>
      </c>
      <c r="EF35" s="9">
        <f ca="1">IF(OR(EF8="",EF$28&lt;$A35),"",EF8/OFFSET(ParoRegCLM!$A$2,MATCH(EF$29,ParoRegCLM!$A$2:$A$500)+$A35-1,1)-1)</f>
        <v>-1.1096614200364674E-2</v>
      </c>
      <c r="EG35" s="9">
        <f ca="1">IF(OR(EG8="",EG$28&lt;$A35),"",EG8/OFFSET(ParoRegCLM!$A$2,MATCH(EG$29,ParoRegCLM!$A$2:$A$500)+$A35-1,1)-1)</f>
        <v>-2.2926147112038109E-2</v>
      </c>
      <c r="EH35" s="9">
        <f ca="1">IF(OR(EH8="",EH$28&lt;$A35),"",EH8/OFFSET(ParoRegCLM!$A$2,MATCH(EH$29,ParoRegCLM!$A$2:$A$500)+$A35-1,1)-1)</f>
        <v>-8.9878377870505788E-2</v>
      </c>
      <c r="EI35" s="9">
        <f ca="1">IF(OR(EI8="",EI$28&lt;$A35),"",EI8/OFFSET(ParoRegCLM!$A$2,MATCH(EI$29,ParoRegCLM!$A$2:$A$500)+$A35-1,1)-1)</f>
        <v>-6.8115786478935902E-2</v>
      </c>
      <c r="EJ35" s="9">
        <f ca="1">IF(OR(EJ8="",EJ$28&lt;$A35),"",EJ8/OFFSET(ParoRegCLM!$A$2,MATCH(EJ$29,ParoRegCLM!$A$2:$A$500)+$A35-1,1)-1)</f>
        <v>-4.7090161361319716E-2</v>
      </c>
      <c r="EK35" s="9">
        <f ca="1">IF(OR(EK8="",EK$28&lt;$A35),"",EK8/OFFSET(ParoRegCLM!$A$2,MATCH(EK$29,ParoRegCLM!$A$2:$A$500)+$A35-1,1)-1)</f>
        <v>-1.4019008097582164E-2</v>
      </c>
      <c r="EL35" s="9">
        <f ca="1">IF(OR(EL8="",EL$28&lt;$A35),"",EL8/OFFSET(ParoRegCLM!$A$2,MATCH(EL$29,ParoRegCLM!$A$2:$A$500)+$A35-1,1)-1)</f>
        <v>2.7956949875049819E-3</v>
      </c>
      <c r="EM35" s="9">
        <f ca="1">IF(OR(EM8="",EM$28&lt;$A35),"",EM8/OFFSET(ParoRegCLM!$A$2,MATCH(EM$29,ParoRegCLM!$A$2:$A$500)+$A35-1,1)-1)</f>
        <v>1.5644471943949689E-2</v>
      </c>
      <c r="EN35" s="9">
        <f ca="1">IF(OR(EN8="",EN$28&lt;$A35),"",EN8/OFFSET(ParoRegCLM!$A$2,MATCH(EN$29,ParoRegCLM!$A$2:$A$500)+$A35-1,1)-1)</f>
        <v>6.1588231216784584E-2</v>
      </c>
      <c r="EO35" s="9">
        <f ca="1">IF(OR(EO8="",EO$28&lt;$A35),"",EO8/OFFSET(ParoRegCLM!$A$2,MATCH(EO$29,ParoRegCLM!$A$2:$A$500)+$A35-1,1)-1)</f>
        <v>4.8695604519461533E-2</v>
      </c>
      <c r="EP35" s="9">
        <f ca="1">IF(OR(EP8="",EP$28&lt;$A35),"",EP8/OFFSET(ParoRegCLM!$A$2,MATCH(EP$29,ParoRegCLM!$A$2:$A$500)+$A35-1,1)-1)</f>
        <v>5.8949233322440175E-2</v>
      </c>
      <c r="EQ35" s="9">
        <f ca="1">IF(OR(EQ8="",EQ$28&lt;$A35),"",EQ8/OFFSET(ParoRegCLM!$A$2,MATCH(EQ$29,ParoRegCLM!$A$2:$A$500)+$A35-1,1)-1)</f>
        <v>4.2965804383662487E-2</v>
      </c>
      <c r="ER35" s="9">
        <f ca="1">IF(OR(ER8="",ER$28&lt;$A35),"",ER8/OFFSET(ParoRegCLM!$A$2,MATCH(ER$29,ParoRegCLM!$A$2:$A$500)+$A35-1,1)-1)</f>
        <v>4.4890813031031263E-2</v>
      </c>
      <c r="ES35" s="9">
        <f ca="1">IF(OR(ES8="",ES$28&lt;$A35),"",ES8/OFFSET(ParoRegCLM!$A$2,MATCH(ES$29,ParoRegCLM!$A$2:$A$500)+$A35-1,1)-1)</f>
        <v>2.5863500813526175E-2</v>
      </c>
      <c r="ET35" s="9">
        <f ca="1">IF(OR(ET8="",ET$28&lt;$A35),"",ET8/OFFSET(ParoRegCLM!$A$2,MATCH(ET$29,ParoRegCLM!$A$2:$A$500)+$A35-1,1)-1)</f>
        <v>1.9087407297790904E-4</v>
      </c>
      <c r="EU35" s="9">
        <f ca="1">IF(OR(EU8="",EU$28&lt;$A35),"",EU8/OFFSET(ParoRegCLM!$A$2,MATCH(EU$29,ParoRegCLM!$A$2:$A$500)+$A35-1,1)-1)</f>
        <v>-6.5150820890899075E-2</v>
      </c>
      <c r="EV35" s="9">
        <f ca="1">IF(OR(EV8="",EV$28&lt;$A35),"",EV8/OFFSET(ParoRegCLM!$A$2,MATCH(EV$29,ParoRegCLM!$A$2:$A$500)+$A35-1,1)-1)</f>
        <v>-4.8066038820912094E-2</v>
      </c>
      <c r="EW35" s="9">
        <f ca="1">IF(OR(EW8="",EW$28&lt;$A35),"",EW8/OFFSET(ParoRegCLM!$A$2,MATCH(EW$29,ParoRegCLM!$A$2:$A$500)+$A35-1,1)-1)</f>
        <v>-2.5550020964114073E-2</v>
      </c>
      <c r="EX35" s="9">
        <f ca="1">IF(OR(EX8="",EX$28&lt;$A35),"",EX8/OFFSET(ParoRegCLM!$A$2,MATCH(EX$29,ParoRegCLM!$A$2:$A$500)+$A35-1,1)-1)</f>
        <v>-1.1626158409896448E-3</v>
      </c>
      <c r="EY35" s="9">
        <f ca="1">IF(OR(EY8="",EY$28&lt;$A35),"",EY8/OFFSET(ParoRegCLM!$A$2,MATCH(EY$29,ParoRegCLM!$A$2:$A$500)+$A35-1,1)-1)</f>
        <v>-1.4790586189960209E-2</v>
      </c>
      <c r="EZ35" s="9">
        <f ca="1">IF(OR(EZ8="",EZ$28&lt;$A35),"",EZ8/OFFSET(ParoRegCLM!$A$2,MATCH(EZ$29,ParoRegCLM!$A$2:$A$500)+$A35-1,1)-1)</f>
        <v>-1.812049442490038E-2</v>
      </c>
      <c r="FA35" s="9">
        <f ca="1">IF(OR(FA8="",FA$28&lt;$A35),"",FA8/OFFSET(ParoRegCLM!$A$2,MATCH(FA$29,ParoRegCLM!$A$2:$A$500)+$A35-1,1)-1)</f>
        <v>8.6409066739323581E-3</v>
      </c>
      <c r="FB35" s="9">
        <f ca="1">IF(OR(FB8="",FB$28&lt;$A35),"",FB8/OFFSET(ParoRegCLM!$A$2,MATCH(FB$29,ParoRegCLM!$A$2:$A$500)+$A35-1,1)-1)</f>
        <v>-2.9221933552349144E-3</v>
      </c>
      <c r="FC35" s="9">
        <f ca="1">IF(OR(FC8="",FC$28&lt;$A35),"",FC8/OFFSET(ParoRegCLM!$A$2,MATCH(FC$29,ParoRegCLM!$A$2:$A$500)+$A35-1,1)-1)</f>
        <v>-2.5390987915229202E-2</v>
      </c>
      <c r="FD35" s="9">
        <f ca="1">IF(OR(FD8="",FD$28&lt;$A35),"",FD8/OFFSET(ParoRegCLM!$A$2,MATCH(FD$29,ParoRegCLM!$A$2:$A$500)+$A35-1,1)-1)</f>
        <v>-2.7730402297199364E-2</v>
      </c>
      <c r="FE35" s="9">
        <f ca="1">IF(OR(FE8="",FE$28&lt;$A35),"",FE8/OFFSET(ParoRegCLM!$A$2,MATCH(FE$29,ParoRegCLM!$A$2:$A$500)+$A35-1,1)-1)</f>
        <v>-4.1424145850997074E-2</v>
      </c>
      <c r="FF35" s="9">
        <f ca="1">IF(OR(FF8="",FF$28&lt;$A35),"",FF8/OFFSET(ParoRegCLM!$A$2,MATCH(FF$29,ParoRegCLM!$A$2:$A$500)+$A35-1,1)-1)</f>
        <v>4.161564858681932E-2</v>
      </c>
      <c r="FG35" s="9">
        <f ca="1">IF(OR(FG8="",FG$28&lt;$A35),"",FG8/OFFSET(ParoRegCLM!$A$2,MATCH(FG$29,ParoRegCLM!$A$2:$A$500)+$A35-1,1)-1)</f>
        <v>6.2230793932352091E-2</v>
      </c>
      <c r="FH35" s="9">
        <f ca="1">IF(OR(FH8="",FH$28&lt;$A35),"",FH8/OFFSET(ParoRegCLM!$A$2,MATCH(FH$29,ParoRegCLM!$A$2:$A$500)+$A35-1,1)-1)</f>
        <v>2.9015710139782325E-2</v>
      </c>
      <c r="FI35" s="9">
        <f ca="1">IF(OR(FI8="",FI$28&lt;$A35),"",FI8/OFFSET(ParoRegCLM!$A$2,MATCH(FI$29,ParoRegCLM!$A$2:$A$500)+$A35-1,1)-1)</f>
        <v>1.6380976823513915E-2</v>
      </c>
      <c r="FJ35" s="9">
        <f ca="1">IF(OR(FJ8="",FJ$28&lt;$A35),"",FJ8/OFFSET(ParoRegCLM!$A$2,MATCH(FJ$29,ParoRegCLM!$A$2:$A$500)+$A35-1,1)-1)</f>
        <v>-2.5178116550542695E-3</v>
      </c>
      <c r="FK35" s="9">
        <f ca="1">IF(OR(FK8="",FK$28&lt;$A35),"",FK8/OFFSET(ParoRegCLM!$A$2,MATCH(FK$29,ParoRegCLM!$A$2:$A$500)+$A35-1,1)-1)</f>
        <v>3.4794174290754265E-2</v>
      </c>
      <c r="FL35" s="9">
        <f ca="1">IF(OR(FL8="",FL$28&lt;$A35),"",FL8/OFFSET(ParoRegCLM!$A$2,MATCH(FL$29,ParoRegCLM!$A$2:$A$500)+$A35-1,1)-1)</f>
        <v>-6.6127503765873619E-2</v>
      </c>
      <c r="FM35" s="9">
        <f ca="1">IF(OR(FM8="",FM$28&lt;$A35),"",FM8/OFFSET(ParoRegCLM!$A$2,MATCH(FM$29,ParoRegCLM!$A$2:$A$500)+$A35-1,1)-1)</f>
        <v>-8.9095898153367825E-2</v>
      </c>
      <c r="FN35" s="9">
        <f ca="1">IF(OR(FN8="",FN$28&lt;$A35),"",FN8/OFFSET(ParoRegCLM!$A$2,MATCH(FN$29,ParoRegCLM!$A$2:$A$500)+$A35-1,1)-1)</f>
        <v>-8.2222978214632314E-2</v>
      </c>
      <c r="FO35" s="9">
        <f ca="1">IF(OR(FO8="",FO$28&lt;$A35),"",FO8/OFFSET(ParoRegCLM!$A$2,MATCH(FO$29,ParoRegCLM!$A$2:$A$500)+$A35-1,1)-1)</f>
        <v>-2.9084901515287642E-2</v>
      </c>
      <c r="FP35" s="9">
        <f ca="1">IF(OR(FP8="",FP$28&lt;$A35),"",FP8/OFFSET(ParoRegCLM!$A$2,MATCH(FP$29,ParoRegCLM!$A$2:$A$500)+$A35-1,1)-1)</f>
        <v>-4.0158923895279752E-2</v>
      </c>
      <c r="FQ35" s="9">
        <f ca="1">IF(OR(FQ8="",FQ$28&lt;$A35),"",FQ8/OFFSET(ParoRegCLM!$A$2,MATCH(FQ$29,ParoRegCLM!$A$2:$A$500)+$A35-1,1)-1)</f>
        <v>-2.2497998636708649E-2</v>
      </c>
      <c r="FR35" s="9">
        <f ca="1">IF(OR(FR8="",FR$28&lt;$A35),"",FR8/OFFSET(ParoRegCLM!$A$2,MATCH(FR$29,ParoRegCLM!$A$2:$A$500)+$A35-1,1)-1)</f>
        <v>2.2554086293534947E-2</v>
      </c>
      <c r="FS35" s="9">
        <f ca="1">IF(OR(FS8="",FS$28&lt;$A35),"",FS8/OFFSET(ParoRegCLM!$A$2,MATCH(FS$29,ParoRegCLM!$A$2:$A$500)+$A35-1,1)-1)</f>
        <v>7.2671695187823904E-2</v>
      </c>
      <c r="FT35" s="9">
        <f ca="1">IF(OR(FT8="",FT$28&lt;$A35),"",FT8/OFFSET(ParoRegCLM!$A$2,MATCH(FT$29,ParoRegCLM!$A$2:$A$500)+$A35-1,1)-1)</f>
        <v>0.10861578812961592</v>
      </c>
      <c r="FU35" s="9">
        <f ca="1">IF(OR(FU8="",FU$28&lt;$A35),"",FU8/OFFSET(ParoRegCLM!$A$2,MATCH(FU$29,ParoRegCLM!$A$2:$A$500)+$A35-1,1)-1)</f>
        <v>8.1336576279043227E-2</v>
      </c>
      <c r="FV35" s="9">
        <f ca="1">IF(OR(FV8="",FV$28&lt;$A35),"",FV8/OFFSET(ParoRegCLM!$A$2,MATCH(FV$29,ParoRegCLM!$A$2:$A$500)+$A35-1,1)-1)</f>
        <v>9.1779370866277521E-2</v>
      </c>
      <c r="FW35" s="9">
        <f ca="1">IF(OR(FW8="",FW$28&lt;$A35),"",FW8/OFFSET(ParoRegCLM!$A$2,MATCH(FW$29,ParoRegCLM!$A$2:$A$500)+$A35-1,1)-1)</f>
        <v>8.6832218252545834E-2</v>
      </c>
      <c r="FX35" s="9">
        <f ca="1">IF(OR(FX8="",FX$28&lt;$A35),"",FX8/OFFSET(ParoRegCLM!$A$2,MATCH(FX$29,ParoRegCLM!$A$2:$A$500)+$A35-1,1)-1)</f>
        <v>2.9875472937482161E-2</v>
      </c>
      <c r="FY35" s="9">
        <f ca="1">IF(OR(FY8="",FY$28&lt;$A35),"",FY8/OFFSET(ParoRegCLM!$A$2,MATCH(FY$29,ParoRegCLM!$A$2:$A$500)+$A35-1,1)-1)</f>
        <v>-3.8553711200125185E-2</v>
      </c>
      <c r="FZ35" s="9">
        <f ca="1">IF(OR(FZ8="",FZ$28&lt;$A35),"",FZ8/OFFSET(ParoRegCLM!$A$2,MATCH(FZ$29,ParoRegCLM!$A$2:$A$500)+$A35-1,1)-1)</f>
        <v>-0.10479954578628492</v>
      </c>
      <c r="GA35" s="9">
        <f ca="1">IF(OR(GA8="",GA$28&lt;$A35),"",GA8/OFFSET(ParoRegCLM!$A$2,MATCH(GA$29,ParoRegCLM!$A$2:$A$500)+$A35-1,1)-1)</f>
        <v>-9.94370914645194E-2</v>
      </c>
      <c r="GB35" s="9">
        <f ca="1">IF(OR(GB8="",GB$28&lt;$A35),"",GB8/OFFSET(ParoRegCLM!$A$2,MATCH(GB$29,ParoRegCLM!$A$2:$A$500)+$A35-1,1)-1)</f>
        <v>-0.10191429119984063</v>
      </c>
      <c r="GC35" s="9">
        <f ca="1">IF(OR(GC8="",GC$28&lt;$A35),"",GC8/OFFSET(ParoRegCLM!$A$2,MATCH(GC$29,ParoRegCLM!$A$2:$A$500)+$A35-1,1)-1)</f>
        <v>-0.1070879149274927</v>
      </c>
      <c r="GD35" s="9">
        <f ca="1">IF(OR(GD8="",GD$28&lt;$A35),"",GD8/OFFSET(ParoRegCLM!$A$2,MATCH(GD$29,ParoRegCLM!$A$2:$A$500)+$A35-1,1)-1)</f>
        <v>-8.1460141222615023E-2</v>
      </c>
      <c r="GE35" s="9">
        <f ca="1">IF(OR(GE8="",GE$28&lt;$A35),"",GE8/OFFSET(ParoRegCLM!$A$2,MATCH(GE$29,ParoRegCLM!$A$2:$A$500)+$A35-1,1)-1)</f>
        <v>-4.1282414904689202E-2</v>
      </c>
      <c r="GF35" s="9">
        <f ca="1">IF(OR(GF8="",GF$28&lt;$A35),"",GF8/OFFSET(ParoRegCLM!$A$2,MATCH(GF$29,ParoRegCLM!$A$2:$A$500)+$A35-1,1)-1)</f>
        <v>-2.3143252124233404E-2</v>
      </c>
      <c r="GG35" s="9">
        <f ca="1">IF(OR(GG8="",GG$28&lt;$A35),"",GG8/OFFSET(ParoRegCLM!$A$2,MATCH(GG$29,ParoRegCLM!$A$2:$A$500)+$A35-1,1)-1)</f>
        <v>-1.5010609128209729E-2</v>
      </c>
      <c r="GH35" s="9">
        <f ca="1">IF(OR(GH8="",GH$28&lt;$A35),"",GH8/OFFSET(ParoRegCLM!$A$2,MATCH(GH$29,ParoRegCLM!$A$2:$A$500)+$A35-1,1)-1)</f>
        <v>2.0230788120628285E-2</v>
      </c>
      <c r="GI35" s="9">
        <f ca="1">IF(OR(GI8="",GI$28&lt;$A35),"",GI8/OFFSET(ParoRegCLM!$A$2,MATCH(GI$29,ParoRegCLM!$A$2:$A$500)+$A35-1,1)-1)</f>
        <v>-2.397933873024749E-2</v>
      </c>
      <c r="GJ35" s="9">
        <f ca="1">IF(OR(GJ8="",GJ$28&lt;$A35),"",GJ8/OFFSET(ParoRegCLM!$A$2,MATCH(GJ$29,ParoRegCLM!$A$2:$A$500)+$A35-1,1)-1)</f>
        <v>-8.7151765914479484E-2</v>
      </c>
      <c r="GK35" s="9">
        <f ca="1">IF(OR(GK8="",GK$28&lt;$A35),"",GK8/OFFSET(ParoRegCLM!$A$2,MATCH(GK$29,ParoRegCLM!$A$2:$A$500)+$A35-1,1)-1)</f>
        <v>-9.0080968095412217E-2</v>
      </c>
      <c r="GL35" s="9">
        <f ca="1">IF(OR(GL8="",GL$28&lt;$A35),"",GL8/OFFSET(ParoRegCLM!$A$2,MATCH(GL$29,ParoRegCLM!$A$2:$A$500)+$A35-1,1)-1)</f>
        <v>-9.7572251890702399E-2</v>
      </c>
      <c r="GM35" s="9">
        <f ca="1">IF(OR(GM8="",GM$28&lt;$A35),"",GM8/OFFSET(ParoRegCLM!$A$2,MATCH(GM$29,ParoRegCLM!$A$2:$A$500)+$A35-1,1)-1)</f>
        <v>-8.9766460284628091E-2</v>
      </c>
      <c r="GN35" s="9">
        <f ca="1">IF(OR(GN8="",GN$28&lt;$A35),"",GN8/OFFSET(ParoRegCLM!$A$2,MATCH(GN$29,ParoRegCLM!$A$2:$A$500)+$A35-1,1)-1)</f>
        <v>-0.11488018586780824</v>
      </c>
      <c r="GO35" s="9">
        <f ca="1">IF(OR(GO8="",GO$28&lt;$A35),"",GO8/OFFSET(ParoRegCLM!$A$2,MATCH(GO$29,ParoRegCLM!$A$2:$A$500)+$A35-1,1)-1)</f>
        <v>3.3448094047904053E-2</v>
      </c>
      <c r="GP35" s="9">
        <f ca="1">IF(OR(GP8="",GP$28&lt;$A35),"",GP8/OFFSET(ParoRegCLM!$A$2,MATCH(GP$29,ParoRegCLM!$A$2:$A$500)+$A35-1,1)-1)</f>
        <v>0.19376654903627477</v>
      </c>
      <c r="GQ35" s="9">
        <f ca="1">IF(OR(GQ8="",GQ$28&lt;$A35),"",GQ8/OFFSET(ParoRegCLM!$A$2,MATCH(GQ$29,ParoRegCLM!$A$2:$A$500)+$A35-1,1)-1)</f>
        <v>0.11779933662987796</v>
      </c>
      <c r="GR35" s="9">
        <f ca="1">IF(OR(GR8="",GR$28&lt;$A35),"",GR8/OFFSET(ParoRegCLM!$A$2,MATCH(GR$29,ParoRegCLM!$A$2:$A$500)+$A35-1,1)-1)</f>
        <v>8.269106058336595E-2</v>
      </c>
      <c r="GS35" s="9">
        <f ca="1">IF(OR(GS8="",GS$28&lt;$A35),"",GS8/OFFSET(ParoRegCLM!$A$2,MATCH(GS$29,ParoRegCLM!$A$2:$A$500)+$A35-1,1)-1)</f>
        <v>6.3184468137422511E-2</v>
      </c>
      <c r="GT35" s="9" t="str">
        <f ca="1">IF(OR(GT8="",GT$28&lt;$A35),"",GT8/OFFSET(ParoRegCLM!$A$2,MATCH(GT$29,ParoRegCLM!$A$2:$A$500)+$A35-1,1)-1)</f>
        <v/>
      </c>
      <c r="GU35" s="9" t="str">
        <f ca="1">IF(OR(GU8="",GU$28&lt;$A35),"",GU8/OFFSET(ParoRegCLM!$A$2,MATCH(GU$29,ParoRegCLM!$A$2:$A$500)+$A35-1,1)-1)</f>
        <v/>
      </c>
      <c r="GV35" s="9" t="str">
        <f ca="1">IF(OR(GV8="",GV$28&lt;$A35),"",GV8/OFFSET(ParoRegCLM!$A$2,MATCH(GV$29,ParoRegCLM!$A$2:$A$500)+$A35-1,1)-1)</f>
        <v/>
      </c>
      <c r="GW35" s="9" t="str">
        <f ca="1">IF(OR(GW8="",GW$28&lt;$A35),"",GW8/OFFSET(ParoRegCLM!$A$2,MATCH(GW$29,ParoRegCLM!$A$2:$A$500)+$A35-1,1)-1)</f>
        <v/>
      </c>
      <c r="GX35" s="9" t="str">
        <f ca="1">IF(OR(GX8="",GX$28&lt;$A35),"",GX8/OFFSET(ParoRegCLM!$A$2,MATCH(GX$29,ParoRegCLM!$A$2:$A$500)+$A35-1,1)-1)</f>
        <v/>
      </c>
      <c r="GY35" s="9" t="str">
        <f ca="1">IF(OR(GY8="",GY$28&lt;$A35),"",GY8/OFFSET(ParoRegCLM!$A$2,MATCH(GY$29,ParoRegCLM!$A$2:$A$500)+$A35-1,1)-1)</f>
        <v/>
      </c>
      <c r="GZ35" s="9" t="str">
        <f ca="1">IF(OR(GZ8="",GZ$28&lt;$A35),"",GZ8/OFFSET(ParoRegCLM!$A$2,MATCH(GZ$29,ParoRegCLM!$A$2:$A$500)+$A35-1,1)-1)</f>
        <v/>
      </c>
      <c r="HA35" s="9" t="str">
        <f ca="1">IF(OR(HA8="",HA$28&lt;$A35),"",HA8/OFFSET(ParoRegCLM!$A$2,MATCH(HA$29,ParoRegCLM!$A$2:$A$500)+$A35-1,1)-1)</f>
        <v/>
      </c>
      <c r="HB35" s="9" t="str">
        <f ca="1">IF(OR(HB8="",HB$28&lt;$A35),"",HB8/OFFSET(ParoRegCLM!$A$2,MATCH(HB$29,ParoRegCLM!$A$2:$A$500)+$A35-1,1)-1)</f>
        <v/>
      </c>
      <c r="HC35" s="9" t="str">
        <f ca="1">IF(OR(HC8="",HC$28&lt;$A35),"",HC8/OFFSET(ParoRegCLM!$A$2,MATCH(HC$29,ParoRegCLM!$A$2:$A$500)+$A35-1,1)-1)</f>
        <v/>
      </c>
      <c r="HD35" s="9" t="str">
        <f ca="1">IF(OR(HD8="",HD$28&lt;$A35),"",HD8/OFFSET(ParoRegCLM!$A$2,MATCH(HD$29,ParoRegCLM!$A$2:$A$500)+$A35-1,1)-1)</f>
        <v/>
      </c>
      <c r="HE35" s="9" t="str">
        <f ca="1">IF(OR(HE8="",HE$28&lt;$A35),"",HE8/OFFSET(ParoRegCLM!$A$2,MATCH(HE$29,ParoRegCLM!$A$2:$A$500)+$A35-1,1)-1)</f>
        <v/>
      </c>
      <c r="HF35" s="9" t="str">
        <f ca="1">IF(OR(HF8="",HF$28&lt;$A35),"",HF8/OFFSET(ParoRegCLM!$A$2,MATCH(HF$29,ParoRegCLM!$A$2:$A$500)+$A35-1,1)-1)</f>
        <v/>
      </c>
      <c r="HG35" s="9" t="str">
        <f ca="1">IF(OR(HG8="",HG$28&lt;$A35),"",HG8/OFFSET(ParoRegCLM!$A$2,MATCH(HG$29,ParoRegCLM!$A$2:$A$500)+$A35-1,1)-1)</f>
        <v/>
      </c>
      <c r="HH35" s="9" t="str">
        <f ca="1">IF(OR(HH8="",HH$28&lt;$A35),"",HH8/OFFSET(ParoRegCLM!$A$2,MATCH(HH$29,ParoRegCLM!$A$2:$A$500)+$A35-1,1)-1)</f>
        <v/>
      </c>
      <c r="HI35" s="9" t="str">
        <f ca="1">IF(OR(HI8="",HI$28&lt;$A35),"",HI8/OFFSET(ParoRegCLM!$A$2,MATCH(HI$29,ParoRegCLM!$A$2:$A$500)+$A35-1,1)-1)</f>
        <v/>
      </c>
      <c r="HJ35" s="9" t="str">
        <f ca="1">IF(OR(HJ8="",HJ$28&lt;$A35),"",HJ8/OFFSET(ParoRegCLM!$A$2,MATCH(HJ$29,ParoRegCLM!$A$2:$A$500)+$A35-1,1)-1)</f>
        <v/>
      </c>
      <c r="HK35" s="9" t="str">
        <f ca="1">IF(OR(HK8="",HK$28&lt;$A35),"",HK8/OFFSET(ParoRegCLM!$A$2,MATCH(HK$29,ParoRegCLM!$A$2:$A$500)+$A35-1,1)-1)</f>
        <v/>
      </c>
      <c r="HL35" s="9" t="str">
        <f ca="1">IF(OR(HL8="",HL$28&lt;$A35),"",HL8/OFFSET(ParoRegCLM!$A$2,MATCH(HL$29,ParoRegCLM!$A$2:$A$500)+$A35-1,1)-1)</f>
        <v/>
      </c>
      <c r="HM35" s="9" t="str">
        <f ca="1">IF(OR(HM8="",HM$28&lt;$A35),"",HM8/OFFSET(ParoRegCLM!$A$2,MATCH(HM$29,ParoRegCLM!$A$2:$A$500)+$A35-1,1)-1)</f>
        <v/>
      </c>
      <c r="HN35" s="9" t="str">
        <f ca="1">IF(OR(HN8="",HN$28&lt;$A35),"",HN8/OFFSET(ParoRegCLM!$A$2,MATCH(HN$29,ParoRegCLM!$A$2:$A$500)+$A35-1,1)-1)</f>
        <v/>
      </c>
      <c r="HO35" s="9" t="str">
        <f ca="1">IF(OR(HO8="",HO$28&lt;$A35),"",HO8/OFFSET(ParoRegCLM!$A$2,MATCH(HO$29,ParoRegCLM!$A$2:$A$500)+$A35-1,1)-1)</f>
        <v/>
      </c>
      <c r="HP35" s="9" t="str">
        <f ca="1">IF(OR(HP8="",HP$28&lt;$A35),"",HP8/OFFSET(ParoRegCLM!$A$2,MATCH(HP$29,ParoRegCLM!$A$2:$A$500)+$A35-1,1)-1)</f>
        <v/>
      </c>
      <c r="HQ35" s="9" t="str">
        <f ca="1">IF(OR(HQ8="",HQ$28&lt;$A35),"",HQ8/OFFSET(ParoRegCLM!$A$2,MATCH(HQ$29,ParoRegCLM!$A$2:$A$500)+$A35-1,1)-1)</f>
        <v/>
      </c>
      <c r="HR35" s="9" t="str">
        <f ca="1">IF(OR(HR8="",HR$28&lt;$A35),"",HR8/OFFSET(ParoRegCLM!$A$2,MATCH(HR$29,ParoRegCLM!$A$2:$A$500)+$A35-1,1)-1)</f>
        <v/>
      </c>
      <c r="HS35" s="9" t="str">
        <f ca="1">IF(OR(HS8="",HS$28&lt;$A35),"",HS8/OFFSET(ParoRegCLM!$A$2,MATCH(HS$29,ParoRegCLM!$A$2:$A$500)+$A35-1,1)-1)</f>
        <v/>
      </c>
      <c r="HT35" s="9" t="str">
        <f ca="1">IF(OR(HT8="",HT$28&lt;$A35),"",HT8/OFFSET(ParoRegCLM!$A$2,MATCH(HT$29,ParoRegCLM!$A$2:$A$500)+$A35-1,1)-1)</f>
        <v/>
      </c>
      <c r="HU35" s="9" t="str">
        <f ca="1">IF(OR(HU8="",HU$28&lt;$A35),"",HU8/OFFSET(ParoRegCLM!$A$2,MATCH(HU$29,ParoRegCLM!$A$2:$A$500)+$A35-1,1)-1)</f>
        <v/>
      </c>
      <c r="HV35" s="9" t="str">
        <f ca="1">IF(OR(HV8="",HV$28&lt;$A35),"",HV8/OFFSET(ParoRegCLM!$A$2,MATCH(HV$29,ParoRegCLM!$A$2:$A$500)+$A35-1,1)-1)</f>
        <v/>
      </c>
      <c r="HW35" s="9" t="str">
        <f ca="1">IF(OR(HW8="",HW$28&lt;$A35),"",HW8/OFFSET(ParoRegCLM!$A$2,MATCH(HW$29,ParoRegCLM!$A$2:$A$500)+$A35-1,1)-1)</f>
        <v/>
      </c>
      <c r="HX35" s="9" t="str">
        <f ca="1">IF(OR(HX8="",HX$28&lt;$A35),"",HX8/OFFSET(ParoRegCLM!$A$2,MATCH(HX$29,ParoRegCLM!$A$2:$A$500)+$A35-1,1)-1)</f>
        <v/>
      </c>
      <c r="HY35" s="9" t="str">
        <f ca="1">IF(OR(HY8="",HY$28&lt;$A35),"",HY8/OFFSET(ParoRegCLM!$A$2,MATCH(HY$29,ParoRegCLM!$A$2:$A$500)+$A35-1,1)-1)</f>
        <v/>
      </c>
      <c r="HZ35" s="9" t="str">
        <f ca="1">IF(OR(HZ8="",HZ$28&lt;$A35),"",HZ8/OFFSET(ParoRegCLM!$A$2,MATCH(HZ$29,ParoRegCLM!$A$2:$A$500)+$A35-1,1)-1)</f>
        <v/>
      </c>
      <c r="IA35" s="9" t="str">
        <f ca="1">IF(OR(IA8="",IA$28&lt;$A35),"",IA8/OFFSET(ParoRegCLM!$A$2,MATCH(IA$29,ParoRegCLM!$A$2:$A$500)+$A35-1,1)-1)</f>
        <v/>
      </c>
      <c r="IB35" s="9" t="str">
        <f ca="1">IF(OR(IB8="",IB$28&lt;$A35),"",IB8/OFFSET(ParoRegCLM!$A$2,MATCH(IB$29,ParoRegCLM!$A$2:$A$500)+$A35-1,1)-1)</f>
        <v/>
      </c>
      <c r="IC35" s="9" t="str">
        <f ca="1">IF(OR(IC8="",IC$28&lt;$A35),"",IC8/OFFSET(ParoRegCLM!$A$2,MATCH(IC$29,ParoRegCLM!$A$2:$A$500)+$A35-1,1)-1)</f>
        <v/>
      </c>
      <c r="ID35" s="9" t="str">
        <f ca="1">IF(OR(ID8="",ID$28&lt;$A35),"",ID8/OFFSET(ParoRegCLM!$A$2,MATCH(ID$29,ParoRegCLM!$A$2:$A$500)+$A35-1,1)-1)</f>
        <v/>
      </c>
      <c r="IE35" s="9" t="str">
        <f ca="1">IF(OR(IE8="",IE$28&lt;$A35),"",IE8/OFFSET(ParoRegCLM!$A$2,MATCH(IE$29,ParoRegCLM!$A$2:$A$500)+$A35-1,1)-1)</f>
        <v/>
      </c>
      <c r="IF35" s="9" t="str">
        <f ca="1">IF(OR(IF8="",IF$28&lt;$A35),"",IF8/OFFSET(ParoRegCLM!$A$2,MATCH(IF$29,ParoRegCLM!$A$2:$A$500)+$A35-1,1)-1)</f>
        <v/>
      </c>
      <c r="IG35" s="9" t="str">
        <f ca="1">IF(OR(IG8="",IG$28&lt;$A35),"",IG8/OFFSET(ParoRegCLM!$A$2,MATCH(IG$29,ParoRegCLM!$A$2:$A$500)+$A35-1,1)-1)</f>
        <v/>
      </c>
      <c r="IH35" s="9" t="str">
        <f ca="1">IF(OR(IH8="",IH$28&lt;$A35),"",IH8/OFFSET(ParoRegCLM!$A$2,MATCH(IH$29,ParoRegCLM!$A$2:$A$500)+$A35-1,1)-1)</f>
        <v/>
      </c>
      <c r="II35" s="9" t="str">
        <f ca="1">IF(OR(II8="",II$28&lt;$A35),"",II8/OFFSET(ParoRegCLM!$A$2,MATCH(II$29,ParoRegCLM!$A$2:$A$500)+$A35-1,1)-1)</f>
        <v/>
      </c>
      <c r="IJ35" s="9" t="str">
        <f ca="1">IF(OR(IJ8="",IJ$28&lt;$A35),"",IJ8/OFFSET(ParoRegCLM!$A$2,MATCH(IJ$29,ParoRegCLM!$A$2:$A$500)+$A35-1,1)-1)</f>
        <v/>
      </c>
      <c r="IK35" s="9" t="str">
        <f ca="1">IF(OR(IK8="",IK$28&lt;$A35),"",IK8/OFFSET(ParoRegCLM!$A$2,MATCH(IK$29,ParoRegCLM!$A$2:$A$500)+$A35-1,1)-1)</f>
        <v/>
      </c>
      <c r="IL35" s="9" t="str">
        <f ca="1">IF(OR(IL8="",IL$28&lt;$A35),"",IL8/OFFSET(ParoRegCLM!$A$2,MATCH(IL$29,ParoRegCLM!$A$2:$A$500)+$A35-1,1)-1)</f>
        <v/>
      </c>
      <c r="IM35" s="9" t="str">
        <f ca="1">IF(OR(IM8="",IM$28&lt;$A35),"",IM8/OFFSET(ParoRegCLM!$A$2,MATCH(IM$29,ParoRegCLM!$A$2:$A$500)+$A35-1,1)-1)</f>
        <v/>
      </c>
      <c r="IN35" s="9" t="str">
        <f ca="1">IF(OR(IN8="",IN$28&lt;$A35),"",IN8/OFFSET(ParoRegCLM!$A$2,MATCH(IN$29,ParoRegCLM!$A$2:$A$500)+$A35-1,1)-1)</f>
        <v/>
      </c>
      <c r="IO35" s="9" t="str">
        <f ca="1">IF(OR(IO8="",IO$28&lt;$A35),"",IO8/OFFSET(ParoRegCLM!$A$2,MATCH(IO$29,ParoRegCLM!$A$2:$A$500)+$A35-1,1)-1)</f>
        <v/>
      </c>
      <c r="IP35" s="9" t="str">
        <f ca="1">IF(OR(IP8="",IP$28&lt;$A35),"",IP8/OFFSET(ParoRegCLM!$A$2,MATCH(IP$29,ParoRegCLM!$A$2:$A$500)+$A35-1,1)-1)</f>
        <v/>
      </c>
      <c r="IQ35" s="9" t="str">
        <f ca="1">IF(OR(IQ8="",IQ$28&lt;$A35),"",IQ8/OFFSET(ParoRegCLM!$A$2,MATCH(IQ$29,ParoRegCLM!$A$2:$A$500)+$A35-1,1)-1)</f>
        <v/>
      </c>
      <c r="IR35" s="9" t="str">
        <f ca="1">IF(OR(IR8="",IR$28&lt;$A35),"",IR8/OFFSET(ParoRegCLM!$A$2,MATCH(IR$29,ParoRegCLM!$A$2:$A$500)+$A35-1,1)-1)</f>
        <v/>
      </c>
      <c r="IS35" s="9" t="str">
        <f ca="1">IF(OR(IS8="",IS$28&lt;$A35),"",IS8/OFFSET(ParoRegCLM!$A$2,MATCH(IS$29,ParoRegCLM!$A$2:$A$500)+$A35-1,1)-1)</f>
        <v/>
      </c>
      <c r="IT35" s="9" t="str">
        <f ca="1">IF(OR(IT8="",IT$28&lt;$A35),"",IT8/OFFSET(ParoRegCLM!$A$2,MATCH(IT$29,ParoRegCLM!$A$2:$A$500)+$A35-1,1)-1)</f>
        <v/>
      </c>
      <c r="IU35" s="9" t="str">
        <f ca="1">IF(OR(IU8="",IU$28&lt;$A35),"",IU8/OFFSET(ParoRegCLM!$A$2,MATCH(IU$29,ParoRegCLM!$A$2:$A$500)+$A35-1,1)-1)</f>
        <v/>
      </c>
      <c r="IV35" s="9" t="str">
        <f ca="1">IF(OR(IV8="",IV$28&lt;$A35),"",IV8/OFFSET(ParoRegCLM!$A$2,MATCH(IV$29,ParoRegCLM!$A$2:$A$500)+$A35-1,1)-1)</f>
        <v/>
      </c>
      <c r="IW35" s="9" t="str">
        <f ca="1">IF(OR(IW8="",IW$28&lt;$A35),"",IW8/OFFSET(ParoRegCLM!$A$2,MATCH(IW$29,ParoRegCLM!$A$2:$A$500)+$A35-1,1)-1)</f>
        <v/>
      </c>
      <c r="IX35" s="9" t="str">
        <f ca="1">IF(OR(IX8="",IX$28&lt;$A35),"",IX8/OFFSET(ParoRegCLM!$A$2,MATCH(IX$29,ParoRegCLM!$A$2:$A$500)+$A35-1,1)-1)</f>
        <v/>
      </c>
      <c r="IY35" s="9" t="str">
        <f ca="1">IF(OR(IY8="",IY$28&lt;$A35),"",IY8/OFFSET(ParoRegCLM!$A$2,MATCH(IY$29,ParoRegCLM!$A$2:$A$500)+$A35-1,1)-1)</f>
        <v/>
      </c>
      <c r="IZ35" s="9" t="str">
        <f ca="1">IF(OR(IZ8="",IZ$28&lt;$A35),"",IZ8/OFFSET(ParoRegCLM!$A$2,MATCH(IZ$29,ParoRegCLM!$A$2:$A$500)+$A35-1,1)-1)</f>
        <v/>
      </c>
      <c r="JA35" s="9" t="str">
        <f ca="1">IF(OR(JA8="",JA$28&lt;$A35),"",JA8/OFFSET(ParoRegCLM!$A$2,MATCH(JA$29,ParoRegCLM!$A$2:$A$500)+$A35-1,1)-1)</f>
        <v/>
      </c>
      <c r="JB35" s="9" t="str">
        <f ca="1">IF(OR(JB8="",JB$28&lt;$A35),"",JB8/OFFSET(ParoRegCLM!$A$2,MATCH(JB$29,ParoRegCLM!$A$2:$A$500)+$A35-1,1)-1)</f>
        <v/>
      </c>
      <c r="JC35" s="9" t="str">
        <f ca="1">IF(OR(JC8="",JC$28&lt;$A35),"",JC8/OFFSET(ParoRegCLM!$A$2,MATCH(JC$29,ParoRegCLM!$A$2:$A$500)+$A35-1,1)-1)</f>
        <v/>
      </c>
      <c r="JD35" s="9" t="str">
        <f ca="1">IF(OR(JD8="",JD$28&lt;$A35),"",JD8/OFFSET(ParoRegCLM!$A$2,MATCH(JD$29,ParoRegCLM!$A$2:$A$500)+$A35-1,1)-1)</f>
        <v/>
      </c>
      <c r="JE35" s="9" t="str">
        <f ca="1">IF(OR(JE8="",JE$28&lt;$A35),"",JE8/OFFSET(ParoRegCLM!$A$2,MATCH(JE$29,ParoRegCLM!$A$2:$A$500)+$A35-1,1)-1)</f>
        <v/>
      </c>
      <c r="JF35" s="9" t="str">
        <f ca="1">IF(OR(JF8="",JF$28&lt;$A35),"",JF8/OFFSET(ParoRegCLM!$A$2,MATCH(JF$29,ParoRegCLM!$A$2:$A$500)+$A35-1,1)-1)</f>
        <v/>
      </c>
      <c r="JG35" s="9" t="str">
        <f ca="1">IF(OR(JG8="",JG$28&lt;$A35),"",JG8/OFFSET(ParoRegCLM!$A$2,MATCH(JG$29,ParoRegCLM!$A$2:$A$500)+$A35-1,1)-1)</f>
        <v/>
      </c>
      <c r="JH35" s="9" t="str">
        <f ca="1">IF(OR(JH8="",JH$28&lt;$A35),"",JH8/OFFSET(ParoRegCLM!$A$2,MATCH(JH$29,ParoRegCLM!$A$2:$A$500)+$A35-1,1)-1)</f>
        <v/>
      </c>
      <c r="JI35" s="13">
        <f t="shared" ca="1" si="14"/>
        <v>-4.6149116164206803E-3</v>
      </c>
      <c r="JJ35" s="13">
        <f t="shared" ca="1" si="15"/>
        <v>-2.2497998636708649E-2</v>
      </c>
      <c r="JK35" s="14">
        <f t="shared" ca="1" si="16"/>
        <v>7.0724391760379939E-3</v>
      </c>
      <c r="JL35" s="17">
        <f t="shared" ca="1" si="19"/>
        <v>8.4097795310210083E-2</v>
      </c>
      <c r="JM35" s="15" t="str">
        <f t="shared" ca="1" si="17"/>
        <v>[ -17,28% ; 16,36% ]</v>
      </c>
      <c r="JN35" s="17">
        <f t="shared" ca="1" si="18"/>
        <v>0.10764517799706891</v>
      </c>
      <c r="LY35" s="1"/>
    </row>
    <row r="36" spans="1:337" x14ac:dyDescent="0.25">
      <c r="A36" s="4">
        <v>7</v>
      </c>
      <c r="B36" s="9">
        <f ca="1">IF(OR(B9="",B$28&lt;$A36),"",B9/OFFSET(ParoRegCLM!$A$2,MATCH(B$29,ParoRegCLM!$A$2:$A$500)+$A36-1,1)-1)</f>
        <v>2.9313526639217269E-2</v>
      </c>
      <c r="C36" s="9">
        <f ca="1">IF(OR(C9="",C$28&lt;$A36),"",C9/OFFSET(ParoRegCLM!$A$2,MATCH(C$29,ParoRegCLM!$A$2:$A$500)+$A36-1,1)-1)</f>
        <v>1.3309712104431437E-2</v>
      </c>
      <c r="D36" s="9">
        <f ca="1">IF(OR(D9="",D$28&lt;$A36),"",D9/OFFSET(ParoRegCLM!$A$2,MATCH(D$29,ParoRegCLM!$A$2:$A$500)+$A36-1,1)-1)</f>
        <v>1.5932158828547704E-2</v>
      </c>
      <c r="E36" s="9">
        <f ca="1">IF(OR(E9="",E$28&lt;$A36),"",E9/OFFSET(ParoRegCLM!$A$2,MATCH(E$29,ParoRegCLM!$A$2:$A$500)+$A36-1,1)-1)</f>
        <v>2.7890286170070944E-2</v>
      </c>
      <c r="F36" s="9">
        <f ca="1">IF(OR(F9="",F$28&lt;$A36),"",F9/OFFSET(ParoRegCLM!$A$2,MATCH(F$29,ParoRegCLM!$A$2:$A$500)+$A36-1,1)-1)</f>
        <v>5.3739492859728566E-2</v>
      </c>
      <c r="G36" s="9">
        <f ca="1">IF(OR(G9="",G$28&lt;$A36),"",G9/OFFSET(ParoRegCLM!$A$2,MATCH(G$29,ParoRegCLM!$A$2:$A$500)+$A36-1,1)-1)</f>
        <v>3.7584757127288038E-2</v>
      </c>
      <c r="H36" s="9">
        <f ca="1">IF(OR(H9="",H$28&lt;$A36),"",H9/OFFSET(ParoRegCLM!$A$2,MATCH(H$29,ParoRegCLM!$A$2:$A$500)+$A36-1,1)-1)</f>
        <v>1.0966272297207036E-2</v>
      </c>
      <c r="I36" s="9">
        <f ca="1">IF(OR(I9="",I$28&lt;$A36),"",I9/OFFSET(ParoRegCLM!$A$2,MATCH(I$29,ParoRegCLM!$A$2:$A$500)+$A36-1,1)-1)</f>
        <v>5.7294888333707661E-3</v>
      </c>
      <c r="J36" s="9">
        <f ca="1">IF(OR(J9="",J$28&lt;$A36),"",J9/OFFSET(ParoRegCLM!$A$2,MATCH(J$29,ParoRegCLM!$A$2:$A$500)+$A36-1,1)-1)</f>
        <v>4.6958695320900024E-3</v>
      </c>
      <c r="K36" s="9">
        <f ca="1">IF(OR(K9="",K$28&lt;$A36),"",K9/OFFSET(ParoRegCLM!$A$2,MATCH(K$29,ParoRegCLM!$A$2:$A$500)+$A36-1,1)-1)</f>
        <v>-2.2349693671989357E-2</v>
      </c>
      <c r="L36" s="9">
        <f ca="1">IF(OR(L9="",L$28&lt;$A36),"",L9/OFFSET(ParoRegCLM!$A$2,MATCH(L$29,ParoRegCLM!$A$2:$A$500)+$A36-1,1)-1)</f>
        <v>-1.6359304110576955E-2</v>
      </c>
      <c r="M36" s="9">
        <f ca="1">IF(OR(M9="",M$28&lt;$A36),"",M9/OFFSET(ParoRegCLM!$A$2,MATCH(M$29,ParoRegCLM!$A$2:$A$500)+$A36-1,1)-1)</f>
        <v>1.2143288996484758E-2</v>
      </c>
      <c r="N36" s="9">
        <f ca="1">IF(OR(N9="",N$28&lt;$A36),"",N9/OFFSET(ParoRegCLM!$A$2,MATCH(N$29,ParoRegCLM!$A$2:$A$500)+$A36-1,1)-1)</f>
        <v>3.2318366539199062E-3</v>
      </c>
      <c r="O36" s="9">
        <f ca="1">IF(OR(O9="",O$28&lt;$A36),"",O9/OFFSET(ParoRegCLM!$A$2,MATCH(O$29,ParoRegCLM!$A$2:$A$500)+$A36-1,1)-1)</f>
        <v>1.1365083438652501E-3</v>
      </c>
      <c r="P36" s="9">
        <f ca="1">IF(OR(P9="",P$28&lt;$A36),"",P9/OFFSET(ParoRegCLM!$A$2,MATCH(P$29,ParoRegCLM!$A$2:$A$500)+$A36-1,1)-1)</f>
        <v>-4.1222271841387936E-3</v>
      </c>
      <c r="Q36" s="9">
        <f ca="1">IF(OR(Q9="",Q$28&lt;$A36),"",Q9/OFFSET(ParoRegCLM!$A$2,MATCH(Q$29,ParoRegCLM!$A$2:$A$500)+$A36-1,1)-1)</f>
        <v>8.290992694004462E-4</v>
      </c>
      <c r="R36" s="9">
        <f ca="1">IF(OR(R9="",R$28&lt;$A36),"",R9/OFFSET(ParoRegCLM!$A$2,MATCH(R$29,ParoRegCLM!$A$2:$A$500)+$A36-1,1)-1)</f>
        <v>2.6562420213861682E-2</v>
      </c>
      <c r="S36" s="9">
        <f ca="1">IF(OR(S9="",S$28&lt;$A36),"",S9/OFFSET(ParoRegCLM!$A$2,MATCH(S$29,ParoRegCLM!$A$2:$A$500)+$A36-1,1)-1)</f>
        <v>2.7919624430143841E-2</v>
      </c>
      <c r="T36" s="9">
        <f ca="1">IF(OR(T9="",T$28&lt;$A36),"",T9/OFFSET(ParoRegCLM!$A$2,MATCH(T$29,ParoRegCLM!$A$2:$A$500)+$A36-1,1)-1)</f>
        <v>1.0922292376248199E-2</v>
      </c>
      <c r="U36" s="9">
        <f ca="1">IF(OR(U9="",U$28&lt;$A36),"",U9/OFFSET(ParoRegCLM!$A$2,MATCH(U$29,ParoRegCLM!$A$2:$A$500)+$A36-1,1)-1)</f>
        <v>2.5597539727829632E-2</v>
      </c>
      <c r="V36" s="9">
        <f ca="1">IF(OR(V9="",V$28&lt;$A36),"",V9/OFFSET(ParoRegCLM!$A$2,MATCH(V$29,ParoRegCLM!$A$2:$A$500)+$A36-1,1)-1)</f>
        <v>4.3694512451523781E-2</v>
      </c>
      <c r="W36" s="9">
        <f ca="1">IF(OR(W9="",W$28&lt;$A36),"",W9/OFFSET(ParoRegCLM!$A$2,MATCH(W$29,ParoRegCLM!$A$2:$A$500)+$A36-1,1)-1)</f>
        <v>4.7772661060078159E-2</v>
      </c>
      <c r="X36" s="9">
        <f ca="1">IF(OR(X9="",X$28&lt;$A36),"",X9/OFFSET(ParoRegCLM!$A$2,MATCH(X$29,ParoRegCLM!$A$2:$A$500)+$A36-1,1)-1)</f>
        <v>4.0930330118452707E-2</v>
      </c>
      <c r="Y36" s="9">
        <f ca="1">IF(OR(Y9="",Y$28&lt;$A36),"",Y9/OFFSET(ParoRegCLM!$A$2,MATCH(Y$29,ParoRegCLM!$A$2:$A$500)+$A36-1,1)-1)</f>
        <v>3.1243013515641405E-2</v>
      </c>
      <c r="Z36" s="9">
        <f ca="1">IF(OR(Z9="",Z$28&lt;$A36),"",Z9/OFFSET(ParoRegCLM!$A$2,MATCH(Z$29,ParoRegCLM!$A$2:$A$500)+$A36-1,1)-1)</f>
        <v>2.4798928712662649E-2</v>
      </c>
      <c r="AA36" s="9">
        <f ca="1">IF(OR(AA9="",AA$28&lt;$A36),"",AA9/OFFSET(ParoRegCLM!$A$2,MATCH(AA$29,ParoRegCLM!$A$2:$A$500)+$A36-1,1)-1)</f>
        <v>1.4865214765980905E-2</v>
      </c>
      <c r="AB36" s="9">
        <f ca="1">IF(OR(AB9="",AB$28&lt;$A36),"",AB9/OFFSET(ParoRegCLM!$A$2,MATCH(AB$29,ParoRegCLM!$A$2:$A$500)+$A36-1,1)-1)</f>
        <v>1.0484913099477078E-2</v>
      </c>
      <c r="AC36" s="9">
        <f ca="1">IF(OR(AC9="",AC$28&lt;$A36),"",AC9/OFFSET(ParoRegCLM!$A$2,MATCH(AC$29,ParoRegCLM!$A$2:$A$500)+$A36-1,1)-1)</f>
        <v>5.6501852600081559E-3</v>
      </c>
      <c r="AD36" s="9">
        <f ca="1">IF(OR(AD9="",AD$28&lt;$A36),"",AD9/OFFSET(ParoRegCLM!$A$2,MATCH(AD$29,ParoRegCLM!$A$2:$A$500)+$A36-1,1)-1)</f>
        <v>1.0686885467788843E-2</v>
      </c>
      <c r="AE36" s="9">
        <f ca="1">IF(OR(AE9="",AE$28&lt;$A36),"",AE9/OFFSET(ParoRegCLM!$A$2,MATCH(AE$29,ParoRegCLM!$A$2:$A$500)+$A36-1,1)-1)</f>
        <v>3.7967620275606739E-2</v>
      </c>
      <c r="AF36" s="9">
        <f ca="1">IF(OR(AF9="",AF$28&lt;$A36),"",AF9/OFFSET(ParoRegCLM!$A$2,MATCH(AF$29,ParoRegCLM!$A$2:$A$500)+$A36-1,1)-1)</f>
        <v>4.0620252293380732E-2</v>
      </c>
      <c r="AG36" s="9">
        <f ca="1">IF(OR(AG9="",AG$28&lt;$A36),"",AG9/OFFSET(ParoRegCLM!$A$2,MATCH(AG$29,ParoRegCLM!$A$2:$A$500)+$A36-1,1)-1)</f>
        <v>4.5061200444411975E-2</v>
      </c>
      <c r="AH36" s="9">
        <f ca="1">IF(OR(AH9="",AH$28&lt;$A36),"",AH9/OFFSET(ParoRegCLM!$A$2,MATCH(AH$29,ParoRegCLM!$A$2:$A$500)+$A36-1,1)-1)</f>
        <v>5.1337618290061338E-2</v>
      </c>
      <c r="AI36" s="9">
        <f ca="1">IF(OR(AI9="",AI$28&lt;$A36),"",AI9/OFFSET(ParoRegCLM!$A$2,MATCH(AI$29,ParoRegCLM!$A$2:$A$500)+$A36-1,1)-1)</f>
        <v>2.9224353212294885E-2</v>
      </c>
      <c r="AJ36" s="9">
        <f ca="1">IF(OR(AJ9="",AJ$28&lt;$A36),"",AJ9/OFFSET(ParoRegCLM!$A$2,MATCH(AJ$29,ParoRegCLM!$A$2:$A$500)+$A36-1,1)-1)</f>
        <v>1.6449166656805181E-2</v>
      </c>
      <c r="AK36" s="9">
        <f ca="1">IF(OR(AK9="",AK$28&lt;$A36),"",AK9/OFFSET(ParoRegCLM!$A$2,MATCH(AK$29,ParoRegCLM!$A$2:$A$500)+$A36-1,1)-1)</f>
        <v>-6.5232082875745778E-3</v>
      </c>
      <c r="AL36" s="9">
        <f ca="1">IF(OR(AL9="",AL$28&lt;$A36),"",AL9/OFFSET(ParoRegCLM!$A$2,MATCH(AL$29,ParoRegCLM!$A$2:$A$500)+$A36-1,1)-1)</f>
        <v>-4.6780755910572402E-2</v>
      </c>
      <c r="AM36" s="9">
        <f ca="1">IF(OR(AM9="",AM$28&lt;$A36),"",AM9/OFFSET(ParoRegCLM!$A$2,MATCH(AM$29,ParoRegCLM!$A$2:$A$500)+$A36-1,1)-1)</f>
        <v>-6.497414367090415E-2</v>
      </c>
      <c r="AN36" s="9">
        <f ca="1">IF(OR(AN9="",AN$28&lt;$A36),"",AN9/OFFSET(ParoRegCLM!$A$2,MATCH(AN$29,ParoRegCLM!$A$2:$A$500)+$A36-1,1)-1)</f>
        <v>-6.4278941814454038E-2</v>
      </c>
      <c r="AO36" s="9">
        <f ca="1">IF(OR(AO9="",AO$28&lt;$A36),"",AO9/OFFSET(ParoRegCLM!$A$2,MATCH(AO$29,ParoRegCLM!$A$2:$A$500)+$A36-1,1)-1)</f>
        <v>-6.5429931656088569E-2</v>
      </c>
      <c r="AP36" s="9">
        <f ca="1">IF(OR(AP9="",AP$28&lt;$A36),"",AP9/OFFSET(ParoRegCLM!$A$2,MATCH(AP$29,ParoRegCLM!$A$2:$A$500)+$A36-1,1)-1)</f>
        <v>-5.413805921726289E-2</v>
      </c>
      <c r="AQ36" s="9">
        <f ca="1">IF(OR(AQ9="",AQ$28&lt;$A36),"",AQ9/OFFSET(ParoRegCLM!$A$2,MATCH(AQ$29,ParoRegCLM!$A$2:$A$500)+$A36-1,1)-1)</f>
        <v>-3.119893502676474E-2</v>
      </c>
      <c r="AR36" s="9">
        <f ca="1">IF(OR(AR9="",AR$28&lt;$A36),"",AR9/OFFSET(ParoRegCLM!$A$2,MATCH(AR$29,ParoRegCLM!$A$2:$A$500)+$A36-1,1)-1)</f>
        <v>-4.3322629264922363E-2</v>
      </c>
      <c r="AS36" s="9">
        <f ca="1">IF(OR(AS9="",AS$28&lt;$A36),"",AS9/OFFSET(ParoRegCLM!$A$2,MATCH(AS$29,ParoRegCLM!$A$2:$A$500)+$A36-1,1)-1)</f>
        <v>-6.5424741836094702E-2</v>
      </c>
      <c r="AT36" s="9">
        <f ca="1">IF(OR(AT9="",AT$28&lt;$A36),"",AT9/OFFSET(ParoRegCLM!$A$2,MATCH(AT$29,ParoRegCLM!$A$2:$A$500)+$A36-1,1)-1)</f>
        <v>-6.125219672768456E-2</v>
      </c>
      <c r="AU36" s="9">
        <f ca="1">IF(OR(AU9="",AU$28&lt;$A36),"",AU9/OFFSET(ParoRegCLM!$A$2,MATCH(AU$29,ParoRegCLM!$A$2:$A$500)+$A36-1,1)-1)</f>
        <v>-9.9744795560339328E-2</v>
      </c>
      <c r="AV36" s="9">
        <f ca="1">IF(OR(AV9="",AV$28&lt;$A36),"",AV9/OFFSET(ParoRegCLM!$A$2,MATCH(AV$29,ParoRegCLM!$A$2:$A$500)+$A36-1,1)-1)</f>
        <v>-0.13691290770360409</v>
      </c>
      <c r="AW36" s="9">
        <f ca="1">IF(OR(AW9="",AW$28&lt;$A36),"",AW9/OFFSET(ParoRegCLM!$A$2,MATCH(AW$29,ParoRegCLM!$A$2:$A$500)+$A36-1,1)-1)</f>
        <v>-0.15577007519872521</v>
      </c>
      <c r="AX36" s="9">
        <f ca="1">IF(OR(AX9="",AX$28&lt;$A36),"",AX9/OFFSET(ParoRegCLM!$A$2,MATCH(AX$29,ParoRegCLM!$A$2:$A$500)+$A36-1,1)-1)</f>
        <v>-0.18889142777975332</v>
      </c>
      <c r="AY36" s="9">
        <f ca="1">IF(OR(AY9="",AY$28&lt;$A36),"",AY9/OFFSET(ParoRegCLM!$A$2,MATCH(AY$29,ParoRegCLM!$A$2:$A$500)+$A36-1,1)-1)</f>
        <v>-0.19305894558811409</v>
      </c>
      <c r="AZ36" s="9">
        <f ca="1">IF(OR(AZ9="",AZ$28&lt;$A36),"",AZ9/OFFSET(ParoRegCLM!$A$2,MATCH(AZ$29,ParoRegCLM!$A$2:$A$500)+$A36-1,1)-1)</f>
        <v>-0.17243426299712716</v>
      </c>
      <c r="BA36" s="9">
        <f ca="1">IF(OR(BA9="",BA$28&lt;$A36),"",BA9/OFFSET(ParoRegCLM!$A$2,MATCH(BA$29,ParoRegCLM!$A$2:$A$500)+$A36-1,1)-1)</f>
        <v>-0.24025468988427701</v>
      </c>
      <c r="BB36" s="9">
        <f ca="1">IF(OR(BB9="",BB$28&lt;$A36),"",BB9/OFFSET(ParoRegCLM!$A$2,MATCH(BB$29,ParoRegCLM!$A$2:$A$500)+$A36-1,1)-1)</f>
        <v>-0.25837414404776926</v>
      </c>
      <c r="BC36" s="9">
        <f ca="1">IF(OR(BC9="",BC$28&lt;$A36),"",BC9/OFFSET(ParoRegCLM!$A$2,MATCH(BC$29,ParoRegCLM!$A$2:$A$500)+$A36-1,1)-1)</f>
        <v>-0.25266881432014965</v>
      </c>
      <c r="BD36" s="9">
        <f ca="1">IF(OR(BD9="",BD$28&lt;$A36),"",BD9/OFFSET(ParoRegCLM!$A$2,MATCH(BD$29,ParoRegCLM!$A$2:$A$500)+$A36-1,1)-1)</f>
        <v>-0.20775651448013521</v>
      </c>
      <c r="BE36" s="9">
        <f ca="1">IF(OR(BE9="",BE$28&lt;$A36),"",BE9/OFFSET(ParoRegCLM!$A$2,MATCH(BE$29,ParoRegCLM!$A$2:$A$500)+$A36-1,1)-1)</f>
        <v>-0.17900339895913409</v>
      </c>
      <c r="BF36" s="9">
        <f ca="1">IF(OR(BF9="",BF$28&lt;$A36),"",BF9/OFFSET(ParoRegCLM!$A$2,MATCH(BF$29,ParoRegCLM!$A$2:$A$500)+$A36-1,1)-1)</f>
        <v>-0.18509953432487758</v>
      </c>
      <c r="BG36" s="9">
        <f ca="1">IF(OR(BG9="",BG$28&lt;$A36),"",BG9/OFFSET(ParoRegCLM!$A$2,MATCH(BG$29,ParoRegCLM!$A$2:$A$500)+$A36-1,1)-1)</f>
        <v>-0.20809371976002755</v>
      </c>
      <c r="BH36" s="9">
        <f ca="1">IF(OR(BH9="",BH$28&lt;$A36),"",BH9/OFFSET(ParoRegCLM!$A$2,MATCH(BH$29,ParoRegCLM!$A$2:$A$500)+$A36-1,1)-1)</f>
        <v>-9.2505166615324597E-2</v>
      </c>
      <c r="BI36" s="9">
        <f ca="1">IF(OR(BI9="",BI$28&lt;$A36),"",BI9/OFFSET(ParoRegCLM!$A$2,MATCH(BI$29,ParoRegCLM!$A$2:$A$500)+$A36-1,1)-1)</f>
        <v>1.0773086127923381E-2</v>
      </c>
      <c r="BJ36" s="9">
        <f ca="1">IF(OR(BJ9="",BJ$28&lt;$A36),"",BJ9/OFFSET(ParoRegCLM!$A$2,MATCH(BJ$29,ParoRegCLM!$A$2:$A$500)+$A36-1,1)-1)</f>
        <v>0.1235813492491642</v>
      </c>
      <c r="BK36" s="9">
        <f ca="1">IF(OR(BK9="",BK$28&lt;$A36),"",BK9/OFFSET(ParoRegCLM!$A$2,MATCH(BK$29,ParoRegCLM!$A$2:$A$500)+$A36-1,1)-1)</f>
        <v>6.9837632893258617E-2</v>
      </c>
      <c r="BL36" s="9">
        <f ca="1">IF(OR(BL9="",BL$28&lt;$A36),"",BL9/OFFSET(ParoRegCLM!$A$2,MATCH(BL$29,ParoRegCLM!$A$2:$A$500)+$A36-1,1)-1)</f>
        <v>0.17687186411373812</v>
      </c>
      <c r="BM36" s="9">
        <f ca="1">IF(OR(BM9="",BM$28&lt;$A36),"",BM9/OFFSET(ParoRegCLM!$A$2,MATCH(BM$29,ParoRegCLM!$A$2:$A$500)+$A36-1,1)-1)</f>
        <v>0.18547064026653937</v>
      </c>
      <c r="BN36" s="9">
        <f ca="1">IF(OR(BN9="",BN$28&lt;$A36),"",BN9/OFFSET(ParoRegCLM!$A$2,MATCH(BN$29,ParoRegCLM!$A$2:$A$500)+$A36-1,1)-1)</f>
        <v>0.19612240264032521</v>
      </c>
      <c r="BO36" s="9">
        <f ca="1">IF(OR(BO9="",BO$28&lt;$A36),"",BO9/OFFSET(ParoRegCLM!$A$2,MATCH(BO$29,ParoRegCLM!$A$2:$A$500)+$A36-1,1)-1)</f>
        <v>0.17389965262199447</v>
      </c>
      <c r="BP36" s="9">
        <f ca="1">IF(OR(BP9="",BP$28&lt;$A36),"",BP9/OFFSET(ParoRegCLM!$A$2,MATCH(BP$29,ParoRegCLM!$A$2:$A$500)+$A36-1,1)-1)</f>
        <v>0.12802026969592539</v>
      </c>
      <c r="BQ36" s="9">
        <f ca="1">IF(OR(BQ9="",BQ$28&lt;$A36),"",BQ9/OFFSET(ParoRegCLM!$A$2,MATCH(BQ$29,ParoRegCLM!$A$2:$A$500)+$A36-1,1)-1)</f>
        <v>1.1586524734600312E-2</v>
      </c>
      <c r="BR36" s="9">
        <f ca="1">IF(OR(BR9="",BR$28&lt;$A36),"",BR9/OFFSET(ParoRegCLM!$A$2,MATCH(BR$29,ParoRegCLM!$A$2:$A$500)+$A36-1,1)-1)</f>
        <v>2.2046918357148337E-2</v>
      </c>
      <c r="BS36" s="9">
        <f ca="1">IF(OR(BS9="",BS$28&lt;$A36),"",BS9/OFFSET(ParoRegCLM!$A$2,MATCH(BS$29,ParoRegCLM!$A$2:$A$500)+$A36-1,1)-1)</f>
        <v>-2.3589723606802337E-2</v>
      </c>
      <c r="BT36" s="9">
        <f ca="1">IF(OR(BT9="",BT$28&lt;$A36),"",BT9/OFFSET(ParoRegCLM!$A$2,MATCH(BT$29,ParoRegCLM!$A$2:$A$500)+$A36-1,1)-1)</f>
        <v>9.4332352947959608E-2</v>
      </c>
      <c r="BU36" s="9">
        <f ca="1">IF(OR(BU9="",BU$28&lt;$A36),"",BU9/OFFSET(ParoRegCLM!$A$2,MATCH(BU$29,ParoRegCLM!$A$2:$A$500)+$A36-1,1)-1)</f>
        <v>1.6066619499706558E-2</v>
      </c>
      <c r="BV36" s="9">
        <f ca="1">IF(OR(BV9="",BV$28&lt;$A36),"",BV9/OFFSET(ParoRegCLM!$A$2,MATCH(BV$29,ParoRegCLM!$A$2:$A$500)+$A36-1,1)-1)</f>
        <v>4.1446257974432132E-2</v>
      </c>
      <c r="BW36" s="9">
        <f ca="1">IF(OR(BW9="",BW$28&lt;$A36),"",BW9/OFFSET(ParoRegCLM!$A$2,MATCH(BW$29,ParoRegCLM!$A$2:$A$500)+$A36-1,1)-1)</f>
        <v>3.3149384338295729E-2</v>
      </c>
      <c r="BX36" s="9">
        <f ca="1">IF(OR(BX9="",BX$28&lt;$A36),"",BX9/OFFSET(ParoRegCLM!$A$2,MATCH(BX$29,ParoRegCLM!$A$2:$A$500)+$A36-1,1)-1)</f>
        <v>6.642773263472046E-2</v>
      </c>
      <c r="BY36" s="9">
        <f ca="1">IF(OR(BY9="",BY$28&lt;$A36),"",BY9/OFFSET(ParoRegCLM!$A$2,MATCH(BY$29,ParoRegCLM!$A$2:$A$500)+$A36-1,1)-1)</f>
        <v>6.9665118222135725E-2</v>
      </c>
      <c r="BZ36" s="9">
        <f ca="1">IF(OR(BZ9="",BZ$28&lt;$A36),"",BZ9/OFFSET(ParoRegCLM!$A$2,MATCH(BZ$29,ParoRegCLM!$A$2:$A$500)+$A36-1,1)-1)</f>
        <v>5.5915412429134559E-2</v>
      </c>
      <c r="CA36" s="9">
        <f ca="1">IF(OR(CA9="",CA$28&lt;$A36),"",CA9/OFFSET(ParoRegCLM!$A$2,MATCH(CA$29,ParoRegCLM!$A$2:$A$500)+$A36-1,1)-1)</f>
        <v>4.6476869405274401E-2</v>
      </c>
      <c r="CB36" s="9">
        <f ca="1">IF(OR(CB9="",CB$28&lt;$A36),"",CB9/OFFSET(ParoRegCLM!$A$2,MATCH(CB$29,ParoRegCLM!$A$2:$A$500)+$A36-1,1)-1)</f>
        <v>1.1386604882879237E-2</v>
      </c>
      <c r="CC36" s="9">
        <f ca="1">IF(OR(CC9="",CC$28&lt;$A36),"",CC9/OFFSET(ParoRegCLM!$A$2,MATCH(CC$29,ParoRegCLM!$A$2:$A$500)+$A36-1,1)-1)</f>
        <v>5.1554223676144595E-3</v>
      </c>
      <c r="CD36" s="9">
        <f ca="1">IF(OR(CD9="",CD$28&lt;$A36),"",CD9/OFFSET(ParoRegCLM!$A$2,MATCH(CD$29,ParoRegCLM!$A$2:$A$500)+$A36-1,1)-1)</f>
        <v>1.2659545488314938E-2</v>
      </c>
      <c r="CE36" s="9">
        <f ca="1">IF(OR(CE9="",CE$28&lt;$A36),"",CE9/OFFSET(ParoRegCLM!$A$2,MATCH(CE$29,ParoRegCLM!$A$2:$A$500)+$A36-1,1)-1)</f>
        <v>-1.4055874526896828E-2</v>
      </c>
      <c r="CF36" s="9">
        <f ca="1">IF(OR(CF9="",CF$28&lt;$A36),"",CF9/OFFSET(ParoRegCLM!$A$2,MATCH(CF$29,ParoRegCLM!$A$2:$A$500)+$A36-1,1)-1)</f>
        <v>1.9525239342214062E-2</v>
      </c>
      <c r="CG36" s="9">
        <f ca="1">IF(OR(CG9="",CG$28&lt;$A36),"",CG9/OFFSET(ParoRegCLM!$A$2,MATCH(CG$29,ParoRegCLM!$A$2:$A$500)+$A36-1,1)-1)</f>
        <v>1.4408840328188566E-2</v>
      </c>
      <c r="CH36" s="9">
        <f ca="1">IF(OR(CH9="",CH$28&lt;$A36),"",CH9/OFFSET(ParoRegCLM!$A$2,MATCH(CH$29,ParoRegCLM!$A$2:$A$500)+$A36-1,1)-1)</f>
        <v>-2.6136537052748432E-2</v>
      </c>
      <c r="CI36" s="9">
        <f ca="1">IF(OR(CI9="",CI$28&lt;$A36),"",CI9/OFFSET(ParoRegCLM!$A$2,MATCH(CI$29,ParoRegCLM!$A$2:$A$500)+$A36-1,1)-1)</f>
        <v>1.1267519579370555E-2</v>
      </c>
      <c r="CJ36" s="9">
        <f ca="1">IF(OR(CJ9="",CJ$28&lt;$A36),"",CJ9/OFFSET(ParoRegCLM!$A$2,MATCH(CJ$29,ParoRegCLM!$A$2:$A$500)+$A36-1,1)-1)</f>
        <v>-9.1277450594486886E-3</v>
      </c>
      <c r="CK36" s="9">
        <f ca="1">IF(OR(CK9="",CK$28&lt;$A36),"",CK9/OFFSET(ParoRegCLM!$A$2,MATCH(CK$29,ParoRegCLM!$A$2:$A$500)+$A36-1,1)-1)</f>
        <v>-6.0308958420363767E-2</v>
      </c>
      <c r="CL36" s="9">
        <f ca="1">IF(OR(CL9="",CL$28&lt;$A36),"",CL9/OFFSET(ParoRegCLM!$A$2,MATCH(CL$29,ParoRegCLM!$A$2:$A$500)+$A36-1,1)-1)</f>
        <v>-5.6294549905145153E-2</v>
      </c>
      <c r="CM36" s="9">
        <f ca="1">IF(OR(CM9="",CM$28&lt;$A36),"",CM9/OFFSET(ParoRegCLM!$A$2,MATCH(CM$29,ParoRegCLM!$A$2:$A$500)+$A36-1,1)-1)</f>
        <v>-1.2267077613283939E-2</v>
      </c>
      <c r="CN36" s="9">
        <f ca="1">IF(OR(CN9="",CN$28&lt;$A36),"",CN9/OFFSET(ParoRegCLM!$A$2,MATCH(CN$29,ParoRegCLM!$A$2:$A$500)+$A36-1,1)-1)</f>
        <v>5.7908435324345309E-3</v>
      </c>
      <c r="CO36" s="9">
        <f ca="1">IF(OR(CO9="",CO$28&lt;$A36),"",CO9/OFFSET(ParoRegCLM!$A$2,MATCH(CO$29,ParoRegCLM!$A$2:$A$500)+$A36-1,1)-1)</f>
        <v>-5.6257070035770074E-4</v>
      </c>
      <c r="CP36" s="9">
        <f ca="1">IF(OR(CP9="",CP$28&lt;$A36),"",CP9/OFFSET(ParoRegCLM!$A$2,MATCH(CP$29,ParoRegCLM!$A$2:$A$500)+$A36-1,1)-1)</f>
        <v>-5.103301056528986E-2</v>
      </c>
      <c r="CQ36" s="9">
        <f ca="1">IF(OR(CQ9="",CQ$28&lt;$A36),"",CQ9/OFFSET(ParoRegCLM!$A$2,MATCH(CQ$29,ParoRegCLM!$A$2:$A$500)+$A36-1,1)-1)</f>
        <v>-4.8301672981033494E-2</v>
      </c>
      <c r="CR36" s="9">
        <f ca="1">IF(OR(CR9="",CR$28&lt;$A36),"",CR9/OFFSET(ParoRegCLM!$A$2,MATCH(CR$29,ParoRegCLM!$A$2:$A$500)+$A36-1,1)-1)</f>
        <v>-1.108672242752784E-2</v>
      </c>
      <c r="CS36" s="9">
        <f ca="1">IF(OR(CS9="",CS$28&lt;$A36),"",CS9/OFFSET(ParoRegCLM!$A$2,MATCH(CS$29,ParoRegCLM!$A$2:$A$500)+$A36-1,1)-1)</f>
        <v>-2.2082338090292808E-2</v>
      </c>
      <c r="CT36" s="9">
        <f ca="1">IF(OR(CT9="",CT$28&lt;$A36),"",CT9/OFFSET(ParoRegCLM!$A$2,MATCH(CT$29,ParoRegCLM!$A$2:$A$500)+$A36-1,1)-1)</f>
        <v>-8.2423109801280092E-2</v>
      </c>
      <c r="CU36" s="9">
        <f ca="1">IF(OR(CU9="",CU$28&lt;$A36),"",CU9/OFFSET(ParoRegCLM!$A$2,MATCH(CU$29,ParoRegCLM!$A$2:$A$500)+$A36-1,1)-1)</f>
        <v>-5.3674785318671536E-2</v>
      </c>
      <c r="CV36" s="9">
        <f ca="1">IF(OR(CV9="",CV$28&lt;$A36),"",CV9/OFFSET(ParoRegCLM!$A$2,MATCH(CV$29,ParoRegCLM!$A$2:$A$500)+$A36-1,1)-1)</f>
        <v>1.3853430578929515E-3</v>
      </c>
      <c r="CW36" s="9">
        <f ca="1">IF(OR(CW9="",CW$28&lt;$A36),"",CW9/OFFSET(ParoRegCLM!$A$2,MATCH(CW$29,ParoRegCLM!$A$2:$A$500)+$A36-1,1)-1)</f>
        <v>6.8608955505577995E-3</v>
      </c>
      <c r="CX36" s="9">
        <f ca="1">IF(OR(CX9="",CX$28&lt;$A36),"",CX9/OFFSET(ParoRegCLM!$A$2,MATCH(CX$29,ParoRegCLM!$A$2:$A$500)+$A36-1,1)-1)</f>
        <v>1.0590154035426735E-2</v>
      </c>
      <c r="CY36" s="9">
        <f ca="1">IF(OR(CY9="",CY$28&lt;$A36),"",CY9/OFFSET(ParoRegCLM!$A$2,MATCH(CY$29,ParoRegCLM!$A$2:$A$500)+$A36-1,1)-1)</f>
        <v>2.4931832239445839E-2</v>
      </c>
      <c r="CZ36" s="9">
        <f ca="1">IF(OR(CZ9="",CZ$28&lt;$A36),"",CZ9/OFFSET(ParoRegCLM!$A$2,MATCH(CZ$29,ParoRegCLM!$A$2:$A$500)+$A36-1,1)-1)</f>
        <v>-7.0100618911050905E-3</v>
      </c>
      <c r="DA36" s="9">
        <f ca="1">IF(OR(DA9="",DA$28&lt;$A36),"",DA9/OFFSET(ParoRegCLM!$A$2,MATCH(DA$29,ParoRegCLM!$A$2:$A$500)+$A36-1,1)-1)</f>
        <v>6.9735134539692822E-2</v>
      </c>
      <c r="DB36" s="9">
        <f ca="1">IF(OR(DB9="",DB$28&lt;$A36),"",DB9/OFFSET(ParoRegCLM!$A$2,MATCH(DB$29,ParoRegCLM!$A$2:$A$500)+$A36-1,1)-1)</f>
        <v>6.898324101928921E-2</v>
      </c>
      <c r="DC36" s="9">
        <f ca="1">IF(OR(DC9="",DC$28&lt;$A36),"",DC9/OFFSET(ParoRegCLM!$A$2,MATCH(DC$29,ParoRegCLM!$A$2:$A$500)+$A36-1,1)-1)</f>
        <v>2.6863869441973165E-2</v>
      </c>
      <c r="DD36" s="9">
        <f ca="1">IF(OR(DD9="",DD$28&lt;$A36),"",DD9/OFFSET(ParoRegCLM!$A$2,MATCH(DD$29,ParoRegCLM!$A$2:$A$500)+$A36-1,1)-1)</f>
        <v>7.6570224824416666E-2</v>
      </c>
      <c r="DE36" s="9">
        <f ca="1">IF(OR(DE9="",DE$28&lt;$A36),"",DE9/OFFSET(ParoRegCLM!$A$2,MATCH(DE$29,ParoRegCLM!$A$2:$A$500)+$A36-1,1)-1)</f>
        <v>0.11829563521267983</v>
      </c>
      <c r="DF36" s="9">
        <f ca="1">IF(OR(DF9="",DF$28&lt;$A36),"",DF9/OFFSET(ParoRegCLM!$A$2,MATCH(DF$29,ParoRegCLM!$A$2:$A$500)+$A36-1,1)-1)</f>
        <v>7.4201440252998463E-2</v>
      </c>
      <c r="DG36" s="9">
        <f ca="1">IF(OR(DG9="",DG$28&lt;$A36),"",DG9/OFFSET(ParoRegCLM!$A$2,MATCH(DG$29,ParoRegCLM!$A$2:$A$500)+$A36-1,1)-1)</f>
        <v>8.6554613635381195E-2</v>
      </c>
      <c r="DH36" s="9">
        <f ca="1">IF(OR(DH9="",DH$28&lt;$A36),"",DH9/OFFSET(ParoRegCLM!$A$2,MATCH(DH$29,ParoRegCLM!$A$2:$A$500)+$A36-1,1)-1)</f>
        <v>7.2409314747188036E-2</v>
      </c>
      <c r="DI36" s="9">
        <f ca="1">IF(OR(DI9="",DI$28&lt;$A36),"",DI9/OFFSET(ParoRegCLM!$A$2,MATCH(DI$29,ParoRegCLM!$A$2:$A$500)+$A36-1,1)-1)</f>
        <v>5.2521140879534967E-2</v>
      </c>
      <c r="DJ36" s="9">
        <f ca="1">IF(OR(DJ9="",DJ$28&lt;$A36),"",DJ9/OFFSET(ParoRegCLM!$A$2,MATCH(DJ$29,ParoRegCLM!$A$2:$A$500)+$A36-1,1)-1)</f>
        <v>2.003086328610082E-2</v>
      </c>
      <c r="DK36" s="9">
        <f ca="1">IF(OR(DK9="",DK$28&lt;$A36),"",DK9/OFFSET(ParoRegCLM!$A$2,MATCH(DK$29,ParoRegCLM!$A$2:$A$500)+$A36-1,1)-1)</f>
        <v>4.0677942918605936E-2</v>
      </c>
      <c r="DL36" s="9">
        <f ca="1">IF(OR(DL9="",DL$28&lt;$A36),"",DL9/OFFSET(ParoRegCLM!$A$2,MATCH(DL$29,ParoRegCLM!$A$2:$A$500)+$A36-1,1)-1)</f>
        <v>3.0551926806988483E-2</v>
      </c>
      <c r="DM36" s="9">
        <f ca="1">IF(OR(DM9="",DM$28&lt;$A36),"",DM9/OFFSET(ParoRegCLM!$A$2,MATCH(DM$29,ParoRegCLM!$A$2:$A$500)+$A36-1,1)-1)</f>
        <v>2.2988497028660904E-2</v>
      </c>
      <c r="DN36" s="9">
        <f ca="1">IF(OR(DN9="",DN$28&lt;$A36),"",DN9/OFFSET(ParoRegCLM!$A$2,MATCH(DN$29,ParoRegCLM!$A$2:$A$500)+$A36-1,1)-1)</f>
        <v>3.6523061663121359E-2</v>
      </c>
      <c r="DO36" s="9">
        <f ca="1">IF(OR(DO9="",DO$28&lt;$A36),"",DO9/OFFSET(ParoRegCLM!$A$2,MATCH(DO$29,ParoRegCLM!$A$2:$A$500)+$A36-1,1)-1)</f>
        <v>-5.865341682995906E-3</v>
      </c>
      <c r="DP36" s="9">
        <f ca="1">IF(OR(DP9="",DP$28&lt;$A36),"",DP9/OFFSET(ParoRegCLM!$A$2,MATCH(DP$29,ParoRegCLM!$A$2:$A$500)+$A36-1,1)-1)</f>
        <v>5.464062326583452E-2</v>
      </c>
      <c r="DQ36" s="9">
        <f ca="1">IF(OR(DQ9="",DQ$28&lt;$A36),"",DQ9/OFFSET(ParoRegCLM!$A$2,MATCH(DQ$29,ParoRegCLM!$A$2:$A$500)+$A36-1,1)-1)</f>
        <v>6.5579014036206695E-2</v>
      </c>
      <c r="DR36" s="9">
        <f ca="1">IF(OR(DR9="",DR$28&lt;$A36),"",DR9/OFFSET(ParoRegCLM!$A$2,MATCH(DR$29,ParoRegCLM!$A$2:$A$500)+$A36-1,1)-1)</f>
        <v>-1.2620487482843279E-2</v>
      </c>
      <c r="DS36" s="9">
        <f ca="1">IF(OR(DS9="",DS$28&lt;$A36),"",DS9/OFFSET(ParoRegCLM!$A$2,MATCH(DS$29,ParoRegCLM!$A$2:$A$500)+$A36-1,1)-1)</f>
        <v>-2.0934031307487388E-2</v>
      </c>
      <c r="DT36" s="9">
        <f ca="1">IF(OR(DT9="",DT$28&lt;$A36),"",DT9/OFFSET(ParoRegCLM!$A$2,MATCH(DT$29,ParoRegCLM!$A$2:$A$500)+$A36-1,1)-1)</f>
        <v>6.4791646222288612E-3</v>
      </c>
      <c r="DU36" s="9">
        <f ca="1">IF(OR(DU9="",DU$28&lt;$A36),"",DU9/OFFSET(ParoRegCLM!$A$2,MATCH(DU$29,ParoRegCLM!$A$2:$A$500)+$A36-1,1)-1)</f>
        <v>-1.6623710972304306E-2</v>
      </c>
      <c r="DV36" s="9">
        <f ca="1">IF(OR(DV9="",DV$28&lt;$A36),"",DV9/OFFSET(ParoRegCLM!$A$2,MATCH(DV$29,ParoRegCLM!$A$2:$A$500)+$A36-1,1)-1)</f>
        <v>-2.7102416984824407E-3</v>
      </c>
      <c r="DW36" s="9">
        <f ca="1">IF(OR(DW9="",DW$28&lt;$A36),"",DW9/OFFSET(ParoRegCLM!$A$2,MATCH(DW$29,ParoRegCLM!$A$2:$A$500)+$A36-1,1)-1)</f>
        <v>-2.5741258778612441E-2</v>
      </c>
      <c r="DX36" s="9">
        <f ca="1">IF(OR(DX9="",DX$28&lt;$A36),"",DX9/OFFSET(ParoRegCLM!$A$2,MATCH(DX$29,ParoRegCLM!$A$2:$A$500)+$A36-1,1)-1)</f>
        <v>4.9216548205643917E-3</v>
      </c>
      <c r="DY36" s="9">
        <f ca="1">IF(OR(DY9="",DY$28&lt;$A36),"",DY9/OFFSET(ParoRegCLM!$A$2,MATCH(DY$29,ParoRegCLM!$A$2:$A$500)+$A36-1,1)-1)</f>
        <v>2.2740899843118667E-2</v>
      </c>
      <c r="DZ36" s="9">
        <f ca="1">IF(OR(DZ9="",DZ$28&lt;$A36),"",DZ9/OFFSET(ParoRegCLM!$A$2,MATCH(DZ$29,ParoRegCLM!$A$2:$A$500)+$A36-1,1)-1)</f>
        <v>8.776211763158015E-3</v>
      </c>
      <c r="EA36" s="9">
        <f ca="1">IF(OR(EA9="",EA$28&lt;$A36),"",EA9/OFFSET(ParoRegCLM!$A$2,MATCH(EA$29,ParoRegCLM!$A$2:$A$500)+$A36-1,1)-1)</f>
        <v>3.3824131240876465E-2</v>
      </c>
      <c r="EB36" s="9">
        <f ca="1">IF(OR(EB9="",EB$28&lt;$A36),"",EB9/OFFSET(ParoRegCLM!$A$2,MATCH(EB$29,ParoRegCLM!$A$2:$A$500)+$A36-1,1)-1)</f>
        <v>5.860545494485403E-2</v>
      </c>
      <c r="EC36" s="9">
        <f ca="1">IF(OR(EC9="",EC$28&lt;$A36),"",EC9/OFFSET(ParoRegCLM!$A$2,MATCH(EC$29,ParoRegCLM!$A$2:$A$500)+$A36-1,1)-1)</f>
        <v>1.319327514950186E-2</v>
      </c>
      <c r="ED36" s="9">
        <f ca="1">IF(OR(ED9="",ED$28&lt;$A36),"",ED9/OFFSET(ParoRegCLM!$A$2,MATCH(ED$29,ParoRegCLM!$A$2:$A$500)+$A36-1,1)-1)</f>
        <v>1.9324171466138962E-2</v>
      </c>
      <c r="EE36" s="9">
        <f ca="1">IF(OR(EE9="",EE$28&lt;$A36),"",EE9/OFFSET(ParoRegCLM!$A$2,MATCH(EE$29,ParoRegCLM!$A$2:$A$500)+$A36-1,1)-1)</f>
        <v>9.1033858135611823E-3</v>
      </c>
      <c r="EF36" s="9">
        <f ca="1">IF(OR(EF9="",EF$28&lt;$A36),"",EF9/OFFSET(ParoRegCLM!$A$2,MATCH(EF$29,ParoRegCLM!$A$2:$A$500)+$A36-1,1)-1)</f>
        <v>-1.4739235321855171E-2</v>
      </c>
      <c r="EG36" s="9">
        <f ca="1">IF(OR(EG9="",EG$28&lt;$A36),"",EG9/OFFSET(ParoRegCLM!$A$2,MATCH(EG$29,ParoRegCLM!$A$2:$A$500)+$A36-1,1)-1)</f>
        <v>-3.6744314706573467E-2</v>
      </c>
      <c r="EH36" s="9">
        <f ca="1">IF(OR(EH9="",EH$28&lt;$A36),"",EH9/OFFSET(ParoRegCLM!$A$2,MATCH(EH$29,ParoRegCLM!$A$2:$A$500)+$A36-1,1)-1)</f>
        <v>-8.1802810859044284E-2</v>
      </c>
      <c r="EI36" s="9">
        <f ca="1">IF(OR(EI9="",EI$28&lt;$A36),"",EI9/OFFSET(ParoRegCLM!$A$2,MATCH(EI$29,ParoRegCLM!$A$2:$A$500)+$A36-1,1)-1)</f>
        <v>-7.2933851557586138E-2</v>
      </c>
      <c r="EJ36" s="9">
        <f ca="1">IF(OR(EJ9="",EJ$28&lt;$A36),"",EJ9/OFFSET(ParoRegCLM!$A$2,MATCH(EJ$29,ParoRegCLM!$A$2:$A$500)+$A36-1,1)-1)</f>
        <v>-5.5032504695456619E-2</v>
      </c>
      <c r="EK36" s="9">
        <f ca="1">IF(OR(EK9="",EK$28&lt;$A36),"",EK9/OFFSET(ParoRegCLM!$A$2,MATCH(EK$29,ParoRegCLM!$A$2:$A$500)+$A36-1,1)-1)</f>
        <v>-1.5501406626092451E-2</v>
      </c>
      <c r="EL36" s="9">
        <f ca="1">IF(OR(EL9="",EL$28&lt;$A36),"",EL9/OFFSET(ParoRegCLM!$A$2,MATCH(EL$29,ParoRegCLM!$A$2:$A$500)+$A36-1,1)-1)</f>
        <v>1.4767122924422837E-2</v>
      </c>
      <c r="EM36" s="9">
        <f ca="1">IF(OR(EM9="",EM$28&lt;$A36),"",EM9/OFFSET(ParoRegCLM!$A$2,MATCH(EM$29,ParoRegCLM!$A$2:$A$500)+$A36-1,1)-1)</f>
        <v>2.873683324611398E-2</v>
      </c>
      <c r="EN36" s="9">
        <f ca="1">IF(OR(EN9="",EN$28&lt;$A36),"",EN9/OFFSET(ParoRegCLM!$A$2,MATCH(EN$29,ParoRegCLM!$A$2:$A$500)+$A36-1,1)-1)</f>
        <v>9.0887247566601603E-2</v>
      </c>
      <c r="EO36" s="9">
        <f ca="1">IF(OR(EO9="",EO$28&lt;$A36),"",EO9/OFFSET(ParoRegCLM!$A$2,MATCH(EO$29,ParoRegCLM!$A$2:$A$500)+$A36-1,1)-1)</f>
        <v>5.6660177438471626E-2</v>
      </c>
      <c r="EP36" s="9">
        <f ca="1">IF(OR(EP9="",EP$28&lt;$A36),"",EP9/OFFSET(ParoRegCLM!$A$2,MATCH(EP$29,ParoRegCLM!$A$2:$A$500)+$A36-1,1)-1)</f>
        <v>4.8111333847420612E-2</v>
      </c>
      <c r="EQ36" s="9">
        <f ca="1">IF(OR(EQ9="",EQ$28&lt;$A36),"",EQ9/OFFSET(ParoRegCLM!$A$2,MATCH(EQ$29,ParoRegCLM!$A$2:$A$500)+$A36-1,1)-1)</f>
        <v>3.5441607814750364E-2</v>
      </c>
      <c r="ER36" s="9">
        <f ca="1">IF(OR(ER9="",ER$28&lt;$A36),"",ER9/OFFSET(ParoRegCLM!$A$2,MATCH(ER$29,ParoRegCLM!$A$2:$A$500)+$A36-1,1)-1)</f>
        <v>5.2346960832975409E-2</v>
      </c>
      <c r="ES36" s="9">
        <f ca="1">IF(OR(ES9="",ES$28&lt;$A36),"",ES9/OFFSET(ParoRegCLM!$A$2,MATCH(ES$29,ParoRegCLM!$A$2:$A$500)+$A36-1,1)-1)</f>
        <v>2.3395130633946604E-2</v>
      </c>
      <c r="ET36" s="9">
        <f ca="1">IF(OR(ET9="",ET$28&lt;$A36),"",ET9/OFFSET(ParoRegCLM!$A$2,MATCH(ET$29,ParoRegCLM!$A$2:$A$500)+$A36-1,1)-1)</f>
        <v>-2.3987954262738143E-2</v>
      </c>
      <c r="EU36" s="9">
        <f ca="1">IF(OR(EU9="",EU$28&lt;$A36),"",EU9/OFFSET(ParoRegCLM!$A$2,MATCH(EU$29,ParoRegCLM!$A$2:$A$500)+$A36-1,1)-1)</f>
        <v>-5.4877503724613974E-2</v>
      </c>
      <c r="EV36" s="9">
        <f ca="1">IF(OR(EV9="",EV$28&lt;$A36),"",EV9/OFFSET(ParoRegCLM!$A$2,MATCH(EV$29,ParoRegCLM!$A$2:$A$500)+$A36-1,1)-1)</f>
        <v>-4.8491464988533406E-2</v>
      </c>
      <c r="EW36" s="9">
        <f ca="1">IF(OR(EW9="",EW$28&lt;$A36),"",EW9/OFFSET(ParoRegCLM!$A$2,MATCH(EW$29,ParoRegCLM!$A$2:$A$500)+$A36-1,1)-1)</f>
        <v>-2.3471069656360699E-2</v>
      </c>
      <c r="EX36" s="9">
        <f ca="1">IF(OR(EX9="",EX$28&lt;$A36),"",EX9/OFFSET(ParoRegCLM!$A$2,MATCH(EX$29,ParoRegCLM!$A$2:$A$500)+$A36-1,1)-1)</f>
        <v>-7.9613991557003772E-4</v>
      </c>
      <c r="EY36" s="9">
        <f ca="1">IF(OR(EY9="",EY$28&lt;$A36),"",EY9/OFFSET(ParoRegCLM!$A$2,MATCH(EY$29,ParoRegCLM!$A$2:$A$500)+$A36-1,1)-1)</f>
        <v>-3.8691431585323399E-2</v>
      </c>
      <c r="EZ36" s="9">
        <f ca="1">IF(OR(EZ9="",EZ$28&lt;$A36),"",EZ9/OFFSET(ParoRegCLM!$A$2,MATCH(EZ$29,ParoRegCLM!$A$2:$A$500)+$A36-1,1)-1)</f>
        <v>-1.6525102238642564E-2</v>
      </c>
      <c r="FA36" s="9">
        <f ca="1">IF(OR(FA9="",FA$28&lt;$A36),"",FA9/OFFSET(ParoRegCLM!$A$2,MATCH(FA$29,ParoRegCLM!$A$2:$A$500)+$A36-1,1)-1)</f>
        <v>2.2720038587328073E-2</v>
      </c>
      <c r="FB36" s="9">
        <f ca="1">IF(OR(FB9="",FB$28&lt;$A36),"",FB9/OFFSET(ParoRegCLM!$A$2,MATCH(FB$29,ParoRegCLM!$A$2:$A$500)+$A36-1,1)-1)</f>
        <v>-1.1763579152869963E-2</v>
      </c>
      <c r="FC36" s="9">
        <f ca="1">IF(OR(FC9="",FC$28&lt;$A36),"",FC9/OFFSET(ParoRegCLM!$A$2,MATCH(FC$29,ParoRegCLM!$A$2:$A$500)+$A36-1,1)-1)</f>
        <v>-2.102880330139556E-2</v>
      </c>
      <c r="FD36" s="9">
        <f ca="1">IF(OR(FD9="",FD$28&lt;$A36),"",FD9/OFFSET(ParoRegCLM!$A$2,MATCH(FD$29,ParoRegCLM!$A$2:$A$500)+$A36-1,1)-1)</f>
        <v>-3.8945893025062461E-2</v>
      </c>
      <c r="FE36" s="9">
        <f ca="1">IF(OR(FE9="",FE$28&lt;$A36),"",FE9/OFFSET(ParoRegCLM!$A$2,MATCH(FE$29,ParoRegCLM!$A$2:$A$500)+$A36-1,1)-1)</f>
        <v>-6.667543351650318E-3</v>
      </c>
      <c r="FF36" s="9">
        <f ca="1">IF(OR(FF9="",FF$28&lt;$A36),"",FF9/OFFSET(ParoRegCLM!$A$2,MATCH(FF$29,ParoRegCLM!$A$2:$A$500)+$A36-1,1)-1)</f>
        <v>6.2054438007592916E-2</v>
      </c>
      <c r="FG36" s="9">
        <f ca="1">IF(OR(FG9="",FG$28&lt;$A36),"",FG9/OFFSET(ParoRegCLM!$A$2,MATCH(FG$29,ParoRegCLM!$A$2:$A$500)+$A36-1,1)-1)</f>
        <v>6.5379153836384596E-2</v>
      </c>
      <c r="FH36" s="9">
        <f ca="1">IF(OR(FH9="",FH$28&lt;$A36),"",FH9/OFFSET(ParoRegCLM!$A$2,MATCH(FH$29,ParoRegCLM!$A$2:$A$500)+$A36-1,1)-1)</f>
        <v>6.6899213283835302E-3</v>
      </c>
      <c r="FI36" s="9">
        <f ca="1">IF(OR(FI9="",FI$28&lt;$A36),"",FI9/OFFSET(ParoRegCLM!$A$2,MATCH(FI$29,ParoRegCLM!$A$2:$A$500)+$A36-1,1)-1)</f>
        <v>1.8582511862217377E-2</v>
      </c>
      <c r="FJ36" s="9">
        <f ca="1">IF(OR(FJ9="",FJ$28&lt;$A36),"",FJ9/OFFSET(ParoRegCLM!$A$2,MATCH(FJ$29,ParoRegCLM!$A$2:$A$500)+$A36-1,1)-1)</f>
        <v>-1.5262609932726101E-2</v>
      </c>
      <c r="FK36" s="9">
        <f ca="1">IF(OR(FK9="",FK$28&lt;$A36),"",FK9/OFFSET(ParoRegCLM!$A$2,MATCH(FK$29,ParoRegCLM!$A$2:$A$500)+$A36-1,1)-1)</f>
        <v>2.57202588701122E-2</v>
      </c>
      <c r="FL36" s="9">
        <f ca="1">IF(OR(FL9="",FL$28&lt;$A36),"",FL9/OFFSET(ParoRegCLM!$A$2,MATCH(FL$29,ParoRegCLM!$A$2:$A$500)+$A36-1,1)-1)</f>
        <v>-8.1495601853156852E-2</v>
      </c>
      <c r="FM36" s="9">
        <f ca="1">IF(OR(FM9="",FM$28&lt;$A36),"",FM9/OFFSET(ParoRegCLM!$A$2,MATCH(FM$29,ParoRegCLM!$A$2:$A$500)+$A36-1,1)-1)</f>
        <v>-0.1054360692338302</v>
      </c>
      <c r="FN36" s="9">
        <f ca="1">IF(OR(FN9="",FN$28&lt;$A36),"",FN9/OFFSET(ParoRegCLM!$A$2,MATCH(FN$29,ParoRegCLM!$A$2:$A$500)+$A36-1,1)-1)</f>
        <v>-7.313597065879196E-2</v>
      </c>
      <c r="FO36" s="9">
        <f ca="1">IF(OR(FO9="",FO$28&lt;$A36),"",FO9/OFFSET(ParoRegCLM!$A$2,MATCH(FO$29,ParoRegCLM!$A$2:$A$500)+$A36-1,1)-1)</f>
        <v>-3.3637535106180172E-2</v>
      </c>
      <c r="FP36" s="9">
        <f ca="1">IF(OR(FP9="",FP$28&lt;$A36),"",FP9/OFFSET(ParoRegCLM!$A$2,MATCH(FP$29,ParoRegCLM!$A$2:$A$500)+$A36-1,1)-1)</f>
        <v>-4.5068741764866305E-2</v>
      </c>
      <c r="FQ36" s="9">
        <f ca="1">IF(OR(FQ9="",FQ$28&lt;$A36),"",FQ9/OFFSET(ParoRegCLM!$A$2,MATCH(FQ$29,ParoRegCLM!$A$2:$A$500)+$A36-1,1)-1)</f>
        <v>-2.1604816916553915E-3</v>
      </c>
      <c r="FR36" s="9">
        <f ca="1">IF(OR(FR9="",FR$28&lt;$A36),"",FR9/OFFSET(ParoRegCLM!$A$2,MATCH(FR$29,ParoRegCLM!$A$2:$A$500)+$A36-1,1)-1)</f>
        <v>6.5873010051682224E-2</v>
      </c>
      <c r="FS36" s="9">
        <f ca="1">IF(OR(FS9="",FS$28&lt;$A36),"",FS9/OFFSET(ParoRegCLM!$A$2,MATCH(FS$29,ParoRegCLM!$A$2:$A$500)+$A36-1,1)-1)</f>
        <v>0.10629770926303617</v>
      </c>
      <c r="FT36" s="9">
        <f ca="1">IF(OR(FT9="",FT$28&lt;$A36),"",FT9/OFFSET(ParoRegCLM!$A$2,MATCH(FT$29,ParoRegCLM!$A$2:$A$500)+$A36-1,1)-1)</f>
        <v>9.872552135437962E-2</v>
      </c>
      <c r="FU36" s="9">
        <f ca="1">IF(OR(FU9="",FU$28&lt;$A36),"",FU9/OFFSET(ParoRegCLM!$A$2,MATCH(FU$29,ParoRegCLM!$A$2:$A$500)+$A36-1,1)-1)</f>
        <v>8.8869239108290365E-2</v>
      </c>
      <c r="FV36" s="9">
        <f ca="1">IF(OR(FV9="",FV$28&lt;$A36),"",FV9/OFFSET(ParoRegCLM!$A$2,MATCH(FV$29,ParoRegCLM!$A$2:$A$500)+$A36-1,1)-1)</f>
        <v>9.6907081208914336E-2</v>
      </c>
      <c r="FW36" s="9">
        <f ca="1">IF(OR(FW9="",FW$28&lt;$A36),"",FW9/OFFSET(ParoRegCLM!$A$2,MATCH(FW$29,ParoRegCLM!$A$2:$A$500)+$A36-1,1)-1)</f>
        <v>7.2016504308202167E-2</v>
      </c>
      <c r="FX36" s="9">
        <f ca="1">IF(OR(FX9="",FX$28&lt;$A36),"",FX9/OFFSET(ParoRegCLM!$A$2,MATCH(FX$29,ParoRegCLM!$A$2:$A$500)+$A36-1,1)-1)</f>
        <v>8.7096700899815804E-3</v>
      </c>
      <c r="FY36" s="9">
        <f ca="1">IF(OR(FY9="",FY$28&lt;$A36),"",FY9/OFFSET(ParoRegCLM!$A$2,MATCH(FY$29,ParoRegCLM!$A$2:$A$500)+$A36-1,1)-1)</f>
        <v>-6.005525610931628E-2</v>
      </c>
      <c r="FZ36" s="9">
        <f ca="1">IF(OR(FZ9="",FZ$28&lt;$A36),"",FZ9/OFFSET(ParoRegCLM!$A$2,MATCH(FZ$29,ParoRegCLM!$A$2:$A$500)+$A36-1,1)-1)</f>
        <v>-0.12216093211374102</v>
      </c>
      <c r="GA36" s="9">
        <f ca="1">IF(OR(GA9="",GA$28&lt;$A36),"",GA9/OFFSET(ParoRegCLM!$A$2,MATCH(GA$29,ParoRegCLM!$A$2:$A$500)+$A36-1,1)-1)</f>
        <v>-0.11244539778284646</v>
      </c>
      <c r="GB36" s="9">
        <f ca="1">IF(OR(GB9="",GB$28&lt;$A36),"",GB9/OFFSET(ParoRegCLM!$A$2,MATCH(GB$29,ParoRegCLM!$A$2:$A$500)+$A36-1,1)-1)</f>
        <v>-0.12511974843440077</v>
      </c>
      <c r="GC36" s="9">
        <f ca="1">IF(OR(GC9="",GC$28&lt;$A36),"",GC9/OFFSET(ParoRegCLM!$A$2,MATCH(GC$29,ParoRegCLM!$A$2:$A$500)+$A36-1,1)-1)</f>
        <v>-0.11508422091977388</v>
      </c>
      <c r="GD36" s="9">
        <f ca="1">IF(OR(GD9="",GD$28&lt;$A36),"",GD9/OFFSET(ParoRegCLM!$A$2,MATCH(GD$29,ParoRegCLM!$A$2:$A$500)+$A36-1,1)-1)</f>
        <v>-7.9201822577045111E-2</v>
      </c>
      <c r="GE36" s="9">
        <f ca="1">IF(OR(GE9="",GE$28&lt;$A36),"",GE9/OFFSET(ParoRegCLM!$A$2,MATCH(GE$29,ParoRegCLM!$A$2:$A$500)+$A36-1,1)-1)</f>
        <v>-4.2945080707813776E-2</v>
      </c>
      <c r="GF36" s="9">
        <f ca="1">IF(OR(GF9="",GF$28&lt;$A36),"",GF9/OFFSET(ParoRegCLM!$A$2,MATCH(GF$29,ParoRegCLM!$A$2:$A$500)+$A36-1,1)-1)</f>
        <v>-2.3458959869300244E-2</v>
      </c>
      <c r="GG36" s="9">
        <f ca="1">IF(OR(GG9="",GG$28&lt;$A36),"",GG9/OFFSET(ParoRegCLM!$A$2,MATCH(GG$29,ParoRegCLM!$A$2:$A$500)+$A36-1,1)-1)</f>
        <v>7.8507714820750252E-3</v>
      </c>
      <c r="GH36" s="9">
        <f ca="1">IF(OR(GH9="",GH$28&lt;$A36),"",GH9/OFFSET(ParoRegCLM!$A$2,MATCH(GH$29,ParoRegCLM!$A$2:$A$500)+$A36-1,1)-1)</f>
        <v>-4.3644968751096136E-2</v>
      </c>
      <c r="GI36" s="9">
        <f ca="1">IF(OR(GI9="",GI$28&lt;$A36),"",GI9/OFFSET(ParoRegCLM!$A$2,MATCH(GI$29,ParoRegCLM!$A$2:$A$500)+$A36-1,1)-1)</f>
        <v>-8.8707560765239335E-2</v>
      </c>
      <c r="GJ36" s="9">
        <f ca="1">IF(OR(GJ9="",GJ$28&lt;$A36),"",GJ9/OFFSET(ParoRegCLM!$A$2,MATCH(GJ$29,ParoRegCLM!$A$2:$A$500)+$A36-1,1)-1)</f>
        <v>-8.3420723032608501E-2</v>
      </c>
      <c r="GK36" s="9">
        <f ca="1">IF(OR(GK9="",GK$28&lt;$A36),"",GK9/OFFSET(ParoRegCLM!$A$2,MATCH(GK$29,ParoRegCLM!$A$2:$A$500)+$A36-1,1)-1)</f>
        <v>-8.1505204010034804E-2</v>
      </c>
      <c r="GL36" s="9">
        <f ca="1">IF(OR(GL9="",GL$28&lt;$A36),"",GL9/OFFSET(ParoRegCLM!$A$2,MATCH(GL$29,ParoRegCLM!$A$2:$A$500)+$A36-1,1)-1)</f>
        <v>-9.5136702425681285E-2</v>
      </c>
      <c r="GM36" s="9">
        <f ca="1">IF(OR(GM9="",GM$28&lt;$A36),"",GM9/OFFSET(ParoRegCLM!$A$2,MATCH(GM$29,ParoRegCLM!$A$2:$A$500)+$A36-1,1)-1)</f>
        <v>-8.4440706693548861E-2</v>
      </c>
      <c r="GN36" s="9">
        <f ca="1">IF(OR(GN9="",GN$28&lt;$A36),"",GN9/OFFSET(ParoRegCLM!$A$2,MATCH(GN$29,ParoRegCLM!$A$2:$A$500)+$A36-1,1)-1)</f>
        <v>-9.4964801725862524E-2</v>
      </c>
      <c r="GO36" s="9">
        <f ca="1">IF(OR(GO9="",GO$28&lt;$A36),"",GO9/OFFSET(ParoRegCLM!$A$2,MATCH(GO$29,ParoRegCLM!$A$2:$A$500)+$A36-1,1)-1)</f>
        <v>4.3970652718689829E-2</v>
      </c>
      <c r="GP36" s="9">
        <f ca="1">IF(OR(GP9="",GP$28&lt;$A36),"",GP9/OFFSET(ParoRegCLM!$A$2,MATCH(GP$29,ParoRegCLM!$A$2:$A$500)+$A36-1,1)-1)</f>
        <v>0.22481320108890746</v>
      </c>
      <c r="GQ36" s="9">
        <f ca="1">IF(OR(GQ9="",GQ$28&lt;$A36),"",GQ9/OFFSET(ParoRegCLM!$A$2,MATCH(GQ$29,ParoRegCLM!$A$2:$A$500)+$A36-1,1)-1)</f>
        <v>0.11261747460807592</v>
      </c>
      <c r="GR36" s="9">
        <f ca="1">IF(OR(GR9="",GR$28&lt;$A36),"",GR9/OFFSET(ParoRegCLM!$A$2,MATCH(GR$29,ParoRegCLM!$A$2:$A$500)+$A36-1,1)-1)</f>
        <v>9.2288765214634916E-2</v>
      </c>
      <c r="GS36" s="9" t="str">
        <f ca="1">IF(OR(GS9="",GS$28&lt;$A36),"",GS9/OFFSET(ParoRegCLM!$A$2,MATCH(GS$29,ParoRegCLM!$A$2:$A$500)+$A36-1,1)-1)</f>
        <v/>
      </c>
      <c r="GT36" s="9" t="str">
        <f ca="1">IF(OR(GT9="",GT$28&lt;$A36),"",GT9/OFFSET(ParoRegCLM!$A$2,MATCH(GT$29,ParoRegCLM!$A$2:$A$500)+$A36-1,1)-1)</f>
        <v/>
      </c>
      <c r="GU36" s="9" t="str">
        <f ca="1">IF(OR(GU9="",GU$28&lt;$A36),"",GU9/OFFSET(ParoRegCLM!$A$2,MATCH(GU$29,ParoRegCLM!$A$2:$A$500)+$A36-1,1)-1)</f>
        <v/>
      </c>
      <c r="GV36" s="9" t="str">
        <f ca="1">IF(OR(GV9="",GV$28&lt;$A36),"",GV9/OFFSET(ParoRegCLM!$A$2,MATCH(GV$29,ParoRegCLM!$A$2:$A$500)+$A36-1,1)-1)</f>
        <v/>
      </c>
      <c r="GW36" s="9" t="str">
        <f ca="1">IF(OR(GW9="",GW$28&lt;$A36),"",GW9/OFFSET(ParoRegCLM!$A$2,MATCH(GW$29,ParoRegCLM!$A$2:$A$500)+$A36-1,1)-1)</f>
        <v/>
      </c>
      <c r="GX36" s="9" t="str">
        <f ca="1">IF(OR(GX9="",GX$28&lt;$A36),"",GX9/OFFSET(ParoRegCLM!$A$2,MATCH(GX$29,ParoRegCLM!$A$2:$A$500)+$A36-1,1)-1)</f>
        <v/>
      </c>
      <c r="GY36" s="9" t="str">
        <f ca="1">IF(OR(GY9="",GY$28&lt;$A36),"",GY9/OFFSET(ParoRegCLM!$A$2,MATCH(GY$29,ParoRegCLM!$A$2:$A$500)+$A36-1,1)-1)</f>
        <v/>
      </c>
      <c r="GZ36" s="9" t="str">
        <f ca="1">IF(OR(GZ9="",GZ$28&lt;$A36),"",GZ9/OFFSET(ParoRegCLM!$A$2,MATCH(GZ$29,ParoRegCLM!$A$2:$A$500)+$A36-1,1)-1)</f>
        <v/>
      </c>
      <c r="HA36" s="9" t="str">
        <f ca="1">IF(OR(HA9="",HA$28&lt;$A36),"",HA9/OFFSET(ParoRegCLM!$A$2,MATCH(HA$29,ParoRegCLM!$A$2:$A$500)+$A36-1,1)-1)</f>
        <v/>
      </c>
      <c r="HB36" s="9" t="str">
        <f ca="1">IF(OR(HB9="",HB$28&lt;$A36),"",HB9/OFFSET(ParoRegCLM!$A$2,MATCH(HB$29,ParoRegCLM!$A$2:$A$500)+$A36-1,1)-1)</f>
        <v/>
      </c>
      <c r="HC36" s="9" t="str">
        <f ca="1">IF(OR(HC9="",HC$28&lt;$A36),"",HC9/OFFSET(ParoRegCLM!$A$2,MATCH(HC$29,ParoRegCLM!$A$2:$A$500)+$A36-1,1)-1)</f>
        <v/>
      </c>
      <c r="HD36" s="9" t="str">
        <f ca="1">IF(OR(HD9="",HD$28&lt;$A36),"",HD9/OFFSET(ParoRegCLM!$A$2,MATCH(HD$29,ParoRegCLM!$A$2:$A$500)+$A36-1,1)-1)</f>
        <v/>
      </c>
      <c r="HE36" s="9" t="str">
        <f ca="1">IF(OR(HE9="",HE$28&lt;$A36),"",HE9/OFFSET(ParoRegCLM!$A$2,MATCH(HE$29,ParoRegCLM!$A$2:$A$500)+$A36-1,1)-1)</f>
        <v/>
      </c>
      <c r="HF36" s="9" t="str">
        <f ca="1">IF(OR(HF9="",HF$28&lt;$A36),"",HF9/OFFSET(ParoRegCLM!$A$2,MATCH(HF$29,ParoRegCLM!$A$2:$A$500)+$A36-1,1)-1)</f>
        <v/>
      </c>
      <c r="HG36" s="9" t="str">
        <f ca="1">IF(OR(HG9="",HG$28&lt;$A36),"",HG9/OFFSET(ParoRegCLM!$A$2,MATCH(HG$29,ParoRegCLM!$A$2:$A$500)+$A36-1,1)-1)</f>
        <v/>
      </c>
      <c r="HH36" s="9" t="str">
        <f ca="1">IF(OR(HH9="",HH$28&lt;$A36),"",HH9/OFFSET(ParoRegCLM!$A$2,MATCH(HH$29,ParoRegCLM!$A$2:$A$500)+$A36-1,1)-1)</f>
        <v/>
      </c>
      <c r="HI36" s="9" t="str">
        <f ca="1">IF(OR(HI9="",HI$28&lt;$A36),"",HI9/OFFSET(ParoRegCLM!$A$2,MATCH(HI$29,ParoRegCLM!$A$2:$A$500)+$A36-1,1)-1)</f>
        <v/>
      </c>
      <c r="HJ36" s="9" t="str">
        <f ca="1">IF(OR(HJ9="",HJ$28&lt;$A36),"",HJ9/OFFSET(ParoRegCLM!$A$2,MATCH(HJ$29,ParoRegCLM!$A$2:$A$500)+$A36-1,1)-1)</f>
        <v/>
      </c>
      <c r="HK36" s="9" t="str">
        <f ca="1">IF(OR(HK9="",HK$28&lt;$A36),"",HK9/OFFSET(ParoRegCLM!$A$2,MATCH(HK$29,ParoRegCLM!$A$2:$A$500)+$A36-1,1)-1)</f>
        <v/>
      </c>
      <c r="HL36" s="9" t="str">
        <f ca="1">IF(OR(HL9="",HL$28&lt;$A36),"",HL9/OFFSET(ParoRegCLM!$A$2,MATCH(HL$29,ParoRegCLM!$A$2:$A$500)+$A36-1,1)-1)</f>
        <v/>
      </c>
      <c r="HM36" s="9" t="str">
        <f ca="1">IF(OR(HM9="",HM$28&lt;$A36),"",HM9/OFFSET(ParoRegCLM!$A$2,MATCH(HM$29,ParoRegCLM!$A$2:$A$500)+$A36-1,1)-1)</f>
        <v/>
      </c>
      <c r="HN36" s="9" t="str">
        <f ca="1">IF(OR(HN9="",HN$28&lt;$A36),"",HN9/OFFSET(ParoRegCLM!$A$2,MATCH(HN$29,ParoRegCLM!$A$2:$A$500)+$A36-1,1)-1)</f>
        <v/>
      </c>
      <c r="HO36" s="9" t="str">
        <f ca="1">IF(OR(HO9="",HO$28&lt;$A36),"",HO9/OFFSET(ParoRegCLM!$A$2,MATCH(HO$29,ParoRegCLM!$A$2:$A$500)+$A36-1,1)-1)</f>
        <v/>
      </c>
      <c r="HP36" s="9" t="str">
        <f ca="1">IF(OR(HP9="",HP$28&lt;$A36),"",HP9/OFFSET(ParoRegCLM!$A$2,MATCH(HP$29,ParoRegCLM!$A$2:$A$500)+$A36-1,1)-1)</f>
        <v/>
      </c>
      <c r="HQ36" s="9" t="str">
        <f ca="1">IF(OR(HQ9="",HQ$28&lt;$A36),"",HQ9/OFFSET(ParoRegCLM!$A$2,MATCH(HQ$29,ParoRegCLM!$A$2:$A$500)+$A36-1,1)-1)</f>
        <v/>
      </c>
      <c r="HR36" s="9" t="str">
        <f ca="1">IF(OR(HR9="",HR$28&lt;$A36),"",HR9/OFFSET(ParoRegCLM!$A$2,MATCH(HR$29,ParoRegCLM!$A$2:$A$500)+$A36-1,1)-1)</f>
        <v/>
      </c>
      <c r="HS36" s="9" t="str">
        <f ca="1">IF(OR(HS9="",HS$28&lt;$A36),"",HS9/OFFSET(ParoRegCLM!$A$2,MATCH(HS$29,ParoRegCLM!$A$2:$A$500)+$A36-1,1)-1)</f>
        <v/>
      </c>
      <c r="HT36" s="9" t="str">
        <f ca="1">IF(OR(HT9="",HT$28&lt;$A36),"",HT9/OFFSET(ParoRegCLM!$A$2,MATCH(HT$29,ParoRegCLM!$A$2:$A$500)+$A36-1,1)-1)</f>
        <v/>
      </c>
      <c r="HU36" s="9" t="str">
        <f ca="1">IF(OR(HU9="",HU$28&lt;$A36),"",HU9/OFFSET(ParoRegCLM!$A$2,MATCH(HU$29,ParoRegCLM!$A$2:$A$500)+$A36-1,1)-1)</f>
        <v/>
      </c>
      <c r="HV36" s="9" t="str">
        <f ca="1">IF(OR(HV9="",HV$28&lt;$A36),"",HV9/OFFSET(ParoRegCLM!$A$2,MATCH(HV$29,ParoRegCLM!$A$2:$A$500)+$A36-1,1)-1)</f>
        <v/>
      </c>
      <c r="HW36" s="9" t="str">
        <f ca="1">IF(OR(HW9="",HW$28&lt;$A36),"",HW9/OFFSET(ParoRegCLM!$A$2,MATCH(HW$29,ParoRegCLM!$A$2:$A$500)+$A36-1,1)-1)</f>
        <v/>
      </c>
      <c r="HX36" s="9" t="str">
        <f ca="1">IF(OR(HX9="",HX$28&lt;$A36),"",HX9/OFFSET(ParoRegCLM!$A$2,MATCH(HX$29,ParoRegCLM!$A$2:$A$500)+$A36-1,1)-1)</f>
        <v/>
      </c>
      <c r="HY36" s="9" t="str">
        <f ca="1">IF(OR(HY9="",HY$28&lt;$A36),"",HY9/OFFSET(ParoRegCLM!$A$2,MATCH(HY$29,ParoRegCLM!$A$2:$A$500)+$A36-1,1)-1)</f>
        <v/>
      </c>
      <c r="HZ36" s="9" t="str">
        <f ca="1">IF(OR(HZ9="",HZ$28&lt;$A36),"",HZ9/OFFSET(ParoRegCLM!$A$2,MATCH(HZ$29,ParoRegCLM!$A$2:$A$500)+$A36-1,1)-1)</f>
        <v/>
      </c>
      <c r="IA36" s="9" t="str">
        <f ca="1">IF(OR(IA9="",IA$28&lt;$A36),"",IA9/OFFSET(ParoRegCLM!$A$2,MATCH(IA$29,ParoRegCLM!$A$2:$A$500)+$A36-1,1)-1)</f>
        <v/>
      </c>
      <c r="IB36" s="9" t="str">
        <f ca="1">IF(OR(IB9="",IB$28&lt;$A36),"",IB9/OFFSET(ParoRegCLM!$A$2,MATCH(IB$29,ParoRegCLM!$A$2:$A$500)+$A36-1,1)-1)</f>
        <v/>
      </c>
      <c r="IC36" s="9" t="str">
        <f ca="1">IF(OR(IC9="",IC$28&lt;$A36),"",IC9/OFFSET(ParoRegCLM!$A$2,MATCH(IC$29,ParoRegCLM!$A$2:$A$500)+$A36-1,1)-1)</f>
        <v/>
      </c>
      <c r="ID36" s="9" t="str">
        <f ca="1">IF(OR(ID9="",ID$28&lt;$A36),"",ID9/OFFSET(ParoRegCLM!$A$2,MATCH(ID$29,ParoRegCLM!$A$2:$A$500)+$A36-1,1)-1)</f>
        <v/>
      </c>
      <c r="IE36" s="9" t="str">
        <f ca="1">IF(OR(IE9="",IE$28&lt;$A36),"",IE9/OFFSET(ParoRegCLM!$A$2,MATCH(IE$29,ParoRegCLM!$A$2:$A$500)+$A36-1,1)-1)</f>
        <v/>
      </c>
      <c r="IF36" s="9" t="str">
        <f ca="1">IF(OR(IF9="",IF$28&lt;$A36),"",IF9/OFFSET(ParoRegCLM!$A$2,MATCH(IF$29,ParoRegCLM!$A$2:$A$500)+$A36-1,1)-1)</f>
        <v/>
      </c>
      <c r="IG36" s="9" t="str">
        <f ca="1">IF(OR(IG9="",IG$28&lt;$A36),"",IG9/OFFSET(ParoRegCLM!$A$2,MATCH(IG$29,ParoRegCLM!$A$2:$A$500)+$A36-1,1)-1)</f>
        <v/>
      </c>
      <c r="IH36" s="9" t="str">
        <f ca="1">IF(OR(IH9="",IH$28&lt;$A36),"",IH9/OFFSET(ParoRegCLM!$A$2,MATCH(IH$29,ParoRegCLM!$A$2:$A$500)+$A36-1,1)-1)</f>
        <v/>
      </c>
      <c r="II36" s="9" t="str">
        <f ca="1">IF(OR(II9="",II$28&lt;$A36),"",II9/OFFSET(ParoRegCLM!$A$2,MATCH(II$29,ParoRegCLM!$A$2:$A$500)+$A36-1,1)-1)</f>
        <v/>
      </c>
      <c r="IJ36" s="9" t="str">
        <f ca="1">IF(OR(IJ9="",IJ$28&lt;$A36),"",IJ9/OFFSET(ParoRegCLM!$A$2,MATCH(IJ$29,ParoRegCLM!$A$2:$A$500)+$A36-1,1)-1)</f>
        <v/>
      </c>
      <c r="IK36" s="9" t="str">
        <f ca="1">IF(OR(IK9="",IK$28&lt;$A36),"",IK9/OFFSET(ParoRegCLM!$A$2,MATCH(IK$29,ParoRegCLM!$A$2:$A$500)+$A36-1,1)-1)</f>
        <v/>
      </c>
      <c r="IL36" s="9" t="str">
        <f ca="1">IF(OR(IL9="",IL$28&lt;$A36),"",IL9/OFFSET(ParoRegCLM!$A$2,MATCH(IL$29,ParoRegCLM!$A$2:$A$500)+$A36-1,1)-1)</f>
        <v/>
      </c>
      <c r="IM36" s="9" t="str">
        <f ca="1">IF(OR(IM9="",IM$28&lt;$A36),"",IM9/OFFSET(ParoRegCLM!$A$2,MATCH(IM$29,ParoRegCLM!$A$2:$A$500)+$A36-1,1)-1)</f>
        <v/>
      </c>
      <c r="IN36" s="9" t="str">
        <f ca="1">IF(OR(IN9="",IN$28&lt;$A36),"",IN9/OFFSET(ParoRegCLM!$A$2,MATCH(IN$29,ParoRegCLM!$A$2:$A$500)+$A36-1,1)-1)</f>
        <v/>
      </c>
      <c r="IO36" s="9" t="str">
        <f ca="1">IF(OR(IO9="",IO$28&lt;$A36),"",IO9/OFFSET(ParoRegCLM!$A$2,MATCH(IO$29,ParoRegCLM!$A$2:$A$500)+$A36-1,1)-1)</f>
        <v/>
      </c>
      <c r="IP36" s="9" t="str">
        <f ca="1">IF(OR(IP9="",IP$28&lt;$A36),"",IP9/OFFSET(ParoRegCLM!$A$2,MATCH(IP$29,ParoRegCLM!$A$2:$A$500)+$A36-1,1)-1)</f>
        <v/>
      </c>
      <c r="IQ36" s="9" t="str">
        <f ca="1">IF(OR(IQ9="",IQ$28&lt;$A36),"",IQ9/OFFSET(ParoRegCLM!$A$2,MATCH(IQ$29,ParoRegCLM!$A$2:$A$500)+$A36-1,1)-1)</f>
        <v/>
      </c>
      <c r="IR36" s="9" t="str">
        <f ca="1">IF(OR(IR9="",IR$28&lt;$A36),"",IR9/OFFSET(ParoRegCLM!$A$2,MATCH(IR$29,ParoRegCLM!$A$2:$A$500)+$A36-1,1)-1)</f>
        <v/>
      </c>
      <c r="IS36" s="9" t="str">
        <f ca="1">IF(OR(IS9="",IS$28&lt;$A36),"",IS9/OFFSET(ParoRegCLM!$A$2,MATCH(IS$29,ParoRegCLM!$A$2:$A$500)+$A36-1,1)-1)</f>
        <v/>
      </c>
      <c r="IT36" s="9" t="str">
        <f ca="1">IF(OR(IT9="",IT$28&lt;$A36),"",IT9/OFFSET(ParoRegCLM!$A$2,MATCH(IT$29,ParoRegCLM!$A$2:$A$500)+$A36-1,1)-1)</f>
        <v/>
      </c>
      <c r="IU36" s="9" t="str">
        <f ca="1">IF(OR(IU9="",IU$28&lt;$A36),"",IU9/OFFSET(ParoRegCLM!$A$2,MATCH(IU$29,ParoRegCLM!$A$2:$A$500)+$A36-1,1)-1)</f>
        <v/>
      </c>
      <c r="IV36" s="9" t="str">
        <f ca="1">IF(OR(IV9="",IV$28&lt;$A36),"",IV9/OFFSET(ParoRegCLM!$A$2,MATCH(IV$29,ParoRegCLM!$A$2:$A$500)+$A36-1,1)-1)</f>
        <v/>
      </c>
      <c r="IW36" s="9" t="str">
        <f ca="1">IF(OR(IW9="",IW$28&lt;$A36),"",IW9/OFFSET(ParoRegCLM!$A$2,MATCH(IW$29,ParoRegCLM!$A$2:$A$500)+$A36-1,1)-1)</f>
        <v/>
      </c>
      <c r="IX36" s="9" t="str">
        <f ca="1">IF(OR(IX9="",IX$28&lt;$A36),"",IX9/OFFSET(ParoRegCLM!$A$2,MATCH(IX$29,ParoRegCLM!$A$2:$A$500)+$A36-1,1)-1)</f>
        <v/>
      </c>
      <c r="IY36" s="9" t="str">
        <f ca="1">IF(OR(IY9="",IY$28&lt;$A36),"",IY9/OFFSET(ParoRegCLM!$A$2,MATCH(IY$29,ParoRegCLM!$A$2:$A$500)+$A36-1,1)-1)</f>
        <v/>
      </c>
      <c r="IZ36" s="9" t="str">
        <f ca="1">IF(OR(IZ9="",IZ$28&lt;$A36),"",IZ9/OFFSET(ParoRegCLM!$A$2,MATCH(IZ$29,ParoRegCLM!$A$2:$A$500)+$A36-1,1)-1)</f>
        <v/>
      </c>
      <c r="JA36" s="9" t="str">
        <f ca="1">IF(OR(JA9="",JA$28&lt;$A36),"",JA9/OFFSET(ParoRegCLM!$A$2,MATCH(JA$29,ParoRegCLM!$A$2:$A$500)+$A36-1,1)-1)</f>
        <v/>
      </c>
      <c r="JB36" s="9" t="str">
        <f ca="1">IF(OR(JB9="",JB$28&lt;$A36),"",JB9/OFFSET(ParoRegCLM!$A$2,MATCH(JB$29,ParoRegCLM!$A$2:$A$500)+$A36-1,1)-1)</f>
        <v/>
      </c>
      <c r="JC36" s="9" t="str">
        <f ca="1">IF(OR(JC9="",JC$28&lt;$A36),"",JC9/OFFSET(ParoRegCLM!$A$2,MATCH(JC$29,ParoRegCLM!$A$2:$A$500)+$A36-1,1)-1)</f>
        <v/>
      </c>
      <c r="JD36" s="9" t="str">
        <f ca="1">IF(OR(JD9="",JD$28&lt;$A36),"",JD9/OFFSET(ParoRegCLM!$A$2,MATCH(JD$29,ParoRegCLM!$A$2:$A$500)+$A36-1,1)-1)</f>
        <v/>
      </c>
      <c r="JE36" s="9" t="str">
        <f ca="1">IF(OR(JE9="",JE$28&lt;$A36),"",JE9/OFFSET(ParoRegCLM!$A$2,MATCH(JE$29,ParoRegCLM!$A$2:$A$500)+$A36-1,1)-1)</f>
        <v/>
      </c>
      <c r="JF36" s="9" t="str">
        <f ca="1">IF(OR(JF9="",JF$28&lt;$A36),"",JF9/OFFSET(ParoRegCLM!$A$2,MATCH(JF$29,ParoRegCLM!$A$2:$A$500)+$A36-1,1)-1)</f>
        <v/>
      </c>
      <c r="JG36" s="9" t="str">
        <f ca="1">IF(OR(JG9="",JG$28&lt;$A36),"",JG9/OFFSET(ParoRegCLM!$A$2,MATCH(JG$29,ParoRegCLM!$A$2:$A$500)+$A36-1,1)-1)</f>
        <v/>
      </c>
      <c r="JH36" s="9" t="str">
        <f ca="1">IF(OR(JH9="",JH$28&lt;$A36),"",JH9/OFFSET(ParoRegCLM!$A$2,MATCH(JH$29,ParoRegCLM!$A$2:$A$500)+$A36-1,1)-1)</f>
        <v/>
      </c>
      <c r="JI36" s="13">
        <f t="shared" ca="1" si="14"/>
        <v>-8.4111773968962422E-3</v>
      </c>
      <c r="JJ36" s="13">
        <f t="shared" ca="1" si="15"/>
        <v>-3.320202028855701E-2</v>
      </c>
      <c r="JK36" s="14">
        <f t="shared" ca="1" si="16"/>
        <v>8.4647190976065191E-3</v>
      </c>
      <c r="JL36" s="17">
        <f t="shared" ca="1" si="19"/>
        <v>9.200390805616096E-2</v>
      </c>
      <c r="JM36" s="15" t="str">
        <f t="shared" ca="1" si="17"/>
        <v>[ -19,24% ; 17,56% ]</v>
      </c>
      <c r="JN36" s="17">
        <f t="shared" ca="1" si="18"/>
        <v>0.11776500231188602</v>
      </c>
      <c r="LY36" s="1"/>
    </row>
    <row r="37" spans="1:337" x14ac:dyDescent="0.25">
      <c r="A37" s="4">
        <v>8</v>
      </c>
      <c r="B37" s="9">
        <f ca="1">IF(OR(B10="",B$28&lt;$A37),"",B10/OFFSET(ParoRegCLM!$A$2,MATCH(B$29,ParoRegCLM!$A$2:$A$500)+$A37-1,1)-1)</f>
        <v>2.8498558537533469E-2</v>
      </c>
      <c r="C37" s="9">
        <f ca="1">IF(OR(C10="",C$28&lt;$A37),"",C10/OFFSET(ParoRegCLM!$A$2,MATCH(C$29,ParoRegCLM!$A$2:$A$500)+$A37-1,1)-1)</f>
        <v>1.7249951793751217E-2</v>
      </c>
      <c r="D37" s="9">
        <f ca="1">IF(OR(D10="",D$28&lt;$A37),"",D10/OFFSET(ParoRegCLM!$A$2,MATCH(D$29,ParoRegCLM!$A$2:$A$500)+$A37-1,1)-1)</f>
        <v>1.8271464400029691E-2</v>
      </c>
      <c r="E37" s="9">
        <f ca="1">IF(OR(E10="",E$28&lt;$A37),"",E10/OFFSET(ParoRegCLM!$A$2,MATCH(E$29,ParoRegCLM!$A$2:$A$500)+$A37-1,1)-1)</f>
        <v>1.5176649268260789E-2</v>
      </c>
      <c r="F37" s="9">
        <f ca="1">IF(OR(F10="",F$28&lt;$A37),"",F10/OFFSET(ParoRegCLM!$A$2,MATCH(F$29,ParoRegCLM!$A$2:$A$500)+$A37-1,1)-1)</f>
        <v>5.9574880145202957E-2</v>
      </c>
      <c r="G37" s="9">
        <f ca="1">IF(OR(G10="",G$28&lt;$A37),"",G10/OFFSET(ParoRegCLM!$A$2,MATCH(G$29,ParoRegCLM!$A$2:$A$500)+$A37-1,1)-1)</f>
        <v>1.8123804611002603E-2</v>
      </c>
      <c r="H37" s="9">
        <f ca="1">IF(OR(H10="",H$28&lt;$A37),"",H10/OFFSET(ParoRegCLM!$A$2,MATCH(H$29,ParoRegCLM!$A$2:$A$500)+$A37-1,1)-1)</f>
        <v>1.6777458997705885E-2</v>
      </c>
      <c r="I37" s="9">
        <f ca="1">IF(OR(I10="",I$28&lt;$A37),"",I10/OFFSET(ParoRegCLM!$A$2,MATCH(I$29,ParoRegCLM!$A$2:$A$500)+$A37-1,1)-1)</f>
        <v>9.7904601367624355E-3</v>
      </c>
      <c r="J37" s="9">
        <f ca="1">IF(OR(J10="",J$28&lt;$A37),"",J10/OFFSET(ParoRegCLM!$A$2,MATCH(J$29,ParoRegCLM!$A$2:$A$500)+$A37-1,1)-1)</f>
        <v>4.4076276032014583E-3</v>
      </c>
      <c r="K37" s="9">
        <f ca="1">IF(OR(K10="",K$28&lt;$A37),"",K10/OFFSET(ParoRegCLM!$A$2,MATCH(K$29,ParoRegCLM!$A$2:$A$500)+$A37-1,1)-1)</f>
        <v>-1.3634779860764668E-2</v>
      </c>
      <c r="L37" s="9">
        <f ca="1">IF(OR(L10="",L$28&lt;$A37),"",L10/OFFSET(ParoRegCLM!$A$2,MATCH(L$29,ParoRegCLM!$A$2:$A$500)+$A37-1,1)-1)</f>
        <v>6.1113833358104053E-3</v>
      </c>
      <c r="M37" s="9">
        <f ca="1">IF(OR(M10="",M$28&lt;$A37),"",M10/OFFSET(ParoRegCLM!$A$2,MATCH(M$29,ParoRegCLM!$A$2:$A$500)+$A37-1,1)-1)</f>
        <v>-1.6822578683428624E-3</v>
      </c>
      <c r="N37" s="9">
        <f ca="1">IF(OR(N10="",N$28&lt;$A37),"",N10/OFFSET(ParoRegCLM!$A$2,MATCH(N$29,ParoRegCLM!$A$2:$A$500)+$A37-1,1)-1)</f>
        <v>-9.1995182299007272E-3</v>
      </c>
      <c r="O37" s="9">
        <f ca="1">IF(OR(O10="",O$28&lt;$A37),"",O10/OFFSET(ParoRegCLM!$A$2,MATCH(O$29,ParoRegCLM!$A$2:$A$500)+$A37-1,1)-1)</f>
        <v>6.556168472316104E-3</v>
      </c>
      <c r="P37" s="9">
        <f ca="1">IF(OR(P10="",P$28&lt;$A37),"",P10/OFFSET(ParoRegCLM!$A$2,MATCH(P$29,ParoRegCLM!$A$2:$A$500)+$A37-1,1)-1)</f>
        <v>-1.0613014740044724E-2</v>
      </c>
      <c r="Q37" s="9">
        <f ca="1">IF(OR(Q10="",Q$28&lt;$A37),"",Q10/OFFSET(ParoRegCLM!$A$2,MATCH(Q$29,ParoRegCLM!$A$2:$A$500)+$A37-1,1)-1)</f>
        <v>2.4461604925505753E-2</v>
      </c>
      <c r="R37" s="9">
        <f ca="1">IF(OR(R10="",R$28&lt;$A37),"",R10/OFFSET(ParoRegCLM!$A$2,MATCH(R$29,ParoRegCLM!$A$2:$A$500)+$A37-1,1)-1)</f>
        <v>3.5905697981095219E-2</v>
      </c>
      <c r="S37" s="9">
        <f ca="1">IF(OR(S10="",S$28&lt;$A37),"",S10/OFFSET(ParoRegCLM!$A$2,MATCH(S$29,ParoRegCLM!$A$2:$A$500)+$A37-1,1)-1)</f>
        <v>2.5844550712358139E-2</v>
      </c>
      <c r="T37" s="9">
        <f ca="1">IF(OR(T10="",T$28&lt;$A37),"",T10/OFFSET(ParoRegCLM!$A$2,MATCH(T$29,ParoRegCLM!$A$2:$A$500)+$A37-1,1)-1)</f>
        <v>1.401845955267067E-2</v>
      </c>
      <c r="U37" s="9">
        <f ca="1">IF(OR(U10="",U$28&lt;$A37),"",U10/OFFSET(ParoRegCLM!$A$2,MATCH(U$29,ParoRegCLM!$A$2:$A$500)+$A37-1,1)-1)</f>
        <v>3.7238321873521274E-2</v>
      </c>
      <c r="V37" s="9">
        <f ca="1">IF(OR(V10="",V$28&lt;$A37),"",V10/OFFSET(ParoRegCLM!$A$2,MATCH(V$29,ParoRegCLM!$A$2:$A$500)+$A37-1,1)-1)</f>
        <v>4.883089655736006E-2</v>
      </c>
      <c r="W37" s="9">
        <f ca="1">IF(OR(W10="",W$28&lt;$A37),"",W10/OFFSET(ParoRegCLM!$A$2,MATCH(W$29,ParoRegCLM!$A$2:$A$500)+$A37-1,1)-1)</f>
        <v>3.6389380842101193E-2</v>
      </c>
      <c r="X37" s="9">
        <f ca="1">IF(OR(X10="",X$28&lt;$A37),"",X10/OFFSET(ParoRegCLM!$A$2,MATCH(X$29,ParoRegCLM!$A$2:$A$500)+$A37-1,1)-1)</f>
        <v>4.1560222716167106E-2</v>
      </c>
      <c r="Y37" s="9">
        <f ca="1">IF(OR(Y10="",Y$28&lt;$A37),"",Y10/OFFSET(ParoRegCLM!$A$2,MATCH(Y$29,ParoRegCLM!$A$2:$A$500)+$A37-1,1)-1)</f>
        <v>2.5908303782582909E-2</v>
      </c>
      <c r="Z37" s="9">
        <f ca="1">IF(OR(Z10="",Z$28&lt;$A37),"",Z10/OFFSET(ParoRegCLM!$A$2,MATCH(Z$29,ParoRegCLM!$A$2:$A$500)+$A37-1,1)-1)</f>
        <v>2.5065087437567524E-2</v>
      </c>
      <c r="AA37" s="9">
        <f ca="1">IF(OR(AA10="",AA$28&lt;$A37),"",AA10/OFFSET(ParoRegCLM!$A$2,MATCH(AA$29,ParoRegCLM!$A$2:$A$500)+$A37-1,1)-1)</f>
        <v>1.3598642131667393E-2</v>
      </c>
      <c r="AB37" s="9">
        <f ca="1">IF(OR(AB10="",AB$28&lt;$A37),"",AB10/OFFSET(ParoRegCLM!$A$2,MATCH(AB$29,ParoRegCLM!$A$2:$A$500)+$A37-1,1)-1)</f>
        <v>2.1088206468740101E-2</v>
      </c>
      <c r="AC37" s="9">
        <f ca="1">IF(OR(AC10="",AC$28&lt;$A37),"",AC10/OFFSET(ParoRegCLM!$A$2,MATCH(AC$29,ParoRegCLM!$A$2:$A$500)+$A37-1,1)-1)</f>
        <v>1.5584356680539369E-2</v>
      </c>
      <c r="AD37" s="9">
        <f ca="1">IF(OR(AD10="",AD$28&lt;$A37),"",AD10/OFFSET(ParoRegCLM!$A$2,MATCH(AD$29,ParoRegCLM!$A$2:$A$500)+$A37-1,1)-1)</f>
        <v>3.3587952118094622E-2</v>
      </c>
      <c r="AE37" s="9">
        <f ca="1">IF(OR(AE10="",AE$28&lt;$A37),"",AE10/OFFSET(ParoRegCLM!$A$2,MATCH(AE$29,ParoRegCLM!$A$2:$A$500)+$A37-1,1)-1)</f>
        <v>3.8209264037909252E-2</v>
      </c>
      <c r="AF37" s="9">
        <f ca="1">IF(OR(AF10="",AF$28&lt;$A37),"",AF10/OFFSET(ParoRegCLM!$A$2,MATCH(AF$29,ParoRegCLM!$A$2:$A$500)+$A37-1,1)-1)</f>
        <v>4.3571691487763742E-2</v>
      </c>
      <c r="AG37" s="9">
        <f ca="1">IF(OR(AG10="",AG$28&lt;$A37),"",AG10/OFFSET(ParoRegCLM!$A$2,MATCH(AG$29,ParoRegCLM!$A$2:$A$500)+$A37-1,1)-1)</f>
        <v>4.9540888422782814E-2</v>
      </c>
      <c r="AH37" s="9">
        <f ca="1">IF(OR(AH10="",AH$28&lt;$A37),"",AH10/OFFSET(ParoRegCLM!$A$2,MATCH(AH$29,ParoRegCLM!$A$2:$A$500)+$A37-1,1)-1)</f>
        <v>2.9557438468069464E-2</v>
      </c>
      <c r="AI37" s="9">
        <f ca="1">IF(OR(AI10="",AI$28&lt;$A37),"",AI10/OFFSET(ParoRegCLM!$A$2,MATCH(AI$29,ParoRegCLM!$A$2:$A$500)+$A37-1,1)-1)</f>
        <v>2.7065469322480107E-2</v>
      </c>
      <c r="AJ37" s="9">
        <f ca="1">IF(OR(AJ10="",AJ$28&lt;$A37),"",AJ10/OFFSET(ParoRegCLM!$A$2,MATCH(AJ$29,ParoRegCLM!$A$2:$A$500)+$A37-1,1)-1)</f>
        <v>4.1625956802351372E-3</v>
      </c>
      <c r="AK37" s="9">
        <f ca="1">IF(OR(AK10="",AK$28&lt;$A37),"",AK10/OFFSET(ParoRegCLM!$A$2,MATCH(AK$29,ParoRegCLM!$A$2:$A$500)+$A37-1,1)-1)</f>
        <v>-2.9180008038801164E-2</v>
      </c>
      <c r="AL37" s="9">
        <f ca="1">IF(OR(AL10="",AL$28&lt;$A37),"",AL10/OFFSET(ParoRegCLM!$A$2,MATCH(AL$29,ParoRegCLM!$A$2:$A$500)+$A37-1,1)-1)</f>
        <v>-5.6214521899609182E-2</v>
      </c>
      <c r="AM37" s="9">
        <f ca="1">IF(OR(AM10="",AM$28&lt;$A37),"",AM10/OFFSET(ParoRegCLM!$A$2,MATCH(AM$29,ParoRegCLM!$A$2:$A$500)+$A37-1,1)-1)</f>
        <v>-6.2549580735311916E-2</v>
      </c>
      <c r="AN37" s="9">
        <f ca="1">IF(OR(AN10="",AN$28&lt;$A37),"",AN10/OFFSET(ParoRegCLM!$A$2,MATCH(AN$29,ParoRegCLM!$A$2:$A$500)+$A37-1,1)-1)</f>
        <v>-6.2325002389427619E-2</v>
      </c>
      <c r="AO37" s="9">
        <f ca="1">IF(OR(AO10="",AO$28&lt;$A37),"",AO10/OFFSET(ParoRegCLM!$A$2,MATCH(AO$29,ParoRegCLM!$A$2:$A$500)+$A37-1,1)-1)</f>
        <v>-6.7880673790058244E-2</v>
      </c>
      <c r="AP37" s="9">
        <f ca="1">IF(OR(AP10="",AP$28&lt;$A37),"",AP10/OFFSET(ParoRegCLM!$A$2,MATCH(AP$29,ParoRegCLM!$A$2:$A$500)+$A37-1,1)-1)</f>
        <v>-3.6922535910509646E-2</v>
      </c>
      <c r="AQ37" s="9">
        <f ca="1">IF(OR(AQ10="",AQ$28&lt;$A37),"",AQ10/OFFSET(ParoRegCLM!$A$2,MATCH(AQ$29,ParoRegCLM!$A$2:$A$500)+$A37-1,1)-1)</f>
        <v>-5.3388488341877705E-2</v>
      </c>
      <c r="AR37" s="9">
        <f ca="1">IF(OR(AR10="",AR$28&lt;$A37),"",AR10/OFFSET(ParoRegCLM!$A$2,MATCH(AR$29,ParoRegCLM!$A$2:$A$500)+$A37-1,1)-1)</f>
        <v>-7.737049732198964E-2</v>
      </c>
      <c r="AS37" s="9">
        <f ca="1">IF(OR(AS10="",AS$28&lt;$A37),"",AS10/OFFSET(ParoRegCLM!$A$2,MATCH(AS$29,ParoRegCLM!$A$2:$A$500)+$A37-1,1)-1)</f>
        <v>-7.4108592261384887E-2</v>
      </c>
      <c r="AT37" s="9">
        <f ca="1">IF(OR(AT10="",AT$28&lt;$A37),"",AT10/OFFSET(ParoRegCLM!$A$2,MATCH(AT$29,ParoRegCLM!$A$2:$A$500)+$A37-1,1)-1)</f>
        <v>-9.8677153496727787E-2</v>
      </c>
      <c r="AU37" s="9">
        <f ca="1">IF(OR(AU10="",AU$28&lt;$A37),"",AU10/OFFSET(ParoRegCLM!$A$2,MATCH(AU$29,ParoRegCLM!$A$2:$A$500)+$A37-1,1)-1)</f>
        <v>-0.13577361218042305</v>
      </c>
      <c r="AV37" s="9">
        <f ca="1">IF(OR(AV10="",AV$28&lt;$A37),"",AV10/OFFSET(ParoRegCLM!$A$2,MATCH(AV$29,ParoRegCLM!$A$2:$A$500)+$A37-1,1)-1)</f>
        <v>-0.16020074728402867</v>
      </c>
      <c r="AW37" s="9">
        <f ca="1">IF(OR(AW10="",AW$28&lt;$A37),"",AW10/OFFSET(ParoRegCLM!$A$2,MATCH(AW$29,ParoRegCLM!$A$2:$A$500)+$A37-1,1)-1)</f>
        <v>-0.18483911134003328</v>
      </c>
      <c r="AX37" s="9">
        <f ca="1">IF(OR(AX10="",AX$28&lt;$A37),"",AX10/OFFSET(ParoRegCLM!$A$2,MATCH(AX$29,ParoRegCLM!$A$2:$A$500)+$A37-1,1)-1)</f>
        <v>-0.21051474942162529</v>
      </c>
      <c r="AY37" s="9">
        <f ca="1">IF(OR(AY10="",AY$28&lt;$A37),"",AY10/OFFSET(ParoRegCLM!$A$2,MATCH(AY$29,ParoRegCLM!$A$2:$A$500)+$A37-1,1)-1)</f>
        <v>-0.19984842232941069</v>
      </c>
      <c r="AZ37" s="9">
        <f ca="1">IF(OR(AZ10="",AZ$28&lt;$A37),"",AZ10/OFFSET(ParoRegCLM!$A$2,MATCH(AZ$29,ParoRegCLM!$A$2:$A$500)+$A37-1,1)-1)</f>
        <v>-0.24734660564249755</v>
      </c>
      <c r="BA37" s="9">
        <f ca="1">IF(OR(BA10="",BA$28&lt;$A37),"",BA10/OFFSET(ParoRegCLM!$A$2,MATCH(BA$29,ParoRegCLM!$A$2:$A$500)+$A37-1,1)-1)</f>
        <v>-0.28317739811630416</v>
      </c>
      <c r="BB37" s="9">
        <f ca="1">IF(OR(BB10="",BB$28&lt;$A37),"",BB10/OFFSET(ParoRegCLM!$A$2,MATCH(BB$29,ParoRegCLM!$A$2:$A$500)+$A37-1,1)-1)</f>
        <v>-0.28660549732077611</v>
      </c>
      <c r="BC37" s="9">
        <f ca="1">IF(OR(BC10="",BC$28&lt;$A37),"",BC10/OFFSET(ParoRegCLM!$A$2,MATCH(BC$29,ParoRegCLM!$A$2:$A$500)+$A37-1,1)-1)</f>
        <v>-0.26181946879029261</v>
      </c>
      <c r="BD37" s="9">
        <f ca="1">IF(OR(BD10="",BD$28&lt;$A37),"",BD10/OFFSET(ParoRegCLM!$A$2,MATCH(BD$29,ParoRegCLM!$A$2:$A$500)+$A37-1,1)-1)</f>
        <v>-0.2257186720734542</v>
      </c>
      <c r="BE37" s="9">
        <f ca="1">IF(OR(BE10="",BE$28&lt;$A37),"",BE10/OFFSET(ParoRegCLM!$A$2,MATCH(BE$29,ParoRegCLM!$A$2:$A$500)+$A37-1,1)-1)</f>
        <v>-0.21048948339289431</v>
      </c>
      <c r="BF37" s="9">
        <f ca="1">IF(OR(BF10="",BF$28&lt;$A37),"",BF10/OFFSET(ParoRegCLM!$A$2,MATCH(BF$29,ParoRegCLM!$A$2:$A$500)+$A37-1,1)-1)</f>
        <v>-0.20287722969277466</v>
      </c>
      <c r="BG37" s="9">
        <f ca="1">IF(OR(BG10="",BG$28&lt;$A37),"",BG10/OFFSET(ParoRegCLM!$A$2,MATCH(BG$29,ParoRegCLM!$A$2:$A$500)+$A37-1,1)-1)</f>
        <v>-0.20659332380100226</v>
      </c>
      <c r="BH37" s="9">
        <f ca="1">IF(OR(BH10="",BH$28&lt;$A37),"",BH10/OFFSET(ParoRegCLM!$A$2,MATCH(BH$29,ParoRegCLM!$A$2:$A$500)+$A37-1,1)-1)</f>
        <v>-5.2894175721210024E-2</v>
      </c>
      <c r="BI37" s="9">
        <f ca="1">IF(OR(BI10="",BI$28&lt;$A37),"",BI10/OFFSET(ParoRegCLM!$A$2,MATCH(BI$29,ParoRegCLM!$A$2:$A$500)+$A37-1,1)-1)</f>
        <v>4.6575760474276029E-2</v>
      </c>
      <c r="BJ37" s="9">
        <f ca="1">IF(OR(BJ10="",BJ$28&lt;$A37),"",BJ10/OFFSET(ParoRegCLM!$A$2,MATCH(BJ$29,ParoRegCLM!$A$2:$A$500)+$A37-1,1)-1)</f>
        <v>0.15227616388247389</v>
      </c>
      <c r="BK37" s="9">
        <f ca="1">IF(OR(BK10="",BK$28&lt;$A37),"",BK10/OFFSET(ParoRegCLM!$A$2,MATCH(BK$29,ParoRegCLM!$A$2:$A$500)+$A37-1,1)-1)</f>
        <v>0.11846792470283107</v>
      </c>
      <c r="BL37" s="9">
        <f ca="1">IF(OR(BL10="",BL$28&lt;$A37),"",BL10/OFFSET(ParoRegCLM!$A$2,MATCH(BL$29,ParoRegCLM!$A$2:$A$500)+$A37-1,1)-1)</f>
        <v>0.14860098402380606</v>
      </c>
      <c r="BM37" s="9">
        <f ca="1">IF(OR(BM10="",BM$28&lt;$A37),"",BM10/OFFSET(ParoRegCLM!$A$2,MATCH(BM$29,ParoRegCLM!$A$2:$A$500)+$A37-1,1)-1)</f>
        <v>0.22106530619231068</v>
      </c>
      <c r="BN37" s="9">
        <f ca="1">IF(OR(BN10="",BN$28&lt;$A37),"",BN10/OFFSET(ParoRegCLM!$A$2,MATCH(BN$29,ParoRegCLM!$A$2:$A$500)+$A37-1,1)-1)</f>
        <v>0.20920911617658122</v>
      </c>
      <c r="BO37" s="9">
        <f ca="1">IF(OR(BO10="",BO$28&lt;$A37),"",BO10/OFFSET(ParoRegCLM!$A$2,MATCH(BO$29,ParoRegCLM!$A$2:$A$500)+$A37-1,1)-1)</f>
        <v>0.19806238701710521</v>
      </c>
      <c r="BP37" s="9">
        <f ca="1">IF(OR(BP10="",BP$28&lt;$A37),"",BP10/OFFSET(ParoRegCLM!$A$2,MATCH(BP$29,ParoRegCLM!$A$2:$A$500)+$A37-1,1)-1)</f>
        <v>0.14071165917086415</v>
      </c>
      <c r="BQ37" s="9">
        <f ca="1">IF(OR(BQ10="",BQ$28&lt;$A37),"",BQ10/OFFSET(ParoRegCLM!$A$2,MATCH(BQ$29,ParoRegCLM!$A$2:$A$500)+$A37-1,1)-1)</f>
        <v>8.0672773244161444E-3</v>
      </c>
      <c r="BR37" s="9">
        <f ca="1">IF(OR(BR10="",BR$28&lt;$A37),"",BR10/OFFSET(ParoRegCLM!$A$2,MATCH(BR$29,ParoRegCLM!$A$2:$A$500)+$A37-1,1)-1)</f>
        <v>2.8781034430184205E-2</v>
      </c>
      <c r="BS37" s="9">
        <f ca="1">IF(OR(BS10="",BS$28&lt;$A37),"",BS10/OFFSET(ParoRegCLM!$A$2,MATCH(BS$29,ParoRegCLM!$A$2:$A$500)+$A37-1,1)-1)</f>
        <v>-2.3400335459640931E-2</v>
      </c>
      <c r="BT37" s="9">
        <f ca="1">IF(OR(BT10="",BT$28&lt;$A37),"",BT10/OFFSET(ParoRegCLM!$A$2,MATCH(BT$29,ParoRegCLM!$A$2:$A$500)+$A37-1,1)-1)</f>
        <v>0.10387188239610423</v>
      </c>
      <c r="BU37" s="9">
        <f ca="1">IF(OR(BU10="",BU$28&lt;$A37),"",BU10/OFFSET(ParoRegCLM!$A$2,MATCH(BU$29,ParoRegCLM!$A$2:$A$500)+$A37-1,1)-1)</f>
        <v>2.7996395675607522E-2</v>
      </c>
      <c r="BV37" s="9">
        <f ca="1">IF(OR(BV10="",BV$28&lt;$A37),"",BV10/OFFSET(ParoRegCLM!$A$2,MATCH(BV$29,ParoRegCLM!$A$2:$A$500)+$A37-1,1)-1)</f>
        <v>3.4238933824644269E-2</v>
      </c>
      <c r="BW37" s="9">
        <f ca="1">IF(OR(BW10="",BW$28&lt;$A37),"",BW10/OFFSET(ParoRegCLM!$A$2,MATCH(BW$29,ParoRegCLM!$A$2:$A$500)+$A37-1,1)-1)</f>
        <v>6.0348467519831139E-2</v>
      </c>
      <c r="BX37" s="9">
        <f ca="1">IF(OR(BX10="",BX$28&lt;$A37),"",BX10/OFFSET(ParoRegCLM!$A$2,MATCH(BX$29,ParoRegCLM!$A$2:$A$500)+$A37-1,1)-1)</f>
        <v>5.3630734351046261E-2</v>
      </c>
      <c r="BY37" s="9">
        <f ca="1">IF(OR(BY10="",BY$28&lt;$A37),"",BY10/OFFSET(ParoRegCLM!$A$2,MATCH(BY$29,ParoRegCLM!$A$2:$A$500)+$A37-1,1)-1)</f>
        <v>7.7494335661283387E-2</v>
      </c>
      <c r="BZ37" s="9">
        <f ca="1">IF(OR(BZ10="",BZ$28&lt;$A37),"",BZ10/OFFSET(ParoRegCLM!$A$2,MATCH(BZ$29,ParoRegCLM!$A$2:$A$500)+$A37-1,1)-1)</f>
        <v>7.1299571662304606E-2</v>
      </c>
      <c r="CA37" s="9">
        <f ca="1">IF(OR(CA10="",CA$28&lt;$A37),"",CA10/OFFSET(ParoRegCLM!$A$2,MATCH(CA$29,ParoRegCLM!$A$2:$A$500)+$A37-1,1)-1)</f>
        <v>4.1416328399547675E-2</v>
      </c>
      <c r="CB37" s="9">
        <f ca="1">IF(OR(CB10="",CB$28&lt;$A37),"",CB10/OFFSET(ParoRegCLM!$A$2,MATCH(CB$29,ParoRegCLM!$A$2:$A$500)+$A37-1,1)-1)</f>
        <v>8.9885222729171321E-3</v>
      </c>
      <c r="CC37" s="9">
        <f ca="1">IF(OR(CC10="",CC$28&lt;$A37),"",CC10/OFFSET(ParoRegCLM!$A$2,MATCH(CC$29,ParoRegCLM!$A$2:$A$500)+$A37-1,1)-1)</f>
        <v>1.5272338568025345E-2</v>
      </c>
      <c r="CD37" s="9">
        <f ca="1">IF(OR(CD10="",CD$28&lt;$A37),"",CD10/OFFSET(ParoRegCLM!$A$2,MATCH(CD$29,ParoRegCLM!$A$2:$A$500)+$A37-1,1)-1)</f>
        <v>1.6923445340450316E-2</v>
      </c>
      <c r="CE37" s="9">
        <f ca="1">IF(OR(CE10="",CE$28&lt;$A37),"",CE10/OFFSET(ParoRegCLM!$A$2,MATCH(CE$29,ParoRegCLM!$A$2:$A$500)+$A37-1,1)-1)</f>
        <v>-2.6289802885865909E-2</v>
      </c>
      <c r="CF37" s="9">
        <f ca="1">IF(OR(CF10="",CF$28&lt;$A37),"",CF10/OFFSET(ParoRegCLM!$A$2,MATCH(CF$29,ParoRegCLM!$A$2:$A$500)+$A37-1,1)-1)</f>
        <v>1.2124233108238069E-2</v>
      </c>
      <c r="CG37" s="9">
        <f ca="1">IF(OR(CG10="",CG$28&lt;$A37),"",CG10/OFFSET(ParoRegCLM!$A$2,MATCH(CG$29,ParoRegCLM!$A$2:$A$500)+$A37-1,1)-1)</f>
        <v>1.4490906644373469E-2</v>
      </c>
      <c r="CH37" s="9">
        <f ca="1">IF(OR(CH10="",CH$28&lt;$A37),"",CH10/OFFSET(ParoRegCLM!$A$2,MATCH(CH$29,ParoRegCLM!$A$2:$A$500)+$A37-1,1)-1)</f>
        <v>-1.6559133628819889E-2</v>
      </c>
      <c r="CI37" s="9">
        <f ca="1">IF(OR(CI10="",CI$28&lt;$A37),"",CI10/OFFSET(ParoRegCLM!$A$2,MATCH(CI$29,ParoRegCLM!$A$2:$A$500)+$A37-1,1)-1)</f>
        <v>-4.0725814948294747E-3</v>
      </c>
      <c r="CJ37" s="9">
        <f ca="1">IF(OR(CJ10="",CJ$28&lt;$A37),"",CJ10/OFFSET(ParoRegCLM!$A$2,MATCH(CJ$29,ParoRegCLM!$A$2:$A$500)+$A37-1,1)-1)</f>
        <v>-3.3873239522931531E-2</v>
      </c>
      <c r="CK37" s="9">
        <f ca="1">IF(OR(CK10="",CK$28&lt;$A37),"",CK10/OFFSET(ParoRegCLM!$A$2,MATCH(CK$29,ParoRegCLM!$A$2:$A$500)+$A37-1,1)-1)</f>
        <v>-5.4587715088456945E-2</v>
      </c>
      <c r="CL37" s="9">
        <f ca="1">IF(OR(CL10="",CL$28&lt;$A37),"",CL10/OFFSET(ParoRegCLM!$A$2,MATCH(CL$29,ParoRegCLM!$A$2:$A$500)+$A37-1,1)-1)</f>
        <v>-3.7338193480608739E-2</v>
      </c>
      <c r="CM37" s="9">
        <f ca="1">IF(OR(CM10="",CM$28&lt;$A37),"",CM10/OFFSET(ParoRegCLM!$A$2,MATCH(CM$29,ParoRegCLM!$A$2:$A$500)+$A37-1,1)-1)</f>
        <v>-2.5669299249467814E-2</v>
      </c>
      <c r="CN37" s="9">
        <f ca="1">IF(OR(CN10="",CN$28&lt;$A37),"",CN10/OFFSET(ParoRegCLM!$A$2,MATCH(CN$29,ParoRegCLM!$A$2:$A$500)+$A37-1,1)-1)</f>
        <v>-4.8288657874556717E-3</v>
      </c>
      <c r="CO37" s="9">
        <f ca="1">IF(OR(CO10="",CO$28&lt;$A37),"",CO10/OFFSET(ParoRegCLM!$A$2,MATCH(CO$29,ParoRegCLM!$A$2:$A$500)+$A37-1,1)-1)</f>
        <v>-6.5880401202155214E-3</v>
      </c>
      <c r="CP37" s="9">
        <f ca="1">IF(OR(CP10="",CP$28&lt;$A37),"",CP10/OFFSET(ParoRegCLM!$A$2,MATCH(CP$29,ParoRegCLM!$A$2:$A$500)+$A37-1,1)-1)</f>
        <v>-6.5754061779842554E-2</v>
      </c>
      <c r="CQ37" s="9">
        <f ca="1">IF(OR(CQ10="",CQ$28&lt;$A37),"",CQ10/OFFSET(ParoRegCLM!$A$2,MATCH(CQ$29,ParoRegCLM!$A$2:$A$500)+$A37-1,1)-1)</f>
        <v>-5.5968041423267945E-2</v>
      </c>
      <c r="CR37" s="9">
        <f ca="1">IF(OR(CR10="",CR$28&lt;$A37),"",CR10/OFFSET(ParoRegCLM!$A$2,MATCH(CR$29,ParoRegCLM!$A$2:$A$500)+$A37-1,1)-1)</f>
        <v>-5.2442334868266771E-3</v>
      </c>
      <c r="CS37" s="9">
        <f ca="1">IF(OR(CS10="",CS$28&lt;$A37),"",CS10/OFFSET(ParoRegCLM!$A$2,MATCH(CS$29,ParoRegCLM!$A$2:$A$500)+$A37-1,1)-1)</f>
        <v>-4.4154166646857562E-2</v>
      </c>
      <c r="CT37" s="9">
        <f ca="1">IF(OR(CT10="",CT$28&lt;$A37),"",CT10/OFFSET(ParoRegCLM!$A$2,MATCH(CT$29,ParoRegCLM!$A$2:$A$500)+$A37-1,1)-1)</f>
        <v>-8.2510022168509889E-2</v>
      </c>
      <c r="CU37" s="9">
        <f ca="1">IF(OR(CU10="",CU$28&lt;$A37),"",CU10/OFFSET(ParoRegCLM!$A$2,MATCH(CU$29,ParoRegCLM!$A$2:$A$500)+$A37-1,1)-1)</f>
        <v>-2.657305910800134E-2</v>
      </c>
      <c r="CV37" s="9">
        <f ca="1">IF(OR(CV10="",CV$28&lt;$A37),"",CV10/OFFSET(ParoRegCLM!$A$2,MATCH(CV$29,ParoRegCLM!$A$2:$A$500)+$A37-1,1)-1)</f>
        <v>-1.0050469637628123E-2</v>
      </c>
      <c r="CW37" s="9">
        <f ca="1">IF(OR(CW10="",CW$28&lt;$A37),"",CW10/OFFSET(ParoRegCLM!$A$2,MATCH(CW$29,ParoRegCLM!$A$2:$A$500)+$A37-1,1)-1)</f>
        <v>-2.4385900626429091E-3</v>
      </c>
      <c r="CX37" s="9">
        <f ca="1">IF(OR(CX10="",CX$28&lt;$A37),"",CX10/OFFSET(ParoRegCLM!$A$2,MATCH(CX$29,ParoRegCLM!$A$2:$A$500)+$A37-1,1)-1)</f>
        <v>3.4731495322226413E-2</v>
      </c>
      <c r="CY37" s="9">
        <f ca="1">IF(OR(CY10="",CY$28&lt;$A37),"",CY10/OFFSET(ParoRegCLM!$A$2,MATCH(CY$29,ParoRegCLM!$A$2:$A$500)+$A37-1,1)-1)</f>
        <v>2.4600978811216256E-2</v>
      </c>
      <c r="CZ37" s="9">
        <f ca="1">IF(OR(CZ10="",CZ$28&lt;$A37),"",CZ10/OFFSET(ParoRegCLM!$A$2,MATCH(CZ$29,ParoRegCLM!$A$2:$A$500)+$A37-1,1)-1)</f>
        <v>7.547888709756867E-3</v>
      </c>
      <c r="DA37" s="9">
        <f ca="1">IF(OR(DA10="",DA$28&lt;$A37),"",DA10/OFFSET(ParoRegCLM!$A$2,MATCH(DA$29,ParoRegCLM!$A$2:$A$500)+$A37-1,1)-1)</f>
        <v>8.9482846724504572E-2</v>
      </c>
      <c r="DB37" s="9">
        <f ca="1">IF(OR(DB10="",DB$28&lt;$A37),"",DB10/OFFSET(ParoRegCLM!$A$2,MATCH(DB$29,ParoRegCLM!$A$2:$A$500)+$A37-1,1)-1)</f>
        <v>9.6644577978948654E-2</v>
      </c>
      <c r="DC37" s="9">
        <f ca="1">IF(OR(DC10="",DC$28&lt;$A37),"",DC10/OFFSET(ParoRegCLM!$A$2,MATCH(DC$29,ParoRegCLM!$A$2:$A$500)+$A37-1,1)-1)</f>
        <v>3.1142784158845194E-2</v>
      </c>
      <c r="DD37" s="9">
        <f ca="1">IF(OR(DD10="",DD$28&lt;$A37),"",DD10/OFFSET(ParoRegCLM!$A$2,MATCH(DD$29,ParoRegCLM!$A$2:$A$500)+$A37-1,1)-1)</f>
        <v>8.9791563774271888E-2</v>
      </c>
      <c r="DE37" s="9">
        <f ca="1">IF(OR(DE10="",DE$28&lt;$A37),"",DE10/OFFSET(ParoRegCLM!$A$2,MATCH(DE$29,ParoRegCLM!$A$2:$A$500)+$A37-1,1)-1)</f>
        <v>0.1309576909767538</v>
      </c>
      <c r="DF37" s="9">
        <f ca="1">IF(OR(DF10="",DF$28&lt;$A37),"",DF10/OFFSET(ParoRegCLM!$A$2,MATCH(DF$29,ParoRegCLM!$A$2:$A$500)+$A37-1,1)-1)</f>
        <v>8.037428675714331E-2</v>
      </c>
      <c r="DG37" s="9">
        <f ca="1">IF(OR(DG10="",DG$28&lt;$A37),"",DG10/OFFSET(ParoRegCLM!$A$2,MATCH(DG$29,ParoRegCLM!$A$2:$A$500)+$A37-1,1)-1)</f>
        <v>0.12634204081226197</v>
      </c>
      <c r="DH37" s="9">
        <f ca="1">IF(OR(DH10="",DH$28&lt;$A37),"",DH10/OFFSET(ParoRegCLM!$A$2,MATCH(DH$29,ParoRegCLM!$A$2:$A$500)+$A37-1,1)-1)</f>
        <v>4.3856338133724915E-2</v>
      </c>
      <c r="DI37" s="9">
        <f ca="1">IF(OR(DI10="",DI$28&lt;$A37),"",DI10/OFFSET(ParoRegCLM!$A$2,MATCH(DI$29,ParoRegCLM!$A$2:$A$500)+$A37-1,1)-1)</f>
        <v>5.7409463261402838E-2</v>
      </c>
      <c r="DJ37" s="9">
        <f ca="1">IF(OR(DJ10="",DJ$28&lt;$A37),"",DJ10/OFFSET(ParoRegCLM!$A$2,MATCH(DJ$29,ParoRegCLM!$A$2:$A$500)+$A37-1,1)-1)</f>
        <v>5.8817042784417906E-2</v>
      </c>
      <c r="DK37" s="9">
        <f ca="1">IF(OR(DK10="",DK$28&lt;$A37),"",DK10/OFFSET(ParoRegCLM!$A$2,MATCH(DK$29,ParoRegCLM!$A$2:$A$500)+$A37-1,1)-1)</f>
        <v>4.4155781107848346E-2</v>
      </c>
      <c r="DL37" s="9">
        <f ca="1">IF(OR(DL10="",DL$28&lt;$A37),"",DL10/OFFSET(ParoRegCLM!$A$2,MATCH(DL$29,ParoRegCLM!$A$2:$A$500)+$A37-1,1)-1)</f>
        <v>3.2400982930068878E-2</v>
      </c>
      <c r="DM37" s="9">
        <f ca="1">IF(OR(DM10="",DM$28&lt;$A37),"",DM10/OFFSET(ParoRegCLM!$A$2,MATCH(DM$29,ParoRegCLM!$A$2:$A$500)+$A37-1,1)-1)</f>
        <v>2.3196494268621803E-2</v>
      </c>
      <c r="DN37" s="9">
        <f ca="1">IF(OR(DN10="",DN$28&lt;$A37),"",DN10/OFFSET(ParoRegCLM!$A$2,MATCH(DN$29,ParoRegCLM!$A$2:$A$500)+$A37-1,1)-1)</f>
        <v>4.6260025828355644E-2</v>
      </c>
      <c r="DO37" s="9">
        <f ca="1">IF(OR(DO10="",DO$28&lt;$A37),"",DO10/OFFSET(ParoRegCLM!$A$2,MATCH(DO$29,ParoRegCLM!$A$2:$A$500)+$A37-1,1)-1)</f>
        <v>-5.3690840928265482E-3</v>
      </c>
      <c r="DP37" s="9">
        <f ca="1">IF(OR(DP10="",DP$28&lt;$A37),"",DP10/OFFSET(ParoRegCLM!$A$2,MATCH(DP$29,ParoRegCLM!$A$2:$A$500)+$A37-1,1)-1)</f>
        <v>5.8023187880560823E-2</v>
      </c>
      <c r="DQ37" s="9">
        <f ca="1">IF(OR(DQ10="",DQ$28&lt;$A37),"",DQ10/OFFSET(ParoRegCLM!$A$2,MATCH(DQ$29,ParoRegCLM!$A$2:$A$500)+$A37-1,1)-1)</f>
        <v>5.4927737164025325E-2</v>
      </c>
      <c r="DR37" s="9">
        <f ca="1">IF(OR(DR10="",DR$28&lt;$A37),"",DR10/OFFSET(ParoRegCLM!$A$2,MATCH(DR$29,ParoRegCLM!$A$2:$A$500)+$A37-1,1)-1)</f>
        <v>-9.7429495870831051E-3</v>
      </c>
      <c r="DS37" s="9">
        <f ca="1">IF(OR(DS10="",DS$28&lt;$A37),"",DS10/OFFSET(ParoRegCLM!$A$2,MATCH(DS$29,ParoRegCLM!$A$2:$A$500)+$A37-1,1)-1)</f>
        <v>-3.1320777820700307E-3</v>
      </c>
      <c r="DT37" s="9">
        <f ca="1">IF(OR(DT10="",DT$28&lt;$A37),"",DT10/OFFSET(ParoRegCLM!$A$2,MATCH(DT$29,ParoRegCLM!$A$2:$A$500)+$A37-1,1)-1)</f>
        <v>-1.7880697328062745E-2</v>
      </c>
      <c r="DU37" s="9">
        <f ca="1">IF(OR(DU10="",DU$28&lt;$A37),"",DU10/OFFSET(ParoRegCLM!$A$2,MATCH(DU$29,ParoRegCLM!$A$2:$A$500)+$A37-1,1)-1)</f>
        <v>5.034792484147399E-3</v>
      </c>
      <c r="DV37" s="9">
        <f ca="1">IF(OR(DV10="",DV$28&lt;$A37),"",DV10/OFFSET(ParoRegCLM!$A$2,MATCH(DV$29,ParoRegCLM!$A$2:$A$500)+$A37-1,1)-1)</f>
        <v>-6.075555128147947E-3</v>
      </c>
      <c r="DW37" s="9">
        <f ca="1">IF(OR(DW10="",DW$28&lt;$A37),"",DW10/OFFSET(ParoRegCLM!$A$2,MATCH(DW$29,ParoRegCLM!$A$2:$A$500)+$A37-1,1)-1)</f>
        <v>-2.8419677795890719E-2</v>
      </c>
      <c r="DX37" s="9">
        <f ca="1">IF(OR(DX10="",DX$28&lt;$A37),"",DX10/OFFSET(ParoRegCLM!$A$2,MATCH(DX$29,ParoRegCLM!$A$2:$A$500)+$A37-1,1)-1)</f>
        <v>1.0543669746246209E-2</v>
      </c>
      <c r="DY37" s="9">
        <f ca="1">IF(OR(DY10="",DY$28&lt;$A37),"",DY10/OFFSET(ParoRegCLM!$A$2,MATCH(DY$29,ParoRegCLM!$A$2:$A$500)+$A37-1,1)-1)</f>
        <v>2.5554619165304437E-2</v>
      </c>
      <c r="DZ37" s="9">
        <f ca="1">IF(OR(DZ10="",DZ$28&lt;$A37),"",DZ10/OFFSET(ParoRegCLM!$A$2,MATCH(DZ$29,ParoRegCLM!$A$2:$A$500)+$A37-1,1)-1)</f>
        <v>3.4660265045586947E-2</v>
      </c>
      <c r="EA37" s="9">
        <f ca="1">IF(OR(EA10="",EA$28&lt;$A37),"",EA10/OFFSET(ParoRegCLM!$A$2,MATCH(EA$29,ParoRegCLM!$A$2:$A$500)+$A37-1,1)-1)</f>
        <v>3.5041405924921776E-2</v>
      </c>
      <c r="EB37" s="9">
        <f ca="1">IF(OR(EB10="",EB$28&lt;$A37),"",EB10/OFFSET(ParoRegCLM!$A$2,MATCH(EB$29,ParoRegCLM!$A$2:$A$500)+$A37-1,1)-1)</f>
        <v>5.6362068406755617E-2</v>
      </c>
      <c r="EC37" s="9">
        <f ca="1">IF(OR(EC10="",EC$28&lt;$A37),"",EC10/OFFSET(ParoRegCLM!$A$2,MATCH(EC$29,ParoRegCLM!$A$2:$A$500)+$A37-1,1)-1)</f>
        <v>-2.4398200202377929E-3</v>
      </c>
      <c r="ED37" s="9">
        <f ca="1">IF(OR(ED10="",ED$28&lt;$A37),"",ED10/OFFSET(ParoRegCLM!$A$2,MATCH(ED$29,ParoRegCLM!$A$2:$A$500)+$A37-1,1)-1)</f>
        <v>7.1108328752795824E-3</v>
      </c>
      <c r="EE37" s="9">
        <f ca="1">IF(OR(EE10="",EE$28&lt;$A37),"",EE10/OFFSET(ParoRegCLM!$A$2,MATCH(EE$29,ParoRegCLM!$A$2:$A$500)+$A37-1,1)-1)</f>
        <v>1.755627879488264E-2</v>
      </c>
      <c r="EF37" s="9">
        <f ca="1">IF(OR(EF10="",EF$28&lt;$A37),"",EF10/OFFSET(ParoRegCLM!$A$2,MATCH(EF$29,ParoRegCLM!$A$2:$A$500)+$A37-1,1)-1)</f>
        <v>-3.4106084364802003E-2</v>
      </c>
      <c r="EG37" s="9">
        <f ca="1">IF(OR(EG10="",EG$28&lt;$A37),"",EG10/OFFSET(ParoRegCLM!$A$2,MATCH(EG$29,ParoRegCLM!$A$2:$A$500)+$A37-1,1)-1)</f>
        <v>-2.9285213740796956E-2</v>
      </c>
      <c r="EH37" s="9">
        <f ca="1">IF(OR(EH10="",EH$28&lt;$A37),"",EH10/OFFSET(ParoRegCLM!$A$2,MATCH(EH$29,ParoRegCLM!$A$2:$A$500)+$A37-1,1)-1)</f>
        <v>-8.3571366175446138E-2</v>
      </c>
      <c r="EI37" s="9">
        <f ca="1">IF(OR(EI10="",EI$28&lt;$A37),"",EI10/OFFSET(ParoRegCLM!$A$2,MATCH(EI$29,ParoRegCLM!$A$2:$A$500)+$A37-1,1)-1)</f>
        <v>-7.7391843432603857E-2</v>
      </c>
      <c r="EJ37" s="9">
        <f ca="1">IF(OR(EJ10="",EJ$28&lt;$A37),"",EJ10/OFFSET(ParoRegCLM!$A$2,MATCH(EJ$29,ParoRegCLM!$A$2:$A$500)+$A37-1,1)-1)</f>
        <v>-6.1106365412520347E-2</v>
      </c>
      <c r="EK37" s="9">
        <f ca="1">IF(OR(EK10="",EK$28&lt;$A37),"",EK10/OFFSET(ParoRegCLM!$A$2,MATCH(EK$29,ParoRegCLM!$A$2:$A$500)+$A37-1,1)-1)</f>
        <v>-6.7005349380583334E-3</v>
      </c>
      <c r="EL37" s="9">
        <f ca="1">IF(OR(EL10="",EL$28&lt;$A37),"",EL10/OFFSET(ParoRegCLM!$A$2,MATCH(EL$29,ParoRegCLM!$A$2:$A$500)+$A37-1,1)-1)</f>
        <v>3.0821780364251428E-2</v>
      </c>
      <c r="EM37" s="9">
        <f ca="1">IF(OR(EM10="",EM$28&lt;$A37),"",EM10/OFFSET(ParoRegCLM!$A$2,MATCH(EM$29,ParoRegCLM!$A$2:$A$500)+$A37-1,1)-1)</f>
        <v>5.1536062299689878E-2</v>
      </c>
      <c r="EN37" s="9">
        <f ca="1">IF(OR(EN10="",EN$28&lt;$A37),"",EN10/OFFSET(ParoRegCLM!$A$2,MATCH(EN$29,ParoRegCLM!$A$2:$A$500)+$A37-1,1)-1)</f>
        <v>0.10440218798685375</v>
      </c>
      <c r="EO37" s="9">
        <f ca="1">IF(OR(EO10="",EO$28&lt;$A37),"",EO10/OFFSET(ParoRegCLM!$A$2,MATCH(EO$29,ParoRegCLM!$A$2:$A$500)+$A37-1,1)-1)</f>
        <v>4.9256395933056973E-2</v>
      </c>
      <c r="EP37" s="9">
        <f ca="1">IF(OR(EP10="",EP$28&lt;$A37),"",EP10/OFFSET(ParoRegCLM!$A$2,MATCH(EP$29,ParoRegCLM!$A$2:$A$500)+$A37-1,1)-1)</f>
        <v>4.1447663808209301E-2</v>
      </c>
      <c r="EQ37" s="9">
        <f ca="1">IF(OR(EQ10="",EQ$28&lt;$A37),"",EQ10/OFFSET(ParoRegCLM!$A$2,MATCH(EQ$29,ParoRegCLM!$A$2:$A$500)+$A37-1,1)-1)</f>
        <v>5.1159358614435213E-2</v>
      </c>
      <c r="ER37" s="9">
        <f ca="1">IF(OR(ER10="",ER$28&lt;$A37),"",ER10/OFFSET(ParoRegCLM!$A$2,MATCH(ER$29,ParoRegCLM!$A$2:$A$500)+$A37-1,1)-1)</f>
        <v>4.8550634881564747E-2</v>
      </c>
      <c r="ES37" s="9">
        <f ca="1">IF(OR(ES10="",ES$28&lt;$A37),"",ES10/OFFSET(ParoRegCLM!$A$2,MATCH(ES$29,ParoRegCLM!$A$2:$A$500)+$A37-1,1)-1)</f>
        <v>-1.475233168273915E-3</v>
      </c>
      <c r="ET37" s="9">
        <f ca="1">IF(OR(ET10="",ET$28&lt;$A37),"",ET10/OFFSET(ParoRegCLM!$A$2,MATCH(ET$29,ParoRegCLM!$A$2:$A$500)+$A37-1,1)-1)</f>
        <v>-1.7422091078002633E-2</v>
      </c>
      <c r="EU37" s="9">
        <f ca="1">IF(OR(EU10="",EU$28&lt;$A37),"",EU10/OFFSET(ParoRegCLM!$A$2,MATCH(EU$29,ParoRegCLM!$A$2:$A$500)+$A37-1,1)-1)</f>
        <v>-5.1903237553993953E-2</v>
      </c>
      <c r="EV37" s="9">
        <f ca="1">IF(OR(EV10="",EV$28&lt;$A37),"",EV10/OFFSET(ParoRegCLM!$A$2,MATCH(EV$29,ParoRegCLM!$A$2:$A$500)+$A37-1,1)-1)</f>
        <v>-5.3662481243989313E-2</v>
      </c>
      <c r="EW37" s="9">
        <f ca="1">IF(OR(EW10="",EW$28&lt;$A37),"",EW10/OFFSET(ParoRegCLM!$A$2,MATCH(EW$29,ParoRegCLM!$A$2:$A$500)+$A37-1,1)-1)</f>
        <v>-2.6663841639910646E-2</v>
      </c>
      <c r="EX37" s="9">
        <f ca="1">IF(OR(EX10="",EX$28&lt;$A37),"",EX10/OFFSET(ParoRegCLM!$A$2,MATCH(EX$29,ParoRegCLM!$A$2:$A$500)+$A37-1,1)-1)</f>
        <v>-2.2522945545538686E-2</v>
      </c>
      <c r="EY37" s="9">
        <f ca="1">IF(OR(EY10="",EY$28&lt;$A37),"",EY10/OFFSET(ParoRegCLM!$A$2,MATCH(EY$29,ParoRegCLM!$A$2:$A$500)+$A37-1,1)-1)</f>
        <v>-4.9371531619255449E-2</v>
      </c>
      <c r="EZ37" s="9">
        <f ca="1">IF(OR(EZ10="",EZ$28&lt;$A37),"",EZ10/OFFSET(ParoRegCLM!$A$2,MATCH(EZ$29,ParoRegCLM!$A$2:$A$500)+$A37-1,1)-1)</f>
        <v>-3.048438638687756E-3</v>
      </c>
      <c r="FA37" s="9">
        <f ca="1">IF(OR(FA10="",FA$28&lt;$A37),"",FA10/OFFSET(ParoRegCLM!$A$2,MATCH(FA$29,ParoRegCLM!$A$2:$A$500)+$A37-1,1)-1)</f>
        <v>1.8571809503868053E-2</v>
      </c>
      <c r="FB37" s="9">
        <f ca="1">IF(OR(FB10="",FB$28&lt;$A37),"",FB10/OFFSET(ParoRegCLM!$A$2,MATCH(FB$29,ParoRegCLM!$A$2:$A$500)+$A37-1,1)-1)</f>
        <v>-5.7121595871106878E-3</v>
      </c>
      <c r="FC37" s="9">
        <f ca="1">IF(OR(FC10="",FC$28&lt;$A37),"",FC10/OFFSET(ParoRegCLM!$A$2,MATCH(FC$29,ParoRegCLM!$A$2:$A$500)+$A37-1,1)-1)</f>
        <v>-2.4313201454551625E-2</v>
      </c>
      <c r="FD37" s="9">
        <f ca="1">IF(OR(FD10="",FD$28&lt;$A37),"",FD10/OFFSET(ParoRegCLM!$A$2,MATCH(FD$29,ParoRegCLM!$A$2:$A$500)+$A37-1,1)-1)</f>
        <v>-4.4921300797716723E-3</v>
      </c>
      <c r="FE37" s="9">
        <f ca="1">IF(OR(FE10="",FE$28&lt;$A37),"",FE10/OFFSET(ParoRegCLM!$A$2,MATCH(FE$29,ParoRegCLM!$A$2:$A$500)+$A37-1,1)-1)</f>
        <v>1.5323357573771013E-3</v>
      </c>
      <c r="FF37" s="9">
        <f ca="1">IF(OR(FF10="",FF$28&lt;$A37),"",FF10/OFFSET(ParoRegCLM!$A$2,MATCH(FF$29,ParoRegCLM!$A$2:$A$500)+$A37-1,1)-1)</f>
        <v>6.4916618788141811E-2</v>
      </c>
      <c r="FG37" s="9">
        <f ca="1">IF(OR(FG10="",FG$28&lt;$A37),"",FG10/OFFSET(ParoRegCLM!$A$2,MATCH(FG$29,ParoRegCLM!$A$2:$A$500)+$A37-1,1)-1)</f>
        <v>4.4662764760096563E-2</v>
      </c>
      <c r="FH37" s="9">
        <f ca="1">IF(OR(FH10="",FH$28&lt;$A37),"",FH10/OFFSET(ParoRegCLM!$A$2,MATCH(FH$29,ParoRegCLM!$A$2:$A$500)+$A37-1,1)-1)</f>
        <v>4.9211898539500698E-3</v>
      </c>
      <c r="FI37" s="9">
        <f ca="1">IF(OR(FI10="",FI$28&lt;$A37),"",FI10/OFFSET(ParoRegCLM!$A$2,MATCH(FI$29,ParoRegCLM!$A$2:$A$500)+$A37-1,1)-1)</f>
        <v>9.320713065013253E-3</v>
      </c>
      <c r="FJ37" s="9">
        <f ca="1">IF(OR(FJ10="",FJ$28&lt;$A37),"",FJ10/OFFSET(ParoRegCLM!$A$2,MATCH(FJ$29,ParoRegCLM!$A$2:$A$500)+$A37-1,1)-1)</f>
        <v>-2.9157904622679753E-2</v>
      </c>
      <c r="FK37" s="9">
        <f ca="1">IF(OR(FK10="",FK$28&lt;$A37),"",FK10/OFFSET(ParoRegCLM!$A$2,MATCH(FK$29,ParoRegCLM!$A$2:$A$500)+$A37-1,1)-1)</f>
        <v>1.8375087162238568E-2</v>
      </c>
      <c r="FL37" s="9">
        <f ca="1">IF(OR(FL10="",FL$28&lt;$A37),"",FL10/OFFSET(ParoRegCLM!$A$2,MATCH(FL$29,ParoRegCLM!$A$2:$A$500)+$A37-1,1)-1)</f>
        <v>-9.9737932528730755E-2</v>
      </c>
      <c r="FM37" s="9">
        <f ca="1">IF(OR(FM10="",FM$28&lt;$A37),"",FM10/OFFSET(ParoRegCLM!$A$2,MATCH(FM$29,ParoRegCLM!$A$2:$A$500)+$A37-1,1)-1)</f>
        <v>-0.10311788356509666</v>
      </c>
      <c r="FN37" s="9">
        <f ca="1">IF(OR(FN10="",FN$28&lt;$A37),"",FN10/OFFSET(ParoRegCLM!$A$2,MATCH(FN$29,ParoRegCLM!$A$2:$A$500)+$A37-1,1)-1)</f>
        <v>-8.164247326813745E-2</v>
      </c>
      <c r="FO37" s="9">
        <f ca="1">IF(OR(FO10="",FO$28&lt;$A37),"",FO10/OFFSET(ParoRegCLM!$A$2,MATCH(FO$29,ParoRegCLM!$A$2:$A$500)+$A37-1,1)-1)</f>
        <v>-4.0788131423751706E-2</v>
      </c>
      <c r="FP37" s="9">
        <f ca="1">IF(OR(FP10="",FP$28&lt;$A37),"",FP10/OFFSET(ParoRegCLM!$A$2,MATCH(FP$29,ParoRegCLM!$A$2:$A$500)+$A37-1,1)-1)</f>
        <v>-2.2750243120874925E-2</v>
      </c>
      <c r="FQ37" s="9">
        <f ca="1">IF(OR(FQ10="",FQ$28&lt;$A37),"",FQ10/OFFSET(ParoRegCLM!$A$2,MATCH(FQ$29,ParoRegCLM!$A$2:$A$500)+$A37-1,1)-1)</f>
        <v>3.8395688838323672E-2</v>
      </c>
      <c r="FR37" s="9">
        <f ca="1">IF(OR(FR10="",FR$28&lt;$A37),"",FR10/OFFSET(ParoRegCLM!$A$2,MATCH(FR$29,ParoRegCLM!$A$2:$A$500)+$A37-1,1)-1)</f>
        <v>9.8258579195941831E-2</v>
      </c>
      <c r="FS37" s="9">
        <f ca="1">IF(OR(FS10="",FS$28&lt;$A37),"",FS10/OFFSET(ParoRegCLM!$A$2,MATCH(FS$29,ParoRegCLM!$A$2:$A$500)+$A37-1,1)-1)</f>
        <v>9.8808656083740454E-2</v>
      </c>
      <c r="FT37" s="9">
        <f ca="1">IF(OR(FT10="",FT$28&lt;$A37),"",FT10/OFFSET(ParoRegCLM!$A$2,MATCH(FT$29,ParoRegCLM!$A$2:$A$500)+$A37-1,1)-1)</f>
        <v>0.10649084605124592</v>
      </c>
      <c r="FU37" s="9">
        <f ca="1">IF(OR(FU10="",FU$28&lt;$A37),"",FU10/OFFSET(ParoRegCLM!$A$2,MATCH(FU$29,ParoRegCLM!$A$2:$A$500)+$A37-1,1)-1)</f>
        <v>9.2673368232477404E-2</v>
      </c>
      <c r="FV37" s="9">
        <f ca="1">IF(OR(FV10="",FV$28&lt;$A37),"",FV10/OFFSET(ParoRegCLM!$A$2,MATCH(FV$29,ParoRegCLM!$A$2:$A$500)+$A37-1,1)-1)</f>
        <v>7.7956242437377199E-2</v>
      </c>
      <c r="FW37" s="9">
        <f ca="1">IF(OR(FW10="",FW$28&lt;$A37),"",FW10/OFFSET(ParoRegCLM!$A$2,MATCH(FW$29,ParoRegCLM!$A$2:$A$500)+$A37-1,1)-1)</f>
        <v>5.4024161437385976E-2</v>
      </c>
      <c r="FX37" s="9">
        <f ca="1">IF(OR(FX10="",FX$28&lt;$A37),"",FX10/OFFSET(ParoRegCLM!$A$2,MATCH(FX$29,ParoRegCLM!$A$2:$A$500)+$A37-1,1)-1)</f>
        <v>-9.3206389299043124E-3</v>
      </c>
      <c r="FY37" s="9">
        <f ca="1">IF(OR(FY10="",FY$28&lt;$A37),"",FY10/OFFSET(ParoRegCLM!$A$2,MATCH(FY$29,ParoRegCLM!$A$2:$A$500)+$A37-1,1)-1)</f>
        <v>-7.4602903463459991E-2</v>
      </c>
      <c r="FZ37" s="9">
        <f ca="1">IF(OR(FZ10="",FZ$28&lt;$A37),"",FZ10/OFFSET(ParoRegCLM!$A$2,MATCH(FZ$29,ParoRegCLM!$A$2:$A$500)+$A37-1,1)-1)</f>
        <v>-0.1401909226017386</v>
      </c>
      <c r="GA37" s="9">
        <f ca="1">IF(OR(GA10="",GA$28&lt;$A37),"",GA10/OFFSET(ParoRegCLM!$A$2,MATCH(GA$29,ParoRegCLM!$A$2:$A$500)+$A37-1,1)-1)</f>
        <v>-0.12888523389631623</v>
      </c>
      <c r="GB37" s="9">
        <f ca="1">IF(OR(GB10="",GB$28&lt;$A37),"",GB10/OFFSET(ParoRegCLM!$A$2,MATCH(GB$29,ParoRegCLM!$A$2:$A$500)+$A37-1,1)-1)</f>
        <v>-0.12233895541278095</v>
      </c>
      <c r="GC37" s="9">
        <f ca="1">IF(OR(GC10="",GC$28&lt;$A37),"",GC10/OFFSET(ParoRegCLM!$A$2,MATCH(GC$29,ParoRegCLM!$A$2:$A$500)+$A37-1,1)-1)</f>
        <v>-0.10294017232265751</v>
      </c>
      <c r="GD37" s="9">
        <f ca="1">IF(OR(GD10="",GD$28&lt;$A37),"",GD10/OFFSET(ParoRegCLM!$A$2,MATCH(GD$29,ParoRegCLM!$A$2:$A$500)+$A37-1,1)-1)</f>
        <v>-7.8829345011250274E-2</v>
      </c>
      <c r="GE37" s="9">
        <f ca="1">IF(OR(GE10="",GE$28&lt;$A37),"",GE10/OFFSET(ParoRegCLM!$A$2,MATCH(GE$29,ParoRegCLM!$A$2:$A$500)+$A37-1,1)-1)</f>
        <v>-4.6764308212848937E-2</v>
      </c>
      <c r="GF37" s="9">
        <f ca="1">IF(OR(GF10="",GF$28&lt;$A37),"",GF10/OFFSET(ParoRegCLM!$A$2,MATCH(GF$29,ParoRegCLM!$A$2:$A$500)+$A37-1,1)-1)</f>
        <v>-3.2914489004531866E-4</v>
      </c>
      <c r="GG37" s="9">
        <f ca="1">IF(OR(GG10="",GG$28&lt;$A37),"",GG10/OFFSET(ParoRegCLM!$A$2,MATCH(GG$29,ParoRegCLM!$A$2:$A$500)+$A37-1,1)-1)</f>
        <v>-5.5346970036695531E-2</v>
      </c>
      <c r="GH37" s="9">
        <f ca="1">IF(OR(GH10="",GH$28&lt;$A37),"",GH10/OFFSET(ParoRegCLM!$A$2,MATCH(GH$29,ParoRegCLM!$A$2:$A$500)+$A37-1,1)-1)</f>
        <v>-0.10283681651528209</v>
      </c>
      <c r="GI37" s="9">
        <f ca="1">IF(OR(GI10="",GI$28&lt;$A37),"",GI10/OFFSET(ParoRegCLM!$A$2,MATCH(GI$29,ParoRegCLM!$A$2:$A$500)+$A37-1,1)-1)</f>
        <v>-8.4384102001378247E-2</v>
      </c>
      <c r="GJ37" s="9">
        <f ca="1">IF(OR(GJ10="",GJ$28&lt;$A37),"",GJ10/OFFSET(ParoRegCLM!$A$2,MATCH(GJ$29,ParoRegCLM!$A$2:$A$500)+$A37-1,1)-1)</f>
        <v>-7.8295713387920185E-2</v>
      </c>
      <c r="GK37" s="9">
        <f ca="1">IF(OR(GK10="",GK$28&lt;$A37),"",GK10/OFFSET(ParoRegCLM!$A$2,MATCH(GK$29,ParoRegCLM!$A$2:$A$500)+$A37-1,1)-1)</f>
        <v>-8.0613936287907029E-2</v>
      </c>
      <c r="GL37" s="9">
        <f ca="1">IF(OR(GL10="",GL$28&lt;$A37),"",GL10/OFFSET(ParoRegCLM!$A$2,MATCH(GL$29,ParoRegCLM!$A$2:$A$500)+$A37-1,1)-1)</f>
        <v>-9.0024926466888755E-2</v>
      </c>
      <c r="GM37" s="9">
        <f ca="1">IF(OR(GM10="",GM$28&lt;$A37),"",GM10/OFFSET(ParoRegCLM!$A$2,MATCH(GM$29,ParoRegCLM!$A$2:$A$500)+$A37-1,1)-1)</f>
        <v>-5.0388689668403486E-2</v>
      </c>
      <c r="GN37" s="9">
        <f ca="1">IF(OR(GN10="",GN$28&lt;$A37),"",GN10/OFFSET(ParoRegCLM!$A$2,MATCH(GN$29,ParoRegCLM!$A$2:$A$500)+$A37-1,1)-1)</f>
        <v>-8.6274356592004553E-2</v>
      </c>
      <c r="GO37" s="9">
        <f ca="1">IF(OR(GO10="",GO$28&lt;$A37),"",GO10/OFFSET(ParoRegCLM!$A$2,MATCH(GO$29,ParoRegCLM!$A$2:$A$500)+$A37-1,1)-1)</f>
        <v>6.0618616490476507E-2</v>
      </c>
      <c r="GP37" s="9">
        <f ca="1">IF(OR(GP10="",GP$28&lt;$A37),"",GP10/OFFSET(ParoRegCLM!$A$2,MATCH(GP$29,ParoRegCLM!$A$2:$A$500)+$A37-1,1)-1)</f>
        <v>0.21466125869664898</v>
      </c>
      <c r="GQ37" s="9">
        <f ca="1">IF(OR(GQ10="",GQ$28&lt;$A37),"",GQ10/OFFSET(ParoRegCLM!$A$2,MATCH(GQ$29,ParoRegCLM!$A$2:$A$500)+$A37-1,1)-1)</f>
        <v>0.12423921466407362</v>
      </c>
      <c r="GR37" s="9" t="str">
        <f ca="1">IF(OR(GR10="",GR$28&lt;$A37),"",GR10/OFFSET(ParoRegCLM!$A$2,MATCH(GR$29,ParoRegCLM!$A$2:$A$500)+$A37-1,1)-1)</f>
        <v/>
      </c>
      <c r="GS37" s="9" t="str">
        <f ca="1">IF(OR(GS10="",GS$28&lt;$A37),"",GS10/OFFSET(ParoRegCLM!$A$2,MATCH(GS$29,ParoRegCLM!$A$2:$A$500)+$A37-1,1)-1)</f>
        <v/>
      </c>
      <c r="GT37" s="9" t="str">
        <f ca="1">IF(OR(GT10="",GT$28&lt;$A37),"",GT10/OFFSET(ParoRegCLM!$A$2,MATCH(GT$29,ParoRegCLM!$A$2:$A$500)+$A37-1,1)-1)</f>
        <v/>
      </c>
      <c r="GU37" s="9" t="str">
        <f ca="1">IF(OR(GU10="",GU$28&lt;$A37),"",GU10/OFFSET(ParoRegCLM!$A$2,MATCH(GU$29,ParoRegCLM!$A$2:$A$500)+$A37-1,1)-1)</f>
        <v/>
      </c>
      <c r="GV37" s="9" t="str">
        <f ca="1">IF(OR(GV10="",GV$28&lt;$A37),"",GV10/OFFSET(ParoRegCLM!$A$2,MATCH(GV$29,ParoRegCLM!$A$2:$A$500)+$A37-1,1)-1)</f>
        <v/>
      </c>
      <c r="GW37" s="9" t="str">
        <f ca="1">IF(OR(GW10="",GW$28&lt;$A37),"",GW10/OFFSET(ParoRegCLM!$A$2,MATCH(GW$29,ParoRegCLM!$A$2:$A$500)+$A37-1,1)-1)</f>
        <v/>
      </c>
      <c r="GX37" s="9" t="str">
        <f ca="1">IF(OR(GX10="",GX$28&lt;$A37),"",GX10/OFFSET(ParoRegCLM!$A$2,MATCH(GX$29,ParoRegCLM!$A$2:$A$500)+$A37-1,1)-1)</f>
        <v/>
      </c>
      <c r="GY37" s="9" t="str">
        <f ca="1">IF(OR(GY10="",GY$28&lt;$A37),"",GY10/OFFSET(ParoRegCLM!$A$2,MATCH(GY$29,ParoRegCLM!$A$2:$A$500)+$A37-1,1)-1)</f>
        <v/>
      </c>
      <c r="GZ37" s="9" t="str">
        <f ca="1">IF(OR(GZ10="",GZ$28&lt;$A37),"",GZ10/OFFSET(ParoRegCLM!$A$2,MATCH(GZ$29,ParoRegCLM!$A$2:$A$500)+$A37-1,1)-1)</f>
        <v/>
      </c>
      <c r="HA37" s="9" t="str">
        <f ca="1">IF(OR(HA10="",HA$28&lt;$A37),"",HA10/OFFSET(ParoRegCLM!$A$2,MATCH(HA$29,ParoRegCLM!$A$2:$A$500)+$A37-1,1)-1)</f>
        <v/>
      </c>
      <c r="HB37" s="9" t="str">
        <f ca="1">IF(OR(HB10="",HB$28&lt;$A37),"",HB10/OFFSET(ParoRegCLM!$A$2,MATCH(HB$29,ParoRegCLM!$A$2:$A$500)+$A37-1,1)-1)</f>
        <v/>
      </c>
      <c r="HC37" s="9" t="str">
        <f ca="1">IF(OR(HC10="",HC$28&lt;$A37),"",HC10/OFFSET(ParoRegCLM!$A$2,MATCH(HC$29,ParoRegCLM!$A$2:$A$500)+$A37-1,1)-1)</f>
        <v/>
      </c>
      <c r="HD37" s="9" t="str">
        <f ca="1">IF(OR(HD10="",HD$28&lt;$A37),"",HD10/OFFSET(ParoRegCLM!$A$2,MATCH(HD$29,ParoRegCLM!$A$2:$A$500)+$A37-1,1)-1)</f>
        <v/>
      </c>
      <c r="HE37" s="9" t="str">
        <f ca="1">IF(OR(HE10="",HE$28&lt;$A37),"",HE10/OFFSET(ParoRegCLM!$A$2,MATCH(HE$29,ParoRegCLM!$A$2:$A$500)+$A37-1,1)-1)</f>
        <v/>
      </c>
      <c r="HF37" s="9" t="str">
        <f ca="1">IF(OR(HF10="",HF$28&lt;$A37),"",HF10/OFFSET(ParoRegCLM!$A$2,MATCH(HF$29,ParoRegCLM!$A$2:$A$500)+$A37-1,1)-1)</f>
        <v/>
      </c>
      <c r="HG37" s="9" t="str">
        <f ca="1">IF(OR(HG10="",HG$28&lt;$A37),"",HG10/OFFSET(ParoRegCLM!$A$2,MATCH(HG$29,ParoRegCLM!$A$2:$A$500)+$A37-1,1)-1)</f>
        <v/>
      </c>
      <c r="HH37" s="9" t="str">
        <f ca="1">IF(OR(HH10="",HH$28&lt;$A37),"",HH10/OFFSET(ParoRegCLM!$A$2,MATCH(HH$29,ParoRegCLM!$A$2:$A$500)+$A37-1,1)-1)</f>
        <v/>
      </c>
      <c r="HI37" s="9" t="str">
        <f ca="1">IF(OR(HI10="",HI$28&lt;$A37),"",HI10/OFFSET(ParoRegCLM!$A$2,MATCH(HI$29,ParoRegCLM!$A$2:$A$500)+$A37-1,1)-1)</f>
        <v/>
      </c>
      <c r="HJ37" s="9" t="str">
        <f ca="1">IF(OR(HJ10="",HJ$28&lt;$A37),"",HJ10/OFFSET(ParoRegCLM!$A$2,MATCH(HJ$29,ParoRegCLM!$A$2:$A$500)+$A37-1,1)-1)</f>
        <v/>
      </c>
      <c r="HK37" s="9" t="str">
        <f ca="1">IF(OR(HK10="",HK$28&lt;$A37),"",HK10/OFFSET(ParoRegCLM!$A$2,MATCH(HK$29,ParoRegCLM!$A$2:$A$500)+$A37-1,1)-1)</f>
        <v/>
      </c>
      <c r="HL37" s="9" t="str">
        <f ca="1">IF(OR(HL10="",HL$28&lt;$A37),"",HL10/OFFSET(ParoRegCLM!$A$2,MATCH(HL$29,ParoRegCLM!$A$2:$A$500)+$A37-1,1)-1)</f>
        <v/>
      </c>
      <c r="HM37" s="9" t="str">
        <f ca="1">IF(OR(HM10="",HM$28&lt;$A37),"",HM10/OFFSET(ParoRegCLM!$A$2,MATCH(HM$29,ParoRegCLM!$A$2:$A$500)+$A37-1,1)-1)</f>
        <v/>
      </c>
      <c r="HN37" s="9" t="str">
        <f ca="1">IF(OR(HN10="",HN$28&lt;$A37),"",HN10/OFFSET(ParoRegCLM!$A$2,MATCH(HN$29,ParoRegCLM!$A$2:$A$500)+$A37-1,1)-1)</f>
        <v/>
      </c>
      <c r="HO37" s="9" t="str">
        <f ca="1">IF(OR(HO10="",HO$28&lt;$A37),"",HO10/OFFSET(ParoRegCLM!$A$2,MATCH(HO$29,ParoRegCLM!$A$2:$A$500)+$A37-1,1)-1)</f>
        <v/>
      </c>
      <c r="HP37" s="9" t="str">
        <f ca="1">IF(OR(HP10="",HP$28&lt;$A37),"",HP10/OFFSET(ParoRegCLM!$A$2,MATCH(HP$29,ParoRegCLM!$A$2:$A$500)+$A37-1,1)-1)</f>
        <v/>
      </c>
      <c r="HQ37" s="9" t="str">
        <f ca="1">IF(OR(HQ10="",HQ$28&lt;$A37),"",HQ10/OFFSET(ParoRegCLM!$A$2,MATCH(HQ$29,ParoRegCLM!$A$2:$A$500)+$A37-1,1)-1)</f>
        <v/>
      </c>
      <c r="HR37" s="9" t="str">
        <f ca="1">IF(OR(HR10="",HR$28&lt;$A37),"",HR10/OFFSET(ParoRegCLM!$A$2,MATCH(HR$29,ParoRegCLM!$A$2:$A$500)+$A37-1,1)-1)</f>
        <v/>
      </c>
      <c r="HS37" s="9" t="str">
        <f ca="1">IF(OR(HS10="",HS$28&lt;$A37),"",HS10/OFFSET(ParoRegCLM!$A$2,MATCH(HS$29,ParoRegCLM!$A$2:$A$500)+$A37-1,1)-1)</f>
        <v/>
      </c>
      <c r="HT37" s="9" t="str">
        <f ca="1">IF(OR(HT10="",HT$28&lt;$A37),"",HT10/OFFSET(ParoRegCLM!$A$2,MATCH(HT$29,ParoRegCLM!$A$2:$A$500)+$A37-1,1)-1)</f>
        <v/>
      </c>
      <c r="HU37" s="9" t="str">
        <f ca="1">IF(OR(HU10="",HU$28&lt;$A37),"",HU10/OFFSET(ParoRegCLM!$A$2,MATCH(HU$29,ParoRegCLM!$A$2:$A$500)+$A37-1,1)-1)</f>
        <v/>
      </c>
      <c r="HV37" s="9" t="str">
        <f ca="1">IF(OR(HV10="",HV$28&lt;$A37),"",HV10/OFFSET(ParoRegCLM!$A$2,MATCH(HV$29,ParoRegCLM!$A$2:$A$500)+$A37-1,1)-1)</f>
        <v/>
      </c>
      <c r="HW37" s="9" t="str">
        <f ca="1">IF(OR(HW10="",HW$28&lt;$A37),"",HW10/OFFSET(ParoRegCLM!$A$2,MATCH(HW$29,ParoRegCLM!$A$2:$A$500)+$A37-1,1)-1)</f>
        <v/>
      </c>
      <c r="HX37" s="9" t="str">
        <f ca="1">IF(OR(HX10="",HX$28&lt;$A37),"",HX10/OFFSET(ParoRegCLM!$A$2,MATCH(HX$29,ParoRegCLM!$A$2:$A$500)+$A37-1,1)-1)</f>
        <v/>
      </c>
      <c r="HY37" s="9" t="str">
        <f ca="1">IF(OR(HY10="",HY$28&lt;$A37),"",HY10/OFFSET(ParoRegCLM!$A$2,MATCH(HY$29,ParoRegCLM!$A$2:$A$500)+$A37-1,1)-1)</f>
        <v/>
      </c>
      <c r="HZ37" s="9" t="str">
        <f ca="1">IF(OR(HZ10="",HZ$28&lt;$A37),"",HZ10/OFFSET(ParoRegCLM!$A$2,MATCH(HZ$29,ParoRegCLM!$A$2:$A$500)+$A37-1,1)-1)</f>
        <v/>
      </c>
      <c r="IA37" s="9" t="str">
        <f ca="1">IF(OR(IA10="",IA$28&lt;$A37),"",IA10/OFFSET(ParoRegCLM!$A$2,MATCH(IA$29,ParoRegCLM!$A$2:$A$500)+$A37-1,1)-1)</f>
        <v/>
      </c>
      <c r="IB37" s="9" t="str">
        <f ca="1">IF(OR(IB10="",IB$28&lt;$A37),"",IB10/OFFSET(ParoRegCLM!$A$2,MATCH(IB$29,ParoRegCLM!$A$2:$A$500)+$A37-1,1)-1)</f>
        <v/>
      </c>
      <c r="IC37" s="9" t="str">
        <f ca="1">IF(OR(IC10="",IC$28&lt;$A37),"",IC10/OFFSET(ParoRegCLM!$A$2,MATCH(IC$29,ParoRegCLM!$A$2:$A$500)+$A37-1,1)-1)</f>
        <v/>
      </c>
      <c r="ID37" s="9" t="str">
        <f ca="1">IF(OR(ID10="",ID$28&lt;$A37),"",ID10/OFFSET(ParoRegCLM!$A$2,MATCH(ID$29,ParoRegCLM!$A$2:$A$500)+$A37-1,1)-1)</f>
        <v/>
      </c>
      <c r="IE37" s="9" t="str">
        <f ca="1">IF(OR(IE10="",IE$28&lt;$A37),"",IE10/OFFSET(ParoRegCLM!$A$2,MATCH(IE$29,ParoRegCLM!$A$2:$A$500)+$A37-1,1)-1)</f>
        <v/>
      </c>
      <c r="IF37" s="9" t="str">
        <f ca="1">IF(OR(IF10="",IF$28&lt;$A37),"",IF10/OFFSET(ParoRegCLM!$A$2,MATCH(IF$29,ParoRegCLM!$A$2:$A$500)+$A37-1,1)-1)</f>
        <v/>
      </c>
      <c r="IG37" s="9" t="str">
        <f ca="1">IF(OR(IG10="",IG$28&lt;$A37),"",IG10/OFFSET(ParoRegCLM!$A$2,MATCH(IG$29,ParoRegCLM!$A$2:$A$500)+$A37-1,1)-1)</f>
        <v/>
      </c>
      <c r="IH37" s="9" t="str">
        <f ca="1">IF(OR(IH10="",IH$28&lt;$A37),"",IH10/OFFSET(ParoRegCLM!$A$2,MATCH(IH$29,ParoRegCLM!$A$2:$A$500)+$A37-1,1)-1)</f>
        <v/>
      </c>
      <c r="II37" s="9" t="str">
        <f ca="1">IF(OR(II10="",II$28&lt;$A37),"",II10/OFFSET(ParoRegCLM!$A$2,MATCH(II$29,ParoRegCLM!$A$2:$A$500)+$A37-1,1)-1)</f>
        <v/>
      </c>
      <c r="IJ37" s="9" t="str">
        <f ca="1">IF(OR(IJ10="",IJ$28&lt;$A37),"",IJ10/OFFSET(ParoRegCLM!$A$2,MATCH(IJ$29,ParoRegCLM!$A$2:$A$500)+$A37-1,1)-1)</f>
        <v/>
      </c>
      <c r="IK37" s="9" t="str">
        <f ca="1">IF(OR(IK10="",IK$28&lt;$A37),"",IK10/OFFSET(ParoRegCLM!$A$2,MATCH(IK$29,ParoRegCLM!$A$2:$A$500)+$A37-1,1)-1)</f>
        <v/>
      </c>
      <c r="IL37" s="9" t="str">
        <f ca="1">IF(OR(IL10="",IL$28&lt;$A37),"",IL10/OFFSET(ParoRegCLM!$A$2,MATCH(IL$29,ParoRegCLM!$A$2:$A$500)+$A37-1,1)-1)</f>
        <v/>
      </c>
      <c r="IM37" s="9" t="str">
        <f ca="1">IF(OR(IM10="",IM$28&lt;$A37),"",IM10/OFFSET(ParoRegCLM!$A$2,MATCH(IM$29,ParoRegCLM!$A$2:$A$500)+$A37-1,1)-1)</f>
        <v/>
      </c>
      <c r="IN37" s="9" t="str">
        <f ca="1">IF(OR(IN10="",IN$28&lt;$A37),"",IN10/OFFSET(ParoRegCLM!$A$2,MATCH(IN$29,ParoRegCLM!$A$2:$A$500)+$A37-1,1)-1)</f>
        <v/>
      </c>
      <c r="IO37" s="9" t="str">
        <f ca="1">IF(OR(IO10="",IO$28&lt;$A37),"",IO10/OFFSET(ParoRegCLM!$A$2,MATCH(IO$29,ParoRegCLM!$A$2:$A$500)+$A37-1,1)-1)</f>
        <v/>
      </c>
      <c r="IP37" s="9" t="str">
        <f ca="1">IF(OR(IP10="",IP$28&lt;$A37),"",IP10/OFFSET(ParoRegCLM!$A$2,MATCH(IP$29,ParoRegCLM!$A$2:$A$500)+$A37-1,1)-1)</f>
        <v/>
      </c>
      <c r="IQ37" s="9" t="str">
        <f ca="1">IF(OR(IQ10="",IQ$28&lt;$A37),"",IQ10/OFFSET(ParoRegCLM!$A$2,MATCH(IQ$29,ParoRegCLM!$A$2:$A$500)+$A37-1,1)-1)</f>
        <v/>
      </c>
      <c r="IR37" s="9" t="str">
        <f ca="1">IF(OR(IR10="",IR$28&lt;$A37),"",IR10/OFFSET(ParoRegCLM!$A$2,MATCH(IR$29,ParoRegCLM!$A$2:$A$500)+$A37-1,1)-1)</f>
        <v/>
      </c>
      <c r="IS37" s="9" t="str">
        <f ca="1">IF(OR(IS10="",IS$28&lt;$A37),"",IS10/OFFSET(ParoRegCLM!$A$2,MATCH(IS$29,ParoRegCLM!$A$2:$A$500)+$A37-1,1)-1)</f>
        <v/>
      </c>
      <c r="IT37" s="9" t="str">
        <f ca="1">IF(OR(IT10="",IT$28&lt;$A37),"",IT10/OFFSET(ParoRegCLM!$A$2,MATCH(IT$29,ParoRegCLM!$A$2:$A$500)+$A37-1,1)-1)</f>
        <v/>
      </c>
      <c r="IU37" s="9" t="str">
        <f ca="1">IF(OR(IU10="",IU$28&lt;$A37),"",IU10/OFFSET(ParoRegCLM!$A$2,MATCH(IU$29,ParoRegCLM!$A$2:$A$500)+$A37-1,1)-1)</f>
        <v/>
      </c>
      <c r="IV37" s="9" t="str">
        <f ca="1">IF(OR(IV10="",IV$28&lt;$A37),"",IV10/OFFSET(ParoRegCLM!$A$2,MATCH(IV$29,ParoRegCLM!$A$2:$A$500)+$A37-1,1)-1)</f>
        <v/>
      </c>
      <c r="IW37" s="9" t="str">
        <f ca="1">IF(OR(IW10="",IW$28&lt;$A37),"",IW10/OFFSET(ParoRegCLM!$A$2,MATCH(IW$29,ParoRegCLM!$A$2:$A$500)+$A37-1,1)-1)</f>
        <v/>
      </c>
      <c r="IX37" s="9" t="str">
        <f ca="1">IF(OR(IX10="",IX$28&lt;$A37),"",IX10/OFFSET(ParoRegCLM!$A$2,MATCH(IX$29,ParoRegCLM!$A$2:$A$500)+$A37-1,1)-1)</f>
        <v/>
      </c>
      <c r="IY37" s="9" t="str">
        <f ca="1">IF(OR(IY10="",IY$28&lt;$A37),"",IY10/OFFSET(ParoRegCLM!$A$2,MATCH(IY$29,ParoRegCLM!$A$2:$A$500)+$A37-1,1)-1)</f>
        <v/>
      </c>
      <c r="IZ37" s="9" t="str">
        <f ca="1">IF(OR(IZ10="",IZ$28&lt;$A37),"",IZ10/OFFSET(ParoRegCLM!$A$2,MATCH(IZ$29,ParoRegCLM!$A$2:$A$500)+$A37-1,1)-1)</f>
        <v/>
      </c>
      <c r="JA37" s="9" t="str">
        <f ca="1">IF(OR(JA10="",JA$28&lt;$A37),"",JA10/OFFSET(ParoRegCLM!$A$2,MATCH(JA$29,ParoRegCLM!$A$2:$A$500)+$A37-1,1)-1)</f>
        <v/>
      </c>
      <c r="JB37" s="9" t="str">
        <f ca="1">IF(OR(JB10="",JB$28&lt;$A37),"",JB10/OFFSET(ParoRegCLM!$A$2,MATCH(JB$29,ParoRegCLM!$A$2:$A$500)+$A37-1,1)-1)</f>
        <v/>
      </c>
      <c r="JC37" s="9" t="str">
        <f ca="1">IF(OR(JC10="",JC$28&lt;$A37),"",JC10/OFFSET(ParoRegCLM!$A$2,MATCH(JC$29,ParoRegCLM!$A$2:$A$500)+$A37-1,1)-1)</f>
        <v/>
      </c>
      <c r="JD37" s="9" t="str">
        <f ca="1">IF(OR(JD10="",JD$28&lt;$A37),"",JD10/OFFSET(ParoRegCLM!$A$2,MATCH(JD$29,ParoRegCLM!$A$2:$A$500)+$A37-1,1)-1)</f>
        <v/>
      </c>
      <c r="JE37" s="9" t="str">
        <f ca="1">IF(OR(JE10="",JE$28&lt;$A37),"",JE10/OFFSET(ParoRegCLM!$A$2,MATCH(JE$29,ParoRegCLM!$A$2:$A$500)+$A37-1,1)-1)</f>
        <v/>
      </c>
      <c r="JF37" s="9" t="str">
        <f ca="1">IF(OR(JF10="",JF$28&lt;$A37),"",JF10/OFFSET(ParoRegCLM!$A$2,MATCH(JF$29,ParoRegCLM!$A$2:$A$500)+$A37-1,1)-1)</f>
        <v/>
      </c>
      <c r="JG37" s="9" t="str">
        <f ca="1">IF(OR(JG10="",JG$28&lt;$A37),"",JG10/OFFSET(ParoRegCLM!$A$2,MATCH(JG$29,ParoRegCLM!$A$2:$A$500)+$A37-1,1)-1)</f>
        <v/>
      </c>
      <c r="JH37" s="9" t="str">
        <f ca="1">IF(OR(JH10="",JH$28&lt;$A37),"",JH10/OFFSET(ParoRegCLM!$A$2,MATCH(JH$29,ParoRegCLM!$A$2:$A$500)+$A37-1,1)-1)</f>
        <v/>
      </c>
      <c r="JI37" s="13">
        <f t="shared" ca="1" si="14"/>
        <v>-1.3564463095177424E-2</v>
      </c>
      <c r="JJ37" s="13">
        <f t="shared" ca="1" si="15"/>
        <v>-5.0388689668403486E-2</v>
      </c>
      <c r="JK37" s="14">
        <f t="shared" ca="1" si="16"/>
        <v>8.7924102907822183E-3</v>
      </c>
      <c r="JL37" s="17">
        <f t="shared" ca="1" si="19"/>
        <v>9.3767853184245492E-2</v>
      </c>
      <c r="JM37" s="15" t="str">
        <f t="shared" ca="1" si="17"/>
        <v>[ -20,11% ; 17,40% ]</v>
      </c>
      <c r="JN37" s="17">
        <f t="shared" ca="1" si="18"/>
        <v>0.12002285207583423</v>
      </c>
      <c r="LY37" s="1"/>
    </row>
    <row r="38" spans="1:337" x14ac:dyDescent="0.25">
      <c r="A38" s="4">
        <v>9</v>
      </c>
      <c r="B38" s="9">
        <f ca="1">IF(OR(B11="",B$28&lt;$A38),"",B11/OFFSET(ParoRegCLM!$A$2,MATCH(B$29,ParoRegCLM!$A$2:$A$500)+$A38-1,1)-1)</f>
        <v>3.8007481403073751E-2</v>
      </c>
      <c r="C38" s="9">
        <f ca="1">IF(OR(C11="",C$28&lt;$A38),"",C11/OFFSET(ParoRegCLM!$A$2,MATCH(C$29,ParoRegCLM!$A$2:$A$500)+$A38-1,1)-1)</f>
        <v>1.4314622572378477E-2</v>
      </c>
      <c r="D38" s="9">
        <f ca="1">IF(OR(D11="",D$28&lt;$A38),"",D11/OFFSET(ParoRegCLM!$A$2,MATCH(D$29,ParoRegCLM!$A$2:$A$500)+$A38-1,1)-1)</f>
        <v>5.8388955306085677E-3</v>
      </c>
      <c r="E38" s="9">
        <f ca="1">IF(OR(E11="",E$28&lt;$A38),"",E11/OFFSET(ParoRegCLM!$A$2,MATCH(E$29,ParoRegCLM!$A$2:$A$500)+$A38-1,1)-1)</f>
        <v>1.9344785773552253E-2</v>
      </c>
      <c r="F38" s="9">
        <f ca="1">IF(OR(F11="",F$28&lt;$A38),"",F11/OFFSET(ParoRegCLM!$A$2,MATCH(F$29,ParoRegCLM!$A$2:$A$500)+$A38-1,1)-1)</f>
        <v>3.945838560285142E-2</v>
      </c>
      <c r="G38" s="9">
        <f ca="1">IF(OR(G11="",G$28&lt;$A38),"",G11/OFFSET(ParoRegCLM!$A$2,MATCH(G$29,ParoRegCLM!$A$2:$A$500)+$A38-1,1)-1)</f>
        <v>2.7349449365922762E-2</v>
      </c>
      <c r="H38" s="9">
        <f ca="1">IF(OR(H11="",H$28&lt;$A38),"",H11/OFFSET(ParoRegCLM!$A$2,MATCH(H$29,ParoRegCLM!$A$2:$A$500)+$A38-1,1)-1)</f>
        <v>2.0492108254634989E-2</v>
      </c>
      <c r="I38" s="9">
        <f ca="1">IF(OR(I11="",I$28&lt;$A38),"",I11/OFFSET(ParoRegCLM!$A$2,MATCH(I$29,ParoRegCLM!$A$2:$A$500)+$A38-1,1)-1)</f>
        <v>1.5252044722931846E-2</v>
      </c>
      <c r="J38" s="9">
        <f ca="1">IF(OR(J11="",J$28&lt;$A38),"",J11/OFFSET(ParoRegCLM!$A$2,MATCH(J$29,ParoRegCLM!$A$2:$A$500)+$A38-1,1)-1)</f>
        <v>5.6133559312498971E-3</v>
      </c>
      <c r="K38" s="9">
        <f ca="1">IF(OR(K11="",K$28&lt;$A38),"",K11/OFFSET(ParoRegCLM!$A$2,MATCH(K$29,ParoRegCLM!$A$2:$A$500)+$A38-1,1)-1)</f>
        <v>6.8780230598946002E-3</v>
      </c>
      <c r="L38" s="9">
        <f ca="1">IF(OR(L11="",L$28&lt;$A38),"",L11/OFFSET(ParoRegCLM!$A$2,MATCH(L$29,ParoRegCLM!$A$2:$A$500)+$A38-1,1)-1)</f>
        <v>-9.1324695684005253E-3</v>
      </c>
      <c r="M38" s="9">
        <f ca="1">IF(OR(M11="",M$28&lt;$A38),"",M11/OFFSET(ParoRegCLM!$A$2,MATCH(M$29,ParoRegCLM!$A$2:$A$500)+$A38-1,1)-1)</f>
        <v>-9.9500826703282641E-3</v>
      </c>
      <c r="N38" s="9">
        <f ca="1">IF(OR(N11="",N$28&lt;$A38),"",N11/OFFSET(ParoRegCLM!$A$2,MATCH(N$29,ParoRegCLM!$A$2:$A$500)+$A38-1,1)-1)</f>
        <v>-1.6860401113356627E-3</v>
      </c>
      <c r="O38" s="9">
        <f ca="1">IF(OR(O11="",O$28&lt;$A38),"",O11/OFFSET(ParoRegCLM!$A$2,MATCH(O$29,ParoRegCLM!$A$2:$A$500)+$A38-1,1)-1)</f>
        <v>3.7465215835290611E-3</v>
      </c>
      <c r="P38" s="9">
        <f ca="1">IF(OR(P11="",P$28&lt;$A38),"",P11/OFFSET(ParoRegCLM!$A$2,MATCH(P$29,ParoRegCLM!$A$2:$A$500)+$A38-1,1)-1)</f>
        <v>1.4927249058074743E-2</v>
      </c>
      <c r="Q38" s="9">
        <f ca="1">IF(OR(Q11="",Q$28&lt;$A38),"",Q11/OFFSET(ParoRegCLM!$A$2,MATCH(Q$29,ParoRegCLM!$A$2:$A$500)+$A38-1,1)-1)</f>
        <v>3.3749015951483941E-2</v>
      </c>
      <c r="R38" s="9">
        <f ca="1">IF(OR(R11="",R$28&lt;$A38),"",R11/OFFSET(ParoRegCLM!$A$2,MATCH(R$29,ParoRegCLM!$A$2:$A$500)+$A38-1,1)-1)</f>
        <v>3.4702622059709087E-2</v>
      </c>
      <c r="S38" s="9">
        <f ca="1">IF(OR(S11="",S$28&lt;$A38),"",S11/OFFSET(ParoRegCLM!$A$2,MATCH(S$29,ParoRegCLM!$A$2:$A$500)+$A38-1,1)-1)</f>
        <v>3.4573065855391327E-2</v>
      </c>
      <c r="T38" s="9">
        <f ca="1">IF(OR(T11="",T$28&lt;$A38),"",T11/OFFSET(ParoRegCLM!$A$2,MATCH(T$29,ParoRegCLM!$A$2:$A$500)+$A38-1,1)-1)</f>
        <v>2.3795859638346961E-2</v>
      </c>
      <c r="U38" s="9">
        <f ca="1">IF(OR(U11="",U$28&lt;$A38),"",U11/OFFSET(ParoRegCLM!$A$2,MATCH(U$29,ParoRegCLM!$A$2:$A$500)+$A38-1,1)-1)</f>
        <v>4.6132219691274567E-2</v>
      </c>
      <c r="V38" s="9">
        <f ca="1">IF(OR(V11="",V$28&lt;$A38),"",V11/OFFSET(ParoRegCLM!$A$2,MATCH(V$29,ParoRegCLM!$A$2:$A$500)+$A38-1,1)-1)</f>
        <v>3.6796000006879881E-2</v>
      </c>
      <c r="W38" s="9">
        <f ca="1">IF(OR(W11="",W$28&lt;$A38),"",W11/OFFSET(ParoRegCLM!$A$2,MATCH(W$29,ParoRegCLM!$A$2:$A$500)+$A38-1,1)-1)</f>
        <v>4.2474133945022086E-2</v>
      </c>
      <c r="X38" s="9">
        <f ca="1">IF(OR(X11="",X$28&lt;$A38),"",X11/OFFSET(ParoRegCLM!$A$2,MATCH(X$29,ParoRegCLM!$A$2:$A$500)+$A38-1,1)-1)</f>
        <v>4.0819415143751314E-2</v>
      </c>
      <c r="Y38" s="9">
        <f ca="1">IF(OR(Y11="",Y$28&lt;$A38),"",Y11/OFFSET(ParoRegCLM!$A$2,MATCH(Y$29,ParoRegCLM!$A$2:$A$500)+$A38-1,1)-1)</f>
        <v>2.9636466315230647E-2</v>
      </c>
      <c r="Z38" s="9">
        <f ca="1">IF(OR(Z11="",Z$28&lt;$A38),"",Z11/OFFSET(ParoRegCLM!$A$2,MATCH(Z$29,ParoRegCLM!$A$2:$A$500)+$A38-1,1)-1)</f>
        <v>2.4678070840331356E-2</v>
      </c>
      <c r="AA38" s="9">
        <f ca="1">IF(OR(AA11="",AA$28&lt;$A38),"",AA11/OFFSET(ParoRegCLM!$A$2,MATCH(AA$29,ParoRegCLM!$A$2:$A$500)+$A38-1,1)-1)</f>
        <v>2.4677806156740756E-2</v>
      </c>
      <c r="AB38" s="9">
        <f ca="1">IF(OR(AB11="",AB$28&lt;$A38),"",AB11/OFFSET(ParoRegCLM!$A$2,MATCH(AB$29,ParoRegCLM!$A$2:$A$500)+$A38-1,1)-1)</f>
        <v>3.4031218078054426E-2</v>
      </c>
      <c r="AC38" s="9">
        <f ca="1">IF(OR(AC11="",AC$28&lt;$A38),"",AC11/OFFSET(ParoRegCLM!$A$2,MATCH(AC$29,ParoRegCLM!$A$2:$A$500)+$A38-1,1)-1)</f>
        <v>3.9139067978715358E-2</v>
      </c>
      <c r="AD38" s="9">
        <f ca="1">IF(OR(AD11="",AD$28&lt;$A38),"",AD11/OFFSET(ParoRegCLM!$A$2,MATCH(AD$29,ParoRegCLM!$A$2:$A$500)+$A38-1,1)-1)</f>
        <v>3.3660181216350393E-2</v>
      </c>
      <c r="AE38" s="9">
        <f ca="1">IF(OR(AE11="",AE$28&lt;$A38),"",AE11/OFFSET(ParoRegCLM!$A$2,MATCH(AE$29,ParoRegCLM!$A$2:$A$500)+$A38-1,1)-1)</f>
        <v>3.8829119275365809E-2</v>
      </c>
      <c r="AF38" s="9">
        <f ca="1">IF(OR(AF11="",AF$28&lt;$A38),"",AF11/OFFSET(ParoRegCLM!$A$2,MATCH(AF$29,ParoRegCLM!$A$2:$A$500)+$A38-1,1)-1)</f>
        <v>4.7220599869206348E-2</v>
      </c>
      <c r="AG38" s="9">
        <f ca="1">IF(OR(AG11="",AG$28&lt;$A38),"",AG11/OFFSET(ParoRegCLM!$A$2,MATCH(AG$29,ParoRegCLM!$A$2:$A$500)+$A38-1,1)-1)</f>
        <v>2.8146567957601398E-2</v>
      </c>
      <c r="AH38" s="9">
        <f ca="1">IF(OR(AH11="",AH$28&lt;$A38),"",AH11/OFFSET(ParoRegCLM!$A$2,MATCH(AH$29,ParoRegCLM!$A$2:$A$500)+$A38-1,1)-1)</f>
        <v>2.4002708673567907E-2</v>
      </c>
      <c r="AI38" s="9">
        <f ca="1">IF(OR(AI11="",AI$28&lt;$A38),"",AI11/OFFSET(ParoRegCLM!$A$2,MATCH(AI$29,ParoRegCLM!$A$2:$A$500)+$A38-1,1)-1)</f>
        <v>1.1778240518291128E-2</v>
      </c>
      <c r="AJ38" s="9">
        <f ca="1">IF(OR(AJ11="",AJ$28&lt;$A38),"",AJ11/OFFSET(ParoRegCLM!$A$2,MATCH(AJ$29,ParoRegCLM!$A$2:$A$500)+$A38-1,1)-1)</f>
        <v>-1.936187372769449E-2</v>
      </c>
      <c r="AK38" s="9">
        <f ca="1">IF(OR(AK11="",AK$28&lt;$A38),"",AK11/OFFSET(ParoRegCLM!$A$2,MATCH(AK$29,ParoRegCLM!$A$2:$A$500)+$A38-1,1)-1)</f>
        <v>-3.8518072602775399E-2</v>
      </c>
      <c r="AL38" s="9">
        <f ca="1">IF(OR(AL11="",AL$28&lt;$A38),"",AL11/OFFSET(ParoRegCLM!$A$2,MATCH(AL$29,ParoRegCLM!$A$2:$A$500)+$A38-1,1)-1)</f>
        <v>-5.3286489468263087E-2</v>
      </c>
      <c r="AM38" s="9">
        <f ca="1">IF(OR(AM11="",AM$28&lt;$A38),"",AM11/OFFSET(ParoRegCLM!$A$2,MATCH(AM$29,ParoRegCLM!$A$2:$A$500)+$A38-1,1)-1)</f>
        <v>-6.049367393601579E-2</v>
      </c>
      <c r="AN38" s="9">
        <f ca="1">IF(OR(AN11="",AN$28&lt;$A38),"",AN11/OFFSET(ParoRegCLM!$A$2,MATCH(AN$29,ParoRegCLM!$A$2:$A$500)+$A38-1,1)-1)</f>
        <v>-6.2521399730327332E-2</v>
      </c>
      <c r="AO38" s="9">
        <f ca="1">IF(OR(AO11="",AO$28&lt;$A38),"",AO11/OFFSET(ParoRegCLM!$A$2,MATCH(AO$29,ParoRegCLM!$A$2:$A$500)+$A38-1,1)-1)</f>
        <v>-4.8318908074042377E-2</v>
      </c>
      <c r="AP38" s="9">
        <f ca="1">IF(OR(AP11="",AP$28&lt;$A38),"",AP11/OFFSET(ParoRegCLM!$A$2,MATCH(AP$29,ParoRegCLM!$A$2:$A$500)+$A38-1,1)-1)</f>
        <v>-6.0604569895222449E-2</v>
      </c>
      <c r="AQ38" s="9">
        <f ca="1">IF(OR(AQ11="",AQ$28&lt;$A38),"",AQ11/OFFSET(ParoRegCLM!$A$2,MATCH(AQ$29,ParoRegCLM!$A$2:$A$500)+$A38-1,1)-1)</f>
        <v>-8.7841816878419632E-2</v>
      </c>
      <c r="AR38" s="9">
        <f ca="1">IF(OR(AR11="",AR$28&lt;$A38),"",AR11/OFFSET(ParoRegCLM!$A$2,MATCH(AR$29,ParoRegCLM!$A$2:$A$500)+$A38-1,1)-1)</f>
        <v>-8.4601977914887327E-2</v>
      </c>
      <c r="AS38" s="9">
        <f ca="1">IF(OR(AS11="",AS$28&lt;$A38),"",AS11/OFFSET(ParoRegCLM!$A$2,MATCH(AS$29,ParoRegCLM!$A$2:$A$500)+$A38-1,1)-1)</f>
        <v>-0.11020669831988605</v>
      </c>
      <c r="AT38" s="9">
        <f ca="1">IF(OR(AT11="",AT$28&lt;$A38),"",AT11/OFFSET(ParoRegCLM!$A$2,MATCH(AT$29,ParoRegCLM!$A$2:$A$500)+$A38-1,1)-1)</f>
        <v>-0.13392163113675681</v>
      </c>
      <c r="AU38" s="9">
        <f ca="1">IF(OR(AU11="",AU$28&lt;$A38),"",AU11/OFFSET(ParoRegCLM!$A$2,MATCH(AU$29,ParoRegCLM!$A$2:$A$500)+$A38-1,1)-1)</f>
        <v>-0.15999535400454301</v>
      </c>
      <c r="AV38" s="9">
        <f ca="1">IF(OR(AV11="",AV$28&lt;$A38),"",AV11/OFFSET(ParoRegCLM!$A$2,MATCH(AV$29,ParoRegCLM!$A$2:$A$500)+$A38-1,1)-1)</f>
        <v>-0.18673623149503016</v>
      </c>
      <c r="AW38" s="9">
        <f ca="1">IF(OR(AW11="",AW$28&lt;$A38),"",AW11/OFFSET(ParoRegCLM!$A$2,MATCH(AW$29,ParoRegCLM!$A$2:$A$500)+$A38-1,1)-1)</f>
        <v>-0.20675108475810955</v>
      </c>
      <c r="AX38" s="9">
        <f ca="1">IF(OR(AX11="",AX$28&lt;$A38),"",AX11/OFFSET(ParoRegCLM!$A$2,MATCH(AX$29,ParoRegCLM!$A$2:$A$500)+$A38-1,1)-1)</f>
        <v>-0.21830673672983458</v>
      </c>
      <c r="AY38" s="9">
        <f ca="1">IF(OR(AY11="",AY$28&lt;$A38),"",AY11/OFFSET(ParoRegCLM!$A$2,MATCH(AY$29,ParoRegCLM!$A$2:$A$500)+$A38-1,1)-1)</f>
        <v>-0.27553653097689124</v>
      </c>
      <c r="AZ38" s="9">
        <f ca="1">IF(OR(AZ11="",AZ$28&lt;$A38),"",AZ11/OFFSET(ParoRegCLM!$A$2,MATCH(AZ$29,ParoRegCLM!$A$2:$A$500)+$A38-1,1)-1)</f>
        <v>-0.28883512924226995</v>
      </c>
      <c r="BA38" s="9">
        <f ca="1">IF(OR(BA11="",BA$28&lt;$A38),"",BA11/OFFSET(ParoRegCLM!$A$2,MATCH(BA$29,ParoRegCLM!$A$2:$A$500)+$A38-1,1)-1)</f>
        <v>-0.30942345730013232</v>
      </c>
      <c r="BB38" s="9">
        <f ca="1">IF(OR(BB11="",BB$28&lt;$A38),"",BB11/OFFSET(ParoRegCLM!$A$2,MATCH(BB$29,ParoRegCLM!$A$2:$A$500)+$A38-1,1)-1)</f>
        <v>-0.29184879557510102</v>
      </c>
      <c r="BC38" s="9">
        <f ca="1">IF(OR(BC11="",BC$28&lt;$A38),"",BC11/OFFSET(ParoRegCLM!$A$2,MATCH(BC$29,ParoRegCLM!$A$2:$A$500)+$A38-1,1)-1)</f>
        <v>-0.2872165383805978</v>
      </c>
      <c r="BD38" s="9">
        <f ca="1">IF(OR(BD11="",BD$28&lt;$A38),"",BD11/OFFSET(ParoRegCLM!$A$2,MATCH(BD$29,ParoRegCLM!$A$2:$A$500)+$A38-1,1)-1)</f>
        <v>-0.26083334226172328</v>
      </c>
      <c r="BE38" s="9">
        <f ca="1">IF(OR(BE11="",BE$28&lt;$A38),"",BE11/OFFSET(ParoRegCLM!$A$2,MATCH(BE$29,ParoRegCLM!$A$2:$A$500)+$A38-1,1)-1)</f>
        <v>-0.22385045293696848</v>
      </c>
      <c r="BF38" s="9">
        <f ca="1">IF(OR(BF11="",BF$28&lt;$A38),"",BF11/OFFSET(ParoRegCLM!$A$2,MATCH(BF$29,ParoRegCLM!$A$2:$A$500)+$A38-1,1)-1)</f>
        <v>-0.2021470798003715</v>
      </c>
      <c r="BG38" s="9">
        <f ca="1">IF(OR(BG11="",BG$28&lt;$A38),"",BG11/OFFSET(ParoRegCLM!$A$2,MATCH(BG$29,ParoRegCLM!$A$2:$A$500)+$A38-1,1)-1)</f>
        <v>-0.17793896720461411</v>
      </c>
      <c r="BH38" s="9">
        <f ca="1">IF(OR(BH11="",BH$28&lt;$A38),"",BH11/OFFSET(ParoRegCLM!$A$2,MATCH(BH$29,ParoRegCLM!$A$2:$A$500)+$A38-1,1)-1)</f>
        <v>-1.1608045876123518E-2</v>
      </c>
      <c r="BI38" s="9">
        <f ca="1">IF(OR(BI11="",BI$28&lt;$A38),"",BI11/OFFSET(ParoRegCLM!$A$2,MATCH(BI$29,ParoRegCLM!$A$2:$A$500)+$A38-1,1)-1)</f>
        <v>5.950060687477654E-2</v>
      </c>
      <c r="BJ38" s="9">
        <f ca="1">IF(OR(BJ11="",BJ$28&lt;$A38),"",BJ11/OFFSET(ParoRegCLM!$A$2,MATCH(BJ$29,ParoRegCLM!$A$2:$A$500)+$A38-1,1)-1)</f>
        <v>0.20667650730083431</v>
      </c>
      <c r="BK38" s="9">
        <f ca="1">IF(OR(BK11="",BK$28&lt;$A38),"",BK11/OFFSET(ParoRegCLM!$A$2,MATCH(BK$29,ParoRegCLM!$A$2:$A$500)+$A38-1,1)-1)</f>
        <v>8.5570490554726764E-2</v>
      </c>
      <c r="BL38" s="9">
        <f ca="1">IF(OR(BL11="",BL$28&lt;$A38),"",BL11/OFFSET(ParoRegCLM!$A$2,MATCH(BL$29,ParoRegCLM!$A$2:$A$500)+$A38-1,1)-1)</f>
        <v>0.20132823977863468</v>
      </c>
      <c r="BM38" s="9">
        <f ca="1">IF(OR(BM11="",BM$28&lt;$A38),"",BM11/OFFSET(ParoRegCLM!$A$2,MATCH(BM$29,ParoRegCLM!$A$2:$A$500)+$A38-1,1)-1)</f>
        <v>0.23170712194705989</v>
      </c>
      <c r="BN38" s="9">
        <f ca="1">IF(OR(BN11="",BN$28&lt;$A38),"",BN11/OFFSET(ParoRegCLM!$A$2,MATCH(BN$29,ParoRegCLM!$A$2:$A$500)+$A38-1,1)-1)</f>
        <v>0.22973632946236533</v>
      </c>
      <c r="BO38" s="9">
        <f ca="1">IF(OR(BO11="",BO$28&lt;$A38),"",BO11/OFFSET(ParoRegCLM!$A$2,MATCH(BO$29,ParoRegCLM!$A$2:$A$500)+$A38-1,1)-1)</f>
        <v>0.21304873746119357</v>
      </c>
      <c r="BP38" s="9">
        <f ca="1">IF(OR(BP11="",BP$28&lt;$A38),"",BP11/OFFSET(ParoRegCLM!$A$2,MATCH(BP$29,ParoRegCLM!$A$2:$A$500)+$A38-1,1)-1)</f>
        <v>0.15571204086220947</v>
      </c>
      <c r="BQ38" s="9">
        <f ca="1">IF(OR(BQ11="",BQ$28&lt;$A38),"",BQ11/OFFSET(ParoRegCLM!$A$2,MATCH(BQ$29,ParoRegCLM!$A$2:$A$500)+$A38-1,1)-1)</f>
        <v>2.2214805097336088E-2</v>
      </c>
      <c r="BR38" s="9">
        <f ca="1">IF(OR(BR11="",BR$28&lt;$A38),"",BR11/OFFSET(ParoRegCLM!$A$2,MATCH(BR$29,ParoRegCLM!$A$2:$A$500)+$A38-1,1)-1)</f>
        <v>3.3729219670639354E-2</v>
      </c>
      <c r="BS38" s="9">
        <f ca="1">IF(OR(BS11="",BS$28&lt;$A38),"",BS11/OFFSET(ParoRegCLM!$A$2,MATCH(BS$29,ParoRegCLM!$A$2:$A$500)+$A38-1,1)-1)</f>
        <v>-2.5502576368248708E-2</v>
      </c>
      <c r="BT38" s="9">
        <f ca="1">IF(OR(BT11="",BT$28&lt;$A38),"",BT11/OFFSET(ParoRegCLM!$A$2,MATCH(BT$29,ParoRegCLM!$A$2:$A$500)+$A38-1,1)-1)</f>
        <v>0.11655201328341303</v>
      </c>
      <c r="BU38" s="9">
        <f ca="1">IF(OR(BU11="",BU$28&lt;$A38),"",BU11/OFFSET(ParoRegCLM!$A$2,MATCH(BU$29,ParoRegCLM!$A$2:$A$500)+$A38-1,1)-1)</f>
        <v>2.254290091999489E-2</v>
      </c>
      <c r="BV38" s="9">
        <f ca="1">IF(OR(BV11="",BV$28&lt;$A38),"",BV11/OFFSET(ParoRegCLM!$A$2,MATCH(BV$29,ParoRegCLM!$A$2:$A$500)+$A38-1,1)-1)</f>
        <v>7.1610952778648596E-2</v>
      </c>
      <c r="BW38" s="9">
        <f ca="1">IF(OR(BW11="",BW$28&lt;$A38),"",BW11/OFFSET(ParoRegCLM!$A$2,MATCH(BW$29,ParoRegCLM!$A$2:$A$500)+$A38-1,1)-1)</f>
        <v>5.2779135051466808E-2</v>
      </c>
      <c r="BX38" s="9">
        <f ca="1">IF(OR(BX11="",BX$28&lt;$A38),"",BX11/OFFSET(ParoRegCLM!$A$2,MATCH(BX$29,ParoRegCLM!$A$2:$A$500)+$A38-1,1)-1)</f>
        <v>6.0563950535848843E-2</v>
      </c>
      <c r="BY38" s="9">
        <f ca="1">IF(OR(BY11="",BY$28&lt;$A38),"",BY11/OFFSET(ParoRegCLM!$A$2,MATCH(BY$29,ParoRegCLM!$A$2:$A$500)+$A38-1,1)-1)</f>
        <v>9.7716106337662811E-2</v>
      </c>
      <c r="BZ38" s="9">
        <f ca="1">IF(OR(BZ11="",BZ$28&lt;$A38),"",BZ11/OFFSET(ParoRegCLM!$A$2,MATCH(BZ$29,ParoRegCLM!$A$2:$A$500)+$A38-1,1)-1)</f>
        <v>6.0709830783409968E-2</v>
      </c>
      <c r="CA38" s="9">
        <f ca="1">IF(OR(CA11="",CA$28&lt;$A38),"",CA11/OFFSET(ParoRegCLM!$A$2,MATCH(CA$29,ParoRegCLM!$A$2:$A$500)+$A38-1,1)-1)</f>
        <v>4.8243442034676676E-2</v>
      </c>
      <c r="CB38" s="9">
        <f ca="1">IF(OR(CB11="",CB$28&lt;$A38),"",CB11/OFFSET(ParoRegCLM!$A$2,MATCH(CB$29,ParoRegCLM!$A$2:$A$500)+$A38-1,1)-1)</f>
        <v>1.2297820699566531E-2</v>
      </c>
      <c r="CC38" s="9">
        <f ca="1">IF(OR(CC11="",CC$28&lt;$A38),"",CC11/OFFSET(ParoRegCLM!$A$2,MATCH(CC$29,ParoRegCLM!$A$2:$A$500)+$A38-1,1)-1)</f>
        <v>1.6220201909389997E-2</v>
      </c>
      <c r="CD38" s="9">
        <f ca="1">IF(OR(CD11="",CD$28&lt;$A38),"",CD11/OFFSET(ParoRegCLM!$A$2,MATCH(CD$29,ParoRegCLM!$A$2:$A$500)+$A38-1,1)-1)</f>
        <v>2.0758364152006825E-2</v>
      </c>
      <c r="CE38" s="9">
        <f ca="1">IF(OR(CE11="",CE$28&lt;$A38),"",CE11/OFFSET(ParoRegCLM!$A$2,MATCH(CE$29,ParoRegCLM!$A$2:$A$500)+$A38-1,1)-1)</f>
        <v>-4.1725040915060685E-2</v>
      </c>
      <c r="CF38" s="9">
        <f ca="1">IF(OR(CF11="",CF$28&lt;$A38),"",CF11/OFFSET(ParoRegCLM!$A$2,MATCH(CF$29,ParoRegCLM!$A$2:$A$500)+$A38-1,1)-1)</f>
        <v>1.239388153899279E-2</v>
      </c>
      <c r="CG38" s="9">
        <f ca="1">IF(OR(CG11="",CG$28&lt;$A38),"",CG11/OFFSET(ParoRegCLM!$A$2,MATCH(CG$29,ParoRegCLM!$A$2:$A$500)+$A38-1,1)-1)</f>
        <v>2.36512251962957E-2</v>
      </c>
      <c r="CH38" s="9">
        <f ca="1">IF(OR(CH11="",CH$28&lt;$A38),"",CH11/OFFSET(ParoRegCLM!$A$2,MATCH(CH$29,ParoRegCLM!$A$2:$A$500)+$A38-1,1)-1)</f>
        <v>-3.4035556061867478E-2</v>
      </c>
      <c r="CI38" s="9">
        <f ca="1">IF(OR(CI11="",CI$28&lt;$A38),"",CI11/OFFSET(ParoRegCLM!$A$2,MATCH(CI$29,ParoRegCLM!$A$2:$A$500)+$A38-1,1)-1)</f>
        <v>-1.5888747502914469E-2</v>
      </c>
      <c r="CJ38" s="9">
        <f ca="1">IF(OR(CJ11="",CJ$28&lt;$A38),"",CJ11/OFFSET(ParoRegCLM!$A$2,MATCH(CJ$29,ParoRegCLM!$A$2:$A$500)+$A38-1,1)-1)</f>
        <v>-3.0919477935371309E-2</v>
      </c>
      <c r="CK38" s="9">
        <f ca="1">IF(OR(CK11="",CK$28&lt;$A38),"",CK11/OFFSET(ParoRegCLM!$A$2,MATCH(CK$29,ParoRegCLM!$A$2:$A$500)+$A38-1,1)-1)</f>
        <v>-3.0023720173626756E-2</v>
      </c>
      <c r="CL38" s="9">
        <f ca="1">IF(OR(CL11="",CL$28&lt;$A38),"",CL11/OFFSET(ParoRegCLM!$A$2,MATCH(CL$29,ParoRegCLM!$A$2:$A$500)+$A38-1,1)-1)</f>
        <v>-5.6323787961574889E-2</v>
      </c>
      <c r="CM38" s="9">
        <f ca="1">IF(OR(CM11="",CM$28&lt;$A38),"",CM11/OFFSET(ParoRegCLM!$A$2,MATCH(CM$29,ParoRegCLM!$A$2:$A$500)+$A38-1,1)-1)</f>
        <v>-3.7729135878988296E-2</v>
      </c>
      <c r="CN38" s="9">
        <f ca="1">IF(OR(CN11="",CN$28&lt;$A38),"",CN11/OFFSET(ParoRegCLM!$A$2,MATCH(CN$29,ParoRegCLM!$A$2:$A$500)+$A38-1,1)-1)</f>
        <v>-1.4059154691710929E-2</v>
      </c>
      <c r="CO38" s="9">
        <f ca="1">IF(OR(CO11="",CO$28&lt;$A38),"",CO11/OFFSET(ParoRegCLM!$A$2,MATCH(CO$29,ParoRegCLM!$A$2:$A$500)+$A38-1,1)-1)</f>
        <v>-1.7712683255045492E-2</v>
      </c>
      <c r="CP38" s="9">
        <f ca="1">IF(OR(CP11="",CP$28&lt;$A38),"",CP11/OFFSET(ParoRegCLM!$A$2,MATCH(CP$29,ParoRegCLM!$A$2:$A$500)+$A38-1,1)-1)</f>
        <v>-7.2035029404284412E-2</v>
      </c>
      <c r="CQ38" s="9">
        <f ca="1">IF(OR(CQ11="",CQ$28&lt;$A38),"",CQ11/OFFSET(ParoRegCLM!$A$2,MATCH(CQ$29,ParoRegCLM!$A$2:$A$500)+$A38-1,1)-1)</f>
        <v>-5.7646558142932514E-2</v>
      </c>
      <c r="CR38" s="9">
        <f ca="1">IF(OR(CR11="",CR$28&lt;$A38),"",CR11/OFFSET(ParoRegCLM!$A$2,MATCH(CR$29,ParoRegCLM!$A$2:$A$500)+$A38-1,1)-1)</f>
        <v>-2.3625324154052496E-2</v>
      </c>
      <c r="CS38" s="9">
        <f ca="1">IF(OR(CS11="",CS$28&lt;$A38),"",CS11/OFFSET(ParoRegCLM!$A$2,MATCH(CS$29,ParoRegCLM!$A$2:$A$500)+$A38-1,1)-1)</f>
        <v>-4.2518427209751186E-2</v>
      </c>
      <c r="CT38" s="9">
        <f ca="1">IF(OR(CT11="",CT$28&lt;$A38),"",CT11/OFFSET(ParoRegCLM!$A$2,MATCH(CT$29,ParoRegCLM!$A$2:$A$500)+$A38-1,1)-1)</f>
        <v>-5.2127836647689163E-2</v>
      </c>
      <c r="CU38" s="9">
        <f ca="1">IF(OR(CU11="",CU$28&lt;$A38),"",CU11/OFFSET(ParoRegCLM!$A$2,MATCH(CU$29,ParoRegCLM!$A$2:$A$500)+$A38-1,1)-1)</f>
        <v>-3.2281844409110194E-2</v>
      </c>
      <c r="CV38" s="9">
        <f ca="1">IF(OR(CV11="",CV$28&lt;$A38),"",CV11/OFFSET(ParoRegCLM!$A$2,MATCH(CV$29,ParoRegCLM!$A$2:$A$500)+$A38-1,1)-1)</f>
        <v>-1.6760583501603032E-2</v>
      </c>
      <c r="CW38" s="9">
        <f ca="1">IF(OR(CW11="",CW$28&lt;$A38),"",CW11/OFFSET(ParoRegCLM!$A$2,MATCH(CW$29,ParoRegCLM!$A$2:$A$500)+$A38-1,1)-1)</f>
        <v>1.1693250134750421E-2</v>
      </c>
      <c r="CX38" s="9">
        <f ca="1">IF(OR(CX11="",CX$28&lt;$A38),"",CX11/OFFSET(ParoRegCLM!$A$2,MATCH(CX$29,ParoRegCLM!$A$2:$A$500)+$A38-1,1)-1)</f>
        <v>3.7992382253336343E-2</v>
      </c>
      <c r="CY38" s="9">
        <f ca="1">IF(OR(CY11="",CY$28&lt;$A38),"",CY11/OFFSET(ParoRegCLM!$A$2,MATCH(CY$29,ParoRegCLM!$A$2:$A$500)+$A38-1,1)-1)</f>
        <v>4.0647689901930573E-2</v>
      </c>
      <c r="CZ38" s="9">
        <f ca="1">IF(OR(CZ11="",CZ$28&lt;$A38),"",CZ11/OFFSET(ParoRegCLM!$A$2,MATCH(CZ$29,ParoRegCLM!$A$2:$A$500)+$A38-1,1)-1)</f>
        <v>2.448116517076504E-2</v>
      </c>
      <c r="DA38" s="9">
        <f ca="1">IF(OR(DA11="",DA$28&lt;$A38),"",DA11/OFFSET(ParoRegCLM!$A$2,MATCH(DA$29,ParoRegCLM!$A$2:$A$500)+$A38-1,1)-1)</f>
        <v>0.11772603158042094</v>
      </c>
      <c r="DB38" s="9">
        <f ca="1">IF(OR(DB11="",DB$28&lt;$A38),"",DB11/OFFSET(ParoRegCLM!$A$2,MATCH(DB$29,ParoRegCLM!$A$2:$A$500)+$A38-1,1)-1)</f>
        <v>0.11196052082851415</v>
      </c>
      <c r="DC38" s="9">
        <f ca="1">IF(OR(DC11="",DC$28&lt;$A38),"",DC11/OFFSET(ParoRegCLM!$A$2,MATCH(DC$29,ParoRegCLM!$A$2:$A$500)+$A38-1,1)-1)</f>
        <v>3.7610506986203385E-2</v>
      </c>
      <c r="DD38" s="9">
        <f ca="1">IF(OR(DD11="",DD$28&lt;$A38),"",DD11/OFFSET(ParoRegCLM!$A$2,MATCH(DD$29,ParoRegCLM!$A$2:$A$500)+$A38-1,1)-1)</f>
        <v>0.10072333089975194</v>
      </c>
      <c r="DE38" s="9">
        <f ca="1">IF(OR(DE11="",DE$28&lt;$A38),"",DE11/OFFSET(ParoRegCLM!$A$2,MATCH(DE$29,ParoRegCLM!$A$2:$A$500)+$A38-1,1)-1)</f>
        <v>0.14184312381724529</v>
      </c>
      <c r="DF38" s="9">
        <f ca="1">IF(OR(DF11="",DF$28&lt;$A38),"",DF11/OFFSET(ParoRegCLM!$A$2,MATCH(DF$29,ParoRegCLM!$A$2:$A$500)+$A38-1,1)-1)</f>
        <v>0.10988358855253066</v>
      </c>
      <c r="DG38" s="9">
        <f ca="1">IF(OR(DG11="",DG$28&lt;$A38),"",DG11/OFFSET(ParoRegCLM!$A$2,MATCH(DG$29,ParoRegCLM!$A$2:$A$500)+$A38-1,1)-1)</f>
        <v>0.10576412524357814</v>
      </c>
      <c r="DH38" s="9">
        <f ca="1">IF(OR(DH11="",DH$28&lt;$A38),"",DH11/OFFSET(ParoRegCLM!$A$2,MATCH(DH$29,ParoRegCLM!$A$2:$A$500)+$A38-1,1)-1)</f>
        <v>4.6083072627245647E-2</v>
      </c>
      <c r="DI38" s="9">
        <f ca="1">IF(OR(DI11="",DI$28&lt;$A38),"",DI11/OFFSET(ParoRegCLM!$A$2,MATCH(DI$29,ParoRegCLM!$A$2:$A$500)+$A38-1,1)-1)</f>
        <v>9.5541488911551564E-2</v>
      </c>
      <c r="DJ38" s="9">
        <f ca="1">IF(OR(DJ11="",DJ$28&lt;$A38),"",DJ11/OFFSET(ParoRegCLM!$A$2,MATCH(DJ$29,ParoRegCLM!$A$2:$A$500)+$A38-1,1)-1)</f>
        <v>5.4551024017514438E-2</v>
      </c>
      <c r="DK38" s="9">
        <f ca="1">IF(OR(DK11="",DK$28&lt;$A38),"",DK11/OFFSET(ParoRegCLM!$A$2,MATCH(DK$29,ParoRegCLM!$A$2:$A$500)+$A38-1,1)-1)</f>
        <v>4.718466396702814E-2</v>
      </c>
      <c r="DL38" s="9">
        <f ca="1">IF(OR(DL11="",DL$28&lt;$A38),"",DL11/OFFSET(ParoRegCLM!$A$2,MATCH(DL$29,ParoRegCLM!$A$2:$A$500)+$A38-1,1)-1)</f>
        <v>3.3663638969182008E-2</v>
      </c>
      <c r="DM38" s="9">
        <f ca="1">IF(OR(DM11="",DM$28&lt;$A38),"",DM11/OFFSET(ParoRegCLM!$A$2,MATCH(DM$29,ParoRegCLM!$A$2:$A$500)+$A38-1,1)-1)</f>
        <v>3.3307736402842902E-2</v>
      </c>
      <c r="DN38" s="9">
        <f ca="1">IF(OR(DN11="",DN$28&lt;$A38),"",DN11/OFFSET(ParoRegCLM!$A$2,MATCH(DN$29,ParoRegCLM!$A$2:$A$500)+$A38-1,1)-1)</f>
        <v>5.41479958579687E-2</v>
      </c>
      <c r="DO38" s="9">
        <f ca="1">IF(OR(DO11="",DO$28&lt;$A38),"",DO11/OFFSET(ParoRegCLM!$A$2,MATCH(DO$29,ParoRegCLM!$A$2:$A$500)+$A38-1,1)-1)</f>
        <v>-9.4727072348100849E-3</v>
      </c>
      <c r="DP38" s="9">
        <f ca="1">IF(OR(DP11="",DP$28&lt;$A38),"",DP11/OFFSET(ParoRegCLM!$A$2,MATCH(DP$29,ParoRegCLM!$A$2:$A$500)+$A38-1,1)-1)</f>
        <v>5.1466685391479139E-2</v>
      </c>
      <c r="DQ38" s="9">
        <f ca="1">IF(OR(DQ11="",DQ$28&lt;$A38),"",DQ11/OFFSET(ParoRegCLM!$A$2,MATCH(DQ$29,ParoRegCLM!$A$2:$A$500)+$A38-1,1)-1)</f>
        <v>6.4196291122436522E-2</v>
      </c>
      <c r="DR38" s="9">
        <f ca="1">IF(OR(DR11="",DR$28&lt;$A38),"",DR11/OFFSET(ParoRegCLM!$A$2,MATCH(DR$29,ParoRegCLM!$A$2:$A$500)+$A38-1,1)-1)</f>
        <v>5.1750892431916551E-3</v>
      </c>
      <c r="DS38" s="9">
        <f ca="1">IF(OR(DS11="",DS$28&lt;$A38),"",DS11/OFFSET(ParoRegCLM!$A$2,MATCH(DS$29,ParoRegCLM!$A$2:$A$500)+$A38-1,1)-1)</f>
        <v>-2.8559489435396546E-2</v>
      </c>
      <c r="DT38" s="9">
        <f ca="1">IF(OR(DT11="",DT$28&lt;$A38),"",DT11/OFFSET(ParoRegCLM!$A$2,MATCH(DT$29,ParoRegCLM!$A$2:$A$500)+$A38-1,1)-1)</f>
        <v>3.3480977324189531E-3</v>
      </c>
      <c r="DU38" s="9">
        <f ca="1">IF(OR(DU11="",DU$28&lt;$A38),"",DU11/OFFSET(ParoRegCLM!$A$2,MATCH(DU$29,ParoRegCLM!$A$2:$A$500)+$A38-1,1)-1)</f>
        <v>5.4211488983428868E-3</v>
      </c>
      <c r="DV38" s="9">
        <f ca="1">IF(OR(DV11="",DV$28&lt;$A38),"",DV11/OFFSET(ParoRegCLM!$A$2,MATCH(DV$29,ParoRegCLM!$A$2:$A$500)+$A38-1,1)-1)</f>
        <v>-5.8848666885833456E-3</v>
      </c>
      <c r="DW38" s="9">
        <f ca="1">IF(OR(DW11="",DW$28&lt;$A38),"",DW11/OFFSET(ParoRegCLM!$A$2,MATCH(DW$29,ParoRegCLM!$A$2:$A$500)+$A38-1,1)-1)</f>
        <v>-2.0959114217651287E-2</v>
      </c>
      <c r="DX38" s="9">
        <f ca="1">IF(OR(DX11="",DX$28&lt;$A38),"",DX11/OFFSET(ParoRegCLM!$A$2,MATCH(DX$29,ParoRegCLM!$A$2:$A$500)+$A38-1,1)-1)</f>
        <v>1.1938340158833105E-2</v>
      </c>
      <c r="DY38" s="9">
        <f ca="1">IF(OR(DY11="",DY$28&lt;$A38),"",DY11/OFFSET(ParoRegCLM!$A$2,MATCH(DY$29,ParoRegCLM!$A$2:$A$500)+$A38-1,1)-1)</f>
        <v>5.6571716950380768E-2</v>
      </c>
      <c r="DZ38" s="9">
        <f ca="1">IF(OR(DZ11="",DZ$28&lt;$A38),"",DZ11/OFFSET(ParoRegCLM!$A$2,MATCH(DZ$29,ParoRegCLM!$A$2:$A$500)+$A38-1,1)-1)</f>
        <v>3.8890931634553594E-2</v>
      </c>
      <c r="EA38" s="9">
        <f ca="1">IF(OR(EA11="",EA$28&lt;$A38),"",EA11/OFFSET(ParoRegCLM!$A$2,MATCH(EA$29,ParoRegCLM!$A$2:$A$500)+$A38-1,1)-1)</f>
        <v>3.1869723462786936E-2</v>
      </c>
      <c r="EB38" s="9">
        <f ca="1">IF(OR(EB11="",EB$28&lt;$A38),"",EB11/OFFSET(ParoRegCLM!$A$2,MATCH(EB$29,ParoRegCLM!$A$2:$A$500)+$A38-1,1)-1)</f>
        <v>3.8769652011676481E-2</v>
      </c>
      <c r="EC38" s="9">
        <f ca="1">IF(OR(EC11="",EC$28&lt;$A38),"",EC11/OFFSET(ParoRegCLM!$A$2,MATCH(EC$29,ParoRegCLM!$A$2:$A$500)+$A38-1,1)-1)</f>
        <v>-1.2361264125933524E-2</v>
      </c>
      <c r="ED38" s="9">
        <f ca="1">IF(OR(ED11="",ED$28&lt;$A38),"",ED11/OFFSET(ParoRegCLM!$A$2,MATCH(ED$29,ParoRegCLM!$A$2:$A$500)+$A38-1,1)-1)</f>
        <v>1.5125628692175708E-2</v>
      </c>
      <c r="EE38" s="9">
        <f ca="1">IF(OR(EE11="",EE$28&lt;$A38),"",EE11/OFFSET(ParoRegCLM!$A$2,MATCH(EE$29,ParoRegCLM!$A$2:$A$500)+$A38-1,1)-1)</f>
        <v>-1.0467889467763114E-2</v>
      </c>
      <c r="EF38" s="9">
        <f ca="1">IF(OR(EF11="",EF$28&lt;$A38),"",EF11/OFFSET(ParoRegCLM!$A$2,MATCH(EF$29,ParoRegCLM!$A$2:$A$500)+$A38-1,1)-1)</f>
        <v>-2.4512873538555247E-2</v>
      </c>
      <c r="EG38" s="9">
        <f ca="1">IF(OR(EG11="",EG$28&lt;$A38),"",EG11/OFFSET(ParoRegCLM!$A$2,MATCH(EG$29,ParoRegCLM!$A$2:$A$500)+$A38-1,1)-1)</f>
        <v>-3.490819379818777E-2</v>
      </c>
      <c r="EH38" s="9">
        <f ca="1">IF(OR(EH11="",EH$28&lt;$A38),"",EH11/OFFSET(ParoRegCLM!$A$2,MATCH(EH$29,ParoRegCLM!$A$2:$A$500)+$A38-1,1)-1)</f>
        <v>-8.8506207740403076E-2</v>
      </c>
      <c r="EI38" s="9">
        <f ca="1">IF(OR(EI11="",EI$28&lt;$A38),"",EI11/OFFSET(ParoRegCLM!$A$2,MATCH(EI$29,ParoRegCLM!$A$2:$A$500)+$A38-1,1)-1)</f>
        <v>-8.2873633614905406E-2</v>
      </c>
      <c r="EJ38" s="9">
        <f ca="1">IF(OR(EJ11="",EJ$28&lt;$A38),"",EJ11/OFFSET(ParoRegCLM!$A$2,MATCH(EJ$29,ParoRegCLM!$A$2:$A$500)+$A38-1,1)-1)</f>
        <v>-5.634574649041435E-2</v>
      </c>
      <c r="EK38" s="9">
        <f ca="1">IF(OR(EK11="",EK$28&lt;$A38),"",EK11/OFFSET(ParoRegCLM!$A$2,MATCH(EK$29,ParoRegCLM!$A$2:$A$500)+$A38-1,1)-1)</f>
        <v>1.01011406678575E-2</v>
      </c>
      <c r="EL38" s="9">
        <f ca="1">IF(OR(EL11="",EL$28&lt;$A38),"",EL11/OFFSET(ParoRegCLM!$A$2,MATCH(EL$29,ParoRegCLM!$A$2:$A$500)+$A38-1,1)-1)</f>
        <v>5.4161211553363842E-2</v>
      </c>
      <c r="EM38" s="9">
        <f ca="1">IF(OR(EM11="",EM$28&lt;$A38),"",EM11/OFFSET(ParoRegCLM!$A$2,MATCH(EM$29,ParoRegCLM!$A$2:$A$500)+$A38-1,1)-1)</f>
        <v>5.9056086437192512E-2</v>
      </c>
      <c r="EN38" s="9">
        <f ca="1">IF(OR(EN11="",EN$28&lt;$A38),"",EN11/OFFSET(ParoRegCLM!$A$2,MATCH(EN$29,ParoRegCLM!$A$2:$A$500)+$A38-1,1)-1)</f>
        <v>0.10144910849783506</v>
      </c>
      <c r="EO38" s="9">
        <f ca="1">IF(OR(EO11="",EO$28&lt;$A38),"",EO11/OFFSET(ParoRegCLM!$A$2,MATCH(EO$29,ParoRegCLM!$A$2:$A$500)+$A38-1,1)-1)</f>
        <v>4.1964089944791727E-2</v>
      </c>
      <c r="EP38" s="9">
        <f ca="1">IF(OR(EP11="",EP$28&lt;$A38),"",EP11/OFFSET(ParoRegCLM!$A$2,MATCH(EP$29,ParoRegCLM!$A$2:$A$500)+$A38-1,1)-1)</f>
        <v>5.7027908645116865E-2</v>
      </c>
      <c r="EQ38" s="9">
        <f ca="1">IF(OR(EQ11="",EQ$28&lt;$A38),"",EQ11/OFFSET(ParoRegCLM!$A$2,MATCH(EQ$29,ParoRegCLM!$A$2:$A$500)+$A38-1,1)-1)</f>
        <v>4.4166212360596591E-2</v>
      </c>
      <c r="ER38" s="9">
        <f ca="1">IF(OR(ER11="",ER$28&lt;$A38),"",ER11/OFFSET(ParoRegCLM!$A$2,MATCH(ER$29,ParoRegCLM!$A$2:$A$500)+$A38-1,1)-1)</f>
        <v>3.1117095693967922E-2</v>
      </c>
      <c r="ES38" s="9">
        <f ca="1">IF(OR(ES11="",ES$28&lt;$A38),"",ES11/OFFSET(ParoRegCLM!$A$2,MATCH(ES$29,ParoRegCLM!$A$2:$A$500)+$A38-1,1)-1)</f>
        <v>5.7707903393280358E-3</v>
      </c>
      <c r="ET38" s="9">
        <f ca="1">IF(OR(ET11="",ET$28&lt;$A38),"",ET11/OFFSET(ParoRegCLM!$A$2,MATCH(ET$29,ParoRegCLM!$A$2:$A$500)+$A38-1,1)-1)</f>
        <v>-1.1557931006393463E-2</v>
      </c>
      <c r="EU38" s="9">
        <f ca="1">IF(OR(EU11="",EU$28&lt;$A38),"",EU11/OFFSET(ParoRegCLM!$A$2,MATCH(EU$29,ParoRegCLM!$A$2:$A$500)+$A38-1,1)-1)</f>
        <v>-5.5031139871652202E-2</v>
      </c>
      <c r="EV38" s="9">
        <f ca="1">IF(OR(EV11="",EV$28&lt;$A38),"",EV11/OFFSET(ParoRegCLM!$A$2,MATCH(EV$29,ParoRegCLM!$A$2:$A$500)+$A38-1,1)-1)</f>
        <v>-6.4387774004934895E-2</v>
      </c>
      <c r="EW38" s="9">
        <f ca="1">IF(OR(EW11="",EW$28&lt;$A38),"",EW11/OFFSET(ParoRegCLM!$A$2,MATCH(EW$29,ParoRegCLM!$A$2:$A$500)+$A38-1,1)-1)</f>
        <v>-4.7206466593557983E-2</v>
      </c>
      <c r="EX38" s="9">
        <f ca="1">IF(OR(EX11="",EX$28&lt;$A38),"",EX11/OFFSET(ParoRegCLM!$A$2,MATCH(EX$29,ParoRegCLM!$A$2:$A$500)+$A38-1,1)-1)</f>
        <v>-2.8030325712001147E-2</v>
      </c>
      <c r="EY38" s="9">
        <f ca="1">IF(OR(EY11="",EY$28&lt;$A38),"",EY11/OFFSET(ParoRegCLM!$A$2,MATCH(EY$29,ParoRegCLM!$A$2:$A$500)+$A38-1,1)-1)</f>
        <v>-4.1635094820577589E-2</v>
      </c>
      <c r="EZ38" s="9">
        <f ca="1">IF(OR(EZ11="",EZ$28&lt;$A38),"",EZ11/OFFSET(ParoRegCLM!$A$2,MATCH(EZ$29,ParoRegCLM!$A$2:$A$500)+$A38-1,1)-1)</f>
        <v>-1.1950511176726297E-2</v>
      </c>
      <c r="FA38" s="9">
        <f ca="1">IF(OR(FA11="",FA$28&lt;$A38),"",FA11/OFFSET(ParoRegCLM!$A$2,MATCH(FA$29,ParoRegCLM!$A$2:$A$500)+$A38-1,1)-1)</f>
        <v>2.2729904841243709E-2</v>
      </c>
      <c r="FB38" s="9">
        <f ca="1">IF(OR(FB11="",FB$28&lt;$A38),"",FB11/OFFSET(ParoRegCLM!$A$2,MATCH(FB$29,ParoRegCLM!$A$2:$A$500)+$A38-1,1)-1)</f>
        <v>-7.3464780778970118E-3</v>
      </c>
      <c r="FC38" s="9">
        <f ca="1">IF(OR(FC11="",FC$28&lt;$A38),"",FC11/OFFSET(ParoRegCLM!$A$2,MATCH(FC$29,ParoRegCLM!$A$2:$A$500)+$A38-1,1)-1)</f>
        <v>-3.7211819464004758E-3</v>
      </c>
      <c r="FD38" s="9">
        <f ca="1">IF(OR(FD11="",FD$28&lt;$A38),"",FD11/OFFSET(ParoRegCLM!$A$2,MATCH(FD$29,ParoRegCLM!$A$2:$A$500)+$A38-1,1)-1)</f>
        <v>-3.8884238044890607E-3</v>
      </c>
      <c r="FE38" s="9">
        <f ca="1">IF(OR(FE11="",FE$28&lt;$A38),"",FE11/OFFSET(ParoRegCLM!$A$2,MATCH(FE$29,ParoRegCLM!$A$2:$A$500)+$A38-1,1)-1)</f>
        <v>-4.8255714328859778E-3</v>
      </c>
      <c r="FF38" s="9">
        <f ca="1">IF(OR(FF11="",FF$28&lt;$A38),"",FF11/OFFSET(ParoRegCLM!$A$2,MATCH(FF$29,ParoRegCLM!$A$2:$A$500)+$A38-1,1)-1)</f>
        <v>4.3644909989736247E-2</v>
      </c>
      <c r="FG38" s="9">
        <f ca="1">IF(OR(FG11="",FG$28&lt;$A38),"",FG11/OFFSET(ParoRegCLM!$A$2,MATCH(FG$29,ParoRegCLM!$A$2:$A$500)+$A38-1,1)-1)</f>
        <v>4.1009789060807211E-2</v>
      </c>
      <c r="FH38" s="9">
        <f ca="1">IF(OR(FH11="",FH$28&lt;$A38),"",FH11/OFFSET(ParoRegCLM!$A$2,MATCH(FH$29,ParoRegCLM!$A$2:$A$500)+$A38-1,1)-1)</f>
        <v>-7.0747211573402025E-3</v>
      </c>
      <c r="FI38" s="9">
        <f ca="1">IF(OR(FI11="",FI$28&lt;$A38),"",FI11/OFFSET(ParoRegCLM!$A$2,MATCH(FI$29,ParoRegCLM!$A$2:$A$500)+$A38-1,1)-1)</f>
        <v>-3.6057489972669554E-3</v>
      </c>
      <c r="FJ38" s="9">
        <f ca="1">IF(OR(FJ11="",FJ$28&lt;$A38),"",FJ11/OFFSET(ParoRegCLM!$A$2,MATCH(FJ$29,ParoRegCLM!$A$2:$A$500)+$A38-1,1)-1)</f>
        <v>-3.943152314182985E-2</v>
      </c>
      <c r="FK38" s="9">
        <f ca="1">IF(OR(FK11="",FK$28&lt;$A38),"",FK11/OFFSET(ParoRegCLM!$A$2,MATCH(FK$29,ParoRegCLM!$A$2:$A$500)+$A38-1,1)-1)</f>
        <v>9.8474588571160204E-3</v>
      </c>
      <c r="FL38" s="9">
        <f ca="1">IF(OR(FL11="",FL$28&lt;$A38),"",FL11/OFFSET(ParoRegCLM!$A$2,MATCH(FL$29,ParoRegCLM!$A$2:$A$500)+$A38-1,1)-1)</f>
        <v>-9.6349636331168553E-2</v>
      </c>
      <c r="FM38" s="9">
        <f ca="1">IF(OR(FM11="",FM$28&lt;$A38),"",FM11/OFFSET(ParoRegCLM!$A$2,MATCH(FM$29,ParoRegCLM!$A$2:$A$500)+$A38-1,1)-1)</f>
        <v>-0.11330773490658508</v>
      </c>
      <c r="FN38" s="9">
        <f ca="1">IF(OR(FN11="",FN$28&lt;$A38),"",FN11/OFFSET(ParoRegCLM!$A$2,MATCH(FN$29,ParoRegCLM!$A$2:$A$500)+$A38-1,1)-1)</f>
        <v>-9.4782837040575219E-2</v>
      </c>
      <c r="FO38" s="9">
        <f ca="1">IF(OR(FO11="",FO$28&lt;$A38),"",FO11/OFFSET(ParoRegCLM!$A$2,MATCH(FO$29,ParoRegCLM!$A$2:$A$500)+$A38-1,1)-1)</f>
        <v>-1.5009320803735071E-2</v>
      </c>
      <c r="FP38" s="9">
        <f ca="1">IF(OR(FP11="",FP$28&lt;$A38),"",FP11/OFFSET(ParoRegCLM!$A$2,MATCH(FP$29,ParoRegCLM!$A$2:$A$500)+$A38-1,1)-1)</f>
        <v>7.8024400430833918E-3</v>
      </c>
      <c r="FQ38" s="9">
        <f ca="1">IF(OR(FQ11="",FQ$28&lt;$A38),"",FQ11/OFFSET(ParoRegCLM!$A$2,MATCH(FQ$29,ParoRegCLM!$A$2:$A$500)+$A38-1,1)-1)</f>
        <v>6.094262727841171E-2</v>
      </c>
      <c r="FR38" s="9">
        <f ca="1">IF(OR(FR11="",FR$28&lt;$A38),"",FR11/OFFSET(ParoRegCLM!$A$2,MATCH(FR$29,ParoRegCLM!$A$2:$A$500)+$A38-1,1)-1)</f>
        <v>9.1397772373269515E-2</v>
      </c>
      <c r="FS38" s="9">
        <f ca="1">IF(OR(FS11="",FS$28&lt;$A38),"",FS11/OFFSET(ParoRegCLM!$A$2,MATCH(FS$29,ParoRegCLM!$A$2:$A$500)+$A38-1,1)-1)</f>
        <v>0.10495000411369171</v>
      </c>
      <c r="FT38" s="9">
        <f ca="1">IF(OR(FT11="",FT$28&lt;$A38),"",FT11/OFFSET(ParoRegCLM!$A$2,MATCH(FT$29,ParoRegCLM!$A$2:$A$500)+$A38-1,1)-1)</f>
        <v>0.11210923531464312</v>
      </c>
      <c r="FU38" s="9">
        <f ca="1">IF(OR(FU11="",FU$28&lt;$A38),"",FU11/OFFSET(ParoRegCLM!$A$2,MATCH(FU$29,ParoRegCLM!$A$2:$A$500)+$A38-1,1)-1)</f>
        <v>7.4945995527461839E-2</v>
      </c>
      <c r="FV38" s="9">
        <f ca="1">IF(OR(FV11="",FV$28&lt;$A38),"",FV11/OFFSET(ParoRegCLM!$A$2,MATCH(FV$29,ParoRegCLM!$A$2:$A$500)+$A38-1,1)-1)</f>
        <v>6.0387851511383817E-2</v>
      </c>
      <c r="FW38" s="9">
        <f ca="1">IF(OR(FW11="",FW$28&lt;$A38),"",FW11/OFFSET(ParoRegCLM!$A$2,MATCH(FW$29,ParoRegCLM!$A$2:$A$500)+$A38-1,1)-1)</f>
        <v>3.9603311929227614E-2</v>
      </c>
      <c r="FX38" s="9">
        <f ca="1">IF(OR(FX11="",FX$28&lt;$A38),"",FX11/OFFSET(ParoRegCLM!$A$2,MATCH(FX$29,ParoRegCLM!$A$2:$A$500)+$A38-1,1)-1)</f>
        <v>-2.4171015467866708E-2</v>
      </c>
      <c r="FY38" s="9">
        <f ca="1">IF(OR(FY11="",FY$28&lt;$A38),"",FY11/OFFSET(ParoRegCLM!$A$2,MATCH(FY$29,ParoRegCLM!$A$2:$A$500)+$A38-1,1)-1)</f>
        <v>-8.1532676902488221E-2</v>
      </c>
      <c r="FZ38" s="9">
        <f ca="1">IF(OR(FZ11="",FZ$28&lt;$A38),"",FZ11/OFFSET(ParoRegCLM!$A$2,MATCH(FZ$29,ParoRegCLM!$A$2:$A$500)+$A38-1,1)-1)</f>
        <v>-0.16369552207292715</v>
      </c>
      <c r="GA38" s="9">
        <f ca="1">IF(OR(GA11="",GA$28&lt;$A38),"",GA11/OFFSET(ParoRegCLM!$A$2,MATCH(GA$29,ParoRegCLM!$A$2:$A$500)+$A38-1,1)-1)</f>
        <v>-0.13235719562146819</v>
      </c>
      <c r="GB38" s="9">
        <f ca="1">IF(OR(GB11="",GB$28&lt;$A38),"",GB11/OFFSET(ParoRegCLM!$A$2,MATCH(GB$29,ParoRegCLM!$A$2:$A$500)+$A38-1,1)-1)</f>
        <v>-0.12112322711375345</v>
      </c>
      <c r="GC38" s="9">
        <f ca="1">IF(OR(GC11="",GC$28&lt;$A38),"",GC11/OFFSET(ParoRegCLM!$A$2,MATCH(GC$29,ParoRegCLM!$A$2:$A$500)+$A38-1,1)-1)</f>
        <v>-0.1145861834005597</v>
      </c>
      <c r="GD38" s="9">
        <f ca="1">IF(OR(GD11="",GD$28&lt;$A38),"",GD11/OFFSET(ParoRegCLM!$A$2,MATCH(GD$29,ParoRegCLM!$A$2:$A$500)+$A38-1,1)-1)</f>
        <v>-8.2282811409992496E-2</v>
      </c>
      <c r="GE38" s="9">
        <f ca="1">IF(OR(GE11="",GE$28&lt;$A38),"",GE11/OFFSET(ParoRegCLM!$A$2,MATCH(GE$29,ParoRegCLM!$A$2:$A$500)+$A38-1,1)-1)</f>
        <v>-2.6839614371785281E-2</v>
      </c>
      <c r="GF38" s="9">
        <f ca="1">IF(OR(GF11="",GF$28&lt;$A38),"",GF11/OFFSET(ParoRegCLM!$A$2,MATCH(GF$29,ParoRegCLM!$A$2:$A$500)+$A38-1,1)-1)</f>
        <v>-6.4227163434390944E-2</v>
      </c>
      <c r="GG38" s="9">
        <f ca="1">IF(OR(GG11="",GG$28&lt;$A38),"",GG11/OFFSET(ParoRegCLM!$A$2,MATCH(GG$29,ParoRegCLM!$A$2:$A$500)+$A38-1,1)-1)</f>
        <v>-0.11885240445696277</v>
      </c>
      <c r="GH38" s="9">
        <f ca="1">IF(OR(GH11="",GH$28&lt;$A38),"",GH11/OFFSET(ParoRegCLM!$A$2,MATCH(GH$29,ParoRegCLM!$A$2:$A$500)+$A38-1,1)-1)</f>
        <v>-9.9432334019182611E-2</v>
      </c>
      <c r="GI38" s="9">
        <f ca="1">IF(OR(GI11="",GI$28&lt;$A38),"",GI11/OFFSET(ParoRegCLM!$A$2,MATCH(GI$29,ParoRegCLM!$A$2:$A$500)+$A38-1,1)-1)</f>
        <v>-7.040550771161791E-2</v>
      </c>
      <c r="GJ38" s="9">
        <f ca="1">IF(OR(GJ11="",GJ$28&lt;$A38),"",GJ11/OFFSET(ParoRegCLM!$A$2,MATCH(GJ$29,ParoRegCLM!$A$2:$A$500)+$A38-1,1)-1)</f>
        <v>-7.4245062516361982E-2</v>
      </c>
      <c r="GK38" s="9">
        <f ca="1">IF(OR(GK11="",GK$28&lt;$A38),"",GK11/OFFSET(ParoRegCLM!$A$2,MATCH(GK$29,ParoRegCLM!$A$2:$A$500)+$A38-1,1)-1)</f>
        <v>-8.1026118660801449E-2</v>
      </c>
      <c r="GL38" s="9">
        <f ca="1">IF(OR(GL11="",GL$28&lt;$A38),"",GL11/OFFSET(ParoRegCLM!$A$2,MATCH(GL$29,ParoRegCLM!$A$2:$A$500)+$A38-1,1)-1)</f>
        <v>-5.6456205604470733E-2</v>
      </c>
      <c r="GM38" s="9">
        <f ca="1">IF(OR(GM11="",GM$28&lt;$A38),"",GM11/OFFSET(ParoRegCLM!$A$2,MATCH(GM$29,ParoRegCLM!$A$2:$A$500)+$A38-1,1)-1)</f>
        <v>-5.1583269815596022E-2</v>
      </c>
      <c r="GN38" s="9">
        <f ca="1">IF(OR(GN11="",GN$28&lt;$A38),"",GN11/OFFSET(ParoRegCLM!$A$2,MATCH(GN$29,ParoRegCLM!$A$2:$A$500)+$A38-1,1)-1)</f>
        <v>-7.6666065711979647E-2</v>
      </c>
      <c r="GO38" s="9">
        <f ca="1">IF(OR(GO11="",GO$28&lt;$A38),"",GO11/OFFSET(ParoRegCLM!$A$2,MATCH(GO$29,ParoRegCLM!$A$2:$A$500)+$A38-1,1)-1)</f>
        <v>4.3736381782337741E-2</v>
      </c>
      <c r="GP38" s="9">
        <f ca="1">IF(OR(GP11="",GP$28&lt;$A38),"",GP11/OFFSET(ParoRegCLM!$A$2,MATCH(GP$29,ParoRegCLM!$A$2:$A$500)+$A38-1,1)-1)</f>
        <v>0.22698890535605987</v>
      </c>
      <c r="GQ38" s="9" t="str">
        <f ca="1">IF(OR(GQ11="",GQ$28&lt;$A38),"",GQ11/OFFSET(ParoRegCLM!$A$2,MATCH(GQ$29,ParoRegCLM!$A$2:$A$500)+$A38-1,1)-1)</f>
        <v/>
      </c>
      <c r="GR38" s="9" t="str">
        <f ca="1">IF(OR(GR11="",GR$28&lt;$A38),"",GR11/OFFSET(ParoRegCLM!$A$2,MATCH(GR$29,ParoRegCLM!$A$2:$A$500)+$A38-1,1)-1)</f>
        <v/>
      </c>
      <c r="GS38" s="9" t="str">
        <f ca="1">IF(OR(GS11="",GS$28&lt;$A38),"",GS11/OFFSET(ParoRegCLM!$A$2,MATCH(GS$29,ParoRegCLM!$A$2:$A$500)+$A38-1,1)-1)</f>
        <v/>
      </c>
      <c r="GT38" s="9" t="str">
        <f ca="1">IF(OR(GT11="",GT$28&lt;$A38),"",GT11/OFFSET(ParoRegCLM!$A$2,MATCH(GT$29,ParoRegCLM!$A$2:$A$500)+$A38-1,1)-1)</f>
        <v/>
      </c>
      <c r="GU38" s="9" t="str">
        <f ca="1">IF(OR(GU11="",GU$28&lt;$A38),"",GU11/OFFSET(ParoRegCLM!$A$2,MATCH(GU$29,ParoRegCLM!$A$2:$A$500)+$A38-1,1)-1)</f>
        <v/>
      </c>
      <c r="GV38" s="9" t="str">
        <f ca="1">IF(OR(GV11="",GV$28&lt;$A38),"",GV11/OFFSET(ParoRegCLM!$A$2,MATCH(GV$29,ParoRegCLM!$A$2:$A$500)+$A38-1,1)-1)</f>
        <v/>
      </c>
      <c r="GW38" s="9" t="str">
        <f ca="1">IF(OR(GW11="",GW$28&lt;$A38),"",GW11/OFFSET(ParoRegCLM!$A$2,MATCH(GW$29,ParoRegCLM!$A$2:$A$500)+$A38-1,1)-1)</f>
        <v/>
      </c>
      <c r="GX38" s="9" t="str">
        <f ca="1">IF(OR(GX11="",GX$28&lt;$A38),"",GX11/OFFSET(ParoRegCLM!$A$2,MATCH(GX$29,ParoRegCLM!$A$2:$A$500)+$A38-1,1)-1)</f>
        <v/>
      </c>
      <c r="GY38" s="9" t="str">
        <f ca="1">IF(OR(GY11="",GY$28&lt;$A38),"",GY11/OFFSET(ParoRegCLM!$A$2,MATCH(GY$29,ParoRegCLM!$A$2:$A$500)+$A38-1,1)-1)</f>
        <v/>
      </c>
      <c r="GZ38" s="9" t="str">
        <f ca="1">IF(OR(GZ11="",GZ$28&lt;$A38),"",GZ11/OFFSET(ParoRegCLM!$A$2,MATCH(GZ$29,ParoRegCLM!$A$2:$A$500)+$A38-1,1)-1)</f>
        <v/>
      </c>
      <c r="HA38" s="9" t="str">
        <f ca="1">IF(OR(HA11="",HA$28&lt;$A38),"",HA11/OFFSET(ParoRegCLM!$A$2,MATCH(HA$29,ParoRegCLM!$A$2:$A$500)+$A38-1,1)-1)</f>
        <v/>
      </c>
      <c r="HB38" s="9" t="str">
        <f ca="1">IF(OR(HB11="",HB$28&lt;$A38),"",HB11/OFFSET(ParoRegCLM!$A$2,MATCH(HB$29,ParoRegCLM!$A$2:$A$500)+$A38-1,1)-1)</f>
        <v/>
      </c>
      <c r="HC38" s="9" t="str">
        <f ca="1">IF(OR(HC11="",HC$28&lt;$A38),"",HC11/OFFSET(ParoRegCLM!$A$2,MATCH(HC$29,ParoRegCLM!$A$2:$A$500)+$A38-1,1)-1)</f>
        <v/>
      </c>
      <c r="HD38" s="9" t="str">
        <f ca="1">IF(OR(HD11="",HD$28&lt;$A38),"",HD11/OFFSET(ParoRegCLM!$A$2,MATCH(HD$29,ParoRegCLM!$A$2:$A$500)+$A38-1,1)-1)</f>
        <v/>
      </c>
      <c r="HE38" s="9" t="str">
        <f ca="1">IF(OR(HE11="",HE$28&lt;$A38),"",HE11/OFFSET(ParoRegCLM!$A$2,MATCH(HE$29,ParoRegCLM!$A$2:$A$500)+$A38-1,1)-1)</f>
        <v/>
      </c>
      <c r="HF38" s="9" t="str">
        <f ca="1">IF(OR(HF11="",HF$28&lt;$A38),"",HF11/OFFSET(ParoRegCLM!$A$2,MATCH(HF$29,ParoRegCLM!$A$2:$A$500)+$A38-1,1)-1)</f>
        <v/>
      </c>
      <c r="HG38" s="9" t="str">
        <f ca="1">IF(OR(HG11="",HG$28&lt;$A38),"",HG11/OFFSET(ParoRegCLM!$A$2,MATCH(HG$29,ParoRegCLM!$A$2:$A$500)+$A38-1,1)-1)</f>
        <v/>
      </c>
      <c r="HH38" s="9" t="str">
        <f ca="1">IF(OR(HH11="",HH$28&lt;$A38),"",HH11/OFFSET(ParoRegCLM!$A$2,MATCH(HH$29,ParoRegCLM!$A$2:$A$500)+$A38-1,1)-1)</f>
        <v/>
      </c>
      <c r="HI38" s="9" t="str">
        <f ca="1">IF(OR(HI11="",HI$28&lt;$A38),"",HI11/OFFSET(ParoRegCLM!$A$2,MATCH(HI$29,ParoRegCLM!$A$2:$A$500)+$A38-1,1)-1)</f>
        <v/>
      </c>
      <c r="HJ38" s="9" t="str">
        <f ca="1">IF(OR(HJ11="",HJ$28&lt;$A38),"",HJ11/OFFSET(ParoRegCLM!$A$2,MATCH(HJ$29,ParoRegCLM!$A$2:$A$500)+$A38-1,1)-1)</f>
        <v/>
      </c>
      <c r="HK38" s="9" t="str">
        <f ca="1">IF(OR(HK11="",HK$28&lt;$A38),"",HK11/OFFSET(ParoRegCLM!$A$2,MATCH(HK$29,ParoRegCLM!$A$2:$A$500)+$A38-1,1)-1)</f>
        <v/>
      </c>
      <c r="HL38" s="9" t="str">
        <f ca="1">IF(OR(HL11="",HL$28&lt;$A38),"",HL11/OFFSET(ParoRegCLM!$A$2,MATCH(HL$29,ParoRegCLM!$A$2:$A$500)+$A38-1,1)-1)</f>
        <v/>
      </c>
      <c r="HM38" s="9" t="str">
        <f ca="1">IF(OR(HM11="",HM$28&lt;$A38),"",HM11/OFFSET(ParoRegCLM!$A$2,MATCH(HM$29,ParoRegCLM!$A$2:$A$500)+$A38-1,1)-1)</f>
        <v/>
      </c>
      <c r="HN38" s="9" t="str">
        <f ca="1">IF(OR(HN11="",HN$28&lt;$A38),"",HN11/OFFSET(ParoRegCLM!$A$2,MATCH(HN$29,ParoRegCLM!$A$2:$A$500)+$A38-1,1)-1)</f>
        <v/>
      </c>
      <c r="HO38" s="9" t="str">
        <f ca="1">IF(OR(HO11="",HO$28&lt;$A38),"",HO11/OFFSET(ParoRegCLM!$A$2,MATCH(HO$29,ParoRegCLM!$A$2:$A$500)+$A38-1,1)-1)</f>
        <v/>
      </c>
      <c r="HP38" s="9" t="str">
        <f ca="1">IF(OR(HP11="",HP$28&lt;$A38),"",HP11/OFFSET(ParoRegCLM!$A$2,MATCH(HP$29,ParoRegCLM!$A$2:$A$500)+$A38-1,1)-1)</f>
        <v/>
      </c>
      <c r="HQ38" s="9" t="str">
        <f ca="1">IF(OR(HQ11="",HQ$28&lt;$A38),"",HQ11/OFFSET(ParoRegCLM!$A$2,MATCH(HQ$29,ParoRegCLM!$A$2:$A$500)+$A38-1,1)-1)</f>
        <v/>
      </c>
      <c r="HR38" s="9" t="str">
        <f ca="1">IF(OR(HR11="",HR$28&lt;$A38),"",HR11/OFFSET(ParoRegCLM!$A$2,MATCH(HR$29,ParoRegCLM!$A$2:$A$500)+$A38-1,1)-1)</f>
        <v/>
      </c>
      <c r="HS38" s="9" t="str">
        <f ca="1">IF(OR(HS11="",HS$28&lt;$A38),"",HS11/OFFSET(ParoRegCLM!$A$2,MATCH(HS$29,ParoRegCLM!$A$2:$A$500)+$A38-1,1)-1)</f>
        <v/>
      </c>
      <c r="HT38" s="9" t="str">
        <f ca="1">IF(OR(HT11="",HT$28&lt;$A38),"",HT11/OFFSET(ParoRegCLM!$A$2,MATCH(HT$29,ParoRegCLM!$A$2:$A$500)+$A38-1,1)-1)</f>
        <v/>
      </c>
      <c r="HU38" s="9" t="str">
        <f ca="1">IF(OR(HU11="",HU$28&lt;$A38),"",HU11/OFFSET(ParoRegCLM!$A$2,MATCH(HU$29,ParoRegCLM!$A$2:$A$500)+$A38-1,1)-1)</f>
        <v/>
      </c>
      <c r="HV38" s="9" t="str">
        <f ca="1">IF(OR(HV11="",HV$28&lt;$A38),"",HV11/OFFSET(ParoRegCLM!$A$2,MATCH(HV$29,ParoRegCLM!$A$2:$A$500)+$A38-1,1)-1)</f>
        <v/>
      </c>
      <c r="HW38" s="9" t="str">
        <f ca="1">IF(OR(HW11="",HW$28&lt;$A38),"",HW11/OFFSET(ParoRegCLM!$A$2,MATCH(HW$29,ParoRegCLM!$A$2:$A$500)+$A38-1,1)-1)</f>
        <v/>
      </c>
      <c r="HX38" s="9" t="str">
        <f ca="1">IF(OR(HX11="",HX$28&lt;$A38),"",HX11/OFFSET(ParoRegCLM!$A$2,MATCH(HX$29,ParoRegCLM!$A$2:$A$500)+$A38-1,1)-1)</f>
        <v/>
      </c>
      <c r="HY38" s="9" t="str">
        <f ca="1">IF(OR(HY11="",HY$28&lt;$A38),"",HY11/OFFSET(ParoRegCLM!$A$2,MATCH(HY$29,ParoRegCLM!$A$2:$A$500)+$A38-1,1)-1)</f>
        <v/>
      </c>
      <c r="HZ38" s="9" t="str">
        <f ca="1">IF(OR(HZ11="",HZ$28&lt;$A38),"",HZ11/OFFSET(ParoRegCLM!$A$2,MATCH(HZ$29,ParoRegCLM!$A$2:$A$500)+$A38-1,1)-1)</f>
        <v/>
      </c>
      <c r="IA38" s="9" t="str">
        <f ca="1">IF(OR(IA11="",IA$28&lt;$A38),"",IA11/OFFSET(ParoRegCLM!$A$2,MATCH(IA$29,ParoRegCLM!$A$2:$A$500)+$A38-1,1)-1)</f>
        <v/>
      </c>
      <c r="IB38" s="9" t="str">
        <f ca="1">IF(OR(IB11="",IB$28&lt;$A38),"",IB11/OFFSET(ParoRegCLM!$A$2,MATCH(IB$29,ParoRegCLM!$A$2:$A$500)+$A38-1,1)-1)</f>
        <v/>
      </c>
      <c r="IC38" s="9" t="str">
        <f ca="1">IF(OR(IC11="",IC$28&lt;$A38),"",IC11/OFFSET(ParoRegCLM!$A$2,MATCH(IC$29,ParoRegCLM!$A$2:$A$500)+$A38-1,1)-1)</f>
        <v/>
      </c>
      <c r="ID38" s="9" t="str">
        <f ca="1">IF(OR(ID11="",ID$28&lt;$A38),"",ID11/OFFSET(ParoRegCLM!$A$2,MATCH(ID$29,ParoRegCLM!$A$2:$A$500)+$A38-1,1)-1)</f>
        <v/>
      </c>
      <c r="IE38" s="9" t="str">
        <f ca="1">IF(OR(IE11="",IE$28&lt;$A38),"",IE11/OFFSET(ParoRegCLM!$A$2,MATCH(IE$29,ParoRegCLM!$A$2:$A$500)+$A38-1,1)-1)</f>
        <v/>
      </c>
      <c r="IF38" s="9" t="str">
        <f ca="1">IF(OR(IF11="",IF$28&lt;$A38),"",IF11/OFFSET(ParoRegCLM!$A$2,MATCH(IF$29,ParoRegCLM!$A$2:$A$500)+$A38-1,1)-1)</f>
        <v/>
      </c>
      <c r="IG38" s="9" t="str">
        <f ca="1">IF(OR(IG11="",IG$28&lt;$A38),"",IG11/OFFSET(ParoRegCLM!$A$2,MATCH(IG$29,ParoRegCLM!$A$2:$A$500)+$A38-1,1)-1)</f>
        <v/>
      </c>
      <c r="IH38" s="9" t="str">
        <f ca="1">IF(OR(IH11="",IH$28&lt;$A38),"",IH11/OFFSET(ParoRegCLM!$A$2,MATCH(IH$29,ParoRegCLM!$A$2:$A$500)+$A38-1,1)-1)</f>
        <v/>
      </c>
      <c r="II38" s="9" t="str">
        <f ca="1">IF(OR(II11="",II$28&lt;$A38),"",II11/OFFSET(ParoRegCLM!$A$2,MATCH(II$29,ParoRegCLM!$A$2:$A$500)+$A38-1,1)-1)</f>
        <v/>
      </c>
      <c r="IJ38" s="9" t="str">
        <f ca="1">IF(OR(IJ11="",IJ$28&lt;$A38),"",IJ11/OFFSET(ParoRegCLM!$A$2,MATCH(IJ$29,ParoRegCLM!$A$2:$A$500)+$A38-1,1)-1)</f>
        <v/>
      </c>
      <c r="IK38" s="9" t="str">
        <f ca="1">IF(OR(IK11="",IK$28&lt;$A38),"",IK11/OFFSET(ParoRegCLM!$A$2,MATCH(IK$29,ParoRegCLM!$A$2:$A$500)+$A38-1,1)-1)</f>
        <v/>
      </c>
      <c r="IL38" s="9" t="str">
        <f ca="1">IF(OR(IL11="",IL$28&lt;$A38),"",IL11/OFFSET(ParoRegCLM!$A$2,MATCH(IL$29,ParoRegCLM!$A$2:$A$500)+$A38-1,1)-1)</f>
        <v/>
      </c>
      <c r="IM38" s="9" t="str">
        <f ca="1">IF(OR(IM11="",IM$28&lt;$A38),"",IM11/OFFSET(ParoRegCLM!$A$2,MATCH(IM$29,ParoRegCLM!$A$2:$A$500)+$A38-1,1)-1)</f>
        <v/>
      </c>
      <c r="IN38" s="9" t="str">
        <f ca="1">IF(OR(IN11="",IN$28&lt;$A38),"",IN11/OFFSET(ParoRegCLM!$A$2,MATCH(IN$29,ParoRegCLM!$A$2:$A$500)+$A38-1,1)-1)</f>
        <v/>
      </c>
      <c r="IO38" s="9" t="str">
        <f ca="1">IF(OR(IO11="",IO$28&lt;$A38),"",IO11/OFFSET(ParoRegCLM!$A$2,MATCH(IO$29,ParoRegCLM!$A$2:$A$500)+$A38-1,1)-1)</f>
        <v/>
      </c>
      <c r="IP38" s="9" t="str">
        <f ca="1">IF(OR(IP11="",IP$28&lt;$A38),"",IP11/OFFSET(ParoRegCLM!$A$2,MATCH(IP$29,ParoRegCLM!$A$2:$A$500)+$A38-1,1)-1)</f>
        <v/>
      </c>
      <c r="IQ38" s="9" t="str">
        <f ca="1">IF(OR(IQ11="",IQ$28&lt;$A38),"",IQ11/OFFSET(ParoRegCLM!$A$2,MATCH(IQ$29,ParoRegCLM!$A$2:$A$500)+$A38-1,1)-1)</f>
        <v/>
      </c>
      <c r="IR38" s="9" t="str">
        <f ca="1">IF(OR(IR11="",IR$28&lt;$A38),"",IR11/OFFSET(ParoRegCLM!$A$2,MATCH(IR$29,ParoRegCLM!$A$2:$A$500)+$A38-1,1)-1)</f>
        <v/>
      </c>
      <c r="IS38" s="9" t="str">
        <f ca="1">IF(OR(IS11="",IS$28&lt;$A38),"",IS11/OFFSET(ParoRegCLM!$A$2,MATCH(IS$29,ParoRegCLM!$A$2:$A$500)+$A38-1,1)-1)</f>
        <v/>
      </c>
      <c r="IT38" s="9" t="str">
        <f ca="1">IF(OR(IT11="",IT$28&lt;$A38),"",IT11/OFFSET(ParoRegCLM!$A$2,MATCH(IT$29,ParoRegCLM!$A$2:$A$500)+$A38-1,1)-1)</f>
        <v/>
      </c>
      <c r="IU38" s="9" t="str">
        <f ca="1">IF(OR(IU11="",IU$28&lt;$A38),"",IU11/OFFSET(ParoRegCLM!$A$2,MATCH(IU$29,ParoRegCLM!$A$2:$A$500)+$A38-1,1)-1)</f>
        <v/>
      </c>
      <c r="IV38" s="9" t="str">
        <f ca="1">IF(OR(IV11="",IV$28&lt;$A38),"",IV11/OFFSET(ParoRegCLM!$A$2,MATCH(IV$29,ParoRegCLM!$A$2:$A$500)+$A38-1,1)-1)</f>
        <v/>
      </c>
      <c r="IW38" s="9" t="str">
        <f ca="1">IF(OR(IW11="",IW$28&lt;$A38),"",IW11/OFFSET(ParoRegCLM!$A$2,MATCH(IW$29,ParoRegCLM!$A$2:$A$500)+$A38-1,1)-1)</f>
        <v/>
      </c>
      <c r="IX38" s="9" t="str">
        <f ca="1">IF(OR(IX11="",IX$28&lt;$A38),"",IX11/OFFSET(ParoRegCLM!$A$2,MATCH(IX$29,ParoRegCLM!$A$2:$A$500)+$A38-1,1)-1)</f>
        <v/>
      </c>
      <c r="IY38" s="9" t="str">
        <f ca="1">IF(OR(IY11="",IY$28&lt;$A38),"",IY11/OFFSET(ParoRegCLM!$A$2,MATCH(IY$29,ParoRegCLM!$A$2:$A$500)+$A38-1,1)-1)</f>
        <v/>
      </c>
      <c r="IZ38" s="9" t="str">
        <f ca="1">IF(OR(IZ11="",IZ$28&lt;$A38),"",IZ11/OFFSET(ParoRegCLM!$A$2,MATCH(IZ$29,ParoRegCLM!$A$2:$A$500)+$A38-1,1)-1)</f>
        <v/>
      </c>
      <c r="JA38" s="9" t="str">
        <f ca="1">IF(OR(JA11="",JA$28&lt;$A38),"",JA11/OFFSET(ParoRegCLM!$A$2,MATCH(JA$29,ParoRegCLM!$A$2:$A$500)+$A38-1,1)-1)</f>
        <v/>
      </c>
      <c r="JB38" s="9" t="str">
        <f ca="1">IF(OR(JB11="",JB$28&lt;$A38),"",JB11/OFFSET(ParoRegCLM!$A$2,MATCH(JB$29,ParoRegCLM!$A$2:$A$500)+$A38-1,1)-1)</f>
        <v/>
      </c>
      <c r="JC38" s="9" t="str">
        <f ca="1">IF(OR(JC11="",JC$28&lt;$A38),"",JC11/OFFSET(ParoRegCLM!$A$2,MATCH(JC$29,ParoRegCLM!$A$2:$A$500)+$A38-1,1)-1)</f>
        <v/>
      </c>
      <c r="JD38" s="9" t="str">
        <f ca="1">IF(OR(JD11="",JD$28&lt;$A38),"",JD11/OFFSET(ParoRegCLM!$A$2,MATCH(JD$29,ParoRegCLM!$A$2:$A$500)+$A38-1,1)-1)</f>
        <v/>
      </c>
      <c r="JE38" s="9" t="str">
        <f ca="1">IF(OR(JE11="",JE$28&lt;$A38),"",JE11/OFFSET(ParoRegCLM!$A$2,MATCH(JE$29,ParoRegCLM!$A$2:$A$500)+$A38-1,1)-1)</f>
        <v/>
      </c>
      <c r="JF38" s="9" t="str">
        <f ca="1">IF(OR(JF11="",JF$28&lt;$A38),"",JF11/OFFSET(ParoRegCLM!$A$2,MATCH(JF$29,ParoRegCLM!$A$2:$A$500)+$A38-1,1)-1)</f>
        <v/>
      </c>
      <c r="JG38" s="9" t="str">
        <f ca="1">IF(OR(JG11="",JG$28&lt;$A38),"",JG11/OFFSET(ParoRegCLM!$A$2,MATCH(JG$29,ParoRegCLM!$A$2:$A$500)+$A38-1,1)-1)</f>
        <v/>
      </c>
      <c r="JH38" s="9" t="str">
        <f ca="1">IF(OR(JH11="",JH$28&lt;$A38),"",JH11/OFFSET(ParoRegCLM!$A$2,MATCH(JH$29,ParoRegCLM!$A$2:$A$500)+$A38-1,1)-1)</f>
        <v/>
      </c>
      <c r="JI38" s="13">
        <f t="shared" ca="1" si="14"/>
        <v>-2.4016165119450705E-2</v>
      </c>
      <c r="JJ38" s="13">
        <f t="shared" ca="1" si="15"/>
        <v>-6.0341684519430838E-2</v>
      </c>
      <c r="JK38" s="14">
        <f t="shared" ca="1" si="16"/>
        <v>8.7945947740805455E-3</v>
      </c>
      <c r="JL38" s="17">
        <f t="shared" ca="1" si="19"/>
        <v>9.3779500820171488E-2</v>
      </c>
      <c r="JM38" s="15" t="str">
        <f t="shared" ca="1" si="17"/>
        <v>[ -21,16% ; 16,35% ]</v>
      </c>
      <c r="JN38" s="17">
        <f t="shared" ca="1" si="18"/>
        <v>0.1200377610498195</v>
      </c>
      <c r="LY38" s="1"/>
    </row>
    <row r="39" spans="1:337" x14ac:dyDescent="0.25">
      <c r="A39" s="4">
        <v>10</v>
      </c>
      <c r="B39" s="9">
        <f ca="1">IF(OR(B12="",B$28&lt;$A39),"",B12/OFFSET(ParoRegCLM!$A$2,MATCH(B$29,ParoRegCLM!$A$2:$A$500)+$A39-1,1)-1)</f>
        <v>4.4223016038606566E-2</v>
      </c>
      <c r="C39" s="9">
        <f ca="1">IF(OR(C12="",C$28&lt;$A39),"",C12/OFFSET(ParoRegCLM!$A$2,MATCH(C$29,ParoRegCLM!$A$2:$A$500)+$A39-1,1)-1)</f>
        <v>2.5401039184538288E-3</v>
      </c>
      <c r="D39" s="9">
        <f ca="1">IF(OR(D12="",D$28&lt;$A39),"",D12/OFFSET(ParoRegCLM!$A$2,MATCH(D$29,ParoRegCLM!$A$2:$A$500)+$A39-1,1)-1)</f>
        <v>1.034783327732347E-2</v>
      </c>
      <c r="E39" s="9">
        <f ca="1">IF(OR(E12="",E$28&lt;$A39),"",E12/OFFSET(ParoRegCLM!$A$2,MATCH(E$29,ParoRegCLM!$A$2:$A$500)+$A39-1,1)-1)</f>
        <v>4.7428054733471559E-3</v>
      </c>
      <c r="F39" s="9">
        <f ca="1">IF(OR(F12="",F$28&lt;$A39),"",F12/OFFSET(ParoRegCLM!$A$2,MATCH(F$29,ParoRegCLM!$A$2:$A$500)+$A39-1,1)-1)</f>
        <v>4.1431896205933683E-2</v>
      </c>
      <c r="G39" s="9">
        <f ca="1">IF(OR(G12="",G$28&lt;$A39),"",G12/OFFSET(ParoRegCLM!$A$2,MATCH(G$29,ParoRegCLM!$A$2:$A$500)+$A39-1,1)-1)</f>
        <v>2.8919877120032966E-2</v>
      </c>
      <c r="H39" s="9">
        <f ca="1">IF(OR(H12="",H$28&lt;$A39),"",H12/OFFSET(ParoRegCLM!$A$2,MATCH(H$29,ParoRegCLM!$A$2:$A$500)+$A39-1,1)-1)</f>
        <v>1.767483825370797E-2</v>
      </c>
      <c r="I39" s="9">
        <f ca="1">IF(OR(I12="",I$28&lt;$A39),"",I12/OFFSET(ParoRegCLM!$A$2,MATCH(I$29,ParoRegCLM!$A$2:$A$500)+$A39-1,1)-1)</f>
        <v>1.2876092519420013E-2</v>
      </c>
      <c r="J39" s="9">
        <f ca="1">IF(OR(J12="",J$28&lt;$A39),"",J12/OFFSET(ParoRegCLM!$A$2,MATCH(J$29,ParoRegCLM!$A$2:$A$500)+$A39-1,1)-1)</f>
        <v>2.1509891346937593E-2</v>
      </c>
      <c r="K39" s="9">
        <f ca="1">IF(OR(K12="",K$28&lt;$A39),"",K12/OFFSET(ParoRegCLM!$A$2,MATCH(K$29,ParoRegCLM!$A$2:$A$500)+$A39-1,1)-1)</f>
        <v>-9.3011311771192817E-3</v>
      </c>
      <c r="L39" s="9">
        <f ca="1">IF(OR(L12="",L$28&lt;$A39),"",L12/OFFSET(ParoRegCLM!$A$2,MATCH(L$29,ParoRegCLM!$A$2:$A$500)+$A39-1,1)-1)</f>
        <v>-2.1602217633789667E-2</v>
      </c>
      <c r="M39" s="9">
        <f ca="1">IF(OR(M12="",M$28&lt;$A39),"",M12/OFFSET(ParoRegCLM!$A$2,MATCH(M$29,ParoRegCLM!$A$2:$A$500)+$A39-1,1)-1)</f>
        <v>-5.4325744319129177E-3</v>
      </c>
      <c r="N39" s="9">
        <f ca="1">IF(OR(N12="",N$28&lt;$A39),"",N12/OFFSET(ParoRegCLM!$A$2,MATCH(N$29,ParoRegCLM!$A$2:$A$500)+$A39-1,1)-1)</f>
        <v>-1.0233385602033795E-2</v>
      </c>
      <c r="O39" s="9">
        <f ca="1">IF(OR(O12="",O$28&lt;$A39),"",O12/OFFSET(ParoRegCLM!$A$2,MATCH(O$29,ParoRegCLM!$A$2:$A$500)+$A39-1,1)-1)</f>
        <v>2.9023380702078105E-2</v>
      </c>
      <c r="P39" s="9">
        <f ca="1">IF(OR(P12="",P$28&lt;$A39),"",P12/OFFSET(ParoRegCLM!$A$2,MATCH(P$29,ParoRegCLM!$A$2:$A$500)+$A39-1,1)-1)</f>
        <v>2.223347115181884E-2</v>
      </c>
      <c r="Q39" s="9">
        <f ca="1">IF(OR(Q12="",Q$28&lt;$A39),"",Q12/OFFSET(ParoRegCLM!$A$2,MATCH(Q$29,ParoRegCLM!$A$2:$A$500)+$A39-1,1)-1)</f>
        <v>3.2729483953048089E-2</v>
      </c>
      <c r="R39" s="9">
        <f ca="1">IF(OR(R12="",R$28&lt;$A39),"",R12/OFFSET(ParoRegCLM!$A$2,MATCH(R$29,ParoRegCLM!$A$2:$A$500)+$A39-1,1)-1)</f>
        <v>3.7174818823484168E-2</v>
      </c>
      <c r="S39" s="9">
        <f ca="1">IF(OR(S12="",S$28&lt;$A39),"",S12/OFFSET(ParoRegCLM!$A$2,MATCH(S$29,ParoRegCLM!$A$2:$A$500)+$A39-1,1)-1)</f>
        <v>4.3573216350524913E-2</v>
      </c>
      <c r="T39" s="9">
        <f ca="1">IF(OR(T12="",T$28&lt;$A39),"",T12/OFFSET(ParoRegCLM!$A$2,MATCH(T$29,ParoRegCLM!$A$2:$A$500)+$A39-1,1)-1)</f>
        <v>3.2523465220517966E-2</v>
      </c>
      <c r="U39" s="9">
        <f ca="1">IF(OR(U12="",U$28&lt;$A39),"",U12/OFFSET(ParoRegCLM!$A$2,MATCH(U$29,ParoRegCLM!$A$2:$A$500)+$A39-1,1)-1)</f>
        <v>3.3621356352561804E-2</v>
      </c>
      <c r="V39" s="9">
        <f ca="1">IF(OR(V12="",V$28&lt;$A39),"",V12/OFFSET(ParoRegCLM!$A$2,MATCH(V$29,ParoRegCLM!$A$2:$A$500)+$A39-1,1)-1)</f>
        <v>4.7506506575165863E-2</v>
      </c>
      <c r="W39" s="9">
        <f ca="1">IF(OR(W12="",W$28&lt;$A39),"",W12/OFFSET(ParoRegCLM!$A$2,MATCH(W$29,ParoRegCLM!$A$2:$A$500)+$A39-1,1)-1)</f>
        <v>3.4576363860794102E-2</v>
      </c>
      <c r="X39" s="9">
        <f ca="1">IF(OR(X12="",X$28&lt;$A39),"",X12/OFFSET(ParoRegCLM!$A$2,MATCH(X$29,ParoRegCLM!$A$2:$A$500)+$A39-1,1)-1)</f>
        <v>4.5337127565815649E-2</v>
      </c>
      <c r="Y39" s="9">
        <f ca="1">IF(OR(Y12="",Y$28&lt;$A39),"",Y12/OFFSET(ParoRegCLM!$A$2,MATCH(Y$29,ParoRegCLM!$A$2:$A$500)+$A39-1,1)-1)</f>
        <v>2.5763175250585801E-2</v>
      </c>
      <c r="Z39" s="9">
        <f ca="1">IF(OR(Z12="",Z$28&lt;$A39),"",Z12/OFFSET(ParoRegCLM!$A$2,MATCH(Z$29,ParoRegCLM!$A$2:$A$500)+$A39-1,1)-1)</f>
        <v>3.5117917841553492E-2</v>
      </c>
      <c r="AA39" s="9">
        <f ca="1">IF(OR(AA12="",AA$28&lt;$A39),"",AA12/OFFSET(ParoRegCLM!$A$2,MATCH(AA$29,ParoRegCLM!$A$2:$A$500)+$A39-1,1)-1)</f>
        <v>3.5769417925402891E-2</v>
      </c>
      <c r="AB39" s="9">
        <f ca="1">IF(OR(AB12="",AB$28&lt;$A39),"",AB12/OFFSET(ParoRegCLM!$A$2,MATCH(AB$29,ParoRegCLM!$A$2:$A$500)+$A39-1,1)-1)</f>
        <v>5.8367229038888579E-2</v>
      </c>
      <c r="AC39" s="9">
        <f ca="1">IF(OR(AC12="",AC$28&lt;$A39),"",AC12/OFFSET(ParoRegCLM!$A$2,MATCH(AC$29,ParoRegCLM!$A$2:$A$500)+$A39-1,1)-1)</f>
        <v>3.8653025830958976E-2</v>
      </c>
      <c r="AD39" s="9">
        <f ca="1">IF(OR(AD12="",AD$28&lt;$A39),"",AD12/OFFSET(ParoRegCLM!$A$2,MATCH(AD$29,ParoRegCLM!$A$2:$A$500)+$A39-1,1)-1)</f>
        <v>3.4737752535407118E-2</v>
      </c>
      <c r="AE39" s="9">
        <f ca="1">IF(OR(AE12="",AE$28&lt;$A39),"",AE12/OFFSET(ParoRegCLM!$A$2,MATCH(AE$29,ParoRegCLM!$A$2:$A$500)+$A39-1,1)-1)</f>
        <v>4.253834572720705E-2</v>
      </c>
      <c r="AF39" s="9">
        <f ca="1">IF(OR(AF12="",AF$28&lt;$A39),"",AF12/OFFSET(ParoRegCLM!$A$2,MATCH(AF$29,ParoRegCLM!$A$2:$A$500)+$A39-1,1)-1)</f>
        <v>2.6608629527941519E-2</v>
      </c>
      <c r="AG39" s="9">
        <f ca="1">IF(OR(AG12="",AG$28&lt;$A39),"",AG12/OFFSET(ParoRegCLM!$A$2,MATCH(AG$29,ParoRegCLM!$A$2:$A$500)+$A39-1,1)-1)</f>
        <v>2.1437144201161829E-2</v>
      </c>
      <c r="AH39" s="9">
        <f ca="1">IF(OR(AH12="",AH$28&lt;$A39),"",AH12/OFFSET(ParoRegCLM!$A$2,MATCH(AH$29,ParoRegCLM!$A$2:$A$500)+$A39-1,1)-1)</f>
        <v>1.1675014913529624E-2</v>
      </c>
      <c r="AI39" s="9">
        <f ca="1">IF(OR(AI12="",AI$28&lt;$A39),"",AI12/OFFSET(ParoRegCLM!$A$2,MATCH(AI$29,ParoRegCLM!$A$2:$A$500)+$A39-1,1)-1)</f>
        <v>-1.1547690318570725E-2</v>
      </c>
      <c r="AJ39" s="9">
        <f ca="1">IF(OR(AJ12="",AJ$28&lt;$A39),"",AJ12/OFFSET(ParoRegCLM!$A$2,MATCH(AJ$29,ParoRegCLM!$A$2:$A$500)+$A39-1,1)-1)</f>
        <v>-2.9024687087619738E-2</v>
      </c>
      <c r="AK39" s="9">
        <f ca="1">IF(OR(AK12="",AK$28&lt;$A39),"",AK12/OFFSET(ParoRegCLM!$A$2,MATCH(AK$29,ParoRegCLM!$A$2:$A$500)+$A39-1,1)-1)</f>
        <v>-3.6417048802050656E-2</v>
      </c>
      <c r="AL39" s="9">
        <f ca="1">IF(OR(AL12="",AL$28&lt;$A39),"",AL12/OFFSET(ParoRegCLM!$A$2,MATCH(AL$29,ParoRegCLM!$A$2:$A$500)+$A39-1,1)-1)</f>
        <v>-5.1143053994821774E-2</v>
      </c>
      <c r="AM39" s="9">
        <f ca="1">IF(OR(AM12="",AM$28&lt;$A39),"",AM12/OFFSET(ParoRegCLM!$A$2,MATCH(AM$29,ParoRegCLM!$A$2:$A$500)+$A39-1,1)-1)</f>
        <v>-6.2579527319864381E-2</v>
      </c>
      <c r="AN39" s="9">
        <f ca="1">IF(OR(AN12="",AN$28&lt;$A39),"",AN12/OFFSET(ParoRegCLM!$A$2,MATCH(AN$29,ParoRegCLM!$A$2:$A$500)+$A39-1,1)-1)</f>
        <v>-4.5092721777349798E-2</v>
      </c>
      <c r="AO39" s="9">
        <f ca="1">IF(OR(AO12="",AO$28&lt;$A39),"",AO12/OFFSET(ParoRegCLM!$A$2,MATCH(AO$29,ParoRegCLM!$A$2:$A$500)+$A39-1,1)-1)</f>
        <v>-7.1368542566728754E-2</v>
      </c>
      <c r="AP39" s="9">
        <f ca="1">IF(OR(AP12="",AP$28&lt;$A39),"",AP12/OFFSET(ParoRegCLM!$A$2,MATCH(AP$29,ParoRegCLM!$A$2:$A$500)+$A39-1,1)-1)</f>
        <v>-9.2808172620874263E-2</v>
      </c>
      <c r="AQ39" s="9">
        <f ca="1">IF(OR(AQ12="",AQ$28&lt;$A39),"",AQ12/OFFSET(ParoRegCLM!$A$2,MATCH(AQ$29,ParoRegCLM!$A$2:$A$500)+$A39-1,1)-1)</f>
        <v>-9.5461941662701388E-2</v>
      </c>
      <c r="AR39" s="9">
        <f ca="1">IF(OR(AR12="",AR$28&lt;$A39),"",AR12/OFFSET(ParoRegCLM!$A$2,MATCH(AR$29,ParoRegCLM!$A$2:$A$500)+$A39-1,1)-1)</f>
        <v>-0.12232708671421499</v>
      </c>
      <c r="AS39" s="9">
        <f ca="1">IF(OR(AS12="",AS$28&lt;$A39),"",AS12/OFFSET(ParoRegCLM!$A$2,MATCH(AS$29,ParoRegCLM!$A$2:$A$500)+$A39-1,1)-1)</f>
        <v>-0.14463099163888904</v>
      </c>
      <c r="AT39" s="9">
        <f ca="1">IF(OR(AT12="",AT$28&lt;$A39),"",AT12/OFFSET(ParoRegCLM!$A$2,MATCH(AT$29,ParoRegCLM!$A$2:$A$500)+$A39-1,1)-1)</f>
        <v>-0.15786873881207886</v>
      </c>
      <c r="AU39" s="9">
        <f ca="1">IF(OR(AU12="",AU$28&lt;$A39),"",AU12/OFFSET(ParoRegCLM!$A$2,MATCH(AU$29,ParoRegCLM!$A$2:$A$500)+$A39-1,1)-1)</f>
        <v>-0.18914422878531922</v>
      </c>
      <c r="AV39" s="9">
        <f ca="1">IF(OR(AV12="",AV$28&lt;$A39),"",AV12/OFFSET(ParoRegCLM!$A$2,MATCH(AV$29,ParoRegCLM!$A$2:$A$500)+$A39-1,1)-1)</f>
        <v>-0.20905406849907104</v>
      </c>
      <c r="AW39" s="9">
        <f ca="1">IF(OR(AW12="",AW$28&lt;$A39),"",AW12/OFFSET(ParoRegCLM!$A$2,MATCH(AW$29,ParoRegCLM!$A$2:$A$500)+$A39-1,1)-1)</f>
        <v>-0.21719042159396662</v>
      </c>
      <c r="AX39" s="9">
        <f ca="1">IF(OR(AX12="",AX$28&lt;$A39),"",AX12/OFFSET(ParoRegCLM!$A$2,MATCH(AX$29,ParoRegCLM!$A$2:$A$500)+$A39-1,1)-1)</f>
        <v>-0.2906965485479327</v>
      </c>
      <c r="AY39" s="9">
        <f ca="1">IF(OR(AY12="",AY$28&lt;$A39),"",AY12/OFFSET(ParoRegCLM!$A$2,MATCH(AY$29,ParoRegCLM!$A$2:$A$500)+$A39-1,1)-1)</f>
        <v>-0.31588510612102716</v>
      </c>
      <c r="AZ39" s="9">
        <f ca="1">IF(OR(AZ12="",AZ$28&lt;$A39),"",AZ12/OFFSET(ParoRegCLM!$A$2,MATCH(AZ$29,ParoRegCLM!$A$2:$A$500)+$A39-1,1)-1)</f>
        <v>-0.31482079887445258</v>
      </c>
      <c r="BA39" s="9">
        <f ca="1">IF(OR(BA12="",BA$28&lt;$A39),"",BA12/OFFSET(ParoRegCLM!$A$2,MATCH(BA$29,ParoRegCLM!$A$2:$A$500)+$A39-1,1)-1)</f>
        <v>-0.31594742078204396</v>
      </c>
      <c r="BB39" s="9">
        <f ca="1">IF(OR(BB12="",BB$28&lt;$A39),"",BB12/OFFSET(ParoRegCLM!$A$2,MATCH(BB$29,ParoRegCLM!$A$2:$A$500)+$A39-1,1)-1)</f>
        <v>-0.31825452141882915</v>
      </c>
      <c r="BC39" s="9">
        <f ca="1">IF(OR(BC12="",BC$28&lt;$A39),"",BC12/OFFSET(ParoRegCLM!$A$2,MATCH(BC$29,ParoRegCLM!$A$2:$A$500)+$A39-1,1)-1)</f>
        <v>-0.3239290350364995</v>
      </c>
      <c r="BD39" s="9">
        <f ca="1">IF(OR(BD12="",BD$28&lt;$A39),"",BD12/OFFSET(ParoRegCLM!$A$2,MATCH(BD$29,ParoRegCLM!$A$2:$A$500)+$A39-1,1)-1)</f>
        <v>-0.27242733948401399</v>
      </c>
      <c r="BE39" s="9">
        <f ca="1">IF(OR(BE12="",BE$28&lt;$A39),"",BE12/OFFSET(ParoRegCLM!$A$2,MATCH(BE$29,ParoRegCLM!$A$2:$A$500)+$A39-1,1)-1)</f>
        <v>-0.2260542073526941</v>
      </c>
      <c r="BF39" s="9">
        <f ca="1">IF(OR(BF12="",BF$28&lt;$A39),"",BF12/OFFSET(ParoRegCLM!$A$2,MATCH(BF$29,ParoRegCLM!$A$2:$A$500)+$A39-1,1)-1)</f>
        <v>-0.17331629371406487</v>
      </c>
      <c r="BG39" s="9">
        <f ca="1">IF(OR(BG12="",BG$28&lt;$A39),"",BG12/OFFSET(ParoRegCLM!$A$2,MATCH(BG$29,ParoRegCLM!$A$2:$A$500)+$A39-1,1)-1)</f>
        <v>-0.15598443504171999</v>
      </c>
      <c r="BH39" s="9">
        <f ca="1">IF(OR(BH12="",BH$28&lt;$A39),"",BH12/OFFSET(ParoRegCLM!$A$2,MATCH(BH$29,ParoRegCLM!$A$2:$A$500)+$A39-1,1)-1)</f>
        <v>7.2864721490908391E-3</v>
      </c>
      <c r="BI39" s="9">
        <f ca="1">IF(OR(BI12="",BI$28&lt;$A39),"",BI12/OFFSET(ParoRegCLM!$A$2,MATCH(BI$29,ParoRegCLM!$A$2:$A$500)+$A39-1,1)-1)</f>
        <v>0.10774114837452609</v>
      </c>
      <c r="BJ39" s="9">
        <f ca="1">IF(OR(BJ12="",BJ$28&lt;$A39),"",BJ12/OFFSET(ParoRegCLM!$A$2,MATCH(BJ$29,ParoRegCLM!$A$2:$A$500)+$A39-1,1)-1)</f>
        <v>0.19069891720460341</v>
      </c>
      <c r="BK39" s="9">
        <f ca="1">IF(OR(BK12="",BK$28&lt;$A39),"",BK12/OFFSET(ParoRegCLM!$A$2,MATCH(BK$29,ParoRegCLM!$A$2:$A$500)+$A39-1,1)-1)</f>
        <v>0.11413346220235909</v>
      </c>
      <c r="BL39" s="9">
        <f ca="1">IF(OR(BL12="",BL$28&lt;$A39),"",BL12/OFFSET(ParoRegCLM!$A$2,MATCH(BL$29,ParoRegCLM!$A$2:$A$500)+$A39-1,1)-1)</f>
        <v>0.2260182937089561</v>
      </c>
      <c r="BM39" s="9">
        <f ca="1">IF(OR(BM12="",BM$28&lt;$A39),"",BM12/OFFSET(ParoRegCLM!$A$2,MATCH(BM$29,ParoRegCLM!$A$2:$A$500)+$A39-1,1)-1)</f>
        <v>0.24905234571229773</v>
      </c>
      <c r="BN39" s="9">
        <f ca="1">IF(OR(BN12="",BN$28&lt;$A39),"",BN12/OFFSET(ParoRegCLM!$A$2,MATCH(BN$29,ParoRegCLM!$A$2:$A$500)+$A39-1,1)-1)</f>
        <v>0.2426767869074109</v>
      </c>
      <c r="BO39" s="9">
        <f ca="1">IF(OR(BO12="",BO$28&lt;$A39),"",BO12/OFFSET(ParoRegCLM!$A$2,MATCH(BO$29,ParoRegCLM!$A$2:$A$500)+$A39-1,1)-1)</f>
        <v>0.23099885250406649</v>
      </c>
      <c r="BP39" s="9">
        <f ca="1">IF(OR(BP12="",BP$28&lt;$A39),"",BP12/OFFSET(ParoRegCLM!$A$2,MATCH(BP$29,ParoRegCLM!$A$2:$A$500)+$A39-1,1)-1)</f>
        <v>0.18426007309182846</v>
      </c>
      <c r="BQ39" s="9">
        <f ca="1">IF(OR(BQ12="",BQ$28&lt;$A39),"",BQ12/OFFSET(ParoRegCLM!$A$2,MATCH(BQ$29,ParoRegCLM!$A$2:$A$500)+$A39-1,1)-1)</f>
        <v>4.0195060999196564E-2</v>
      </c>
      <c r="BR39" s="9">
        <f ca="1">IF(OR(BR12="",BR$28&lt;$A39),"",BR12/OFFSET(ParoRegCLM!$A$2,MATCH(BR$29,ParoRegCLM!$A$2:$A$500)+$A39-1,1)-1)</f>
        <v>3.2794188055633056E-2</v>
      </c>
      <c r="BS39" s="9">
        <f ca="1">IF(OR(BS12="",BS$28&lt;$A39),"",BS12/OFFSET(ParoRegCLM!$A$2,MATCH(BS$29,ParoRegCLM!$A$2:$A$500)+$A39-1,1)-1)</f>
        <v>-1.7370800906280848E-2</v>
      </c>
      <c r="BT39" s="9">
        <f ca="1">IF(OR(BT12="",BT$28&lt;$A39),"",BT12/OFFSET(ParoRegCLM!$A$2,MATCH(BT$29,ParoRegCLM!$A$2:$A$500)+$A39-1,1)-1)</f>
        <v>0.10264006764960332</v>
      </c>
      <c r="BU39" s="9">
        <f ca="1">IF(OR(BU12="",BU$28&lt;$A39),"",BU12/OFFSET(ParoRegCLM!$A$2,MATCH(BU$29,ParoRegCLM!$A$2:$A$500)+$A39-1,1)-1)</f>
        <v>5.4505961060286712E-2</v>
      </c>
      <c r="BV39" s="9">
        <f ca="1">IF(OR(BV12="",BV$28&lt;$A39),"",BV12/OFFSET(ParoRegCLM!$A$2,MATCH(BV$29,ParoRegCLM!$A$2:$A$500)+$A39-1,1)-1)</f>
        <v>4.6320423802141519E-2</v>
      </c>
      <c r="BW39" s="9">
        <f ca="1">IF(OR(BW12="",BW$28&lt;$A39),"",BW12/OFFSET(ParoRegCLM!$A$2,MATCH(BW$29,ParoRegCLM!$A$2:$A$500)+$A39-1,1)-1)</f>
        <v>5.6076458030523302E-2</v>
      </c>
      <c r="BX39" s="9">
        <f ca="1">IF(OR(BX12="",BX$28&lt;$A39),"",BX12/OFFSET(ParoRegCLM!$A$2,MATCH(BX$29,ParoRegCLM!$A$2:$A$500)+$A39-1,1)-1)</f>
        <v>7.9652724749574633E-2</v>
      </c>
      <c r="BY39" s="9">
        <f ca="1">IF(OR(BY12="",BY$28&lt;$A39),"",BY12/OFFSET(ParoRegCLM!$A$2,MATCH(BY$29,ParoRegCLM!$A$2:$A$500)+$A39-1,1)-1)</f>
        <v>8.8868260476538063E-2</v>
      </c>
      <c r="BZ39" s="9">
        <f ca="1">IF(OR(BZ12="",BZ$28&lt;$A39),"",BZ12/OFFSET(ParoRegCLM!$A$2,MATCH(BZ$29,ParoRegCLM!$A$2:$A$500)+$A39-1,1)-1)</f>
        <v>6.7564096232748394E-2</v>
      </c>
      <c r="CA39" s="9">
        <f ca="1">IF(OR(CA12="",CA$28&lt;$A39),"",CA12/OFFSET(ParoRegCLM!$A$2,MATCH(CA$29,ParoRegCLM!$A$2:$A$500)+$A39-1,1)-1)</f>
        <v>5.9130292270346718E-2</v>
      </c>
      <c r="CB39" s="9">
        <f ca="1">IF(OR(CB12="",CB$28&lt;$A39),"",CB12/OFFSET(ParoRegCLM!$A$2,MATCH(CB$29,ParoRegCLM!$A$2:$A$500)+$A39-1,1)-1)</f>
        <v>2.0391440864848231E-2</v>
      </c>
      <c r="CC39" s="9">
        <f ca="1">IF(OR(CC12="",CC$28&lt;$A39),"",CC12/OFFSET(ParoRegCLM!$A$2,MATCH(CC$29,ParoRegCLM!$A$2:$A$500)+$A39-1,1)-1)</f>
        <v>7.6928084217868786E-3</v>
      </c>
      <c r="CD39" s="9">
        <f ca="1">IF(OR(CD12="",CD$28&lt;$A39),"",CD12/OFFSET(ParoRegCLM!$A$2,MATCH(CD$29,ParoRegCLM!$A$2:$A$500)+$A39-1,1)-1)</f>
        <v>2.2122040931776388E-2</v>
      </c>
      <c r="CE39" s="9">
        <f ca="1">IF(OR(CE12="",CE$28&lt;$A39),"",CE12/OFFSET(ParoRegCLM!$A$2,MATCH(CE$29,ParoRegCLM!$A$2:$A$500)+$A39-1,1)-1)</f>
        <v>-4.6862073297387008E-2</v>
      </c>
      <c r="CF39" s="9">
        <f ca="1">IF(OR(CF12="",CF$28&lt;$A39),"",CF12/OFFSET(ParoRegCLM!$A$2,MATCH(CF$29,ParoRegCLM!$A$2:$A$500)+$A39-1,1)-1)</f>
        <v>1.169947434928309E-2</v>
      </c>
      <c r="CG39" s="9">
        <f ca="1">IF(OR(CG12="",CG$28&lt;$A39),"",CG12/OFFSET(ParoRegCLM!$A$2,MATCH(CG$29,ParoRegCLM!$A$2:$A$500)+$A39-1,1)-1)</f>
        <v>8.4606679982668354E-3</v>
      </c>
      <c r="CH39" s="9">
        <f ca="1">IF(OR(CH12="",CH$28&lt;$A39),"",CH12/OFFSET(ParoRegCLM!$A$2,MATCH(CH$29,ParoRegCLM!$A$2:$A$500)+$A39-1,1)-1)</f>
        <v>-4.5280036569924964E-2</v>
      </c>
      <c r="CI39" s="9">
        <f ca="1">IF(OR(CI12="",CI$28&lt;$A39),"",CI12/OFFSET(ParoRegCLM!$A$2,MATCH(CI$29,ParoRegCLM!$A$2:$A$500)+$A39-1,1)-1)</f>
        <v>-1.4261114661141439E-2</v>
      </c>
      <c r="CJ39" s="9">
        <f ca="1">IF(OR(CJ12="",CJ$28&lt;$A39),"",CJ12/OFFSET(ParoRegCLM!$A$2,MATCH(CJ$29,ParoRegCLM!$A$2:$A$500)+$A39-1,1)-1)</f>
        <v>-1.6838148904277261E-2</v>
      </c>
      <c r="CK39" s="9">
        <f ca="1">IF(OR(CK12="",CK$28&lt;$A39),"",CK12/OFFSET(ParoRegCLM!$A$2,MATCH(CK$29,ParoRegCLM!$A$2:$A$500)+$A39-1,1)-1)</f>
        <v>-4.7307466792112729E-2</v>
      </c>
      <c r="CL39" s="9">
        <f ca="1">IF(OR(CL12="",CL$28&lt;$A39),"",CL12/OFFSET(ParoRegCLM!$A$2,MATCH(CL$29,ParoRegCLM!$A$2:$A$500)+$A39-1,1)-1)</f>
        <v>-7.1408993525383546E-2</v>
      </c>
      <c r="CM39" s="9">
        <f ca="1">IF(OR(CM12="",CM$28&lt;$A39),"",CM12/OFFSET(ParoRegCLM!$A$2,MATCH(CM$29,ParoRegCLM!$A$2:$A$500)+$A39-1,1)-1)</f>
        <v>-4.5935040005666061E-2</v>
      </c>
      <c r="CN39" s="9">
        <f ca="1">IF(OR(CN12="",CN$28&lt;$A39),"",CN12/OFFSET(ParoRegCLM!$A$2,MATCH(CN$29,ParoRegCLM!$A$2:$A$500)+$A39-1,1)-1)</f>
        <v>-3.0618157738168339E-2</v>
      </c>
      <c r="CO39" s="9">
        <f ca="1">IF(OR(CO12="",CO$28&lt;$A39),"",CO12/OFFSET(ParoRegCLM!$A$2,MATCH(CO$29,ParoRegCLM!$A$2:$A$500)+$A39-1,1)-1)</f>
        <v>-2.0191549420302879E-2</v>
      </c>
      <c r="CP39" s="9">
        <f ca="1">IF(OR(CP12="",CP$28&lt;$A39),"",CP12/OFFSET(ParoRegCLM!$A$2,MATCH(CP$29,ParoRegCLM!$A$2:$A$500)+$A39-1,1)-1)</f>
        <v>-7.263087503275889E-2</v>
      </c>
      <c r="CQ39" s="9">
        <f ca="1">IF(OR(CQ12="",CQ$28&lt;$A39),"",CQ12/OFFSET(ParoRegCLM!$A$2,MATCH(CQ$29,ParoRegCLM!$A$2:$A$500)+$A39-1,1)-1)</f>
        <v>-7.8347824644634745E-2</v>
      </c>
      <c r="CR39" s="9">
        <f ca="1">IF(OR(CR12="",CR$28&lt;$A39),"",CR12/OFFSET(ParoRegCLM!$A$2,MATCH(CR$29,ParoRegCLM!$A$2:$A$500)+$A39-1,1)-1)</f>
        <v>-2.058037866888851E-2</v>
      </c>
      <c r="CS39" s="9">
        <f ca="1">IF(OR(CS12="",CS$28&lt;$A39),"",CS12/OFFSET(ParoRegCLM!$A$2,MATCH(CS$29,ParoRegCLM!$A$2:$A$500)+$A39-1,1)-1)</f>
        <v>-1.2711474499613851E-2</v>
      </c>
      <c r="CT39" s="9">
        <f ca="1">IF(OR(CT12="",CT$28&lt;$A39),"",CT12/OFFSET(ParoRegCLM!$A$2,MATCH(CT$29,ParoRegCLM!$A$2:$A$500)+$A39-1,1)-1)</f>
        <v>-7.3157460232735394E-2</v>
      </c>
      <c r="CU39" s="9">
        <f ca="1">IF(OR(CU12="",CU$28&lt;$A39),"",CU12/OFFSET(ParoRegCLM!$A$2,MATCH(CU$29,ParoRegCLM!$A$2:$A$500)+$A39-1,1)-1)</f>
        <v>-3.9335224848308203E-2</v>
      </c>
      <c r="CV39" s="9">
        <f ca="1">IF(OR(CV12="",CV$28&lt;$A39),"",CV12/OFFSET(ParoRegCLM!$A$2,MATCH(CV$29,ParoRegCLM!$A$2:$A$500)+$A39-1,1)-1)</f>
        <v>-8.0734239631030658E-4</v>
      </c>
      <c r="CW39" s="9">
        <f ca="1">IF(OR(CW12="",CW$28&lt;$A39),"",CW12/OFFSET(ParoRegCLM!$A$2,MATCH(CW$29,ParoRegCLM!$A$2:$A$500)+$A39-1,1)-1)</f>
        <v>1.7177555786289433E-2</v>
      </c>
      <c r="CX39" s="9">
        <f ca="1">IF(OR(CX12="",CX$28&lt;$A39),"",CX12/OFFSET(ParoRegCLM!$A$2,MATCH(CX$29,ParoRegCLM!$A$2:$A$500)+$A39-1,1)-1)</f>
        <v>4.9614141044542315E-2</v>
      </c>
      <c r="CY39" s="9">
        <f ca="1">IF(OR(CY12="",CY$28&lt;$A39),"",CY12/OFFSET(ParoRegCLM!$A$2,MATCH(CY$29,ParoRegCLM!$A$2:$A$500)+$A39-1,1)-1)</f>
        <v>6.0350764660386469E-2</v>
      </c>
      <c r="CZ39" s="9">
        <f ca="1">IF(OR(CZ12="",CZ$28&lt;$A39),"",CZ12/OFFSET(ParoRegCLM!$A$2,MATCH(CZ$29,ParoRegCLM!$A$2:$A$500)+$A39-1,1)-1)</f>
        <v>5.1243134962588588E-2</v>
      </c>
      <c r="DA39" s="9">
        <f ca="1">IF(OR(DA12="",DA$28&lt;$A39),"",DA12/OFFSET(ParoRegCLM!$A$2,MATCH(DA$29,ParoRegCLM!$A$2:$A$500)+$A39-1,1)-1)</f>
        <v>0.12965075499555856</v>
      </c>
      <c r="DB39" s="9">
        <f ca="1">IF(OR(DB12="",DB$28&lt;$A39),"",DB12/OFFSET(ParoRegCLM!$A$2,MATCH(DB$29,ParoRegCLM!$A$2:$A$500)+$A39-1,1)-1)</f>
        <v>0.12545852831213655</v>
      </c>
      <c r="DC39" s="9">
        <f ca="1">IF(OR(DC12="",DC$28&lt;$A39),"",DC12/OFFSET(ParoRegCLM!$A$2,MATCH(DC$29,ParoRegCLM!$A$2:$A$500)+$A39-1,1)-1)</f>
        <v>4.0025352183926888E-2</v>
      </c>
      <c r="DD39" s="9">
        <f ca="1">IF(OR(DD12="",DD$28&lt;$A39),"",DD12/OFFSET(ParoRegCLM!$A$2,MATCH(DD$29,ParoRegCLM!$A$2:$A$500)+$A39-1,1)-1)</f>
        <v>0.10565142238696956</v>
      </c>
      <c r="DE39" s="9">
        <f ca="1">IF(OR(DE12="",DE$28&lt;$A39),"",DE12/OFFSET(ParoRegCLM!$A$2,MATCH(DE$29,ParoRegCLM!$A$2:$A$500)+$A39-1,1)-1)</f>
        <v>0.17363138100028119</v>
      </c>
      <c r="DF39" s="9">
        <f ca="1">IF(OR(DF12="",DF$28&lt;$A39),"",DF12/OFFSET(ParoRegCLM!$A$2,MATCH(DF$29,ParoRegCLM!$A$2:$A$500)+$A39-1,1)-1)</f>
        <v>9.8618032616195173E-2</v>
      </c>
      <c r="DG39" s="9">
        <f ca="1">IF(OR(DG12="",DG$28&lt;$A39),"",DG12/OFFSET(ParoRegCLM!$A$2,MATCH(DG$29,ParoRegCLM!$A$2:$A$500)+$A39-1,1)-1)</f>
        <v>0.10886034970086711</v>
      </c>
      <c r="DH39" s="9">
        <f ca="1">IF(OR(DH12="",DH$28&lt;$A39),"",DH12/OFFSET(ParoRegCLM!$A$2,MATCH(DH$29,ParoRegCLM!$A$2:$A$500)+$A39-1,1)-1)</f>
        <v>8.318167260293774E-2</v>
      </c>
      <c r="DI39" s="9">
        <f ca="1">IF(OR(DI12="",DI$28&lt;$A39),"",DI12/OFFSET(ParoRegCLM!$A$2,MATCH(DI$29,ParoRegCLM!$A$2:$A$500)+$A39-1,1)-1)</f>
        <v>9.8223823192694404E-2</v>
      </c>
      <c r="DJ39" s="9">
        <f ca="1">IF(OR(DJ12="",DJ$28&lt;$A39),"",DJ12/OFFSET(ParoRegCLM!$A$2,MATCH(DJ$29,ParoRegCLM!$A$2:$A$500)+$A39-1,1)-1)</f>
        <v>5.8219595675659708E-2</v>
      </c>
      <c r="DK39" s="9">
        <f ca="1">IF(OR(DK12="",DK$28&lt;$A39),"",DK12/OFFSET(ParoRegCLM!$A$2,MATCH(DK$29,ParoRegCLM!$A$2:$A$500)+$A39-1,1)-1)</f>
        <v>4.963563647688729E-2</v>
      </c>
      <c r="DL39" s="9">
        <f ca="1">IF(OR(DL12="",DL$28&lt;$A39),"",DL12/OFFSET(ParoRegCLM!$A$2,MATCH(DL$29,ParoRegCLM!$A$2:$A$500)+$A39-1,1)-1)</f>
        <v>4.4913732100122061E-2</v>
      </c>
      <c r="DM39" s="9">
        <f ca="1">IF(OR(DM12="",DM$28&lt;$A39),"",DM12/OFFSET(ParoRegCLM!$A$2,MATCH(DM$29,ParoRegCLM!$A$2:$A$500)+$A39-1,1)-1)</f>
        <v>4.0221599629122196E-2</v>
      </c>
      <c r="DN39" s="9">
        <f ca="1">IF(OR(DN12="",DN$28&lt;$A39),"",DN12/OFFSET(ParoRegCLM!$A$2,MATCH(DN$29,ParoRegCLM!$A$2:$A$500)+$A39-1,1)-1)</f>
        <v>5.7604931497816425E-2</v>
      </c>
      <c r="DO39" s="9">
        <f ca="1">IF(OR(DO12="",DO$28&lt;$A39),"",DO12/OFFSET(ParoRegCLM!$A$2,MATCH(DO$29,ParoRegCLM!$A$2:$A$500)+$A39-1,1)-1)</f>
        <v>-2.5245639401222708E-2</v>
      </c>
      <c r="DP39" s="9">
        <f ca="1">IF(OR(DP12="",DP$28&lt;$A39),"",DP12/OFFSET(ParoRegCLM!$A$2,MATCH(DP$29,ParoRegCLM!$A$2:$A$500)+$A39-1,1)-1)</f>
        <v>6.3678593713667242E-2</v>
      </c>
      <c r="DQ39" s="9">
        <f ca="1">IF(OR(DQ12="",DQ$28&lt;$A39),"",DQ12/OFFSET(ParoRegCLM!$A$2,MATCH(DQ$29,ParoRegCLM!$A$2:$A$500)+$A39-1,1)-1)</f>
        <v>0.1075643013155243</v>
      </c>
      <c r="DR39" s="9">
        <f ca="1">IF(OR(DR12="",DR$28&lt;$A39),"",DR12/OFFSET(ParoRegCLM!$A$2,MATCH(DR$29,ParoRegCLM!$A$2:$A$500)+$A39-1,1)-1)</f>
        <v>-1.6329553705340061E-2</v>
      </c>
      <c r="DS39" s="9">
        <f ca="1">IF(OR(DS12="",DS$28&lt;$A39),"",DS12/OFFSET(ParoRegCLM!$A$2,MATCH(DS$29,ParoRegCLM!$A$2:$A$500)+$A39-1,1)-1)</f>
        <v>-7.9772662307255882E-3</v>
      </c>
      <c r="DT39" s="9">
        <f ca="1">IF(OR(DT12="",DT$28&lt;$A39),"",DT12/OFFSET(ParoRegCLM!$A$2,MATCH(DT$29,ParoRegCLM!$A$2:$A$500)+$A39-1,1)-1)</f>
        <v>2.4198247863702615E-3</v>
      </c>
      <c r="DU39" s="9">
        <f ca="1">IF(OR(DU12="",DU$28&lt;$A39),"",DU12/OFFSET(ParoRegCLM!$A$2,MATCH(DU$29,ParoRegCLM!$A$2:$A$500)+$A39-1,1)-1)</f>
        <v>1.0980254593192074E-2</v>
      </c>
      <c r="DV39" s="9">
        <f ca="1">IF(OR(DV12="",DV$28&lt;$A39),"",DV12/OFFSET(ParoRegCLM!$A$2,MATCH(DV$29,ParoRegCLM!$A$2:$A$500)+$A39-1,1)-1)</f>
        <v>1.8324592655745153E-3</v>
      </c>
      <c r="DW39" s="9">
        <f ca="1">IF(OR(DW12="",DW$28&lt;$A39),"",DW12/OFFSET(ParoRegCLM!$A$2,MATCH(DW$29,ParoRegCLM!$A$2:$A$500)+$A39-1,1)-1)</f>
        <v>-1.5625341586469887E-2</v>
      </c>
      <c r="DX39" s="9">
        <f ca="1">IF(OR(DX12="",DX$28&lt;$A39),"",DX12/OFFSET(ParoRegCLM!$A$2,MATCH(DX$29,ParoRegCLM!$A$2:$A$500)+$A39-1,1)-1)</f>
        <v>3.7196458405335031E-2</v>
      </c>
      <c r="DY39" s="9">
        <f ca="1">IF(OR(DY12="",DY$28&lt;$A39),"",DY12/OFFSET(ParoRegCLM!$A$2,MATCH(DY$29,ParoRegCLM!$A$2:$A$500)+$A39-1,1)-1)</f>
        <v>6.2892430043179681E-2</v>
      </c>
      <c r="DZ39" s="9">
        <f ca="1">IF(OR(DZ12="",DZ$28&lt;$A39),"",DZ12/OFFSET(ParoRegCLM!$A$2,MATCH(DZ$29,ParoRegCLM!$A$2:$A$500)+$A39-1,1)-1)</f>
        <v>3.4391470824508774E-2</v>
      </c>
      <c r="EA39" s="9">
        <f ca="1">IF(OR(EA12="",EA$28&lt;$A39),"",EA12/OFFSET(ParoRegCLM!$A$2,MATCH(EA$29,ParoRegCLM!$A$2:$A$500)+$A39-1,1)-1)</f>
        <v>9.4650539921155019E-3</v>
      </c>
      <c r="EB39" s="9">
        <f ca="1">IF(OR(EB12="",EB$28&lt;$A39),"",EB12/OFFSET(ParoRegCLM!$A$2,MATCH(EB$29,ParoRegCLM!$A$2:$A$500)+$A39-1,1)-1)</f>
        <v>3.5259143939686988E-2</v>
      </c>
      <c r="EC39" s="9">
        <f ca="1">IF(OR(EC12="",EC$28&lt;$A39),"",EC12/OFFSET(ParoRegCLM!$A$2,MATCH(EC$29,ParoRegCLM!$A$2:$A$500)+$A39-1,1)-1)</f>
        <v>-1.4339434461764222E-2</v>
      </c>
      <c r="ED39" s="9">
        <f ca="1">IF(OR(ED12="",ED$28&lt;$A39),"",ED12/OFFSET(ParoRegCLM!$A$2,MATCH(ED$29,ParoRegCLM!$A$2:$A$500)+$A39-1,1)-1)</f>
        <v>-1.1413292053561563E-2</v>
      </c>
      <c r="EE39" s="9">
        <f ca="1">IF(OR(EE12="",EE$28&lt;$A39),"",EE12/OFFSET(ParoRegCLM!$A$2,MATCH(EE$29,ParoRegCLM!$A$2:$A$500)+$A39-1,1)-1)</f>
        <v>4.7073620783630865E-3</v>
      </c>
      <c r="EF39" s="9">
        <f ca="1">IF(OR(EF12="",EF$28&lt;$A39),"",EF12/OFFSET(ParoRegCLM!$A$2,MATCH(EF$29,ParoRegCLM!$A$2:$A$500)+$A39-1,1)-1)</f>
        <v>-2.0341750170593587E-2</v>
      </c>
      <c r="EG39" s="9">
        <f ca="1">IF(OR(EG12="",EG$28&lt;$A39),"",EG12/OFFSET(ParoRegCLM!$A$2,MATCH(EG$29,ParoRegCLM!$A$2:$A$500)+$A39-1,1)-1)</f>
        <v>-3.1778859193564712E-2</v>
      </c>
      <c r="EH39" s="9">
        <f ca="1">IF(OR(EH12="",EH$28&lt;$A39),"",EH12/OFFSET(ParoRegCLM!$A$2,MATCH(EH$29,ParoRegCLM!$A$2:$A$500)+$A39-1,1)-1)</f>
        <v>-9.4608352463566803E-2</v>
      </c>
      <c r="EI39" s="9">
        <f ca="1">IF(OR(EI12="",EI$28&lt;$A39),"",EI12/OFFSET(ParoRegCLM!$A$2,MATCH(EI$29,ParoRegCLM!$A$2:$A$500)+$A39-1,1)-1)</f>
        <v>-7.7266420833088434E-2</v>
      </c>
      <c r="EJ39" s="9">
        <f ca="1">IF(OR(EJ12="",EJ$28&lt;$A39),"",EJ12/OFFSET(ParoRegCLM!$A$2,MATCH(EJ$29,ParoRegCLM!$A$2:$A$500)+$A39-1,1)-1)</f>
        <v>-3.6215916379542468E-2</v>
      </c>
      <c r="EK39" s="9">
        <f ca="1">IF(OR(EK12="",EK$28&lt;$A39),"",EK12/OFFSET(ParoRegCLM!$A$2,MATCH(EK$29,ParoRegCLM!$A$2:$A$500)+$A39-1,1)-1)</f>
        <v>3.2737114548653912E-2</v>
      </c>
      <c r="EL39" s="9">
        <f ca="1">IF(OR(EL12="",EL$28&lt;$A39),"",EL12/OFFSET(ParoRegCLM!$A$2,MATCH(EL$29,ParoRegCLM!$A$2:$A$500)+$A39-1,1)-1)</f>
        <v>6.2249980313012099E-2</v>
      </c>
      <c r="EM39" s="9">
        <f ca="1">IF(OR(EM12="",EM$28&lt;$A39),"",EM12/OFFSET(ParoRegCLM!$A$2,MATCH(EM$29,ParoRegCLM!$A$2:$A$500)+$A39-1,1)-1)</f>
        <v>4.9646468566744817E-2</v>
      </c>
      <c r="EN39" s="9">
        <f ca="1">IF(OR(EN12="",EN$28&lt;$A39),"",EN12/OFFSET(ParoRegCLM!$A$2,MATCH(EN$29,ParoRegCLM!$A$2:$A$500)+$A39-1,1)-1)</f>
        <v>9.8205374356325592E-2</v>
      </c>
      <c r="EO39" s="9">
        <f ca="1">IF(OR(EO12="",EO$28&lt;$A39),"",EO12/OFFSET(ParoRegCLM!$A$2,MATCH(EO$29,ParoRegCLM!$A$2:$A$500)+$A39-1,1)-1)</f>
        <v>5.0759290778361388E-2</v>
      </c>
      <c r="EP39" s="9">
        <f ca="1">IF(OR(EP12="",EP$28&lt;$A39),"",EP12/OFFSET(ParoRegCLM!$A$2,MATCH(EP$29,ParoRegCLM!$A$2:$A$500)+$A39-1,1)-1)</f>
        <v>4.6451365177636372E-2</v>
      </c>
      <c r="EQ39" s="9">
        <f ca="1">IF(OR(EQ12="",EQ$28&lt;$A39),"",EQ12/OFFSET(ParoRegCLM!$A$2,MATCH(EQ$29,ParoRegCLM!$A$2:$A$500)+$A39-1,1)-1)</f>
        <v>2.4208596469433186E-2</v>
      </c>
      <c r="ER39" s="9">
        <f ca="1">IF(OR(ER12="",ER$28&lt;$A39),"",ER12/OFFSET(ParoRegCLM!$A$2,MATCH(ER$29,ParoRegCLM!$A$2:$A$500)+$A39-1,1)-1)</f>
        <v>4.1230878092250345E-2</v>
      </c>
      <c r="ES39" s="9">
        <f ca="1">IF(OR(ES12="",ES$28&lt;$A39),"",ES12/OFFSET(ParoRegCLM!$A$2,MATCH(ES$29,ParoRegCLM!$A$2:$A$500)+$A39-1,1)-1)</f>
        <v>9.1113345357267672E-3</v>
      </c>
      <c r="ET39" s="9">
        <f ca="1">IF(OR(ET12="",ET$28&lt;$A39),"",ET12/OFFSET(ParoRegCLM!$A$2,MATCH(ET$29,ParoRegCLM!$A$2:$A$500)+$A39-1,1)-1)</f>
        <v>-9.4189373000633791E-3</v>
      </c>
      <c r="EU39" s="9">
        <f ca="1">IF(OR(EU12="",EU$28&lt;$A39),"",EU12/OFFSET(ParoRegCLM!$A$2,MATCH(EU$29,ParoRegCLM!$A$2:$A$500)+$A39-1,1)-1)</f>
        <v>-6.1322008434779085E-2</v>
      </c>
      <c r="EV39" s="9">
        <f ca="1">IF(OR(EV12="",EV$28&lt;$A39),"",EV12/OFFSET(ParoRegCLM!$A$2,MATCH(EV$29,ParoRegCLM!$A$2:$A$500)+$A39-1,1)-1)</f>
        <v>-8.5817864924192078E-2</v>
      </c>
      <c r="EW39" s="9">
        <f ca="1">IF(OR(EW12="",EW$28&lt;$A39),"",EW12/OFFSET(ParoRegCLM!$A$2,MATCH(EW$29,ParoRegCLM!$A$2:$A$500)+$A39-1,1)-1)</f>
        <v>-5.5413002202734485E-2</v>
      </c>
      <c r="EX39" s="9">
        <f ca="1">IF(OR(EX12="",EX$28&lt;$A39),"",EX12/OFFSET(ParoRegCLM!$A$2,MATCH(EX$29,ParoRegCLM!$A$2:$A$500)+$A39-1,1)-1)</f>
        <v>-2.3520269499048507E-2</v>
      </c>
      <c r="EY39" s="9">
        <f ca="1">IF(OR(EY12="",EY$28&lt;$A39),"",EY12/OFFSET(ParoRegCLM!$A$2,MATCH(EY$29,ParoRegCLM!$A$2:$A$500)+$A39-1,1)-1)</f>
        <v>-5.5795705915120619E-2</v>
      </c>
      <c r="EZ39" s="9">
        <f ca="1">IF(OR(EZ12="",EZ$28&lt;$A39),"",EZ12/OFFSET(ParoRegCLM!$A$2,MATCH(EZ$29,ParoRegCLM!$A$2:$A$500)+$A39-1,1)-1)</f>
        <v>-1.2260507989923508E-2</v>
      </c>
      <c r="FA39" s="9">
        <f ca="1">IF(OR(FA12="",FA$28&lt;$A39),"",FA12/OFFSET(ParoRegCLM!$A$2,MATCH(FA$29,ParoRegCLM!$A$2:$A$500)+$A39-1,1)-1)</f>
        <v>1.6286455429257218E-2</v>
      </c>
      <c r="FB39" s="9">
        <f ca="1">IF(OR(FB12="",FB$28&lt;$A39),"",FB12/OFFSET(ParoRegCLM!$A$2,MATCH(FB$29,ParoRegCLM!$A$2:$A$500)+$A39-1,1)-1)</f>
        <v>1.5334946461319721E-2</v>
      </c>
      <c r="FC39" s="9">
        <f ca="1">IF(OR(FC12="",FC$28&lt;$A39),"",FC12/OFFSET(ParoRegCLM!$A$2,MATCH(FC$29,ParoRegCLM!$A$2:$A$500)+$A39-1,1)-1)</f>
        <v>1.0040534695088255E-2</v>
      </c>
      <c r="FD39" s="9">
        <f ca="1">IF(OR(FD12="",FD$28&lt;$A39),"",FD12/OFFSET(ParoRegCLM!$A$2,MATCH(FD$29,ParoRegCLM!$A$2:$A$500)+$A39-1,1)-1)</f>
        <v>-8.6063032088083968E-3</v>
      </c>
      <c r="FE39" s="9">
        <f ca="1">IF(OR(FE12="",FE$28&lt;$A39),"",FE12/OFFSET(ParoRegCLM!$A$2,MATCH(FE$29,ParoRegCLM!$A$2:$A$500)+$A39-1,1)-1)</f>
        <v>-2.4921058004379493E-2</v>
      </c>
      <c r="FF39" s="9">
        <f ca="1">IF(OR(FF12="",FF$28&lt;$A39),"",FF12/OFFSET(ParoRegCLM!$A$2,MATCH(FF$29,ParoRegCLM!$A$2:$A$500)+$A39-1,1)-1)</f>
        <v>4.0074752105934808E-2</v>
      </c>
      <c r="FG39" s="9">
        <f ca="1">IF(OR(FG12="",FG$28&lt;$A39),"",FG12/OFFSET(ParoRegCLM!$A$2,MATCH(FG$29,ParoRegCLM!$A$2:$A$500)+$A39-1,1)-1)</f>
        <v>2.7878132899863628E-2</v>
      </c>
      <c r="FH39" s="9">
        <f ca="1">IF(OR(FH12="",FH$28&lt;$A39),"",FH12/OFFSET(ParoRegCLM!$A$2,MATCH(FH$29,ParoRegCLM!$A$2:$A$500)+$A39-1,1)-1)</f>
        <v>-2.0565455472335015E-2</v>
      </c>
      <c r="FI39" s="9">
        <f ca="1">IF(OR(FI12="",FI$28&lt;$A39),"",FI12/OFFSET(ParoRegCLM!$A$2,MATCH(FI$29,ParoRegCLM!$A$2:$A$500)+$A39-1,1)-1)</f>
        <v>-1.3499741906756513E-2</v>
      </c>
      <c r="FJ39" s="9">
        <f ca="1">IF(OR(FJ12="",FJ$28&lt;$A39),"",FJ12/OFFSET(ParoRegCLM!$A$2,MATCH(FJ$29,ParoRegCLM!$A$2:$A$500)+$A39-1,1)-1)</f>
        <v>-5.2091108162554134E-2</v>
      </c>
      <c r="FK39" s="9">
        <f ca="1">IF(OR(FK12="",FK$28&lt;$A39),"",FK12/OFFSET(ParoRegCLM!$A$2,MATCH(FK$29,ParoRegCLM!$A$2:$A$500)+$A39-1,1)-1)</f>
        <v>2.5013000162769305E-2</v>
      </c>
      <c r="FL39" s="9">
        <f ca="1">IF(OR(FL12="",FL$28&lt;$A39),"",FL12/OFFSET(ParoRegCLM!$A$2,MATCH(FL$29,ParoRegCLM!$A$2:$A$500)+$A39-1,1)-1)</f>
        <v>-0.10522069561846081</v>
      </c>
      <c r="FM39" s="9">
        <f ca="1">IF(OR(FM12="",FM$28&lt;$A39),"",FM12/OFFSET(ParoRegCLM!$A$2,MATCH(FM$29,ParoRegCLM!$A$2:$A$500)+$A39-1,1)-1)</f>
        <v>-0.13001403983786486</v>
      </c>
      <c r="FN39" s="9">
        <f ca="1">IF(OR(FN12="",FN$28&lt;$A39),"",FN12/OFFSET(ParoRegCLM!$A$2,MATCH(FN$29,ParoRegCLM!$A$2:$A$500)+$A39-1,1)-1)</f>
        <v>-7.3520978194239306E-2</v>
      </c>
      <c r="FO39" s="9">
        <f ca="1">IF(OR(FO12="",FO$28&lt;$A39),"",FO12/OFFSET(ParoRegCLM!$A$2,MATCH(FO$29,ParoRegCLM!$A$2:$A$500)+$A39-1,1)-1)</f>
        <v>1.332601370340547E-2</v>
      </c>
      <c r="FP39" s="9">
        <f ca="1">IF(OR(FP12="",FP$28&lt;$A39),"",FP12/OFFSET(ParoRegCLM!$A$2,MATCH(FP$29,ParoRegCLM!$A$2:$A$500)+$A39-1,1)-1)</f>
        <v>3.1714553572681936E-2</v>
      </c>
      <c r="FQ39" s="9">
        <f ca="1">IF(OR(FQ12="",FQ$28&lt;$A39),"",FQ12/OFFSET(ParoRegCLM!$A$2,MATCH(FQ$29,ParoRegCLM!$A$2:$A$500)+$A39-1,1)-1)</f>
        <v>6.041544949102895E-2</v>
      </c>
      <c r="FR39" s="9">
        <f ca="1">IF(OR(FR12="",FR$28&lt;$A39),"",FR12/OFFSET(ParoRegCLM!$A$2,MATCH(FR$29,ParoRegCLM!$A$2:$A$500)+$A39-1,1)-1)</f>
        <v>9.7172038417227657E-2</v>
      </c>
      <c r="FS39" s="9">
        <f ca="1">IF(OR(FS12="",FS$28&lt;$A39),"",FS12/OFFSET(ParoRegCLM!$A$2,MATCH(FS$29,ParoRegCLM!$A$2:$A$500)+$A39-1,1)-1)</f>
        <v>0.10640266134317833</v>
      </c>
      <c r="FT39" s="9">
        <f ca="1">IF(OR(FT12="",FT$28&lt;$A39),"",FT12/OFFSET(ParoRegCLM!$A$2,MATCH(FT$29,ParoRegCLM!$A$2:$A$500)+$A39-1,1)-1)</f>
        <v>9.6576646469382021E-2</v>
      </c>
      <c r="FU39" s="9">
        <f ca="1">IF(OR(FU12="",FU$28&lt;$A39),"",FU12/OFFSET(ParoRegCLM!$A$2,MATCH(FU$29,ParoRegCLM!$A$2:$A$500)+$A39-1,1)-1)</f>
        <v>5.6945961433428671E-2</v>
      </c>
      <c r="FV39" s="9">
        <f ca="1">IF(OR(FV12="",FV$28&lt;$A39),"",FV12/OFFSET(ParoRegCLM!$A$2,MATCH(FV$29,ParoRegCLM!$A$2:$A$500)+$A39-1,1)-1)</f>
        <v>4.66774239921941E-2</v>
      </c>
      <c r="FW39" s="9">
        <f ca="1">IF(OR(FW12="",FW$28&lt;$A39),"",FW12/OFFSET(ParoRegCLM!$A$2,MATCH(FW$29,ParoRegCLM!$A$2:$A$500)+$A39-1,1)-1)</f>
        <v>2.8134013394425894E-2</v>
      </c>
      <c r="FX39" s="9">
        <f ca="1">IF(OR(FX12="",FX$28&lt;$A39),"",FX12/OFFSET(ParoRegCLM!$A$2,MATCH(FX$29,ParoRegCLM!$A$2:$A$500)+$A39-1,1)-1)</f>
        <v>-2.8512960254591602E-2</v>
      </c>
      <c r="FY39" s="9">
        <f ca="1">IF(OR(FY12="",FY$28&lt;$A39),"",FY12/OFFSET(ParoRegCLM!$A$2,MATCH(FY$29,ParoRegCLM!$A$2:$A$500)+$A39-1,1)-1)</f>
        <v>-0.10617863572878494</v>
      </c>
      <c r="FZ39" s="9">
        <f ca="1">IF(OR(FZ12="",FZ$28&lt;$A39),"",FZ12/OFFSET(ParoRegCLM!$A$2,MATCH(FZ$29,ParoRegCLM!$A$2:$A$500)+$A39-1,1)-1)</f>
        <v>-0.17812324383910982</v>
      </c>
      <c r="GA39" s="9">
        <f ca="1">IF(OR(GA12="",GA$28&lt;$A39),"",GA12/OFFSET(ParoRegCLM!$A$2,MATCH(GA$29,ParoRegCLM!$A$2:$A$500)+$A39-1,1)-1)</f>
        <v>-0.13474899163228782</v>
      </c>
      <c r="GB39" s="9">
        <f ca="1">IF(OR(GB12="",GB$28&lt;$A39),"",GB12/OFFSET(ParoRegCLM!$A$2,MATCH(GB$29,ParoRegCLM!$A$2:$A$500)+$A39-1,1)-1)</f>
        <v>-0.13684811520551354</v>
      </c>
      <c r="GC39" s="9">
        <f ca="1">IF(OR(GC12="",GC$28&lt;$A39),"",GC12/OFFSET(ParoRegCLM!$A$2,MATCH(GC$29,ParoRegCLM!$A$2:$A$500)+$A39-1,1)-1)</f>
        <v>-0.11832627447271671</v>
      </c>
      <c r="GD39" s="9">
        <f ca="1">IF(OR(GD12="",GD$28&lt;$A39),"",GD12/OFFSET(ParoRegCLM!$A$2,MATCH(GD$29,ParoRegCLM!$A$2:$A$500)+$A39-1,1)-1)</f>
        <v>-6.4886492694577913E-2</v>
      </c>
      <c r="GE39" s="9">
        <f ca="1">IF(OR(GE12="",GE$28&lt;$A39),"",GE12/OFFSET(ParoRegCLM!$A$2,MATCH(GE$29,ParoRegCLM!$A$2:$A$500)+$A39-1,1)-1)</f>
        <v>-9.0028748029970962E-2</v>
      </c>
      <c r="GF39" s="9">
        <f ca="1">IF(OR(GF12="",GF$28&lt;$A39),"",GF12/OFFSET(ParoRegCLM!$A$2,MATCH(GF$29,ParoRegCLM!$A$2:$A$500)+$A39-1,1)-1)</f>
        <v>-0.13040230268988728</v>
      </c>
      <c r="GG39" s="9">
        <f ca="1">IF(OR(GG12="",GG$28&lt;$A39),"",GG12/OFFSET(ParoRegCLM!$A$2,MATCH(GG$29,ParoRegCLM!$A$2:$A$500)+$A39-1,1)-1)</f>
        <v>-0.11780626092724922</v>
      </c>
      <c r="GH39" s="9">
        <f ca="1">IF(OR(GH12="",GH$28&lt;$A39),"",GH12/OFFSET(ParoRegCLM!$A$2,MATCH(GH$29,ParoRegCLM!$A$2:$A$500)+$A39-1,1)-1)</f>
        <v>-9.9246890535372501E-2</v>
      </c>
      <c r="GI39" s="9">
        <f ca="1">IF(OR(GI12="",GI$28&lt;$A39),"",GI12/OFFSET(ParoRegCLM!$A$2,MATCH(GI$29,ParoRegCLM!$A$2:$A$500)+$A39-1,1)-1)</f>
        <v>-6.5429208058441546E-2</v>
      </c>
      <c r="GJ39" s="9">
        <f ca="1">IF(OR(GJ12="",GJ$28&lt;$A39),"",GJ12/OFFSET(ParoRegCLM!$A$2,MATCH(GJ$29,ParoRegCLM!$A$2:$A$500)+$A39-1,1)-1)</f>
        <v>-6.7951864090256109E-2</v>
      </c>
      <c r="GK39" s="9">
        <f ca="1">IF(OR(GK12="",GK$28&lt;$A39),"",GK12/OFFSET(ParoRegCLM!$A$2,MATCH(GK$29,ParoRegCLM!$A$2:$A$500)+$A39-1,1)-1)</f>
        <v>-5.2475274796274674E-2</v>
      </c>
      <c r="GL39" s="9">
        <f ca="1">IF(OR(GL12="",GL$28&lt;$A39),"",GL12/OFFSET(ParoRegCLM!$A$2,MATCH(GL$29,ParoRegCLM!$A$2:$A$500)+$A39-1,1)-1)</f>
        <v>-5.3404015594342491E-2</v>
      </c>
      <c r="GM39" s="9">
        <f ca="1">IF(OR(GM12="",GM$28&lt;$A39),"",GM12/OFFSET(ParoRegCLM!$A$2,MATCH(GM$29,ParoRegCLM!$A$2:$A$500)+$A39-1,1)-1)</f>
        <v>-3.5909950155282311E-2</v>
      </c>
      <c r="GN39" s="9">
        <f ca="1">IF(OR(GN12="",GN$28&lt;$A39),"",GN12/OFFSET(ParoRegCLM!$A$2,MATCH(GN$29,ParoRegCLM!$A$2:$A$500)+$A39-1,1)-1)</f>
        <v>-9.9054891431268333E-2</v>
      </c>
      <c r="GO39" s="9">
        <f ca="1">IF(OR(GO12="",GO$28&lt;$A39),"",GO12/OFFSET(ParoRegCLM!$A$2,MATCH(GO$29,ParoRegCLM!$A$2:$A$500)+$A39-1,1)-1)</f>
        <v>5.0762390669531809E-2</v>
      </c>
      <c r="GP39" s="9" t="str">
        <f ca="1">IF(OR(GP12="",GP$28&lt;$A39),"",GP12/OFFSET(ParoRegCLM!$A$2,MATCH(GP$29,ParoRegCLM!$A$2:$A$500)+$A39-1,1)-1)</f>
        <v/>
      </c>
      <c r="GQ39" s="9" t="str">
        <f ca="1">IF(OR(GQ12="",GQ$28&lt;$A39),"",GQ12/OFFSET(ParoRegCLM!$A$2,MATCH(GQ$29,ParoRegCLM!$A$2:$A$500)+$A39-1,1)-1)</f>
        <v/>
      </c>
      <c r="GR39" s="9" t="str">
        <f ca="1">IF(OR(GR12="",GR$28&lt;$A39),"",GR12/OFFSET(ParoRegCLM!$A$2,MATCH(GR$29,ParoRegCLM!$A$2:$A$500)+$A39-1,1)-1)</f>
        <v/>
      </c>
      <c r="GS39" s="9" t="str">
        <f ca="1">IF(OR(GS12="",GS$28&lt;$A39),"",GS12/OFFSET(ParoRegCLM!$A$2,MATCH(GS$29,ParoRegCLM!$A$2:$A$500)+$A39-1,1)-1)</f>
        <v/>
      </c>
      <c r="GT39" s="9" t="str">
        <f ca="1">IF(OR(GT12="",GT$28&lt;$A39),"",GT12/OFFSET(ParoRegCLM!$A$2,MATCH(GT$29,ParoRegCLM!$A$2:$A$500)+$A39-1,1)-1)</f>
        <v/>
      </c>
      <c r="GU39" s="9" t="str">
        <f ca="1">IF(OR(GU12="",GU$28&lt;$A39),"",GU12/OFFSET(ParoRegCLM!$A$2,MATCH(GU$29,ParoRegCLM!$A$2:$A$500)+$A39-1,1)-1)</f>
        <v/>
      </c>
      <c r="GV39" s="9" t="str">
        <f ca="1">IF(OR(GV12="",GV$28&lt;$A39),"",GV12/OFFSET(ParoRegCLM!$A$2,MATCH(GV$29,ParoRegCLM!$A$2:$A$500)+$A39-1,1)-1)</f>
        <v/>
      </c>
      <c r="GW39" s="9" t="str">
        <f ca="1">IF(OR(GW12="",GW$28&lt;$A39),"",GW12/OFFSET(ParoRegCLM!$A$2,MATCH(GW$29,ParoRegCLM!$A$2:$A$500)+$A39-1,1)-1)</f>
        <v/>
      </c>
      <c r="GX39" s="9" t="str">
        <f ca="1">IF(OR(GX12="",GX$28&lt;$A39),"",GX12/OFFSET(ParoRegCLM!$A$2,MATCH(GX$29,ParoRegCLM!$A$2:$A$500)+$A39-1,1)-1)</f>
        <v/>
      </c>
      <c r="GY39" s="9" t="str">
        <f ca="1">IF(OR(GY12="",GY$28&lt;$A39),"",GY12/OFFSET(ParoRegCLM!$A$2,MATCH(GY$29,ParoRegCLM!$A$2:$A$500)+$A39-1,1)-1)</f>
        <v/>
      </c>
      <c r="GZ39" s="9" t="str">
        <f ca="1">IF(OR(GZ12="",GZ$28&lt;$A39),"",GZ12/OFFSET(ParoRegCLM!$A$2,MATCH(GZ$29,ParoRegCLM!$A$2:$A$500)+$A39-1,1)-1)</f>
        <v/>
      </c>
      <c r="HA39" s="9" t="str">
        <f ca="1">IF(OR(HA12="",HA$28&lt;$A39),"",HA12/OFFSET(ParoRegCLM!$A$2,MATCH(HA$29,ParoRegCLM!$A$2:$A$500)+$A39-1,1)-1)</f>
        <v/>
      </c>
      <c r="HB39" s="9" t="str">
        <f ca="1">IF(OR(HB12="",HB$28&lt;$A39),"",HB12/OFFSET(ParoRegCLM!$A$2,MATCH(HB$29,ParoRegCLM!$A$2:$A$500)+$A39-1,1)-1)</f>
        <v/>
      </c>
      <c r="HC39" s="9" t="str">
        <f ca="1">IF(OR(HC12="",HC$28&lt;$A39),"",HC12/OFFSET(ParoRegCLM!$A$2,MATCH(HC$29,ParoRegCLM!$A$2:$A$500)+$A39-1,1)-1)</f>
        <v/>
      </c>
      <c r="HD39" s="9" t="str">
        <f ca="1">IF(OR(HD12="",HD$28&lt;$A39),"",HD12/OFFSET(ParoRegCLM!$A$2,MATCH(HD$29,ParoRegCLM!$A$2:$A$500)+$A39-1,1)-1)</f>
        <v/>
      </c>
      <c r="HE39" s="9" t="str">
        <f ca="1">IF(OR(HE12="",HE$28&lt;$A39),"",HE12/OFFSET(ParoRegCLM!$A$2,MATCH(HE$29,ParoRegCLM!$A$2:$A$500)+$A39-1,1)-1)</f>
        <v/>
      </c>
      <c r="HF39" s="9" t="str">
        <f ca="1">IF(OR(HF12="",HF$28&lt;$A39),"",HF12/OFFSET(ParoRegCLM!$A$2,MATCH(HF$29,ParoRegCLM!$A$2:$A$500)+$A39-1,1)-1)</f>
        <v/>
      </c>
      <c r="HG39" s="9" t="str">
        <f ca="1">IF(OR(HG12="",HG$28&lt;$A39),"",HG12/OFFSET(ParoRegCLM!$A$2,MATCH(HG$29,ParoRegCLM!$A$2:$A$500)+$A39-1,1)-1)</f>
        <v/>
      </c>
      <c r="HH39" s="9" t="str">
        <f ca="1">IF(OR(HH12="",HH$28&lt;$A39),"",HH12/OFFSET(ParoRegCLM!$A$2,MATCH(HH$29,ParoRegCLM!$A$2:$A$500)+$A39-1,1)-1)</f>
        <v/>
      </c>
      <c r="HI39" s="9" t="str">
        <f ca="1">IF(OR(HI12="",HI$28&lt;$A39),"",HI12/OFFSET(ParoRegCLM!$A$2,MATCH(HI$29,ParoRegCLM!$A$2:$A$500)+$A39-1,1)-1)</f>
        <v/>
      </c>
      <c r="HJ39" s="9" t="str">
        <f ca="1">IF(OR(HJ12="",HJ$28&lt;$A39),"",HJ12/OFFSET(ParoRegCLM!$A$2,MATCH(HJ$29,ParoRegCLM!$A$2:$A$500)+$A39-1,1)-1)</f>
        <v/>
      </c>
      <c r="HK39" s="9" t="str">
        <f ca="1">IF(OR(HK12="",HK$28&lt;$A39),"",HK12/OFFSET(ParoRegCLM!$A$2,MATCH(HK$29,ParoRegCLM!$A$2:$A$500)+$A39-1,1)-1)</f>
        <v/>
      </c>
      <c r="HL39" s="9" t="str">
        <f ca="1">IF(OR(HL12="",HL$28&lt;$A39),"",HL12/OFFSET(ParoRegCLM!$A$2,MATCH(HL$29,ParoRegCLM!$A$2:$A$500)+$A39-1,1)-1)</f>
        <v/>
      </c>
      <c r="HM39" s="9" t="str">
        <f ca="1">IF(OR(HM12="",HM$28&lt;$A39),"",HM12/OFFSET(ParoRegCLM!$A$2,MATCH(HM$29,ParoRegCLM!$A$2:$A$500)+$A39-1,1)-1)</f>
        <v/>
      </c>
      <c r="HN39" s="9" t="str">
        <f ca="1">IF(OR(HN12="",HN$28&lt;$A39),"",HN12/OFFSET(ParoRegCLM!$A$2,MATCH(HN$29,ParoRegCLM!$A$2:$A$500)+$A39-1,1)-1)</f>
        <v/>
      </c>
      <c r="HO39" s="9" t="str">
        <f ca="1">IF(OR(HO12="",HO$28&lt;$A39),"",HO12/OFFSET(ParoRegCLM!$A$2,MATCH(HO$29,ParoRegCLM!$A$2:$A$500)+$A39-1,1)-1)</f>
        <v/>
      </c>
      <c r="HP39" s="9" t="str">
        <f ca="1">IF(OR(HP12="",HP$28&lt;$A39),"",HP12/OFFSET(ParoRegCLM!$A$2,MATCH(HP$29,ParoRegCLM!$A$2:$A$500)+$A39-1,1)-1)</f>
        <v/>
      </c>
      <c r="HQ39" s="9" t="str">
        <f ca="1">IF(OR(HQ12="",HQ$28&lt;$A39),"",HQ12/OFFSET(ParoRegCLM!$A$2,MATCH(HQ$29,ParoRegCLM!$A$2:$A$500)+$A39-1,1)-1)</f>
        <v/>
      </c>
      <c r="HR39" s="9" t="str">
        <f ca="1">IF(OR(HR12="",HR$28&lt;$A39),"",HR12/OFFSET(ParoRegCLM!$A$2,MATCH(HR$29,ParoRegCLM!$A$2:$A$500)+$A39-1,1)-1)</f>
        <v/>
      </c>
      <c r="HS39" s="9" t="str">
        <f ca="1">IF(OR(HS12="",HS$28&lt;$A39),"",HS12/OFFSET(ParoRegCLM!$A$2,MATCH(HS$29,ParoRegCLM!$A$2:$A$500)+$A39-1,1)-1)</f>
        <v/>
      </c>
      <c r="HT39" s="9" t="str">
        <f ca="1">IF(OR(HT12="",HT$28&lt;$A39),"",HT12/OFFSET(ParoRegCLM!$A$2,MATCH(HT$29,ParoRegCLM!$A$2:$A$500)+$A39-1,1)-1)</f>
        <v/>
      </c>
      <c r="HU39" s="9" t="str">
        <f ca="1">IF(OR(HU12="",HU$28&lt;$A39),"",HU12/OFFSET(ParoRegCLM!$A$2,MATCH(HU$29,ParoRegCLM!$A$2:$A$500)+$A39-1,1)-1)</f>
        <v/>
      </c>
      <c r="HV39" s="9" t="str">
        <f ca="1">IF(OR(HV12="",HV$28&lt;$A39),"",HV12/OFFSET(ParoRegCLM!$A$2,MATCH(HV$29,ParoRegCLM!$A$2:$A$500)+$A39-1,1)-1)</f>
        <v/>
      </c>
      <c r="HW39" s="9" t="str">
        <f ca="1">IF(OR(HW12="",HW$28&lt;$A39),"",HW12/OFFSET(ParoRegCLM!$A$2,MATCH(HW$29,ParoRegCLM!$A$2:$A$500)+$A39-1,1)-1)</f>
        <v/>
      </c>
      <c r="HX39" s="9" t="str">
        <f ca="1">IF(OR(HX12="",HX$28&lt;$A39),"",HX12/OFFSET(ParoRegCLM!$A$2,MATCH(HX$29,ParoRegCLM!$A$2:$A$500)+$A39-1,1)-1)</f>
        <v/>
      </c>
      <c r="HY39" s="9" t="str">
        <f ca="1">IF(OR(HY12="",HY$28&lt;$A39),"",HY12/OFFSET(ParoRegCLM!$A$2,MATCH(HY$29,ParoRegCLM!$A$2:$A$500)+$A39-1,1)-1)</f>
        <v/>
      </c>
      <c r="HZ39" s="9" t="str">
        <f ca="1">IF(OR(HZ12="",HZ$28&lt;$A39),"",HZ12/OFFSET(ParoRegCLM!$A$2,MATCH(HZ$29,ParoRegCLM!$A$2:$A$500)+$A39-1,1)-1)</f>
        <v/>
      </c>
      <c r="IA39" s="9" t="str">
        <f ca="1">IF(OR(IA12="",IA$28&lt;$A39),"",IA12/OFFSET(ParoRegCLM!$A$2,MATCH(IA$29,ParoRegCLM!$A$2:$A$500)+$A39-1,1)-1)</f>
        <v/>
      </c>
      <c r="IB39" s="9" t="str">
        <f ca="1">IF(OR(IB12="",IB$28&lt;$A39),"",IB12/OFFSET(ParoRegCLM!$A$2,MATCH(IB$29,ParoRegCLM!$A$2:$A$500)+$A39-1,1)-1)</f>
        <v/>
      </c>
      <c r="IC39" s="9" t="str">
        <f ca="1">IF(OR(IC12="",IC$28&lt;$A39),"",IC12/OFFSET(ParoRegCLM!$A$2,MATCH(IC$29,ParoRegCLM!$A$2:$A$500)+$A39-1,1)-1)</f>
        <v/>
      </c>
      <c r="ID39" s="9" t="str">
        <f ca="1">IF(OR(ID12="",ID$28&lt;$A39),"",ID12/OFFSET(ParoRegCLM!$A$2,MATCH(ID$29,ParoRegCLM!$A$2:$A$500)+$A39-1,1)-1)</f>
        <v/>
      </c>
      <c r="IE39" s="9" t="str">
        <f ca="1">IF(OR(IE12="",IE$28&lt;$A39),"",IE12/OFFSET(ParoRegCLM!$A$2,MATCH(IE$29,ParoRegCLM!$A$2:$A$500)+$A39-1,1)-1)</f>
        <v/>
      </c>
      <c r="IF39" s="9" t="str">
        <f ca="1">IF(OR(IF12="",IF$28&lt;$A39),"",IF12/OFFSET(ParoRegCLM!$A$2,MATCH(IF$29,ParoRegCLM!$A$2:$A$500)+$A39-1,1)-1)</f>
        <v/>
      </c>
      <c r="IG39" s="9" t="str">
        <f ca="1">IF(OR(IG12="",IG$28&lt;$A39),"",IG12/OFFSET(ParoRegCLM!$A$2,MATCH(IG$29,ParoRegCLM!$A$2:$A$500)+$A39-1,1)-1)</f>
        <v/>
      </c>
      <c r="IH39" s="9" t="str">
        <f ca="1">IF(OR(IH12="",IH$28&lt;$A39),"",IH12/OFFSET(ParoRegCLM!$A$2,MATCH(IH$29,ParoRegCLM!$A$2:$A$500)+$A39-1,1)-1)</f>
        <v/>
      </c>
      <c r="II39" s="9" t="str">
        <f ca="1">IF(OR(II12="",II$28&lt;$A39),"",II12/OFFSET(ParoRegCLM!$A$2,MATCH(II$29,ParoRegCLM!$A$2:$A$500)+$A39-1,1)-1)</f>
        <v/>
      </c>
      <c r="IJ39" s="9" t="str">
        <f ca="1">IF(OR(IJ12="",IJ$28&lt;$A39),"",IJ12/OFFSET(ParoRegCLM!$A$2,MATCH(IJ$29,ParoRegCLM!$A$2:$A$500)+$A39-1,1)-1)</f>
        <v/>
      </c>
      <c r="IK39" s="9" t="str">
        <f ca="1">IF(OR(IK12="",IK$28&lt;$A39),"",IK12/OFFSET(ParoRegCLM!$A$2,MATCH(IK$29,ParoRegCLM!$A$2:$A$500)+$A39-1,1)-1)</f>
        <v/>
      </c>
      <c r="IL39" s="9" t="str">
        <f ca="1">IF(OR(IL12="",IL$28&lt;$A39),"",IL12/OFFSET(ParoRegCLM!$A$2,MATCH(IL$29,ParoRegCLM!$A$2:$A$500)+$A39-1,1)-1)</f>
        <v/>
      </c>
      <c r="IM39" s="9" t="str">
        <f ca="1">IF(OR(IM12="",IM$28&lt;$A39),"",IM12/OFFSET(ParoRegCLM!$A$2,MATCH(IM$29,ParoRegCLM!$A$2:$A$500)+$A39-1,1)-1)</f>
        <v/>
      </c>
      <c r="IN39" s="9" t="str">
        <f ca="1">IF(OR(IN12="",IN$28&lt;$A39),"",IN12/OFFSET(ParoRegCLM!$A$2,MATCH(IN$29,ParoRegCLM!$A$2:$A$500)+$A39-1,1)-1)</f>
        <v/>
      </c>
      <c r="IO39" s="9" t="str">
        <f ca="1">IF(OR(IO12="",IO$28&lt;$A39),"",IO12/OFFSET(ParoRegCLM!$A$2,MATCH(IO$29,ParoRegCLM!$A$2:$A$500)+$A39-1,1)-1)</f>
        <v/>
      </c>
      <c r="IP39" s="9" t="str">
        <f ca="1">IF(OR(IP12="",IP$28&lt;$A39),"",IP12/OFFSET(ParoRegCLM!$A$2,MATCH(IP$29,ParoRegCLM!$A$2:$A$500)+$A39-1,1)-1)</f>
        <v/>
      </c>
      <c r="IQ39" s="9" t="str">
        <f ca="1">IF(OR(IQ12="",IQ$28&lt;$A39),"",IQ12/OFFSET(ParoRegCLM!$A$2,MATCH(IQ$29,ParoRegCLM!$A$2:$A$500)+$A39-1,1)-1)</f>
        <v/>
      </c>
      <c r="IR39" s="9" t="str">
        <f ca="1">IF(OR(IR12="",IR$28&lt;$A39),"",IR12/OFFSET(ParoRegCLM!$A$2,MATCH(IR$29,ParoRegCLM!$A$2:$A$500)+$A39-1,1)-1)</f>
        <v/>
      </c>
      <c r="IS39" s="9" t="str">
        <f ca="1">IF(OR(IS12="",IS$28&lt;$A39),"",IS12/OFFSET(ParoRegCLM!$A$2,MATCH(IS$29,ParoRegCLM!$A$2:$A$500)+$A39-1,1)-1)</f>
        <v/>
      </c>
      <c r="IT39" s="9" t="str">
        <f ca="1">IF(OR(IT12="",IT$28&lt;$A39),"",IT12/OFFSET(ParoRegCLM!$A$2,MATCH(IT$29,ParoRegCLM!$A$2:$A$500)+$A39-1,1)-1)</f>
        <v/>
      </c>
      <c r="IU39" s="9" t="str">
        <f ca="1">IF(OR(IU12="",IU$28&lt;$A39),"",IU12/OFFSET(ParoRegCLM!$A$2,MATCH(IU$29,ParoRegCLM!$A$2:$A$500)+$A39-1,1)-1)</f>
        <v/>
      </c>
      <c r="IV39" s="9" t="str">
        <f ca="1">IF(OR(IV12="",IV$28&lt;$A39),"",IV12/OFFSET(ParoRegCLM!$A$2,MATCH(IV$29,ParoRegCLM!$A$2:$A$500)+$A39-1,1)-1)</f>
        <v/>
      </c>
      <c r="IW39" s="9" t="str">
        <f ca="1">IF(OR(IW12="",IW$28&lt;$A39),"",IW12/OFFSET(ParoRegCLM!$A$2,MATCH(IW$29,ParoRegCLM!$A$2:$A$500)+$A39-1,1)-1)</f>
        <v/>
      </c>
      <c r="IX39" s="9" t="str">
        <f ca="1">IF(OR(IX12="",IX$28&lt;$A39),"",IX12/OFFSET(ParoRegCLM!$A$2,MATCH(IX$29,ParoRegCLM!$A$2:$A$500)+$A39-1,1)-1)</f>
        <v/>
      </c>
      <c r="IY39" s="9" t="str">
        <f ca="1">IF(OR(IY12="",IY$28&lt;$A39),"",IY12/OFFSET(ParoRegCLM!$A$2,MATCH(IY$29,ParoRegCLM!$A$2:$A$500)+$A39-1,1)-1)</f>
        <v/>
      </c>
      <c r="IZ39" s="9" t="str">
        <f ca="1">IF(OR(IZ12="",IZ$28&lt;$A39),"",IZ12/OFFSET(ParoRegCLM!$A$2,MATCH(IZ$29,ParoRegCLM!$A$2:$A$500)+$A39-1,1)-1)</f>
        <v/>
      </c>
      <c r="JA39" s="9" t="str">
        <f ca="1">IF(OR(JA12="",JA$28&lt;$A39),"",JA12/OFFSET(ParoRegCLM!$A$2,MATCH(JA$29,ParoRegCLM!$A$2:$A$500)+$A39-1,1)-1)</f>
        <v/>
      </c>
      <c r="JB39" s="9" t="str">
        <f ca="1">IF(OR(JB12="",JB$28&lt;$A39),"",JB12/OFFSET(ParoRegCLM!$A$2,MATCH(JB$29,ParoRegCLM!$A$2:$A$500)+$A39-1,1)-1)</f>
        <v/>
      </c>
      <c r="JC39" s="9" t="str">
        <f ca="1">IF(OR(JC12="",JC$28&lt;$A39),"",JC12/OFFSET(ParoRegCLM!$A$2,MATCH(JC$29,ParoRegCLM!$A$2:$A$500)+$A39-1,1)-1)</f>
        <v/>
      </c>
      <c r="JD39" s="9" t="str">
        <f ca="1">IF(OR(JD12="",JD$28&lt;$A39),"",JD12/OFFSET(ParoRegCLM!$A$2,MATCH(JD$29,ParoRegCLM!$A$2:$A$500)+$A39-1,1)-1)</f>
        <v/>
      </c>
      <c r="JE39" s="9" t="str">
        <f ca="1">IF(OR(JE12="",JE$28&lt;$A39),"",JE12/OFFSET(ParoRegCLM!$A$2,MATCH(JE$29,ParoRegCLM!$A$2:$A$500)+$A39-1,1)-1)</f>
        <v/>
      </c>
      <c r="JF39" s="9" t="str">
        <f ca="1">IF(OR(JF12="",JF$28&lt;$A39),"",JF12/OFFSET(ParoRegCLM!$A$2,MATCH(JF$29,ParoRegCLM!$A$2:$A$500)+$A39-1,1)-1)</f>
        <v/>
      </c>
      <c r="JG39" s="9" t="str">
        <f ca="1">IF(OR(JG12="",JG$28&lt;$A39),"",JG12/OFFSET(ParoRegCLM!$A$2,MATCH(JG$29,ParoRegCLM!$A$2:$A$500)+$A39-1,1)-1)</f>
        <v/>
      </c>
      <c r="JH39" s="9" t="str">
        <f ca="1">IF(OR(JH12="",JH$28&lt;$A39),"",JH12/OFFSET(ParoRegCLM!$A$2,MATCH(JH$29,ParoRegCLM!$A$2:$A$500)+$A39-1,1)-1)</f>
        <v/>
      </c>
      <c r="JI39" s="13">
        <f t="shared" ca="1" si="14"/>
        <v>-4.1449901397021212E-2</v>
      </c>
      <c r="JJ39" s="13">
        <f t="shared" ca="1" si="15"/>
        <v>-6.4886492694577913E-2</v>
      </c>
      <c r="JK39" s="14">
        <f t="shared" ca="1" si="16"/>
        <v>6.917325276107107E-3</v>
      </c>
      <c r="JL39" s="17">
        <f t="shared" ca="1" si="19"/>
        <v>8.3170459155322132E-2</v>
      </c>
      <c r="JM39" s="15" t="str">
        <f t="shared" ca="1" si="17"/>
        <v>[ -20,78% ; 12,49% ]</v>
      </c>
      <c r="JN39" s="17">
        <f t="shared" ca="1" si="18"/>
        <v>0.10645818771881232</v>
      </c>
      <c r="LY39" s="1"/>
    </row>
    <row r="40" spans="1:337" x14ac:dyDescent="0.25">
      <c r="A40" s="4">
        <v>11</v>
      </c>
      <c r="B40" s="9">
        <f ca="1">IF(OR(B13="",B$28&lt;$A40),"",B13/OFFSET(ParoRegCLM!$A$2,MATCH(B$29,ParoRegCLM!$A$2:$A$500)+$A40-1,1)-1)</f>
        <v>3.0958565540792682E-2</v>
      </c>
      <c r="C40" s="9">
        <f ca="1">IF(OR(C13="",C$28&lt;$A40),"",C13/OFFSET(ParoRegCLM!$A$2,MATCH(C$29,ParoRegCLM!$A$2:$A$500)+$A40-1,1)-1)</f>
        <v>4.0885843045208592E-3</v>
      </c>
      <c r="D40" s="9">
        <f ca="1">IF(OR(D13="",D$28&lt;$A40),"",D13/OFFSET(ParoRegCLM!$A$2,MATCH(D$29,ParoRegCLM!$A$2:$A$500)+$A40-1,1)-1)</f>
        <v>-3.9527952824122137E-3</v>
      </c>
      <c r="E40" s="9">
        <f ca="1">IF(OR(E13="",E$28&lt;$A40),"",E13/OFFSET(ParoRegCLM!$A$2,MATCH(E$29,ParoRegCLM!$A$2:$A$500)+$A40-1,1)-1)</f>
        <v>1.0617387216030227E-2</v>
      </c>
      <c r="F40" s="9">
        <f ca="1">IF(OR(F13="",F$28&lt;$A40),"",F13/OFFSET(ParoRegCLM!$A$2,MATCH(F$29,ParoRegCLM!$A$2:$A$500)+$A40-1,1)-1)</f>
        <v>5.1260690948882193E-2</v>
      </c>
      <c r="G40" s="9">
        <f ca="1">IF(OR(G13="",G$28&lt;$A40),"",G13/OFFSET(ParoRegCLM!$A$2,MATCH(G$29,ParoRegCLM!$A$2:$A$500)+$A40-1,1)-1)</f>
        <v>1.8907585865087562E-2</v>
      </c>
      <c r="H40" s="9">
        <f ca="1">IF(OR(H13="",H$28&lt;$A40),"",H13/OFFSET(ParoRegCLM!$A$2,MATCH(H$29,ParoRegCLM!$A$2:$A$500)+$A40-1,1)-1)</f>
        <v>2.2168839555644304E-2</v>
      </c>
      <c r="I40" s="9">
        <f ca="1">IF(OR(I13="",I$28&lt;$A40),"",I13/OFFSET(ParoRegCLM!$A$2,MATCH(I$29,ParoRegCLM!$A$2:$A$500)+$A40-1,1)-1)</f>
        <v>2.7237047317530738E-2</v>
      </c>
      <c r="J40" s="9">
        <f ca="1">IF(OR(J13="",J$28&lt;$A40),"",J13/OFFSET(ParoRegCLM!$A$2,MATCH(J$29,ParoRegCLM!$A$2:$A$500)+$A40-1,1)-1)</f>
        <v>5.0439321558504169E-3</v>
      </c>
      <c r="K40" s="9">
        <f ca="1">IF(OR(K13="",K$28&lt;$A40),"",K13/OFFSET(ParoRegCLM!$A$2,MATCH(K$29,ParoRegCLM!$A$2:$A$500)+$A40-1,1)-1)</f>
        <v>-2.1465053025948033E-2</v>
      </c>
      <c r="L40" s="9">
        <f ca="1">IF(OR(L13="",L$28&lt;$A40),"",L13/OFFSET(ParoRegCLM!$A$2,MATCH(L$29,ParoRegCLM!$A$2:$A$500)+$A40-1,1)-1)</f>
        <v>-1.3870527679787248E-2</v>
      </c>
      <c r="M40" s="9">
        <f ca="1">IF(OR(M13="",M$28&lt;$A40),"",M13/OFFSET(ParoRegCLM!$A$2,MATCH(M$29,ParoRegCLM!$A$2:$A$500)+$A40-1,1)-1)</f>
        <v>-8.576450740487962E-3</v>
      </c>
      <c r="N40" s="9">
        <f ca="1">IF(OR(N13="",N$28&lt;$A40),"",N13/OFFSET(ParoRegCLM!$A$2,MATCH(N$29,ParoRegCLM!$A$2:$A$500)+$A40-1,1)-1)</f>
        <v>1.5634949189837544E-2</v>
      </c>
      <c r="O40" s="9">
        <f ca="1">IF(OR(O13="",O$28&lt;$A40),"",O13/OFFSET(ParoRegCLM!$A$2,MATCH(O$29,ParoRegCLM!$A$2:$A$500)+$A40-1,1)-1)</f>
        <v>3.818222849088615E-2</v>
      </c>
      <c r="P40" s="9">
        <f ca="1">IF(OR(P13="",P$28&lt;$A40),"",P13/OFFSET(ParoRegCLM!$A$2,MATCH(P$29,ParoRegCLM!$A$2:$A$500)+$A40-1,1)-1)</f>
        <v>2.1117361182982908E-2</v>
      </c>
      <c r="Q40" s="9">
        <f ca="1">IF(OR(Q13="",Q$28&lt;$A40),"",Q13/OFFSET(ParoRegCLM!$A$2,MATCH(Q$29,ParoRegCLM!$A$2:$A$500)+$A40-1,1)-1)</f>
        <v>3.708916044517685E-2</v>
      </c>
      <c r="R40" s="9">
        <f ca="1">IF(OR(R13="",R$28&lt;$A40),"",R13/OFFSET(ParoRegCLM!$A$2,MATCH(R$29,ParoRegCLM!$A$2:$A$500)+$A40-1,1)-1)</f>
        <v>4.8910720805528607E-2</v>
      </c>
      <c r="S40" s="9">
        <f ca="1">IF(OR(S13="",S$28&lt;$A40),"",S13/OFFSET(ParoRegCLM!$A$2,MATCH(S$29,ParoRegCLM!$A$2:$A$500)+$A40-1,1)-1)</f>
        <v>4.6444202899563525E-2</v>
      </c>
      <c r="T40" s="9">
        <f ca="1">IF(OR(T13="",T$28&lt;$A40),"",T13/OFFSET(ParoRegCLM!$A$2,MATCH(T$29,ParoRegCLM!$A$2:$A$500)+$A40-1,1)-1)</f>
        <v>1.70170995090968E-2</v>
      </c>
      <c r="U40" s="9">
        <f ca="1">IF(OR(U13="",U$28&lt;$A40),"",U13/OFFSET(ParoRegCLM!$A$2,MATCH(U$29,ParoRegCLM!$A$2:$A$500)+$A40-1,1)-1)</f>
        <v>3.9004269594736796E-2</v>
      </c>
      <c r="V40" s="9">
        <f ca="1">IF(OR(V13="",V$28&lt;$A40),"",V13/OFFSET(ParoRegCLM!$A$2,MATCH(V$29,ParoRegCLM!$A$2:$A$500)+$A40-1,1)-1)</f>
        <v>4.0261102529765447E-2</v>
      </c>
      <c r="W40" s="9">
        <f ca="1">IF(OR(W13="",W$28&lt;$A40),"",W13/OFFSET(ParoRegCLM!$A$2,MATCH(W$29,ParoRegCLM!$A$2:$A$500)+$A40-1,1)-1)</f>
        <v>3.5698487483441177E-2</v>
      </c>
      <c r="X40" s="9">
        <f ca="1">IF(OR(X13="",X$28&lt;$A40),"",X13/OFFSET(ParoRegCLM!$A$2,MATCH(X$29,ParoRegCLM!$A$2:$A$500)+$A40-1,1)-1)</f>
        <v>4.2914317562877891E-2</v>
      </c>
      <c r="Y40" s="9">
        <f ca="1">IF(OR(Y13="",Y$28&lt;$A40),"",Y13/OFFSET(ParoRegCLM!$A$2,MATCH(Y$29,ParoRegCLM!$A$2:$A$500)+$A40-1,1)-1)</f>
        <v>3.8066456422277239E-2</v>
      </c>
      <c r="Z40" s="9">
        <f ca="1">IF(OR(Z13="",Z$28&lt;$A40),"",Z13/OFFSET(ParoRegCLM!$A$2,MATCH(Z$29,ParoRegCLM!$A$2:$A$500)+$A40-1,1)-1)</f>
        <v>4.5144319623309226E-2</v>
      </c>
      <c r="AA40" s="9">
        <f ca="1">IF(OR(AA13="",AA$28&lt;$A40),"",AA13/OFFSET(ParoRegCLM!$A$2,MATCH(AA$29,ParoRegCLM!$A$2:$A$500)+$A40-1,1)-1)</f>
        <v>5.9157913383755423E-2</v>
      </c>
      <c r="AB40" s="9">
        <f ca="1">IF(OR(AB13="",AB$28&lt;$A40),"",AB13/OFFSET(ParoRegCLM!$A$2,MATCH(AB$29,ParoRegCLM!$A$2:$A$500)+$A40-1,1)-1)</f>
        <v>5.6700738502355685E-2</v>
      </c>
      <c r="AC40" s="9">
        <f ca="1">IF(OR(AC13="",AC$28&lt;$A40),"",AC13/OFFSET(ParoRegCLM!$A$2,MATCH(AC$29,ParoRegCLM!$A$2:$A$500)+$A40-1,1)-1)</f>
        <v>3.885271857386563E-2</v>
      </c>
      <c r="AD40" s="9">
        <f ca="1">IF(OR(AD13="",AD$28&lt;$A40),"",AD13/OFFSET(ParoRegCLM!$A$2,MATCH(AD$29,ParoRegCLM!$A$2:$A$500)+$A40-1,1)-1)</f>
        <v>3.9203693498812919E-2</v>
      </c>
      <c r="AE40" s="9">
        <f ca="1">IF(OR(AE13="",AE$28&lt;$A40),"",AE13/OFFSET(ParoRegCLM!$A$2,MATCH(AE$29,ParoRegCLM!$A$2:$A$500)+$A40-1,1)-1)</f>
        <v>2.1652552129952429E-2</v>
      </c>
      <c r="AF40" s="9">
        <f ca="1">IF(OR(AF13="",AF$28&lt;$A40),"",AF13/OFFSET(ParoRegCLM!$A$2,MATCH(AF$29,ParoRegCLM!$A$2:$A$500)+$A40-1,1)-1)</f>
        <v>2.0521461928013407E-2</v>
      </c>
      <c r="AG40" s="9">
        <f ca="1">IF(OR(AG13="",AG$28&lt;$A40),"",AG13/OFFSET(ParoRegCLM!$A$2,MATCH(AG$29,ParoRegCLM!$A$2:$A$500)+$A40-1,1)-1)</f>
        <v>1.0209562432677011E-2</v>
      </c>
      <c r="AH40" s="9">
        <f ca="1">IF(OR(AH13="",AH$28&lt;$A40),"",AH13/OFFSET(ParoRegCLM!$A$2,MATCH(AH$29,ParoRegCLM!$A$2:$A$500)+$A40-1,1)-1)</f>
        <v>-1.1863429699252359E-2</v>
      </c>
      <c r="AI40" s="9">
        <f ca="1">IF(OR(AI13="",AI$28&lt;$A40),"",AI13/OFFSET(ParoRegCLM!$A$2,MATCH(AI$29,ParoRegCLM!$A$2:$A$500)+$A40-1,1)-1)</f>
        <v>-2.1158535673323597E-2</v>
      </c>
      <c r="AJ40" s="9">
        <f ca="1">IF(OR(AJ13="",AJ$28&lt;$A40),"",AJ13/OFFSET(ParoRegCLM!$A$2,MATCH(AJ$29,ParoRegCLM!$A$2:$A$500)+$A40-1,1)-1)</f>
        <v>-2.6699021235430886E-2</v>
      </c>
      <c r="AK40" s="9">
        <f ca="1">IF(OR(AK13="",AK$28&lt;$A40),"",AK13/OFFSET(ParoRegCLM!$A$2,MATCH(AK$29,ParoRegCLM!$A$2:$A$500)+$A40-1,1)-1)</f>
        <v>-3.4305252564592381E-2</v>
      </c>
      <c r="AL40" s="9">
        <f ca="1">IF(OR(AL13="",AL$28&lt;$A40),"",AL13/OFFSET(ParoRegCLM!$A$2,MATCH(AL$29,ParoRegCLM!$A$2:$A$500)+$A40-1,1)-1)</f>
        <v>-5.2656798448561526E-2</v>
      </c>
      <c r="AM40" s="9">
        <f ca="1">IF(OR(AM13="",AM$28&lt;$A40),"",AM13/OFFSET(ParoRegCLM!$A$2,MATCH(AM$29,ParoRegCLM!$A$2:$A$500)+$A40-1,1)-1)</f>
        <v>-4.7095268519843692E-2</v>
      </c>
      <c r="AN40" s="9">
        <f ca="1">IF(OR(AN13="",AN$28&lt;$A40),"",AN13/OFFSET(ParoRegCLM!$A$2,MATCH(AN$29,ParoRegCLM!$A$2:$A$500)+$A40-1,1)-1)</f>
        <v>-6.884949167427401E-2</v>
      </c>
      <c r="AO40" s="9">
        <f ca="1">IF(OR(AO13="",AO$28&lt;$A40),"",AO13/OFFSET(ParoRegCLM!$A$2,MATCH(AO$29,ParoRegCLM!$A$2:$A$500)+$A40-1,1)-1)</f>
        <v>-0.10362032020517897</v>
      </c>
      <c r="AP40" s="9">
        <f ca="1">IF(OR(AP13="",AP$28&lt;$A40),"",AP13/OFFSET(ParoRegCLM!$A$2,MATCH(AP$29,ParoRegCLM!$A$2:$A$500)+$A40-1,1)-1)</f>
        <v>-0.10025364893890953</v>
      </c>
      <c r="AQ40" s="9">
        <f ca="1">IF(OR(AQ13="",AQ$28&lt;$A40),"",AQ13/OFFSET(ParoRegCLM!$A$2,MATCH(AQ$29,ParoRegCLM!$A$2:$A$500)+$A40-1,1)-1)</f>
        <v>-0.13152696660470453</v>
      </c>
      <c r="AR40" s="9">
        <f ca="1">IF(OR(AR13="",AR$28&lt;$A40),"",AR13/OFFSET(ParoRegCLM!$A$2,MATCH(AR$29,ParoRegCLM!$A$2:$A$500)+$A40-1,1)-1)</f>
        <v>-0.15826469087868478</v>
      </c>
      <c r="AS40" s="9">
        <f ca="1">IF(OR(AS13="",AS$28&lt;$A40),"",AS13/OFFSET(ParoRegCLM!$A$2,MATCH(AS$29,ParoRegCLM!$A$2:$A$500)+$A40-1,1)-1)</f>
        <v>-0.16776332652681525</v>
      </c>
      <c r="AT40" s="9">
        <f ca="1">IF(OR(AT13="",AT$28&lt;$A40),"",AT13/OFFSET(ParoRegCLM!$A$2,MATCH(AT$29,ParoRegCLM!$A$2:$A$500)+$A40-1,1)-1)</f>
        <v>-0.18336127848444783</v>
      </c>
      <c r="AU40" s="9">
        <f ca="1">IF(OR(AU13="",AU$28&lt;$A40),"",AU13/OFFSET(ParoRegCLM!$A$2,MATCH(AU$29,ParoRegCLM!$A$2:$A$500)+$A40-1,1)-1)</f>
        <v>-0.20937411127440542</v>
      </c>
      <c r="AV40" s="9">
        <f ca="1">IF(OR(AV13="",AV$28&lt;$A40),"",AV13/OFFSET(ParoRegCLM!$A$2,MATCH(AV$29,ParoRegCLM!$A$2:$A$500)+$A40-1,1)-1)</f>
        <v>-0.21742118488452089</v>
      </c>
      <c r="AW40" s="9">
        <f ca="1">IF(OR(AW13="",AW$28&lt;$A40),"",AW13/OFFSET(ParoRegCLM!$A$2,MATCH(AW$29,ParoRegCLM!$A$2:$A$500)+$A40-1,1)-1)</f>
        <v>-0.28794978254349146</v>
      </c>
      <c r="AX40" s="9">
        <f ca="1">IF(OR(AX13="",AX$28&lt;$A40),"",AX13/OFFSET(ParoRegCLM!$A$2,MATCH(AX$29,ParoRegCLM!$A$2:$A$500)+$A40-1,1)-1)</f>
        <v>-0.3302922203523313</v>
      </c>
      <c r="AY40" s="9">
        <f ca="1">IF(OR(AY13="",AY$28&lt;$A40),"",AY13/OFFSET(ParoRegCLM!$A$2,MATCH(AY$29,ParoRegCLM!$A$2:$A$500)+$A40-1,1)-1)</f>
        <v>-0.33938567984382517</v>
      </c>
      <c r="AZ40" s="9">
        <f ca="1">IF(OR(AZ13="",AZ$28&lt;$A40),"",AZ13/OFFSET(ParoRegCLM!$A$2,MATCH(AZ$29,ParoRegCLM!$A$2:$A$500)+$A40-1,1)-1)</f>
        <v>-0.32207854430837812</v>
      </c>
      <c r="BA40" s="9">
        <f ca="1">IF(OR(BA13="",BA$28&lt;$A40),"",BA13/OFFSET(ParoRegCLM!$A$2,MATCH(BA$29,ParoRegCLM!$A$2:$A$500)+$A40-1,1)-1)</f>
        <v>-0.34339606741810202</v>
      </c>
      <c r="BB40" s="9">
        <f ca="1">IF(OR(BB13="",BB$28&lt;$A40),"",BB13/OFFSET(ParoRegCLM!$A$2,MATCH(BB$29,ParoRegCLM!$A$2:$A$500)+$A40-1,1)-1)</f>
        <v>-0.35504026623605789</v>
      </c>
      <c r="BC40" s="9">
        <f ca="1">IF(OR(BC13="",BC$28&lt;$A40),"",BC13/OFFSET(ParoRegCLM!$A$2,MATCH(BC$29,ParoRegCLM!$A$2:$A$500)+$A40-1,1)-1)</f>
        <v>-0.3441483029741973</v>
      </c>
      <c r="BD40" s="9">
        <f ca="1">IF(OR(BD13="",BD$28&lt;$A40),"",BD13/OFFSET(ParoRegCLM!$A$2,MATCH(BD$29,ParoRegCLM!$A$2:$A$500)+$A40-1,1)-1)</f>
        <v>-0.27463825504467199</v>
      </c>
      <c r="BE40" s="9">
        <f ca="1">IF(OR(BE13="",BE$28&lt;$A40),"",BE13/OFFSET(ParoRegCLM!$A$2,MATCH(BE$29,ParoRegCLM!$A$2:$A$500)+$A40-1,1)-1)</f>
        <v>-0.20447413091414124</v>
      </c>
      <c r="BF40" s="9">
        <f ca="1">IF(OR(BF13="",BF$28&lt;$A40),"",BF13/OFFSET(ParoRegCLM!$A$2,MATCH(BF$29,ParoRegCLM!$A$2:$A$500)+$A40-1,1)-1)</f>
        <v>-0.1504275734554763</v>
      </c>
      <c r="BG40" s="9">
        <f ca="1">IF(OR(BG13="",BG$28&lt;$A40),"",BG13/OFFSET(ParoRegCLM!$A$2,MATCH(BG$29,ParoRegCLM!$A$2:$A$500)+$A40-1,1)-1)</f>
        <v>-0.15077061720818408</v>
      </c>
      <c r="BH40" s="9">
        <f ca="1">IF(OR(BH13="",BH$28&lt;$A40),"",BH13/OFFSET(ParoRegCLM!$A$2,MATCH(BH$29,ParoRegCLM!$A$2:$A$500)+$A40-1,1)-1)</f>
        <v>5.2445457426260722E-2</v>
      </c>
      <c r="BI40" s="9">
        <f ca="1">IF(OR(BI13="",BI$28&lt;$A40),"",BI13/OFFSET(ParoRegCLM!$A$2,MATCH(BI$29,ParoRegCLM!$A$2:$A$500)+$A40-1,1)-1)</f>
        <v>7.5321300876578734E-2</v>
      </c>
      <c r="BJ40" s="9">
        <f ca="1">IF(OR(BJ13="",BJ$28&lt;$A40),"",BJ13/OFFSET(ParoRegCLM!$A$2,MATCH(BJ$29,ParoRegCLM!$A$2:$A$500)+$A40-1,1)-1)</f>
        <v>0.23120667444951781</v>
      </c>
      <c r="BK40" s="9">
        <f ca="1">IF(OR(BK13="",BK$28&lt;$A40),"",BK13/OFFSET(ParoRegCLM!$A$2,MATCH(BK$29,ParoRegCLM!$A$2:$A$500)+$A40-1,1)-1)</f>
        <v>0.12022062128599331</v>
      </c>
      <c r="BL40" s="9">
        <f ca="1">IF(OR(BL13="",BL$28&lt;$A40),"",BL13/OFFSET(ParoRegCLM!$A$2,MATCH(BL$29,ParoRegCLM!$A$2:$A$500)+$A40-1,1)-1)</f>
        <v>0.24931030978272761</v>
      </c>
      <c r="BM40" s="9">
        <f ca="1">IF(OR(BM13="",BM$28&lt;$A40),"",BM13/OFFSET(ParoRegCLM!$A$2,MATCH(BM$29,ParoRegCLM!$A$2:$A$500)+$A40-1,1)-1)</f>
        <v>0.25804949876326688</v>
      </c>
      <c r="BN40" s="9">
        <f ca="1">IF(OR(BN13="",BN$28&lt;$A40),"",BN13/OFFSET(ParoRegCLM!$A$2,MATCH(BN$29,ParoRegCLM!$A$2:$A$500)+$A40-1,1)-1)</f>
        <v>0.25895726310775391</v>
      </c>
      <c r="BO40" s="9">
        <f ca="1">IF(OR(BO13="",BO$28&lt;$A40),"",BO13/OFFSET(ParoRegCLM!$A$2,MATCH(BO$29,ParoRegCLM!$A$2:$A$500)+$A40-1,1)-1)</f>
        <v>0.26573463878602577</v>
      </c>
      <c r="BP40" s="9">
        <f ca="1">IF(OR(BP13="",BP$28&lt;$A40),"",BP13/OFFSET(ParoRegCLM!$A$2,MATCH(BP$29,ParoRegCLM!$A$2:$A$500)+$A40-1,1)-1)</f>
        <v>0.20251586440783598</v>
      </c>
      <c r="BQ40" s="9">
        <f ca="1">IF(OR(BQ13="",BQ$28&lt;$A40),"",BQ13/OFFSET(ParoRegCLM!$A$2,MATCH(BQ$29,ParoRegCLM!$A$2:$A$500)+$A40-1,1)-1)</f>
        <v>5.4791645944651579E-2</v>
      </c>
      <c r="BR40" s="9">
        <f ca="1">IF(OR(BR13="",BR$28&lt;$A40),"",BR13/OFFSET(ParoRegCLM!$A$2,MATCH(BR$29,ParoRegCLM!$A$2:$A$500)+$A40-1,1)-1)</f>
        <v>4.9692043655799933E-2</v>
      </c>
      <c r="BS40" s="9">
        <f ca="1">IF(OR(BS13="",BS$28&lt;$A40),"",BS13/OFFSET(ParoRegCLM!$A$2,MATCH(BS$29,ParoRegCLM!$A$2:$A$500)+$A40-1,1)-1)</f>
        <v>-1.9485665040300248E-2</v>
      </c>
      <c r="BT40" s="9">
        <f ca="1">IF(OR(BT13="",BT$28&lt;$A40),"",BT13/OFFSET(ParoRegCLM!$A$2,MATCH(BT$29,ParoRegCLM!$A$2:$A$500)+$A40-1,1)-1)</f>
        <v>0.14480086730994013</v>
      </c>
      <c r="BU40" s="9">
        <f ca="1">IF(OR(BU13="",BU$28&lt;$A40),"",BU13/OFFSET(ParoRegCLM!$A$2,MATCH(BU$29,ParoRegCLM!$A$2:$A$500)+$A40-1,1)-1)</f>
        <v>3.4816252261267611E-2</v>
      </c>
      <c r="BV40" s="9">
        <f ca="1">IF(OR(BV13="",BV$28&lt;$A40),"",BV13/OFFSET(ParoRegCLM!$A$2,MATCH(BV$29,ParoRegCLM!$A$2:$A$500)+$A40-1,1)-1)</f>
        <v>4.6856270510705622E-2</v>
      </c>
      <c r="BW40" s="9">
        <f ca="1">IF(OR(BW13="",BW$28&lt;$A40),"",BW13/OFFSET(ParoRegCLM!$A$2,MATCH(BW$29,ParoRegCLM!$A$2:$A$500)+$A40-1,1)-1)</f>
        <v>7.4618131726517101E-2</v>
      </c>
      <c r="BX40" s="9">
        <f ca="1">IF(OR(BX13="",BX$28&lt;$A40),"",BX13/OFFSET(ParoRegCLM!$A$2,MATCH(BX$29,ParoRegCLM!$A$2:$A$500)+$A40-1,1)-1)</f>
        <v>7.0082942706467977E-2</v>
      </c>
      <c r="BY40" s="9">
        <f ca="1">IF(OR(BY13="",BY$28&lt;$A40),"",BY13/OFFSET(ParoRegCLM!$A$2,MATCH(BY$29,ParoRegCLM!$A$2:$A$500)+$A40-1,1)-1)</f>
        <v>9.472366713714897E-2</v>
      </c>
      <c r="BZ40" s="9">
        <f ca="1">IF(OR(BZ13="",BZ$28&lt;$A40),"",BZ13/OFFSET(ParoRegCLM!$A$2,MATCH(BZ$29,ParoRegCLM!$A$2:$A$500)+$A40-1,1)-1)</f>
        <v>8.0073564998718538E-2</v>
      </c>
      <c r="CA40" s="9">
        <f ca="1">IF(OR(CA13="",CA$28&lt;$A40),"",CA13/OFFSET(ParoRegCLM!$A$2,MATCH(CA$29,ParoRegCLM!$A$2:$A$500)+$A40-1,1)-1)</f>
        <v>6.3409875355039391E-2</v>
      </c>
      <c r="CB40" s="9">
        <f ca="1">IF(OR(CB13="",CB$28&lt;$A40),"",CB13/OFFSET(ParoRegCLM!$A$2,MATCH(CB$29,ParoRegCLM!$A$2:$A$500)+$A40-1,1)-1)</f>
        <v>2.4687152207494956E-2</v>
      </c>
      <c r="CC40" s="9">
        <f ca="1">IF(OR(CC13="",CC$28&lt;$A40),"",CC13/OFFSET(ParoRegCLM!$A$2,MATCH(CC$29,ParoRegCLM!$A$2:$A$500)+$A40-1,1)-1)</f>
        <v>-6.7264945862085535E-3</v>
      </c>
      <c r="CD40" s="9">
        <f ca="1">IF(OR(CD13="",CD$28&lt;$A40),"",CD13/OFFSET(ParoRegCLM!$A$2,MATCH(CD$29,ParoRegCLM!$A$2:$A$500)+$A40-1,1)-1)</f>
        <v>2.7241799390332888E-2</v>
      </c>
      <c r="CE40" s="9">
        <f ca="1">IF(OR(CE13="",CE$28&lt;$A40),"",CE13/OFFSET(ParoRegCLM!$A$2,MATCH(CE$29,ParoRegCLM!$A$2:$A$500)+$A40-1,1)-1)</f>
        <v>-3.6005785713111971E-2</v>
      </c>
      <c r="CF40" s="9">
        <f ca="1">IF(OR(CF13="",CF$28&lt;$A40),"",CF13/OFFSET(ParoRegCLM!$A$2,MATCH(CF$29,ParoRegCLM!$A$2:$A$500)+$A40-1,1)-1)</f>
        <v>1.0688351026385101E-2</v>
      </c>
      <c r="CG40" s="9">
        <f ca="1">IF(OR(CG13="",CG$28&lt;$A40),"",CG13/OFFSET(ParoRegCLM!$A$2,MATCH(CG$29,ParoRegCLM!$A$2:$A$500)+$A40-1,1)-1)</f>
        <v>-4.329806491278565E-3</v>
      </c>
      <c r="CH40" s="9">
        <f ca="1">IF(OR(CH13="",CH$28&lt;$A40),"",CH13/OFFSET(ParoRegCLM!$A$2,MATCH(CH$29,ParoRegCLM!$A$2:$A$500)+$A40-1,1)-1)</f>
        <v>-4.526946095555584E-2</v>
      </c>
      <c r="CI40" s="9">
        <f ca="1">IF(OR(CI13="",CI$28&lt;$A40),"",CI13/OFFSET(ParoRegCLM!$A$2,MATCH(CI$29,ParoRegCLM!$A$2:$A$500)+$A40-1,1)-1)</f>
        <v>3.1491881607619288E-3</v>
      </c>
      <c r="CJ40" s="9">
        <f ca="1">IF(OR(CJ13="",CJ$28&lt;$A40),"",CJ13/OFFSET(ParoRegCLM!$A$2,MATCH(CJ$29,ParoRegCLM!$A$2:$A$500)+$A40-1,1)-1)</f>
        <v>-3.119128393797288E-2</v>
      </c>
      <c r="CK40" s="9">
        <f ca="1">IF(OR(CK13="",CK$28&lt;$A40),"",CK13/OFFSET(ParoRegCLM!$A$2,MATCH(CK$29,ParoRegCLM!$A$2:$A$500)+$A40-1,1)-1)</f>
        <v>-6.7051703434005572E-2</v>
      </c>
      <c r="CL40" s="9">
        <f ca="1">IF(OR(CL13="",CL$28&lt;$A40),"",CL13/OFFSET(ParoRegCLM!$A$2,MATCH(CL$29,ParoRegCLM!$A$2:$A$500)+$A40-1,1)-1)</f>
        <v>-8.2894919610722484E-2</v>
      </c>
      <c r="CM40" s="9">
        <f ca="1">IF(OR(CM13="",CM$28&lt;$A40),"",CM13/OFFSET(ParoRegCLM!$A$2,MATCH(CM$29,ParoRegCLM!$A$2:$A$500)+$A40-1,1)-1)</f>
        <v>-6.3185483576199908E-2</v>
      </c>
      <c r="CN40" s="9">
        <f ca="1">IF(OR(CN13="",CN$28&lt;$A40),"",CN13/OFFSET(ParoRegCLM!$A$2,MATCH(CN$29,ParoRegCLM!$A$2:$A$500)+$A40-1,1)-1)</f>
        <v>-3.6688104771088081E-2</v>
      </c>
      <c r="CO40" s="9">
        <f ca="1">IF(OR(CO13="",CO$28&lt;$A40),"",CO13/OFFSET(ParoRegCLM!$A$2,MATCH(CO$29,ParoRegCLM!$A$2:$A$500)+$A40-1,1)-1)</f>
        <v>-2.2762272977980946E-2</v>
      </c>
      <c r="CP40" s="9">
        <f ca="1">IF(OR(CP13="",CP$28&lt;$A40),"",CP13/OFFSET(ParoRegCLM!$A$2,MATCH(CP$29,ParoRegCLM!$A$2:$A$500)+$A40-1,1)-1)</f>
        <v>-9.6673577933778287E-2</v>
      </c>
      <c r="CQ40" s="9">
        <f ca="1">IF(OR(CQ13="",CQ$28&lt;$A40),"",CQ13/OFFSET(ParoRegCLM!$A$2,MATCH(CQ$29,ParoRegCLM!$A$2:$A$500)+$A40-1,1)-1)</f>
        <v>-7.7614517987576348E-2</v>
      </c>
      <c r="CR40" s="9">
        <f ca="1">IF(OR(CR13="",CR$28&lt;$A40),"",CR13/OFFSET(ParoRegCLM!$A$2,MATCH(CR$29,ParoRegCLM!$A$2:$A$500)+$A40-1,1)-1)</f>
        <v>9.8683552148883802E-3</v>
      </c>
      <c r="CS40" s="9">
        <f ca="1">IF(OR(CS13="",CS$28&lt;$A40),"",CS13/OFFSET(ParoRegCLM!$A$2,MATCH(CS$29,ParoRegCLM!$A$2:$A$500)+$A40-1,1)-1)</f>
        <v>-2.4201513064598834E-2</v>
      </c>
      <c r="CT40" s="9">
        <f ca="1">IF(OR(CT13="",CT$28&lt;$A40),"",CT13/OFFSET(ParoRegCLM!$A$2,MATCH(CT$29,ParoRegCLM!$A$2:$A$500)+$A40-1,1)-1)</f>
        <v>-8.321505465176271E-2</v>
      </c>
      <c r="CU40" s="9">
        <f ca="1">IF(OR(CU13="",CU$28&lt;$A40),"",CU13/OFFSET(ParoRegCLM!$A$2,MATCH(CU$29,ParoRegCLM!$A$2:$A$500)+$A40-1,1)-1)</f>
        <v>-2.3597125425197651E-2</v>
      </c>
      <c r="CV40" s="9">
        <f ca="1">IF(OR(CV13="",CV$28&lt;$A40),"",CV13/OFFSET(ParoRegCLM!$A$2,MATCH(CV$29,ParoRegCLM!$A$2:$A$500)+$A40-1,1)-1)</f>
        <v>7.226407469561158E-3</v>
      </c>
      <c r="CW40" s="9">
        <f ca="1">IF(OR(CW13="",CW$28&lt;$A40),"",CW13/OFFSET(ParoRegCLM!$A$2,MATCH(CW$29,ParoRegCLM!$A$2:$A$500)+$A40-1,1)-1)</f>
        <v>3.6975964633526592E-2</v>
      </c>
      <c r="CX40" s="9">
        <f ca="1">IF(OR(CX13="",CX$28&lt;$A40),"",CX13/OFFSET(ParoRegCLM!$A$2,MATCH(CX$29,ParoRegCLM!$A$2:$A$500)+$A40-1,1)-1)</f>
        <v>6.7780219245483053E-2</v>
      </c>
      <c r="CY40" s="9">
        <f ca="1">IF(OR(CY13="",CY$28&lt;$A40),"",CY13/OFFSET(ParoRegCLM!$A$2,MATCH(CY$29,ParoRegCLM!$A$2:$A$500)+$A40-1,1)-1)</f>
        <v>8.9605386625868144E-2</v>
      </c>
      <c r="CZ40" s="9">
        <f ca="1">IF(OR(CZ13="",CZ$28&lt;$A40),"",CZ13/OFFSET(ParoRegCLM!$A$2,MATCH(CZ$29,ParoRegCLM!$A$2:$A$500)+$A40-1,1)-1)</f>
        <v>6.5749486642984856E-2</v>
      </c>
      <c r="DA40" s="9">
        <f ca="1">IF(OR(DA13="",DA$28&lt;$A40),"",DA13/OFFSET(ParoRegCLM!$A$2,MATCH(DA$29,ParoRegCLM!$A$2:$A$500)+$A40-1,1)-1)</f>
        <v>0.14090074082482928</v>
      </c>
      <c r="DB40" s="9">
        <f ca="1">IF(OR(DB13="",DB$28&lt;$A40),"",DB13/OFFSET(ParoRegCLM!$A$2,MATCH(DB$29,ParoRegCLM!$A$2:$A$500)+$A40-1,1)-1)</f>
        <v>0.12883646950749617</v>
      </c>
      <c r="DC40" s="9">
        <f ca="1">IF(OR(DC13="",DC$28&lt;$A40),"",DC13/OFFSET(ParoRegCLM!$A$2,MATCH(DC$29,ParoRegCLM!$A$2:$A$500)+$A40-1,1)-1)</f>
        <v>5.125501912349284E-2</v>
      </c>
      <c r="DD40" s="9">
        <f ca="1">IF(OR(DD13="",DD$28&lt;$A40),"",DD13/OFFSET(ParoRegCLM!$A$2,MATCH(DD$29,ParoRegCLM!$A$2:$A$500)+$A40-1,1)-1)</f>
        <v>0.13917907119005402</v>
      </c>
      <c r="DE40" s="9">
        <f ca="1">IF(OR(DE13="",DE$28&lt;$A40),"",DE13/OFFSET(ParoRegCLM!$A$2,MATCH(DE$29,ParoRegCLM!$A$2:$A$500)+$A40-1,1)-1)</f>
        <v>0.16427269011667445</v>
      </c>
      <c r="DF40" s="9">
        <f ca="1">IF(OR(DF13="",DF$28&lt;$A40),"",DF13/OFFSET(ParoRegCLM!$A$2,MATCH(DF$29,ParoRegCLM!$A$2:$A$500)+$A40-1,1)-1)</f>
        <v>0.10333792142668297</v>
      </c>
      <c r="DG40" s="9">
        <f ca="1">IF(OR(DG13="",DG$28&lt;$A40),"",DG13/OFFSET(ParoRegCLM!$A$2,MATCH(DG$29,ParoRegCLM!$A$2:$A$500)+$A40-1,1)-1)</f>
        <v>0.14199187454602558</v>
      </c>
      <c r="DH40" s="9">
        <f ca="1">IF(OR(DH13="",DH$28&lt;$A40),"",DH13/OFFSET(ParoRegCLM!$A$2,MATCH(DH$29,ParoRegCLM!$A$2:$A$500)+$A40-1,1)-1)</f>
        <v>8.4527191373408916E-2</v>
      </c>
      <c r="DI40" s="9">
        <f ca="1">IF(OR(DI13="",DI$28&lt;$A40),"",DI13/OFFSET(ParoRegCLM!$A$2,MATCH(DI$29,ParoRegCLM!$A$2:$A$500)+$A40-1,1)-1)</f>
        <v>0.10098664065413265</v>
      </c>
      <c r="DJ40" s="9">
        <f ca="1">IF(OR(DJ13="",DJ$28&lt;$A40),"",DJ13/OFFSET(ParoRegCLM!$A$2,MATCH(DJ$29,ParoRegCLM!$A$2:$A$500)+$A40-1,1)-1)</f>
        <v>6.1475715070574921E-2</v>
      </c>
      <c r="DK40" s="9">
        <f ca="1">IF(OR(DK13="",DK$28&lt;$A40),"",DK13/OFFSET(ParoRegCLM!$A$2,MATCH(DK$29,ParoRegCLM!$A$2:$A$500)+$A40-1,1)-1)</f>
        <v>6.2422519158037648E-2</v>
      </c>
      <c r="DL40" s="9">
        <f ca="1">IF(OR(DL13="",DL$28&lt;$A40),"",DL13/OFFSET(ParoRegCLM!$A$2,MATCH(DL$29,ParoRegCLM!$A$2:$A$500)+$A40-1,1)-1)</f>
        <v>5.2893498096935776E-2</v>
      </c>
      <c r="DM40" s="9">
        <f ca="1">IF(OR(DM13="",DM$28&lt;$A40),"",DM13/OFFSET(ParoRegCLM!$A$2,MATCH(DM$29,ParoRegCLM!$A$2:$A$500)+$A40-1,1)-1)</f>
        <v>3.9833294762865012E-2</v>
      </c>
      <c r="DN40" s="9">
        <f ca="1">IF(OR(DN13="",DN$28&lt;$A40),"",DN13/OFFSET(ParoRegCLM!$A$2,MATCH(DN$29,ParoRegCLM!$A$2:$A$500)+$A40-1,1)-1)</f>
        <v>5.3950894281471706E-2</v>
      </c>
      <c r="DO40" s="9">
        <f ca="1">IF(OR(DO13="",DO$28&lt;$A40),"",DO13/OFFSET(ParoRegCLM!$A$2,MATCH(DO$29,ParoRegCLM!$A$2:$A$500)+$A40-1,1)-1)</f>
        <v>-2.1870511218269328E-2</v>
      </c>
      <c r="DP40" s="9">
        <f ca="1">IF(OR(DP13="",DP$28&lt;$A40),"",DP13/OFFSET(ParoRegCLM!$A$2,MATCH(DP$29,ParoRegCLM!$A$2:$A$500)+$A40-1,1)-1)</f>
        <v>9.6665762379887665E-2</v>
      </c>
      <c r="DQ40" s="9">
        <f ca="1">IF(OR(DQ13="",DQ$28&lt;$A40),"",DQ13/OFFSET(ParoRegCLM!$A$2,MATCH(DQ$29,ParoRegCLM!$A$2:$A$500)+$A40-1,1)-1)</f>
        <v>6.8691001251888206E-2</v>
      </c>
      <c r="DR40" s="9">
        <f ca="1">IF(OR(DR13="",DR$28&lt;$A40),"",DR13/OFFSET(ParoRegCLM!$A$2,MATCH(DR$29,ParoRegCLM!$A$2:$A$500)+$A40-1,1)-1)</f>
        <v>9.3577985877080216E-4</v>
      </c>
      <c r="DS40" s="9">
        <f ca="1">IF(OR(DS13="",DS$28&lt;$A40),"",DS13/OFFSET(ParoRegCLM!$A$2,MATCH(DS$29,ParoRegCLM!$A$2:$A$500)+$A40-1,1)-1)</f>
        <v>-6.9630607678642376E-3</v>
      </c>
      <c r="DT40" s="9">
        <f ca="1">IF(OR(DT13="",DT$28&lt;$A40),"",DT13/OFFSET(ParoRegCLM!$A$2,MATCH(DT$29,ParoRegCLM!$A$2:$A$500)+$A40-1,1)-1)</f>
        <v>3.3244798912270834E-3</v>
      </c>
      <c r="DU40" s="9">
        <f ca="1">IF(OR(DU13="",DU$28&lt;$A40),"",DU13/OFFSET(ParoRegCLM!$A$2,MATCH(DU$29,ParoRegCLM!$A$2:$A$500)+$A40-1,1)-1)</f>
        <v>2.0307113718313508E-2</v>
      </c>
      <c r="DV40" s="9">
        <f ca="1">IF(OR(DV13="",DV$28&lt;$A40),"",DV13/OFFSET(ParoRegCLM!$A$2,MATCH(DV$29,ParoRegCLM!$A$2:$A$500)+$A40-1,1)-1)</f>
        <v>5.822674403167527E-3</v>
      </c>
      <c r="DW40" s="9">
        <f ca="1">IF(OR(DW13="",DW$28&lt;$A40),"",DW13/OFFSET(ParoRegCLM!$A$2,MATCH(DW$29,ParoRegCLM!$A$2:$A$500)+$A40-1,1)-1)</f>
        <v>1.2197019418246358E-2</v>
      </c>
      <c r="DX40" s="9">
        <f ca="1">IF(OR(DX13="",DX$28&lt;$A40),"",DX13/OFFSET(ParoRegCLM!$A$2,MATCH(DX$29,ParoRegCLM!$A$2:$A$500)+$A40-1,1)-1)</f>
        <v>4.1721974958711439E-2</v>
      </c>
      <c r="DY40" s="9">
        <f ca="1">IF(OR(DY13="",DY$28&lt;$A40),"",DY13/OFFSET(ParoRegCLM!$A$2,MATCH(DY$29,ParoRegCLM!$A$2:$A$500)+$A40-1,1)-1)</f>
        <v>6.047511227088842E-2</v>
      </c>
      <c r="DZ40" s="9">
        <f ca="1">IF(OR(DZ13="",DZ$28&lt;$A40),"",DZ13/OFFSET(ParoRegCLM!$A$2,MATCH(DZ$29,ParoRegCLM!$A$2:$A$500)+$A40-1,1)-1)</f>
        <v>1.9954554915425859E-2</v>
      </c>
      <c r="EA40" s="9">
        <f ca="1">IF(OR(EA13="",EA$28&lt;$A40),"",EA13/OFFSET(ParoRegCLM!$A$2,MATCH(EA$29,ParoRegCLM!$A$2:$A$500)+$A40-1,1)-1)</f>
        <v>2.6328422888717284E-3</v>
      </c>
      <c r="EB40" s="9">
        <f ca="1">IF(OR(EB13="",EB$28&lt;$A40),"",EB13/OFFSET(ParoRegCLM!$A$2,MATCH(EB$29,ParoRegCLM!$A$2:$A$500)+$A40-1,1)-1)</f>
        <v>3.8967984732369176E-2</v>
      </c>
      <c r="EC40" s="9">
        <f ca="1">IF(OR(EC13="",EC$28&lt;$A40),"",EC13/OFFSET(ParoRegCLM!$A$2,MATCH(EC$29,ParoRegCLM!$A$2:$A$500)+$A40-1,1)-1)</f>
        <v>-2.9876854638741346E-2</v>
      </c>
      <c r="ED40" s="9">
        <f ca="1">IF(OR(ED13="",ED$28&lt;$A40),"",ED13/OFFSET(ParoRegCLM!$A$2,MATCH(ED$29,ParoRegCLM!$A$2:$A$500)+$A40-1,1)-1)</f>
        <v>5.9037935338901448E-4</v>
      </c>
      <c r="EE40" s="9">
        <f ca="1">IF(OR(EE13="",EE$28&lt;$A40),"",EE13/OFFSET(ParoRegCLM!$A$2,MATCH(EE$29,ParoRegCLM!$A$2:$A$500)+$A40-1,1)-1)</f>
        <v>1.3618893915596342E-2</v>
      </c>
      <c r="EF40" s="9">
        <f ca="1">IF(OR(EF13="",EF$28&lt;$A40),"",EF13/OFFSET(ParoRegCLM!$A$2,MATCH(EF$29,ParoRegCLM!$A$2:$A$500)+$A40-1,1)-1)</f>
        <v>-2.0348524054594086E-2</v>
      </c>
      <c r="EG40" s="9">
        <f ca="1">IF(OR(EG13="",EG$28&lt;$A40),"",EG13/OFFSET(ParoRegCLM!$A$2,MATCH(EG$29,ParoRegCLM!$A$2:$A$500)+$A40-1,1)-1)</f>
        <v>-3.0032957346116995E-2</v>
      </c>
      <c r="EH40" s="9">
        <f ca="1">IF(OR(EH13="",EH$28&lt;$A40),"",EH13/OFFSET(ParoRegCLM!$A$2,MATCH(EH$29,ParoRegCLM!$A$2:$A$500)+$A40-1,1)-1)</f>
        <v>-8.9848865080402796E-2</v>
      </c>
      <c r="EI40" s="9">
        <f ca="1">IF(OR(EI13="",EI$28&lt;$A40),"",EI13/OFFSET(ParoRegCLM!$A$2,MATCH(EI$29,ParoRegCLM!$A$2:$A$500)+$A40-1,1)-1)</f>
        <v>-7.0901357014267585E-2</v>
      </c>
      <c r="EJ40" s="9">
        <f ca="1">IF(OR(EJ13="",EJ$28&lt;$A40),"",EJ13/OFFSET(ParoRegCLM!$A$2,MATCH(EJ$29,ParoRegCLM!$A$2:$A$500)+$A40-1,1)-1)</f>
        <v>-2.0079209653931729E-2</v>
      </c>
      <c r="EK40" s="9">
        <f ca="1">IF(OR(EK13="",EK$28&lt;$A40),"",EK13/OFFSET(ParoRegCLM!$A$2,MATCH(EK$29,ParoRegCLM!$A$2:$A$500)+$A40-1,1)-1)</f>
        <v>3.8934062083142207E-2</v>
      </c>
      <c r="EL40" s="9">
        <f ca="1">IF(OR(EL13="",EL$28&lt;$A40),"",EL13/OFFSET(ParoRegCLM!$A$2,MATCH(EL$29,ParoRegCLM!$A$2:$A$500)+$A40-1,1)-1)</f>
        <v>5.6630248080572709E-2</v>
      </c>
      <c r="EM40" s="9">
        <f ca="1">IF(OR(EM13="",EM$28&lt;$A40),"",EM13/OFFSET(ParoRegCLM!$A$2,MATCH(EM$29,ParoRegCLM!$A$2:$A$500)+$A40-1,1)-1)</f>
        <v>4.6470495462952455E-2</v>
      </c>
      <c r="EN40" s="9">
        <f ca="1">IF(OR(EN13="",EN$28&lt;$A40),"",EN13/OFFSET(ParoRegCLM!$A$2,MATCH(EN$29,ParoRegCLM!$A$2:$A$500)+$A40-1,1)-1)</f>
        <v>0.11322417656095762</v>
      </c>
      <c r="EO40" s="9">
        <f ca="1">IF(OR(EO13="",EO$28&lt;$A40),"",EO13/OFFSET(ParoRegCLM!$A$2,MATCH(EO$29,ParoRegCLM!$A$2:$A$500)+$A40-1,1)-1)</f>
        <v>4.1535908800359289E-2</v>
      </c>
      <c r="EP40" s="9">
        <f ca="1">IF(OR(EP13="",EP$28&lt;$A40),"",EP13/OFFSET(ParoRegCLM!$A$2,MATCH(EP$29,ParoRegCLM!$A$2:$A$500)+$A40-1,1)-1)</f>
        <v>2.7459033661605625E-2</v>
      </c>
      <c r="EQ40" s="9">
        <f ca="1">IF(OR(EQ13="",EQ$28&lt;$A40),"",EQ13/OFFSET(ParoRegCLM!$A$2,MATCH(EQ$29,ParoRegCLM!$A$2:$A$500)+$A40-1,1)-1)</f>
        <v>4.1837335869180592E-2</v>
      </c>
      <c r="ER40" s="9">
        <f ca="1">IF(OR(ER13="",ER$28&lt;$A40),"",ER13/OFFSET(ParoRegCLM!$A$2,MATCH(ER$29,ParoRegCLM!$A$2:$A$500)+$A40-1,1)-1)</f>
        <v>4.7981477768736847E-2</v>
      </c>
      <c r="ES40" s="9">
        <f ca="1">IF(OR(ES13="",ES$28&lt;$A40),"",ES13/OFFSET(ParoRegCLM!$A$2,MATCH(ES$29,ParoRegCLM!$A$2:$A$500)+$A40-1,1)-1)</f>
        <v>1.1752296134312834E-2</v>
      </c>
      <c r="ET40" s="9">
        <f ca="1">IF(OR(ET13="",ET$28&lt;$A40),"",ET13/OFFSET(ParoRegCLM!$A$2,MATCH(ET$29,ParoRegCLM!$A$2:$A$500)+$A40-1,1)-1)</f>
        <v>-1.2974260691165695E-2</v>
      </c>
      <c r="EU40" s="9">
        <f ca="1">IF(OR(EU13="",EU$28&lt;$A40),"",EU13/OFFSET(ParoRegCLM!$A$2,MATCH(EU$29,ParoRegCLM!$A$2:$A$500)+$A40-1,1)-1)</f>
        <v>-9.2329317544483813E-2</v>
      </c>
      <c r="EV40" s="9">
        <f ca="1">IF(OR(EV13="",EV$28&lt;$A40),"",EV13/OFFSET(ParoRegCLM!$A$2,MATCH(EV$29,ParoRegCLM!$A$2:$A$500)+$A40-1,1)-1)</f>
        <v>-9.5251185857739729E-2</v>
      </c>
      <c r="EW40" s="9">
        <f ca="1">IF(OR(EW13="",EW$28&lt;$A40),"",EW13/OFFSET(ParoRegCLM!$A$2,MATCH(EW$29,ParoRegCLM!$A$2:$A$500)+$A40-1,1)-1)</f>
        <v>-5.4010604326639511E-2</v>
      </c>
      <c r="EX40" s="9">
        <f ca="1">IF(OR(EX13="",EX$28&lt;$A40),"",EX13/OFFSET(ParoRegCLM!$A$2,MATCH(EX$29,ParoRegCLM!$A$2:$A$500)+$A40-1,1)-1)</f>
        <v>-2.9463989225322895E-2</v>
      </c>
      <c r="EY40" s="9">
        <f ca="1">IF(OR(EY13="",EY$28&lt;$A40),"",EY13/OFFSET(ParoRegCLM!$A$2,MATCH(EY$29,ParoRegCLM!$A$2:$A$500)+$A40-1,1)-1)</f>
        <v>-5.1208712686512947E-2</v>
      </c>
      <c r="EZ40" s="9">
        <f ca="1">IF(OR(EZ13="",EZ$28&lt;$A40),"",EZ13/OFFSET(ParoRegCLM!$A$2,MATCH(EZ$29,ParoRegCLM!$A$2:$A$500)+$A40-1,1)-1)</f>
        <v>-2.551099480520469E-2</v>
      </c>
      <c r="FA40" s="9">
        <f ca="1">IF(OR(FA13="",FA$28&lt;$A40),"",FA13/OFFSET(ParoRegCLM!$A$2,MATCH(FA$29,ParoRegCLM!$A$2:$A$500)+$A40-1,1)-1)</f>
        <v>5.4755301185557936E-2</v>
      </c>
      <c r="FB40" s="9">
        <f ca="1">IF(OR(FB13="",FB$28&lt;$A40),"",FB13/OFFSET(ParoRegCLM!$A$2,MATCH(FB$29,ParoRegCLM!$A$2:$A$500)+$A40-1,1)-1)</f>
        <v>2.5802314764859391E-2</v>
      </c>
      <c r="FC40" s="9">
        <f ca="1">IF(OR(FC13="",FC$28&lt;$A40),"",FC13/OFFSET(ParoRegCLM!$A$2,MATCH(FC$29,ParoRegCLM!$A$2:$A$500)+$A40-1,1)-1)</f>
        <v>8.8857197923692954E-3</v>
      </c>
      <c r="FD40" s="9">
        <f ca="1">IF(OR(FD13="",FD$28&lt;$A40),"",FD13/OFFSET(ParoRegCLM!$A$2,MATCH(FD$29,ParoRegCLM!$A$2:$A$500)+$A40-1,1)-1)</f>
        <v>-2.6231233630273021E-2</v>
      </c>
      <c r="FE40" s="9">
        <f ca="1">IF(OR(FE13="",FE$28&lt;$A40),"",FE13/OFFSET(ParoRegCLM!$A$2,MATCH(FE$29,ParoRegCLM!$A$2:$A$500)+$A40-1,1)-1)</f>
        <v>-2.4821776848524824E-2</v>
      </c>
      <c r="FF40" s="9">
        <f ca="1">IF(OR(FF13="",FF$28&lt;$A40),"",FF13/OFFSET(ParoRegCLM!$A$2,MATCH(FF$29,ParoRegCLM!$A$2:$A$500)+$A40-1,1)-1)</f>
        <v>2.7122190410699076E-2</v>
      </c>
      <c r="FG40" s="9">
        <f ca="1">IF(OR(FG13="",FG$28&lt;$A40),"",FG13/OFFSET(ParoRegCLM!$A$2,MATCH(FG$29,ParoRegCLM!$A$2:$A$500)+$A40-1,1)-1)</f>
        <v>1.8307813792855399E-2</v>
      </c>
      <c r="FH40" s="9">
        <f ca="1">IF(OR(FH13="",FH$28&lt;$A40),"",FH13/OFFSET(ParoRegCLM!$A$2,MATCH(FH$29,ParoRegCLM!$A$2:$A$500)+$A40-1,1)-1)</f>
        <v>-2.6770854956358781E-2</v>
      </c>
      <c r="FI40" s="9">
        <f ca="1">IF(OR(FI13="",FI$28&lt;$A40),"",FI13/OFFSET(ParoRegCLM!$A$2,MATCH(FI$29,ParoRegCLM!$A$2:$A$500)+$A40-1,1)-1)</f>
        <v>-2.4393521691133069E-2</v>
      </c>
      <c r="FJ40" s="9">
        <f ca="1">IF(OR(FJ13="",FJ$28&lt;$A40),"",FJ13/OFFSET(ParoRegCLM!$A$2,MATCH(FJ$29,ParoRegCLM!$A$2:$A$500)+$A40-1,1)-1)</f>
        <v>-4.696563166385348E-2</v>
      </c>
      <c r="FK40" s="9">
        <f ca="1">IF(OR(FK13="",FK$28&lt;$A40),"",FK13/OFFSET(ParoRegCLM!$A$2,MATCH(FK$29,ParoRegCLM!$A$2:$A$500)+$A40-1,1)-1)</f>
        <v>2.0096565772735664E-2</v>
      </c>
      <c r="FL40" s="9">
        <f ca="1">IF(OR(FL13="",FL$28&lt;$A40),"",FL13/OFFSET(ParoRegCLM!$A$2,MATCH(FL$29,ParoRegCLM!$A$2:$A$500)+$A40-1,1)-1)</f>
        <v>-0.11990742093733919</v>
      </c>
      <c r="FM40" s="9">
        <f ca="1">IF(OR(FM13="",FM$28&lt;$A40),"",FM13/OFFSET(ParoRegCLM!$A$2,MATCH(FM$29,ParoRegCLM!$A$2:$A$500)+$A40-1,1)-1)</f>
        <v>-0.10218072832014158</v>
      </c>
      <c r="FN40" s="9">
        <f ca="1">IF(OR(FN13="",FN$28&lt;$A40),"",FN13/OFFSET(ParoRegCLM!$A$2,MATCH(FN$29,ParoRegCLM!$A$2:$A$500)+$A40-1,1)-1)</f>
        <v>-5.158751168804443E-2</v>
      </c>
      <c r="FO40" s="9">
        <f ca="1">IF(OR(FO13="",FO$28&lt;$A40),"",FO13/OFFSET(ParoRegCLM!$A$2,MATCH(FO$29,ParoRegCLM!$A$2:$A$500)+$A40-1,1)-1)</f>
        <v>3.7861480814761928E-2</v>
      </c>
      <c r="FP40" s="9">
        <f ca="1">IF(OR(FP13="",FP$28&lt;$A40),"",FP13/OFFSET(ParoRegCLM!$A$2,MATCH(FP$29,ParoRegCLM!$A$2:$A$500)+$A40-1,1)-1)</f>
        <v>2.9431450851120422E-2</v>
      </c>
      <c r="FQ40" s="9">
        <f ca="1">IF(OR(FQ13="",FQ$28&lt;$A40),"",FQ13/OFFSET(ParoRegCLM!$A$2,MATCH(FQ$29,ParoRegCLM!$A$2:$A$500)+$A40-1,1)-1)</f>
        <v>6.4978753717308102E-2</v>
      </c>
      <c r="FR40" s="9">
        <f ca="1">IF(OR(FR13="",FR$28&lt;$A40),"",FR13/OFFSET(ParoRegCLM!$A$2,MATCH(FR$29,ParoRegCLM!$A$2:$A$500)+$A40-1,1)-1)</f>
        <v>9.8166965326474065E-2</v>
      </c>
      <c r="FS40" s="9">
        <f ca="1">IF(OR(FS13="",FS$28&lt;$A40),"",FS13/OFFSET(ParoRegCLM!$A$2,MATCH(FS$29,ParoRegCLM!$A$2:$A$500)+$A40-1,1)-1)</f>
        <v>9.282017095808115E-2</v>
      </c>
      <c r="FT40" s="9">
        <f ca="1">IF(OR(FT13="",FT$28&lt;$A40),"",FT13/OFFSET(ParoRegCLM!$A$2,MATCH(FT$29,ParoRegCLM!$A$2:$A$500)+$A40-1,1)-1)</f>
        <v>7.9485619571343147E-2</v>
      </c>
      <c r="FU40" s="9">
        <f ca="1">IF(OR(FU13="",FU$28&lt;$A40),"",FU13/OFFSET(ParoRegCLM!$A$2,MATCH(FU$29,ParoRegCLM!$A$2:$A$500)+$A40-1,1)-1)</f>
        <v>3.9306859594498533E-2</v>
      </c>
      <c r="FV40" s="9">
        <f ca="1">IF(OR(FV13="",FV$28&lt;$A40),"",FV13/OFFSET(ParoRegCLM!$A$2,MATCH(FV$29,ParoRegCLM!$A$2:$A$500)+$A40-1,1)-1)</f>
        <v>3.711991800142922E-2</v>
      </c>
      <c r="FW40" s="9">
        <f ca="1">IF(OR(FW13="",FW$28&lt;$A40),"",FW13/OFFSET(ParoRegCLM!$A$2,MATCH(FW$29,ParoRegCLM!$A$2:$A$500)+$A40-1,1)-1)</f>
        <v>1.9846005299504865E-2</v>
      </c>
      <c r="FX40" s="9">
        <f ca="1">IF(OR(FX13="",FX$28&lt;$A40),"",FX13/OFFSET(ParoRegCLM!$A$2,MATCH(FX$29,ParoRegCLM!$A$2:$A$500)+$A40-1,1)-1)</f>
        <v>-4.9832300571807653E-2</v>
      </c>
      <c r="FY40" s="9">
        <f ca="1">IF(OR(FY13="",FY$28&lt;$A40),"",FY13/OFFSET(ParoRegCLM!$A$2,MATCH(FY$29,ParoRegCLM!$A$2:$A$500)+$A40-1,1)-1)</f>
        <v>-0.11248505026519939</v>
      </c>
      <c r="FZ40" s="9">
        <f ca="1">IF(OR(FZ13="",FZ$28&lt;$A40),"",FZ13/OFFSET(ParoRegCLM!$A$2,MATCH(FZ$29,ParoRegCLM!$A$2:$A$500)+$A40-1,1)-1)</f>
        <v>-0.16508349145943524</v>
      </c>
      <c r="GA40" s="9">
        <f ca="1">IF(OR(GA13="",GA$28&lt;$A40),"",GA13/OFFSET(ParoRegCLM!$A$2,MATCH(GA$29,ParoRegCLM!$A$2:$A$500)+$A40-1,1)-1)</f>
        <v>-0.13295166973082351</v>
      </c>
      <c r="GB40" s="9">
        <f ca="1">IF(OR(GB13="",GB$28&lt;$A40),"",GB13/OFFSET(ParoRegCLM!$A$2,MATCH(GB$29,ParoRegCLM!$A$2:$A$500)+$A40-1,1)-1)</f>
        <v>-0.13911380247408067</v>
      </c>
      <c r="GC40" s="9">
        <f ca="1">IF(OR(GC13="",GC$28&lt;$A40),"",GC13/OFFSET(ParoRegCLM!$A$2,MATCH(GC$29,ParoRegCLM!$A$2:$A$500)+$A40-1,1)-1)</f>
        <v>-0.10146961769531593</v>
      </c>
      <c r="GD40" s="9">
        <f ca="1">IF(OR(GD13="",GD$28&lt;$A40),"",GD13/OFFSET(ParoRegCLM!$A$2,MATCH(GD$29,ParoRegCLM!$A$2:$A$500)+$A40-1,1)-1)</f>
        <v>-0.12873982667847417</v>
      </c>
      <c r="GE40" s="9">
        <f ca="1">IF(OR(GE13="",GE$28&lt;$A40),"",GE13/OFFSET(ParoRegCLM!$A$2,MATCH(GE$29,ParoRegCLM!$A$2:$A$500)+$A40-1,1)-1)</f>
        <v>-0.15270286521030285</v>
      </c>
      <c r="GF40" s="9">
        <f ca="1">IF(OR(GF13="",GF$28&lt;$A40),"",GF13/OFFSET(ParoRegCLM!$A$2,MATCH(GF$29,ParoRegCLM!$A$2:$A$500)+$A40-1,1)-1)</f>
        <v>-0.13219001383724294</v>
      </c>
      <c r="GG40" s="9">
        <f ca="1">IF(OR(GG13="",GG$28&lt;$A40),"",GG13/OFFSET(ParoRegCLM!$A$2,MATCH(GG$29,ParoRegCLM!$A$2:$A$500)+$A40-1,1)-1)</f>
        <v>-0.1135952454228375</v>
      </c>
      <c r="GH40" s="9">
        <f ca="1">IF(OR(GH13="",GH$28&lt;$A40),"",GH13/OFFSET(ParoRegCLM!$A$2,MATCH(GH$29,ParoRegCLM!$A$2:$A$500)+$A40-1,1)-1)</f>
        <v>-9.3978179818025143E-2</v>
      </c>
      <c r="GI40" s="9">
        <f ca="1">IF(OR(GI13="",GI$28&lt;$A40),"",GI13/OFFSET(ParoRegCLM!$A$2,MATCH(GI$29,ParoRegCLM!$A$2:$A$500)+$A40-1,1)-1)</f>
        <v>-5.5824382258457872E-2</v>
      </c>
      <c r="GJ40" s="9">
        <f ca="1">IF(OR(GJ13="",GJ$28&lt;$A40),"",GJ13/OFFSET(ParoRegCLM!$A$2,MATCH(GJ$29,ParoRegCLM!$A$2:$A$500)+$A40-1,1)-1)</f>
        <v>-3.1199669091948046E-2</v>
      </c>
      <c r="GK40" s="9">
        <f ca="1">IF(OR(GK13="",GK$28&lt;$A40),"",GK13/OFFSET(ParoRegCLM!$A$2,MATCH(GK$29,ParoRegCLM!$A$2:$A$500)+$A40-1,1)-1)</f>
        <v>-5.2979499528149843E-2</v>
      </c>
      <c r="GL40" s="9">
        <f ca="1">IF(OR(GL13="",GL$28&lt;$A40),"",GL13/OFFSET(ParoRegCLM!$A$2,MATCH(GL$29,ParoRegCLM!$A$2:$A$500)+$A40-1,1)-1)</f>
        <v>-4.2944951011031018E-2</v>
      </c>
      <c r="GM40" s="9">
        <f ca="1">IF(OR(GM13="",GM$28&lt;$A40),"",GM13/OFFSET(ParoRegCLM!$A$2,MATCH(GM$29,ParoRegCLM!$A$2:$A$500)+$A40-1,1)-1)</f>
        <v>-4.6884429385131821E-2</v>
      </c>
      <c r="GN40" s="9">
        <f ca="1">IF(OR(GN13="",GN$28&lt;$A40),"",GN13/OFFSET(ParoRegCLM!$A$2,MATCH(GN$29,ParoRegCLM!$A$2:$A$500)+$A40-1,1)-1)</f>
        <v>-9.0517966438431685E-2</v>
      </c>
      <c r="GO40" s="9" t="str">
        <f ca="1">IF(OR(GO13="",GO$28&lt;$A40),"",GO13/OFFSET(ParoRegCLM!$A$2,MATCH(GO$29,ParoRegCLM!$A$2:$A$500)+$A40-1,1)-1)</f>
        <v/>
      </c>
      <c r="GP40" s="9" t="str">
        <f ca="1">IF(OR(GP13="",GP$28&lt;$A40),"",GP13/OFFSET(ParoRegCLM!$A$2,MATCH(GP$29,ParoRegCLM!$A$2:$A$500)+$A40-1,1)-1)</f>
        <v/>
      </c>
      <c r="GQ40" s="9" t="str">
        <f ca="1">IF(OR(GQ13="",GQ$28&lt;$A40),"",GQ13/OFFSET(ParoRegCLM!$A$2,MATCH(GQ$29,ParoRegCLM!$A$2:$A$500)+$A40-1,1)-1)</f>
        <v/>
      </c>
      <c r="GR40" s="9" t="str">
        <f ca="1">IF(OR(GR13="",GR$28&lt;$A40),"",GR13/OFFSET(ParoRegCLM!$A$2,MATCH(GR$29,ParoRegCLM!$A$2:$A$500)+$A40-1,1)-1)</f>
        <v/>
      </c>
      <c r="GS40" s="9" t="str">
        <f ca="1">IF(OR(GS13="",GS$28&lt;$A40),"",GS13/OFFSET(ParoRegCLM!$A$2,MATCH(GS$29,ParoRegCLM!$A$2:$A$500)+$A40-1,1)-1)</f>
        <v/>
      </c>
      <c r="GT40" s="9" t="str">
        <f ca="1">IF(OR(GT13="",GT$28&lt;$A40),"",GT13/OFFSET(ParoRegCLM!$A$2,MATCH(GT$29,ParoRegCLM!$A$2:$A$500)+$A40-1,1)-1)</f>
        <v/>
      </c>
      <c r="GU40" s="9" t="str">
        <f ca="1">IF(OR(GU13="",GU$28&lt;$A40),"",GU13/OFFSET(ParoRegCLM!$A$2,MATCH(GU$29,ParoRegCLM!$A$2:$A$500)+$A40-1,1)-1)</f>
        <v/>
      </c>
      <c r="GV40" s="9" t="str">
        <f ca="1">IF(OR(GV13="",GV$28&lt;$A40),"",GV13/OFFSET(ParoRegCLM!$A$2,MATCH(GV$29,ParoRegCLM!$A$2:$A$500)+$A40-1,1)-1)</f>
        <v/>
      </c>
      <c r="GW40" s="9" t="str">
        <f ca="1">IF(OR(GW13="",GW$28&lt;$A40),"",GW13/OFFSET(ParoRegCLM!$A$2,MATCH(GW$29,ParoRegCLM!$A$2:$A$500)+$A40-1,1)-1)</f>
        <v/>
      </c>
      <c r="GX40" s="9" t="str">
        <f ca="1">IF(OR(GX13="",GX$28&lt;$A40),"",GX13/OFFSET(ParoRegCLM!$A$2,MATCH(GX$29,ParoRegCLM!$A$2:$A$500)+$A40-1,1)-1)</f>
        <v/>
      </c>
      <c r="GY40" s="9" t="str">
        <f ca="1">IF(OR(GY13="",GY$28&lt;$A40),"",GY13/OFFSET(ParoRegCLM!$A$2,MATCH(GY$29,ParoRegCLM!$A$2:$A$500)+$A40-1,1)-1)</f>
        <v/>
      </c>
      <c r="GZ40" s="9" t="str">
        <f ca="1">IF(OR(GZ13="",GZ$28&lt;$A40),"",GZ13/OFFSET(ParoRegCLM!$A$2,MATCH(GZ$29,ParoRegCLM!$A$2:$A$500)+$A40-1,1)-1)</f>
        <v/>
      </c>
      <c r="HA40" s="9" t="str">
        <f ca="1">IF(OR(HA13="",HA$28&lt;$A40),"",HA13/OFFSET(ParoRegCLM!$A$2,MATCH(HA$29,ParoRegCLM!$A$2:$A$500)+$A40-1,1)-1)</f>
        <v/>
      </c>
      <c r="HB40" s="9" t="str">
        <f ca="1">IF(OR(HB13="",HB$28&lt;$A40),"",HB13/OFFSET(ParoRegCLM!$A$2,MATCH(HB$29,ParoRegCLM!$A$2:$A$500)+$A40-1,1)-1)</f>
        <v/>
      </c>
      <c r="HC40" s="9" t="str">
        <f ca="1">IF(OR(HC13="",HC$28&lt;$A40),"",HC13/OFFSET(ParoRegCLM!$A$2,MATCH(HC$29,ParoRegCLM!$A$2:$A$500)+$A40-1,1)-1)</f>
        <v/>
      </c>
      <c r="HD40" s="9" t="str">
        <f ca="1">IF(OR(HD13="",HD$28&lt;$A40),"",HD13/OFFSET(ParoRegCLM!$A$2,MATCH(HD$29,ParoRegCLM!$A$2:$A$500)+$A40-1,1)-1)</f>
        <v/>
      </c>
      <c r="HE40" s="9" t="str">
        <f ca="1">IF(OR(HE13="",HE$28&lt;$A40),"",HE13/OFFSET(ParoRegCLM!$A$2,MATCH(HE$29,ParoRegCLM!$A$2:$A$500)+$A40-1,1)-1)</f>
        <v/>
      </c>
      <c r="HF40" s="9" t="str">
        <f ca="1">IF(OR(HF13="",HF$28&lt;$A40),"",HF13/OFFSET(ParoRegCLM!$A$2,MATCH(HF$29,ParoRegCLM!$A$2:$A$500)+$A40-1,1)-1)</f>
        <v/>
      </c>
      <c r="HG40" s="9" t="str">
        <f ca="1">IF(OR(HG13="",HG$28&lt;$A40),"",HG13/OFFSET(ParoRegCLM!$A$2,MATCH(HG$29,ParoRegCLM!$A$2:$A$500)+$A40-1,1)-1)</f>
        <v/>
      </c>
      <c r="HH40" s="9" t="str">
        <f ca="1">IF(OR(HH13="",HH$28&lt;$A40),"",HH13/OFFSET(ParoRegCLM!$A$2,MATCH(HH$29,ParoRegCLM!$A$2:$A$500)+$A40-1,1)-1)</f>
        <v/>
      </c>
      <c r="HI40" s="9" t="str">
        <f ca="1">IF(OR(HI13="",HI$28&lt;$A40),"",HI13/OFFSET(ParoRegCLM!$A$2,MATCH(HI$29,ParoRegCLM!$A$2:$A$500)+$A40-1,1)-1)</f>
        <v/>
      </c>
      <c r="HJ40" s="9" t="str">
        <f ca="1">IF(OR(HJ13="",HJ$28&lt;$A40),"",HJ13/OFFSET(ParoRegCLM!$A$2,MATCH(HJ$29,ParoRegCLM!$A$2:$A$500)+$A40-1,1)-1)</f>
        <v/>
      </c>
      <c r="HK40" s="9" t="str">
        <f ca="1">IF(OR(HK13="",HK$28&lt;$A40),"",HK13/OFFSET(ParoRegCLM!$A$2,MATCH(HK$29,ParoRegCLM!$A$2:$A$500)+$A40-1,1)-1)</f>
        <v/>
      </c>
      <c r="HL40" s="9" t="str">
        <f ca="1">IF(OR(HL13="",HL$28&lt;$A40),"",HL13/OFFSET(ParoRegCLM!$A$2,MATCH(HL$29,ParoRegCLM!$A$2:$A$500)+$A40-1,1)-1)</f>
        <v/>
      </c>
      <c r="HM40" s="9" t="str">
        <f ca="1">IF(OR(HM13="",HM$28&lt;$A40),"",HM13/OFFSET(ParoRegCLM!$A$2,MATCH(HM$29,ParoRegCLM!$A$2:$A$500)+$A40-1,1)-1)</f>
        <v/>
      </c>
      <c r="HN40" s="9" t="str">
        <f ca="1">IF(OR(HN13="",HN$28&lt;$A40),"",HN13/OFFSET(ParoRegCLM!$A$2,MATCH(HN$29,ParoRegCLM!$A$2:$A$500)+$A40-1,1)-1)</f>
        <v/>
      </c>
      <c r="HO40" s="9" t="str">
        <f ca="1">IF(OR(HO13="",HO$28&lt;$A40),"",HO13/OFFSET(ParoRegCLM!$A$2,MATCH(HO$29,ParoRegCLM!$A$2:$A$500)+$A40-1,1)-1)</f>
        <v/>
      </c>
      <c r="HP40" s="9" t="str">
        <f ca="1">IF(OR(HP13="",HP$28&lt;$A40),"",HP13/OFFSET(ParoRegCLM!$A$2,MATCH(HP$29,ParoRegCLM!$A$2:$A$500)+$A40-1,1)-1)</f>
        <v/>
      </c>
      <c r="HQ40" s="9" t="str">
        <f ca="1">IF(OR(HQ13="",HQ$28&lt;$A40),"",HQ13/OFFSET(ParoRegCLM!$A$2,MATCH(HQ$29,ParoRegCLM!$A$2:$A$500)+$A40-1,1)-1)</f>
        <v/>
      </c>
      <c r="HR40" s="9" t="str">
        <f ca="1">IF(OR(HR13="",HR$28&lt;$A40),"",HR13/OFFSET(ParoRegCLM!$A$2,MATCH(HR$29,ParoRegCLM!$A$2:$A$500)+$A40-1,1)-1)</f>
        <v/>
      </c>
      <c r="HS40" s="9" t="str">
        <f ca="1">IF(OR(HS13="",HS$28&lt;$A40),"",HS13/OFFSET(ParoRegCLM!$A$2,MATCH(HS$29,ParoRegCLM!$A$2:$A$500)+$A40-1,1)-1)</f>
        <v/>
      </c>
      <c r="HT40" s="9" t="str">
        <f ca="1">IF(OR(HT13="",HT$28&lt;$A40),"",HT13/OFFSET(ParoRegCLM!$A$2,MATCH(HT$29,ParoRegCLM!$A$2:$A$500)+$A40-1,1)-1)</f>
        <v/>
      </c>
      <c r="HU40" s="9" t="str">
        <f ca="1">IF(OR(HU13="",HU$28&lt;$A40),"",HU13/OFFSET(ParoRegCLM!$A$2,MATCH(HU$29,ParoRegCLM!$A$2:$A$500)+$A40-1,1)-1)</f>
        <v/>
      </c>
      <c r="HV40" s="9" t="str">
        <f ca="1">IF(OR(HV13="",HV$28&lt;$A40),"",HV13/OFFSET(ParoRegCLM!$A$2,MATCH(HV$29,ParoRegCLM!$A$2:$A$500)+$A40-1,1)-1)</f>
        <v/>
      </c>
      <c r="HW40" s="9" t="str">
        <f ca="1">IF(OR(HW13="",HW$28&lt;$A40),"",HW13/OFFSET(ParoRegCLM!$A$2,MATCH(HW$29,ParoRegCLM!$A$2:$A$500)+$A40-1,1)-1)</f>
        <v/>
      </c>
      <c r="HX40" s="9" t="str">
        <f ca="1">IF(OR(HX13="",HX$28&lt;$A40),"",HX13/OFFSET(ParoRegCLM!$A$2,MATCH(HX$29,ParoRegCLM!$A$2:$A$500)+$A40-1,1)-1)</f>
        <v/>
      </c>
      <c r="HY40" s="9" t="str">
        <f ca="1">IF(OR(HY13="",HY$28&lt;$A40),"",HY13/OFFSET(ParoRegCLM!$A$2,MATCH(HY$29,ParoRegCLM!$A$2:$A$500)+$A40-1,1)-1)</f>
        <v/>
      </c>
      <c r="HZ40" s="9" t="str">
        <f ca="1">IF(OR(HZ13="",HZ$28&lt;$A40),"",HZ13/OFFSET(ParoRegCLM!$A$2,MATCH(HZ$29,ParoRegCLM!$A$2:$A$500)+$A40-1,1)-1)</f>
        <v/>
      </c>
      <c r="IA40" s="9" t="str">
        <f ca="1">IF(OR(IA13="",IA$28&lt;$A40),"",IA13/OFFSET(ParoRegCLM!$A$2,MATCH(IA$29,ParoRegCLM!$A$2:$A$500)+$A40-1,1)-1)</f>
        <v/>
      </c>
      <c r="IB40" s="9" t="str">
        <f ca="1">IF(OR(IB13="",IB$28&lt;$A40),"",IB13/OFFSET(ParoRegCLM!$A$2,MATCH(IB$29,ParoRegCLM!$A$2:$A$500)+$A40-1,1)-1)</f>
        <v/>
      </c>
      <c r="IC40" s="9" t="str">
        <f ca="1">IF(OR(IC13="",IC$28&lt;$A40),"",IC13/OFFSET(ParoRegCLM!$A$2,MATCH(IC$29,ParoRegCLM!$A$2:$A$500)+$A40-1,1)-1)</f>
        <v/>
      </c>
      <c r="ID40" s="9" t="str">
        <f ca="1">IF(OR(ID13="",ID$28&lt;$A40),"",ID13/OFFSET(ParoRegCLM!$A$2,MATCH(ID$29,ParoRegCLM!$A$2:$A$500)+$A40-1,1)-1)</f>
        <v/>
      </c>
      <c r="IE40" s="9" t="str">
        <f ca="1">IF(OR(IE13="",IE$28&lt;$A40),"",IE13/OFFSET(ParoRegCLM!$A$2,MATCH(IE$29,ParoRegCLM!$A$2:$A$500)+$A40-1,1)-1)</f>
        <v/>
      </c>
      <c r="IF40" s="9" t="str">
        <f ca="1">IF(OR(IF13="",IF$28&lt;$A40),"",IF13/OFFSET(ParoRegCLM!$A$2,MATCH(IF$29,ParoRegCLM!$A$2:$A$500)+$A40-1,1)-1)</f>
        <v/>
      </c>
      <c r="IG40" s="9" t="str">
        <f ca="1">IF(OR(IG13="",IG$28&lt;$A40),"",IG13/OFFSET(ParoRegCLM!$A$2,MATCH(IG$29,ParoRegCLM!$A$2:$A$500)+$A40-1,1)-1)</f>
        <v/>
      </c>
      <c r="IH40" s="9" t="str">
        <f ca="1">IF(OR(IH13="",IH$28&lt;$A40),"",IH13/OFFSET(ParoRegCLM!$A$2,MATCH(IH$29,ParoRegCLM!$A$2:$A$500)+$A40-1,1)-1)</f>
        <v/>
      </c>
      <c r="II40" s="9" t="str">
        <f ca="1">IF(OR(II13="",II$28&lt;$A40),"",II13/OFFSET(ParoRegCLM!$A$2,MATCH(II$29,ParoRegCLM!$A$2:$A$500)+$A40-1,1)-1)</f>
        <v/>
      </c>
      <c r="IJ40" s="9" t="str">
        <f ca="1">IF(OR(IJ13="",IJ$28&lt;$A40),"",IJ13/OFFSET(ParoRegCLM!$A$2,MATCH(IJ$29,ParoRegCLM!$A$2:$A$500)+$A40-1,1)-1)</f>
        <v/>
      </c>
      <c r="IK40" s="9" t="str">
        <f ca="1">IF(OR(IK13="",IK$28&lt;$A40),"",IK13/OFFSET(ParoRegCLM!$A$2,MATCH(IK$29,ParoRegCLM!$A$2:$A$500)+$A40-1,1)-1)</f>
        <v/>
      </c>
      <c r="IL40" s="9" t="str">
        <f ca="1">IF(OR(IL13="",IL$28&lt;$A40),"",IL13/OFFSET(ParoRegCLM!$A$2,MATCH(IL$29,ParoRegCLM!$A$2:$A$500)+$A40-1,1)-1)</f>
        <v/>
      </c>
      <c r="IM40" s="9" t="str">
        <f ca="1">IF(OR(IM13="",IM$28&lt;$A40),"",IM13/OFFSET(ParoRegCLM!$A$2,MATCH(IM$29,ParoRegCLM!$A$2:$A$500)+$A40-1,1)-1)</f>
        <v/>
      </c>
      <c r="IN40" s="9" t="str">
        <f ca="1">IF(OR(IN13="",IN$28&lt;$A40),"",IN13/OFFSET(ParoRegCLM!$A$2,MATCH(IN$29,ParoRegCLM!$A$2:$A$500)+$A40-1,1)-1)</f>
        <v/>
      </c>
      <c r="IO40" s="9" t="str">
        <f ca="1">IF(OR(IO13="",IO$28&lt;$A40),"",IO13/OFFSET(ParoRegCLM!$A$2,MATCH(IO$29,ParoRegCLM!$A$2:$A$500)+$A40-1,1)-1)</f>
        <v/>
      </c>
      <c r="IP40" s="9" t="str">
        <f ca="1">IF(OR(IP13="",IP$28&lt;$A40),"",IP13/OFFSET(ParoRegCLM!$A$2,MATCH(IP$29,ParoRegCLM!$A$2:$A$500)+$A40-1,1)-1)</f>
        <v/>
      </c>
      <c r="IQ40" s="9" t="str">
        <f ca="1">IF(OR(IQ13="",IQ$28&lt;$A40),"",IQ13/OFFSET(ParoRegCLM!$A$2,MATCH(IQ$29,ParoRegCLM!$A$2:$A$500)+$A40-1,1)-1)</f>
        <v/>
      </c>
      <c r="IR40" s="9" t="str">
        <f ca="1">IF(OR(IR13="",IR$28&lt;$A40),"",IR13/OFFSET(ParoRegCLM!$A$2,MATCH(IR$29,ParoRegCLM!$A$2:$A$500)+$A40-1,1)-1)</f>
        <v/>
      </c>
      <c r="IS40" s="9" t="str">
        <f ca="1">IF(OR(IS13="",IS$28&lt;$A40),"",IS13/OFFSET(ParoRegCLM!$A$2,MATCH(IS$29,ParoRegCLM!$A$2:$A$500)+$A40-1,1)-1)</f>
        <v/>
      </c>
      <c r="IT40" s="9" t="str">
        <f ca="1">IF(OR(IT13="",IT$28&lt;$A40),"",IT13/OFFSET(ParoRegCLM!$A$2,MATCH(IT$29,ParoRegCLM!$A$2:$A$500)+$A40-1,1)-1)</f>
        <v/>
      </c>
      <c r="IU40" s="9" t="str">
        <f ca="1">IF(OR(IU13="",IU$28&lt;$A40),"",IU13/OFFSET(ParoRegCLM!$A$2,MATCH(IU$29,ParoRegCLM!$A$2:$A$500)+$A40-1,1)-1)</f>
        <v/>
      </c>
      <c r="IV40" s="9" t="str">
        <f ca="1">IF(OR(IV13="",IV$28&lt;$A40),"",IV13/OFFSET(ParoRegCLM!$A$2,MATCH(IV$29,ParoRegCLM!$A$2:$A$500)+$A40-1,1)-1)</f>
        <v/>
      </c>
      <c r="IW40" s="9" t="str">
        <f ca="1">IF(OR(IW13="",IW$28&lt;$A40),"",IW13/OFFSET(ParoRegCLM!$A$2,MATCH(IW$29,ParoRegCLM!$A$2:$A$500)+$A40-1,1)-1)</f>
        <v/>
      </c>
      <c r="IX40" s="9" t="str">
        <f ca="1">IF(OR(IX13="",IX$28&lt;$A40),"",IX13/OFFSET(ParoRegCLM!$A$2,MATCH(IX$29,ParoRegCLM!$A$2:$A$500)+$A40-1,1)-1)</f>
        <v/>
      </c>
      <c r="IY40" s="9" t="str">
        <f ca="1">IF(OR(IY13="",IY$28&lt;$A40),"",IY13/OFFSET(ParoRegCLM!$A$2,MATCH(IY$29,ParoRegCLM!$A$2:$A$500)+$A40-1,1)-1)</f>
        <v/>
      </c>
      <c r="IZ40" s="9" t="str">
        <f ca="1">IF(OR(IZ13="",IZ$28&lt;$A40),"",IZ13/OFFSET(ParoRegCLM!$A$2,MATCH(IZ$29,ParoRegCLM!$A$2:$A$500)+$A40-1,1)-1)</f>
        <v/>
      </c>
      <c r="JA40" s="9" t="str">
        <f ca="1">IF(OR(JA13="",JA$28&lt;$A40),"",JA13/OFFSET(ParoRegCLM!$A$2,MATCH(JA$29,ParoRegCLM!$A$2:$A$500)+$A40-1,1)-1)</f>
        <v/>
      </c>
      <c r="JB40" s="9" t="str">
        <f ca="1">IF(OR(JB13="",JB$28&lt;$A40),"",JB13/OFFSET(ParoRegCLM!$A$2,MATCH(JB$29,ParoRegCLM!$A$2:$A$500)+$A40-1,1)-1)</f>
        <v/>
      </c>
      <c r="JC40" s="9" t="str">
        <f ca="1">IF(OR(JC13="",JC$28&lt;$A40),"",JC13/OFFSET(ParoRegCLM!$A$2,MATCH(JC$29,ParoRegCLM!$A$2:$A$500)+$A40-1,1)-1)</f>
        <v/>
      </c>
      <c r="JD40" s="9" t="str">
        <f ca="1">IF(OR(JD13="",JD$28&lt;$A40),"",JD13/OFFSET(ParoRegCLM!$A$2,MATCH(JD$29,ParoRegCLM!$A$2:$A$500)+$A40-1,1)-1)</f>
        <v/>
      </c>
      <c r="JE40" s="9" t="str">
        <f ca="1">IF(OR(JE13="",JE$28&lt;$A40),"",JE13/OFFSET(ParoRegCLM!$A$2,MATCH(JE$29,ParoRegCLM!$A$2:$A$500)+$A40-1,1)-1)</f>
        <v/>
      </c>
      <c r="JF40" s="9" t="str">
        <f ca="1">IF(OR(JF13="",JF$28&lt;$A40),"",JF13/OFFSET(ParoRegCLM!$A$2,MATCH(JF$29,ParoRegCLM!$A$2:$A$500)+$A40-1,1)-1)</f>
        <v/>
      </c>
      <c r="JG40" s="9" t="str">
        <f ca="1">IF(OR(JG13="",JG$28&lt;$A40),"",JG13/OFFSET(ParoRegCLM!$A$2,MATCH(JG$29,ParoRegCLM!$A$2:$A$500)+$A40-1,1)-1)</f>
        <v/>
      </c>
      <c r="JH40" s="9" t="str">
        <f ca="1">IF(OR(JH13="",JH$28&lt;$A40),"",JH13/OFFSET(ParoRegCLM!$A$2,MATCH(JH$29,ParoRegCLM!$A$2:$A$500)+$A40-1,1)-1)</f>
        <v/>
      </c>
      <c r="JI40" s="13">
        <f t="shared" ca="1" si="14"/>
        <v>-5.0448694517002346E-2</v>
      </c>
      <c r="JJ40" s="13">
        <f t="shared" ca="1" si="15"/>
        <v>-5.4401940893303857E-2</v>
      </c>
      <c r="JK40" s="14">
        <f t="shared" ca="1" si="16"/>
        <v>6.6239925350922834E-3</v>
      </c>
      <c r="JL40" s="17">
        <f t="shared" ca="1" si="19"/>
        <v>8.1387913937465459E-2</v>
      </c>
      <c r="JM40" s="15" t="str">
        <f t="shared" ca="1" si="17"/>
        <v>[ -21,32% ; 11,23% ]</v>
      </c>
      <c r="JN40" s="17">
        <f t="shared" ca="1" si="18"/>
        <v>0.10417652983995579</v>
      </c>
      <c r="LY40" s="1"/>
    </row>
    <row r="41" spans="1:337" x14ac:dyDescent="0.25">
      <c r="A41" s="4">
        <v>12</v>
      </c>
      <c r="B41" s="9">
        <f ca="1">IF(OR(B14="",B$28&lt;$A41),"",B14/OFFSET(ParoRegCLM!$A$2,MATCH(B$29,ParoRegCLM!$A$2:$A$500)+$A41-1,1)-1)</f>
        <v>3.8524566874651223E-2</v>
      </c>
      <c r="C41" s="9">
        <f ca="1">IF(OR(C14="",C$28&lt;$A41),"",C14/OFFSET(ParoRegCLM!$A$2,MATCH(C$29,ParoRegCLM!$A$2:$A$500)+$A41-1,1)-1)</f>
        <v>-1.1137674811965703E-2</v>
      </c>
      <c r="D41" s="9">
        <f ca="1">IF(OR(D14="",D$28&lt;$A41),"",D14/OFFSET(ParoRegCLM!$A$2,MATCH(D$29,ParoRegCLM!$A$2:$A$500)+$A41-1,1)-1)</f>
        <v>1.1379661592310075E-3</v>
      </c>
      <c r="E41" s="9">
        <f ca="1">IF(OR(E14="",E$28&lt;$A41),"",E14/OFFSET(ParoRegCLM!$A$2,MATCH(E$29,ParoRegCLM!$A$2:$A$500)+$A41-1,1)-1)</f>
        <v>1.3713938704991602E-2</v>
      </c>
      <c r="F41" s="9">
        <f ca="1">IF(OR(F14="",F$28&lt;$A41),"",F14/OFFSET(ParoRegCLM!$A$2,MATCH(F$29,ParoRegCLM!$A$2:$A$500)+$A41-1,1)-1)</f>
        <v>6.3921880961937738E-2</v>
      </c>
      <c r="G41" s="9">
        <f ca="1">IF(OR(G14="",G$28&lt;$A41),"",G14/OFFSET(ParoRegCLM!$A$2,MATCH(G$29,ParoRegCLM!$A$2:$A$500)+$A41-1,1)-1)</f>
        <v>3.8918058761615582E-2</v>
      </c>
      <c r="H41" s="9">
        <f ca="1">IF(OR(H14="",H$28&lt;$A41),"",H14/OFFSET(ParoRegCLM!$A$2,MATCH(H$29,ParoRegCLM!$A$2:$A$500)+$A41-1,1)-1)</f>
        <v>4.0299906071094682E-2</v>
      </c>
      <c r="I41" s="9">
        <f ca="1">IF(OR(I14="",I$28&lt;$A41),"",I14/OFFSET(ParoRegCLM!$A$2,MATCH(I$29,ParoRegCLM!$A$2:$A$500)+$A41-1,1)-1)</f>
        <v>5.6067361263163473E-3</v>
      </c>
      <c r="J41" s="9">
        <f ca="1">IF(OR(J14="",J$28&lt;$A41),"",J14/OFFSET(ParoRegCLM!$A$2,MATCH(J$29,ParoRegCLM!$A$2:$A$500)+$A41-1,1)-1)</f>
        <v>-9.9702619377722845E-3</v>
      </c>
      <c r="K41" s="9">
        <f ca="1">IF(OR(K14="",K$28&lt;$A41),"",K14/OFFSET(ParoRegCLM!$A$2,MATCH(K$29,ParoRegCLM!$A$2:$A$500)+$A41-1,1)-1)</f>
        <v>-1.5693038103563262E-2</v>
      </c>
      <c r="L41" s="9">
        <f ca="1">IF(OR(L14="",L$28&lt;$A41),"",L14/OFFSET(ParoRegCLM!$A$2,MATCH(L$29,ParoRegCLM!$A$2:$A$500)+$A41-1,1)-1)</f>
        <v>-1.972472874425768E-2</v>
      </c>
      <c r="M41" s="9">
        <f ca="1">IF(OR(M14="",M$28&lt;$A41),"",M14/OFFSET(ParoRegCLM!$A$2,MATCH(M$29,ParoRegCLM!$A$2:$A$500)+$A41-1,1)-1)</f>
        <v>1.6901504589788008E-2</v>
      </c>
      <c r="N41" s="9">
        <f ca="1">IF(OR(N14="",N$28&lt;$A41),"",N14/OFFSET(ParoRegCLM!$A$2,MATCH(N$29,ParoRegCLM!$A$2:$A$500)+$A41-1,1)-1)</f>
        <v>2.0857582813786024E-2</v>
      </c>
      <c r="O41" s="9">
        <f ca="1">IF(OR(O14="",O$28&lt;$A41),"",O14/OFFSET(ParoRegCLM!$A$2,MATCH(O$29,ParoRegCLM!$A$2:$A$500)+$A41-1,1)-1)</f>
        <v>3.7681633778565926E-2</v>
      </c>
      <c r="P41" s="9">
        <f ca="1">IF(OR(P14="",P$28&lt;$A41),"",P14/OFFSET(ParoRegCLM!$A$2,MATCH(P$29,ParoRegCLM!$A$2:$A$500)+$A41-1,1)-1)</f>
        <v>2.7502648705673316E-2</v>
      </c>
      <c r="Q41" s="9">
        <f ca="1">IF(OR(Q14="",Q$28&lt;$A41),"",Q14/OFFSET(ParoRegCLM!$A$2,MATCH(Q$29,ParoRegCLM!$A$2:$A$500)+$A41-1,1)-1)</f>
        <v>5.0760248290693921E-2</v>
      </c>
      <c r="R41" s="9">
        <f ca="1">IF(OR(R14="",R$28&lt;$A41),"",R14/OFFSET(ParoRegCLM!$A$2,MATCH(R$29,ParoRegCLM!$A$2:$A$500)+$A41-1,1)-1)</f>
        <v>6.2480984690440833E-2</v>
      </c>
      <c r="S41" s="9">
        <f ca="1">IF(OR(S14="",S$28&lt;$A41),"",S14/OFFSET(ParoRegCLM!$A$2,MATCH(S$29,ParoRegCLM!$A$2:$A$500)+$A41-1,1)-1)</f>
        <v>3.3821455551738655E-2</v>
      </c>
      <c r="T41" s="9">
        <f ca="1">IF(OR(T14="",T$28&lt;$A41),"",T14/OFFSET(ParoRegCLM!$A$2,MATCH(T$29,ParoRegCLM!$A$2:$A$500)+$A41-1,1)-1)</f>
        <v>2.1298787742080716E-2</v>
      </c>
      <c r="U41" s="9">
        <f ca="1">IF(OR(U14="",U$28&lt;$A41),"",U14/OFFSET(ParoRegCLM!$A$2,MATCH(U$29,ParoRegCLM!$A$2:$A$500)+$A41-1,1)-1)</f>
        <v>3.1189594170983215E-2</v>
      </c>
      <c r="V41" s="9">
        <f ca="1">IF(OR(V14="",V$28&lt;$A41),"",V14/OFFSET(ParoRegCLM!$A$2,MATCH(V$29,ParoRegCLM!$A$2:$A$500)+$A41-1,1)-1)</f>
        <v>3.6439840042127747E-2</v>
      </c>
      <c r="W41" s="9">
        <f ca="1">IF(OR(W14="",W$28&lt;$A41),"",W14/OFFSET(ParoRegCLM!$A$2,MATCH(W$29,ParoRegCLM!$A$2:$A$500)+$A41-1,1)-1)</f>
        <v>3.4341086382924324E-2</v>
      </c>
      <c r="X41" s="9">
        <f ca="1">IF(OR(X14="",X$28&lt;$A41),"",X14/OFFSET(ParoRegCLM!$A$2,MATCH(X$29,ParoRegCLM!$A$2:$A$500)+$A41-1,1)-1)</f>
        <v>5.432898057505553E-2</v>
      </c>
      <c r="Y41" s="9">
        <f ca="1">IF(OR(Y14="",Y$28&lt;$A41),"",Y14/OFFSET(ParoRegCLM!$A$2,MATCH(Y$29,ParoRegCLM!$A$2:$A$500)+$A41-1,1)-1)</f>
        <v>4.5226424650290697E-2</v>
      </c>
      <c r="Z41" s="9">
        <f ca="1">IF(OR(Z14="",Z$28&lt;$A41),"",Z14/OFFSET(ParoRegCLM!$A$2,MATCH(Z$29,ParoRegCLM!$A$2:$A$500)+$A41-1,1)-1)</f>
        <v>6.487348560060191E-2</v>
      </c>
      <c r="AA41" s="9">
        <f ca="1">IF(OR(AA14="",AA$28&lt;$A41),"",AA14/OFFSET(ParoRegCLM!$A$2,MATCH(AA$29,ParoRegCLM!$A$2:$A$500)+$A41-1,1)-1)</f>
        <v>5.8796354344337942E-2</v>
      </c>
      <c r="AB41" s="9">
        <f ca="1">IF(OR(AB14="",AB$28&lt;$A41),"",AB14/OFFSET(ParoRegCLM!$A$2,MATCH(AB$29,ParoRegCLM!$A$2:$A$500)+$A41-1,1)-1)</f>
        <v>5.8415694951995834E-2</v>
      </c>
      <c r="AC41" s="9">
        <f ca="1">IF(OR(AC14="",AC$28&lt;$A41),"",AC14/OFFSET(ParoRegCLM!$A$2,MATCH(AC$29,ParoRegCLM!$A$2:$A$500)+$A41-1,1)-1)</f>
        <v>4.2517167792925692E-2</v>
      </c>
      <c r="AD41" s="9">
        <f ca="1">IF(OR(AD14="",AD$28&lt;$A41),"",AD14/OFFSET(ParoRegCLM!$A$2,MATCH(AD$29,ParoRegCLM!$A$2:$A$500)+$A41-1,1)-1)</f>
        <v>2.0491981916477497E-2</v>
      </c>
      <c r="AE41" s="9">
        <f ca="1">IF(OR(AE14="",AE$28&lt;$A41),"",AE14/OFFSET(ParoRegCLM!$A$2,MATCH(AE$29,ParoRegCLM!$A$2:$A$500)+$A41-1,1)-1)</f>
        <v>1.5141937760890345E-2</v>
      </c>
      <c r="AF41" s="9">
        <f ca="1">IF(OR(AF14="",AF$28&lt;$A41),"",AF14/OFFSET(ParoRegCLM!$A$2,MATCH(AF$29,ParoRegCLM!$A$2:$A$500)+$A41-1,1)-1)</f>
        <v>9.5660523332345981E-3</v>
      </c>
      <c r="AG41" s="9">
        <f ca="1">IF(OR(AG14="",AG$28&lt;$A41),"",AG14/OFFSET(ParoRegCLM!$A$2,MATCH(AG$29,ParoRegCLM!$A$2:$A$500)+$A41-1,1)-1)</f>
        <v>-1.4458029817119411E-2</v>
      </c>
      <c r="AH41" s="9">
        <f ca="1">IF(OR(AH14="",AH$28&lt;$A41),"",AH14/OFFSET(ParoRegCLM!$A$2,MATCH(AH$29,ParoRegCLM!$A$2:$A$500)+$A41-1,1)-1)</f>
        <v>-2.3055874441623825E-2</v>
      </c>
      <c r="AI41" s="9">
        <f ca="1">IF(OR(AI14="",AI$28&lt;$A41),"",AI14/OFFSET(ParoRegCLM!$A$2,MATCH(AI$29,ParoRegCLM!$A$2:$A$500)+$A41-1,1)-1)</f>
        <v>-1.9027200343593731E-2</v>
      </c>
      <c r="AJ41" s="9">
        <f ca="1">IF(OR(AJ14="",AJ$28&lt;$A41),"",AJ14/OFFSET(ParoRegCLM!$A$2,MATCH(AJ$29,ParoRegCLM!$A$2:$A$500)+$A41-1,1)-1)</f>
        <v>-2.4358885096458671E-2</v>
      </c>
      <c r="AK41" s="9">
        <f ca="1">IF(OR(AK14="",AK$28&lt;$A41),"",AK14/OFFSET(ParoRegCLM!$A$2,MATCH(AK$29,ParoRegCLM!$A$2:$A$500)+$A41-1,1)-1)</f>
        <v>-3.7514748182258306E-2</v>
      </c>
      <c r="AL41" s="9">
        <f ca="1">IF(OR(AL14="",AL$28&lt;$A41),"",AL14/OFFSET(ParoRegCLM!$A$2,MATCH(AL$29,ParoRegCLM!$A$2:$A$500)+$A41-1,1)-1)</f>
        <v>-3.8577747775719651E-2</v>
      </c>
      <c r="AM41" s="9">
        <f ca="1">IF(OR(AM14="",AM$28&lt;$A41),"",AM14/OFFSET(ParoRegCLM!$A$2,MATCH(AM$29,ParoRegCLM!$A$2:$A$500)+$A41-1,1)-1)</f>
        <v>-6.8296875319989736E-2</v>
      </c>
      <c r="AN41" s="9">
        <f ca="1">IF(OR(AN14="",AN$28&lt;$A41),"",AN14/OFFSET(ParoRegCLM!$A$2,MATCH(AN$29,ParoRegCLM!$A$2:$A$500)+$A41-1,1)-1)</f>
        <v>-0.10071368522669388</v>
      </c>
      <c r="AO41" s="9">
        <f ca="1">IF(OR(AO14="",AO$28&lt;$A41),"",AO14/OFFSET(ParoRegCLM!$A$2,MATCH(AO$29,ParoRegCLM!$A$2:$A$500)+$A41-1,1)-1)</f>
        <v>-0.10992791883125963</v>
      </c>
      <c r="AP41" s="9">
        <f ca="1">IF(OR(AP14="",AP$28&lt;$A41),"",AP14/OFFSET(ParoRegCLM!$A$2,MATCH(AP$29,ParoRegCLM!$A$2:$A$500)+$A41-1,1)-1)</f>
        <v>-0.13836466833969818</v>
      </c>
      <c r="AQ41" s="9">
        <f ca="1">IF(OR(AQ14="",AQ$28&lt;$A41),"",AQ14/OFFSET(ParoRegCLM!$A$2,MATCH(AQ$29,ParoRegCLM!$A$2:$A$500)+$A41-1,1)-1)</f>
        <v>-0.16483951360986204</v>
      </c>
      <c r="AR41" s="9">
        <f ca="1">IF(OR(AR14="",AR$28&lt;$A41),"",AR14/OFFSET(ParoRegCLM!$A$2,MATCH(AR$29,ParoRegCLM!$A$2:$A$500)+$A41-1,1)-1)</f>
        <v>-0.18117698951090599</v>
      </c>
      <c r="AS41" s="9">
        <f ca="1">IF(OR(AS14="",AS$28&lt;$A41),"",AS14/OFFSET(ParoRegCLM!$A$2,MATCH(AS$29,ParoRegCLM!$A$2:$A$500)+$A41-1,1)-1)</f>
        <v>-0.19625020726717124</v>
      </c>
      <c r="AT41" s="9">
        <f ca="1">IF(OR(AT14="",AT$28&lt;$A41),"",AT14/OFFSET(ParoRegCLM!$A$2,MATCH(AT$29,ParoRegCLM!$A$2:$A$500)+$A41-1,1)-1)</f>
        <v>-0.20685286209295983</v>
      </c>
      <c r="AU41" s="9">
        <f ca="1">IF(OR(AU14="",AU$28&lt;$A41),"",AU14/OFFSET(ParoRegCLM!$A$2,MATCH(AU$29,ParoRegCLM!$A$2:$A$500)+$A41-1,1)-1)</f>
        <v>-0.21928320252461198</v>
      </c>
      <c r="AV41" s="9">
        <f ca="1">IF(OR(AV14="",AV$28&lt;$A41),"",AV14/OFFSET(ParoRegCLM!$A$2,MATCH(AV$29,ParoRegCLM!$A$2:$A$500)+$A41-1,1)-1)</f>
        <v>-0.28983712779891313</v>
      </c>
      <c r="AW41" s="9">
        <f ca="1">IF(OR(AW14="",AW$28&lt;$A41),"",AW14/OFFSET(ParoRegCLM!$A$2,MATCH(AW$29,ParoRegCLM!$A$2:$A$500)+$A41-1,1)-1)</f>
        <v>-0.32684531684557361</v>
      </c>
      <c r="AX41" s="9">
        <f ca="1">IF(OR(AX14="",AX$28&lt;$A41),"",AX14/OFFSET(ParoRegCLM!$A$2,MATCH(AX$29,ParoRegCLM!$A$2:$A$500)+$A41-1,1)-1)</f>
        <v>-0.35509674113654155</v>
      </c>
      <c r="AY41" s="9">
        <f ca="1">IF(OR(AY14="",AY$28&lt;$A41),"",AY14/OFFSET(ParoRegCLM!$A$2,MATCH(AY$29,ParoRegCLM!$A$2:$A$500)+$A41-1,1)-1)</f>
        <v>-0.34450174617737683</v>
      </c>
      <c r="AZ41" s="9">
        <f ca="1">IF(OR(AZ14="",AZ$28&lt;$A41),"",AZ14/OFFSET(ParoRegCLM!$A$2,MATCH(AZ$29,ParoRegCLM!$A$2:$A$500)+$A41-1,1)-1)</f>
        <v>-0.34864452010106417</v>
      </c>
      <c r="BA41" s="9">
        <f ca="1">IF(OR(BA14="",BA$28&lt;$A41),"",BA14/OFFSET(ParoRegCLM!$A$2,MATCH(BA$29,ParoRegCLM!$A$2:$A$500)+$A41-1,1)-1)</f>
        <v>-0.37883281062159391</v>
      </c>
      <c r="BB41" s="9">
        <f ca="1">IF(OR(BB14="",BB$28&lt;$A41),"",BB14/OFFSET(ParoRegCLM!$A$2,MATCH(BB$29,ParoRegCLM!$A$2:$A$500)+$A41-1,1)-1)</f>
        <v>-0.37564772375347466</v>
      </c>
      <c r="BC41" s="9">
        <f ca="1">IF(OR(BC14="",BC$28&lt;$A41),"",BC14/OFFSET(ParoRegCLM!$A$2,MATCH(BC$29,ParoRegCLM!$A$2:$A$500)+$A41-1,1)-1)</f>
        <v>-0.35041449981876405</v>
      </c>
      <c r="BD41" s="9">
        <f ca="1">IF(OR(BD14="",BD$28&lt;$A41),"",BD14/OFFSET(ParoRegCLM!$A$2,MATCH(BD$29,ParoRegCLM!$A$2:$A$500)+$A41-1,1)-1)</f>
        <v>-0.25941296600070074</v>
      </c>
      <c r="BE41" s="9">
        <f ca="1">IF(OR(BE14="",BE$28&lt;$A41),"",BE14/OFFSET(ParoRegCLM!$A$2,MATCH(BE$29,ParoRegCLM!$A$2:$A$500)+$A41-1,1)-1)</f>
        <v>-0.1852944711709632</v>
      </c>
      <c r="BF41" s="9">
        <f ca="1">IF(OR(BF14="",BF$28&lt;$A41),"",BF14/OFFSET(ParoRegCLM!$A$2,MATCH(BF$29,ParoRegCLM!$A$2:$A$500)+$A41-1,1)-1)</f>
        <v>-0.14474181650443474</v>
      </c>
      <c r="BG41" s="9">
        <f ca="1">IF(OR(BG14="",BG$28&lt;$A41),"",BG14/OFFSET(ParoRegCLM!$A$2,MATCH(BG$29,ParoRegCLM!$A$2:$A$500)+$A41-1,1)-1)</f>
        <v>-0.12205185930184481</v>
      </c>
      <c r="BH41" s="9">
        <f ca="1">IF(OR(BH14="",BH$28&lt;$A41),"",BH14/OFFSET(ParoRegCLM!$A$2,MATCH(BH$29,ParoRegCLM!$A$2:$A$500)+$A41-1,1)-1)</f>
        <v>1.8930932878755913E-2</v>
      </c>
      <c r="BI41" s="9">
        <f ca="1">IF(OR(BI14="",BI$28&lt;$A41),"",BI14/OFFSET(ParoRegCLM!$A$2,MATCH(BI$29,ParoRegCLM!$A$2:$A$500)+$A41-1,1)-1)</f>
        <v>0.10377070044788028</v>
      </c>
      <c r="BJ41" s="9">
        <f ca="1">IF(OR(BJ14="",BJ$28&lt;$A41),"",BJ14/OFFSET(ParoRegCLM!$A$2,MATCH(BJ$29,ParoRegCLM!$A$2:$A$500)+$A41-1,1)-1)</f>
        <v>0.24663588073142928</v>
      </c>
      <c r="BK41" s="9">
        <f ca="1">IF(OR(BK14="",BK$28&lt;$A41),"",BK14/OFFSET(ParoRegCLM!$A$2,MATCH(BK$29,ParoRegCLM!$A$2:$A$500)+$A41-1,1)-1)</f>
        <v>0.13222664483439939</v>
      </c>
      <c r="BL41" s="9">
        <f ca="1">IF(OR(BL14="",BL$28&lt;$A41),"",BL14/OFFSET(ParoRegCLM!$A$2,MATCH(BL$29,ParoRegCLM!$A$2:$A$500)+$A41-1,1)-1)</f>
        <v>0.2534440051004121</v>
      </c>
      <c r="BM41" s="9">
        <f ca="1">IF(OR(BM14="",BM$28&lt;$A41),"",BM14/OFFSET(ParoRegCLM!$A$2,MATCH(BM$29,ParoRegCLM!$A$2:$A$500)+$A41-1,1)-1)</f>
        <v>0.27517178258407382</v>
      </c>
      <c r="BN41" s="9">
        <f ca="1">IF(OR(BN14="",BN$28&lt;$A41),"",BN14/OFFSET(ParoRegCLM!$A$2,MATCH(BN$29,ParoRegCLM!$A$2:$A$500)+$A41-1,1)-1)</f>
        <v>0.29575993443666238</v>
      </c>
      <c r="BO41" s="9">
        <f ca="1">IF(OR(BO14="",BO$28&lt;$A41),"",BO14/OFFSET(ParoRegCLM!$A$2,MATCH(BO$29,ParoRegCLM!$A$2:$A$500)+$A41-1,1)-1)</f>
        <v>0.28355105045682061</v>
      </c>
      <c r="BP41" s="9">
        <f ca="1">IF(OR(BP14="",BP$28&lt;$A41),"",BP14/OFFSET(ParoRegCLM!$A$2,MATCH(BP$29,ParoRegCLM!$A$2:$A$500)+$A41-1,1)-1)</f>
        <v>0.21424207875390877</v>
      </c>
      <c r="BQ41" s="9">
        <f ca="1">IF(OR(BQ14="",BQ$28&lt;$A41),"",BQ14/OFFSET(ParoRegCLM!$A$2,MATCH(BQ$29,ParoRegCLM!$A$2:$A$500)+$A41-1,1)-1)</f>
        <v>7.734147932309221E-2</v>
      </c>
      <c r="BR41" s="9">
        <f ca="1">IF(OR(BR14="",BR$28&lt;$A41),"",BR14/OFFSET(ParoRegCLM!$A$2,MATCH(BR$29,ParoRegCLM!$A$2:$A$500)+$A41-1,1)-1)</f>
        <v>4.7757246661908948E-2</v>
      </c>
      <c r="BS41" s="9">
        <f ca="1">IF(OR(BS14="",BS$28&lt;$A41),"",BS14/OFFSET(ParoRegCLM!$A$2,MATCH(BS$29,ParoRegCLM!$A$2:$A$500)+$A41-1,1)-1)</f>
        <v>1.104996802336311E-2</v>
      </c>
      <c r="BT41" s="9">
        <f ca="1">IF(OR(BT14="",BT$28&lt;$A41),"",BT14/OFFSET(ParoRegCLM!$A$2,MATCH(BT$29,ParoRegCLM!$A$2:$A$500)+$A41-1,1)-1)</f>
        <v>0.12103878719495142</v>
      </c>
      <c r="BU41" s="9">
        <f ca="1">IF(OR(BU14="",BU$28&lt;$A41),"",BU14/OFFSET(ParoRegCLM!$A$2,MATCH(BU$29,ParoRegCLM!$A$2:$A$500)+$A41-1,1)-1)</f>
        <v>3.8630788234172542E-2</v>
      </c>
      <c r="BV41" s="9">
        <f ca="1">IF(OR(BV14="",BV$28&lt;$A41),"",BV14/OFFSET(ParoRegCLM!$A$2,MATCH(BV$29,ParoRegCLM!$A$2:$A$500)+$A41-1,1)-1)</f>
        <v>6.5933075313467482E-2</v>
      </c>
      <c r="BW41" s="9">
        <f ca="1">IF(OR(BW14="",BW$28&lt;$A41),"",BW14/OFFSET(ParoRegCLM!$A$2,MATCH(BW$29,ParoRegCLM!$A$2:$A$500)+$A41-1,1)-1)</f>
        <v>6.7968879606514099E-2</v>
      </c>
      <c r="BX41" s="9">
        <f ca="1">IF(OR(BX14="",BX$28&lt;$A41),"",BX14/OFFSET(ParoRegCLM!$A$2,MATCH(BX$29,ParoRegCLM!$A$2:$A$500)+$A41-1,1)-1)</f>
        <v>7.358278355826231E-2</v>
      </c>
      <c r="BY41" s="9">
        <f ca="1">IF(OR(BY14="",BY$28&lt;$A41),"",BY14/OFFSET(ParoRegCLM!$A$2,MATCH(BY$29,ParoRegCLM!$A$2:$A$500)+$A41-1,1)-1)</f>
        <v>0.1055665320468735</v>
      </c>
      <c r="BZ41" s="9">
        <f ca="1">IF(OR(BZ14="",BZ$28&lt;$A41),"",BZ14/OFFSET(ParoRegCLM!$A$2,MATCH(BZ$29,ParoRegCLM!$A$2:$A$500)+$A41-1,1)-1)</f>
        <v>9.1763640081576003E-2</v>
      </c>
      <c r="CA41" s="9">
        <f ca="1">IF(OR(CA14="",CA$28&lt;$A41),"",CA14/OFFSET(ParoRegCLM!$A$2,MATCH(CA$29,ParoRegCLM!$A$2:$A$500)+$A41-1,1)-1)</f>
        <v>5.7617435975019893E-2</v>
      </c>
      <c r="CB41" s="9">
        <f ca="1">IF(OR(CB14="",CB$28&lt;$A41),"",CB14/OFFSET(ParoRegCLM!$A$2,MATCH(CB$29,ParoRegCLM!$A$2:$A$500)+$A41-1,1)-1)</f>
        <v>2.5029678593997629E-2</v>
      </c>
      <c r="CC41" s="9">
        <f ca="1">IF(OR(CC14="",CC$28&lt;$A41),"",CC14/OFFSET(ParoRegCLM!$A$2,MATCH(CC$29,ParoRegCLM!$A$2:$A$500)+$A41-1,1)-1)</f>
        <v>-1.0274734852430245E-2</v>
      </c>
      <c r="CD41" s="9">
        <f ca="1">IF(OR(CD14="",CD$28&lt;$A41),"",CD14/OFFSET(ParoRegCLM!$A$2,MATCH(CD$29,ParoRegCLM!$A$2:$A$500)+$A41-1,1)-1)</f>
        <v>2.5001765134983422E-2</v>
      </c>
      <c r="CE41" s="9">
        <f ca="1">IF(OR(CE14="",CE$28&lt;$A41),"",CE14/OFFSET(ParoRegCLM!$A$2,MATCH(CE$29,ParoRegCLM!$A$2:$A$500)+$A41-1,1)-1)</f>
        <v>-4.2513870555867306E-2</v>
      </c>
      <c r="CF41" s="9">
        <f ca="1">IF(OR(CF14="",CF$28&lt;$A41),"",CF14/OFFSET(ParoRegCLM!$A$2,MATCH(CF$29,ParoRegCLM!$A$2:$A$500)+$A41-1,1)-1)</f>
        <v>-1.8494311169515831E-2</v>
      </c>
      <c r="CG41" s="9">
        <f ca="1">IF(OR(CG14="",CG$28&lt;$A41),"",CG14/OFFSET(ParoRegCLM!$A$2,MATCH(CG$29,ParoRegCLM!$A$2:$A$500)+$A41-1,1)-1)</f>
        <v>-4.6543036551937034E-3</v>
      </c>
      <c r="CH41" s="9">
        <f ca="1">IF(OR(CH14="",CH$28&lt;$A41),"",CH14/OFFSET(ParoRegCLM!$A$2,MATCH(CH$29,ParoRegCLM!$A$2:$A$500)+$A41-1,1)-1)</f>
        <v>-2.9901188205728846E-2</v>
      </c>
      <c r="CI41" s="9">
        <f ca="1">IF(OR(CI14="",CI$28&lt;$A41),"",CI14/OFFSET(ParoRegCLM!$A$2,MATCH(CI$29,ParoRegCLM!$A$2:$A$500)+$A41-1,1)-1)</f>
        <v>-1.4312699950599139E-2</v>
      </c>
      <c r="CJ41" s="9">
        <f ca="1">IF(OR(CJ14="",CJ$28&lt;$A41),"",CJ14/OFFSET(ParoRegCLM!$A$2,MATCH(CJ$29,ParoRegCLM!$A$2:$A$500)+$A41-1,1)-1)</f>
        <v>-4.3701062735720608E-2</v>
      </c>
      <c r="CK41" s="9">
        <f ca="1">IF(OR(CK14="",CK$28&lt;$A41),"",CK14/OFFSET(ParoRegCLM!$A$2,MATCH(CK$29,ParoRegCLM!$A$2:$A$500)+$A41-1,1)-1)</f>
        <v>-8.5730638468033749E-2</v>
      </c>
      <c r="CL41" s="9">
        <f ca="1">IF(OR(CL14="",CL$28&lt;$A41),"",CL14/OFFSET(ParoRegCLM!$A$2,MATCH(CL$29,ParoRegCLM!$A$2:$A$500)+$A41-1,1)-1)</f>
        <v>-9.706446372546762E-2</v>
      </c>
      <c r="CM41" s="9">
        <f ca="1">IF(OR(CM14="",CM$28&lt;$A41),"",CM14/OFFSET(ParoRegCLM!$A$2,MATCH(CM$29,ParoRegCLM!$A$2:$A$500)+$A41-1,1)-1)</f>
        <v>-7.2457707220997314E-2</v>
      </c>
      <c r="CN41" s="9">
        <f ca="1">IF(OR(CN14="",CN$28&lt;$A41),"",CN14/OFFSET(ParoRegCLM!$A$2,MATCH(CN$29,ParoRegCLM!$A$2:$A$500)+$A41-1,1)-1)</f>
        <v>-3.7631836431259447E-2</v>
      </c>
      <c r="CO41" s="9">
        <f ca="1">IF(OR(CO14="",CO$28&lt;$A41),"",CO14/OFFSET(ParoRegCLM!$A$2,MATCH(CO$29,ParoRegCLM!$A$2:$A$500)+$A41-1,1)-1)</f>
        <v>-4.7099807102461422E-2</v>
      </c>
      <c r="CP41" s="9">
        <f ca="1">IF(OR(CP14="",CP$28&lt;$A41),"",CP14/OFFSET(ParoRegCLM!$A$2,MATCH(CP$29,ParoRegCLM!$A$2:$A$500)+$A41-1,1)-1)</f>
        <v>-9.7541185122010932E-2</v>
      </c>
      <c r="CQ41" s="9">
        <f ca="1">IF(OR(CQ14="",CQ$28&lt;$A41),"",CQ14/OFFSET(ParoRegCLM!$A$2,MATCH(CQ$29,ParoRegCLM!$A$2:$A$500)+$A41-1,1)-1)</f>
        <v>-4.6174327460147158E-2</v>
      </c>
      <c r="CR41" s="9">
        <f ca="1">IF(OR(CR14="",CR$28&lt;$A41),"",CR14/OFFSET(ParoRegCLM!$A$2,MATCH(CR$29,ParoRegCLM!$A$2:$A$500)+$A41-1,1)-1)</f>
        <v>-3.019390509037656E-3</v>
      </c>
      <c r="CS41" s="9">
        <f ca="1">IF(OR(CS14="",CS$28&lt;$A41),"",CS14/OFFSET(ParoRegCLM!$A$2,MATCH(CS$29,ParoRegCLM!$A$2:$A$500)+$A41-1,1)-1)</f>
        <v>-3.5040799758849883E-2</v>
      </c>
      <c r="CT41" s="9">
        <f ca="1">IF(OR(CT14="",CT$28&lt;$A41),"",CT14/OFFSET(ParoRegCLM!$A$2,MATCH(CT$29,ParoRegCLM!$A$2:$A$500)+$A41-1,1)-1)</f>
        <v>-6.8630499593433147E-2</v>
      </c>
      <c r="CU41" s="9">
        <f ca="1">IF(OR(CU14="",CU$28&lt;$A41),"",CU14/OFFSET(ParoRegCLM!$A$2,MATCH(CU$29,ParoRegCLM!$A$2:$A$500)+$A41-1,1)-1)</f>
        <v>-1.6567861547104656E-2</v>
      </c>
      <c r="CV41" s="9">
        <f ca="1">IF(OR(CV14="",CV$28&lt;$A41),"",CV14/OFFSET(ParoRegCLM!$A$2,MATCH(CV$29,ParoRegCLM!$A$2:$A$500)+$A41-1,1)-1)</f>
        <v>2.7281652827786607E-2</v>
      </c>
      <c r="CW41" s="9">
        <f ca="1">IF(OR(CW14="",CW$28&lt;$A41),"",CW14/OFFSET(ParoRegCLM!$A$2,MATCH(CW$29,ParoRegCLM!$A$2:$A$500)+$A41-1,1)-1)</f>
        <v>5.6665242654197368E-2</v>
      </c>
      <c r="CX41" s="9">
        <f ca="1">IF(OR(CX14="",CX$28&lt;$A41),"",CX14/OFFSET(ParoRegCLM!$A$2,MATCH(CX$29,ParoRegCLM!$A$2:$A$500)+$A41-1,1)-1)</f>
        <v>9.534037209066093E-2</v>
      </c>
      <c r="CY41" s="9">
        <f ca="1">IF(OR(CY14="",CY$28&lt;$A41),"",CY14/OFFSET(ParoRegCLM!$A$2,MATCH(CY$29,ParoRegCLM!$A$2:$A$500)+$A41-1,1)-1)</f>
        <v>9.8642766859832198E-2</v>
      </c>
      <c r="CZ41" s="9">
        <f ca="1">IF(OR(CZ14="",CZ$28&lt;$A41),"",CZ14/OFFSET(ParoRegCLM!$A$2,MATCH(CZ$29,ParoRegCLM!$A$2:$A$500)+$A41-1,1)-1)</f>
        <v>8.2419586491630392E-2</v>
      </c>
      <c r="DA41" s="9">
        <f ca="1">IF(OR(DA14="",DA$28&lt;$A41),"",DA14/OFFSET(ParoRegCLM!$A$2,MATCH(DA$29,ParoRegCLM!$A$2:$A$500)+$A41-1,1)-1)</f>
        <v>0.14801836603854457</v>
      </c>
      <c r="DB41" s="9">
        <f ca="1">IF(OR(DB14="",DB$28&lt;$A41),"",DB14/OFFSET(ParoRegCLM!$A$2,MATCH(DB$29,ParoRegCLM!$A$2:$A$500)+$A41-1,1)-1)</f>
        <v>0.14415914022723952</v>
      </c>
      <c r="DC41" s="9">
        <f ca="1">IF(OR(DC14="",DC$28&lt;$A41),"",DC14/OFFSET(ParoRegCLM!$A$2,MATCH(DC$29,ParoRegCLM!$A$2:$A$500)+$A41-1,1)-1)</f>
        <v>8.6879196462424035E-2</v>
      </c>
      <c r="DD41" s="9">
        <f ca="1">IF(OR(DD14="",DD$28&lt;$A41),"",DD14/OFFSET(ParoRegCLM!$A$2,MATCH(DD$29,ParoRegCLM!$A$2:$A$500)+$A41-1,1)-1)</f>
        <v>0.1270512355756761</v>
      </c>
      <c r="DE41" s="9">
        <f ca="1">IF(OR(DE14="",DE$28&lt;$A41),"",DE14/OFFSET(ParoRegCLM!$A$2,MATCH(DE$29,ParoRegCLM!$A$2:$A$500)+$A41-1,1)-1)</f>
        <v>0.16949430286215228</v>
      </c>
      <c r="DF41" s="9">
        <f ca="1">IF(OR(DF14="",DF$28&lt;$A41),"",DF14/OFFSET(ParoRegCLM!$A$2,MATCH(DF$29,ParoRegCLM!$A$2:$A$500)+$A41-1,1)-1)</f>
        <v>0.13399555439610378</v>
      </c>
      <c r="DG41" s="9">
        <f ca="1">IF(OR(DG14="",DG$28&lt;$A41),"",DG14/OFFSET(ParoRegCLM!$A$2,MATCH(DG$29,ParoRegCLM!$A$2:$A$500)+$A41-1,1)-1)</f>
        <v>0.15228051175969637</v>
      </c>
      <c r="DH41" s="9">
        <f ca="1">IF(OR(DH14="",DH$28&lt;$A41),"",DH14/OFFSET(ParoRegCLM!$A$2,MATCH(DH$29,ParoRegCLM!$A$2:$A$500)+$A41-1,1)-1)</f>
        <v>9.1586564938676229E-2</v>
      </c>
      <c r="DI41" s="9">
        <f ca="1">IF(OR(DI14="",DI$28&lt;$A41),"",DI14/OFFSET(ParoRegCLM!$A$2,MATCH(DI$29,ParoRegCLM!$A$2:$A$500)+$A41-1,1)-1)</f>
        <v>0.10313572853592357</v>
      </c>
      <c r="DJ41" s="9">
        <f ca="1">IF(OR(DJ14="",DJ$28&lt;$A41),"",DJ14/OFFSET(ParoRegCLM!$A$2,MATCH(DJ$29,ParoRegCLM!$A$2:$A$500)+$A41-1,1)-1)</f>
        <v>7.5385611298478539E-2</v>
      </c>
      <c r="DK41" s="9">
        <f ca="1">IF(OR(DK14="",DK$28&lt;$A41),"",DK14/OFFSET(ParoRegCLM!$A$2,MATCH(DK$29,ParoRegCLM!$A$2:$A$500)+$A41-1,1)-1)</f>
        <v>7.2091749487709134E-2</v>
      </c>
      <c r="DL41" s="9">
        <f ca="1">IF(OR(DL14="",DL$28&lt;$A41),"",DL14/OFFSET(ParoRegCLM!$A$2,MATCH(DL$29,ParoRegCLM!$A$2:$A$500)+$A41-1,1)-1)</f>
        <v>5.3296287073234527E-2</v>
      </c>
      <c r="DM41" s="9">
        <f ca="1">IF(OR(DM14="",DM$28&lt;$A41),"",DM14/OFFSET(ParoRegCLM!$A$2,MATCH(DM$29,ParoRegCLM!$A$2:$A$500)+$A41-1,1)-1)</f>
        <v>3.7754706853974529E-2</v>
      </c>
      <c r="DN41" s="9">
        <f ca="1">IF(OR(DN14="",DN$28&lt;$A41),"",DN14/OFFSET(ParoRegCLM!$A$2,MATCH(DN$29,ParoRegCLM!$A$2:$A$500)+$A41-1,1)-1)</f>
        <v>5.9078772209516739E-2</v>
      </c>
      <c r="DO41" s="9">
        <f ca="1">IF(OR(DO14="",DO$28&lt;$A41),"",DO14/OFFSET(ParoRegCLM!$A$2,MATCH(DO$29,ParoRegCLM!$A$2:$A$500)+$A41-1,1)-1)</f>
        <v>1.6706446021186316E-3</v>
      </c>
      <c r="DP41" s="9">
        <f ca="1">IF(OR(DP14="",DP$28&lt;$A41),"",DP14/OFFSET(ParoRegCLM!$A$2,MATCH(DP$29,ParoRegCLM!$A$2:$A$500)+$A41-1,1)-1)</f>
        <v>6.38497719485982E-2</v>
      </c>
      <c r="DQ41" s="9">
        <f ca="1">IF(OR(DQ14="",DQ$28&lt;$A41),"",DQ14/OFFSET(ParoRegCLM!$A$2,MATCH(DQ$29,ParoRegCLM!$A$2:$A$500)+$A41-1,1)-1)</f>
        <v>9.3635279672159344E-2</v>
      </c>
      <c r="DR41" s="9">
        <f ca="1">IF(OR(DR14="",DR$28&lt;$A41),"",DR14/OFFSET(ParoRegCLM!$A$2,MATCH(DR$29,ParoRegCLM!$A$2:$A$500)+$A41-1,1)-1)</f>
        <v>1.9733032147597473E-3</v>
      </c>
      <c r="DS41" s="9">
        <f ca="1">IF(OR(DS14="",DS$28&lt;$A41),"",DS14/OFFSET(ParoRegCLM!$A$2,MATCH(DS$29,ParoRegCLM!$A$2:$A$500)+$A41-1,1)-1)</f>
        <v>-8.7810177892592156E-3</v>
      </c>
      <c r="DT41" s="9">
        <f ca="1">IF(OR(DT14="",DT$28&lt;$A41),"",DT14/OFFSET(ParoRegCLM!$A$2,MATCH(DT$29,ParoRegCLM!$A$2:$A$500)+$A41-1,1)-1)</f>
        <v>1.0225013278012174E-2</v>
      </c>
      <c r="DU41" s="9">
        <f ca="1">IF(OR(DU14="",DU$28&lt;$A41),"",DU14/OFFSET(ParoRegCLM!$A$2,MATCH(DU$29,ParoRegCLM!$A$2:$A$500)+$A41-1,1)-1)</f>
        <v>2.3524132687738009E-2</v>
      </c>
      <c r="DV41" s="9">
        <f ca="1">IF(OR(DV14="",DV$28&lt;$A41),"",DV14/OFFSET(ParoRegCLM!$A$2,MATCH(DV$29,ParoRegCLM!$A$2:$A$500)+$A41-1,1)-1)</f>
        <v>3.1398409376854453E-2</v>
      </c>
      <c r="DW41" s="9">
        <f ca="1">IF(OR(DW14="",DW$28&lt;$A41),"",DW14/OFFSET(ParoRegCLM!$A$2,MATCH(DW$29,ParoRegCLM!$A$2:$A$500)+$A41-1,1)-1)</f>
        <v>1.6028738063969428E-2</v>
      </c>
      <c r="DX41" s="9">
        <f ca="1">IF(OR(DX14="",DX$28&lt;$A41),"",DX14/OFFSET(ParoRegCLM!$A$2,MATCH(DX$29,ParoRegCLM!$A$2:$A$500)+$A41-1,1)-1)</f>
        <v>4.1009440958390542E-2</v>
      </c>
      <c r="DY41" s="9">
        <f ca="1">IF(OR(DY14="",DY$28&lt;$A41),"",DY14/OFFSET(ParoRegCLM!$A$2,MATCH(DY$29,ParoRegCLM!$A$2:$A$500)+$A41-1,1)-1)</f>
        <v>4.7319884719896788E-2</v>
      </c>
      <c r="DZ41" s="9">
        <f ca="1">IF(OR(DZ14="",DZ$28&lt;$A41),"",DZ14/OFFSET(ParoRegCLM!$A$2,MATCH(DZ$29,ParoRegCLM!$A$2:$A$500)+$A41-1,1)-1)</f>
        <v>1.0942308240908361E-2</v>
      </c>
      <c r="EA41" s="9">
        <f ca="1">IF(OR(EA14="",EA$28&lt;$A41),"",EA14/OFFSET(ParoRegCLM!$A$2,MATCH(EA$29,ParoRegCLM!$A$2:$A$500)+$A41-1,1)-1)</f>
        <v>1.2132697443260954E-2</v>
      </c>
      <c r="EB41" s="9">
        <f ca="1">IF(OR(EB14="",EB$28&lt;$A41),"",EB14/OFFSET(ParoRegCLM!$A$2,MATCH(EB$29,ParoRegCLM!$A$2:$A$500)+$A41-1,1)-1)</f>
        <v>2.205981913662769E-2</v>
      </c>
      <c r="EC41" s="9">
        <f ca="1">IF(OR(EC14="",EC$28&lt;$A41),"",EC14/OFFSET(ParoRegCLM!$A$2,MATCH(EC$29,ParoRegCLM!$A$2:$A$500)+$A41-1,1)-1)</f>
        <v>-2.0347799552378865E-2</v>
      </c>
      <c r="ED41" s="9">
        <f ca="1">IF(OR(ED14="",ED$28&lt;$A41),"",ED14/OFFSET(ParoRegCLM!$A$2,MATCH(ED$29,ParoRegCLM!$A$2:$A$500)+$A41-1,1)-1)</f>
        <v>7.0356811404357344E-3</v>
      </c>
      <c r="EE41" s="9">
        <f ca="1">IF(OR(EE14="",EE$28&lt;$A41),"",EE14/OFFSET(ParoRegCLM!$A$2,MATCH(EE$29,ParoRegCLM!$A$2:$A$500)+$A41-1,1)-1)</f>
        <v>1.1046285010220647E-2</v>
      </c>
      <c r="EF41" s="9">
        <f ca="1">IF(OR(EF14="",EF$28&lt;$A41),"",EF14/OFFSET(ParoRegCLM!$A$2,MATCH(EF$29,ParoRegCLM!$A$2:$A$500)+$A41-1,1)-1)</f>
        <v>-2.3338492272230282E-2</v>
      </c>
      <c r="EG41" s="9">
        <f ca="1">IF(OR(EG14="",EG$28&lt;$A41),"",EG14/OFFSET(ParoRegCLM!$A$2,MATCH(EG$29,ParoRegCLM!$A$2:$A$500)+$A41-1,1)-1)</f>
        <v>-1.9511313302688071E-2</v>
      </c>
      <c r="EH41" s="9">
        <f ca="1">IF(OR(EH14="",EH$28&lt;$A41),"",EH14/OFFSET(ParoRegCLM!$A$2,MATCH(EH$29,ParoRegCLM!$A$2:$A$500)+$A41-1,1)-1)</f>
        <v>-8.4799512423050505E-2</v>
      </c>
      <c r="EI41" s="9">
        <f ca="1">IF(OR(EI14="",EI$28&lt;$A41),"",EI14/OFFSET(ParoRegCLM!$A$2,MATCH(EI$29,ParoRegCLM!$A$2:$A$500)+$A41-1,1)-1)</f>
        <v>-5.9578682085612678E-2</v>
      </c>
      <c r="EJ41" s="9">
        <f ca="1">IF(OR(EJ14="",EJ$28&lt;$A41),"",EJ14/OFFSET(ParoRegCLM!$A$2,MATCH(EJ$29,ParoRegCLM!$A$2:$A$500)+$A41-1,1)-1)</f>
        <v>-1.9525909484290116E-2</v>
      </c>
      <c r="EK41" s="9">
        <f ca="1">IF(OR(EK14="",EK$28&lt;$A41),"",EK14/OFFSET(ParoRegCLM!$A$2,MATCH(EK$29,ParoRegCLM!$A$2:$A$500)+$A41-1,1)-1)</f>
        <v>3.2133900700066942E-2</v>
      </c>
      <c r="EL41" s="9">
        <f ca="1">IF(OR(EL14="",EL$28&lt;$A41),"",EL14/OFFSET(ParoRegCLM!$A$2,MATCH(EL$29,ParoRegCLM!$A$2:$A$500)+$A41-1,1)-1)</f>
        <v>5.1085479341846041E-2</v>
      </c>
      <c r="EM41" s="9">
        <f ca="1">IF(OR(EM14="",EM$28&lt;$A41),"",EM14/OFFSET(ParoRegCLM!$A$2,MATCH(EM$29,ParoRegCLM!$A$2:$A$500)+$A41-1,1)-1)</f>
        <v>6.6081034179844567E-2</v>
      </c>
      <c r="EN41" s="9">
        <f ca="1">IF(OR(EN14="",EN$28&lt;$A41),"",EN14/OFFSET(ParoRegCLM!$A$2,MATCH(EN$29,ParoRegCLM!$A$2:$A$500)+$A41-1,1)-1)</f>
        <v>0.10511148872848386</v>
      </c>
      <c r="EO41" s="9">
        <f ca="1">IF(OR(EO14="",EO$28&lt;$A41),"",EO14/OFFSET(ParoRegCLM!$A$2,MATCH(EO$29,ParoRegCLM!$A$2:$A$500)+$A41-1,1)-1)</f>
        <v>2.2827693253006487E-2</v>
      </c>
      <c r="EP41" s="9">
        <f ca="1">IF(OR(EP14="",EP$28&lt;$A41),"",EP14/OFFSET(ParoRegCLM!$A$2,MATCH(EP$29,ParoRegCLM!$A$2:$A$500)+$A41-1,1)-1)</f>
        <v>3.9881156065735945E-2</v>
      </c>
      <c r="EQ41" s="9">
        <f ca="1">IF(OR(EQ14="",EQ$28&lt;$A41),"",EQ14/OFFSET(ParoRegCLM!$A$2,MATCH(EQ$29,ParoRegCLM!$A$2:$A$500)+$A41-1,1)-1)</f>
        <v>4.7459003844336101E-2</v>
      </c>
      <c r="ER41" s="9">
        <f ca="1">IF(OR(ER14="",ER$28&lt;$A41),"",ER14/OFFSET(ParoRegCLM!$A$2,MATCH(ER$29,ParoRegCLM!$A$2:$A$500)+$A41-1,1)-1)</f>
        <v>5.343366654858861E-2</v>
      </c>
      <c r="ES41" s="9">
        <f ca="1">IF(OR(ES14="",ES$28&lt;$A41),"",ES14/OFFSET(ParoRegCLM!$A$2,MATCH(ES$29,ParoRegCLM!$A$2:$A$500)+$A41-1,1)-1)</f>
        <v>1.069189171010887E-2</v>
      </c>
      <c r="ET41" s="9">
        <f ca="1">IF(OR(ET14="",ET$28&lt;$A41),"",ET14/OFFSET(ParoRegCLM!$A$2,MATCH(ET$29,ParoRegCLM!$A$2:$A$500)+$A41-1,1)-1)</f>
        <v>-3.7612630967710503E-2</v>
      </c>
      <c r="EU41" s="9">
        <f ca="1">IF(OR(EU14="",EU$28&lt;$A41),"",EU14/OFFSET(ParoRegCLM!$A$2,MATCH(EU$29,ParoRegCLM!$A$2:$A$500)+$A41-1,1)-1)</f>
        <v>-0.11090190032662295</v>
      </c>
      <c r="EV41" s="9">
        <f ca="1">IF(OR(EV14="",EV$28&lt;$A41),"",EV14/OFFSET(ParoRegCLM!$A$2,MATCH(EV$29,ParoRegCLM!$A$2:$A$500)+$A41-1,1)-1)</f>
        <v>-9.8637226103108322E-2</v>
      </c>
      <c r="EW41" s="9">
        <f ca="1">IF(OR(EW14="",EW$28&lt;$A41),"",EW14/OFFSET(ParoRegCLM!$A$2,MATCH(EW$29,ParoRegCLM!$A$2:$A$500)+$A41-1,1)-1)</f>
        <v>-6.1781490266290873E-2</v>
      </c>
      <c r="EX41" s="9">
        <f ca="1">IF(OR(EX14="",EX$28&lt;$A41),"",EX14/OFFSET(ParoRegCLM!$A$2,MATCH(EX$29,ParoRegCLM!$A$2:$A$500)+$A41-1,1)-1)</f>
        <v>-2.5129732493884505E-2</v>
      </c>
      <c r="EY41" s="9">
        <f ca="1">IF(OR(EY14="",EY$28&lt;$A41),"",EY14/OFFSET(ParoRegCLM!$A$2,MATCH(EY$29,ParoRegCLM!$A$2:$A$500)+$A41-1,1)-1)</f>
        <v>-5.9106844071105002E-2</v>
      </c>
      <c r="EZ41" s="9">
        <f ca="1">IF(OR(EZ14="",EZ$28&lt;$A41),"",EZ14/OFFSET(ParoRegCLM!$A$2,MATCH(EZ$29,ParoRegCLM!$A$2:$A$500)+$A41-1,1)-1)</f>
        <v>9.8610216281749263E-3</v>
      </c>
      <c r="FA41" s="9">
        <f ca="1">IF(OR(FA14="",FA$28&lt;$A41),"",FA14/OFFSET(ParoRegCLM!$A$2,MATCH(FA$29,ParoRegCLM!$A$2:$A$500)+$A41-1,1)-1)</f>
        <v>7.3893866225595906E-2</v>
      </c>
      <c r="FB41" s="9">
        <f ca="1">IF(OR(FB14="",FB$28&lt;$A41),"",FB14/OFFSET(ParoRegCLM!$A$2,MATCH(FB$29,ParoRegCLM!$A$2:$A$500)+$A41-1,1)-1)</f>
        <v>3.2860721546892346E-2</v>
      </c>
      <c r="FC41" s="9">
        <f ca="1">IF(OR(FC14="",FC$28&lt;$A41),"",FC14/OFFSET(ParoRegCLM!$A$2,MATCH(FC$29,ParoRegCLM!$A$2:$A$500)+$A41-1,1)-1)</f>
        <v>-1.2673592078097151E-2</v>
      </c>
      <c r="FD41" s="9">
        <f ca="1">IF(OR(FD14="",FD$28&lt;$A41),"",FD14/OFFSET(ParoRegCLM!$A$2,MATCH(FD$29,ParoRegCLM!$A$2:$A$500)+$A41-1,1)-1)</f>
        <v>-2.639772862438039E-2</v>
      </c>
      <c r="FE41" s="9">
        <f ca="1">IF(OR(FE14="",FE$28&lt;$A41),"",FE14/OFFSET(ParoRegCLM!$A$2,MATCH(FE$29,ParoRegCLM!$A$2:$A$500)+$A41-1,1)-1)</f>
        <v>-3.5795268548560633E-2</v>
      </c>
      <c r="FF41" s="9">
        <f ca="1">IF(OR(FF14="",FF$28&lt;$A41),"",FF14/OFFSET(ParoRegCLM!$A$2,MATCH(FF$29,ParoRegCLM!$A$2:$A$500)+$A41-1,1)-1)</f>
        <v>1.7815817954369706E-2</v>
      </c>
      <c r="FG41" s="9">
        <f ca="1">IF(OR(FG14="",FG$28&lt;$A41),"",FG14/OFFSET(ParoRegCLM!$A$2,MATCH(FG$29,ParoRegCLM!$A$2:$A$500)+$A41-1,1)-1)</f>
        <v>1.3281756013144852E-2</v>
      </c>
      <c r="FH41" s="9">
        <f ca="1">IF(OR(FH14="",FH$28&lt;$A41),"",FH14/OFFSET(ParoRegCLM!$A$2,MATCH(FH$29,ParoRegCLM!$A$2:$A$500)+$A41-1,1)-1)</f>
        <v>-3.8417754176307994E-2</v>
      </c>
      <c r="FI41" s="9">
        <f ca="1">IF(OR(FI14="",FI$28&lt;$A41),"",FI14/OFFSET(ParoRegCLM!$A$2,MATCH(FI$29,ParoRegCLM!$A$2:$A$500)+$A41-1,1)-1)</f>
        <v>-1.5526288266350385E-2</v>
      </c>
      <c r="FJ41" s="9">
        <f ca="1">IF(OR(FJ14="",FJ$28&lt;$A41),"",FJ14/OFFSET(ParoRegCLM!$A$2,MATCH(FJ$29,ParoRegCLM!$A$2:$A$500)+$A41-1,1)-1)</f>
        <v>-4.9421311230720133E-2</v>
      </c>
      <c r="FK41" s="9">
        <f ca="1">IF(OR(FK14="",FK$28&lt;$A41),"",FK14/OFFSET(ParoRegCLM!$A$2,MATCH(FK$29,ParoRegCLM!$A$2:$A$500)+$A41-1,1)-1)</f>
        <v>2.1181663514787452E-2</v>
      </c>
      <c r="FL41" s="9">
        <f ca="1">IF(OR(FL14="",FL$28&lt;$A41),"",FL14/OFFSET(ParoRegCLM!$A$2,MATCH(FL$29,ParoRegCLM!$A$2:$A$500)+$A41-1,1)-1)</f>
        <v>-9.2059061991833779E-2</v>
      </c>
      <c r="FM41" s="9">
        <f ca="1">IF(OR(FM14="",FM$28&lt;$A41),"",FM14/OFFSET(ParoRegCLM!$A$2,MATCH(FM$29,ParoRegCLM!$A$2:$A$500)+$A41-1,1)-1)</f>
        <v>-7.9667964306166961E-2</v>
      </c>
      <c r="FN41" s="9">
        <f ca="1">IF(OR(FN14="",FN$28&lt;$A41),"",FN14/OFFSET(ParoRegCLM!$A$2,MATCH(FN$29,ParoRegCLM!$A$2:$A$500)+$A41-1,1)-1)</f>
        <v>-3.3781051703150378E-2</v>
      </c>
      <c r="FO41" s="9">
        <f ca="1">IF(OR(FO14="",FO$28&lt;$A41),"",FO14/OFFSET(ParoRegCLM!$A$2,MATCH(FO$29,ParoRegCLM!$A$2:$A$500)+$A41-1,1)-1)</f>
        <v>3.8469683645652397E-2</v>
      </c>
      <c r="FP41" s="9">
        <f ca="1">IF(OR(FP14="",FP$28&lt;$A41),"",FP14/OFFSET(ParoRegCLM!$A$2,MATCH(FP$29,ParoRegCLM!$A$2:$A$500)+$A41-1,1)-1)</f>
        <v>3.1359330752093406E-2</v>
      </c>
      <c r="FQ41" s="9">
        <f ca="1">IF(OR(FQ14="",FQ$28&lt;$A41),"",FQ14/OFFSET(ParoRegCLM!$A$2,MATCH(FQ$29,ParoRegCLM!$A$2:$A$500)+$A41-1,1)-1)</f>
        <v>6.3865038540426244E-2</v>
      </c>
      <c r="FR41" s="9">
        <f ca="1">IF(OR(FR14="",FR$28&lt;$A41),"",FR14/OFFSET(ParoRegCLM!$A$2,MATCH(FR$29,ParoRegCLM!$A$2:$A$500)+$A41-1,1)-1)</f>
        <v>8.4046061852693921E-2</v>
      </c>
      <c r="FS41" s="9">
        <f ca="1">IF(OR(FS14="",FS$28&lt;$A41),"",FS14/OFFSET(ParoRegCLM!$A$2,MATCH(FS$29,ParoRegCLM!$A$2:$A$500)+$A41-1,1)-1)</f>
        <v>8.0007641421644848E-2</v>
      </c>
      <c r="FT41" s="9">
        <f ca="1">IF(OR(FT14="",FT$28&lt;$A41),"",FT14/OFFSET(ParoRegCLM!$A$2,MATCH(FT$29,ParoRegCLM!$A$2:$A$500)+$A41-1,1)-1)</f>
        <v>6.8357602657945327E-2</v>
      </c>
      <c r="FU41" s="9">
        <f ca="1">IF(OR(FU14="",FU$28&lt;$A41),"",FU14/OFFSET(ParoRegCLM!$A$2,MATCH(FU$29,ParoRegCLM!$A$2:$A$500)+$A41-1,1)-1)</f>
        <v>2.9392841097015676E-2</v>
      </c>
      <c r="FV41" s="9">
        <f ca="1">IF(OR(FV14="",FV$28&lt;$A41),"",FV14/OFFSET(ParoRegCLM!$A$2,MATCH(FV$29,ParoRegCLM!$A$2:$A$500)+$A41-1,1)-1)</f>
        <v>3.2960300314267776E-2</v>
      </c>
      <c r="FW41" s="9">
        <f ca="1">IF(OR(FW14="",FW$28&lt;$A41),"",FW14/OFFSET(ParoRegCLM!$A$2,MATCH(FW$29,ParoRegCLM!$A$2:$A$500)+$A41-1,1)-1)</f>
        <v>1.3833947328592444E-2</v>
      </c>
      <c r="FX41" s="9">
        <f ca="1">IF(OR(FX14="",FX$28&lt;$A41),"",FX14/OFFSET(ParoRegCLM!$A$2,MATCH(FX$29,ParoRegCLM!$A$2:$A$500)+$A41-1,1)-1)</f>
        <v>-5.7926869095525024E-2</v>
      </c>
      <c r="FY41" s="9">
        <f ca="1">IF(OR(FY14="",FY$28&lt;$A41),"",FY14/OFFSET(ParoRegCLM!$A$2,MATCH(FY$29,ParoRegCLM!$A$2:$A$500)+$A41-1,1)-1)</f>
        <v>-0.11975252691464067</v>
      </c>
      <c r="FZ41" s="9">
        <f ca="1">IF(OR(FZ14="",FZ$28&lt;$A41),"",FZ14/OFFSET(ParoRegCLM!$A$2,MATCH(FZ$29,ParoRegCLM!$A$2:$A$500)+$A41-1,1)-1)</f>
        <v>-0.16397949717311899</v>
      </c>
      <c r="GA41" s="9">
        <f ca="1">IF(OR(GA14="",GA$28&lt;$A41),"",GA14/OFFSET(ParoRegCLM!$A$2,MATCH(GA$29,ParoRegCLM!$A$2:$A$500)+$A41-1,1)-1)</f>
        <v>-0.14705294443431771</v>
      </c>
      <c r="GB41" s="9">
        <f ca="1">IF(OR(GB14="",GB$28&lt;$A41),"",GB14/OFFSET(ParoRegCLM!$A$2,MATCH(GB$29,ParoRegCLM!$A$2:$A$500)+$A41-1,1)-1)</f>
        <v>-0.12407787873170339</v>
      </c>
      <c r="GC41" s="9">
        <f ca="1">IF(OR(GC14="",GC$28&lt;$A41),"",GC14/OFFSET(ParoRegCLM!$A$2,MATCH(GC$29,ParoRegCLM!$A$2:$A$500)+$A41-1,1)-1)</f>
        <v>-0.16386282896934212</v>
      </c>
      <c r="GD41" s="9">
        <f ca="1">IF(OR(GD14="",GD$28&lt;$A41),"",GD14/OFFSET(ParoRegCLM!$A$2,MATCH(GD$29,ParoRegCLM!$A$2:$A$500)+$A41-1,1)-1)</f>
        <v>-0.1938011141098207</v>
      </c>
      <c r="GE41" s="9">
        <f ca="1">IF(OR(GE14="",GE$28&lt;$A41),"",GE14/OFFSET(ParoRegCLM!$A$2,MATCH(GE$29,ParoRegCLM!$A$2:$A$500)+$A41-1,1)-1)</f>
        <v>-0.15583604569733622</v>
      </c>
      <c r="GF41" s="9">
        <f ca="1">IF(OR(GF14="",GF$28&lt;$A41),"",GF14/OFFSET(ParoRegCLM!$A$2,MATCH(GF$29,ParoRegCLM!$A$2:$A$500)+$A41-1,1)-1)</f>
        <v>-0.13203367643388397</v>
      </c>
      <c r="GG41" s="9">
        <f ca="1">IF(OR(GG14="",GG$28&lt;$A41),"",GG14/OFFSET(ParoRegCLM!$A$2,MATCH(GG$29,ParoRegCLM!$A$2:$A$500)+$A41-1,1)-1)</f>
        <v>-0.11895776539147185</v>
      </c>
      <c r="GH41" s="9">
        <f ca="1">IF(OR(GH14="",GH$28&lt;$A41),"",GH14/OFFSET(ParoRegCLM!$A$2,MATCH(GH$29,ParoRegCLM!$A$2:$A$500)+$A41-1,1)-1)</f>
        <v>-8.0358743630667973E-2</v>
      </c>
      <c r="GI41" s="9">
        <f ca="1">IF(OR(GI14="",GI$28&lt;$A41),"",GI14/OFFSET(ParoRegCLM!$A$2,MATCH(GI$29,ParoRegCLM!$A$2:$A$500)+$A41-1,1)-1)</f>
        <v>-3.087099022180162E-2</v>
      </c>
      <c r="GJ41" s="9">
        <f ca="1">IF(OR(GJ14="",GJ$28&lt;$A41),"",GJ14/OFFSET(ParoRegCLM!$A$2,MATCH(GJ$29,ParoRegCLM!$A$2:$A$500)+$A41-1,1)-1)</f>
        <v>-3.0548374912322096E-2</v>
      </c>
      <c r="GK41" s="9">
        <f ca="1">IF(OR(GK14="",GK$28&lt;$A41),"",GK14/OFFSET(ParoRegCLM!$A$2,MATCH(GK$29,ParoRegCLM!$A$2:$A$500)+$A41-1,1)-1)</f>
        <v>-3.4489112546258971E-2</v>
      </c>
      <c r="GL41" s="9">
        <f ca="1">IF(OR(GL14="",GL$28&lt;$A41),"",GL14/OFFSET(ParoRegCLM!$A$2,MATCH(GL$29,ParoRegCLM!$A$2:$A$500)+$A41-1,1)-1)</f>
        <v>-5.4517712988238487E-2</v>
      </c>
      <c r="GM41" s="9">
        <f ca="1">IF(OR(GM14="",GM$28&lt;$A41),"",GM14/OFFSET(ParoRegCLM!$A$2,MATCH(GM$29,ParoRegCLM!$A$2:$A$500)+$A41-1,1)-1)</f>
        <v>-5.0519201398294133E-2</v>
      </c>
      <c r="GN41" s="9" t="str">
        <f ca="1">IF(OR(GN14="",GN$28&lt;$A41),"",GN14/OFFSET(ParoRegCLM!$A$2,MATCH(GN$29,ParoRegCLM!$A$2:$A$500)+$A41-1,1)-1)</f>
        <v/>
      </c>
      <c r="GO41" s="9" t="str">
        <f ca="1">IF(OR(GO14="",GO$28&lt;$A41),"",GO14/OFFSET(ParoRegCLM!$A$2,MATCH(GO$29,ParoRegCLM!$A$2:$A$500)+$A41-1,1)-1)</f>
        <v/>
      </c>
      <c r="GP41" s="9" t="str">
        <f ca="1">IF(OR(GP14="",GP$28&lt;$A41),"",GP14/OFFSET(ParoRegCLM!$A$2,MATCH(GP$29,ParoRegCLM!$A$2:$A$500)+$A41-1,1)-1)</f>
        <v/>
      </c>
      <c r="GQ41" s="9" t="str">
        <f ca="1">IF(OR(GQ14="",GQ$28&lt;$A41),"",GQ14/OFFSET(ParoRegCLM!$A$2,MATCH(GQ$29,ParoRegCLM!$A$2:$A$500)+$A41-1,1)-1)</f>
        <v/>
      </c>
      <c r="GR41" s="9" t="str">
        <f ca="1">IF(OR(GR14="",GR$28&lt;$A41),"",GR14/OFFSET(ParoRegCLM!$A$2,MATCH(GR$29,ParoRegCLM!$A$2:$A$500)+$A41-1,1)-1)</f>
        <v/>
      </c>
      <c r="GS41" s="9" t="str">
        <f ca="1">IF(OR(GS14="",GS$28&lt;$A41),"",GS14/OFFSET(ParoRegCLM!$A$2,MATCH(GS$29,ParoRegCLM!$A$2:$A$500)+$A41-1,1)-1)</f>
        <v/>
      </c>
      <c r="GT41" s="9" t="str">
        <f ca="1">IF(OR(GT14="",GT$28&lt;$A41),"",GT14/OFFSET(ParoRegCLM!$A$2,MATCH(GT$29,ParoRegCLM!$A$2:$A$500)+$A41-1,1)-1)</f>
        <v/>
      </c>
      <c r="GU41" s="9" t="str">
        <f ca="1">IF(OR(GU14="",GU$28&lt;$A41),"",GU14/OFFSET(ParoRegCLM!$A$2,MATCH(GU$29,ParoRegCLM!$A$2:$A$500)+$A41-1,1)-1)</f>
        <v/>
      </c>
      <c r="GV41" s="9" t="str">
        <f ca="1">IF(OR(GV14="",GV$28&lt;$A41),"",GV14/OFFSET(ParoRegCLM!$A$2,MATCH(GV$29,ParoRegCLM!$A$2:$A$500)+$A41-1,1)-1)</f>
        <v/>
      </c>
      <c r="GW41" s="9" t="str">
        <f ca="1">IF(OR(GW14="",GW$28&lt;$A41),"",GW14/OFFSET(ParoRegCLM!$A$2,MATCH(GW$29,ParoRegCLM!$A$2:$A$500)+$A41-1,1)-1)</f>
        <v/>
      </c>
      <c r="GX41" s="9" t="str">
        <f ca="1">IF(OR(GX14="",GX$28&lt;$A41),"",GX14/OFFSET(ParoRegCLM!$A$2,MATCH(GX$29,ParoRegCLM!$A$2:$A$500)+$A41-1,1)-1)</f>
        <v/>
      </c>
      <c r="GY41" s="9" t="str">
        <f ca="1">IF(OR(GY14="",GY$28&lt;$A41),"",GY14/OFFSET(ParoRegCLM!$A$2,MATCH(GY$29,ParoRegCLM!$A$2:$A$500)+$A41-1,1)-1)</f>
        <v/>
      </c>
      <c r="GZ41" s="9" t="str">
        <f ca="1">IF(OR(GZ14="",GZ$28&lt;$A41),"",GZ14/OFFSET(ParoRegCLM!$A$2,MATCH(GZ$29,ParoRegCLM!$A$2:$A$500)+$A41-1,1)-1)</f>
        <v/>
      </c>
      <c r="HA41" s="9" t="str">
        <f ca="1">IF(OR(HA14="",HA$28&lt;$A41),"",HA14/OFFSET(ParoRegCLM!$A$2,MATCH(HA$29,ParoRegCLM!$A$2:$A$500)+$A41-1,1)-1)</f>
        <v/>
      </c>
      <c r="HB41" s="9" t="str">
        <f ca="1">IF(OR(HB14="",HB$28&lt;$A41),"",HB14/OFFSET(ParoRegCLM!$A$2,MATCH(HB$29,ParoRegCLM!$A$2:$A$500)+$A41-1,1)-1)</f>
        <v/>
      </c>
      <c r="HC41" s="9" t="str">
        <f ca="1">IF(OR(HC14="",HC$28&lt;$A41),"",HC14/OFFSET(ParoRegCLM!$A$2,MATCH(HC$29,ParoRegCLM!$A$2:$A$500)+$A41-1,1)-1)</f>
        <v/>
      </c>
      <c r="HD41" s="9" t="str">
        <f ca="1">IF(OR(HD14="",HD$28&lt;$A41),"",HD14/OFFSET(ParoRegCLM!$A$2,MATCH(HD$29,ParoRegCLM!$A$2:$A$500)+$A41-1,1)-1)</f>
        <v/>
      </c>
      <c r="HE41" s="9" t="str">
        <f ca="1">IF(OR(HE14="",HE$28&lt;$A41),"",HE14/OFFSET(ParoRegCLM!$A$2,MATCH(HE$29,ParoRegCLM!$A$2:$A$500)+$A41-1,1)-1)</f>
        <v/>
      </c>
      <c r="HF41" s="9" t="str">
        <f ca="1">IF(OR(HF14="",HF$28&lt;$A41),"",HF14/OFFSET(ParoRegCLM!$A$2,MATCH(HF$29,ParoRegCLM!$A$2:$A$500)+$A41-1,1)-1)</f>
        <v/>
      </c>
      <c r="HG41" s="9" t="str">
        <f ca="1">IF(OR(HG14="",HG$28&lt;$A41),"",HG14/OFFSET(ParoRegCLM!$A$2,MATCH(HG$29,ParoRegCLM!$A$2:$A$500)+$A41-1,1)-1)</f>
        <v/>
      </c>
      <c r="HH41" s="9" t="str">
        <f ca="1">IF(OR(HH14="",HH$28&lt;$A41),"",HH14/OFFSET(ParoRegCLM!$A$2,MATCH(HH$29,ParoRegCLM!$A$2:$A$500)+$A41-1,1)-1)</f>
        <v/>
      </c>
      <c r="HI41" s="9" t="str">
        <f ca="1">IF(OR(HI14="",HI$28&lt;$A41),"",HI14/OFFSET(ParoRegCLM!$A$2,MATCH(HI$29,ParoRegCLM!$A$2:$A$500)+$A41-1,1)-1)</f>
        <v/>
      </c>
      <c r="HJ41" s="9" t="str">
        <f ca="1">IF(OR(HJ14="",HJ$28&lt;$A41),"",HJ14/OFFSET(ParoRegCLM!$A$2,MATCH(HJ$29,ParoRegCLM!$A$2:$A$500)+$A41-1,1)-1)</f>
        <v/>
      </c>
      <c r="HK41" s="9" t="str">
        <f ca="1">IF(OR(HK14="",HK$28&lt;$A41),"",HK14/OFFSET(ParoRegCLM!$A$2,MATCH(HK$29,ParoRegCLM!$A$2:$A$500)+$A41-1,1)-1)</f>
        <v/>
      </c>
      <c r="HL41" s="9" t="str">
        <f ca="1">IF(OR(HL14="",HL$28&lt;$A41),"",HL14/OFFSET(ParoRegCLM!$A$2,MATCH(HL$29,ParoRegCLM!$A$2:$A$500)+$A41-1,1)-1)</f>
        <v/>
      </c>
      <c r="HM41" s="9" t="str">
        <f ca="1">IF(OR(HM14="",HM$28&lt;$A41),"",HM14/OFFSET(ParoRegCLM!$A$2,MATCH(HM$29,ParoRegCLM!$A$2:$A$500)+$A41-1,1)-1)</f>
        <v/>
      </c>
      <c r="HN41" s="9" t="str">
        <f ca="1">IF(OR(HN14="",HN$28&lt;$A41),"",HN14/OFFSET(ParoRegCLM!$A$2,MATCH(HN$29,ParoRegCLM!$A$2:$A$500)+$A41-1,1)-1)</f>
        <v/>
      </c>
      <c r="HO41" s="9" t="str">
        <f ca="1">IF(OR(HO14="",HO$28&lt;$A41),"",HO14/OFFSET(ParoRegCLM!$A$2,MATCH(HO$29,ParoRegCLM!$A$2:$A$500)+$A41-1,1)-1)</f>
        <v/>
      </c>
      <c r="HP41" s="9" t="str">
        <f ca="1">IF(OR(HP14="",HP$28&lt;$A41),"",HP14/OFFSET(ParoRegCLM!$A$2,MATCH(HP$29,ParoRegCLM!$A$2:$A$500)+$A41-1,1)-1)</f>
        <v/>
      </c>
      <c r="HQ41" s="9" t="str">
        <f ca="1">IF(OR(HQ14="",HQ$28&lt;$A41),"",HQ14/OFFSET(ParoRegCLM!$A$2,MATCH(HQ$29,ParoRegCLM!$A$2:$A$500)+$A41-1,1)-1)</f>
        <v/>
      </c>
      <c r="HR41" s="9" t="str">
        <f ca="1">IF(OR(HR14="",HR$28&lt;$A41),"",HR14/OFFSET(ParoRegCLM!$A$2,MATCH(HR$29,ParoRegCLM!$A$2:$A$500)+$A41-1,1)-1)</f>
        <v/>
      </c>
      <c r="HS41" s="9" t="str">
        <f ca="1">IF(OR(HS14="",HS$28&lt;$A41),"",HS14/OFFSET(ParoRegCLM!$A$2,MATCH(HS$29,ParoRegCLM!$A$2:$A$500)+$A41-1,1)-1)</f>
        <v/>
      </c>
      <c r="HT41" s="9" t="str">
        <f ca="1">IF(OR(HT14="",HT$28&lt;$A41),"",HT14/OFFSET(ParoRegCLM!$A$2,MATCH(HT$29,ParoRegCLM!$A$2:$A$500)+$A41-1,1)-1)</f>
        <v/>
      </c>
      <c r="HU41" s="9" t="str">
        <f ca="1">IF(OR(HU14="",HU$28&lt;$A41),"",HU14/OFFSET(ParoRegCLM!$A$2,MATCH(HU$29,ParoRegCLM!$A$2:$A$500)+$A41-1,1)-1)</f>
        <v/>
      </c>
      <c r="HV41" s="9" t="str">
        <f ca="1">IF(OR(HV14="",HV$28&lt;$A41),"",HV14/OFFSET(ParoRegCLM!$A$2,MATCH(HV$29,ParoRegCLM!$A$2:$A$500)+$A41-1,1)-1)</f>
        <v/>
      </c>
      <c r="HW41" s="9" t="str">
        <f ca="1">IF(OR(HW14="",HW$28&lt;$A41),"",HW14/OFFSET(ParoRegCLM!$A$2,MATCH(HW$29,ParoRegCLM!$A$2:$A$500)+$A41-1,1)-1)</f>
        <v/>
      </c>
      <c r="HX41" s="9" t="str">
        <f ca="1">IF(OR(HX14="",HX$28&lt;$A41),"",HX14/OFFSET(ParoRegCLM!$A$2,MATCH(HX$29,ParoRegCLM!$A$2:$A$500)+$A41-1,1)-1)</f>
        <v/>
      </c>
      <c r="HY41" s="9" t="str">
        <f ca="1">IF(OR(HY14="",HY$28&lt;$A41),"",HY14/OFFSET(ParoRegCLM!$A$2,MATCH(HY$29,ParoRegCLM!$A$2:$A$500)+$A41-1,1)-1)</f>
        <v/>
      </c>
      <c r="HZ41" s="9" t="str">
        <f ca="1">IF(OR(HZ14="",HZ$28&lt;$A41),"",HZ14/OFFSET(ParoRegCLM!$A$2,MATCH(HZ$29,ParoRegCLM!$A$2:$A$500)+$A41-1,1)-1)</f>
        <v/>
      </c>
      <c r="IA41" s="9" t="str">
        <f ca="1">IF(OR(IA14="",IA$28&lt;$A41),"",IA14/OFFSET(ParoRegCLM!$A$2,MATCH(IA$29,ParoRegCLM!$A$2:$A$500)+$A41-1,1)-1)</f>
        <v/>
      </c>
      <c r="IB41" s="9" t="str">
        <f ca="1">IF(OR(IB14="",IB$28&lt;$A41),"",IB14/OFFSET(ParoRegCLM!$A$2,MATCH(IB$29,ParoRegCLM!$A$2:$A$500)+$A41-1,1)-1)</f>
        <v/>
      </c>
      <c r="IC41" s="9" t="str">
        <f ca="1">IF(OR(IC14="",IC$28&lt;$A41),"",IC14/OFFSET(ParoRegCLM!$A$2,MATCH(IC$29,ParoRegCLM!$A$2:$A$500)+$A41-1,1)-1)</f>
        <v/>
      </c>
      <c r="ID41" s="9" t="str">
        <f ca="1">IF(OR(ID14="",ID$28&lt;$A41),"",ID14/OFFSET(ParoRegCLM!$A$2,MATCH(ID$29,ParoRegCLM!$A$2:$A$500)+$A41-1,1)-1)</f>
        <v/>
      </c>
      <c r="IE41" s="9" t="str">
        <f ca="1">IF(OR(IE14="",IE$28&lt;$A41),"",IE14/OFFSET(ParoRegCLM!$A$2,MATCH(IE$29,ParoRegCLM!$A$2:$A$500)+$A41-1,1)-1)</f>
        <v/>
      </c>
      <c r="IF41" s="9" t="str">
        <f ca="1">IF(OR(IF14="",IF$28&lt;$A41),"",IF14/OFFSET(ParoRegCLM!$A$2,MATCH(IF$29,ParoRegCLM!$A$2:$A$500)+$A41-1,1)-1)</f>
        <v/>
      </c>
      <c r="IG41" s="9" t="str">
        <f ca="1">IF(OR(IG14="",IG$28&lt;$A41),"",IG14/OFFSET(ParoRegCLM!$A$2,MATCH(IG$29,ParoRegCLM!$A$2:$A$500)+$A41-1,1)-1)</f>
        <v/>
      </c>
      <c r="IH41" s="9" t="str">
        <f ca="1">IF(OR(IH14="",IH$28&lt;$A41),"",IH14/OFFSET(ParoRegCLM!$A$2,MATCH(IH$29,ParoRegCLM!$A$2:$A$500)+$A41-1,1)-1)</f>
        <v/>
      </c>
      <c r="II41" s="9" t="str">
        <f ca="1">IF(OR(II14="",II$28&lt;$A41),"",II14/OFFSET(ParoRegCLM!$A$2,MATCH(II$29,ParoRegCLM!$A$2:$A$500)+$A41-1,1)-1)</f>
        <v/>
      </c>
      <c r="IJ41" s="9" t="str">
        <f ca="1">IF(OR(IJ14="",IJ$28&lt;$A41),"",IJ14/OFFSET(ParoRegCLM!$A$2,MATCH(IJ$29,ParoRegCLM!$A$2:$A$500)+$A41-1,1)-1)</f>
        <v/>
      </c>
      <c r="IK41" s="9" t="str">
        <f ca="1">IF(OR(IK14="",IK$28&lt;$A41),"",IK14/OFFSET(ParoRegCLM!$A$2,MATCH(IK$29,ParoRegCLM!$A$2:$A$500)+$A41-1,1)-1)</f>
        <v/>
      </c>
      <c r="IL41" s="9" t="str">
        <f ca="1">IF(OR(IL14="",IL$28&lt;$A41),"",IL14/OFFSET(ParoRegCLM!$A$2,MATCH(IL$29,ParoRegCLM!$A$2:$A$500)+$A41-1,1)-1)</f>
        <v/>
      </c>
      <c r="IM41" s="9" t="str">
        <f ca="1">IF(OR(IM14="",IM$28&lt;$A41),"",IM14/OFFSET(ParoRegCLM!$A$2,MATCH(IM$29,ParoRegCLM!$A$2:$A$500)+$A41-1,1)-1)</f>
        <v/>
      </c>
      <c r="IN41" s="9" t="str">
        <f ca="1">IF(OR(IN14="",IN$28&lt;$A41),"",IN14/OFFSET(ParoRegCLM!$A$2,MATCH(IN$29,ParoRegCLM!$A$2:$A$500)+$A41-1,1)-1)</f>
        <v/>
      </c>
      <c r="IO41" s="9" t="str">
        <f ca="1">IF(OR(IO14="",IO$28&lt;$A41),"",IO14/OFFSET(ParoRegCLM!$A$2,MATCH(IO$29,ParoRegCLM!$A$2:$A$500)+$A41-1,1)-1)</f>
        <v/>
      </c>
      <c r="IP41" s="9" t="str">
        <f ca="1">IF(OR(IP14="",IP$28&lt;$A41),"",IP14/OFFSET(ParoRegCLM!$A$2,MATCH(IP$29,ParoRegCLM!$A$2:$A$500)+$A41-1,1)-1)</f>
        <v/>
      </c>
      <c r="IQ41" s="9" t="str">
        <f ca="1">IF(OR(IQ14="",IQ$28&lt;$A41),"",IQ14/OFFSET(ParoRegCLM!$A$2,MATCH(IQ$29,ParoRegCLM!$A$2:$A$500)+$A41-1,1)-1)</f>
        <v/>
      </c>
      <c r="IR41" s="9" t="str">
        <f ca="1">IF(OR(IR14="",IR$28&lt;$A41),"",IR14/OFFSET(ParoRegCLM!$A$2,MATCH(IR$29,ParoRegCLM!$A$2:$A$500)+$A41-1,1)-1)</f>
        <v/>
      </c>
      <c r="IS41" s="9" t="str">
        <f ca="1">IF(OR(IS14="",IS$28&lt;$A41),"",IS14/OFFSET(ParoRegCLM!$A$2,MATCH(IS$29,ParoRegCLM!$A$2:$A$500)+$A41-1,1)-1)</f>
        <v/>
      </c>
      <c r="IT41" s="9" t="str">
        <f ca="1">IF(OR(IT14="",IT$28&lt;$A41),"",IT14/OFFSET(ParoRegCLM!$A$2,MATCH(IT$29,ParoRegCLM!$A$2:$A$500)+$A41-1,1)-1)</f>
        <v/>
      </c>
      <c r="IU41" s="9" t="str">
        <f ca="1">IF(OR(IU14="",IU$28&lt;$A41),"",IU14/OFFSET(ParoRegCLM!$A$2,MATCH(IU$29,ParoRegCLM!$A$2:$A$500)+$A41-1,1)-1)</f>
        <v/>
      </c>
      <c r="IV41" s="9" t="str">
        <f ca="1">IF(OR(IV14="",IV$28&lt;$A41),"",IV14/OFFSET(ParoRegCLM!$A$2,MATCH(IV$29,ParoRegCLM!$A$2:$A$500)+$A41-1,1)-1)</f>
        <v/>
      </c>
      <c r="IW41" s="9" t="str">
        <f ca="1">IF(OR(IW14="",IW$28&lt;$A41),"",IW14/OFFSET(ParoRegCLM!$A$2,MATCH(IW$29,ParoRegCLM!$A$2:$A$500)+$A41-1,1)-1)</f>
        <v/>
      </c>
      <c r="IX41" s="9" t="str">
        <f ca="1">IF(OR(IX14="",IX$28&lt;$A41),"",IX14/OFFSET(ParoRegCLM!$A$2,MATCH(IX$29,ParoRegCLM!$A$2:$A$500)+$A41-1,1)-1)</f>
        <v/>
      </c>
      <c r="IY41" s="9" t="str">
        <f ca="1">IF(OR(IY14="",IY$28&lt;$A41),"",IY14/OFFSET(ParoRegCLM!$A$2,MATCH(IY$29,ParoRegCLM!$A$2:$A$500)+$A41-1,1)-1)</f>
        <v/>
      </c>
      <c r="IZ41" s="9" t="str">
        <f ca="1">IF(OR(IZ14="",IZ$28&lt;$A41),"",IZ14/OFFSET(ParoRegCLM!$A$2,MATCH(IZ$29,ParoRegCLM!$A$2:$A$500)+$A41-1,1)-1)</f>
        <v/>
      </c>
      <c r="JA41" s="9" t="str">
        <f ca="1">IF(OR(JA14="",JA$28&lt;$A41),"",JA14/OFFSET(ParoRegCLM!$A$2,MATCH(JA$29,ParoRegCLM!$A$2:$A$500)+$A41-1,1)-1)</f>
        <v/>
      </c>
      <c r="JB41" s="9" t="str">
        <f ca="1">IF(OR(JB14="",JB$28&lt;$A41),"",JB14/OFFSET(ParoRegCLM!$A$2,MATCH(JB$29,ParoRegCLM!$A$2:$A$500)+$A41-1,1)-1)</f>
        <v/>
      </c>
      <c r="JC41" s="9" t="str">
        <f ca="1">IF(OR(JC14="",JC$28&lt;$A41),"",JC14/OFFSET(ParoRegCLM!$A$2,MATCH(JC$29,ParoRegCLM!$A$2:$A$500)+$A41-1,1)-1)</f>
        <v/>
      </c>
      <c r="JD41" s="9" t="str">
        <f ca="1">IF(OR(JD14="",JD$28&lt;$A41),"",JD14/OFFSET(ParoRegCLM!$A$2,MATCH(JD$29,ParoRegCLM!$A$2:$A$500)+$A41-1,1)-1)</f>
        <v/>
      </c>
      <c r="JE41" s="9" t="str">
        <f ca="1">IF(OR(JE14="",JE$28&lt;$A41),"",JE14/OFFSET(ParoRegCLM!$A$2,MATCH(JE$29,ParoRegCLM!$A$2:$A$500)+$A41-1,1)-1)</f>
        <v/>
      </c>
      <c r="JF41" s="9" t="str">
        <f ca="1">IF(OR(JF14="",JF$28&lt;$A41),"",JF14/OFFSET(ParoRegCLM!$A$2,MATCH(JF$29,ParoRegCLM!$A$2:$A$500)+$A41-1,1)-1)</f>
        <v/>
      </c>
      <c r="JG41" s="9" t="str">
        <f ca="1">IF(OR(JG14="",JG$28&lt;$A41),"",JG14/OFFSET(ParoRegCLM!$A$2,MATCH(JG$29,ParoRegCLM!$A$2:$A$500)+$A41-1,1)-1)</f>
        <v/>
      </c>
      <c r="JH41" s="9" t="str">
        <f ca="1">IF(OR(JH14="",JH$28&lt;$A41),"",JH14/OFFSET(ParoRegCLM!$A$2,MATCH(JH$29,ParoRegCLM!$A$2:$A$500)+$A41-1,1)-1)</f>
        <v/>
      </c>
      <c r="JI41" s="13">
        <f t="shared" ca="1" si="14"/>
        <v>-5.5918341279832952E-2</v>
      </c>
      <c r="JJ41" s="13">
        <f t="shared" ca="1" si="15"/>
        <v>-5.4517712988238487E-2</v>
      </c>
      <c r="JK41" s="14">
        <f t="shared" ca="1" si="16"/>
        <v>7.3644326955516308E-3</v>
      </c>
      <c r="JL41" s="17">
        <f t="shared" ca="1" si="19"/>
        <v>8.5816272906434427E-2</v>
      </c>
      <c r="JM41" s="15" t="str">
        <f t="shared" ca="1" si="17"/>
        <v>[ -22,76% ; 11,57% ]</v>
      </c>
      <c r="JN41" s="17">
        <f t="shared" ca="1" si="18"/>
        <v>0.10984482932023606</v>
      </c>
      <c r="LY41" s="1"/>
    </row>
    <row r="42" spans="1:337" hidden="1" x14ac:dyDescent="0.25">
      <c r="A42" s="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13"/>
      <c r="JJ42" s="13"/>
      <c r="JK42" s="14"/>
      <c r="JL42" s="17"/>
      <c r="JM42" s="15"/>
      <c r="JN42" s="17"/>
      <c r="LY42" s="1"/>
    </row>
    <row r="43" spans="1:337" hidden="1" x14ac:dyDescent="0.25">
      <c r="A43" s="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13"/>
      <c r="JJ43" s="13"/>
      <c r="JK43" s="14"/>
      <c r="JL43" s="17"/>
      <c r="JM43" s="15"/>
      <c r="JN43" s="17"/>
      <c r="LY43" s="1"/>
    </row>
    <row r="44" spans="1:337" hidden="1" x14ac:dyDescent="0.25">
      <c r="A44" s="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13"/>
      <c r="JJ44" s="13"/>
      <c r="JK44" s="14"/>
      <c r="JL44" s="17"/>
      <c r="JM44" s="15"/>
      <c r="JN44" s="17"/>
      <c r="LY44" s="1"/>
    </row>
    <row r="45" spans="1:337" hidden="1" x14ac:dyDescent="0.25">
      <c r="A45" s="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13"/>
      <c r="JJ45" s="13"/>
      <c r="JK45" s="14"/>
      <c r="JL45" s="17"/>
      <c r="JM45" s="15"/>
      <c r="JN45" s="17"/>
      <c r="LY45" s="1"/>
    </row>
    <row r="46" spans="1:337" hidden="1" x14ac:dyDescent="0.25">
      <c r="A46" s="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13"/>
      <c r="JJ46" s="13"/>
      <c r="JK46" s="14"/>
      <c r="JL46" s="17"/>
      <c r="JM46" s="15"/>
      <c r="JN46" s="17"/>
      <c r="LY46" s="1"/>
    </row>
    <row r="47" spans="1:337" hidden="1" x14ac:dyDescent="0.25">
      <c r="A47" s="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13"/>
      <c r="JJ47" s="13"/>
      <c r="JK47" s="14"/>
      <c r="JL47" s="17"/>
      <c r="JM47" s="15"/>
      <c r="JN47" s="17"/>
      <c r="LY47" s="1"/>
    </row>
    <row r="48" spans="1:337" hidden="1" x14ac:dyDescent="0.25">
      <c r="A48" s="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13"/>
      <c r="JJ48" s="13"/>
      <c r="JK48" s="14"/>
      <c r="JL48" s="17"/>
      <c r="JM48" s="15"/>
      <c r="JN48" s="17"/>
      <c r="LY48" s="1"/>
    </row>
    <row r="49" spans="1:337" hidden="1" x14ac:dyDescent="0.25">
      <c r="A49" s="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13"/>
      <c r="JJ49" s="13"/>
      <c r="JK49" s="14"/>
      <c r="JL49" s="17"/>
      <c r="JM49" s="15"/>
      <c r="JN49" s="17"/>
      <c r="LY49" s="1"/>
    </row>
    <row r="50" spans="1:337" hidden="1" x14ac:dyDescent="0.25">
      <c r="A50" s="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13"/>
      <c r="JJ50" s="13"/>
      <c r="JK50" s="14"/>
      <c r="JL50" s="17"/>
      <c r="JM50" s="15"/>
      <c r="JN50" s="17"/>
      <c r="LY50" s="1"/>
    </row>
    <row r="51" spans="1:337" hidden="1" x14ac:dyDescent="0.25">
      <c r="A51" s="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13"/>
      <c r="JJ51" s="13"/>
      <c r="JK51" s="14"/>
      <c r="JL51" s="17"/>
      <c r="JM51" s="15"/>
      <c r="JN51" s="17"/>
      <c r="LY51" s="1"/>
    </row>
    <row r="52" spans="1:337" hidden="1" x14ac:dyDescent="0.25">
      <c r="A52" s="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13"/>
      <c r="JJ52" s="13"/>
      <c r="JK52" s="14"/>
      <c r="JL52" s="17"/>
      <c r="JM52" s="15"/>
      <c r="JN52" s="17"/>
      <c r="LY52" s="1"/>
    </row>
    <row r="53" spans="1:337" hidden="1" x14ac:dyDescent="0.25">
      <c r="A53" s="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13"/>
      <c r="JJ53" s="13"/>
      <c r="JK53" s="14"/>
      <c r="JL53" s="17"/>
      <c r="JM53" s="15"/>
      <c r="JN53" s="17"/>
      <c r="LY53" s="1"/>
    </row>
    <row r="54" spans="1:337" x14ac:dyDescent="0.25">
      <c r="A54" s="5"/>
      <c r="LY54" s="1"/>
    </row>
    <row r="55" spans="1:337" x14ac:dyDescent="0.25">
      <c r="A55" s="5"/>
      <c r="CL55" s="20"/>
      <c r="CM55" s="20"/>
      <c r="JL55" s="16"/>
      <c r="LY55" s="1"/>
    </row>
    <row r="56" spans="1:337" ht="15.75" x14ac:dyDescent="0.25">
      <c r="A56" s="3" t="s">
        <v>2</v>
      </c>
      <c r="B56" s="7">
        <v>37986</v>
      </c>
      <c r="C56" s="7">
        <v>38017</v>
      </c>
      <c r="D56" s="7">
        <v>38046</v>
      </c>
      <c r="E56" s="7">
        <v>38077</v>
      </c>
      <c r="F56" s="7">
        <v>38107</v>
      </c>
      <c r="G56" s="7">
        <v>38138</v>
      </c>
      <c r="H56" s="7">
        <v>38168</v>
      </c>
      <c r="I56" s="7">
        <v>38199</v>
      </c>
      <c r="J56" s="7">
        <v>38230</v>
      </c>
      <c r="K56" s="7">
        <v>38260</v>
      </c>
      <c r="L56" s="7">
        <v>38291</v>
      </c>
      <c r="M56" s="7">
        <v>38321</v>
      </c>
      <c r="N56" s="7">
        <v>38352</v>
      </c>
      <c r="O56" s="7">
        <v>38383</v>
      </c>
      <c r="P56" s="7">
        <v>38411</v>
      </c>
      <c r="Q56" s="7">
        <v>38442</v>
      </c>
      <c r="R56" s="7">
        <v>38472</v>
      </c>
      <c r="S56" s="7">
        <v>38503</v>
      </c>
      <c r="T56" s="7">
        <v>38533</v>
      </c>
      <c r="U56" s="7">
        <v>38564</v>
      </c>
      <c r="V56" s="7">
        <v>38595</v>
      </c>
      <c r="W56" s="7">
        <v>38625</v>
      </c>
      <c r="X56" s="7">
        <v>38656</v>
      </c>
      <c r="Y56" s="7">
        <v>38686</v>
      </c>
      <c r="Z56" s="7">
        <v>38717</v>
      </c>
      <c r="AA56" s="7">
        <v>38748</v>
      </c>
      <c r="AB56" s="7">
        <v>38776</v>
      </c>
      <c r="AC56" s="7">
        <v>38807</v>
      </c>
      <c r="AD56" s="7">
        <v>38837</v>
      </c>
      <c r="AE56" s="7">
        <v>38868</v>
      </c>
      <c r="AF56" s="7">
        <v>38898</v>
      </c>
      <c r="AG56" s="7">
        <v>38929</v>
      </c>
      <c r="AH56" s="7">
        <v>38960</v>
      </c>
      <c r="AI56" s="7">
        <v>38990</v>
      </c>
      <c r="AJ56" s="7">
        <v>39021</v>
      </c>
      <c r="AK56" s="7">
        <v>39051</v>
      </c>
      <c r="AL56" s="7">
        <v>39082</v>
      </c>
      <c r="AM56" s="7">
        <v>39113</v>
      </c>
      <c r="AN56" s="7">
        <v>39141</v>
      </c>
      <c r="AO56" s="7">
        <v>39172</v>
      </c>
      <c r="AP56" s="7">
        <v>39202</v>
      </c>
      <c r="AQ56" s="7">
        <v>39233</v>
      </c>
      <c r="AR56" s="7">
        <v>39263</v>
      </c>
      <c r="AS56" s="7">
        <v>39294</v>
      </c>
      <c r="AT56" s="7">
        <v>39325</v>
      </c>
      <c r="AU56" s="7">
        <v>39355</v>
      </c>
      <c r="AV56" s="7">
        <v>39386</v>
      </c>
      <c r="AW56" s="7">
        <v>39416</v>
      </c>
      <c r="AX56" s="7">
        <v>39447</v>
      </c>
      <c r="AY56" s="7">
        <v>39478</v>
      </c>
      <c r="AZ56" s="7">
        <v>39507</v>
      </c>
      <c r="BA56" s="7">
        <v>39538</v>
      </c>
      <c r="BB56" s="7">
        <v>39568</v>
      </c>
      <c r="BC56" s="7">
        <v>39599</v>
      </c>
      <c r="BD56" s="7">
        <v>39629</v>
      </c>
      <c r="BE56" s="7">
        <v>39660</v>
      </c>
      <c r="BF56" s="7">
        <v>39691</v>
      </c>
      <c r="BG56" s="7">
        <v>39721</v>
      </c>
      <c r="BH56" s="7">
        <v>39752</v>
      </c>
      <c r="BI56" s="7">
        <v>39782</v>
      </c>
      <c r="BJ56" s="7">
        <v>39813</v>
      </c>
      <c r="BK56" s="7">
        <v>39844</v>
      </c>
      <c r="BL56" s="7">
        <v>39872</v>
      </c>
      <c r="BM56" s="7">
        <v>39903</v>
      </c>
      <c r="BN56" s="7">
        <v>39933</v>
      </c>
      <c r="BO56" s="7">
        <v>39964</v>
      </c>
      <c r="BP56" s="7">
        <v>39994</v>
      </c>
      <c r="BQ56" s="7">
        <v>40025</v>
      </c>
      <c r="BR56" s="7">
        <v>40056</v>
      </c>
      <c r="BS56" s="7">
        <v>40086</v>
      </c>
      <c r="BT56" s="7">
        <v>40117</v>
      </c>
      <c r="BU56" s="7">
        <v>40147</v>
      </c>
      <c r="BV56" s="7">
        <v>40178</v>
      </c>
      <c r="BW56" s="7">
        <v>40209</v>
      </c>
      <c r="BX56" s="7">
        <v>40237</v>
      </c>
      <c r="BY56" s="7">
        <v>40268</v>
      </c>
      <c r="BZ56" s="7">
        <v>40298</v>
      </c>
      <c r="CA56" s="7">
        <v>40329</v>
      </c>
      <c r="CB56" s="7">
        <v>40359</v>
      </c>
      <c r="CC56" s="7">
        <v>40390</v>
      </c>
      <c r="CD56" s="7">
        <v>40421</v>
      </c>
      <c r="CE56" s="7">
        <v>40451</v>
      </c>
      <c r="CF56" s="7">
        <v>40482</v>
      </c>
      <c r="CG56" s="7">
        <v>40512</v>
      </c>
      <c r="CH56" s="7">
        <v>40543</v>
      </c>
      <c r="CI56" s="7">
        <v>40574</v>
      </c>
      <c r="CJ56" s="7">
        <v>40602</v>
      </c>
      <c r="CK56" s="7">
        <v>40633</v>
      </c>
      <c r="CL56" s="7">
        <v>40663</v>
      </c>
      <c r="CM56" s="7">
        <v>40694</v>
      </c>
      <c r="CN56" s="7">
        <v>40724</v>
      </c>
      <c r="CO56" s="7">
        <v>40755</v>
      </c>
      <c r="CP56" s="7">
        <v>40786</v>
      </c>
      <c r="CQ56" s="7">
        <v>40816</v>
      </c>
      <c r="CR56" s="7">
        <v>40847</v>
      </c>
      <c r="CS56" s="7">
        <v>40877</v>
      </c>
      <c r="CT56" s="7">
        <v>40908</v>
      </c>
      <c r="CU56" s="7">
        <v>40939</v>
      </c>
      <c r="CV56" s="7">
        <v>40968</v>
      </c>
      <c r="CW56" s="7">
        <v>40999</v>
      </c>
      <c r="CX56" s="7">
        <v>41029</v>
      </c>
      <c r="CY56" s="7">
        <v>41060</v>
      </c>
      <c r="CZ56" s="7">
        <v>41090</v>
      </c>
      <c r="DA56" s="7">
        <v>41121</v>
      </c>
      <c r="DB56" s="7">
        <v>41152</v>
      </c>
      <c r="DC56" s="7">
        <v>41182</v>
      </c>
      <c r="DD56" s="7">
        <v>41213</v>
      </c>
      <c r="DE56" s="7">
        <v>41243</v>
      </c>
      <c r="DF56" s="7">
        <v>41274</v>
      </c>
      <c r="DG56" s="7">
        <v>41305</v>
      </c>
      <c r="DH56" s="7">
        <v>41333</v>
      </c>
      <c r="DI56" s="7">
        <v>41364</v>
      </c>
      <c r="DJ56" s="7">
        <v>41394</v>
      </c>
      <c r="DK56" s="7">
        <v>41425</v>
      </c>
      <c r="DL56" s="7">
        <v>41455</v>
      </c>
      <c r="DM56" s="7">
        <v>41486</v>
      </c>
      <c r="DN56" s="7">
        <v>41517</v>
      </c>
      <c r="DO56" s="7">
        <v>41547</v>
      </c>
      <c r="DP56" s="7">
        <v>41578</v>
      </c>
      <c r="DQ56" s="7">
        <v>41608</v>
      </c>
      <c r="DR56" s="7">
        <v>41639</v>
      </c>
      <c r="DS56" s="7">
        <v>41670</v>
      </c>
      <c r="DT56" s="7">
        <v>41698</v>
      </c>
      <c r="DU56" s="7">
        <v>41729</v>
      </c>
      <c r="DV56" s="7">
        <v>41759</v>
      </c>
      <c r="DW56" s="7">
        <v>41790</v>
      </c>
      <c r="DX56" s="7">
        <v>41820</v>
      </c>
      <c r="DY56" s="7">
        <v>41851</v>
      </c>
      <c r="DZ56" s="7">
        <v>41882</v>
      </c>
      <c r="EA56" s="7">
        <v>41912</v>
      </c>
      <c r="EB56" s="7">
        <v>41943</v>
      </c>
      <c r="EC56" s="7">
        <v>41973</v>
      </c>
      <c r="ED56" s="7">
        <v>42004</v>
      </c>
      <c r="EE56" s="7">
        <v>42035</v>
      </c>
      <c r="EF56" s="7">
        <v>42063</v>
      </c>
      <c r="EG56" s="7">
        <v>42094</v>
      </c>
      <c r="EH56" s="7">
        <v>42124</v>
      </c>
      <c r="EI56" s="7">
        <v>42155</v>
      </c>
      <c r="EJ56" s="7">
        <v>42185</v>
      </c>
      <c r="EK56" s="7">
        <v>42216</v>
      </c>
      <c r="EL56" s="7">
        <v>42247</v>
      </c>
      <c r="EM56" s="7">
        <v>42277</v>
      </c>
      <c r="EN56" s="7">
        <v>42308</v>
      </c>
      <c r="EO56" s="7">
        <v>42338</v>
      </c>
      <c r="EP56" s="7">
        <v>42369</v>
      </c>
      <c r="EQ56" s="7">
        <v>42400</v>
      </c>
      <c r="ER56" s="7">
        <v>42429</v>
      </c>
      <c r="ES56" s="7">
        <v>42460</v>
      </c>
      <c r="ET56" s="7">
        <v>42490</v>
      </c>
      <c r="EU56" s="7">
        <v>42521</v>
      </c>
      <c r="EV56" s="7">
        <v>42551</v>
      </c>
      <c r="EW56" s="7">
        <v>42582</v>
      </c>
      <c r="EX56" s="7">
        <v>42613</v>
      </c>
      <c r="EY56" s="7">
        <v>42643</v>
      </c>
      <c r="EZ56" s="7">
        <v>42674</v>
      </c>
      <c r="FA56" s="7">
        <v>42704</v>
      </c>
      <c r="FB56" s="7">
        <v>42735</v>
      </c>
      <c r="FC56" s="7">
        <v>42766</v>
      </c>
      <c r="FD56" s="7">
        <v>42794</v>
      </c>
      <c r="FE56" s="7">
        <v>42825</v>
      </c>
      <c r="FF56" s="7">
        <v>42855</v>
      </c>
      <c r="FG56" s="7">
        <v>42886</v>
      </c>
      <c r="FH56" s="7">
        <v>42916</v>
      </c>
      <c r="FI56" s="7">
        <v>42947</v>
      </c>
      <c r="FJ56" s="7">
        <v>42978</v>
      </c>
      <c r="FK56" s="7">
        <v>43008</v>
      </c>
      <c r="FL56" s="7">
        <v>43039</v>
      </c>
      <c r="FM56" s="7">
        <v>43069</v>
      </c>
      <c r="FN56" s="7">
        <v>43100</v>
      </c>
      <c r="FO56" s="7">
        <v>43131</v>
      </c>
      <c r="FP56" s="7">
        <v>43159</v>
      </c>
      <c r="FQ56" s="7">
        <v>43190</v>
      </c>
      <c r="FR56" s="7">
        <v>43220</v>
      </c>
      <c r="FS56" s="7">
        <v>43251</v>
      </c>
      <c r="FT56" s="7">
        <v>43281</v>
      </c>
      <c r="FU56" s="7">
        <v>43312</v>
      </c>
      <c r="FV56" s="7">
        <v>43343</v>
      </c>
      <c r="FW56" s="7">
        <v>43373</v>
      </c>
      <c r="FX56" s="7">
        <v>43404</v>
      </c>
      <c r="FY56" s="7">
        <v>43434</v>
      </c>
      <c r="FZ56" s="7">
        <v>43465</v>
      </c>
      <c r="GA56" s="7">
        <v>43496</v>
      </c>
      <c r="GB56" s="7">
        <v>43524</v>
      </c>
      <c r="GC56" s="7">
        <v>43555</v>
      </c>
      <c r="GD56" s="7">
        <v>43585</v>
      </c>
      <c r="GE56" s="7">
        <v>43616</v>
      </c>
      <c r="GF56" s="7">
        <v>43646</v>
      </c>
      <c r="GG56" s="7">
        <v>43677</v>
      </c>
      <c r="GH56" s="7">
        <v>43708</v>
      </c>
      <c r="GI56" s="7">
        <v>43738</v>
      </c>
      <c r="GJ56" s="7">
        <v>43769</v>
      </c>
      <c r="GK56" s="7">
        <v>43799</v>
      </c>
      <c r="GL56" s="7">
        <v>43830</v>
      </c>
      <c r="GM56" s="7">
        <v>43861</v>
      </c>
      <c r="GN56" s="7">
        <v>43890</v>
      </c>
      <c r="GO56" s="7">
        <v>43921</v>
      </c>
      <c r="GP56" s="7">
        <v>43951</v>
      </c>
      <c r="GQ56" s="7">
        <v>43982</v>
      </c>
      <c r="GR56" s="7">
        <v>44012</v>
      </c>
      <c r="GS56" s="7">
        <v>44043</v>
      </c>
      <c r="GT56" s="7">
        <v>44074</v>
      </c>
      <c r="GU56" s="7">
        <v>44104</v>
      </c>
      <c r="GV56" s="7">
        <v>44135</v>
      </c>
      <c r="GW56" s="7">
        <v>44165</v>
      </c>
      <c r="GX56" s="7">
        <v>44196</v>
      </c>
      <c r="GY56" s="7">
        <v>44227</v>
      </c>
      <c r="GZ56" s="7">
        <v>44255</v>
      </c>
      <c r="HA56" s="7">
        <v>44286</v>
      </c>
      <c r="HB56" s="7">
        <v>44316</v>
      </c>
      <c r="HC56" s="7">
        <v>44347</v>
      </c>
      <c r="HD56" s="7">
        <v>44377</v>
      </c>
      <c r="HE56" s="7">
        <v>44408</v>
      </c>
      <c r="HF56" s="7">
        <v>44439</v>
      </c>
      <c r="HG56" s="7">
        <v>44469</v>
      </c>
      <c r="HH56" s="7">
        <v>44500</v>
      </c>
      <c r="HI56" s="7">
        <v>44530</v>
      </c>
      <c r="HJ56" s="7">
        <v>44561</v>
      </c>
      <c r="HK56" s="7">
        <v>44592</v>
      </c>
      <c r="HL56" s="7">
        <v>44620</v>
      </c>
      <c r="HM56" s="7">
        <v>44651</v>
      </c>
      <c r="HN56" s="7">
        <v>44681</v>
      </c>
      <c r="HO56" s="7">
        <v>44712</v>
      </c>
      <c r="HP56" s="7">
        <v>44742</v>
      </c>
      <c r="HQ56" s="7">
        <v>44773</v>
      </c>
      <c r="HR56" s="7">
        <v>44804</v>
      </c>
      <c r="HS56" s="7">
        <v>44834</v>
      </c>
      <c r="HT56" s="7">
        <v>44865</v>
      </c>
      <c r="HU56" s="7">
        <v>44895</v>
      </c>
      <c r="HV56" s="7">
        <v>44926</v>
      </c>
      <c r="HW56" s="7">
        <v>44957</v>
      </c>
      <c r="HX56" s="7">
        <v>44985</v>
      </c>
      <c r="HY56" s="7">
        <v>45016</v>
      </c>
      <c r="HZ56" s="7">
        <v>45046</v>
      </c>
      <c r="IA56" s="7">
        <v>45077</v>
      </c>
      <c r="IB56" s="7">
        <v>45107</v>
      </c>
      <c r="IC56" s="7">
        <v>45138</v>
      </c>
      <c r="ID56" s="7">
        <v>45169</v>
      </c>
      <c r="IE56" s="7">
        <v>45199</v>
      </c>
      <c r="IF56" s="7">
        <v>45230</v>
      </c>
      <c r="IG56" s="7">
        <v>45260</v>
      </c>
      <c r="IH56" s="7">
        <v>45291</v>
      </c>
      <c r="II56" s="7">
        <v>45322</v>
      </c>
      <c r="IJ56" s="7">
        <v>45351</v>
      </c>
      <c r="IK56" s="7">
        <v>45382</v>
      </c>
      <c r="IL56" s="7">
        <v>45412</v>
      </c>
      <c r="IM56" s="7">
        <v>45443</v>
      </c>
      <c r="IN56" s="7">
        <v>45473</v>
      </c>
      <c r="IO56" s="7">
        <v>45504</v>
      </c>
      <c r="IP56" s="7">
        <v>45535</v>
      </c>
      <c r="IQ56" s="7">
        <v>45565</v>
      </c>
      <c r="IR56" s="7">
        <v>45596</v>
      </c>
      <c r="IS56" s="7">
        <v>45626</v>
      </c>
      <c r="IT56" s="7">
        <v>45657</v>
      </c>
      <c r="IU56" s="7">
        <v>45688</v>
      </c>
      <c r="IV56" s="7">
        <v>45716</v>
      </c>
      <c r="IW56" s="7">
        <v>45747</v>
      </c>
      <c r="IX56" s="7">
        <v>45777</v>
      </c>
      <c r="IY56" s="7">
        <v>45808</v>
      </c>
      <c r="IZ56" s="7">
        <v>45838</v>
      </c>
      <c r="JA56" s="7">
        <v>45869</v>
      </c>
      <c r="JB56" s="7">
        <v>45900</v>
      </c>
      <c r="JC56" s="7">
        <v>45930</v>
      </c>
      <c r="JD56" s="7">
        <v>45961</v>
      </c>
      <c r="JE56" s="7">
        <v>45991</v>
      </c>
      <c r="JF56" s="7">
        <v>46022</v>
      </c>
      <c r="JG56" s="7">
        <v>46053</v>
      </c>
      <c r="JH56" s="7">
        <v>46081</v>
      </c>
      <c r="JI56" s="10" t="s">
        <v>3</v>
      </c>
      <c r="JJ56" s="11" t="s">
        <v>4</v>
      </c>
      <c r="JK56" s="10" t="s">
        <v>5</v>
      </c>
      <c r="JL56" s="12" t="s">
        <v>6</v>
      </c>
      <c r="JM56" s="10" t="s">
        <v>7</v>
      </c>
      <c r="JN56" s="19">
        <f>JN29</f>
        <v>1.28</v>
      </c>
      <c r="LY56" s="1"/>
    </row>
    <row r="57" spans="1:337" x14ac:dyDescent="0.25">
      <c r="A57" s="4">
        <v>1</v>
      </c>
      <c r="B57" s="9">
        <f t="shared" ref="B57:BM57" ca="1" si="20">IF(B30="","",ABS(B30))</f>
        <v>1.2623460860711644E-2</v>
      </c>
      <c r="C57" s="9">
        <f t="shared" ca="1" si="20"/>
        <v>5.3169098979450879E-3</v>
      </c>
      <c r="D57" s="9">
        <f t="shared" ca="1" si="20"/>
        <v>7.5877975360542083E-3</v>
      </c>
      <c r="E57" s="9">
        <f t="shared" ca="1" si="20"/>
        <v>4.6384775843800519E-2</v>
      </c>
      <c r="F57" s="9">
        <f t="shared" ca="1" si="20"/>
        <v>8.2735773682165448E-3</v>
      </c>
      <c r="G57" s="9">
        <f t="shared" ca="1" si="20"/>
        <v>2.9852309626315909E-2</v>
      </c>
      <c r="H57" s="9">
        <f t="shared" ca="1" si="20"/>
        <v>2.7411420497366557E-2</v>
      </c>
      <c r="I57" s="9">
        <f t="shared" ca="1" si="20"/>
        <v>8.7647009496745198E-3</v>
      </c>
      <c r="J57" s="9">
        <f t="shared" ca="1" si="20"/>
        <v>1.4583489684456774E-2</v>
      </c>
      <c r="K57" s="9">
        <f t="shared" ca="1" si="20"/>
        <v>2.5808856580700201E-4</v>
      </c>
      <c r="L57" s="9">
        <f t="shared" ca="1" si="20"/>
        <v>6.3171123548276809E-3</v>
      </c>
      <c r="M57" s="9">
        <f t="shared" ca="1" si="20"/>
        <v>2.0035406568825742E-3</v>
      </c>
      <c r="N57" s="9">
        <f t="shared" ca="1" si="20"/>
        <v>1.1140942982910795E-2</v>
      </c>
      <c r="O57" s="9">
        <f t="shared" ca="1" si="20"/>
        <v>8.0472202815116134E-3</v>
      </c>
      <c r="P57" s="9">
        <f t="shared" ca="1" si="20"/>
        <v>1.786504862164362E-3</v>
      </c>
      <c r="Q57" s="9">
        <f t="shared" ca="1" si="20"/>
        <v>5.4277829619707729E-3</v>
      </c>
      <c r="R57" s="9">
        <f t="shared" ca="1" si="20"/>
        <v>3.7257091386824204E-3</v>
      </c>
      <c r="S57" s="9">
        <f t="shared" ca="1" si="20"/>
        <v>2.4735828889330458E-2</v>
      </c>
      <c r="T57" s="9">
        <f t="shared" ca="1" si="20"/>
        <v>7.3862320374307178E-3</v>
      </c>
      <c r="U57" s="9">
        <f t="shared" ca="1" si="20"/>
        <v>1.1414373789685461E-2</v>
      </c>
      <c r="V57" s="9">
        <f t="shared" ca="1" si="20"/>
        <v>6.1523902117932572E-4</v>
      </c>
      <c r="W57" s="9">
        <f t="shared" ca="1" si="20"/>
        <v>4.655041411441907E-3</v>
      </c>
      <c r="X57" s="9">
        <f t="shared" ca="1" si="20"/>
        <v>2.2379234002793513E-2</v>
      </c>
      <c r="Y57" s="9">
        <f t="shared" ca="1" si="20"/>
        <v>1.8895738939570084E-2</v>
      </c>
      <c r="Z57" s="9">
        <f t="shared" ca="1" si="20"/>
        <v>1.0794175748047419E-2</v>
      </c>
      <c r="AA57" s="9">
        <f t="shared" ca="1" si="20"/>
        <v>1.0262538685175127E-2</v>
      </c>
      <c r="AB57" s="9">
        <f t="shared" ca="1" si="20"/>
        <v>1.6586058458657682E-2</v>
      </c>
      <c r="AC57" s="9">
        <f t="shared" ca="1" si="20"/>
        <v>1.2552566789945541E-2</v>
      </c>
      <c r="AD57" s="9">
        <f t="shared" ca="1" si="20"/>
        <v>7.1410644508200782E-3</v>
      </c>
      <c r="AE57" s="9">
        <f t="shared" ca="1" si="20"/>
        <v>9.5284244190119161E-4</v>
      </c>
      <c r="AF57" s="9">
        <f t="shared" ca="1" si="20"/>
        <v>7.891325134259497E-3</v>
      </c>
      <c r="AG57" s="9">
        <f t="shared" ca="1" si="20"/>
        <v>2.4470883441779501E-3</v>
      </c>
      <c r="AH57" s="9">
        <f t="shared" ca="1" si="20"/>
        <v>2.0982290163690243E-3</v>
      </c>
      <c r="AI57" s="9">
        <f t="shared" ca="1" si="20"/>
        <v>9.3386027255952797E-3</v>
      </c>
      <c r="AJ57" s="9">
        <f t="shared" ca="1" si="20"/>
        <v>1.5195906975911333E-2</v>
      </c>
      <c r="AK57" s="9">
        <f t="shared" ca="1" si="20"/>
        <v>3.0032900746983726E-2</v>
      </c>
      <c r="AL57" s="9">
        <f t="shared" ca="1" si="20"/>
        <v>1.0618869675410147E-2</v>
      </c>
      <c r="AM57" s="9">
        <f t="shared" ca="1" si="20"/>
        <v>3.267085199811115E-3</v>
      </c>
      <c r="AN57" s="9">
        <f t="shared" ca="1" si="20"/>
        <v>4.1008620610294422E-3</v>
      </c>
      <c r="AO57" s="9">
        <f t="shared" ca="1" si="20"/>
        <v>1.6749914304159064E-2</v>
      </c>
      <c r="AP57" s="9">
        <f t="shared" ca="1" si="20"/>
        <v>1.1351999010949854E-2</v>
      </c>
      <c r="AQ57" s="9">
        <f t="shared" ca="1" si="20"/>
        <v>1.4022850823077193E-2</v>
      </c>
      <c r="AR57" s="9">
        <f t="shared" ca="1" si="20"/>
        <v>2.2639934371672554E-2</v>
      </c>
      <c r="AS57" s="9">
        <f t="shared" ca="1" si="20"/>
        <v>1.3788131009194848E-2</v>
      </c>
      <c r="AT57" s="9">
        <f t="shared" ca="1" si="20"/>
        <v>1.1377497752584897E-3</v>
      </c>
      <c r="AU57" s="9">
        <f t="shared" ca="1" si="20"/>
        <v>1.1622086173181945E-3</v>
      </c>
      <c r="AV57" s="9">
        <f t="shared" ca="1" si="20"/>
        <v>7.2576073121065621E-3</v>
      </c>
      <c r="AW57" s="9">
        <f t="shared" ca="1" si="20"/>
        <v>9.9008233236970167E-3</v>
      </c>
      <c r="AX57" s="9">
        <f t="shared" ca="1" si="20"/>
        <v>2.4289070068716612E-2</v>
      </c>
      <c r="AY57" s="9">
        <f t="shared" ca="1" si="20"/>
        <v>3.899715281016225E-2</v>
      </c>
      <c r="AZ57" s="9">
        <f t="shared" ca="1" si="20"/>
        <v>8.125177339910139E-3</v>
      </c>
      <c r="BA57" s="9">
        <f t="shared" ca="1" si="20"/>
        <v>4.0411984263118539E-2</v>
      </c>
      <c r="BB57" s="9">
        <f t="shared" ca="1" si="20"/>
        <v>3.5787289426376545E-2</v>
      </c>
      <c r="BC57" s="9">
        <f t="shared" ca="1" si="20"/>
        <v>2.3648599871691323E-2</v>
      </c>
      <c r="BD57" s="9">
        <f t="shared" ca="1" si="20"/>
        <v>2.1758392055169828E-2</v>
      </c>
      <c r="BE57" s="9">
        <f t="shared" ca="1" si="20"/>
        <v>1.8798184084884761E-2</v>
      </c>
      <c r="BF57" s="9">
        <f t="shared" ca="1" si="20"/>
        <v>2.5161330110319291E-3</v>
      </c>
      <c r="BG57" s="9">
        <f t="shared" ca="1" si="20"/>
        <v>7.8722925972608881E-2</v>
      </c>
      <c r="BH57" s="9">
        <f t="shared" ca="1" si="20"/>
        <v>5.2668347154419815E-2</v>
      </c>
      <c r="BI57" s="9">
        <f t="shared" ca="1" si="20"/>
        <v>1.4531737776074416E-2</v>
      </c>
      <c r="BJ57" s="9">
        <f t="shared" ca="1" si="20"/>
        <v>2.1285988535773015E-2</v>
      </c>
      <c r="BK57" s="9">
        <f t="shared" ca="1" si="20"/>
        <v>1.3136285929861824E-2</v>
      </c>
      <c r="BL57" s="9">
        <f t="shared" ca="1" si="20"/>
        <v>2.5722365286959481E-2</v>
      </c>
      <c r="BM57" s="9">
        <f t="shared" ca="1" si="20"/>
        <v>4.1781702958019196E-3</v>
      </c>
      <c r="BN57" s="9">
        <f t="shared" ref="BN57:DY57" ca="1" si="21">IF(BN30="","",ABS(BN30))</f>
        <v>1.9994662351690895E-2</v>
      </c>
      <c r="BO57" s="9">
        <f t="shared" ca="1" si="21"/>
        <v>3.9794766664671632E-2</v>
      </c>
      <c r="BP57" s="9">
        <f t="shared" ca="1" si="21"/>
        <v>2.6679374933040068E-2</v>
      </c>
      <c r="BQ57" s="9">
        <f t="shared" ca="1" si="21"/>
        <v>6.198146895196377E-3</v>
      </c>
      <c r="BR57" s="9">
        <f t="shared" ca="1" si="21"/>
        <v>2.9023999982105808E-2</v>
      </c>
      <c r="BS57" s="9">
        <f t="shared" ca="1" si="21"/>
        <v>4.3701111514080737E-2</v>
      </c>
      <c r="BT57" s="9">
        <f t="shared" ca="1" si="21"/>
        <v>3.3629668713239136E-2</v>
      </c>
      <c r="BU57" s="9">
        <f t="shared" ca="1" si="21"/>
        <v>5.1508803093321953E-3</v>
      </c>
      <c r="BV57" s="9">
        <f t="shared" ca="1" si="21"/>
        <v>9.7616524810035799E-3</v>
      </c>
      <c r="BW57" s="9">
        <f t="shared" ca="1" si="21"/>
        <v>8.0505981356232548E-3</v>
      </c>
      <c r="BX57" s="9">
        <f t="shared" ca="1" si="21"/>
        <v>6.2555920166158518E-3</v>
      </c>
      <c r="BY57" s="9">
        <f t="shared" ca="1" si="21"/>
        <v>1.1554465182445739E-2</v>
      </c>
      <c r="BZ57" s="9">
        <f t="shared" ca="1" si="21"/>
        <v>8.3663948181929015E-3</v>
      </c>
      <c r="CA57" s="9">
        <f t="shared" ca="1" si="21"/>
        <v>6.4607861371795972E-3</v>
      </c>
      <c r="CB57" s="9">
        <f t="shared" ca="1" si="21"/>
        <v>1.2493037593127365E-2</v>
      </c>
      <c r="CC57" s="9">
        <f t="shared" ca="1" si="21"/>
        <v>8.2759861397753154E-3</v>
      </c>
      <c r="CD57" s="9">
        <f t="shared" ca="1" si="21"/>
        <v>2.798254586895732E-2</v>
      </c>
      <c r="CE57" s="9">
        <f t="shared" ca="1" si="21"/>
        <v>2.1297033433894108E-2</v>
      </c>
      <c r="CF57" s="9">
        <f t="shared" ca="1" si="21"/>
        <v>1.655634768881864E-3</v>
      </c>
      <c r="CG57" s="9">
        <f t="shared" ca="1" si="21"/>
        <v>1.8402686618183006E-2</v>
      </c>
      <c r="CH57" s="9">
        <f t="shared" ca="1" si="21"/>
        <v>1.0948234331722762E-2</v>
      </c>
      <c r="CI57" s="9">
        <f t="shared" ca="1" si="21"/>
        <v>2.2401717424325174E-3</v>
      </c>
      <c r="CJ57" s="9">
        <f t="shared" ca="1" si="21"/>
        <v>4.2167986444423544E-3</v>
      </c>
      <c r="CK57" s="9">
        <f t="shared" ca="1" si="21"/>
        <v>2.3870721923481275E-3</v>
      </c>
      <c r="CL57" s="9">
        <f t="shared" ca="1" si="21"/>
        <v>8.9968569148821675E-3</v>
      </c>
      <c r="CM57" s="9">
        <f t="shared" ca="1" si="21"/>
        <v>9.9251892317621104E-3</v>
      </c>
      <c r="CN57" s="9">
        <f t="shared" ca="1" si="21"/>
        <v>1.5476679569496055E-3</v>
      </c>
      <c r="CO57" s="9">
        <f t="shared" ca="1" si="21"/>
        <v>1.5280076534954778E-2</v>
      </c>
      <c r="CP57" s="9">
        <f t="shared" ca="1" si="21"/>
        <v>1.1008159352850599E-2</v>
      </c>
      <c r="CQ57" s="9">
        <f t="shared" ca="1" si="21"/>
        <v>2.0070621284973056E-2</v>
      </c>
      <c r="CR57" s="9">
        <f t="shared" ca="1" si="21"/>
        <v>9.2318967114626282E-3</v>
      </c>
      <c r="CS57" s="9">
        <f t="shared" ca="1" si="21"/>
        <v>1.9934828596954945E-2</v>
      </c>
      <c r="CT57" s="9">
        <f t="shared" ca="1" si="21"/>
        <v>1.751310507703141E-2</v>
      </c>
      <c r="CU57" s="9">
        <f t="shared" ca="1" si="21"/>
        <v>1.2526390966214884E-2</v>
      </c>
      <c r="CV57" s="9">
        <f t="shared" ca="1" si="21"/>
        <v>7.5092803120130336E-3</v>
      </c>
      <c r="CW57" s="9">
        <f t="shared" ca="1" si="21"/>
        <v>9.719745298032878E-3</v>
      </c>
      <c r="CX57" s="9">
        <f t="shared" ca="1" si="21"/>
        <v>4.2165730943555246E-4</v>
      </c>
      <c r="CY57" s="9">
        <f t="shared" ca="1" si="21"/>
        <v>9.6633784394744016E-3</v>
      </c>
      <c r="CZ57" s="9">
        <f t="shared" ca="1" si="21"/>
        <v>2.1015188780781235E-2</v>
      </c>
      <c r="DA57" s="9">
        <f t="shared" ca="1" si="21"/>
        <v>9.4687969770859137E-3</v>
      </c>
      <c r="DB57" s="9">
        <f t="shared" ca="1" si="21"/>
        <v>3.6852283794045704E-2</v>
      </c>
      <c r="DC57" s="9">
        <f t="shared" ca="1" si="21"/>
        <v>2.2268413115449026E-2</v>
      </c>
      <c r="DD57" s="9">
        <f t="shared" ca="1" si="21"/>
        <v>8.8276924785635202E-3</v>
      </c>
      <c r="DE57" s="9">
        <f t="shared" ca="1" si="21"/>
        <v>1.870615098872519E-2</v>
      </c>
      <c r="DF57" s="9">
        <f t="shared" ca="1" si="21"/>
        <v>2.6437098098675005E-3</v>
      </c>
      <c r="DG57" s="9">
        <f t="shared" ca="1" si="21"/>
        <v>1.1465841583278014E-2</v>
      </c>
      <c r="DH57" s="9">
        <f t="shared" ca="1" si="21"/>
        <v>8.4144869222784191E-3</v>
      </c>
      <c r="DI57" s="9">
        <f t="shared" ca="1" si="21"/>
        <v>1.7046209832807468E-2</v>
      </c>
      <c r="DJ57" s="9">
        <f t="shared" ca="1" si="21"/>
        <v>8.2168756938560961E-5</v>
      </c>
      <c r="DK57" s="9">
        <f t="shared" ca="1" si="21"/>
        <v>3.9377205473676291E-3</v>
      </c>
      <c r="DL57" s="9">
        <f t="shared" ca="1" si="21"/>
        <v>2.6656552669761524E-3</v>
      </c>
      <c r="DM57" s="9">
        <f t="shared" ca="1" si="21"/>
        <v>6.6440474321494136E-4</v>
      </c>
      <c r="DN57" s="9">
        <f t="shared" ca="1" si="21"/>
        <v>2.6942720847271895E-2</v>
      </c>
      <c r="DO57" s="9">
        <f t="shared" ca="1" si="21"/>
        <v>1.9305659900067162E-2</v>
      </c>
      <c r="DP57" s="9">
        <f t="shared" ca="1" si="21"/>
        <v>6.4786980841047281E-4</v>
      </c>
      <c r="DQ57" s="9">
        <f t="shared" ca="1" si="21"/>
        <v>2.8128162775211907E-2</v>
      </c>
      <c r="DR57" s="9">
        <f t="shared" ca="1" si="21"/>
        <v>3.232193193185573E-3</v>
      </c>
      <c r="DS57" s="9">
        <f t="shared" ca="1" si="21"/>
        <v>4.2294757841944142E-3</v>
      </c>
      <c r="DT57" s="9">
        <f t="shared" ca="1" si="21"/>
        <v>6.584014129043636E-3</v>
      </c>
      <c r="DU57" s="9">
        <f t="shared" ca="1" si="21"/>
        <v>1.6801779503217151E-3</v>
      </c>
      <c r="DV57" s="9">
        <f t="shared" ca="1" si="21"/>
        <v>1.1201471821749021E-3</v>
      </c>
      <c r="DW57" s="9">
        <f t="shared" ca="1" si="21"/>
        <v>9.6246855644535056E-3</v>
      </c>
      <c r="DX57" s="9">
        <f t="shared" ca="1" si="21"/>
        <v>7.4544635254960578E-3</v>
      </c>
      <c r="DY57" s="9">
        <f t="shared" ca="1" si="21"/>
        <v>8.2747118925337038E-3</v>
      </c>
      <c r="DZ57" s="9">
        <f t="shared" ref="DZ57:GK57" ca="1" si="22">IF(DZ30="","",ABS(DZ30))</f>
        <v>4.9541397263799247E-3</v>
      </c>
      <c r="EA57" s="9">
        <f t="shared" ca="1" si="22"/>
        <v>1.5470167703869997E-2</v>
      </c>
      <c r="EB57" s="9">
        <f t="shared" ca="1" si="22"/>
        <v>1.7666934111421284E-2</v>
      </c>
      <c r="EC57" s="9">
        <f t="shared" ca="1" si="22"/>
        <v>1.1127213069216046E-2</v>
      </c>
      <c r="ED57" s="9">
        <f t="shared" ca="1" si="22"/>
        <v>3.9052951855036433E-3</v>
      </c>
      <c r="EE57" s="9">
        <f t="shared" ca="1" si="22"/>
        <v>7.0457814868818414E-3</v>
      </c>
      <c r="EF57" s="9">
        <f t="shared" ca="1" si="22"/>
        <v>2.4459194136805529E-4</v>
      </c>
      <c r="EG57" s="9">
        <f t="shared" ca="1" si="22"/>
        <v>2.0416095826298442E-2</v>
      </c>
      <c r="EH57" s="9">
        <f t="shared" ca="1" si="22"/>
        <v>6.0690035799318975E-3</v>
      </c>
      <c r="EI57" s="9">
        <f t="shared" ca="1" si="22"/>
        <v>1.2012564657435165E-2</v>
      </c>
      <c r="EJ57" s="9">
        <f t="shared" ca="1" si="22"/>
        <v>1.9565175317539651E-2</v>
      </c>
      <c r="EK57" s="9">
        <f t="shared" ca="1" si="22"/>
        <v>1.0010327908366534E-2</v>
      </c>
      <c r="EL57" s="9">
        <f t="shared" ca="1" si="22"/>
        <v>2.2217893602980432E-3</v>
      </c>
      <c r="EM57" s="9">
        <f t="shared" ca="1" si="22"/>
        <v>1.8143968088206952E-2</v>
      </c>
      <c r="EN57" s="9">
        <f t="shared" ca="1" si="22"/>
        <v>1.3847092962517182E-2</v>
      </c>
      <c r="EO57" s="9">
        <f t="shared" ca="1" si="22"/>
        <v>2.9525929510577642E-3</v>
      </c>
      <c r="EP57" s="9">
        <f t="shared" ca="1" si="22"/>
        <v>1.7268149949851708E-3</v>
      </c>
      <c r="EQ57" s="9">
        <f t="shared" ca="1" si="22"/>
        <v>2.6333595261125442E-3</v>
      </c>
      <c r="ER57" s="9">
        <f t="shared" ca="1" si="22"/>
        <v>1.1093826917976557E-2</v>
      </c>
      <c r="ES57" s="9">
        <f t="shared" ca="1" si="22"/>
        <v>1.5390187529670252E-2</v>
      </c>
      <c r="ET57" s="9">
        <f t="shared" ca="1" si="22"/>
        <v>1.6977534519253767E-2</v>
      </c>
      <c r="EU57" s="9">
        <f t="shared" ca="1" si="22"/>
        <v>1.3759020583996584E-3</v>
      </c>
      <c r="EV57" s="9">
        <f t="shared" ca="1" si="22"/>
        <v>1.4988217641211499E-2</v>
      </c>
      <c r="EW57" s="9">
        <f t="shared" ca="1" si="22"/>
        <v>1.1174320081824618E-2</v>
      </c>
      <c r="EX57" s="9">
        <f t="shared" ca="1" si="22"/>
        <v>4.3383382671733361E-3</v>
      </c>
      <c r="EY57" s="9">
        <f t="shared" ca="1" si="22"/>
        <v>9.3745917989986882E-3</v>
      </c>
      <c r="EZ57" s="9">
        <f t="shared" ca="1" si="22"/>
        <v>1.9702283089007899E-2</v>
      </c>
      <c r="FA57" s="9">
        <f t="shared" ca="1" si="22"/>
        <v>1.2600803461106036E-2</v>
      </c>
      <c r="FB57" s="9">
        <f t="shared" ca="1" si="22"/>
        <v>5.3821534236835333E-3</v>
      </c>
      <c r="FC57" s="9">
        <f t="shared" ca="1" si="22"/>
        <v>4.1125692436070338E-3</v>
      </c>
      <c r="FD57" s="9">
        <f t="shared" ca="1" si="22"/>
        <v>3.7130328465091456E-3</v>
      </c>
      <c r="FE57" s="9">
        <f t="shared" ca="1" si="22"/>
        <v>1.8492044973721478E-2</v>
      </c>
      <c r="FF57" s="9">
        <f t="shared" ca="1" si="22"/>
        <v>2.4089165418994529E-3</v>
      </c>
      <c r="FG57" s="9">
        <f t="shared" ca="1" si="22"/>
        <v>1.3928295002407554E-2</v>
      </c>
      <c r="FH57" s="9">
        <f t="shared" ca="1" si="22"/>
        <v>4.2725046861387117E-3</v>
      </c>
      <c r="FI57" s="9">
        <f t="shared" ca="1" si="22"/>
        <v>4.8800014880021614E-3</v>
      </c>
      <c r="FJ57" s="9">
        <f t="shared" ca="1" si="22"/>
        <v>2.5041043229527715E-2</v>
      </c>
      <c r="FK57" s="9">
        <f t="shared" ca="1" si="22"/>
        <v>4.8450764217919495E-2</v>
      </c>
      <c r="FL57" s="9">
        <f t="shared" ca="1" si="22"/>
        <v>4.310096617810899E-3</v>
      </c>
      <c r="FM57" s="9">
        <f t="shared" ca="1" si="22"/>
        <v>1.4301604219246866E-2</v>
      </c>
      <c r="FN57" s="9">
        <f t="shared" ca="1" si="22"/>
        <v>2.1952062519487558E-2</v>
      </c>
      <c r="FO57" s="9">
        <f t="shared" ca="1" si="22"/>
        <v>2.1776869864715831E-3</v>
      </c>
      <c r="FP57" s="9">
        <f t="shared" ca="1" si="22"/>
        <v>1.0435590916362592E-2</v>
      </c>
      <c r="FQ57" s="9">
        <f t="shared" ca="1" si="22"/>
        <v>1.2474580031758942E-2</v>
      </c>
      <c r="FR57" s="9">
        <f t="shared" ca="1" si="22"/>
        <v>5.2509376739311442E-3</v>
      </c>
      <c r="FS57" s="9">
        <f t="shared" ca="1" si="22"/>
        <v>4.0029432860136938E-3</v>
      </c>
      <c r="FT57" s="9">
        <f t="shared" ca="1" si="22"/>
        <v>1.4419302703389869E-2</v>
      </c>
      <c r="FU57" s="9">
        <f t="shared" ca="1" si="22"/>
        <v>3.1519574968369435E-3</v>
      </c>
      <c r="FV57" s="9">
        <f t="shared" ca="1" si="22"/>
        <v>5.1345231956486659E-3</v>
      </c>
      <c r="FW57" s="9">
        <f t="shared" ca="1" si="22"/>
        <v>2.3756923100069605E-2</v>
      </c>
      <c r="FX57" s="9">
        <f t="shared" ca="1" si="22"/>
        <v>2.918627954302111E-2</v>
      </c>
      <c r="FY57" s="9">
        <f t="shared" ca="1" si="22"/>
        <v>1.0911558188313908E-2</v>
      </c>
      <c r="FZ57" s="9">
        <f t="shared" ca="1" si="22"/>
        <v>5.9538319389074168E-3</v>
      </c>
      <c r="GA57" s="9">
        <f t="shared" ca="1" si="22"/>
        <v>4.5317740667005779E-3</v>
      </c>
      <c r="GB57" s="9">
        <f t="shared" ca="1" si="22"/>
        <v>3.7016771950650895E-3</v>
      </c>
      <c r="GC57" s="9">
        <f t="shared" ca="1" si="22"/>
        <v>1.983382374616216E-2</v>
      </c>
      <c r="GD57" s="9">
        <f t="shared" ca="1" si="22"/>
        <v>1.9843655443701591E-2</v>
      </c>
      <c r="GE57" s="9">
        <f t="shared" ca="1" si="22"/>
        <v>1.2378409057734463E-2</v>
      </c>
      <c r="GF57" s="9">
        <f t="shared" ca="1" si="22"/>
        <v>3.7586587819811168E-3</v>
      </c>
      <c r="GG57" s="9">
        <f t="shared" ca="1" si="22"/>
        <v>1.912011712616013E-3</v>
      </c>
      <c r="GH57" s="9">
        <f t="shared" ca="1" si="22"/>
        <v>1.1503319162023851E-2</v>
      </c>
      <c r="GI57" s="9">
        <f t="shared" ca="1" si="22"/>
        <v>1.806704794409697E-3</v>
      </c>
      <c r="GJ57" s="9">
        <f t="shared" ca="1" si="22"/>
        <v>1.0603093018270338E-2</v>
      </c>
      <c r="GK57" s="9">
        <f t="shared" ca="1" si="22"/>
        <v>4.3707799444532291E-3</v>
      </c>
      <c r="GL57" s="9">
        <f t="shared" ref="GL57:IW57" ca="1" si="23">IF(GL30="","",ABS(GL30))</f>
        <v>1.0572173802934071E-3</v>
      </c>
      <c r="GM57" s="9">
        <f t="shared" ca="1" si="23"/>
        <v>2.569195445662853E-2</v>
      </c>
      <c r="GN57" s="9">
        <f t="shared" ca="1" si="23"/>
        <v>6.5916437122651272E-2</v>
      </c>
      <c r="GO57" s="9">
        <f t="shared" ca="1" si="23"/>
        <v>6.2486869386080501E-2</v>
      </c>
      <c r="GP57" s="9">
        <f t="shared" ca="1" si="23"/>
        <v>2.1071428965490302E-2</v>
      </c>
      <c r="GQ57" s="9">
        <f t="shared" ca="1" si="23"/>
        <v>1.2153051689600458E-2</v>
      </c>
      <c r="GR57" s="9">
        <f t="shared" ca="1" si="23"/>
        <v>1.2713833228157556E-2</v>
      </c>
      <c r="GS57" s="9">
        <f t="shared" ca="1" si="23"/>
        <v>1.41219364124201E-2</v>
      </c>
      <c r="GT57" s="9">
        <f t="shared" ca="1" si="23"/>
        <v>2.4976666766087119E-2</v>
      </c>
      <c r="GU57" s="9">
        <f t="shared" ca="1" si="23"/>
        <v>6.8076555492040391E-3</v>
      </c>
      <c r="GV57" s="9">
        <f t="shared" ca="1" si="23"/>
        <v>7.0621697441346498E-3</v>
      </c>
      <c r="GW57" s="9">
        <f t="shared" ca="1" si="23"/>
        <v>2.6030357220593658E-2</v>
      </c>
      <c r="GX57" s="9">
        <f t="shared" ca="1" si="23"/>
        <v>1.0559250518373586E-2</v>
      </c>
      <c r="GY57" s="9" t="str">
        <f t="shared" ca="1" si="23"/>
        <v/>
      </c>
      <c r="GZ57" s="9" t="str">
        <f t="shared" ca="1" si="23"/>
        <v/>
      </c>
      <c r="HA57" s="9" t="str">
        <f t="shared" ca="1" si="23"/>
        <v/>
      </c>
      <c r="HB57" s="9" t="str">
        <f t="shared" ca="1" si="23"/>
        <v/>
      </c>
      <c r="HC57" s="9" t="str">
        <f t="shared" ca="1" si="23"/>
        <v/>
      </c>
      <c r="HD57" s="9" t="str">
        <f t="shared" ca="1" si="23"/>
        <v/>
      </c>
      <c r="HE57" s="9" t="str">
        <f t="shared" ca="1" si="23"/>
        <v/>
      </c>
      <c r="HF57" s="9" t="str">
        <f t="shared" ca="1" si="23"/>
        <v/>
      </c>
      <c r="HG57" s="9" t="str">
        <f t="shared" ca="1" si="23"/>
        <v/>
      </c>
      <c r="HH57" s="9" t="str">
        <f t="shared" ca="1" si="23"/>
        <v/>
      </c>
      <c r="HI57" s="9" t="str">
        <f t="shared" ca="1" si="23"/>
        <v/>
      </c>
      <c r="HJ57" s="9" t="str">
        <f t="shared" ca="1" si="23"/>
        <v/>
      </c>
      <c r="HK57" s="9" t="str">
        <f t="shared" ca="1" si="23"/>
        <v/>
      </c>
      <c r="HL57" s="9" t="str">
        <f t="shared" ca="1" si="23"/>
        <v/>
      </c>
      <c r="HM57" s="9" t="str">
        <f t="shared" ca="1" si="23"/>
        <v/>
      </c>
      <c r="HN57" s="9" t="str">
        <f t="shared" ca="1" si="23"/>
        <v/>
      </c>
      <c r="HO57" s="9" t="str">
        <f t="shared" ca="1" si="23"/>
        <v/>
      </c>
      <c r="HP57" s="9" t="str">
        <f t="shared" ca="1" si="23"/>
        <v/>
      </c>
      <c r="HQ57" s="9" t="str">
        <f t="shared" ca="1" si="23"/>
        <v/>
      </c>
      <c r="HR57" s="9" t="str">
        <f t="shared" ca="1" si="23"/>
        <v/>
      </c>
      <c r="HS57" s="9" t="str">
        <f t="shared" ca="1" si="23"/>
        <v/>
      </c>
      <c r="HT57" s="9" t="str">
        <f t="shared" ca="1" si="23"/>
        <v/>
      </c>
      <c r="HU57" s="9" t="str">
        <f t="shared" ca="1" si="23"/>
        <v/>
      </c>
      <c r="HV57" s="9" t="str">
        <f t="shared" ca="1" si="23"/>
        <v/>
      </c>
      <c r="HW57" s="9" t="str">
        <f t="shared" ca="1" si="23"/>
        <v/>
      </c>
      <c r="HX57" s="9" t="str">
        <f t="shared" ca="1" si="23"/>
        <v/>
      </c>
      <c r="HY57" s="9" t="str">
        <f t="shared" ca="1" si="23"/>
        <v/>
      </c>
      <c r="HZ57" s="9" t="str">
        <f t="shared" ca="1" si="23"/>
        <v/>
      </c>
      <c r="IA57" s="9" t="str">
        <f t="shared" ca="1" si="23"/>
        <v/>
      </c>
      <c r="IB57" s="9" t="str">
        <f t="shared" ca="1" si="23"/>
        <v/>
      </c>
      <c r="IC57" s="9" t="str">
        <f t="shared" ca="1" si="23"/>
        <v/>
      </c>
      <c r="ID57" s="9" t="str">
        <f t="shared" ca="1" si="23"/>
        <v/>
      </c>
      <c r="IE57" s="9" t="str">
        <f t="shared" ca="1" si="23"/>
        <v/>
      </c>
      <c r="IF57" s="9" t="str">
        <f t="shared" ca="1" si="23"/>
        <v/>
      </c>
      <c r="IG57" s="9" t="str">
        <f t="shared" ca="1" si="23"/>
        <v/>
      </c>
      <c r="IH57" s="9" t="str">
        <f t="shared" ca="1" si="23"/>
        <v/>
      </c>
      <c r="II57" s="9" t="str">
        <f t="shared" ca="1" si="23"/>
        <v/>
      </c>
      <c r="IJ57" s="9" t="str">
        <f t="shared" ca="1" si="23"/>
        <v/>
      </c>
      <c r="IK57" s="9" t="str">
        <f t="shared" ca="1" si="23"/>
        <v/>
      </c>
      <c r="IL57" s="9" t="str">
        <f t="shared" ca="1" si="23"/>
        <v/>
      </c>
      <c r="IM57" s="9" t="str">
        <f t="shared" ca="1" si="23"/>
        <v/>
      </c>
      <c r="IN57" s="9" t="str">
        <f t="shared" ca="1" si="23"/>
        <v/>
      </c>
      <c r="IO57" s="9" t="str">
        <f t="shared" ca="1" si="23"/>
        <v/>
      </c>
      <c r="IP57" s="9" t="str">
        <f t="shared" ca="1" si="23"/>
        <v/>
      </c>
      <c r="IQ57" s="9" t="str">
        <f t="shared" ca="1" si="23"/>
        <v/>
      </c>
      <c r="IR57" s="9" t="str">
        <f t="shared" ca="1" si="23"/>
        <v/>
      </c>
      <c r="IS57" s="9" t="str">
        <f t="shared" ca="1" si="23"/>
        <v/>
      </c>
      <c r="IT57" s="9" t="str">
        <f t="shared" ca="1" si="23"/>
        <v/>
      </c>
      <c r="IU57" s="9" t="str">
        <f t="shared" ca="1" si="23"/>
        <v/>
      </c>
      <c r="IV57" s="9" t="str">
        <f t="shared" ca="1" si="23"/>
        <v/>
      </c>
      <c r="IW57" s="9" t="str">
        <f t="shared" ca="1" si="23"/>
        <v/>
      </c>
      <c r="IX57" s="9" t="str">
        <f t="shared" ref="IX57:JH57" ca="1" si="24">IF(IX30="","",ABS(IX30))</f>
        <v/>
      </c>
      <c r="IY57" s="9" t="str">
        <f t="shared" ca="1" si="24"/>
        <v/>
      </c>
      <c r="IZ57" s="9" t="str">
        <f t="shared" ca="1" si="24"/>
        <v/>
      </c>
      <c r="JA57" s="9" t="str">
        <f t="shared" ca="1" si="24"/>
        <v/>
      </c>
      <c r="JB57" s="9" t="str">
        <f t="shared" ca="1" si="24"/>
        <v/>
      </c>
      <c r="JC57" s="9" t="str">
        <f t="shared" ca="1" si="24"/>
        <v/>
      </c>
      <c r="JD57" s="9" t="str">
        <f t="shared" ca="1" si="24"/>
        <v/>
      </c>
      <c r="JE57" s="9" t="str">
        <f t="shared" ca="1" si="24"/>
        <v/>
      </c>
      <c r="JF57" s="9" t="str">
        <f t="shared" ca="1" si="24"/>
        <v/>
      </c>
      <c r="JG57" s="9" t="str">
        <f t="shared" ca="1" si="24"/>
        <v/>
      </c>
      <c r="JH57" s="9" t="str">
        <f t="shared" ca="1" si="24"/>
        <v/>
      </c>
      <c r="JI57" s="13">
        <f t="shared" ref="JI57:JI68" ca="1" si="25">AVERAGE(OFFSET($B57,0,Inicio-1,1,Amplitud))</f>
        <v>1.468045801531543E-2</v>
      </c>
      <c r="JJ57" s="13">
        <f t="shared" ref="JJ57:JJ68" ca="1" si="26">MEDIAN(OFFSET($B57,0,Inicio-1,1,Amplitud))</f>
        <v>1.1207438675168879E-2</v>
      </c>
      <c r="JK57" s="14">
        <f t="shared" ref="JK57:JK68" ca="1" si="27">VARP(OFFSET($B57,0,Inicio-1,1,Amplitud))</f>
        <v>2.1525963918063296E-4</v>
      </c>
      <c r="JL57" s="17">
        <f ca="1">SQRT(JK57)</f>
        <v>1.4671729249840762E-2</v>
      </c>
      <c r="JM57" s="15" t="str">
        <f t="shared" ref="JM57:JM68" ca="1" si="28">CONCATENATE("[ ",TEXT(JI57-2*JL57,"0,00%")," ; ",TEXT(JI57+2*JL57,"0,00%")," ]")</f>
        <v>[ -1,47% ; 4,40% ]</v>
      </c>
      <c r="JN57" s="17">
        <f t="shared" ref="JN57:JN68" ca="1" si="29">JL57*JN$29</f>
        <v>1.8779813439796175E-2</v>
      </c>
      <c r="LY57" s="1"/>
    </row>
    <row r="58" spans="1:337" x14ac:dyDescent="0.25">
      <c r="A58" s="4">
        <v>2</v>
      </c>
      <c r="B58" s="9">
        <f t="shared" ref="B58:BM58" ca="1" si="30">IF(B31="","",ABS(B31))</f>
        <v>1.8052264353664027E-2</v>
      </c>
      <c r="C58" s="9">
        <f t="shared" ca="1" si="30"/>
        <v>5.0181615748599029E-3</v>
      </c>
      <c r="D58" s="9">
        <f t="shared" ca="1" si="30"/>
        <v>5.0385163494264362E-2</v>
      </c>
      <c r="E58" s="9">
        <f t="shared" ca="1" si="30"/>
        <v>1.6177077106104276E-2</v>
      </c>
      <c r="F58" s="9">
        <f t="shared" ca="1" si="30"/>
        <v>3.8949348816757823E-2</v>
      </c>
      <c r="G58" s="9">
        <f t="shared" ca="1" si="30"/>
        <v>4.8207063686183549E-2</v>
      </c>
      <c r="H58" s="9">
        <f t="shared" ca="1" si="30"/>
        <v>1.8956509731352433E-2</v>
      </c>
      <c r="I58" s="9">
        <f t="shared" ca="1" si="30"/>
        <v>1.8046993421261259E-2</v>
      </c>
      <c r="J58" s="9">
        <f t="shared" ca="1" si="30"/>
        <v>1.7791030270191355E-2</v>
      </c>
      <c r="K58" s="9">
        <f t="shared" ca="1" si="30"/>
        <v>1.0801403508405194E-2</v>
      </c>
      <c r="L58" s="9">
        <f t="shared" ca="1" si="30"/>
        <v>5.2563074790731301E-3</v>
      </c>
      <c r="M58" s="9">
        <f t="shared" ca="1" si="30"/>
        <v>1.5640995755215492E-2</v>
      </c>
      <c r="N58" s="9">
        <f t="shared" ca="1" si="30"/>
        <v>6.8050735099034476E-4</v>
      </c>
      <c r="O58" s="9">
        <f t="shared" ca="1" si="30"/>
        <v>8.0092478457769456E-3</v>
      </c>
      <c r="P58" s="9">
        <f t="shared" ca="1" si="30"/>
        <v>1.211601274706009E-2</v>
      </c>
      <c r="Q58" s="9">
        <f t="shared" ca="1" si="30"/>
        <v>1.1450887492829853E-3</v>
      </c>
      <c r="R58" s="9">
        <f t="shared" ca="1" si="30"/>
        <v>2.8198973543904993E-2</v>
      </c>
      <c r="S58" s="9">
        <f t="shared" ca="1" si="30"/>
        <v>1.4487497370641034E-2</v>
      </c>
      <c r="T58" s="9">
        <f t="shared" ca="1" si="30"/>
        <v>1.9546913669309829E-2</v>
      </c>
      <c r="U58" s="9">
        <f t="shared" ca="1" si="30"/>
        <v>5.0424665970411064E-3</v>
      </c>
      <c r="V58" s="9">
        <f t="shared" ca="1" si="30"/>
        <v>2.1525497348535705E-3</v>
      </c>
      <c r="W58" s="9">
        <f t="shared" ca="1" si="30"/>
        <v>1.6713245781642794E-2</v>
      </c>
      <c r="X58" s="9">
        <f t="shared" ca="1" si="30"/>
        <v>3.1455929009798433E-2</v>
      </c>
      <c r="Y58" s="9">
        <f t="shared" ca="1" si="30"/>
        <v>2.1248186420472326E-2</v>
      </c>
      <c r="Z58" s="9">
        <f t="shared" ca="1" si="30"/>
        <v>1.7666296001030535E-2</v>
      </c>
      <c r="AA58" s="9">
        <f t="shared" ca="1" si="30"/>
        <v>2.3782034603483826E-2</v>
      </c>
      <c r="AB58" s="9">
        <f t="shared" ca="1" si="30"/>
        <v>2.5443793938930703E-2</v>
      </c>
      <c r="AC58" s="9">
        <f t="shared" ca="1" si="30"/>
        <v>2.0630547581410585E-3</v>
      </c>
      <c r="AD58" s="9">
        <f t="shared" ca="1" si="30"/>
        <v>3.8685944292050634E-3</v>
      </c>
      <c r="AE58" s="9">
        <f t="shared" ca="1" si="30"/>
        <v>7.8869340626026574E-3</v>
      </c>
      <c r="AF58" s="9">
        <f t="shared" ca="1" si="30"/>
        <v>7.3293279686460489E-3</v>
      </c>
      <c r="AG58" s="9">
        <f t="shared" ca="1" si="30"/>
        <v>1.8096278899396578E-3</v>
      </c>
      <c r="AH58" s="9">
        <f t="shared" ca="1" si="30"/>
        <v>8.8877925046397799E-3</v>
      </c>
      <c r="AI58" s="9">
        <f t="shared" ca="1" si="30"/>
        <v>2.2365061371520056E-2</v>
      </c>
      <c r="AJ58" s="9">
        <f t="shared" ca="1" si="30"/>
        <v>3.9715933683070803E-2</v>
      </c>
      <c r="AK58" s="9">
        <f t="shared" ca="1" si="30"/>
        <v>2.9955307847319368E-2</v>
      </c>
      <c r="AL58" s="9">
        <f t="shared" ca="1" si="30"/>
        <v>1.1486641029047062E-2</v>
      </c>
      <c r="AM58" s="9">
        <f t="shared" ca="1" si="30"/>
        <v>7.7034295525895136E-3</v>
      </c>
      <c r="AN58" s="9">
        <f t="shared" ca="1" si="30"/>
        <v>1.374741406186919E-2</v>
      </c>
      <c r="AO58" s="9">
        <f t="shared" ca="1" si="30"/>
        <v>2.724793001788306E-2</v>
      </c>
      <c r="AP58" s="9">
        <f t="shared" ca="1" si="30"/>
        <v>2.3219292845211625E-2</v>
      </c>
      <c r="AQ58" s="9">
        <f t="shared" ca="1" si="30"/>
        <v>3.6157662784343292E-2</v>
      </c>
      <c r="AR58" s="9">
        <f t="shared" ca="1" si="30"/>
        <v>3.3448096786539816E-2</v>
      </c>
      <c r="AS58" s="9">
        <f t="shared" ca="1" si="30"/>
        <v>1.2214412793835838E-2</v>
      </c>
      <c r="AT58" s="9">
        <f t="shared" ca="1" si="30"/>
        <v>1.8263379497389653E-3</v>
      </c>
      <c r="AU58" s="9">
        <f t="shared" ca="1" si="30"/>
        <v>6.9750930360737984E-3</v>
      </c>
      <c r="AV58" s="9">
        <f t="shared" ca="1" si="30"/>
        <v>2.0251795476629031E-3</v>
      </c>
      <c r="AW58" s="9">
        <f t="shared" ca="1" si="30"/>
        <v>1.4890291060607463E-2</v>
      </c>
      <c r="AX58" s="9">
        <f t="shared" ca="1" si="30"/>
        <v>6.0900515600110228E-2</v>
      </c>
      <c r="AY58" s="9">
        <f t="shared" ca="1" si="30"/>
        <v>4.7793304949247051E-2</v>
      </c>
      <c r="AZ58" s="9">
        <f t="shared" ca="1" si="30"/>
        <v>4.910879314904526E-2</v>
      </c>
      <c r="BA58" s="9">
        <f t="shared" ca="1" si="30"/>
        <v>7.668745690346257E-2</v>
      </c>
      <c r="BB58" s="9">
        <f t="shared" ca="1" si="30"/>
        <v>5.7430184453539312E-2</v>
      </c>
      <c r="BC58" s="9">
        <f t="shared" ca="1" si="30"/>
        <v>5.270354602478311E-2</v>
      </c>
      <c r="BD58" s="9">
        <f t="shared" ca="1" si="30"/>
        <v>3.9920390625277857E-2</v>
      </c>
      <c r="BE58" s="9">
        <f t="shared" ca="1" si="30"/>
        <v>1.5394493054217917E-2</v>
      </c>
      <c r="BF58" s="9">
        <f t="shared" ca="1" si="30"/>
        <v>7.6789487209104168E-2</v>
      </c>
      <c r="BG58" s="9">
        <f t="shared" ca="1" si="30"/>
        <v>0.11647750607699092</v>
      </c>
      <c r="BH58" s="9">
        <f t="shared" ca="1" si="30"/>
        <v>6.0959230616515869E-2</v>
      </c>
      <c r="BI58" s="9">
        <f t="shared" ca="1" si="30"/>
        <v>1.6313463113397653E-3</v>
      </c>
      <c r="BJ58" s="9">
        <f t="shared" ca="1" si="30"/>
        <v>1.2457095484592173E-2</v>
      </c>
      <c r="BK58" s="9">
        <f t="shared" ca="1" si="30"/>
        <v>3.9204281605182967E-2</v>
      </c>
      <c r="BL58" s="9">
        <f t="shared" ca="1" si="30"/>
        <v>1.851411864756225E-2</v>
      </c>
      <c r="BM58" s="9">
        <f t="shared" ca="1" si="30"/>
        <v>3.1167200311353449E-2</v>
      </c>
      <c r="BN58" s="9">
        <f t="shared" ref="BN58:DY58" ca="1" si="31">IF(BN31="","",ABS(BN31))</f>
        <v>6.5839389292749795E-2</v>
      </c>
      <c r="BO58" s="9">
        <f t="shared" ca="1" si="31"/>
        <v>8.2028401272918661E-2</v>
      </c>
      <c r="BP58" s="9">
        <f t="shared" ca="1" si="31"/>
        <v>4.2749700381945477E-2</v>
      </c>
      <c r="BQ58" s="9">
        <f t="shared" ca="1" si="31"/>
        <v>3.4745667799438218E-2</v>
      </c>
      <c r="BR58" s="9">
        <f t="shared" ca="1" si="31"/>
        <v>1.4183466390286004E-2</v>
      </c>
      <c r="BS58" s="9">
        <f t="shared" ca="1" si="31"/>
        <v>2.5569618936194916E-2</v>
      </c>
      <c r="BT58" s="9">
        <f t="shared" ca="1" si="31"/>
        <v>4.4168050418788685E-2</v>
      </c>
      <c r="BU58" s="9">
        <f t="shared" ca="1" si="31"/>
        <v>1.2014597461251775E-4</v>
      </c>
      <c r="BV58" s="9">
        <f t="shared" ca="1" si="31"/>
        <v>6.5138140945455447E-3</v>
      </c>
      <c r="BW58" s="9">
        <f t="shared" ca="1" si="31"/>
        <v>1.2945090771065981E-2</v>
      </c>
      <c r="BX58" s="9">
        <f t="shared" ca="1" si="31"/>
        <v>6.8652614938384815E-3</v>
      </c>
      <c r="BY58" s="9">
        <f t="shared" ca="1" si="31"/>
        <v>2.5771864259504174E-2</v>
      </c>
      <c r="BZ58" s="9">
        <f t="shared" ca="1" si="31"/>
        <v>1.5241592691945804E-2</v>
      </c>
      <c r="CA58" s="9">
        <f t="shared" ca="1" si="31"/>
        <v>3.3546562587298823E-3</v>
      </c>
      <c r="CB58" s="9">
        <f t="shared" ca="1" si="31"/>
        <v>9.4002842978204715E-3</v>
      </c>
      <c r="CC58" s="9">
        <f t="shared" ca="1" si="31"/>
        <v>1.6308793682635825E-2</v>
      </c>
      <c r="CD58" s="9">
        <f t="shared" ca="1" si="31"/>
        <v>5.5568940048678073E-3</v>
      </c>
      <c r="CE58" s="9">
        <f t="shared" ca="1" si="31"/>
        <v>2.6717812658869966E-2</v>
      </c>
      <c r="CF58" s="9">
        <f t="shared" ca="1" si="31"/>
        <v>2.3620034246375043E-2</v>
      </c>
      <c r="CG58" s="9">
        <f t="shared" ca="1" si="31"/>
        <v>1.456221890465681E-2</v>
      </c>
      <c r="CH58" s="9">
        <f t="shared" ca="1" si="31"/>
        <v>6.8681717333513026E-3</v>
      </c>
      <c r="CI58" s="9">
        <f t="shared" ca="1" si="31"/>
        <v>9.2032967260398113E-3</v>
      </c>
      <c r="CJ58" s="9">
        <f t="shared" ca="1" si="31"/>
        <v>8.8027733003008812E-3</v>
      </c>
      <c r="CK58" s="9">
        <f t="shared" ca="1" si="31"/>
        <v>1.3805678375798047E-2</v>
      </c>
      <c r="CL58" s="9">
        <f t="shared" ca="1" si="31"/>
        <v>2.4830943230612523E-2</v>
      </c>
      <c r="CM58" s="9">
        <f t="shared" ca="1" si="31"/>
        <v>1.1231179965318305E-2</v>
      </c>
      <c r="CN58" s="9">
        <f t="shared" ca="1" si="31"/>
        <v>1.2362390077266916E-2</v>
      </c>
      <c r="CO58" s="9">
        <f t="shared" ca="1" si="31"/>
        <v>2.123726796755987E-3</v>
      </c>
      <c r="CP58" s="9">
        <f t="shared" ca="1" si="31"/>
        <v>3.11152643104049E-2</v>
      </c>
      <c r="CQ58" s="9">
        <f t="shared" ca="1" si="31"/>
        <v>1.4184595515333132E-2</v>
      </c>
      <c r="CR58" s="9">
        <f t="shared" ca="1" si="31"/>
        <v>3.1281778219344636E-2</v>
      </c>
      <c r="CS58" s="9">
        <f t="shared" ca="1" si="31"/>
        <v>8.596322729808703E-3</v>
      </c>
      <c r="CT58" s="9">
        <f t="shared" ca="1" si="31"/>
        <v>3.2968924100568286E-2</v>
      </c>
      <c r="CU58" s="9">
        <f t="shared" ca="1" si="31"/>
        <v>2.2071254433721155E-2</v>
      </c>
      <c r="CV58" s="9">
        <f t="shared" ca="1" si="31"/>
        <v>1.4465959656742022E-2</v>
      </c>
      <c r="CW58" s="9">
        <f t="shared" ca="1" si="31"/>
        <v>8.0422424152083449E-3</v>
      </c>
      <c r="CX58" s="9">
        <f t="shared" ca="1" si="31"/>
        <v>1.03960190478114E-2</v>
      </c>
      <c r="CY58" s="9">
        <f t="shared" ca="1" si="31"/>
        <v>5.2453313812178548E-3</v>
      </c>
      <c r="CZ58" s="9">
        <f t="shared" ca="1" si="31"/>
        <v>1.7959472387415465E-2</v>
      </c>
      <c r="DA58" s="9">
        <f t="shared" ca="1" si="31"/>
        <v>4.6125699676595966E-2</v>
      </c>
      <c r="DB58" s="9">
        <f t="shared" ca="1" si="31"/>
        <v>2.099655613816731E-2</v>
      </c>
      <c r="DC58" s="9">
        <f t="shared" ca="1" si="31"/>
        <v>3.2458111479519047E-2</v>
      </c>
      <c r="DD58" s="9">
        <f t="shared" ca="1" si="31"/>
        <v>7.019801917385271E-3</v>
      </c>
      <c r="DE58" s="9">
        <f t="shared" ca="1" si="31"/>
        <v>2.4189185294848814E-2</v>
      </c>
      <c r="DF58" s="9">
        <f t="shared" ca="1" si="31"/>
        <v>1.7881201972736571E-2</v>
      </c>
      <c r="DG58" s="9">
        <f t="shared" ca="1" si="31"/>
        <v>2.3483345983227766E-2</v>
      </c>
      <c r="DH58" s="9">
        <f t="shared" ca="1" si="31"/>
        <v>2.3745060196180612E-2</v>
      </c>
      <c r="DI58" s="9">
        <f t="shared" ca="1" si="31"/>
        <v>2.5640094601280028E-2</v>
      </c>
      <c r="DJ58" s="9">
        <f t="shared" ca="1" si="31"/>
        <v>4.0883797217936557E-3</v>
      </c>
      <c r="DK58" s="9">
        <f t="shared" ca="1" si="31"/>
        <v>4.9284864340188861E-3</v>
      </c>
      <c r="DL58" s="9">
        <f t="shared" ca="1" si="31"/>
        <v>2.9202102195917679E-3</v>
      </c>
      <c r="DM58" s="9">
        <f t="shared" ca="1" si="31"/>
        <v>2.9400340209136067E-2</v>
      </c>
      <c r="DN58" s="9">
        <f t="shared" ca="1" si="31"/>
        <v>2.5220456372212485E-3</v>
      </c>
      <c r="DO58" s="9">
        <f t="shared" ca="1" si="31"/>
        <v>2.4704333003267798E-2</v>
      </c>
      <c r="DP58" s="9">
        <f t="shared" ca="1" si="31"/>
        <v>3.1808504222328615E-2</v>
      </c>
      <c r="DQ58" s="9">
        <f t="shared" ca="1" si="31"/>
        <v>3.5887889176868359E-2</v>
      </c>
      <c r="DR58" s="9">
        <f t="shared" ca="1" si="31"/>
        <v>1.0397525947114516E-3</v>
      </c>
      <c r="DS58" s="9">
        <f t="shared" ca="1" si="31"/>
        <v>1.0657846047324115E-2</v>
      </c>
      <c r="DT58" s="9">
        <f t="shared" ca="1" si="31"/>
        <v>4.1423557277304734E-3</v>
      </c>
      <c r="DU58" s="9">
        <f t="shared" ca="1" si="31"/>
        <v>8.8332462916484999E-4</v>
      </c>
      <c r="DV58" s="9">
        <f t="shared" ca="1" si="31"/>
        <v>1.1437239129225785E-2</v>
      </c>
      <c r="DW58" s="9">
        <f t="shared" ca="1" si="31"/>
        <v>1.6243107234068521E-2</v>
      </c>
      <c r="DX58" s="9">
        <f t="shared" ca="1" si="31"/>
        <v>3.6383572118341423E-3</v>
      </c>
      <c r="DY58" s="9">
        <f t="shared" ca="1" si="31"/>
        <v>1.3878660114341912E-2</v>
      </c>
      <c r="DZ58" s="9">
        <f t="shared" ref="DZ58:GK58" ca="1" si="32">IF(DZ31="","",ABS(DZ31))</f>
        <v>9.6044536518545831E-3</v>
      </c>
      <c r="EA58" s="9">
        <f t="shared" ca="1" si="32"/>
        <v>7.1230497829777306E-4</v>
      </c>
      <c r="EB58" s="9">
        <f t="shared" ca="1" si="32"/>
        <v>7.0997575782278943E-3</v>
      </c>
      <c r="EC58" s="9">
        <f t="shared" ca="1" si="32"/>
        <v>1.4649795480413119E-2</v>
      </c>
      <c r="ED58" s="9">
        <f t="shared" ca="1" si="32"/>
        <v>1.1062027986251888E-2</v>
      </c>
      <c r="EE58" s="9">
        <f t="shared" ca="1" si="32"/>
        <v>9.5250963317110582E-3</v>
      </c>
      <c r="EF58" s="9">
        <f t="shared" ca="1" si="32"/>
        <v>2.3071679494487851E-2</v>
      </c>
      <c r="EG58" s="9">
        <f t="shared" ca="1" si="32"/>
        <v>2.0205248863718328E-2</v>
      </c>
      <c r="EH58" s="9">
        <f t="shared" ca="1" si="32"/>
        <v>1.888420553214909E-2</v>
      </c>
      <c r="EI58" s="9">
        <f t="shared" ca="1" si="32"/>
        <v>3.2278952710038444E-2</v>
      </c>
      <c r="EJ58" s="9">
        <f t="shared" ca="1" si="32"/>
        <v>3.1652106602858332E-2</v>
      </c>
      <c r="EK58" s="9">
        <f t="shared" ca="1" si="32"/>
        <v>8.6913547529716695E-3</v>
      </c>
      <c r="EL58" s="9">
        <f t="shared" ca="1" si="32"/>
        <v>9.2232457639023213E-3</v>
      </c>
      <c r="EM58" s="9">
        <f t="shared" ca="1" si="32"/>
        <v>3.8762475606399782E-3</v>
      </c>
      <c r="EN58" s="9">
        <f t="shared" ca="1" si="32"/>
        <v>1.6257580031393992E-2</v>
      </c>
      <c r="EO58" s="9">
        <f t="shared" ca="1" si="32"/>
        <v>3.8421324426071157E-3</v>
      </c>
      <c r="EP58" s="9">
        <f t="shared" ca="1" si="32"/>
        <v>1.9306176227050775E-3</v>
      </c>
      <c r="EQ58" s="9">
        <f t="shared" ca="1" si="32"/>
        <v>7.7483174322166004E-3</v>
      </c>
      <c r="ER58" s="9">
        <f t="shared" ca="1" si="32"/>
        <v>2.2917615973344407E-2</v>
      </c>
      <c r="ES58" s="9">
        <f t="shared" ca="1" si="32"/>
        <v>3.5858459191949965E-2</v>
      </c>
      <c r="ET58" s="9">
        <f t="shared" ca="1" si="32"/>
        <v>1.9899052682777807E-2</v>
      </c>
      <c r="EU58" s="9">
        <f t="shared" ca="1" si="32"/>
        <v>1.056490413160005E-2</v>
      </c>
      <c r="EV58" s="9">
        <f t="shared" ca="1" si="32"/>
        <v>3.1093005275951491E-2</v>
      </c>
      <c r="EW58" s="9">
        <f t="shared" ca="1" si="32"/>
        <v>9.9339127700039942E-3</v>
      </c>
      <c r="EX58" s="9">
        <f t="shared" ca="1" si="32"/>
        <v>2.5351580817595254E-3</v>
      </c>
      <c r="EY58" s="9">
        <f t="shared" ca="1" si="32"/>
        <v>2.8866142188469501E-2</v>
      </c>
      <c r="EZ58" s="9">
        <f t="shared" ca="1" si="32"/>
        <v>1.0537070477352084E-2</v>
      </c>
      <c r="FA58" s="9">
        <f t="shared" ca="1" si="32"/>
        <v>2.2134620773505809E-2</v>
      </c>
      <c r="FB58" s="9">
        <f t="shared" ca="1" si="32"/>
        <v>1.3056529599517974E-2</v>
      </c>
      <c r="FC58" s="9">
        <f t="shared" ca="1" si="32"/>
        <v>2.9441295900420883E-3</v>
      </c>
      <c r="FD58" s="9">
        <f t="shared" ca="1" si="32"/>
        <v>2.3322257097625587E-2</v>
      </c>
      <c r="FE58" s="9">
        <f t="shared" ca="1" si="32"/>
        <v>1.9948483926281235E-2</v>
      </c>
      <c r="FF58" s="9">
        <f t="shared" ca="1" si="32"/>
        <v>1.2816040375023485E-2</v>
      </c>
      <c r="FG58" s="9">
        <f t="shared" ca="1" si="32"/>
        <v>1.1339007941796764E-2</v>
      </c>
      <c r="FH58" s="9">
        <f t="shared" ca="1" si="32"/>
        <v>3.0335454193375355E-4</v>
      </c>
      <c r="FI58" s="9">
        <f t="shared" ca="1" si="32"/>
        <v>1.7766381857551306E-2</v>
      </c>
      <c r="FJ58" s="9">
        <f t="shared" ca="1" si="32"/>
        <v>2.0249161426150408E-2</v>
      </c>
      <c r="FK58" s="9">
        <f t="shared" ca="1" si="32"/>
        <v>5.9739285783042329E-2</v>
      </c>
      <c r="FL58" s="9">
        <f t="shared" ca="1" si="32"/>
        <v>1.0741895164533499E-2</v>
      </c>
      <c r="FM58" s="9">
        <f t="shared" ca="1" si="32"/>
        <v>3.8119115899913902E-2</v>
      </c>
      <c r="FN58" s="9">
        <f t="shared" ca="1" si="32"/>
        <v>2.4957956907800338E-2</v>
      </c>
      <c r="FO58" s="9">
        <f t="shared" ca="1" si="32"/>
        <v>7.7266207393467123E-3</v>
      </c>
      <c r="FP58" s="9">
        <f t="shared" ca="1" si="32"/>
        <v>2.2997434510691028E-2</v>
      </c>
      <c r="FQ58" s="9">
        <f t="shared" ca="1" si="32"/>
        <v>1.8235555188800934E-2</v>
      </c>
      <c r="FR58" s="9">
        <f t="shared" ca="1" si="32"/>
        <v>1.0550598608225381E-2</v>
      </c>
      <c r="FS58" s="9">
        <f t="shared" ca="1" si="32"/>
        <v>6.7656107905926799E-3</v>
      </c>
      <c r="FT58" s="9">
        <f t="shared" ca="1" si="32"/>
        <v>1.3261407285149795E-2</v>
      </c>
      <c r="FU58" s="9">
        <f t="shared" ca="1" si="32"/>
        <v>1.0467082513853088E-2</v>
      </c>
      <c r="FV58" s="9">
        <f t="shared" ca="1" si="32"/>
        <v>2.458137933618576E-2</v>
      </c>
      <c r="FW58" s="9">
        <f t="shared" ca="1" si="32"/>
        <v>5.2477947239838452E-2</v>
      </c>
      <c r="FX58" s="9">
        <f t="shared" ca="1" si="32"/>
        <v>4.1657284240105508E-2</v>
      </c>
      <c r="FY58" s="9">
        <f t="shared" ca="1" si="32"/>
        <v>1.0226848526827759E-2</v>
      </c>
      <c r="FZ58" s="9">
        <f t="shared" ca="1" si="32"/>
        <v>1.5227028782395902E-2</v>
      </c>
      <c r="GA58" s="9">
        <f t="shared" ca="1" si="32"/>
        <v>8.9694701081276529E-3</v>
      </c>
      <c r="GB58" s="9">
        <f t="shared" ca="1" si="32"/>
        <v>2.7113233222198607E-2</v>
      </c>
      <c r="GC58" s="9">
        <f t="shared" ca="1" si="32"/>
        <v>4.4326451139964917E-2</v>
      </c>
      <c r="GD58" s="9">
        <f t="shared" ca="1" si="32"/>
        <v>3.7944338659307908E-2</v>
      </c>
      <c r="GE58" s="9">
        <f t="shared" ca="1" si="32"/>
        <v>1.9381798353085511E-2</v>
      </c>
      <c r="GF58" s="9">
        <f t="shared" ca="1" si="32"/>
        <v>2.4930852928602976E-3</v>
      </c>
      <c r="GG58" s="9">
        <f t="shared" ca="1" si="32"/>
        <v>1.5452320062970704E-2</v>
      </c>
      <c r="GH58" s="9">
        <f t="shared" ca="1" si="32"/>
        <v>1.7486383006718786E-2</v>
      </c>
      <c r="GI58" s="9">
        <f t="shared" ca="1" si="32"/>
        <v>7.1468223365644956E-3</v>
      </c>
      <c r="GJ58" s="9">
        <f t="shared" ca="1" si="32"/>
        <v>1.173077796703037E-2</v>
      </c>
      <c r="GK58" s="9">
        <f t="shared" ca="1" si="32"/>
        <v>3.933003069456209E-4</v>
      </c>
      <c r="GL58" s="9">
        <f t="shared" ref="GL58:IW58" ca="1" si="33">IF(GL31="","",ABS(GL31))</f>
        <v>2.6576360120793785E-2</v>
      </c>
      <c r="GM58" s="9">
        <f t="shared" ca="1" si="33"/>
        <v>3.9615840822092241E-2</v>
      </c>
      <c r="GN58" s="9">
        <f t="shared" ca="1" si="33"/>
        <v>0.13351038624657063</v>
      </c>
      <c r="GO58" s="9">
        <f t="shared" ca="1" si="33"/>
        <v>5.0288594690041877E-2</v>
      </c>
      <c r="GP58" s="9">
        <f t="shared" ca="1" si="33"/>
        <v>5.0734916955747611E-2</v>
      </c>
      <c r="GQ58" s="9">
        <f t="shared" ca="1" si="33"/>
        <v>3.0331237093502939E-2</v>
      </c>
      <c r="GR58" s="9">
        <f t="shared" ca="1" si="33"/>
        <v>2.3598492068729326E-2</v>
      </c>
      <c r="GS58" s="9">
        <f t="shared" ca="1" si="33"/>
        <v>4.3838070926277561E-2</v>
      </c>
      <c r="GT58" s="9">
        <f t="shared" ca="1" si="33"/>
        <v>3.7374088469237732E-2</v>
      </c>
      <c r="GU58" s="9">
        <f t="shared" ca="1" si="33"/>
        <v>6.5816556736439935E-3</v>
      </c>
      <c r="GV58" s="9">
        <f t="shared" ca="1" si="33"/>
        <v>2.3324328741006095E-2</v>
      </c>
      <c r="GW58" s="9">
        <f t="shared" ca="1" si="33"/>
        <v>2.3677072939695565E-2</v>
      </c>
      <c r="GX58" s="9" t="str">
        <f t="shared" ca="1" si="33"/>
        <v/>
      </c>
      <c r="GY58" s="9" t="str">
        <f t="shared" ca="1" si="33"/>
        <v/>
      </c>
      <c r="GZ58" s="9" t="str">
        <f t="shared" ca="1" si="33"/>
        <v/>
      </c>
      <c r="HA58" s="9" t="str">
        <f t="shared" ca="1" si="33"/>
        <v/>
      </c>
      <c r="HB58" s="9" t="str">
        <f t="shared" ca="1" si="33"/>
        <v/>
      </c>
      <c r="HC58" s="9" t="str">
        <f t="shared" ca="1" si="33"/>
        <v/>
      </c>
      <c r="HD58" s="9" t="str">
        <f t="shared" ca="1" si="33"/>
        <v/>
      </c>
      <c r="HE58" s="9" t="str">
        <f t="shared" ca="1" si="33"/>
        <v/>
      </c>
      <c r="HF58" s="9" t="str">
        <f t="shared" ca="1" si="33"/>
        <v/>
      </c>
      <c r="HG58" s="9" t="str">
        <f t="shared" ca="1" si="33"/>
        <v/>
      </c>
      <c r="HH58" s="9" t="str">
        <f t="shared" ca="1" si="33"/>
        <v/>
      </c>
      <c r="HI58" s="9" t="str">
        <f t="shared" ca="1" si="33"/>
        <v/>
      </c>
      <c r="HJ58" s="9" t="str">
        <f t="shared" ca="1" si="33"/>
        <v/>
      </c>
      <c r="HK58" s="9" t="str">
        <f t="shared" ca="1" si="33"/>
        <v/>
      </c>
      <c r="HL58" s="9" t="str">
        <f t="shared" ca="1" si="33"/>
        <v/>
      </c>
      <c r="HM58" s="9" t="str">
        <f t="shared" ca="1" si="33"/>
        <v/>
      </c>
      <c r="HN58" s="9" t="str">
        <f t="shared" ca="1" si="33"/>
        <v/>
      </c>
      <c r="HO58" s="9" t="str">
        <f t="shared" ca="1" si="33"/>
        <v/>
      </c>
      <c r="HP58" s="9" t="str">
        <f t="shared" ca="1" si="33"/>
        <v/>
      </c>
      <c r="HQ58" s="9" t="str">
        <f t="shared" ca="1" si="33"/>
        <v/>
      </c>
      <c r="HR58" s="9" t="str">
        <f t="shared" ca="1" si="33"/>
        <v/>
      </c>
      <c r="HS58" s="9" t="str">
        <f t="shared" ca="1" si="33"/>
        <v/>
      </c>
      <c r="HT58" s="9" t="str">
        <f t="shared" ca="1" si="33"/>
        <v/>
      </c>
      <c r="HU58" s="9" t="str">
        <f t="shared" ca="1" si="33"/>
        <v/>
      </c>
      <c r="HV58" s="9" t="str">
        <f t="shared" ca="1" si="33"/>
        <v/>
      </c>
      <c r="HW58" s="9" t="str">
        <f t="shared" ca="1" si="33"/>
        <v/>
      </c>
      <c r="HX58" s="9" t="str">
        <f t="shared" ca="1" si="33"/>
        <v/>
      </c>
      <c r="HY58" s="9" t="str">
        <f t="shared" ca="1" si="33"/>
        <v/>
      </c>
      <c r="HZ58" s="9" t="str">
        <f t="shared" ca="1" si="33"/>
        <v/>
      </c>
      <c r="IA58" s="9" t="str">
        <f t="shared" ca="1" si="33"/>
        <v/>
      </c>
      <c r="IB58" s="9" t="str">
        <f t="shared" ca="1" si="33"/>
        <v/>
      </c>
      <c r="IC58" s="9" t="str">
        <f t="shared" ca="1" si="33"/>
        <v/>
      </c>
      <c r="ID58" s="9" t="str">
        <f t="shared" ca="1" si="33"/>
        <v/>
      </c>
      <c r="IE58" s="9" t="str">
        <f t="shared" ca="1" si="33"/>
        <v/>
      </c>
      <c r="IF58" s="9" t="str">
        <f t="shared" ca="1" si="33"/>
        <v/>
      </c>
      <c r="IG58" s="9" t="str">
        <f t="shared" ca="1" si="33"/>
        <v/>
      </c>
      <c r="IH58" s="9" t="str">
        <f t="shared" ca="1" si="33"/>
        <v/>
      </c>
      <c r="II58" s="9" t="str">
        <f t="shared" ca="1" si="33"/>
        <v/>
      </c>
      <c r="IJ58" s="9" t="str">
        <f t="shared" ca="1" si="33"/>
        <v/>
      </c>
      <c r="IK58" s="9" t="str">
        <f t="shared" ca="1" si="33"/>
        <v/>
      </c>
      <c r="IL58" s="9" t="str">
        <f t="shared" ca="1" si="33"/>
        <v/>
      </c>
      <c r="IM58" s="9" t="str">
        <f t="shared" ca="1" si="33"/>
        <v/>
      </c>
      <c r="IN58" s="9" t="str">
        <f t="shared" ca="1" si="33"/>
        <v/>
      </c>
      <c r="IO58" s="9" t="str">
        <f t="shared" ca="1" si="33"/>
        <v/>
      </c>
      <c r="IP58" s="9" t="str">
        <f t="shared" ca="1" si="33"/>
        <v/>
      </c>
      <c r="IQ58" s="9" t="str">
        <f t="shared" ca="1" si="33"/>
        <v/>
      </c>
      <c r="IR58" s="9" t="str">
        <f t="shared" ca="1" si="33"/>
        <v/>
      </c>
      <c r="IS58" s="9" t="str">
        <f t="shared" ca="1" si="33"/>
        <v/>
      </c>
      <c r="IT58" s="9" t="str">
        <f t="shared" ca="1" si="33"/>
        <v/>
      </c>
      <c r="IU58" s="9" t="str">
        <f t="shared" ca="1" si="33"/>
        <v/>
      </c>
      <c r="IV58" s="9" t="str">
        <f t="shared" ca="1" si="33"/>
        <v/>
      </c>
      <c r="IW58" s="9" t="str">
        <f t="shared" ca="1" si="33"/>
        <v/>
      </c>
      <c r="IX58" s="9" t="str">
        <f t="shared" ref="IX58:JH58" ca="1" si="34">IF(IX31="","",ABS(IX31))</f>
        <v/>
      </c>
      <c r="IY58" s="9" t="str">
        <f t="shared" ca="1" si="34"/>
        <v/>
      </c>
      <c r="IZ58" s="9" t="str">
        <f t="shared" ca="1" si="34"/>
        <v/>
      </c>
      <c r="JA58" s="9" t="str">
        <f t="shared" ca="1" si="34"/>
        <v/>
      </c>
      <c r="JB58" s="9" t="str">
        <f t="shared" ca="1" si="34"/>
        <v/>
      </c>
      <c r="JC58" s="9" t="str">
        <f t="shared" ca="1" si="34"/>
        <v/>
      </c>
      <c r="JD58" s="9" t="str">
        <f t="shared" ca="1" si="34"/>
        <v/>
      </c>
      <c r="JE58" s="9" t="str">
        <f t="shared" ca="1" si="34"/>
        <v/>
      </c>
      <c r="JF58" s="9" t="str">
        <f t="shared" ca="1" si="34"/>
        <v/>
      </c>
      <c r="JG58" s="9" t="str">
        <f t="shared" ca="1" si="34"/>
        <v/>
      </c>
      <c r="JH58" s="9" t="str">
        <f t="shared" ca="1" si="34"/>
        <v/>
      </c>
      <c r="JI58" s="13">
        <f t="shared" ca="1" si="25"/>
        <v>2.6828477809548168E-2</v>
      </c>
      <c r="JJ58" s="13">
        <f t="shared" ca="1" si="26"/>
        <v>2.3324328741006095E-2</v>
      </c>
      <c r="JK58" s="14">
        <f t="shared" ca="1" si="27"/>
        <v>5.7379604832831911E-4</v>
      </c>
      <c r="JL58" s="17">
        <f t="shared" ref="JL58:JL68" ca="1" si="35">SQRT(JK58)</f>
        <v>2.3954040334113139E-2</v>
      </c>
      <c r="JM58" s="15" t="str">
        <f t="shared" ca="1" si="28"/>
        <v>[ -2,11% ; 7,47% ]</v>
      </c>
      <c r="JN58" s="17">
        <f t="shared" ca="1" si="29"/>
        <v>3.066117162766482E-2</v>
      </c>
      <c r="LY58" s="1"/>
    </row>
    <row r="59" spans="1:337" x14ac:dyDescent="0.25">
      <c r="A59" s="4">
        <v>3</v>
      </c>
      <c r="B59" s="9">
        <f t="shared" ref="B59:BM59" ca="1" si="36">IF(B32="","",ABS(B32))</f>
        <v>6.3186586940653378E-3</v>
      </c>
      <c r="C59" s="9">
        <f t="shared" ca="1" si="36"/>
        <v>4.785305928953576E-2</v>
      </c>
      <c r="D59" s="9">
        <f t="shared" ca="1" si="36"/>
        <v>2.0287566056504502E-2</v>
      </c>
      <c r="E59" s="9">
        <f t="shared" ca="1" si="36"/>
        <v>1.2915767591288096E-2</v>
      </c>
      <c r="F59" s="9">
        <f t="shared" ca="1" si="36"/>
        <v>5.5636016445051339E-2</v>
      </c>
      <c r="G59" s="9">
        <f t="shared" ca="1" si="36"/>
        <v>3.6892514862663095E-2</v>
      </c>
      <c r="H59" s="9">
        <f t="shared" ca="1" si="36"/>
        <v>2.6083030028220655E-2</v>
      </c>
      <c r="I59" s="9">
        <f t="shared" ca="1" si="36"/>
        <v>2.3198811457910695E-2</v>
      </c>
      <c r="J59" s="9">
        <f t="shared" ca="1" si="36"/>
        <v>8.7197516285977272E-3</v>
      </c>
      <c r="K59" s="9">
        <f t="shared" ca="1" si="36"/>
        <v>1.1681820738725479E-2</v>
      </c>
      <c r="L59" s="9">
        <f t="shared" ca="1" si="36"/>
        <v>1.7823774960437078E-2</v>
      </c>
      <c r="M59" s="9">
        <f t="shared" ca="1" si="36"/>
        <v>5.3674366393626771E-3</v>
      </c>
      <c r="N59" s="9">
        <f t="shared" ca="1" si="36"/>
        <v>2.2043182577267117E-3</v>
      </c>
      <c r="O59" s="9">
        <f t="shared" ca="1" si="36"/>
        <v>5.635141997001325E-4</v>
      </c>
      <c r="P59" s="9">
        <f t="shared" ca="1" si="36"/>
        <v>2.515373864330317E-3</v>
      </c>
      <c r="Q59" s="9">
        <f t="shared" ca="1" si="36"/>
        <v>2.5616949289864577E-2</v>
      </c>
      <c r="R59" s="9">
        <f t="shared" ca="1" si="36"/>
        <v>1.3001441351556009E-2</v>
      </c>
      <c r="S59" s="9">
        <f t="shared" ca="1" si="36"/>
        <v>1.4774298422614018E-3</v>
      </c>
      <c r="T59" s="9">
        <f t="shared" ca="1" si="36"/>
        <v>1.1876654681983068E-2</v>
      </c>
      <c r="U59" s="9">
        <f t="shared" ca="1" si="36"/>
        <v>8.410594509802527E-3</v>
      </c>
      <c r="V59" s="9">
        <f t="shared" ca="1" si="36"/>
        <v>1.9146876139910507E-2</v>
      </c>
      <c r="W59" s="9">
        <f t="shared" ca="1" si="36"/>
        <v>2.6156580107396854E-2</v>
      </c>
      <c r="X59" s="9">
        <f t="shared" ca="1" si="36"/>
        <v>3.2282703501226973E-2</v>
      </c>
      <c r="Y59" s="9">
        <f t="shared" ca="1" si="36"/>
        <v>2.2041635126121228E-2</v>
      </c>
      <c r="Z59" s="9">
        <f t="shared" ca="1" si="36"/>
        <v>2.928148297931954E-2</v>
      </c>
      <c r="AA59" s="9">
        <f t="shared" ca="1" si="36"/>
        <v>2.6428196801007164E-2</v>
      </c>
      <c r="AB59" s="9">
        <f t="shared" ca="1" si="36"/>
        <v>1.2769931239130505E-2</v>
      </c>
      <c r="AC59" s="9">
        <f t="shared" ca="1" si="36"/>
        <v>2.4753688897907189E-3</v>
      </c>
      <c r="AD59" s="9">
        <f t="shared" ca="1" si="36"/>
        <v>1.2298202109851664E-2</v>
      </c>
      <c r="AE59" s="9">
        <f t="shared" ca="1" si="36"/>
        <v>8.1713282149552535E-3</v>
      </c>
      <c r="AF59" s="9">
        <f t="shared" ca="1" si="36"/>
        <v>7.8671750444589961E-3</v>
      </c>
      <c r="AG59" s="9">
        <f t="shared" ca="1" si="36"/>
        <v>7.2025257216825622E-3</v>
      </c>
      <c r="AH59" s="9">
        <f t="shared" ca="1" si="36"/>
        <v>2.1039516466020647E-2</v>
      </c>
      <c r="AI59" s="9">
        <f t="shared" ca="1" si="36"/>
        <v>4.6433065763332282E-2</v>
      </c>
      <c r="AJ59" s="9">
        <f t="shared" ca="1" si="36"/>
        <v>3.9829023266174435E-2</v>
      </c>
      <c r="AK59" s="9">
        <f t="shared" ca="1" si="36"/>
        <v>3.0874795133913002E-2</v>
      </c>
      <c r="AL59" s="9">
        <f t="shared" ca="1" si="36"/>
        <v>1.5165858013870492E-2</v>
      </c>
      <c r="AM59" s="9">
        <f t="shared" ca="1" si="36"/>
        <v>1.1885255867737254E-2</v>
      </c>
      <c r="AN59" s="9">
        <f t="shared" ca="1" si="36"/>
        <v>2.3163423257886451E-2</v>
      </c>
      <c r="AO59" s="9">
        <f t="shared" ca="1" si="36"/>
        <v>3.8828386079154065E-2</v>
      </c>
      <c r="AP59" s="9">
        <f t="shared" ca="1" si="36"/>
        <v>4.5614961657049813E-2</v>
      </c>
      <c r="AQ59" s="9">
        <f t="shared" ca="1" si="36"/>
        <v>4.7120074571654014E-2</v>
      </c>
      <c r="AR59" s="9">
        <f t="shared" ca="1" si="36"/>
        <v>2.9822840460478006E-2</v>
      </c>
      <c r="AS59" s="9">
        <f t="shared" ca="1" si="36"/>
        <v>1.3173673607884351E-2</v>
      </c>
      <c r="AT59" s="9">
        <f t="shared" ca="1" si="36"/>
        <v>5.5304348925079294E-3</v>
      </c>
      <c r="AU59" s="9">
        <f t="shared" ca="1" si="36"/>
        <v>7.5529940711058785E-3</v>
      </c>
      <c r="AV59" s="9">
        <f t="shared" ca="1" si="36"/>
        <v>2.2351964961302206E-2</v>
      </c>
      <c r="AW59" s="9">
        <f t="shared" ca="1" si="36"/>
        <v>5.1671185058676961E-2</v>
      </c>
      <c r="AX59" s="9">
        <f t="shared" ca="1" si="36"/>
        <v>6.9634576521382829E-2</v>
      </c>
      <c r="AY59" s="9">
        <f t="shared" ca="1" si="36"/>
        <v>8.5673679678188397E-2</v>
      </c>
      <c r="AZ59" s="9">
        <f t="shared" ca="1" si="36"/>
        <v>8.5272678203201613E-2</v>
      </c>
      <c r="BA59" s="9">
        <f t="shared" ca="1" si="36"/>
        <v>0.1009932719678206</v>
      </c>
      <c r="BB59" s="9">
        <f t="shared" ca="1" si="36"/>
        <v>8.5911899903963862E-2</v>
      </c>
      <c r="BC59" s="9">
        <f t="shared" ca="1" si="36"/>
        <v>7.4252392637827902E-2</v>
      </c>
      <c r="BD59" s="9">
        <f t="shared" ca="1" si="36"/>
        <v>4.7734804545861764E-2</v>
      </c>
      <c r="BE59" s="9">
        <f t="shared" ca="1" si="36"/>
        <v>9.0004272060847712E-2</v>
      </c>
      <c r="BF59" s="9">
        <f t="shared" ca="1" si="36"/>
        <v>0.11419656139087919</v>
      </c>
      <c r="BG59" s="9">
        <f t="shared" ca="1" si="36"/>
        <v>0.13843885592493121</v>
      </c>
      <c r="BH59" s="9">
        <f t="shared" ca="1" si="36"/>
        <v>5.2569254893955475E-2</v>
      </c>
      <c r="BI59" s="9">
        <f t="shared" ca="1" si="36"/>
        <v>1.3591617489809305E-2</v>
      </c>
      <c r="BJ59" s="9">
        <f t="shared" ca="1" si="36"/>
        <v>1.1361891959785431E-2</v>
      </c>
      <c r="BK59" s="9">
        <f t="shared" ca="1" si="36"/>
        <v>4.4595936079056875E-2</v>
      </c>
      <c r="BL59" s="9">
        <f t="shared" ca="1" si="36"/>
        <v>3.7801264779473431E-3</v>
      </c>
      <c r="BM59" s="9">
        <f t="shared" ca="1" si="36"/>
        <v>8.2582031476331474E-2</v>
      </c>
      <c r="BN59" s="9">
        <f t="shared" ref="BN59:DY59" ca="1" si="37">IF(BN32="","",ABS(BN32))</f>
        <v>0.11448245198414408</v>
      </c>
      <c r="BO59" s="9">
        <f t="shared" ca="1" si="37"/>
        <v>0.10387508691105585</v>
      </c>
      <c r="BP59" s="9">
        <f t="shared" ca="1" si="37"/>
        <v>7.4135026516691571E-2</v>
      </c>
      <c r="BQ59" s="9">
        <f t="shared" ca="1" si="37"/>
        <v>4.6197543008954511E-3</v>
      </c>
      <c r="BR59" s="9">
        <f t="shared" ca="1" si="37"/>
        <v>2.2165724684717336E-3</v>
      </c>
      <c r="BS59" s="9">
        <f t="shared" ca="1" si="37"/>
        <v>2.3893115048474689E-2</v>
      </c>
      <c r="BT59" s="9">
        <f t="shared" ca="1" si="37"/>
        <v>5.4992626489735796E-2</v>
      </c>
      <c r="BU59" s="9">
        <f t="shared" ca="1" si="37"/>
        <v>4.8452557692316711E-3</v>
      </c>
      <c r="BV59" s="9">
        <f t="shared" ca="1" si="37"/>
        <v>5.51140819549234E-3</v>
      </c>
      <c r="BW59" s="9">
        <f t="shared" ca="1" si="37"/>
        <v>1.3720597680695334E-3</v>
      </c>
      <c r="BX59" s="9">
        <f t="shared" ca="1" si="37"/>
        <v>2.1666357689221094E-2</v>
      </c>
      <c r="BY59" s="9">
        <f t="shared" ca="1" si="37"/>
        <v>2.4390977444783912E-2</v>
      </c>
      <c r="BZ59" s="9">
        <f t="shared" ca="1" si="37"/>
        <v>3.1486664915076235E-2</v>
      </c>
      <c r="CA59" s="9">
        <f t="shared" ca="1" si="37"/>
        <v>2.8560083630695399E-3</v>
      </c>
      <c r="CB59" s="9">
        <f t="shared" ca="1" si="37"/>
        <v>3.83413663966643E-2</v>
      </c>
      <c r="CC59" s="9">
        <f t="shared" ca="1" si="37"/>
        <v>1.1704103339850169E-3</v>
      </c>
      <c r="CD59" s="9">
        <f t="shared" ca="1" si="37"/>
        <v>9.0901456299057326E-3</v>
      </c>
      <c r="CE59" s="9">
        <f t="shared" ca="1" si="37"/>
        <v>8.9812847202589419E-3</v>
      </c>
      <c r="CF59" s="9">
        <f t="shared" ca="1" si="37"/>
        <v>1.7721765026410319E-2</v>
      </c>
      <c r="CG59" s="9">
        <f t="shared" ca="1" si="37"/>
        <v>2.1221840862569952E-2</v>
      </c>
      <c r="CH59" s="9">
        <f t="shared" ca="1" si="37"/>
        <v>4.3472364502830096E-3</v>
      </c>
      <c r="CI59" s="9">
        <f t="shared" ca="1" si="37"/>
        <v>1.492239827220887E-2</v>
      </c>
      <c r="CJ59" s="9">
        <f t="shared" ca="1" si="37"/>
        <v>4.6469744752084541E-3</v>
      </c>
      <c r="CK59" s="9">
        <f t="shared" ca="1" si="37"/>
        <v>3.2369677463570334E-2</v>
      </c>
      <c r="CL59" s="9">
        <f t="shared" ca="1" si="37"/>
        <v>3.108536377014659E-2</v>
      </c>
      <c r="CM59" s="9">
        <f t="shared" ca="1" si="37"/>
        <v>5.9235744404640966E-3</v>
      </c>
      <c r="CN59" s="9">
        <f t="shared" ca="1" si="37"/>
        <v>2.0497302909872062E-3</v>
      </c>
      <c r="CO59" s="9">
        <f t="shared" ca="1" si="37"/>
        <v>3.5064202950733092E-3</v>
      </c>
      <c r="CP59" s="9">
        <f t="shared" ca="1" si="37"/>
        <v>2.3181795115984505E-2</v>
      </c>
      <c r="CQ59" s="9">
        <f t="shared" ca="1" si="37"/>
        <v>7.656897962898368E-3</v>
      </c>
      <c r="CR59" s="9">
        <f t="shared" ca="1" si="37"/>
        <v>2.174543812456009E-2</v>
      </c>
      <c r="CS59" s="9">
        <f t="shared" ca="1" si="37"/>
        <v>3.2484315474563541E-3</v>
      </c>
      <c r="CT59" s="9">
        <f t="shared" ca="1" si="37"/>
        <v>4.2513400879659158E-2</v>
      </c>
      <c r="CU59" s="9">
        <f t="shared" ca="1" si="37"/>
        <v>3.1802210715528245E-2</v>
      </c>
      <c r="CV59" s="9">
        <f t="shared" ca="1" si="37"/>
        <v>1.7659315451589941E-2</v>
      </c>
      <c r="CW59" s="9">
        <f t="shared" ca="1" si="37"/>
        <v>4.4718580316405188E-4</v>
      </c>
      <c r="CX59" s="9">
        <f t="shared" ca="1" si="37"/>
        <v>4.7850134942706291E-3</v>
      </c>
      <c r="CY59" s="9">
        <f t="shared" ca="1" si="37"/>
        <v>5.7590043062067942E-3</v>
      </c>
      <c r="CZ59" s="9">
        <f t="shared" ca="1" si="37"/>
        <v>1.3940726317188679E-2</v>
      </c>
      <c r="DA59" s="9">
        <f t="shared" ca="1" si="37"/>
        <v>3.0142706520296825E-2</v>
      </c>
      <c r="DB59" s="9">
        <f t="shared" ca="1" si="37"/>
        <v>1.1437736576475288E-2</v>
      </c>
      <c r="DC59" s="9">
        <f t="shared" ca="1" si="37"/>
        <v>1.9854213336929161E-2</v>
      </c>
      <c r="DD59" s="9">
        <f t="shared" ca="1" si="37"/>
        <v>1.1281281791894138E-2</v>
      </c>
      <c r="DE59" s="9">
        <f t="shared" ca="1" si="37"/>
        <v>3.9715294837338266E-2</v>
      </c>
      <c r="DF59" s="9">
        <f t="shared" ca="1" si="37"/>
        <v>3.2718946101047086E-2</v>
      </c>
      <c r="DG59" s="9">
        <f t="shared" ca="1" si="37"/>
        <v>4.5273182790021904E-2</v>
      </c>
      <c r="DH59" s="9">
        <f t="shared" ca="1" si="37"/>
        <v>3.1503864153081818E-2</v>
      </c>
      <c r="DI59" s="9">
        <f t="shared" ca="1" si="37"/>
        <v>3.7210503209837542E-2</v>
      </c>
      <c r="DJ59" s="9">
        <f t="shared" ca="1" si="37"/>
        <v>7.8004860705025436E-3</v>
      </c>
      <c r="DK59" s="9">
        <f t="shared" ca="1" si="37"/>
        <v>1.4016029117103201E-5</v>
      </c>
      <c r="DL59" s="9">
        <f t="shared" ca="1" si="37"/>
        <v>2.349877668826994E-2</v>
      </c>
      <c r="DM59" s="9">
        <f t="shared" ca="1" si="37"/>
        <v>2.8448734045017909E-3</v>
      </c>
      <c r="DN59" s="9">
        <f t="shared" ca="1" si="37"/>
        <v>2.0259586369910654E-3</v>
      </c>
      <c r="DO59" s="9">
        <f t="shared" ca="1" si="37"/>
        <v>2.8360105397323698E-3</v>
      </c>
      <c r="DP59" s="9">
        <f t="shared" ca="1" si="37"/>
        <v>3.725834017584706E-2</v>
      </c>
      <c r="DQ59" s="9">
        <f t="shared" ca="1" si="37"/>
        <v>3.5899666157065857E-2</v>
      </c>
      <c r="DR59" s="9">
        <f t="shared" ca="1" si="37"/>
        <v>8.5448090244865105E-3</v>
      </c>
      <c r="DS59" s="9">
        <f t="shared" ca="1" si="37"/>
        <v>1.0007618687910003E-2</v>
      </c>
      <c r="DT59" s="9">
        <f t="shared" ca="1" si="37"/>
        <v>1.805264764124126E-3</v>
      </c>
      <c r="DU59" s="9">
        <f t="shared" ca="1" si="37"/>
        <v>8.668532142720009E-3</v>
      </c>
      <c r="DV59" s="9">
        <f t="shared" ca="1" si="37"/>
        <v>1.6604449987895564E-2</v>
      </c>
      <c r="DW59" s="9">
        <f t="shared" ca="1" si="37"/>
        <v>1.2623797795639935E-2</v>
      </c>
      <c r="DX59" s="9">
        <f t="shared" ca="1" si="37"/>
        <v>7.6556046900551067E-3</v>
      </c>
      <c r="DY59" s="9">
        <f t="shared" ca="1" si="37"/>
        <v>3.5782910102604149E-3</v>
      </c>
      <c r="DZ59" s="9">
        <f t="shared" ref="DZ59:GK59" ca="1" si="38">IF(DZ32="","",ABS(DZ32))</f>
        <v>1.0832614505513982E-2</v>
      </c>
      <c r="EA59" s="9">
        <f t="shared" ca="1" si="38"/>
        <v>9.7285761432619466E-4</v>
      </c>
      <c r="EB59" s="9">
        <f t="shared" ca="1" si="38"/>
        <v>8.4894374864650235E-3</v>
      </c>
      <c r="EC59" s="9">
        <f t="shared" ca="1" si="38"/>
        <v>8.7389002237986402E-3</v>
      </c>
      <c r="ED59" s="9">
        <f t="shared" ca="1" si="38"/>
        <v>1.3521351015026495E-2</v>
      </c>
      <c r="EE59" s="9">
        <f t="shared" ca="1" si="38"/>
        <v>3.5498504567011313E-2</v>
      </c>
      <c r="EF59" s="9">
        <f t="shared" ca="1" si="38"/>
        <v>2.4168682945985065E-2</v>
      </c>
      <c r="EG59" s="9">
        <f t="shared" ca="1" si="38"/>
        <v>1.2629878111870774E-2</v>
      </c>
      <c r="EH59" s="9">
        <f t="shared" ca="1" si="38"/>
        <v>4.0269768516649429E-2</v>
      </c>
      <c r="EI59" s="9">
        <f t="shared" ca="1" si="38"/>
        <v>4.9458228756719236E-2</v>
      </c>
      <c r="EJ59" s="9">
        <f t="shared" ca="1" si="38"/>
        <v>3.4108160622087547E-2</v>
      </c>
      <c r="EK59" s="9">
        <f t="shared" ca="1" si="38"/>
        <v>2.5576695183266551E-2</v>
      </c>
      <c r="EL59" s="9">
        <f t="shared" ca="1" si="38"/>
        <v>5.0659400400974164E-3</v>
      </c>
      <c r="EM59" s="9">
        <f t="shared" ca="1" si="38"/>
        <v>4.3911578724808997E-3</v>
      </c>
      <c r="EN59" s="9">
        <f t="shared" ca="1" si="38"/>
        <v>1.8132482830520269E-2</v>
      </c>
      <c r="EO59" s="9">
        <f t="shared" ca="1" si="38"/>
        <v>4.887258709411646E-3</v>
      </c>
      <c r="EP59" s="9">
        <f t="shared" ca="1" si="38"/>
        <v>1.0174428215989462E-2</v>
      </c>
      <c r="EQ59" s="9">
        <f t="shared" ca="1" si="38"/>
        <v>2.0724791210190663E-2</v>
      </c>
      <c r="ER59" s="9">
        <f t="shared" ca="1" si="38"/>
        <v>4.4451441282592707E-2</v>
      </c>
      <c r="ES59" s="9">
        <f t="shared" ca="1" si="38"/>
        <v>4.0647835180028569E-2</v>
      </c>
      <c r="ET59" s="9">
        <f t="shared" ca="1" si="38"/>
        <v>1.5413546478522555E-2</v>
      </c>
      <c r="EU59" s="9">
        <f t="shared" ca="1" si="38"/>
        <v>2.8973107737385928E-2</v>
      </c>
      <c r="EV59" s="9">
        <f t="shared" ca="1" si="38"/>
        <v>2.4026348881952764E-2</v>
      </c>
      <c r="EW59" s="9">
        <f t="shared" ca="1" si="38"/>
        <v>2.1159166467069945E-2</v>
      </c>
      <c r="EX59" s="9">
        <f t="shared" ca="1" si="38"/>
        <v>1.917871649720948E-2</v>
      </c>
      <c r="EY59" s="9">
        <f t="shared" ca="1" si="38"/>
        <v>1.4899040311658784E-2</v>
      </c>
      <c r="EZ59" s="9">
        <f t="shared" ca="1" si="38"/>
        <v>5.8105347356567361E-3</v>
      </c>
      <c r="FA59" s="9">
        <f t="shared" ca="1" si="38"/>
        <v>3.0627165230615594E-2</v>
      </c>
      <c r="FB59" s="9">
        <f t="shared" ca="1" si="38"/>
        <v>1.0268472796610695E-2</v>
      </c>
      <c r="FC59" s="9">
        <f t="shared" ca="1" si="38"/>
        <v>2.2489200061603598E-2</v>
      </c>
      <c r="FD59" s="9">
        <f t="shared" ca="1" si="38"/>
        <v>2.2362159467910647E-2</v>
      </c>
      <c r="FE59" s="9">
        <f t="shared" ca="1" si="38"/>
        <v>1.235539261337848E-2</v>
      </c>
      <c r="FF59" s="9">
        <f t="shared" ca="1" si="38"/>
        <v>1.0603606131154519E-2</v>
      </c>
      <c r="FG59" s="9">
        <f t="shared" ca="1" si="38"/>
        <v>1.6061279089665259E-2</v>
      </c>
      <c r="FH59" s="9">
        <f t="shared" ca="1" si="38"/>
        <v>1.6750273537966209E-2</v>
      </c>
      <c r="FI59" s="9">
        <f t="shared" ca="1" si="38"/>
        <v>2.4749262046599885E-2</v>
      </c>
      <c r="FJ59" s="9">
        <f t="shared" ca="1" si="38"/>
        <v>2.8660410704217432E-2</v>
      </c>
      <c r="FK59" s="9">
        <f t="shared" ca="1" si="38"/>
        <v>5.5651105711545412E-2</v>
      </c>
      <c r="FL59" s="9">
        <f t="shared" ca="1" si="38"/>
        <v>3.3347669375295652E-2</v>
      </c>
      <c r="FM59" s="9">
        <f t="shared" ca="1" si="38"/>
        <v>4.12024650423507E-2</v>
      </c>
      <c r="FN59" s="9">
        <f t="shared" ca="1" si="38"/>
        <v>3.9224155575886543E-2</v>
      </c>
      <c r="FO59" s="9">
        <f t="shared" ca="1" si="38"/>
        <v>1.8633643720105675E-2</v>
      </c>
      <c r="FP59" s="9">
        <f t="shared" ca="1" si="38"/>
        <v>3.3871584924404563E-2</v>
      </c>
      <c r="FQ59" s="9">
        <f t="shared" ca="1" si="38"/>
        <v>2.8200938429612799E-2</v>
      </c>
      <c r="FR59" s="9">
        <f t="shared" ca="1" si="38"/>
        <v>1.6016624734249696E-4</v>
      </c>
      <c r="FS59" s="9">
        <f t="shared" ca="1" si="38"/>
        <v>4.6260950697749603E-3</v>
      </c>
      <c r="FT59" s="9">
        <f t="shared" ca="1" si="38"/>
        <v>1.196687403591179E-2</v>
      </c>
      <c r="FU59" s="9">
        <f t="shared" ca="1" si="38"/>
        <v>1.860689240477198E-2</v>
      </c>
      <c r="FV59" s="9">
        <f t="shared" ca="1" si="38"/>
        <v>5.9252314502485914E-2</v>
      </c>
      <c r="FW59" s="9">
        <f t="shared" ca="1" si="38"/>
        <v>8.8389562033201363E-2</v>
      </c>
      <c r="FX59" s="9">
        <f t="shared" ca="1" si="38"/>
        <v>4.3433395967331423E-2</v>
      </c>
      <c r="FY59" s="9">
        <f t="shared" ca="1" si="38"/>
        <v>6.8594626240885415E-3</v>
      </c>
      <c r="FZ59" s="9">
        <f t="shared" ca="1" si="38"/>
        <v>2.571341656140258E-2</v>
      </c>
      <c r="GA59" s="9">
        <f t="shared" ca="1" si="38"/>
        <v>3.075290023039301E-2</v>
      </c>
      <c r="GB59" s="9">
        <f t="shared" ca="1" si="38"/>
        <v>5.1843312763843685E-2</v>
      </c>
      <c r="GC59" s="9">
        <f t="shared" ca="1" si="38"/>
        <v>6.4942003090146527E-2</v>
      </c>
      <c r="GD59" s="9">
        <f t="shared" ca="1" si="38"/>
        <v>4.7335779157391955E-2</v>
      </c>
      <c r="GE59" s="9">
        <f t="shared" ca="1" si="38"/>
        <v>2.0241239377207676E-2</v>
      </c>
      <c r="GF59" s="9">
        <f t="shared" ca="1" si="38"/>
        <v>2.432970975642168E-2</v>
      </c>
      <c r="GG59" s="9">
        <f t="shared" ca="1" si="38"/>
        <v>1.6893154068333471E-2</v>
      </c>
      <c r="GH59" s="9">
        <f t="shared" ca="1" si="38"/>
        <v>3.2909164143664071E-3</v>
      </c>
      <c r="GI59" s="9">
        <f t="shared" ca="1" si="38"/>
        <v>1.3999640339985575E-2</v>
      </c>
      <c r="GJ59" s="9">
        <f t="shared" ca="1" si="38"/>
        <v>1.4338082990716927E-2</v>
      </c>
      <c r="GK59" s="9">
        <f t="shared" ca="1" si="38"/>
        <v>2.5281468954944319E-2</v>
      </c>
      <c r="GL59" s="9">
        <f t="shared" ref="GL59:IW59" ca="1" si="39">IF(GL32="","",ABS(GL32))</f>
        <v>3.9803971704817864E-2</v>
      </c>
      <c r="GM59" s="9">
        <f t="shared" ca="1" si="39"/>
        <v>0.10979466870560572</v>
      </c>
      <c r="GN59" s="9">
        <f t="shared" ca="1" si="39"/>
        <v>0.13307415655947596</v>
      </c>
      <c r="GO59" s="9">
        <f t="shared" ca="1" si="39"/>
        <v>2.5623777516276758E-2</v>
      </c>
      <c r="GP59" s="9">
        <f t="shared" ca="1" si="39"/>
        <v>7.9076516494464011E-2</v>
      </c>
      <c r="GQ59" s="9">
        <f t="shared" ca="1" si="39"/>
        <v>4.7598553151623424E-2</v>
      </c>
      <c r="GR59" s="9">
        <f t="shared" ca="1" si="39"/>
        <v>6.4030253994746822E-2</v>
      </c>
      <c r="GS59" s="9">
        <f t="shared" ca="1" si="39"/>
        <v>6.1926267396143819E-2</v>
      </c>
      <c r="GT59" s="9">
        <f t="shared" ca="1" si="39"/>
        <v>4.6394893080532906E-2</v>
      </c>
      <c r="GU59" s="9">
        <f t="shared" ca="1" si="39"/>
        <v>1.0030825360135331E-2</v>
      </c>
      <c r="GV59" s="9">
        <f t="shared" ca="1" si="39"/>
        <v>2.0727469385642516E-2</v>
      </c>
      <c r="GW59" s="9" t="str">
        <f t="shared" ca="1" si="39"/>
        <v/>
      </c>
      <c r="GX59" s="9" t="str">
        <f t="shared" ca="1" si="39"/>
        <v/>
      </c>
      <c r="GY59" s="9" t="str">
        <f t="shared" ca="1" si="39"/>
        <v/>
      </c>
      <c r="GZ59" s="9" t="str">
        <f t="shared" ca="1" si="39"/>
        <v/>
      </c>
      <c r="HA59" s="9" t="str">
        <f t="shared" ca="1" si="39"/>
        <v/>
      </c>
      <c r="HB59" s="9" t="str">
        <f t="shared" ca="1" si="39"/>
        <v/>
      </c>
      <c r="HC59" s="9" t="str">
        <f t="shared" ca="1" si="39"/>
        <v/>
      </c>
      <c r="HD59" s="9" t="str">
        <f t="shared" ca="1" si="39"/>
        <v/>
      </c>
      <c r="HE59" s="9" t="str">
        <f t="shared" ca="1" si="39"/>
        <v/>
      </c>
      <c r="HF59" s="9" t="str">
        <f t="shared" ca="1" si="39"/>
        <v/>
      </c>
      <c r="HG59" s="9" t="str">
        <f t="shared" ca="1" si="39"/>
        <v/>
      </c>
      <c r="HH59" s="9" t="str">
        <f t="shared" ca="1" si="39"/>
        <v/>
      </c>
      <c r="HI59" s="9" t="str">
        <f t="shared" ca="1" si="39"/>
        <v/>
      </c>
      <c r="HJ59" s="9" t="str">
        <f t="shared" ca="1" si="39"/>
        <v/>
      </c>
      <c r="HK59" s="9" t="str">
        <f t="shared" ca="1" si="39"/>
        <v/>
      </c>
      <c r="HL59" s="9" t="str">
        <f t="shared" ca="1" si="39"/>
        <v/>
      </c>
      <c r="HM59" s="9" t="str">
        <f t="shared" ca="1" si="39"/>
        <v/>
      </c>
      <c r="HN59" s="9" t="str">
        <f t="shared" ca="1" si="39"/>
        <v/>
      </c>
      <c r="HO59" s="9" t="str">
        <f t="shared" ca="1" si="39"/>
        <v/>
      </c>
      <c r="HP59" s="9" t="str">
        <f t="shared" ca="1" si="39"/>
        <v/>
      </c>
      <c r="HQ59" s="9" t="str">
        <f t="shared" ca="1" si="39"/>
        <v/>
      </c>
      <c r="HR59" s="9" t="str">
        <f t="shared" ca="1" si="39"/>
        <v/>
      </c>
      <c r="HS59" s="9" t="str">
        <f t="shared" ca="1" si="39"/>
        <v/>
      </c>
      <c r="HT59" s="9" t="str">
        <f t="shared" ca="1" si="39"/>
        <v/>
      </c>
      <c r="HU59" s="9" t="str">
        <f t="shared" ca="1" si="39"/>
        <v/>
      </c>
      <c r="HV59" s="9" t="str">
        <f t="shared" ca="1" si="39"/>
        <v/>
      </c>
      <c r="HW59" s="9" t="str">
        <f t="shared" ca="1" si="39"/>
        <v/>
      </c>
      <c r="HX59" s="9" t="str">
        <f t="shared" ca="1" si="39"/>
        <v/>
      </c>
      <c r="HY59" s="9" t="str">
        <f t="shared" ca="1" si="39"/>
        <v/>
      </c>
      <c r="HZ59" s="9" t="str">
        <f t="shared" ca="1" si="39"/>
        <v/>
      </c>
      <c r="IA59" s="9" t="str">
        <f t="shared" ca="1" si="39"/>
        <v/>
      </c>
      <c r="IB59" s="9" t="str">
        <f t="shared" ca="1" si="39"/>
        <v/>
      </c>
      <c r="IC59" s="9" t="str">
        <f t="shared" ca="1" si="39"/>
        <v/>
      </c>
      <c r="ID59" s="9" t="str">
        <f t="shared" ca="1" si="39"/>
        <v/>
      </c>
      <c r="IE59" s="9" t="str">
        <f t="shared" ca="1" si="39"/>
        <v/>
      </c>
      <c r="IF59" s="9" t="str">
        <f t="shared" ca="1" si="39"/>
        <v/>
      </c>
      <c r="IG59" s="9" t="str">
        <f t="shared" ca="1" si="39"/>
        <v/>
      </c>
      <c r="IH59" s="9" t="str">
        <f t="shared" ca="1" si="39"/>
        <v/>
      </c>
      <c r="II59" s="9" t="str">
        <f t="shared" ca="1" si="39"/>
        <v/>
      </c>
      <c r="IJ59" s="9" t="str">
        <f t="shared" ca="1" si="39"/>
        <v/>
      </c>
      <c r="IK59" s="9" t="str">
        <f t="shared" ca="1" si="39"/>
        <v/>
      </c>
      <c r="IL59" s="9" t="str">
        <f t="shared" ca="1" si="39"/>
        <v/>
      </c>
      <c r="IM59" s="9" t="str">
        <f t="shared" ca="1" si="39"/>
        <v/>
      </c>
      <c r="IN59" s="9" t="str">
        <f t="shared" ca="1" si="39"/>
        <v/>
      </c>
      <c r="IO59" s="9" t="str">
        <f t="shared" ca="1" si="39"/>
        <v/>
      </c>
      <c r="IP59" s="9" t="str">
        <f t="shared" ca="1" si="39"/>
        <v/>
      </c>
      <c r="IQ59" s="9" t="str">
        <f t="shared" ca="1" si="39"/>
        <v/>
      </c>
      <c r="IR59" s="9" t="str">
        <f t="shared" ca="1" si="39"/>
        <v/>
      </c>
      <c r="IS59" s="9" t="str">
        <f t="shared" ca="1" si="39"/>
        <v/>
      </c>
      <c r="IT59" s="9" t="str">
        <f t="shared" ca="1" si="39"/>
        <v/>
      </c>
      <c r="IU59" s="9" t="str">
        <f t="shared" ca="1" si="39"/>
        <v/>
      </c>
      <c r="IV59" s="9" t="str">
        <f t="shared" ca="1" si="39"/>
        <v/>
      </c>
      <c r="IW59" s="9" t="str">
        <f t="shared" ca="1" si="39"/>
        <v/>
      </c>
      <c r="IX59" s="9" t="str">
        <f t="shared" ref="IX59:JH59" ca="1" si="40">IF(IX32="","",ABS(IX32))</f>
        <v/>
      </c>
      <c r="IY59" s="9" t="str">
        <f t="shared" ca="1" si="40"/>
        <v/>
      </c>
      <c r="IZ59" s="9" t="str">
        <f t="shared" ca="1" si="40"/>
        <v/>
      </c>
      <c r="JA59" s="9" t="str">
        <f t="shared" ca="1" si="40"/>
        <v/>
      </c>
      <c r="JB59" s="9" t="str">
        <f t="shared" ca="1" si="40"/>
        <v/>
      </c>
      <c r="JC59" s="9" t="str">
        <f t="shared" ca="1" si="40"/>
        <v/>
      </c>
      <c r="JD59" s="9" t="str">
        <f t="shared" ca="1" si="40"/>
        <v/>
      </c>
      <c r="JE59" s="9" t="str">
        <f t="shared" ca="1" si="40"/>
        <v/>
      </c>
      <c r="JF59" s="9" t="str">
        <f t="shared" ca="1" si="40"/>
        <v/>
      </c>
      <c r="JG59" s="9" t="str">
        <f t="shared" ca="1" si="40"/>
        <v/>
      </c>
      <c r="JH59" s="9" t="str">
        <f t="shared" ca="1" si="40"/>
        <v/>
      </c>
      <c r="JI59" s="13">
        <f t="shared" ca="1" si="25"/>
        <v>3.8704333699035628E-2</v>
      </c>
      <c r="JJ59" s="13">
        <f t="shared" ca="1" si="26"/>
        <v>2.6957177495507689E-2</v>
      </c>
      <c r="JK59" s="14">
        <f t="shared" ca="1" si="27"/>
        <v>9.6432734430626737E-4</v>
      </c>
      <c r="JL59" s="17">
        <f t="shared" ca="1" si="35"/>
        <v>3.105362047018459E-2</v>
      </c>
      <c r="JM59" s="15" t="str">
        <f t="shared" ca="1" si="28"/>
        <v>[ -2,34% ; 10,08% ]</v>
      </c>
      <c r="JN59" s="17">
        <f t="shared" ca="1" si="29"/>
        <v>3.9748634201836275E-2</v>
      </c>
      <c r="LY59" s="1"/>
    </row>
    <row r="60" spans="1:337" x14ac:dyDescent="0.25">
      <c r="A60" s="4">
        <v>4</v>
      </c>
      <c r="B60" s="9">
        <f t="shared" ref="B60:BM60" ca="1" si="41">IF(B33="","",ABS(B33))</f>
        <v>3.7070889972600107E-2</v>
      </c>
      <c r="C60" s="9">
        <f t="shared" ca="1" si="41"/>
        <v>1.6249474378936091E-2</v>
      </c>
      <c r="D60" s="9">
        <f t="shared" ca="1" si="41"/>
        <v>3.9973317046611001E-3</v>
      </c>
      <c r="E60" s="9">
        <f t="shared" ca="1" si="41"/>
        <v>2.4548042019771454E-2</v>
      </c>
      <c r="F60" s="9">
        <f t="shared" ca="1" si="41"/>
        <v>4.6679034289515586E-2</v>
      </c>
      <c r="G60" s="9">
        <f t="shared" ca="1" si="41"/>
        <v>4.7189980634495754E-2</v>
      </c>
      <c r="H60" s="9">
        <f t="shared" ca="1" si="41"/>
        <v>2.6782642362940035E-2</v>
      </c>
      <c r="I60" s="9">
        <f t="shared" ca="1" si="41"/>
        <v>1.4206920924584088E-2</v>
      </c>
      <c r="J60" s="9">
        <f t="shared" ca="1" si="41"/>
        <v>4.6112971937097846E-3</v>
      </c>
      <c r="K60" s="9">
        <f t="shared" ca="1" si="41"/>
        <v>2.3048516829821564E-2</v>
      </c>
      <c r="L60" s="9">
        <f t="shared" ca="1" si="41"/>
        <v>7.6905790127033136E-3</v>
      </c>
      <c r="M60" s="9">
        <f t="shared" ca="1" si="41"/>
        <v>6.0999378537613946E-3</v>
      </c>
      <c r="N60" s="9">
        <f t="shared" ca="1" si="41"/>
        <v>1.3688516961519848E-2</v>
      </c>
      <c r="O60" s="9">
        <f t="shared" ca="1" si="41"/>
        <v>6.7609448466130484E-3</v>
      </c>
      <c r="P60" s="9">
        <f t="shared" ca="1" si="41"/>
        <v>1.6713652245776922E-2</v>
      </c>
      <c r="Q60" s="9">
        <f t="shared" ca="1" si="41"/>
        <v>1.1471106202350034E-2</v>
      </c>
      <c r="R60" s="9">
        <f t="shared" ca="1" si="41"/>
        <v>1.6892839471364107E-3</v>
      </c>
      <c r="S60" s="9">
        <f t="shared" ca="1" si="41"/>
        <v>5.5788167814614376E-3</v>
      </c>
      <c r="T60" s="9">
        <f t="shared" ca="1" si="41"/>
        <v>1.6262837415996323E-2</v>
      </c>
      <c r="U60" s="9">
        <f t="shared" ca="1" si="41"/>
        <v>1.3981421102788882E-2</v>
      </c>
      <c r="V60" s="9">
        <f t="shared" ca="1" si="41"/>
        <v>2.6155320449115615E-2</v>
      </c>
      <c r="W60" s="9">
        <f t="shared" ca="1" si="41"/>
        <v>2.4762025238911134E-2</v>
      </c>
      <c r="X60" s="9">
        <f t="shared" ca="1" si="41"/>
        <v>3.5244106511363782E-2</v>
      </c>
      <c r="Y60" s="9">
        <f t="shared" ca="1" si="41"/>
        <v>3.5314043099482495E-2</v>
      </c>
      <c r="Z60" s="9">
        <f t="shared" ca="1" si="41"/>
        <v>3.7863941442622728E-2</v>
      </c>
      <c r="AA60" s="9">
        <f t="shared" ca="1" si="41"/>
        <v>2.0019920625625964E-2</v>
      </c>
      <c r="AB60" s="9">
        <f t="shared" ca="1" si="41"/>
        <v>1.8252932822497625E-2</v>
      </c>
      <c r="AC60" s="9">
        <f t="shared" ca="1" si="41"/>
        <v>5.7238418497768118E-3</v>
      </c>
      <c r="AD60" s="9">
        <f t="shared" ca="1" si="41"/>
        <v>9.8571664531481584E-3</v>
      </c>
      <c r="AE60" s="9">
        <f t="shared" ca="1" si="41"/>
        <v>7.7621738082442882E-3</v>
      </c>
      <c r="AF60" s="9">
        <f t="shared" ca="1" si="41"/>
        <v>2.6440343024960455E-3</v>
      </c>
      <c r="AG60" s="9">
        <f t="shared" ca="1" si="41"/>
        <v>1.8651549942803269E-2</v>
      </c>
      <c r="AH60" s="9">
        <f t="shared" ca="1" si="41"/>
        <v>4.4946750701492011E-2</v>
      </c>
      <c r="AI60" s="9">
        <f t="shared" ca="1" si="41"/>
        <v>4.6951524170669945E-2</v>
      </c>
      <c r="AJ60" s="9">
        <f t="shared" ca="1" si="41"/>
        <v>4.1254546415411042E-2</v>
      </c>
      <c r="AK60" s="9">
        <f t="shared" ca="1" si="41"/>
        <v>3.4128685839858841E-2</v>
      </c>
      <c r="AL60" s="9">
        <f t="shared" ca="1" si="41"/>
        <v>3.7336800637520762E-3</v>
      </c>
      <c r="AM60" s="9">
        <f t="shared" ca="1" si="41"/>
        <v>2.0640510747621521E-2</v>
      </c>
      <c r="AN60" s="9">
        <f t="shared" ca="1" si="41"/>
        <v>3.5013038356955017E-2</v>
      </c>
      <c r="AO60" s="9">
        <f t="shared" ca="1" si="41"/>
        <v>6.2211938874023098E-2</v>
      </c>
      <c r="AP60" s="9">
        <f t="shared" ca="1" si="41"/>
        <v>5.5528957349460395E-2</v>
      </c>
      <c r="AQ60" s="9">
        <f t="shared" ca="1" si="41"/>
        <v>4.2570396759856743E-2</v>
      </c>
      <c r="AR60" s="9">
        <f t="shared" ca="1" si="41"/>
        <v>2.923148531144959E-2</v>
      </c>
      <c r="AS60" s="9">
        <f t="shared" ca="1" si="41"/>
        <v>1.6982753949678853E-2</v>
      </c>
      <c r="AT60" s="9">
        <f t="shared" ca="1" si="41"/>
        <v>7.5520580891590416E-3</v>
      </c>
      <c r="AU60" s="9">
        <f t="shared" ca="1" si="41"/>
        <v>1.9919044121878171E-2</v>
      </c>
      <c r="AV60" s="9">
        <f t="shared" ca="1" si="41"/>
        <v>5.8967039758507589E-2</v>
      </c>
      <c r="AW60" s="9">
        <f t="shared" ca="1" si="41"/>
        <v>6.0090315651360249E-2</v>
      </c>
      <c r="AX60" s="9">
        <f t="shared" ca="1" si="41"/>
        <v>0.10582268979769527</v>
      </c>
      <c r="AY60" s="9">
        <f t="shared" ca="1" si="41"/>
        <v>0.12028103565203419</v>
      </c>
      <c r="AZ60" s="9">
        <f t="shared" ca="1" si="41"/>
        <v>0.10824878203861021</v>
      </c>
      <c r="BA60" s="9">
        <f t="shared" ca="1" si="41"/>
        <v>0.12822647749687943</v>
      </c>
      <c r="BB60" s="9">
        <f t="shared" ca="1" si="41"/>
        <v>0.11880551726869903</v>
      </c>
      <c r="BC60" s="9">
        <f t="shared" ca="1" si="41"/>
        <v>8.8368508628470011E-2</v>
      </c>
      <c r="BD60" s="9">
        <f t="shared" ca="1" si="41"/>
        <v>0.13037972343690585</v>
      </c>
      <c r="BE60" s="9">
        <f t="shared" ca="1" si="41"/>
        <v>0.12783460582284567</v>
      </c>
      <c r="BF60" s="9">
        <f t="shared" ca="1" si="41"/>
        <v>0.13794166088606719</v>
      </c>
      <c r="BG60" s="9">
        <f t="shared" ca="1" si="41"/>
        <v>0.14057470231533853</v>
      </c>
      <c r="BH60" s="9">
        <f t="shared" ca="1" si="41"/>
        <v>6.7850069654328715E-2</v>
      </c>
      <c r="BI60" s="9">
        <f t="shared" ca="1" si="41"/>
        <v>4.0111750070392138E-2</v>
      </c>
      <c r="BJ60" s="9">
        <f t="shared" ca="1" si="41"/>
        <v>7.3983023693451333E-3</v>
      </c>
      <c r="BK60" s="9">
        <f t="shared" ca="1" si="41"/>
        <v>2.6518770686958626E-2</v>
      </c>
      <c r="BL60" s="9">
        <f t="shared" ca="1" si="41"/>
        <v>5.488843590701542E-2</v>
      </c>
      <c r="BM60" s="9">
        <f t="shared" ca="1" si="41"/>
        <v>0.13516799547737213</v>
      </c>
      <c r="BN60" s="9">
        <f t="shared" ref="BN60:DY60" ca="1" si="42">IF(BN33="","",ABS(BN33))</f>
        <v>0.13895958282550991</v>
      </c>
      <c r="BO60" s="9">
        <f t="shared" ca="1" si="42"/>
        <v>0.15055630421690358</v>
      </c>
      <c r="BP60" s="9">
        <f t="shared" ca="1" si="42"/>
        <v>4.9416596531626222E-2</v>
      </c>
      <c r="BQ60" s="9">
        <f t="shared" ca="1" si="42"/>
        <v>1.0905542324689765E-2</v>
      </c>
      <c r="BR60" s="9">
        <f t="shared" ca="1" si="42"/>
        <v>4.7422894740696275E-3</v>
      </c>
      <c r="BS60" s="9">
        <f t="shared" ca="1" si="42"/>
        <v>1.6289020098588902E-2</v>
      </c>
      <c r="BT60" s="9">
        <f t="shared" ca="1" si="42"/>
        <v>5.7052908130145186E-2</v>
      </c>
      <c r="BU60" s="9">
        <f t="shared" ca="1" si="42"/>
        <v>4.7317412961201955E-3</v>
      </c>
      <c r="BV60" s="9">
        <f t="shared" ca="1" si="42"/>
        <v>8.6931331667123857E-3</v>
      </c>
      <c r="BW60" s="9">
        <f t="shared" ca="1" si="42"/>
        <v>1.1892241963930461E-2</v>
      </c>
      <c r="BX60" s="9">
        <f t="shared" ca="1" si="42"/>
        <v>2.524477399546976E-2</v>
      </c>
      <c r="BY60" s="9">
        <f t="shared" ca="1" si="42"/>
        <v>3.8192410282358091E-2</v>
      </c>
      <c r="BZ60" s="9">
        <f t="shared" ca="1" si="42"/>
        <v>2.4502045825135266E-2</v>
      </c>
      <c r="CA60" s="9">
        <f t="shared" ca="1" si="42"/>
        <v>3.7145951775594321E-2</v>
      </c>
      <c r="CB60" s="9">
        <f t="shared" ca="1" si="42"/>
        <v>1.2147081938256088E-2</v>
      </c>
      <c r="CC60" s="9">
        <f t="shared" ca="1" si="42"/>
        <v>3.7621376715417654E-3</v>
      </c>
      <c r="CD60" s="9">
        <f t="shared" ca="1" si="42"/>
        <v>2.4458644289298892E-2</v>
      </c>
      <c r="CE60" s="9">
        <f t="shared" ca="1" si="42"/>
        <v>1.5065517640949433E-2</v>
      </c>
      <c r="CF60" s="9">
        <f t="shared" ca="1" si="42"/>
        <v>2.3380362113974762E-2</v>
      </c>
      <c r="CG60" s="9">
        <f t="shared" ca="1" si="42"/>
        <v>3.5521040688237804E-2</v>
      </c>
      <c r="CH60" s="9">
        <f t="shared" ca="1" si="42"/>
        <v>4.2486402895741682E-3</v>
      </c>
      <c r="CI60" s="9">
        <f t="shared" ca="1" si="42"/>
        <v>1.2009499966392445E-2</v>
      </c>
      <c r="CJ60" s="9">
        <f t="shared" ca="1" si="42"/>
        <v>2.265029017739395E-3</v>
      </c>
      <c r="CK60" s="9">
        <f t="shared" ca="1" si="42"/>
        <v>3.9586440043441584E-2</v>
      </c>
      <c r="CL60" s="9">
        <f t="shared" ca="1" si="42"/>
        <v>2.8864692383485657E-2</v>
      </c>
      <c r="CM60" s="9">
        <f t="shared" ca="1" si="42"/>
        <v>1.3613890283052377E-2</v>
      </c>
      <c r="CN60" s="9">
        <f t="shared" ca="1" si="42"/>
        <v>1.0397195658326863E-2</v>
      </c>
      <c r="CO60" s="9">
        <f t="shared" ca="1" si="42"/>
        <v>4.0486246508346646E-3</v>
      </c>
      <c r="CP60" s="9">
        <f t="shared" ca="1" si="42"/>
        <v>3.2210595462400793E-3</v>
      </c>
      <c r="CQ60" s="9">
        <f t="shared" ca="1" si="42"/>
        <v>1.6203620697669008E-3</v>
      </c>
      <c r="CR60" s="9">
        <f t="shared" ca="1" si="42"/>
        <v>1.5047689026215449E-2</v>
      </c>
      <c r="CS60" s="9">
        <f t="shared" ca="1" si="42"/>
        <v>1.2340702634966338E-2</v>
      </c>
      <c r="CT60" s="9">
        <f t="shared" ca="1" si="42"/>
        <v>5.6809249005986939E-2</v>
      </c>
      <c r="CU60" s="9">
        <f t="shared" ca="1" si="42"/>
        <v>3.641401628692531E-2</v>
      </c>
      <c r="CV60" s="9">
        <f t="shared" ca="1" si="42"/>
        <v>1.0837215331195083E-2</v>
      </c>
      <c r="CW60" s="9">
        <f t="shared" ca="1" si="42"/>
        <v>2.0547194272119707E-2</v>
      </c>
      <c r="CX60" s="9">
        <f t="shared" ca="1" si="42"/>
        <v>1.8603015739298012E-3</v>
      </c>
      <c r="CY60" s="9">
        <f t="shared" ca="1" si="42"/>
        <v>3.158863868627737E-2</v>
      </c>
      <c r="CZ60" s="9">
        <f t="shared" ca="1" si="42"/>
        <v>6.6331940521233701E-3</v>
      </c>
      <c r="DA60" s="9">
        <f t="shared" ca="1" si="42"/>
        <v>2.494261123048358E-2</v>
      </c>
      <c r="DB60" s="9">
        <f t="shared" ca="1" si="42"/>
        <v>3.1374462137449433E-2</v>
      </c>
      <c r="DC60" s="9">
        <f t="shared" ca="1" si="42"/>
        <v>2.0366216530833592E-2</v>
      </c>
      <c r="DD60" s="9">
        <f t="shared" ca="1" si="42"/>
        <v>2.6575443455049141E-2</v>
      </c>
      <c r="DE60" s="9">
        <f t="shared" ca="1" si="42"/>
        <v>5.8402663028102264E-2</v>
      </c>
      <c r="DF60" s="9">
        <f t="shared" ca="1" si="42"/>
        <v>4.4073999667431085E-2</v>
      </c>
      <c r="DG60" s="9">
        <f t="shared" ca="1" si="42"/>
        <v>5.8038746470546965E-2</v>
      </c>
      <c r="DH60" s="9">
        <f t="shared" ca="1" si="42"/>
        <v>4.1738594341133251E-2</v>
      </c>
      <c r="DI60" s="9">
        <f t="shared" ca="1" si="42"/>
        <v>4.6981440250634332E-2</v>
      </c>
      <c r="DJ60" s="9">
        <f t="shared" ca="1" si="42"/>
        <v>1.0830129760782015E-2</v>
      </c>
      <c r="DK60" s="9">
        <f t="shared" ca="1" si="42"/>
        <v>4.6466924077070315E-2</v>
      </c>
      <c r="DL60" s="9">
        <f t="shared" ca="1" si="42"/>
        <v>3.0036976084168998E-4</v>
      </c>
      <c r="DM60" s="9">
        <f t="shared" ca="1" si="42"/>
        <v>4.1962873660240652E-3</v>
      </c>
      <c r="DN60" s="9">
        <f t="shared" ca="1" si="42"/>
        <v>3.6078806587496848E-2</v>
      </c>
      <c r="DO60" s="9">
        <f t="shared" ca="1" si="42"/>
        <v>9.6993326800998148E-4</v>
      </c>
      <c r="DP60" s="9">
        <f t="shared" ca="1" si="42"/>
        <v>3.6906159819179329E-2</v>
      </c>
      <c r="DQ60" s="9">
        <f t="shared" ca="1" si="42"/>
        <v>3.7428279782193208E-2</v>
      </c>
      <c r="DR60" s="9">
        <f t="shared" ca="1" si="42"/>
        <v>3.2569356500034008E-3</v>
      </c>
      <c r="DS60" s="9">
        <f t="shared" ca="1" si="42"/>
        <v>9.0554882444734419E-3</v>
      </c>
      <c r="DT60" s="9">
        <f t="shared" ca="1" si="42"/>
        <v>4.344998384493981E-3</v>
      </c>
      <c r="DU60" s="9">
        <f t="shared" ca="1" si="42"/>
        <v>1.3996841107457803E-2</v>
      </c>
      <c r="DV60" s="9">
        <f t="shared" ca="1" si="42"/>
        <v>1.0284606570660548E-2</v>
      </c>
      <c r="DW60" s="9">
        <f t="shared" ca="1" si="42"/>
        <v>1.6508323025951288E-2</v>
      </c>
      <c r="DX60" s="9">
        <f t="shared" ca="1" si="42"/>
        <v>1.4226687554845796E-3</v>
      </c>
      <c r="DY60" s="9">
        <f t="shared" ca="1" si="42"/>
        <v>2.2299031592516894E-2</v>
      </c>
      <c r="DZ60" s="9">
        <f t="shared" ref="DZ60:GK60" ca="1" si="43">IF(DZ33="","",ABS(DZ33))</f>
        <v>3.38522863069457E-3</v>
      </c>
      <c r="EA60" s="9">
        <f t="shared" ca="1" si="43"/>
        <v>2.768538545840693E-3</v>
      </c>
      <c r="EB60" s="9">
        <f t="shared" ca="1" si="43"/>
        <v>1.7989307219453465E-2</v>
      </c>
      <c r="EC60" s="9">
        <f t="shared" ca="1" si="43"/>
        <v>6.244461064311202E-3</v>
      </c>
      <c r="ED60" s="9">
        <f t="shared" ca="1" si="43"/>
        <v>3.6378134928616523E-2</v>
      </c>
      <c r="EE60" s="9">
        <f t="shared" ca="1" si="43"/>
        <v>3.9919817667064539E-2</v>
      </c>
      <c r="EF60" s="9">
        <f t="shared" ca="1" si="43"/>
        <v>1.7593513865380661E-2</v>
      </c>
      <c r="EG60" s="9">
        <f t="shared" ca="1" si="43"/>
        <v>1.7890263123728767E-3</v>
      </c>
      <c r="EH60" s="9">
        <f t="shared" ca="1" si="43"/>
        <v>5.7051396386538333E-2</v>
      </c>
      <c r="EI60" s="9">
        <f t="shared" ca="1" si="43"/>
        <v>5.4155109461442197E-2</v>
      </c>
      <c r="EJ60" s="9">
        <f t="shared" ca="1" si="43"/>
        <v>5.368768543809288E-2</v>
      </c>
      <c r="EK60" s="9">
        <f t="shared" ca="1" si="43"/>
        <v>1.5433263135860464E-2</v>
      </c>
      <c r="EL60" s="9">
        <f t="shared" ca="1" si="43"/>
        <v>2.5806087011648327E-3</v>
      </c>
      <c r="EM60" s="9">
        <f t="shared" ca="1" si="43"/>
        <v>5.3882004988010657E-3</v>
      </c>
      <c r="EN60" s="9">
        <f t="shared" ca="1" si="43"/>
        <v>2.1146103027504415E-2</v>
      </c>
      <c r="EO60" s="9">
        <f t="shared" ca="1" si="43"/>
        <v>7.1988849257584864E-3</v>
      </c>
      <c r="EP60" s="9">
        <f t="shared" ca="1" si="43"/>
        <v>2.2382674942676983E-2</v>
      </c>
      <c r="EQ60" s="9">
        <f t="shared" ca="1" si="43"/>
        <v>4.6206189064516456E-2</v>
      </c>
      <c r="ER60" s="9">
        <f t="shared" ca="1" si="43"/>
        <v>5.5097597792958419E-2</v>
      </c>
      <c r="ES60" s="9">
        <f t="shared" ca="1" si="43"/>
        <v>3.0507015259203962E-2</v>
      </c>
      <c r="ET60" s="9">
        <f t="shared" ca="1" si="43"/>
        <v>5.4995440595551059E-3</v>
      </c>
      <c r="EU60" s="9">
        <f t="shared" ca="1" si="43"/>
        <v>2.4949827747096198E-2</v>
      </c>
      <c r="EV60" s="9">
        <f t="shared" ca="1" si="43"/>
        <v>4.6834871835347291E-2</v>
      </c>
      <c r="EW60" s="9">
        <f t="shared" ca="1" si="43"/>
        <v>3.8144972023472445E-2</v>
      </c>
      <c r="EX60" s="9">
        <f t="shared" ca="1" si="43"/>
        <v>1.1909935334518895E-2</v>
      </c>
      <c r="EY60" s="9">
        <f t="shared" ca="1" si="43"/>
        <v>1.2554372232658428E-2</v>
      </c>
      <c r="EZ60" s="9">
        <f t="shared" ca="1" si="43"/>
        <v>7.6831407865474155E-4</v>
      </c>
      <c r="FA60" s="9">
        <f t="shared" ca="1" si="43"/>
        <v>3.1958806827620201E-2</v>
      </c>
      <c r="FB60" s="9">
        <f t="shared" ca="1" si="43"/>
        <v>1.5184306368488998E-2</v>
      </c>
      <c r="FC60" s="9">
        <f t="shared" ca="1" si="43"/>
        <v>2.3932890317185929E-2</v>
      </c>
      <c r="FD60" s="9">
        <f t="shared" ca="1" si="43"/>
        <v>1.3700359829478481E-2</v>
      </c>
      <c r="FE60" s="9">
        <f t="shared" ca="1" si="43"/>
        <v>2.3069982537134326E-2</v>
      </c>
      <c r="FF60" s="9">
        <f t="shared" ca="1" si="43"/>
        <v>1.5225042375687226E-2</v>
      </c>
      <c r="FG60" s="9">
        <f t="shared" ca="1" si="43"/>
        <v>9.3056360332623989E-3</v>
      </c>
      <c r="FH60" s="9">
        <f t="shared" ca="1" si="43"/>
        <v>1.7739563053480012E-2</v>
      </c>
      <c r="FI60" s="9">
        <f t="shared" ca="1" si="43"/>
        <v>3.6059618986918673E-2</v>
      </c>
      <c r="FJ60" s="9">
        <f t="shared" ca="1" si="43"/>
        <v>1.8667217238708345E-2</v>
      </c>
      <c r="FK60" s="9">
        <f t="shared" ca="1" si="43"/>
        <v>3.9625139848672664E-2</v>
      </c>
      <c r="FL60" s="9">
        <f t="shared" ca="1" si="43"/>
        <v>3.5643050108404628E-2</v>
      </c>
      <c r="FM60" s="9">
        <f t="shared" ca="1" si="43"/>
        <v>5.472357997657995E-2</v>
      </c>
      <c r="FN60" s="9">
        <f t="shared" ca="1" si="43"/>
        <v>5.475059675723315E-2</v>
      </c>
      <c r="FO60" s="9">
        <f t="shared" ca="1" si="43"/>
        <v>2.5066756613317254E-2</v>
      </c>
      <c r="FP60" s="9">
        <f t="shared" ca="1" si="43"/>
        <v>4.2614778227255456E-2</v>
      </c>
      <c r="FQ60" s="9">
        <f t="shared" ca="1" si="43"/>
        <v>1.4280598067235251E-2</v>
      </c>
      <c r="FR60" s="9">
        <f t="shared" ca="1" si="43"/>
        <v>4.3604297134882675E-3</v>
      </c>
      <c r="FS60" s="9">
        <f t="shared" ca="1" si="43"/>
        <v>5.6262465150116459E-3</v>
      </c>
      <c r="FT60" s="9">
        <f t="shared" ca="1" si="43"/>
        <v>4.1725694984498629E-2</v>
      </c>
      <c r="FU60" s="9">
        <f t="shared" ca="1" si="43"/>
        <v>5.6631913096644393E-2</v>
      </c>
      <c r="FV60" s="9">
        <f t="shared" ca="1" si="43"/>
        <v>8.2146155777463425E-2</v>
      </c>
      <c r="FW60" s="9">
        <f t="shared" ca="1" si="43"/>
        <v>8.0270558570397998E-2</v>
      </c>
      <c r="FX60" s="9">
        <f t="shared" ca="1" si="43"/>
        <v>4.3927464941004857E-2</v>
      </c>
      <c r="FY60" s="9">
        <f t="shared" ca="1" si="43"/>
        <v>4.9708145042495211E-3</v>
      </c>
      <c r="FZ60" s="9">
        <f t="shared" ca="1" si="43"/>
        <v>4.9496755666548542E-2</v>
      </c>
      <c r="GA60" s="9">
        <f t="shared" ca="1" si="43"/>
        <v>5.6929867317211169E-2</v>
      </c>
      <c r="GB60" s="9">
        <f t="shared" ca="1" si="43"/>
        <v>7.3094509464644575E-2</v>
      </c>
      <c r="GC60" s="9">
        <f t="shared" ca="1" si="43"/>
        <v>8.2137320135199587E-2</v>
      </c>
      <c r="GD60" s="9">
        <f t="shared" ca="1" si="43"/>
        <v>5.4981484294590155E-2</v>
      </c>
      <c r="GE60" s="9">
        <f t="shared" ca="1" si="43"/>
        <v>4.3136692011731204E-2</v>
      </c>
      <c r="GF60" s="9">
        <f t="shared" ca="1" si="43"/>
        <v>2.2066006430595531E-2</v>
      </c>
      <c r="GG60" s="9">
        <f t="shared" ca="1" si="43"/>
        <v>1.0558711654680142E-2</v>
      </c>
      <c r="GH60" s="9">
        <f t="shared" ca="1" si="43"/>
        <v>1.4123088294231145E-3</v>
      </c>
      <c r="GI60" s="9">
        <f t="shared" ca="1" si="43"/>
        <v>1.1182893569750663E-2</v>
      </c>
      <c r="GJ60" s="9">
        <f t="shared" ca="1" si="43"/>
        <v>4.1511742981350075E-2</v>
      </c>
      <c r="GK60" s="9">
        <f t="shared" ca="1" si="43"/>
        <v>3.7773252858048112E-2</v>
      </c>
      <c r="GL60" s="9">
        <f t="shared" ref="GL60:IW60" ca="1" si="44">IF(GL33="","",ABS(GL33))</f>
        <v>0.10750952061738783</v>
      </c>
      <c r="GM60" s="9">
        <f t="shared" ca="1" si="44"/>
        <v>0.10327868608043878</v>
      </c>
      <c r="GN60" s="9">
        <f t="shared" ca="1" si="44"/>
        <v>0.13011039815312397</v>
      </c>
      <c r="GO60" s="9">
        <f t="shared" ca="1" si="44"/>
        <v>1.8766558664206623E-2</v>
      </c>
      <c r="GP60" s="9">
        <f t="shared" ca="1" si="44"/>
        <v>0.11203384604185063</v>
      </c>
      <c r="GQ60" s="9">
        <f t="shared" ca="1" si="44"/>
        <v>9.0906736965740809E-2</v>
      </c>
      <c r="GR60" s="9">
        <f t="shared" ca="1" si="44"/>
        <v>7.5194358447052467E-2</v>
      </c>
      <c r="GS60" s="9">
        <f t="shared" ca="1" si="44"/>
        <v>7.2245433609569698E-2</v>
      </c>
      <c r="GT60" s="9">
        <f t="shared" ca="1" si="44"/>
        <v>3.6468959719109906E-2</v>
      </c>
      <c r="GU60" s="9">
        <f t="shared" ca="1" si="44"/>
        <v>1.1454662765536194E-2</v>
      </c>
      <c r="GV60" s="9" t="str">
        <f t="shared" ca="1" si="44"/>
        <v/>
      </c>
      <c r="GW60" s="9" t="str">
        <f t="shared" ca="1" si="44"/>
        <v/>
      </c>
      <c r="GX60" s="9" t="str">
        <f t="shared" ca="1" si="44"/>
        <v/>
      </c>
      <c r="GY60" s="9" t="str">
        <f t="shared" ca="1" si="44"/>
        <v/>
      </c>
      <c r="GZ60" s="9" t="str">
        <f t="shared" ca="1" si="44"/>
        <v/>
      </c>
      <c r="HA60" s="9" t="str">
        <f t="shared" ca="1" si="44"/>
        <v/>
      </c>
      <c r="HB60" s="9" t="str">
        <f t="shared" ca="1" si="44"/>
        <v/>
      </c>
      <c r="HC60" s="9" t="str">
        <f t="shared" ca="1" si="44"/>
        <v/>
      </c>
      <c r="HD60" s="9" t="str">
        <f t="shared" ca="1" si="44"/>
        <v/>
      </c>
      <c r="HE60" s="9" t="str">
        <f t="shared" ca="1" si="44"/>
        <v/>
      </c>
      <c r="HF60" s="9" t="str">
        <f t="shared" ca="1" si="44"/>
        <v/>
      </c>
      <c r="HG60" s="9" t="str">
        <f t="shared" ca="1" si="44"/>
        <v/>
      </c>
      <c r="HH60" s="9" t="str">
        <f t="shared" ca="1" si="44"/>
        <v/>
      </c>
      <c r="HI60" s="9" t="str">
        <f t="shared" ca="1" si="44"/>
        <v/>
      </c>
      <c r="HJ60" s="9" t="str">
        <f t="shared" ca="1" si="44"/>
        <v/>
      </c>
      <c r="HK60" s="9" t="str">
        <f t="shared" ca="1" si="44"/>
        <v/>
      </c>
      <c r="HL60" s="9" t="str">
        <f t="shared" ca="1" si="44"/>
        <v/>
      </c>
      <c r="HM60" s="9" t="str">
        <f t="shared" ca="1" si="44"/>
        <v/>
      </c>
      <c r="HN60" s="9" t="str">
        <f t="shared" ca="1" si="44"/>
        <v/>
      </c>
      <c r="HO60" s="9" t="str">
        <f t="shared" ca="1" si="44"/>
        <v/>
      </c>
      <c r="HP60" s="9" t="str">
        <f t="shared" ca="1" si="44"/>
        <v/>
      </c>
      <c r="HQ60" s="9" t="str">
        <f t="shared" ca="1" si="44"/>
        <v/>
      </c>
      <c r="HR60" s="9" t="str">
        <f t="shared" ca="1" si="44"/>
        <v/>
      </c>
      <c r="HS60" s="9" t="str">
        <f t="shared" ca="1" si="44"/>
        <v/>
      </c>
      <c r="HT60" s="9" t="str">
        <f t="shared" ca="1" si="44"/>
        <v/>
      </c>
      <c r="HU60" s="9" t="str">
        <f t="shared" ca="1" si="44"/>
        <v/>
      </c>
      <c r="HV60" s="9" t="str">
        <f t="shared" ca="1" si="44"/>
        <v/>
      </c>
      <c r="HW60" s="9" t="str">
        <f t="shared" ca="1" si="44"/>
        <v/>
      </c>
      <c r="HX60" s="9" t="str">
        <f t="shared" ca="1" si="44"/>
        <v/>
      </c>
      <c r="HY60" s="9" t="str">
        <f t="shared" ca="1" si="44"/>
        <v/>
      </c>
      <c r="HZ60" s="9" t="str">
        <f t="shared" ca="1" si="44"/>
        <v/>
      </c>
      <c r="IA60" s="9" t="str">
        <f t="shared" ca="1" si="44"/>
        <v/>
      </c>
      <c r="IB60" s="9" t="str">
        <f t="shared" ca="1" si="44"/>
        <v/>
      </c>
      <c r="IC60" s="9" t="str">
        <f t="shared" ca="1" si="44"/>
        <v/>
      </c>
      <c r="ID60" s="9" t="str">
        <f t="shared" ca="1" si="44"/>
        <v/>
      </c>
      <c r="IE60" s="9" t="str">
        <f t="shared" ca="1" si="44"/>
        <v/>
      </c>
      <c r="IF60" s="9" t="str">
        <f t="shared" ca="1" si="44"/>
        <v/>
      </c>
      <c r="IG60" s="9" t="str">
        <f t="shared" ca="1" si="44"/>
        <v/>
      </c>
      <c r="IH60" s="9" t="str">
        <f t="shared" ca="1" si="44"/>
        <v/>
      </c>
      <c r="II60" s="9" t="str">
        <f t="shared" ca="1" si="44"/>
        <v/>
      </c>
      <c r="IJ60" s="9" t="str">
        <f t="shared" ca="1" si="44"/>
        <v/>
      </c>
      <c r="IK60" s="9" t="str">
        <f t="shared" ca="1" si="44"/>
        <v/>
      </c>
      <c r="IL60" s="9" t="str">
        <f t="shared" ca="1" si="44"/>
        <v/>
      </c>
      <c r="IM60" s="9" t="str">
        <f t="shared" ca="1" si="44"/>
        <v/>
      </c>
      <c r="IN60" s="9" t="str">
        <f t="shared" ca="1" si="44"/>
        <v/>
      </c>
      <c r="IO60" s="9" t="str">
        <f t="shared" ca="1" si="44"/>
        <v/>
      </c>
      <c r="IP60" s="9" t="str">
        <f t="shared" ca="1" si="44"/>
        <v/>
      </c>
      <c r="IQ60" s="9" t="str">
        <f t="shared" ca="1" si="44"/>
        <v/>
      </c>
      <c r="IR60" s="9" t="str">
        <f t="shared" ca="1" si="44"/>
        <v/>
      </c>
      <c r="IS60" s="9" t="str">
        <f t="shared" ca="1" si="44"/>
        <v/>
      </c>
      <c r="IT60" s="9" t="str">
        <f t="shared" ca="1" si="44"/>
        <v/>
      </c>
      <c r="IU60" s="9" t="str">
        <f t="shared" ca="1" si="44"/>
        <v/>
      </c>
      <c r="IV60" s="9" t="str">
        <f t="shared" ca="1" si="44"/>
        <v/>
      </c>
      <c r="IW60" s="9" t="str">
        <f t="shared" ca="1" si="44"/>
        <v/>
      </c>
      <c r="IX60" s="9" t="str">
        <f t="shared" ref="IX60:JH60" ca="1" si="45">IF(IX33="","",ABS(IX33))</f>
        <v/>
      </c>
      <c r="IY60" s="9" t="str">
        <f t="shared" ca="1" si="45"/>
        <v/>
      </c>
      <c r="IZ60" s="9" t="str">
        <f t="shared" ca="1" si="45"/>
        <v/>
      </c>
      <c r="JA60" s="9" t="str">
        <f t="shared" ca="1" si="45"/>
        <v/>
      </c>
      <c r="JB60" s="9" t="str">
        <f t="shared" ca="1" si="45"/>
        <v/>
      </c>
      <c r="JC60" s="9" t="str">
        <f t="shared" ca="1" si="45"/>
        <v/>
      </c>
      <c r="JD60" s="9" t="str">
        <f t="shared" ca="1" si="45"/>
        <v/>
      </c>
      <c r="JE60" s="9" t="str">
        <f t="shared" ca="1" si="45"/>
        <v/>
      </c>
      <c r="JF60" s="9" t="str">
        <f t="shared" ca="1" si="45"/>
        <v/>
      </c>
      <c r="JG60" s="9" t="str">
        <f t="shared" ca="1" si="45"/>
        <v/>
      </c>
      <c r="JH60" s="9" t="str">
        <f t="shared" ca="1" si="45"/>
        <v/>
      </c>
      <c r="JI60" s="13">
        <f t="shared" ca="1" si="25"/>
        <v>5.0844857498315604E-2</v>
      </c>
      <c r="JJ60" s="13">
        <f t="shared" ca="1" si="26"/>
        <v>4.3927464941004857E-2</v>
      </c>
      <c r="JK60" s="14">
        <f t="shared" ca="1" si="27"/>
        <v>1.2710616953228327E-3</v>
      </c>
      <c r="JL60" s="17">
        <f t="shared" ca="1" si="35"/>
        <v>3.5651952195115945E-2</v>
      </c>
      <c r="JM60" s="15" t="str">
        <f t="shared" ca="1" si="28"/>
        <v>[ -2,05% ; 12,21% ]</v>
      </c>
      <c r="JN60" s="17">
        <f t="shared" ca="1" si="29"/>
        <v>4.563449880974841E-2</v>
      </c>
      <c r="LY60" s="1"/>
    </row>
    <row r="61" spans="1:337" x14ac:dyDescent="0.25">
      <c r="A61" s="4">
        <v>5</v>
      </c>
      <c r="B61" s="9">
        <f t="shared" ref="B61:BM61" ca="1" si="46">IF(B34="","",ABS(B34))</f>
        <v>6.9020391983323215E-3</v>
      </c>
      <c r="C61" s="9">
        <f t="shared" ca="1" si="46"/>
        <v>8.0860986071764618E-3</v>
      </c>
      <c r="D61" s="9">
        <f t="shared" ca="1" si="46"/>
        <v>1.5967280580646559E-2</v>
      </c>
      <c r="E61" s="9">
        <f t="shared" ca="1" si="46"/>
        <v>2.0898517802079519E-2</v>
      </c>
      <c r="F61" s="9">
        <f t="shared" ca="1" si="46"/>
        <v>5.9658431300740444E-2</v>
      </c>
      <c r="G61" s="9">
        <f t="shared" ca="1" si="46"/>
        <v>4.8229282060360257E-2</v>
      </c>
      <c r="H61" s="9">
        <f t="shared" ca="1" si="46"/>
        <v>1.6375223419224927E-2</v>
      </c>
      <c r="I61" s="9">
        <f t="shared" ca="1" si="46"/>
        <v>1.4233760990757682E-2</v>
      </c>
      <c r="J61" s="9">
        <f t="shared" ca="1" si="46"/>
        <v>5.9793973060500161E-3</v>
      </c>
      <c r="K61" s="9">
        <f t="shared" ca="1" si="46"/>
        <v>9.6248539250625154E-3</v>
      </c>
      <c r="L61" s="9">
        <f t="shared" ca="1" si="46"/>
        <v>9.0209453953506991E-3</v>
      </c>
      <c r="M61" s="9">
        <f t="shared" ca="1" si="46"/>
        <v>1.7542025338778799E-2</v>
      </c>
      <c r="N61" s="9">
        <f t="shared" ca="1" si="46"/>
        <v>6.5034341174414756E-3</v>
      </c>
      <c r="O61" s="9">
        <f t="shared" ca="1" si="46"/>
        <v>3.105302879729499E-2</v>
      </c>
      <c r="P61" s="9">
        <f t="shared" ca="1" si="46"/>
        <v>5.9644659379056719E-3</v>
      </c>
      <c r="Q61" s="9">
        <f t="shared" ca="1" si="46"/>
        <v>1.8803561561692161E-3</v>
      </c>
      <c r="R61" s="9">
        <f t="shared" ca="1" si="46"/>
        <v>3.6967471152000719E-3</v>
      </c>
      <c r="S61" s="9">
        <f t="shared" ca="1" si="46"/>
        <v>3.9322081304016265E-4</v>
      </c>
      <c r="T61" s="9">
        <f t="shared" ca="1" si="46"/>
        <v>6.1071157447691871E-3</v>
      </c>
      <c r="U61" s="9">
        <f t="shared" ca="1" si="46"/>
        <v>2.3743688247995998E-2</v>
      </c>
      <c r="V61" s="9">
        <f t="shared" ca="1" si="46"/>
        <v>2.5247374732042083E-2</v>
      </c>
      <c r="W61" s="9">
        <f t="shared" ca="1" si="46"/>
        <v>2.8051179482460276E-2</v>
      </c>
      <c r="X61" s="9">
        <f t="shared" ca="1" si="46"/>
        <v>4.6303926443473475E-2</v>
      </c>
      <c r="Y61" s="9">
        <f t="shared" ca="1" si="46"/>
        <v>4.6550846761335807E-2</v>
      </c>
      <c r="Z61" s="9">
        <f t="shared" ca="1" si="46"/>
        <v>2.5545703180816837E-2</v>
      </c>
      <c r="AA61" s="9">
        <f t="shared" ca="1" si="46"/>
        <v>2.0739680579533237E-2</v>
      </c>
      <c r="AB61" s="9">
        <f t="shared" ca="1" si="46"/>
        <v>1.0553597094227429E-2</v>
      </c>
      <c r="AC61" s="9">
        <f t="shared" ca="1" si="46"/>
        <v>4.4176403459731395E-3</v>
      </c>
      <c r="AD61" s="9">
        <f t="shared" ca="1" si="46"/>
        <v>1.0344657568717053E-2</v>
      </c>
      <c r="AE61" s="9">
        <f t="shared" ca="1" si="46"/>
        <v>1.8446053885832203E-3</v>
      </c>
      <c r="AF61" s="9">
        <f t="shared" ca="1" si="46"/>
        <v>1.5599712676933386E-2</v>
      </c>
      <c r="AG61" s="9">
        <f t="shared" ca="1" si="46"/>
        <v>4.2393405375347193E-2</v>
      </c>
      <c r="AH61" s="9">
        <f t="shared" ca="1" si="46"/>
        <v>4.5180761861033147E-2</v>
      </c>
      <c r="AI61" s="9">
        <f t="shared" ca="1" si="46"/>
        <v>4.9138134792165111E-2</v>
      </c>
      <c r="AJ61" s="9">
        <f t="shared" ca="1" si="46"/>
        <v>4.5276502876650637E-2</v>
      </c>
      <c r="AK61" s="9">
        <f t="shared" ca="1" si="46"/>
        <v>1.336275360681527E-2</v>
      </c>
      <c r="AL61" s="9">
        <f t="shared" ca="1" si="46"/>
        <v>1.2132707491186334E-2</v>
      </c>
      <c r="AM61" s="9">
        <f t="shared" ca="1" si="46"/>
        <v>3.3197164075738805E-2</v>
      </c>
      <c r="AN61" s="9">
        <f t="shared" ca="1" si="46"/>
        <v>5.8297612261994036E-2</v>
      </c>
      <c r="AO61" s="9">
        <f t="shared" ca="1" si="46"/>
        <v>7.0547075589881825E-2</v>
      </c>
      <c r="AP61" s="9">
        <f t="shared" ca="1" si="46"/>
        <v>5.1751512149757595E-2</v>
      </c>
      <c r="AQ61" s="9">
        <f t="shared" ca="1" si="46"/>
        <v>4.1937115233753319E-2</v>
      </c>
      <c r="AR61" s="9">
        <f t="shared" ca="1" si="46"/>
        <v>3.2463276108147476E-2</v>
      </c>
      <c r="AS61" s="9">
        <f t="shared" ca="1" si="46"/>
        <v>5.1100201065202855E-3</v>
      </c>
      <c r="AT61" s="9">
        <f t="shared" ca="1" si="46"/>
        <v>1.7256210804056482E-2</v>
      </c>
      <c r="AU61" s="9">
        <f t="shared" ca="1" si="46"/>
        <v>5.3734281951330343E-2</v>
      </c>
      <c r="AV61" s="9">
        <f t="shared" ca="1" si="46"/>
        <v>6.7589125494891267E-2</v>
      </c>
      <c r="AW61" s="9">
        <f t="shared" ca="1" si="46"/>
        <v>9.6995135974428326E-2</v>
      </c>
      <c r="AX61" s="9">
        <f t="shared" ca="1" si="46"/>
        <v>0.14132278276603039</v>
      </c>
      <c r="AY61" s="9">
        <f t="shared" ca="1" si="46"/>
        <v>0.14293831771094001</v>
      </c>
      <c r="AZ61" s="9">
        <f t="shared" ca="1" si="46"/>
        <v>0.13535309852023203</v>
      </c>
      <c r="BA61" s="9">
        <f t="shared" ca="1" si="46"/>
        <v>0.15267775993969801</v>
      </c>
      <c r="BB61" s="9">
        <f t="shared" ca="1" si="46"/>
        <v>0.1315204682957446</v>
      </c>
      <c r="BC61" s="9">
        <f t="shared" ca="1" si="46"/>
        <v>0.1716631718563959</v>
      </c>
      <c r="BD61" s="9">
        <f t="shared" ca="1" si="46"/>
        <v>0.17486471876305731</v>
      </c>
      <c r="BE61" s="9">
        <f t="shared" ca="1" si="46"/>
        <v>0.15099397965956929</v>
      </c>
      <c r="BF61" s="9">
        <f t="shared" ca="1" si="46"/>
        <v>0.13500463401638763</v>
      </c>
      <c r="BG61" s="9">
        <f t="shared" ca="1" si="46"/>
        <v>0.16585609061050233</v>
      </c>
      <c r="BH61" s="9">
        <f t="shared" ca="1" si="46"/>
        <v>9.1302087912522145E-2</v>
      </c>
      <c r="BI61" s="9">
        <f t="shared" ca="1" si="46"/>
        <v>4.6884608223723423E-2</v>
      </c>
      <c r="BJ61" s="9">
        <f t="shared" ca="1" si="46"/>
        <v>2.0084964922280291E-2</v>
      </c>
      <c r="BK61" s="9">
        <f t="shared" ca="1" si="46"/>
        <v>2.0688739087290964E-2</v>
      </c>
      <c r="BL61" s="9">
        <f t="shared" ca="1" si="46"/>
        <v>9.5833759973119603E-2</v>
      </c>
      <c r="BM61" s="9">
        <f t="shared" ca="1" si="46"/>
        <v>0.15777475860114087</v>
      </c>
      <c r="BN61" s="9">
        <f t="shared" ref="BN61:DY61" ca="1" si="47">IF(BN34="","",ABS(BN34))</f>
        <v>0.19492281631930686</v>
      </c>
      <c r="BO61" s="9">
        <f t="shared" ca="1" si="47"/>
        <v>0.12642691588343591</v>
      </c>
      <c r="BP61" s="9">
        <f t="shared" ca="1" si="47"/>
        <v>9.0048690254677766E-2</v>
      </c>
      <c r="BQ61" s="9">
        <f t="shared" ca="1" si="47"/>
        <v>7.5022610349555485E-3</v>
      </c>
      <c r="BR61" s="9">
        <f t="shared" ca="1" si="47"/>
        <v>2.4460981118503478E-2</v>
      </c>
      <c r="BS61" s="9">
        <f t="shared" ca="1" si="47"/>
        <v>1.9622776887060489E-2</v>
      </c>
      <c r="BT61" s="9">
        <f t="shared" ca="1" si="47"/>
        <v>6.1744283860118321E-2</v>
      </c>
      <c r="BU61" s="9">
        <f t="shared" ca="1" si="47"/>
        <v>4.5225531685610942E-4</v>
      </c>
      <c r="BV61" s="9">
        <f t="shared" ca="1" si="47"/>
        <v>1.7703107068623769E-2</v>
      </c>
      <c r="BW61" s="9">
        <f t="shared" ca="1" si="47"/>
        <v>1.7975442741750225E-2</v>
      </c>
      <c r="BX61" s="9">
        <f t="shared" ca="1" si="47"/>
        <v>3.7044339309451502E-2</v>
      </c>
      <c r="BY61" s="9">
        <f t="shared" ca="1" si="47"/>
        <v>4.0228211641026634E-2</v>
      </c>
      <c r="BZ61" s="9">
        <f t="shared" ca="1" si="47"/>
        <v>6.0986175437810486E-2</v>
      </c>
      <c r="CA61" s="9">
        <f t="shared" ca="1" si="47"/>
        <v>2.5510929354738199E-2</v>
      </c>
      <c r="CB61" s="9">
        <f t="shared" ca="1" si="47"/>
        <v>1.0873036072625242E-2</v>
      </c>
      <c r="CC61" s="9">
        <f t="shared" ca="1" si="47"/>
        <v>9.7139066937228513E-3</v>
      </c>
      <c r="CD61" s="9">
        <f t="shared" ca="1" si="47"/>
        <v>1.3189835552045448E-2</v>
      </c>
      <c r="CE61" s="9">
        <f t="shared" ca="1" si="47"/>
        <v>1.0168101348047909E-2</v>
      </c>
      <c r="CF61" s="9">
        <f t="shared" ca="1" si="47"/>
        <v>2.4881352698960857E-2</v>
      </c>
      <c r="CG61" s="9">
        <f t="shared" ca="1" si="47"/>
        <v>4.0563704397733602E-2</v>
      </c>
      <c r="CH61" s="9">
        <f t="shared" ca="1" si="47"/>
        <v>8.0187647503290327E-3</v>
      </c>
      <c r="CI61" s="9">
        <f t="shared" ca="1" si="47"/>
        <v>1.3752284246015822E-3</v>
      </c>
      <c r="CJ61" s="9">
        <f t="shared" ca="1" si="47"/>
        <v>4.8574455161465302E-3</v>
      </c>
      <c r="CK61" s="9">
        <f t="shared" ca="1" si="47"/>
        <v>3.2150333599589298E-2</v>
      </c>
      <c r="CL61" s="9">
        <f t="shared" ca="1" si="47"/>
        <v>3.9985654956880667E-2</v>
      </c>
      <c r="CM61" s="9">
        <f t="shared" ca="1" si="47"/>
        <v>3.4375739804718863E-2</v>
      </c>
      <c r="CN61" s="9">
        <f t="shared" ca="1" si="47"/>
        <v>2.7617967640181096E-4</v>
      </c>
      <c r="CO61" s="9">
        <f t="shared" ca="1" si="47"/>
        <v>2.1767519310017081E-2</v>
      </c>
      <c r="CP61" s="9">
        <f t="shared" ca="1" si="47"/>
        <v>2.2869188699327747E-2</v>
      </c>
      <c r="CQ61" s="9">
        <f t="shared" ca="1" si="47"/>
        <v>1.7941126314564682E-2</v>
      </c>
      <c r="CR61" s="9">
        <f t="shared" ca="1" si="47"/>
        <v>9.2470784320630717E-3</v>
      </c>
      <c r="CS61" s="9">
        <f t="shared" ca="1" si="47"/>
        <v>2.4164231807796921E-2</v>
      </c>
      <c r="CT61" s="9">
        <f t="shared" ca="1" si="47"/>
        <v>6.1949064366830453E-2</v>
      </c>
      <c r="CU61" s="9">
        <f t="shared" ca="1" si="47"/>
        <v>3.5450112697429481E-2</v>
      </c>
      <c r="CV61" s="9">
        <f t="shared" ca="1" si="47"/>
        <v>3.1604836184565888E-2</v>
      </c>
      <c r="CW61" s="9">
        <f t="shared" ca="1" si="47"/>
        <v>1.6805097314782746E-2</v>
      </c>
      <c r="CX61" s="9">
        <f t="shared" ca="1" si="47"/>
        <v>3.8124618495334772E-2</v>
      </c>
      <c r="CY61" s="9">
        <f t="shared" ca="1" si="47"/>
        <v>1.4197239953753771E-2</v>
      </c>
      <c r="CZ61" s="9">
        <f t="shared" ca="1" si="47"/>
        <v>1.8368059004094106E-2</v>
      </c>
      <c r="DA61" s="9">
        <f t="shared" ca="1" si="47"/>
        <v>4.4290372570242376E-2</v>
      </c>
      <c r="DB61" s="9">
        <f t="shared" ca="1" si="47"/>
        <v>3.0640784696553292E-2</v>
      </c>
      <c r="DC61" s="9">
        <f t="shared" ca="1" si="47"/>
        <v>4.0290422771310785E-3</v>
      </c>
      <c r="DD61" s="9">
        <f t="shared" ca="1" si="47"/>
        <v>4.069063078359747E-2</v>
      </c>
      <c r="DE61" s="9">
        <f t="shared" ca="1" si="47"/>
        <v>8.4006655624045745E-2</v>
      </c>
      <c r="DF61" s="9">
        <f t="shared" ca="1" si="47"/>
        <v>5.4711827693400883E-2</v>
      </c>
      <c r="DG61" s="9">
        <f t="shared" ca="1" si="47"/>
        <v>7.5969993756999088E-2</v>
      </c>
      <c r="DH61" s="9">
        <f t="shared" ca="1" si="47"/>
        <v>4.3925339493510407E-2</v>
      </c>
      <c r="DI61" s="9">
        <f t="shared" ca="1" si="47"/>
        <v>4.6956474318732955E-2</v>
      </c>
      <c r="DJ61" s="9">
        <f t="shared" ca="1" si="47"/>
        <v>5.3011039411251293E-2</v>
      </c>
      <c r="DK61" s="9">
        <f t="shared" ca="1" si="47"/>
        <v>1.0976019607958021E-2</v>
      </c>
      <c r="DL61" s="9">
        <f t="shared" ca="1" si="47"/>
        <v>1.2204704840248493E-3</v>
      </c>
      <c r="DM61" s="9">
        <f t="shared" ca="1" si="47"/>
        <v>2.0778820938811116E-2</v>
      </c>
      <c r="DN61" s="9">
        <f t="shared" ca="1" si="47"/>
        <v>3.762901767678839E-2</v>
      </c>
      <c r="DO61" s="9">
        <f t="shared" ca="1" si="47"/>
        <v>1.2791629283868122E-3</v>
      </c>
      <c r="DP61" s="9">
        <f t="shared" ca="1" si="47"/>
        <v>3.6695572802484255E-2</v>
      </c>
      <c r="DQ61" s="9">
        <f t="shared" ca="1" si="47"/>
        <v>5.1683658332000171E-2</v>
      </c>
      <c r="DR61" s="9">
        <f t="shared" ca="1" si="47"/>
        <v>1.2448795681231362E-3</v>
      </c>
      <c r="DS61" s="9">
        <f t="shared" ca="1" si="47"/>
        <v>1.2562088285026918E-2</v>
      </c>
      <c r="DT61" s="9">
        <f t="shared" ca="1" si="47"/>
        <v>1.2180619781006596E-2</v>
      </c>
      <c r="DU61" s="9">
        <f t="shared" ca="1" si="47"/>
        <v>8.6979845673802458E-3</v>
      </c>
      <c r="DV61" s="9">
        <f t="shared" ca="1" si="47"/>
        <v>1.7043785932213673E-4</v>
      </c>
      <c r="DW61" s="9">
        <f t="shared" ca="1" si="47"/>
        <v>2.4943898870452119E-2</v>
      </c>
      <c r="DX61" s="9">
        <f t="shared" ca="1" si="47"/>
        <v>1.6381878495374425E-2</v>
      </c>
      <c r="DY61" s="9">
        <f t="shared" ca="1" si="47"/>
        <v>1.2119960513115258E-2</v>
      </c>
      <c r="DZ61" s="9">
        <f t="shared" ref="DZ61:GK61" ca="1" si="48">IF(DZ34="","",ABS(DZ34))</f>
        <v>3.1501427556764883E-3</v>
      </c>
      <c r="EA61" s="9">
        <f t="shared" ca="1" si="48"/>
        <v>9.8362250210428659E-3</v>
      </c>
      <c r="EB61" s="9">
        <f t="shared" ca="1" si="48"/>
        <v>2.3734443898304258E-2</v>
      </c>
      <c r="EC61" s="9">
        <f t="shared" ca="1" si="48"/>
        <v>1.7411977993974981E-2</v>
      </c>
      <c r="ED61" s="9">
        <f t="shared" ca="1" si="48"/>
        <v>3.8825488780571238E-2</v>
      </c>
      <c r="EE61" s="9">
        <f t="shared" ca="1" si="48"/>
        <v>3.911187274133443E-2</v>
      </c>
      <c r="EF61" s="9">
        <f t="shared" ca="1" si="48"/>
        <v>2.6089452684812109E-3</v>
      </c>
      <c r="EG61" s="9">
        <f t="shared" ca="1" si="48"/>
        <v>1.4458989563329805E-2</v>
      </c>
      <c r="EH61" s="9">
        <f t="shared" ca="1" si="48"/>
        <v>6.2767725354251902E-2</v>
      </c>
      <c r="EI61" s="9">
        <f t="shared" ca="1" si="48"/>
        <v>7.817162956009438E-2</v>
      </c>
      <c r="EJ61" s="9">
        <f t="shared" ca="1" si="48"/>
        <v>4.9727211791139814E-2</v>
      </c>
      <c r="EK61" s="9">
        <f t="shared" ca="1" si="48"/>
        <v>1.3391680121055405E-2</v>
      </c>
      <c r="EL61" s="9">
        <f t="shared" ca="1" si="48"/>
        <v>4.6980118355592904E-3</v>
      </c>
      <c r="EM61" s="9">
        <f t="shared" ca="1" si="48"/>
        <v>3.5161943375519034E-3</v>
      </c>
      <c r="EN61" s="9">
        <f t="shared" ca="1" si="48"/>
        <v>3.7647476927672896E-2</v>
      </c>
      <c r="EO61" s="9">
        <f t="shared" ca="1" si="48"/>
        <v>2.5132727289882473E-2</v>
      </c>
      <c r="EP61" s="9">
        <f t="shared" ca="1" si="48"/>
        <v>4.7983172749191283E-2</v>
      </c>
      <c r="EQ61" s="9">
        <f t="shared" ca="1" si="48"/>
        <v>5.2290486449661833E-2</v>
      </c>
      <c r="ER61" s="9">
        <f t="shared" ca="1" si="48"/>
        <v>5.125502170911922E-2</v>
      </c>
      <c r="ES61" s="9">
        <f t="shared" ca="1" si="48"/>
        <v>2.0821162710024987E-2</v>
      </c>
      <c r="ET61" s="9">
        <f t="shared" ca="1" si="48"/>
        <v>4.9479174832043338E-3</v>
      </c>
      <c r="EU61" s="9">
        <f t="shared" ca="1" si="48"/>
        <v>4.180945993241425E-2</v>
      </c>
      <c r="EV61" s="9">
        <f t="shared" ca="1" si="48"/>
        <v>6.2678216005742304E-2</v>
      </c>
      <c r="EW61" s="9">
        <f t="shared" ca="1" si="48"/>
        <v>2.9469667619681617E-2</v>
      </c>
      <c r="EX61" s="9">
        <f t="shared" ca="1" si="48"/>
        <v>6.5122941422485203E-3</v>
      </c>
      <c r="EY61" s="9">
        <f t="shared" ca="1" si="48"/>
        <v>1.1196599138323493E-2</v>
      </c>
      <c r="EZ61" s="9">
        <f t="shared" ca="1" si="48"/>
        <v>1.2081012402487268E-3</v>
      </c>
      <c r="FA61" s="9">
        <f t="shared" ca="1" si="48"/>
        <v>8.0458761350825636E-3</v>
      </c>
      <c r="FB61" s="9">
        <f t="shared" ca="1" si="48"/>
        <v>1.697631053379578E-2</v>
      </c>
      <c r="FC61" s="9">
        <f t="shared" ca="1" si="48"/>
        <v>1.0894948143055139E-2</v>
      </c>
      <c r="FD61" s="9">
        <f t="shared" ca="1" si="48"/>
        <v>2.4621774590519396E-2</v>
      </c>
      <c r="FE61" s="9">
        <f t="shared" ca="1" si="48"/>
        <v>2.0034101359134304E-2</v>
      </c>
      <c r="FF61" s="9">
        <f t="shared" ca="1" si="48"/>
        <v>5.6814839627270519E-3</v>
      </c>
      <c r="FG61" s="9">
        <f t="shared" ca="1" si="48"/>
        <v>4.2466326909670338E-2</v>
      </c>
      <c r="FH61" s="9">
        <f t="shared" ca="1" si="48"/>
        <v>2.9072350233864119E-2</v>
      </c>
      <c r="FI61" s="9">
        <f t="shared" ca="1" si="48"/>
        <v>3.6076655967802074E-2</v>
      </c>
      <c r="FJ61" s="9">
        <f t="shared" ca="1" si="48"/>
        <v>5.4122728713190682E-6</v>
      </c>
      <c r="FK61" s="9">
        <f t="shared" ca="1" si="48"/>
        <v>4.3224164084994854E-2</v>
      </c>
      <c r="FL61" s="9">
        <f t="shared" ca="1" si="48"/>
        <v>4.8583241351423556E-2</v>
      </c>
      <c r="FM61" s="9">
        <f t="shared" ca="1" si="48"/>
        <v>7.2954813871042967E-2</v>
      </c>
      <c r="FN61" s="9">
        <f t="shared" ca="1" si="48"/>
        <v>6.7860499849848877E-2</v>
      </c>
      <c r="FO61" s="9">
        <f t="shared" ca="1" si="48"/>
        <v>3.6031614955869706E-2</v>
      </c>
      <c r="FP61" s="9">
        <f t="shared" ca="1" si="48"/>
        <v>3.4823600470248572E-2</v>
      </c>
      <c r="FQ61" s="9">
        <f t="shared" ca="1" si="48"/>
        <v>2.377341074032524E-2</v>
      </c>
      <c r="FR61" s="9">
        <f t="shared" ca="1" si="48"/>
        <v>6.4528477902222603E-3</v>
      </c>
      <c r="FS61" s="9">
        <f t="shared" ca="1" si="48"/>
        <v>3.1068994300738728E-2</v>
      </c>
      <c r="FT61" s="9">
        <f t="shared" ca="1" si="48"/>
        <v>7.448540351623123E-2</v>
      </c>
      <c r="FU61" s="9">
        <f t="shared" ca="1" si="48"/>
        <v>7.9547575292602035E-2</v>
      </c>
      <c r="FV61" s="9">
        <f t="shared" ca="1" si="48"/>
        <v>8.405815248729831E-2</v>
      </c>
      <c r="FW61" s="9">
        <f t="shared" ca="1" si="48"/>
        <v>8.4022101563611562E-2</v>
      </c>
      <c r="FX61" s="9">
        <f t="shared" ca="1" si="48"/>
        <v>4.5308830291486357E-2</v>
      </c>
      <c r="FY61" s="9">
        <f t="shared" ca="1" si="48"/>
        <v>1.4052877101957906E-2</v>
      </c>
      <c r="FZ61" s="9">
        <f t="shared" ca="1" si="48"/>
        <v>7.4583937396059174E-2</v>
      </c>
      <c r="GA61" s="9">
        <f t="shared" ca="1" si="48"/>
        <v>7.861335893141852E-2</v>
      </c>
      <c r="GB61" s="9">
        <f t="shared" ca="1" si="48"/>
        <v>9.2958894755602484E-2</v>
      </c>
      <c r="GC61" s="9">
        <f t="shared" ca="1" si="48"/>
        <v>9.2083427361160264E-2</v>
      </c>
      <c r="GD61" s="9">
        <f t="shared" ca="1" si="48"/>
        <v>7.5730059334914612E-2</v>
      </c>
      <c r="GE61" s="9">
        <f t="shared" ca="1" si="48"/>
        <v>4.1655608626787632E-2</v>
      </c>
      <c r="GF61" s="9">
        <f t="shared" ca="1" si="48"/>
        <v>1.9898053636892121E-2</v>
      </c>
      <c r="GG61" s="9">
        <f t="shared" ca="1" si="48"/>
        <v>6.8648013847808498E-3</v>
      </c>
      <c r="GH61" s="9">
        <f t="shared" ca="1" si="48"/>
        <v>2.713642231801261E-3</v>
      </c>
      <c r="GI61" s="9">
        <f t="shared" ca="1" si="48"/>
        <v>3.9617792812115971E-2</v>
      </c>
      <c r="GJ61" s="9">
        <f t="shared" ca="1" si="48"/>
        <v>2.230246540409464E-2</v>
      </c>
      <c r="GK61" s="9">
        <f t="shared" ca="1" si="48"/>
        <v>9.9288620274190165E-2</v>
      </c>
      <c r="GL61" s="9">
        <f t="shared" ref="GL61:IW61" ca="1" si="49">IF(GL34="","",ABS(GL34))</f>
        <v>0.1076622241283679</v>
      </c>
      <c r="GM61" s="9">
        <f t="shared" ca="1" si="49"/>
        <v>9.2224668084431305E-2</v>
      </c>
      <c r="GN61" s="9">
        <f t="shared" ca="1" si="49"/>
        <v>0.12584948877144952</v>
      </c>
      <c r="GO61" s="9">
        <f t="shared" ca="1" si="49"/>
        <v>6.9691319537698027E-3</v>
      </c>
      <c r="GP61" s="9">
        <f t="shared" ca="1" si="49"/>
        <v>0.1560919014423765</v>
      </c>
      <c r="GQ61" s="9">
        <f t="shared" ca="1" si="49"/>
        <v>9.7677033543764669E-2</v>
      </c>
      <c r="GR61" s="9">
        <f t="shared" ca="1" si="49"/>
        <v>9.4720660280074975E-2</v>
      </c>
      <c r="GS61" s="9">
        <f t="shared" ca="1" si="49"/>
        <v>5.6309829745915918E-2</v>
      </c>
      <c r="GT61" s="9">
        <f t="shared" ca="1" si="49"/>
        <v>3.506928311790003E-2</v>
      </c>
      <c r="GU61" s="9" t="str">
        <f t="shared" ca="1" si="49"/>
        <v/>
      </c>
      <c r="GV61" s="9" t="str">
        <f t="shared" ca="1" si="49"/>
        <v/>
      </c>
      <c r="GW61" s="9" t="str">
        <f t="shared" ca="1" si="49"/>
        <v/>
      </c>
      <c r="GX61" s="9" t="str">
        <f t="shared" ca="1" si="49"/>
        <v/>
      </c>
      <c r="GY61" s="9" t="str">
        <f t="shared" ca="1" si="49"/>
        <v/>
      </c>
      <c r="GZ61" s="9" t="str">
        <f t="shared" ca="1" si="49"/>
        <v/>
      </c>
      <c r="HA61" s="9" t="str">
        <f t="shared" ca="1" si="49"/>
        <v/>
      </c>
      <c r="HB61" s="9" t="str">
        <f t="shared" ca="1" si="49"/>
        <v/>
      </c>
      <c r="HC61" s="9" t="str">
        <f t="shared" ca="1" si="49"/>
        <v/>
      </c>
      <c r="HD61" s="9" t="str">
        <f t="shared" ca="1" si="49"/>
        <v/>
      </c>
      <c r="HE61" s="9" t="str">
        <f t="shared" ca="1" si="49"/>
        <v/>
      </c>
      <c r="HF61" s="9" t="str">
        <f t="shared" ca="1" si="49"/>
        <v/>
      </c>
      <c r="HG61" s="9" t="str">
        <f t="shared" ca="1" si="49"/>
        <v/>
      </c>
      <c r="HH61" s="9" t="str">
        <f t="shared" ca="1" si="49"/>
        <v/>
      </c>
      <c r="HI61" s="9" t="str">
        <f t="shared" ca="1" si="49"/>
        <v/>
      </c>
      <c r="HJ61" s="9" t="str">
        <f t="shared" ca="1" si="49"/>
        <v/>
      </c>
      <c r="HK61" s="9" t="str">
        <f t="shared" ca="1" si="49"/>
        <v/>
      </c>
      <c r="HL61" s="9" t="str">
        <f t="shared" ca="1" si="49"/>
        <v/>
      </c>
      <c r="HM61" s="9" t="str">
        <f t="shared" ca="1" si="49"/>
        <v/>
      </c>
      <c r="HN61" s="9" t="str">
        <f t="shared" ca="1" si="49"/>
        <v/>
      </c>
      <c r="HO61" s="9" t="str">
        <f t="shared" ca="1" si="49"/>
        <v/>
      </c>
      <c r="HP61" s="9" t="str">
        <f t="shared" ca="1" si="49"/>
        <v/>
      </c>
      <c r="HQ61" s="9" t="str">
        <f t="shared" ca="1" si="49"/>
        <v/>
      </c>
      <c r="HR61" s="9" t="str">
        <f t="shared" ca="1" si="49"/>
        <v/>
      </c>
      <c r="HS61" s="9" t="str">
        <f t="shared" ca="1" si="49"/>
        <v/>
      </c>
      <c r="HT61" s="9" t="str">
        <f t="shared" ca="1" si="49"/>
        <v/>
      </c>
      <c r="HU61" s="9" t="str">
        <f t="shared" ca="1" si="49"/>
        <v/>
      </c>
      <c r="HV61" s="9" t="str">
        <f t="shared" ca="1" si="49"/>
        <v/>
      </c>
      <c r="HW61" s="9" t="str">
        <f t="shared" ca="1" si="49"/>
        <v/>
      </c>
      <c r="HX61" s="9" t="str">
        <f t="shared" ca="1" si="49"/>
        <v/>
      </c>
      <c r="HY61" s="9" t="str">
        <f t="shared" ca="1" si="49"/>
        <v/>
      </c>
      <c r="HZ61" s="9" t="str">
        <f t="shared" ca="1" si="49"/>
        <v/>
      </c>
      <c r="IA61" s="9" t="str">
        <f t="shared" ca="1" si="49"/>
        <v/>
      </c>
      <c r="IB61" s="9" t="str">
        <f t="shared" ca="1" si="49"/>
        <v/>
      </c>
      <c r="IC61" s="9" t="str">
        <f t="shared" ca="1" si="49"/>
        <v/>
      </c>
      <c r="ID61" s="9" t="str">
        <f t="shared" ca="1" si="49"/>
        <v/>
      </c>
      <c r="IE61" s="9" t="str">
        <f t="shared" ca="1" si="49"/>
        <v/>
      </c>
      <c r="IF61" s="9" t="str">
        <f t="shared" ca="1" si="49"/>
        <v/>
      </c>
      <c r="IG61" s="9" t="str">
        <f t="shared" ca="1" si="49"/>
        <v/>
      </c>
      <c r="IH61" s="9" t="str">
        <f t="shared" ca="1" si="49"/>
        <v/>
      </c>
      <c r="II61" s="9" t="str">
        <f t="shared" ca="1" si="49"/>
        <v/>
      </c>
      <c r="IJ61" s="9" t="str">
        <f t="shared" ca="1" si="49"/>
        <v/>
      </c>
      <c r="IK61" s="9" t="str">
        <f t="shared" ca="1" si="49"/>
        <v/>
      </c>
      <c r="IL61" s="9" t="str">
        <f t="shared" ca="1" si="49"/>
        <v/>
      </c>
      <c r="IM61" s="9" t="str">
        <f t="shared" ca="1" si="49"/>
        <v/>
      </c>
      <c r="IN61" s="9" t="str">
        <f t="shared" ca="1" si="49"/>
        <v/>
      </c>
      <c r="IO61" s="9" t="str">
        <f t="shared" ca="1" si="49"/>
        <v/>
      </c>
      <c r="IP61" s="9" t="str">
        <f t="shared" ca="1" si="49"/>
        <v/>
      </c>
      <c r="IQ61" s="9" t="str">
        <f t="shared" ca="1" si="49"/>
        <v/>
      </c>
      <c r="IR61" s="9" t="str">
        <f t="shared" ca="1" si="49"/>
        <v/>
      </c>
      <c r="IS61" s="9" t="str">
        <f t="shared" ca="1" si="49"/>
        <v/>
      </c>
      <c r="IT61" s="9" t="str">
        <f t="shared" ca="1" si="49"/>
        <v/>
      </c>
      <c r="IU61" s="9" t="str">
        <f t="shared" ca="1" si="49"/>
        <v/>
      </c>
      <c r="IV61" s="9" t="str">
        <f t="shared" ca="1" si="49"/>
        <v/>
      </c>
      <c r="IW61" s="9" t="str">
        <f t="shared" ca="1" si="49"/>
        <v/>
      </c>
      <c r="IX61" s="9" t="str">
        <f t="shared" ref="IX61:JH61" ca="1" si="50">IF(IX34="","",ABS(IX34))</f>
        <v/>
      </c>
      <c r="IY61" s="9" t="str">
        <f t="shared" ca="1" si="50"/>
        <v/>
      </c>
      <c r="IZ61" s="9" t="str">
        <f t="shared" ca="1" si="50"/>
        <v/>
      </c>
      <c r="JA61" s="9" t="str">
        <f t="shared" ca="1" si="50"/>
        <v/>
      </c>
      <c r="JB61" s="9" t="str">
        <f t="shared" ca="1" si="50"/>
        <v/>
      </c>
      <c r="JC61" s="9" t="str">
        <f t="shared" ca="1" si="50"/>
        <v/>
      </c>
      <c r="JD61" s="9" t="str">
        <f t="shared" ca="1" si="50"/>
        <v/>
      </c>
      <c r="JE61" s="9" t="str">
        <f t="shared" ca="1" si="50"/>
        <v/>
      </c>
      <c r="JF61" s="9" t="str">
        <f t="shared" ca="1" si="50"/>
        <v/>
      </c>
      <c r="JG61" s="9" t="str">
        <f t="shared" ca="1" si="50"/>
        <v/>
      </c>
      <c r="JH61" s="9" t="str">
        <f t="shared" ca="1" si="50"/>
        <v/>
      </c>
      <c r="JI61" s="13">
        <f t="shared" ca="1" si="25"/>
        <v>6.2055169210078066E-2</v>
      </c>
      <c r="JJ61" s="13">
        <f t="shared" ca="1" si="26"/>
        <v>7.4534670456145202E-2</v>
      </c>
      <c r="JK61" s="14">
        <f t="shared" ca="1" si="27"/>
        <v>1.542308829316811E-3</v>
      </c>
      <c r="JL61" s="17">
        <f t="shared" ca="1" si="35"/>
        <v>3.9272239932512269E-2</v>
      </c>
      <c r="JM61" s="15" t="str">
        <f t="shared" ca="1" si="28"/>
        <v>[ -1,65% ; 14,06% ]</v>
      </c>
      <c r="JN61" s="17">
        <f t="shared" ca="1" si="29"/>
        <v>5.0268467113615704E-2</v>
      </c>
      <c r="LY61" s="1"/>
    </row>
    <row r="62" spans="1:337" x14ac:dyDescent="0.25">
      <c r="A62" s="4">
        <v>6</v>
      </c>
      <c r="B62" s="9">
        <f t="shared" ref="B62:BM62" ca="1" si="51">IF(B35="","",ABS(B35))</f>
        <v>2.0746948878541671E-2</v>
      </c>
      <c r="C62" s="9">
        <f t="shared" ca="1" si="51"/>
        <v>1.9091752062242673E-2</v>
      </c>
      <c r="D62" s="9">
        <f t="shared" ca="1" si="51"/>
        <v>1.009377869824557E-2</v>
      </c>
      <c r="E62" s="9">
        <f t="shared" ca="1" si="51"/>
        <v>2.5589784674234117E-2</v>
      </c>
      <c r="F62" s="9">
        <f t="shared" ca="1" si="51"/>
        <v>6.5196962583592644E-2</v>
      </c>
      <c r="G62" s="9">
        <f t="shared" ca="1" si="51"/>
        <v>3.8008327047743817E-2</v>
      </c>
      <c r="H62" s="9">
        <f t="shared" ca="1" si="51"/>
        <v>2.0983345570011691E-2</v>
      </c>
      <c r="I62" s="9">
        <f t="shared" ca="1" si="51"/>
        <v>5.075653271047198E-5</v>
      </c>
      <c r="J62" s="9">
        <f t="shared" ca="1" si="51"/>
        <v>1.264058208186869E-4</v>
      </c>
      <c r="K62" s="9">
        <f t="shared" ca="1" si="51"/>
        <v>9.4037535312730958E-3</v>
      </c>
      <c r="L62" s="9">
        <f t="shared" ca="1" si="51"/>
        <v>2.3183953459004036E-2</v>
      </c>
      <c r="M62" s="9">
        <f t="shared" ca="1" si="51"/>
        <v>9.7910242229082289E-3</v>
      </c>
      <c r="N62" s="9">
        <f t="shared" ca="1" si="51"/>
        <v>1.5648527600902185E-2</v>
      </c>
      <c r="O62" s="9">
        <f t="shared" ca="1" si="51"/>
        <v>1.4701552705288945E-2</v>
      </c>
      <c r="P62" s="9">
        <f t="shared" ca="1" si="51"/>
        <v>1.1134108968781975E-2</v>
      </c>
      <c r="Q62" s="9">
        <f t="shared" ca="1" si="51"/>
        <v>3.5605761559358573E-3</v>
      </c>
      <c r="R62" s="9">
        <f t="shared" ca="1" si="51"/>
        <v>1.1399466233121824E-3</v>
      </c>
      <c r="S62" s="9">
        <f t="shared" ca="1" si="51"/>
        <v>2.305274658562384E-2</v>
      </c>
      <c r="T62" s="9">
        <f t="shared" ca="1" si="51"/>
        <v>1.1828687574089614E-2</v>
      </c>
      <c r="U62" s="9">
        <f t="shared" ca="1" si="51"/>
        <v>2.2446140395704361E-2</v>
      </c>
      <c r="V62" s="9">
        <f t="shared" ca="1" si="51"/>
        <v>3.0758420000682296E-2</v>
      </c>
      <c r="W62" s="9">
        <f t="shared" ca="1" si="51"/>
        <v>3.9947306485372369E-2</v>
      </c>
      <c r="X62" s="9">
        <f t="shared" ca="1" si="51"/>
        <v>5.5724636364073987E-2</v>
      </c>
      <c r="Y62" s="9">
        <f t="shared" ca="1" si="51"/>
        <v>3.3647472977515136E-2</v>
      </c>
      <c r="Z62" s="9">
        <f t="shared" ca="1" si="51"/>
        <v>2.9406507880487487E-2</v>
      </c>
      <c r="AA62" s="9">
        <f t="shared" ca="1" si="51"/>
        <v>1.3414626044094824E-2</v>
      </c>
      <c r="AB62" s="9">
        <f t="shared" ca="1" si="51"/>
        <v>1.2507679599994326E-2</v>
      </c>
      <c r="AC62" s="9">
        <f t="shared" ca="1" si="51"/>
        <v>6.1265189864239122E-3</v>
      </c>
      <c r="AD62" s="9">
        <f t="shared" ca="1" si="51"/>
        <v>8.2348679033694694E-4</v>
      </c>
      <c r="AE62" s="9">
        <f t="shared" ca="1" si="51"/>
        <v>1.4790791092932576E-2</v>
      </c>
      <c r="AF62" s="9">
        <f t="shared" ca="1" si="51"/>
        <v>3.9614286910621521E-2</v>
      </c>
      <c r="AG62" s="9">
        <f t="shared" ca="1" si="51"/>
        <v>4.308682080827464E-2</v>
      </c>
      <c r="AH62" s="9">
        <f t="shared" ca="1" si="51"/>
        <v>4.7364391572067399E-2</v>
      </c>
      <c r="AI62" s="9">
        <f t="shared" ca="1" si="51"/>
        <v>5.328644062062815E-2</v>
      </c>
      <c r="AJ62" s="9">
        <f t="shared" ca="1" si="51"/>
        <v>2.3183835724236213E-2</v>
      </c>
      <c r="AK62" s="9">
        <f t="shared" ca="1" si="51"/>
        <v>7.1829516849484243E-3</v>
      </c>
      <c r="AL62" s="9">
        <f t="shared" ca="1" si="51"/>
        <v>2.2883461848409947E-2</v>
      </c>
      <c r="AM62" s="9">
        <f t="shared" ca="1" si="51"/>
        <v>5.5597733785612169E-2</v>
      </c>
      <c r="AN62" s="9">
        <f t="shared" ca="1" si="51"/>
        <v>6.7612151984400404E-2</v>
      </c>
      <c r="AO62" s="9">
        <f t="shared" ca="1" si="51"/>
        <v>6.8103733031314007E-2</v>
      </c>
      <c r="AP62" s="9">
        <f t="shared" ca="1" si="51"/>
        <v>5.0702928020968208E-2</v>
      </c>
      <c r="AQ62" s="9">
        <f t="shared" ca="1" si="51"/>
        <v>4.4243519526917185E-2</v>
      </c>
      <c r="AR62" s="9">
        <f t="shared" ca="1" si="51"/>
        <v>1.9604224964506312E-2</v>
      </c>
      <c r="AS62" s="9">
        <f t="shared" ca="1" si="51"/>
        <v>2.9144690826180986E-2</v>
      </c>
      <c r="AT62" s="9">
        <f t="shared" ca="1" si="51"/>
        <v>5.3553733838592743E-2</v>
      </c>
      <c r="AU62" s="9">
        <f t="shared" ca="1" si="51"/>
        <v>6.2996879406310047E-2</v>
      </c>
      <c r="AV62" s="9">
        <f t="shared" ca="1" si="51"/>
        <v>0.10319408791551665</v>
      </c>
      <c r="AW62" s="9">
        <f t="shared" ca="1" si="51"/>
        <v>0.13191962108431088</v>
      </c>
      <c r="AX62" s="9">
        <f t="shared" ca="1" si="51"/>
        <v>0.16354148146132941</v>
      </c>
      <c r="AY62" s="9">
        <f t="shared" ca="1" si="51"/>
        <v>0.16900489557174059</v>
      </c>
      <c r="AZ62" s="9">
        <f t="shared" ca="1" si="51"/>
        <v>0.16078780490686284</v>
      </c>
      <c r="BA62" s="9">
        <f t="shared" ca="1" si="51"/>
        <v>0.16487626565039126</v>
      </c>
      <c r="BB62" s="9">
        <f t="shared" ca="1" si="51"/>
        <v>0.21401262626098749</v>
      </c>
      <c r="BC62" s="9">
        <f t="shared" ca="1" si="51"/>
        <v>0.2198393379549769</v>
      </c>
      <c r="BD62" s="9">
        <f t="shared" ca="1" si="51"/>
        <v>0.20445187249047647</v>
      </c>
      <c r="BE62" s="9">
        <f t="shared" ca="1" si="51"/>
        <v>0.15394056213171947</v>
      </c>
      <c r="BF62" s="9">
        <f t="shared" ca="1" si="51"/>
        <v>0.15229274781138269</v>
      </c>
      <c r="BG62" s="9">
        <f t="shared" ca="1" si="51"/>
        <v>0.19643674836646896</v>
      </c>
      <c r="BH62" s="9">
        <f t="shared" ca="1" si="51"/>
        <v>0.10190647703943401</v>
      </c>
      <c r="BI62" s="9">
        <f t="shared" ca="1" si="51"/>
        <v>3.5819647372261731E-2</v>
      </c>
      <c r="BJ62" s="9">
        <f t="shared" ca="1" si="51"/>
        <v>7.5940503872753862E-2</v>
      </c>
      <c r="BK62" s="9">
        <f t="shared" ca="1" si="51"/>
        <v>5.6902132846661457E-2</v>
      </c>
      <c r="BL62" s="9">
        <f t="shared" ca="1" si="51"/>
        <v>0.12203371611098235</v>
      </c>
      <c r="BM62" s="9">
        <f t="shared" ca="1" si="51"/>
        <v>0.21672622830507349</v>
      </c>
      <c r="BN62" s="9">
        <f t="shared" ref="BN62:DY62" ca="1" si="52">IF(BN35="","",ABS(BN35))</f>
        <v>0.16268056340317427</v>
      </c>
      <c r="BO62" s="9">
        <f t="shared" ca="1" si="52"/>
        <v>0.16279092525989869</v>
      </c>
      <c r="BP62" s="9">
        <f t="shared" ca="1" si="52"/>
        <v>0.10679922708352807</v>
      </c>
      <c r="BQ62" s="9">
        <f t="shared" ca="1" si="52"/>
        <v>1.4580178089243612E-2</v>
      </c>
      <c r="BR62" s="9">
        <f t="shared" ca="1" si="52"/>
        <v>3.0622850121200917E-2</v>
      </c>
      <c r="BS62" s="9">
        <f t="shared" ca="1" si="52"/>
        <v>2.2754769584620416E-2</v>
      </c>
      <c r="BT62" s="9">
        <f t="shared" ca="1" si="52"/>
        <v>7.7814956994049833E-2</v>
      </c>
      <c r="BU62" s="9">
        <f t="shared" ca="1" si="52"/>
        <v>9.3698879263495183E-3</v>
      </c>
      <c r="BV62" s="9">
        <f t="shared" ca="1" si="52"/>
        <v>2.5549315954376706E-2</v>
      </c>
      <c r="BW62" s="9">
        <f t="shared" ca="1" si="52"/>
        <v>3.1356101930182234E-2</v>
      </c>
      <c r="BX62" s="9">
        <f t="shared" ca="1" si="52"/>
        <v>3.6675515080721643E-2</v>
      </c>
      <c r="BY62" s="9">
        <f t="shared" ca="1" si="52"/>
        <v>6.7758595134546296E-2</v>
      </c>
      <c r="BZ62" s="9">
        <f t="shared" ca="1" si="52"/>
        <v>4.6228420687363325E-2</v>
      </c>
      <c r="CA62" s="9">
        <f t="shared" ca="1" si="52"/>
        <v>2.8298292951466797E-2</v>
      </c>
      <c r="CB62" s="9">
        <f t="shared" ca="1" si="52"/>
        <v>2.2575480708286966E-2</v>
      </c>
      <c r="CC62" s="9">
        <f t="shared" ca="1" si="52"/>
        <v>1.2407619254650726E-4</v>
      </c>
      <c r="CD62" s="9">
        <f t="shared" ca="1" si="52"/>
        <v>1.1130272452086754E-2</v>
      </c>
      <c r="CE62" s="9">
        <f t="shared" ca="1" si="52"/>
        <v>8.9294544728247827E-3</v>
      </c>
      <c r="CF62" s="9">
        <f t="shared" ca="1" si="52"/>
        <v>2.3641173435840823E-2</v>
      </c>
      <c r="CG62" s="9">
        <f t="shared" ca="1" si="52"/>
        <v>2.9519254737283562E-2</v>
      </c>
      <c r="CH62" s="9">
        <f t="shared" ca="1" si="52"/>
        <v>2.100116126283158E-2</v>
      </c>
      <c r="CI62" s="9">
        <f t="shared" ca="1" si="52"/>
        <v>1.0429555970130622E-3</v>
      </c>
      <c r="CJ62" s="9">
        <f t="shared" ca="1" si="52"/>
        <v>4.8836174985461556E-3</v>
      </c>
      <c r="CK62" s="9">
        <f t="shared" ca="1" si="52"/>
        <v>3.3752104484823797E-2</v>
      </c>
      <c r="CL62" s="9">
        <f t="shared" ca="1" si="52"/>
        <v>6.1007250513322897E-2</v>
      </c>
      <c r="CM62" s="9">
        <f t="shared" ca="1" si="52"/>
        <v>3.3644703183159153E-2</v>
      </c>
      <c r="CN62" s="9">
        <f t="shared" ca="1" si="52"/>
        <v>1.8420258949910062E-2</v>
      </c>
      <c r="CO62" s="9">
        <f t="shared" ca="1" si="52"/>
        <v>9.5749958737172403E-3</v>
      </c>
      <c r="CP62" s="9">
        <f t="shared" ca="1" si="52"/>
        <v>3.8831133251235772E-2</v>
      </c>
      <c r="CQ62" s="9">
        <f t="shared" ca="1" si="52"/>
        <v>3.0496150120874477E-2</v>
      </c>
      <c r="CR62" s="9">
        <f t="shared" ca="1" si="52"/>
        <v>7.3497310143979533E-3</v>
      </c>
      <c r="CS62" s="9">
        <f t="shared" ca="1" si="52"/>
        <v>2.6899768613778741E-2</v>
      </c>
      <c r="CT62" s="9">
        <f t="shared" ca="1" si="52"/>
        <v>6.2050943275727133E-2</v>
      </c>
      <c r="CU62" s="9">
        <f t="shared" ca="1" si="52"/>
        <v>5.8378329081138713E-2</v>
      </c>
      <c r="CV62" s="9">
        <f t="shared" ca="1" si="52"/>
        <v>3.2653526980245706E-2</v>
      </c>
      <c r="CW62" s="9">
        <f t="shared" ca="1" si="52"/>
        <v>1.4082868987082664E-2</v>
      </c>
      <c r="CX62" s="9">
        <f t="shared" ca="1" si="52"/>
        <v>1.6471607540692546E-2</v>
      </c>
      <c r="CY62" s="9">
        <f t="shared" ca="1" si="52"/>
        <v>4.9038700172097105E-3</v>
      </c>
      <c r="CZ62" s="9">
        <f t="shared" ca="1" si="52"/>
        <v>3.6929648225152434E-3</v>
      </c>
      <c r="DA62" s="9">
        <f t="shared" ca="1" si="52"/>
        <v>4.9906478093403539E-2</v>
      </c>
      <c r="DB62" s="9">
        <f t="shared" ca="1" si="52"/>
        <v>4.9726156937618171E-2</v>
      </c>
      <c r="DC62" s="9">
        <f t="shared" ca="1" si="52"/>
        <v>1.19709966635837E-2</v>
      </c>
      <c r="DD62" s="9">
        <f t="shared" ca="1" si="52"/>
        <v>6.3552654767651262E-2</v>
      </c>
      <c r="DE62" s="9">
        <f t="shared" ca="1" si="52"/>
        <v>9.409508864725602E-2</v>
      </c>
      <c r="DF62" s="9">
        <f t="shared" ca="1" si="52"/>
        <v>6.876291907120069E-2</v>
      </c>
      <c r="DG62" s="9">
        <f t="shared" ca="1" si="52"/>
        <v>8.1183755016905446E-2</v>
      </c>
      <c r="DH62" s="9">
        <f t="shared" ca="1" si="52"/>
        <v>4.0141814760500827E-2</v>
      </c>
      <c r="DI62" s="9">
        <f t="shared" ca="1" si="52"/>
        <v>7.7766338260586654E-2</v>
      </c>
      <c r="DJ62" s="9">
        <f t="shared" ca="1" si="52"/>
        <v>1.6904748502975409E-2</v>
      </c>
      <c r="DK62" s="9">
        <f t="shared" ca="1" si="52"/>
        <v>1.1397172991338023E-2</v>
      </c>
      <c r="DL62" s="9">
        <f t="shared" ca="1" si="52"/>
        <v>2.6436568671051264E-2</v>
      </c>
      <c r="DM62" s="9">
        <f t="shared" ca="1" si="52"/>
        <v>2.1929179458209713E-2</v>
      </c>
      <c r="DN62" s="9">
        <f t="shared" ca="1" si="52"/>
        <v>3.7901552730129406E-2</v>
      </c>
      <c r="DO62" s="9">
        <f t="shared" ca="1" si="52"/>
        <v>6.7467769932600952E-3</v>
      </c>
      <c r="DP62" s="9">
        <f t="shared" ca="1" si="52"/>
        <v>4.5512573470846807E-2</v>
      </c>
      <c r="DQ62" s="9">
        <f t="shared" ca="1" si="52"/>
        <v>6.3104605095336774E-2</v>
      </c>
      <c r="DR62" s="9">
        <f t="shared" ca="1" si="52"/>
        <v>6.7757033682811496E-3</v>
      </c>
      <c r="DS62" s="9">
        <f t="shared" ca="1" si="52"/>
        <v>2.1266208874501258E-2</v>
      </c>
      <c r="DT62" s="9">
        <f t="shared" ca="1" si="52"/>
        <v>1.1205902869977247E-2</v>
      </c>
      <c r="DU62" s="9">
        <f t="shared" ca="1" si="52"/>
        <v>4.2493492665248711E-3</v>
      </c>
      <c r="DV62" s="9">
        <f t="shared" ca="1" si="52"/>
        <v>1.5707688899596728E-2</v>
      </c>
      <c r="DW62" s="9">
        <f t="shared" ca="1" si="52"/>
        <v>1.2574339619880859E-2</v>
      </c>
      <c r="DX62" s="9">
        <f t="shared" ca="1" si="52"/>
        <v>7.6043119537783088E-3</v>
      </c>
      <c r="DY62" s="9">
        <f t="shared" ca="1" si="52"/>
        <v>1.3722648374771218E-2</v>
      </c>
      <c r="DZ62" s="9">
        <f t="shared" ref="DZ62:GK62" ca="1" si="53">IF(DZ35="","",ABS(DZ35))</f>
        <v>4.6724751818301158E-3</v>
      </c>
      <c r="EA62" s="9">
        <f t="shared" ca="1" si="53"/>
        <v>1.2662730968120206E-2</v>
      </c>
      <c r="EB62" s="9">
        <f t="shared" ca="1" si="53"/>
        <v>5.2112166458429643E-2</v>
      </c>
      <c r="EC62" s="9">
        <f t="shared" ca="1" si="53"/>
        <v>1.9696354882496214E-2</v>
      </c>
      <c r="ED62" s="9">
        <f t="shared" ca="1" si="53"/>
        <v>3.6135542737607107E-2</v>
      </c>
      <c r="EE62" s="9">
        <f t="shared" ca="1" si="53"/>
        <v>1.9670260880347401E-2</v>
      </c>
      <c r="EF62" s="9">
        <f t="shared" ca="1" si="53"/>
        <v>1.1096614200364674E-2</v>
      </c>
      <c r="EG62" s="9">
        <f t="shared" ca="1" si="53"/>
        <v>2.2926147112038109E-2</v>
      </c>
      <c r="EH62" s="9">
        <f t="shared" ca="1" si="53"/>
        <v>8.9878377870505788E-2</v>
      </c>
      <c r="EI62" s="9">
        <f t="shared" ca="1" si="53"/>
        <v>6.8115786478935902E-2</v>
      </c>
      <c r="EJ62" s="9">
        <f t="shared" ca="1" si="53"/>
        <v>4.7090161361319716E-2</v>
      </c>
      <c r="EK62" s="9">
        <f t="shared" ca="1" si="53"/>
        <v>1.4019008097582164E-2</v>
      </c>
      <c r="EL62" s="9">
        <f t="shared" ca="1" si="53"/>
        <v>2.7956949875049819E-3</v>
      </c>
      <c r="EM62" s="9">
        <f t="shared" ca="1" si="53"/>
        <v>1.5644471943949689E-2</v>
      </c>
      <c r="EN62" s="9">
        <f t="shared" ca="1" si="53"/>
        <v>6.1588231216784584E-2</v>
      </c>
      <c r="EO62" s="9">
        <f t="shared" ca="1" si="53"/>
        <v>4.8695604519461533E-2</v>
      </c>
      <c r="EP62" s="9">
        <f t="shared" ca="1" si="53"/>
        <v>5.8949233322440175E-2</v>
      </c>
      <c r="EQ62" s="9">
        <f t="shared" ca="1" si="53"/>
        <v>4.2965804383662487E-2</v>
      </c>
      <c r="ER62" s="9">
        <f t="shared" ca="1" si="53"/>
        <v>4.4890813031031263E-2</v>
      </c>
      <c r="ES62" s="9">
        <f t="shared" ca="1" si="53"/>
        <v>2.5863500813526175E-2</v>
      </c>
      <c r="ET62" s="9">
        <f t="shared" ca="1" si="53"/>
        <v>1.9087407297790904E-4</v>
      </c>
      <c r="EU62" s="9">
        <f t="shared" ca="1" si="53"/>
        <v>6.5150820890899075E-2</v>
      </c>
      <c r="EV62" s="9">
        <f t="shared" ca="1" si="53"/>
        <v>4.8066038820912094E-2</v>
      </c>
      <c r="EW62" s="9">
        <f t="shared" ca="1" si="53"/>
        <v>2.5550020964114073E-2</v>
      </c>
      <c r="EX62" s="9">
        <f t="shared" ca="1" si="53"/>
        <v>1.1626158409896448E-3</v>
      </c>
      <c r="EY62" s="9">
        <f t="shared" ca="1" si="53"/>
        <v>1.4790586189960209E-2</v>
      </c>
      <c r="EZ62" s="9">
        <f t="shared" ca="1" si="53"/>
        <v>1.812049442490038E-2</v>
      </c>
      <c r="FA62" s="9">
        <f t="shared" ca="1" si="53"/>
        <v>8.6409066739323581E-3</v>
      </c>
      <c r="FB62" s="9">
        <f t="shared" ca="1" si="53"/>
        <v>2.9221933552349144E-3</v>
      </c>
      <c r="FC62" s="9">
        <f t="shared" ca="1" si="53"/>
        <v>2.5390987915229202E-2</v>
      </c>
      <c r="FD62" s="9">
        <f t="shared" ca="1" si="53"/>
        <v>2.7730402297199364E-2</v>
      </c>
      <c r="FE62" s="9">
        <f t="shared" ca="1" si="53"/>
        <v>4.1424145850997074E-2</v>
      </c>
      <c r="FF62" s="9">
        <f t="shared" ca="1" si="53"/>
        <v>4.161564858681932E-2</v>
      </c>
      <c r="FG62" s="9">
        <f t="shared" ca="1" si="53"/>
        <v>6.2230793932352091E-2</v>
      </c>
      <c r="FH62" s="9">
        <f t="shared" ca="1" si="53"/>
        <v>2.9015710139782325E-2</v>
      </c>
      <c r="FI62" s="9">
        <f t="shared" ca="1" si="53"/>
        <v>1.6380976823513915E-2</v>
      </c>
      <c r="FJ62" s="9">
        <f t="shared" ca="1" si="53"/>
        <v>2.5178116550542695E-3</v>
      </c>
      <c r="FK62" s="9">
        <f t="shared" ca="1" si="53"/>
        <v>3.4794174290754265E-2</v>
      </c>
      <c r="FL62" s="9">
        <f t="shared" ca="1" si="53"/>
        <v>6.6127503765873619E-2</v>
      </c>
      <c r="FM62" s="9">
        <f t="shared" ca="1" si="53"/>
        <v>8.9095898153367825E-2</v>
      </c>
      <c r="FN62" s="9">
        <f t="shared" ca="1" si="53"/>
        <v>8.2222978214632314E-2</v>
      </c>
      <c r="FO62" s="9">
        <f t="shared" ca="1" si="53"/>
        <v>2.9084901515287642E-2</v>
      </c>
      <c r="FP62" s="9">
        <f t="shared" ca="1" si="53"/>
        <v>4.0158923895279752E-2</v>
      </c>
      <c r="FQ62" s="9">
        <f t="shared" ca="1" si="53"/>
        <v>2.2497998636708649E-2</v>
      </c>
      <c r="FR62" s="9">
        <f t="shared" ca="1" si="53"/>
        <v>2.2554086293534947E-2</v>
      </c>
      <c r="FS62" s="9">
        <f t="shared" ca="1" si="53"/>
        <v>7.2671695187823904E-2</v>
      </c>
      <c r="FT62" s="9">
        <f t="shared" ca="1" si="53"/>
        <v>0.10861578812961592</v>
      </c>
      <c r="FU62" s="9">
        <f t="shared" ca="1" si="53"/>
        <v>8.1336576279043227E-2</v>
      </c>
      <c r="FV62" s="9">
        <f t="shared" ca="1" si="53"/>
        <v>9.1779370866277521E-2</v>
      </c>
      <c r="FW62" s="9">
        <f t="shared" ca="1" si="53"/>
        <v>8.6832218252545834E-2</v>
      </c>
      <c r="FX62" s="9">
        <f t="shared" ca="1" si="53"/>
        <v>2.9875472937482161E-2</v>
      </c>
      <c r="FY62" s="9">
        <f t="shared" ca="1" si="53"/>
        <v>3.8553711200125185E-2</v>
      </c>
      <c r="FZ62" s="9">
        <f t="shared" ca="1" si="53"/>
        <v>0.10479954578628492</v>
      </c>
      <c r="GA62" s="9">
        <f t="shared" ca="1" si="53"/>
        <v>9.94370914645194E-2</v>
      </c>
      <c r="GB62" s="9">
        <f t="shared" ca="1" si="53"/>
        <v>0.10191429119984063</v>
      </c>
      <c r="GC62" s="9">
        <f t="shared" ca="1" si="53"/>
        <v>0.1070879149274927</v>
      </c>
      <c r="GD62" s="9">
        <f t="shared" ca="1" si="53"/>
        <v>8.1460141222615023E-2</v>
      </c>
      <c r="GE62" s="9">
        <f t="shared" ca="1" si="53"/>
        <v>4.1282414904689202E-2</v>
      </c>
      <c r="GF62" s="9">
        <f t="shared" ca="1" si="53"/>
        <v>2.3143252124233404E-2</v>
      </c>
      <c r="GG62" s="9">
        <f t="shared" ca="1" si="53"/>
        <v>1.5010609128209729E-2</v>
      </c>
      <c r="GH62" s="9">
        <f t="shared" ca="1" si="53"/>
        <v>2.0230788120628285E-2</v>
      </c>
      <c r="GI62" s="9">
        <f t="shared" ca="1" si="53"/>
        <v>2.397933873024749E-2</v>
      </c>
      <c r="GJ62" s="9">
        <f t="shared" ca="1" si="53"/>
        <v>8.7151765914479484E-2</v>
      </c>
      <c r="GK62" s="9">
        <f t="shared" ca="1" si="53"/>
        <v>9.0080968095412217E-2</v>
      </c>
      <c r="GL62" s="9">
        <f t="shared" ref="GL62:IW62" ca="1" si="54">IF(GL35="","",ABS(GL35))</f>
        <v>9.7572251890702399E-2</v>
      </c>
      <c r="GM62" s="9">
        <f t="shared" ca="1" si="54"/>
        <v>8.9766460284628091E-2</v>
      </c>
      <c r="GN62" s="9">
        <f t="shared" ca="1" si="54"/>
        <v>0.11488018586780824</v>
      </c>
      <c r="GO62" s="9">
        <f t="shared" ca="1" si="54"/>
        <v>3.3448094047904053E-2</v>
      </c>
      <c r="GP62" s="9">
        <f t="shared" ca="1" si="54"/>
        <v>0.19376654903627477</v>
      </c>
      <c r="GQ62" s="9">
        <f t="shared" ca="1" si="54"/>
        <v>0.11779933662987796</v>
      </c>
      <c r="GR62" s="9">
        <f t="shared" ca="1" si="54"/>
        <v>8.269106058336595E-2</v>
      </c>
      <c r="GS62" s="9">
        <f t="shared" ca="1" si="54"/>
        <v>6.3184468137422511E-2</v>
      </c>
      <c r="GT62" s="9" t="str">
        <f t="shared" ca="1" si="54"/>
        <v/>
      </c>
      <c r="GU62" s="9" t="str">
        <f t="shared" ca="1" si="54"/>
        <v/>
      </c>
      <c r="GV62" s="9" t="str">
        <f t="shared" ca="1" si="54"/>
        <v/>
      </c>
      <c r="GW62" s="9" t="str">
        <f t="shared" ca="1" si="54"/>
        <v/>
      </c>
      <c r="GX62" s="9" t="str">
        <f t="shared" ca="1" si="54"/>
        <v/>
      </c>
      <c r="GY62" s="9" t="str">
        <f t="shared" ca="1" si="54"/>
        <v/>
      </c>
      <c r="GZ62" s="9" t="str">
        <f t="shared" ca="1" si="54"/>
        <v/>
      </c>
      <c r="HA62" s="9" t="str">
        <f t="shared" ca="1" si="54"/>
        <v/>
      </c>
      <c r="HB62" s="9" t="str">
        <f t="shared" ca="1" si="54"/>
        <v/>
      </c>
      <c r="HC62" s="9" t="str">
        <f t="shared" ca="1" si="54"/>
        <v/>
      </c>
      <c r="HD62" s="9" t="str">
        <f t="shared" ca="1" si="54"/>
        <v/>
      </c>
      <c r="HE62" s="9" t="str">
        <f t="shared" ca="1" si="54"/>
        <v/>
      </c>
      <c r="HF62" s="9" t="str">
        <f t="shared" ca="1" si="54"/>
        <v/>
      </c>
      <c r="HG62" s="9" t="str">
        <f t="shared" ca="1" si="54"/>
        <v/>
      </c>
      <c r="HH62" s="9" t="str">
        <f t="shared" ca="1" si="54"/>
        <v/>
      </c>
      <c r="HI62" s="9" t="str">
        <f t="shared" ca="1" si="54"/>
        <v/>
      </c>
      <c r="HJ62" s="9" t="str">
        <f t="shared" ca="1" si="54"/>
        <v/>
      </c>
      <c r="HK62" s="9" t="str">
        <f t="shared" ca="1" si="54"/>
        <v/>
      </c>
      <c r="HL62" s="9" t="str">
        <f t="shared" ca="1" si="54"/>
        <v/>
      </c>
      <c r="HM62" s="9" t="str">
        <f t="shared" ca="1" si="54"/>
        <v/>
      </c>
      <c r="HN62" s="9" t="str">
        <f t="shared" ca="1" si="54"/>
        <v/>
      </c>
      <c r="HO62" s="9" t="str">
        <f t="shared" ca="1" si="54"/>
        <v/>
      </c>
      <c r="HP62" s="9" t="str">
        <f t="shared" ca="1" si="54"/>
        <v/>
      </c>
      <c r="HQ62" s="9" t="str">
        <f t="shared" ca="1" si="54"/>
        <v/>
      </c>
      <c r="HR62" s="9" t="str">
        <f t="shared" ca="1" si="54"/>
        <v/>
      </c>
      <c r="HS62" s="9" t="str">
        <f t="shared" ca="1" si="54"/>
        <v/>
      </c>
      <c r="HT62" s="9" t="str">
        <f t="shared" ca="1" si="54"/>
        <v/>
      </c>
      <c r="HU62" s="9" t="str">
        <f t="shared" ca="1" si="54"/>
        <v/>
      </c>
      <c r="HV62" s="9" t="str">
        <f t="shared" ca="1" si="54"/>
        <v/>
      </c>
      <c r="HW62" s="9" t="str">
        <f t="shared" ca="1" si="54"/>
        <v/>
      </c>
      <c r="HX62" s="9" t="str">
        <f t="shared" ca="1" si="54"/>
        <v/>
      </c>
      <c r="HY62" s="9" t="str">
        <f t="shared" ca="1" si="54"/>
        <v/>
      </c>
      <c r="HZ62" s="9" t="str">
        <f t="shared" ca="1" si="54"/>
        <v/>
      </c>
      <c r="IA62" s="9" t="str">
        <f t="shared" ca="1" si="54"/>
        <v/>
      </c>
      <c r="IB62" s="9" t="str">
        <f t="shared" ca="1" si="54"/>
        <v/>
      </c>
      <c r="IC62" s="9" t="str">
        <f t="shared" ca="1" si="54"/>
        <v/>
      </c>
      <c r="ID62" s="9" t="str">
        <f t="shared" ca="1" si="54"/>
        <v/>
      </c>
      <c r="IE62" s="9" t="str">
        <f t="shared" ca="1" si="54"/>
        <v/>
      </c>
      <c r="IF62" s="9" t="str">
        <f t="shared" ca="1" si="54"/>
        <v/>
      </c>
      <c r="IG62" s="9" t="str">
        <f t="shared" ca="1" si="54"/>
        <v/>
      </c>
      <c r="IH62" s="9" t="str">
        <f t="shared" ca="1" si="54"/>
        <v/>
      </c>
      <c r="II62" s="9" t="str">
        <f t="shared" ca="1" si="54"/>
        <v/>
      </c>
      <c r="IJ62" s="9" t="str">
        <f t="shared" ca="1" si="54"/>
        <v/>
      </c>
      <c r="IK62" s="9" t="str">
        <f t="shared" ca="1" si="54"/>
        <v/>
      </c>
      <c r="IL62" s="9" t="str">
        <f t="shared" ca="1" si="54"/>
        <v/>
      </c>
      <c r="IM62" s="9" t="str">
        <f t="shared" ca="1" si="54"/>
        <v/>
      </c>
      <c r="IN62" s="9" t="str">
        <f t="shared" ca="1" si="54"/>
        <v/>
      </c>
      <c r="IO62" s="9" t="str">
        <f t="shared" ca="1" si="54"/>
        <v/>
      </c>
      <c r="IP62" s="9" t="str">
        <f t="shared" ca="1" si="54"/>
        <v/>
      </c>
      <c r="IQ62" s="9" t="str">
        <f t="shared" ca="1" si="54"/>
        <v/>
      </c>
      <c r="IR62" s="9" t="str">
        <f t="shared" ca="1" si="54"/>
        <v/>
      </c>
      <c r="IS62" s="9" t="str">
        <f t="shared" ca="1" si="54"/>
        <v/>
      </c>
      <c r="IT62" s="9" t="str">
        <f t="shared" ca="1" si="54"/>
        <v/>
      </c>
      <c r="IU62" s="9" t="str">
        <f t="shared" ca="1" si="54"/>
        <v/>
      </c>
      <c r="IV62" s="9" t="str">
        <f t="shared" ca="1" si="54"/>
        <v/>
      </c>
      <c r="IW62" s="9" t="str">
        <f t="shared" ca="1" si="54"/>
        <v/>
      </c>
      <c r="IX62" s="9" t="str">
        <f t="shared" ref="IX62:JH62" ca="1" si="55">IF(IX35="","",ABS(IX35))</f>
        <v/>
      </c>
      <c r="IY62" s="9" t="str">
        <f t="shared" ca="1" si="55"/>
        <v/>
      </c>
      <c r="IZ62" s="9" t="str">
        <f t="shared" ca="1" si="55"/>
        <v/>
      </c>
      <c r="JA62" s="9" t="str">
        <f t="shared" ca="1" si="55"/>
        <v/>
      </c>
      <c r="JB62" s="9" t="str">
        <f t="shared" ca="1" si="55"/>
        <v/>
      </c>
      <c r="JC62" s="9" t="str">
        <f t="shared" ca="1" si="55"/>
        <v/>
      </c>
      <c r="JD62" s="9" t="str">
        <f t="shared" ca="1" si="55"/>
        <v/>
      </c>
      <c r="JE62" s="9" t="str">
        <f t="shared" ca="1" si="55"/>
        <v/>
      </c>
      <c r="JF62" s="9" t="str">
        <f t="shared" ca="1" si="55"/>
        <v/>
      </c>
      <c r="JG62" s="9" t="str">
        <f t="shared" ca="1" si="55"/>
        <v/>
      </c>
      <c r="JH62" s="9" t="str">
        <f t="shared" ca="1" si="55"/>
        <v/>
      </c>
      <c r="JI62" s="13">
        <f t="shared" ca="1" si="25"/>
        <v>7.3910463651027367E-2</v>
      </c>
      <c r="JJ62" s="13">
        <f t="shared" ca="1" si="26"/>
        <v>8.269106058336595E-2</v>
      </c>
      <c r="JK62" s="14">
        <f t="shared" ca="1" si="27"/>
        <v>1.6309799481555305E-3</v>
      </c>
      <c r="JL62" s="17">
        <f t="shared" ca="1" si="35"/>
        <v>4.0385392757227585E-2</v>
      </c>
      <c r="JM62" s="15" t="str">
        <f t="shared" ca="1" si="28"/>
        <v>[ -0,69% ; 15,47% ]</v>
      </c>
      <c r="JN62" s="17">
        <f t="shared" ca="1" si="29"/>
        <v>5.1693302729251309E-2</v>
      </c>
      <c r="LY62" s="1"/>
    </row>
    <row r="63" spans="1:337" x14ac:dyDescent="0.25">
      <c r="A63" s="4">
        <v>7</v>
      </c>
      <c r="B63" s="9">
        <f t="shared" ref="B63:BM63" ca="1" si="56">IF(B36="","",ABS(B36))</f>
        <v>2.9313526639217269E-2</v>
      </c>
      <c r="C63" s="9">
        <f t="shared" ca="1" si="56"/>
        <v>1.3309712104431437E-2</v>
      </c>
      <c r="D63" s="9">
        <f t="shared" ca="1" si="56"/>
        <v>1.5932158828547704E-2</v>
      </c>
      <c r="E63" s="9">
        <f t="shared" ca="1" si="56"/>
        <v>2.7890286170070944E-2</v>
      </c>
      <c r="F63" s="9">
        <f t="shared" ca="1" si="56"/>
        <v>5.3739492859728566E-2</v>
      </c>
      <c r="G63" s="9">
        <f t="shared" ca="1" si="56"/>
        <v>3.7584757127288038E-2</v>
      </c>
      <c r="H63" s="9">
        <f t="shared" ca="1" si="56"/>
        <v>1.0966272297207036E-2</v>
      </c>
      <c r="I63" s="9">
        <f t="shared" ca="1" si="56"/>
        <v>5.7294888333707661E-3</v>
      </c>
      <c r="J63" s="9">
        <f t="shared" ca="1" si="56"/>
        <v>4.6958695320900024E-3</v>
      </c>
      <c r="K63" s="9">
        <f t="shared" ca="1" si="56"/>
        <v>2.2349693671989357E-2</v>
      </c>
      <c r="L63" s="9">
        <f t="shared" ca="1" si="56"/>
        <v>1.6359304110576955E-2</v>
      </c>
      <c r="M63" s="9">
        <f t="shared" ca="1" si="56"/>
        <v>1.2143288996484758E-2</v>
      </c>
      <c r="N63" s="9">
        <f t="shared" ca="1" si="56"/>
        <v>3.2318366539199062E-3</v>
      </c>
      <c r="O63" s="9">
        <f t="shared" ca="1" si="56"/>
        <v>1.1365083438652501E-3</v>
      </c>
      <c r="P63" s="9">
        <f t="shared" ca="1" si="56"/>
        <v>4.1222271841387936E-3</v>
      </c>
      <c r="Q63" s="9">
        <f t="shared" ca="1" si="56"/>
        <v>8.290992694004462E-4</v>
      </c>
      <c r="R63" s="9">
        <f t="shared" ca="1" si="56"/>
        <v>2.6562420213861682E-2</v>
      </c>
      <c r="S63" s="9">
        <f t="shared" ca="1" si="56"/>
        <v>2.7919624430143841E-2</v>
      </c>
      <c r="T63" s="9">
        <f t="shared" ca="1" si="56"/>
        <v>1.0922292376248199E-2</v>
      </c>
      <c r="U63" s="9">
        <f t="shared" ca="1" si="56"/>
        <v>2.5597539727829632E-2</v>
      </c>
      <c r="V63" s="9">
        <f t="shared" ca="1" si="56"/>
        <v>4.3694512451523781E-2</v>
      </c>
      <c r="W63" s="9">
        <f t="shared" ca="1" si="56"/>
        <v>4.7772661060078159E-2</v>
      </c>
      <c r="X63" s="9">
        <f t="shared" ca="1" si="56"/>
        <v>4.0930330118452707E-2</v>
      </c>
      <c r="Y63" s="9">
        <f t="shared" ca="1" si="56"/>
        <v>3.1243013515641405E-2</v>
      </c>
      <c r="Z63" s="9">
        <f t="shared" ca="1" si="56"/>
        <v>2.4798928712662649E-2</v>
      </c>
      <c r="AA63" s="9">
        <f t="shared" ca="1" si="56"/>
        <v>1.4865214765980905E-2</v>
      </c>
      <c r="AB63" s="9">
        <f t="shared" ca="1" si="56"/>
        <v>1.0484913099477078E-2</v>
      </c>
      <c r="AC63" s="9">
        <f t="shared" ca="1" si="56"/>
        <v>5.6501852600081559E-3</v>
      </c>
      <c r="AD63" s="9">
        <f t="shared" ca="1" si="56"/>
        <v>1.0686885467788843E-2</v>
      </c>
      <c r="AE63" s="9">
        <f t="shared" ca="1" si="56"/>
        <v>3.7967620275606739E-2</v>
      </c>
      <c r="AF63" s="9">
        <f t="shared" ca="1" si="56"/>
        <v>4.0620252293380732E-2</v>
      </c>
      <c r="AG63" s="9">
        <f t="shared" ca="1" si="56"/>
        <v>4.5061200444411975E-2</v>
      </c>
      <c r="AH63" s="9">
        <f t="shared" ca="1" si="56"/>
        <v>5.1337618290061338E-2</v>
      </c>
      <c r="AI63" s="9">
        <f t="shared" ca="1" si="56"/>
        <v>2.9224353212294885E-2</v>
      </c>
      <c r="AJ63" s="9">
        <f t="shared" ca="1" si="56"/>
        <v>1.6449166656805181E-2</v>
      </c>
      <c r="AK63" s="9">
        <f t="shared" ca="1" si="56"/>
        <v>6.5232082875745778E-3</v>
      </c>
      <c r="AL63" s="9">
        <f t="shared" ca="1" si="56"/>
        <v>4.6780755910572402E-2</v>
      </c>
      <c r="AM63" s="9">
        <f t="shared" ca="1" si="56"/>
        <v>6.497414367090415E-2</v>
      </c>
      <c r="AN63" s="9">
        <f t="shared" ca="1" si="56"/>
        <v>6.4278941814454038E-2</v>
      </c>
      <c r="AO63" s="9">
        <f t="shared" ca="1" si="56"/>
        <v>6.5429931656088569E-2</v>
      </c>
      <c r="AP63" s="9">
        <f t="shared" ca="1" si="56"/>
        <v>5.413805921726289E-2</v>
      </c>
      <c r="AQ63" s="9">
        <f t="shared" ca="1" si="56"/>
        <v>3.119893502676474E-2</v>
      </c>
      <c r="AR63" s="9">
        <f t="shared" ca="1" si="56"/>
        <v>4.3322629264922363E-2</v>
      </c>
      <c r="AS63" s="9">
        <f t="shared" ca="1" si="56"/>
        <v>6.5424741836094702E-2</v>
      </c>
      <c r="AT63" s="9">
        <f t="shared" ca="1" si="56"/>
        <v>6.125219672768456E-2</v>
      </c>
      <c r="AU63" s="9">
        <f t="shared" ca="1" si="56"/>
        <v>9.9744795560339328E-2</v>
      </c>
      <c r="AV63" s="9">
        <f t="shared" ca="1" si="56"/>
        <v>0.13691290770360409</v>
      </c>
      <c r="AW63" s="9">
        <f t="shared" ca="1" si="56"/>
        <v>0.15577007519872521</v>
      </c>
      <c r="AX63" s="9">
        <f t="shared" ca="1" si="56"/>
        <v>0.18889142777975332</v>
      </c>
      <c r="AY63" s="9">
        <f t="shared" ca="1" si="56"/>
        <v>0.19305894558811409</v>
      </c>
      <c r="AZ63" s="9">
        <f t="shared" ca="1" si="56"/>
        <v>0.17243426299712716</v>
      </c>
      <c r="BA63" s="9">
        <f t="shared" ca="1" si="56"/>
        <v>0.24025468988427701</v>
      </c>
      <c r="BB63" s="9">
        <f t="shared" ca="1" si="56"/>
        <v>0.25837414404776926</v>
      </c>
      <c r="BC63" s="9">
        <f t="shared" ca="1" si="56"/>
        <v>0.25266881432014965</v>
      </c>
      <c r="BD63" s="9">
        <f t="shared" ca="1" si="56"/>
        <v>0.20775651448013521</v>
      </c>
      <c r="BE63" s="9">
        <f t="shared" ca="1" si="56"/>
        <v>0.17900339895913409</v>
      </c>
      <c r="BF63" s="9">
        <f t="shared" ca="1" si="56"/>
        <v>0.18509953432487758</v>
      </c>
      <c r="BG63" s="9">
        <f t="shared" ca="1" si="56"/>
        <v>0.20809371976002755</v>
      </c>
      <c r="BH63" s="9">
        <f t="shared" ca="1" si="56"/>
        <v>9.2505166615324597E-2</v>
      </c>
      <c r="BI63" s="9">
        <f t="shared" ca="1" si="56"/>
        <v>1.0773086127923381E-2</v>
      </c>
      <c r="BJ63" s="9">
        <f t="shared" ca="1" si="56"/>
        <v>0.1235813492491642</v>
      </c>
      <c r="BK63" s="9">
        <f t="shared" ca="1" si="56"/>
        <v>6.9837632893258617E-2</v>
      </c>
      <c r="BL63" s="9">
        <f t="shared" ca="1" si="56"/>
        <v>0.17687186411373812</v>
      </c>
      <c r="BM63" s="9">
        <f t="shared" ca="1" si="56"/>
        <v>0.18547064026653937</v>
      </c>
      <c r="BN63" s="9">
        <f t="shared" ref="BN63:DY63" ca="1" si="57">IF(BN36="","",ABS(BN36))</f>
        <v>0.19612240264032521</v>
      </c>
      <c r="BO63" s="9">
        <f t="shared" ca="1" si="57"/>
        <v>0.17389965262199447</v>
      </c>
      <c r="BP63" s="9">
        <f t="shared" ca="1" si="57"/>
        <v>0.12802026969592539</v>
      </c>
      <c r="BQ63" s="9">
        <f t="shared" ca="1" si="57"/>
        <v>1.1586524734600312E-2</v>
      </c>
      <c r="BR63" s="9">
        <f t="shared" ca="1" si="57"/>
        <v>2.2046918357148337E-2</v>
      </c>
      <c r="BS63" s="9">
        <f t="shared" ca="1" si="57"/>
        <v>2.3589723606802337E-2</v>
      </c>
      <c r="BT63" s="9">
        <f t="shared" ca="1" si="57"/>
        <v>9.4332352947959608E-2</v>
      </c>
      <c r="BU63" s="9">
        <f t="shared" ca="1" si="57"/>
        <v>1.6066619499706558E-2</v>
      </c>
      <c r="BV63" s="9">
        <f t="shared" ca="1" si="57"/>
        <v>4.1446257974432132E-2</v>
      </c>
      <c r="BW63" s="9">
        <f t="shared" ca="1" si="57"/>
        <v>3.3149384338295729E-2</v>
      </c>
      <c r="BX63" s="9">
        <f t="shared" ca="1" si="57"/>
        <v>6.642773263472046E-2</v>
      </c>
      <c r="BY63" s="9">
        <f t="shared" ca="1" si="57"/>
        <v>6.9665118222135725E-2</v>
      </c>
      <c r="BZ63" s="9">
        <f t="shared" ca="1" si="57"/>
        <v>5.5915412429134559E-2</v>
      </c>
      <c r="CA63" s="9">
        <f t="shared" ca="1" si="57"/>
        <v>4.6476869405274401E-2</v>
      </c>
      <c r="CB63" s="9">
        <f t="shared" ca="1" si="57"/>
        <v>1.1386604882879237E-2</v>
      </c>
      <c r="CC63" s="9">
        <f t="shared" ca="1" si="57"/>
        <v>5.1554223676144595E-3</v>
      </c>
      <c r="CD63" s="9">
        <f t="shared" ca="1" si="57"/>
        <v>1.2659545488314938E-2</v>
      </c>
      <c r="CE63" s="9">
        <f t="shared" ca="1" si="57"/>
        <v>1.4055874526896828E-2</v>
      </c>
      <c r="CF63" s="9">
        <f t="shared" ca="1" si="57"/>
        <v>1.9525239342214062E-2</v>
      </c>
      <c r="CG63" s="9">
        <f t="shared" ca="1" si="57"/>
        <v>1.4408840328188566E-2</v>
      </c>
      <c r="CH63" s="9">
        <f t="shared" ca="1" si="57"/>
        <v>2.6136537052748432E-2</v>
      </c>
      <c r="CI63" s="9">
        <f t="shared" ca="1" si="57"/>
        <v>1.1267519579370555E-2</v>
      </c>
      <c r="CJ63" s="9">
        <f t="shared" ca="1" si="57"/>
        <v>9.1277450594486886E-3</v>
      </c>
      <c r="CK63" s="9">
        <f t="shared" ca="1" si="57"/>
        <v>6.0308958420363767E-2</v>
      </c>
      <c r="CL63" s="9">
        <f t="shared" ca="1" si="57"/>
        <v>5.6294549905145153E-2</v>
      </c>
      <c r="CM63" s="9">
        <f t="shared" ca="1" si="57"/>
        <v>1.2267077613283939E-2</v>
      </c>
      <c r="CN63" s="9">
        <f t="shared" ca="1" si="57"/>
        <v>5.7908435324345309E-3</v>
      </c>
      <c r="CO63" s="9">
        <f t="shared" ca="1" si="57"/>
        <v>5.6257070035770074E-4</v>
      </c>
      <c r="CP63" s="9">
        <f t="shared" ca="1" si="57"/>
        <v>5.103301056528986E-2</v>
      </c>
      <c r="CQ63" s="9">
        <f t="shared" ca="1" si="57"/>
        <v>4.8301672981033494E-2</v>
      </c>
      <c r="CR63" s="9">
        <f t="shared" ca="1" si="57"/>
        <v>1.108672242752784E-2</v>
      </c>
      <c r="CS63" s="9">
        <f t="shared" ca="1" si="57"/>
        <v>2.2082338090292808E-2</v>
      </c>
      <c r="CT63" s="9">
        <f t="shared" ca="1" si="57"/>
        <v>8.2423109801280092E-2</v>
      </c>
      <c r="CU63" s="9">
        <f t="shared" ca="1" si="57"/>
        <v>5.3674785318671536E-2</v>
      </c>
      <c r="CV63" s="9">
        <f t="shared" ca="1" si="57"/>
        <v>1.3853430578929515E-3</v>
      </c>
      <c r="CW63" s="9">
        <f t="shared" ca="1" si="57"/>
        <v>6.8608955505577995E-3</v>
      </c>
      <c r="CX63" s="9">
        <f t="shared" ca="1" si="57"/>
        <v>1.0590154035426735E-2</v>
      </c>
      <c r="CY63" s="9">
        <f t="shared" ca="1" si="57"/>
        <v>2.4931832239445839E-2</v>
      </c>
      <c r="CZ63" s="9">
        <f t="shared" ca="1" si="57"/>
        <v>7.0100618911050905E-3</v>
      </c>
      <c r="DA63" s="9">
        <f t="shared" ca="1" si="57"/>
        <v>6.9735134539692822E-2</v>
      </c>
      <c r="DB63" s="9">
        <f t="shared" ca="1" si="57"/>
        <v>6.898324101928921E-2</v>
      </c>
      <c r="DC63" s="9">
        <f t="shared" ca="1" si="57"/>
        <v>2.6863869441973165E-2</v>
      </c>
      <c r="DD63" s="9">
        <f t="shared" ca="1" si="57"/>
        <v>7.6570224824416666E-2</v>
      </c>
      <c r="DE63" s="9">
        <f t="shared" ca="1" si="57"/>
        <v>0.11829563521267983</v>
      </c>
      <c r="DF63" s="9">
        <f t="shared" ca="1" si="57"/>
        <v>7.4201440252998463E-2</v>
      </c>
      <c r="DG63" s="9">
        <f t="shared" ca="1" si="57"/>
        <v>8.6554613635381195E-2</v>
      </c>
      <c r="DH63" s="9">
        <f t="shared" ca="1" si="57"/>
        <v>7.2409314747188036E-2</v>
      </c>
      <c r="DI63" s="9">
        <f t="shared" ca="1" si="57"/>
        <v>5.2521140879534967E-2</v>
      </c>
      <c r="DJ63" s="9">
        <f t="shared" ca="1" si="57"/>
        <v>2.003086328610082E-2</v>
      </c>
      <c r="DK63" s="9">
        <f t="shared" ca="1" si="57"/>
        <v>4.0677942918605936E-2</v>
      </c>
      <c r="DL63" s="9">
        <f t="shared" ca="1" si="57"/>
        <v>3.0551926806988483E-2</v>
      </c>
      <c r="DM63" s="9">
        <f t="shared" ca="1" si="57"/>
        <v>2.2988497028660904E-2</v>
      </c>
      <c r="DN63" s="9">
        <f t="shared" ca="1" si="57"/>
        <v>3.6523061663121359E-2</v>
      </c>
      <c r="DO63" s="9">
        <f t="shared" ca="1" si="57"/>
        <v>5.865341682995906E-3</v>
      </c>
      <c r="DP63" s="9">
        <f t="shared" ca="1" si="57"/>
        <v>5.464062326583452E-2</v>
      </c>
      <c r="DQ63" s="9">
        <f t="shared" ca="1" si="57"/>
        <v>6.5579014036206695E-2</v>
      </c>
      <c r="DR63" s="9">
        <f t="shared" ca="1" si="57"/>
        <v>1.2620487482843279E-2</v>
      </c>
      <c r="DS63" s="9">
        <f t="shared" ca="1" si="57"/>
        <v>2.0934031307487388E-2</v>
      </c>
      <c r="DT63" s="9">
        <f t="shared" ca="1" si="57"/>
        <v>6.4791646222288612E-3</v>
      </c>
      <c r="DU63" s="9">
        <f t="shared" ca="1" si="57"/>
        <v>1.6623710972304306E-2</v>
      </c>
      <c r="DV63" s="9">
        <f t="shared" ca="1" si="57"/>
        <v>2.7102416984824407E-3</v>
      </c>
      <c r="DW63" s="9">
        <f t="shared" ca="1" si="57"/>
        <v>2.5741258778612441E-2</v>
      </c>
      <c r="DX63" s="9">
        <f t="shared" ca="1" si="57"/>
        <v>4.9216548205643917E-3</v>
      </c>
      <c r="DY63" s="9">
        <f t="shared" ca="1" si="57"/>
        <v>2.2740899843118667E-2</v>
      </c>
      <c r="DZ63" s="9">
        <f t="shared" ref="DZ63:GK63" ca="1" si="58">IF(DZ36="","",ABS(DZ36))</f>
        <v>8.776211763158015E-3</v>
      </c>
      <c r="EA63" s="9">
        <f t="shared" ca="1" si="58"/>
        <v>3.3824131240876465E-2</v>
      </c>
      <c r="EB63" s="9">
        <f t="shared" ca="1" si="58"/>
        <v>5.860545494485403E-2</v>
      </c>
      <c r="EC63" s="9">
        <f t="shared" ca="1" si="58"/>
        <v>1.319327514950186E-2</v>
      </c>
      <c r="ED63" s="9">
        <f t="shared" ca="1" si="58"/>
        <v>1.9324171466138962E-2</v>
      </c>
      <c r="EE63" s="9">
        <f t="shared" ca="1" si="58"/>
        <v>9.1033858135611823E-3</v>
      </c>
      <c r="EF63" s="9">
        <f t="shared" ca="1" si="58"/>
        <v>1.4739235321855171E-2</v>
      </c>
      <c r="EG63" s="9">
        <f t="shared" ca="1" si="58"/>
        <v>3.6744314706573467E-2</v>
      </c>
      <c r="EH63" s="9">
        <f t="shared" ca="1" si="58"/>
        <v>8.1802810859044284E-2</v>
      </c>
      <c r="EI63" s="9">
        <f t="shared" ca="1" si="58"/>
        <v>7.2933851557586138E-2</v>
      </c>
      <c r="EJ63" s="9">
        <f t="shared" ca="1" si="58"/>
        <v>5.5032504695456619E-2</v>
      </c>
      <c r="EK63" s="9">
        <f t="shared" ca="1" si="58"/>
        <v>1.5501406626092451E-2</v>
      </c>
      <c r="EL63" s="9">
        <f t="shared" ca="1" si="58"/>
        <v>1.4767122924422837E-2</v>
      </c>
      <c r="EM63" s="9">
        <f t="shared" ca="1" si="58"/>
        <v>2.873683324611398E-2</v>
      </c>
      <c r="EN63" s="9">
        <f t="shared" ca="1" si="58"/>
        <v>9.0887247566601603E-2</v>
      </c>
      <c r="EO63" s="9">
        <f t="shared" ca="1" si="58"/>
        <v>5.6660177438471626E-2</v>
      </c>
      <c r="EP63" s="9">
        <f t="shared" ca="1" si="58"/>
        <v>4.8111333847420612E-2</v>
      </c>
      <c r="EQ63" s="9">
        <f t="shared" ca="1" si="58"/>
        <v>3.5441607814750364E-2</v>
      </c>
      <c r="ER63" s="9">
        <f t="shared" ca="1" si="58"/>
        <v>5.2346960832975409E-2</v>
      </c>
      <c r="ES63" s="9">
        <f t="shared" ca="1" si="58"/>
        <v>2.3395130633946604E-2</v>
      </c>
      <c r="ET63" s="9">
        <f t="shared" ca="1" si="58"/>
        <v>2.3987954262738143E-2</v>
      </c>
      <c r="EU63" s="9">
        <f t="shared" ca="1" si="58"/>
        <v>5.4877503724613974E-2</v>
      </c>
      <c r="EV63" s="9">
        <f t="shared" ca="1" si="58"/>
        <v>4.8491464988533406E-2</v>
      </c>
      <c r="EW63" s="9">
        <f t="shared" ca="1" si="58"/>
        <v>2.3471069656360699E-2</v>
      </c>
      <c r="EX63" s="9">
        <f t="shared" ca="1" si="58"/>
        <v>7.9613991557003772E-4</v>
      </c>
      <c r="EY63" s="9">
        <f t="shared" ca="1" si="58"/>
        <v>3.8691431585323399E-2</v>
      </c>
      <c r="EZ63" s="9">
        <f t="shared" ca="1" si="58"/>
        <v>1.6525102238642564E-2</v>
      </c>
      <c r="FA63" s="9">
        <f t="shared" ca="1" si="58"/>
        <v>2.2720038587328073E-2</v>
      </c>
      <c r="FB63" s="9">
        <f t="shared" ca="1" si="58"/>
        <v>1.1763579152869963E-2</v>
      </c>
      <c r="FC63" s="9">
        <f t="shared" ca="1" si="58"/>
        <v>2.102880330139556E-2</v>
      </c>
      <c r="FD63" s="9">
        <f t="shared" ca="1" si="58"/>
        <v>3.8945893025062461E-2</v>
      </c>
      <c r="FE63" s="9">
        <f t="shared" ca="1" si="58"/>
        <v>6.667543351650318E-3</v>
      </c>
      <c r="FF63" s="9">
        <f t="shared" ca="1" si="58"/>
        <v>6.2054438007592916E-2</v>
      </c>
      <c r="FG63" s="9">
        <f t="shared" ca="1" si="58"/>
        <v>6.5379153836384596E-2</v>
      </c>
      <c r="FH63" s="9">
        <f t="shared" ca="1" si="58"/>
        <v>6.6899213283835302E-3</v>
      </c>
      <c r="FI63" s="9">
        <f t="shared" ca="1" si="58"/>
        <v>1.8582511862217377E-2</v>
      </c>
      <c r="FJ63" s="9">
        <f t="shared" ca="1" si="58"/>
        <v>1.5262609932726101E-2</v>
      </c>
      <c r="FK63" s="9">
        <f t="shared" ca="1" si="58"/>
        <v>2.57202588701122E-2</v>
      </c>
      <c r="FL63" s="9">
        <f t="shared" ca="1" si="58"/>
        <v>8.1495601853156852E-2</v>
      </c>
      <c r="FM63" s="9">
        <f t="shared" ca="1" si="58"/>
        <v>0.1054360692338302</v>
      </c>
      <c r="FN63" s="9">
        <f t="shared" ca="1" si="58"/>
        <v>7.313597065879196E-2</v>
      </c>
      <c r="FO63" s="9">
        <f t="shared" ca="1" si="58"/>
        <v>3.3637535106180172E-2</v>
      </c>
      <c r="FP63" s="9">
        <f t="shared" ca="1" si="58"/>
        <v>4.5068741764866305E-2</v>
      </c>
      <c r="FQ63" s="9">
        <f t="shared" ca="1" si="58"/>
        <v>2.1604816916553915E-3</v>
      </c>
      <c r="FR63" s="9">
        <f t="shared" ca="1" si="58"/>
        <v>6.5873010051682224E-2</v>
      </c>
      <c r="FS63" s="9">
        <f t="shared" ca="1" si="58"/>
        <v>0.10629770926303617</v>
      </c>
      <c r="FT63" s="9">
        <f t="shared" ca="1" si="58"/>
        <v>9.872552135437962E-2</v>
      </c>
      <c r="FU63" s="9">
        <f t="shared" ca="1" si="58"/>
        <v>8.8869239108290365E-2</v>
      </c>
      <c r="FV63" s="9">
        <f t="shared" ca="1" si="58"/>
        <v>9.6907081208914336E-2</v>
      </c>
      <c r="FW63" s="9">
        <f t="shared" ca="1" si="58"/>
        <v>7.2016504308202167E-2</v>
      </c>
      <c r="FX63" s="9">
        <f t="shared" ca="1" si="58"/>
        <v>8.7096700899815804E-3</v>
      </c>
      <c r="FY63" s="9">
        <f t="shared" ca="1" si="58"/>
        <v>6.005525610931628E-2</v>
      </c>
      <c r="FZ63" s="9">
        <f t="shared" ca="1" si="58"/>
        <v>0.12216093211374102</v>
      </c>
      <c r="GA63" s="9">
        <f t="shared" ca="1" si="58"/>
        <v>0.11244539778284646</v>
      </c>
      <c r="GB63" s="9">
        <f t="shared" ca="1" si="58"/>
        <v>0.12511974843440077</v>
      </c>
      <c r="GC63" s="9">
        <f t="shared" ca="1" si="58"/>
        <v>0.11508422091977388</v>
      </c>
      <c r="GD63" s="9">
        <f t="shared" ca="1" si="58"/>
        <v>7.9201822577045111E-2</v>
      </c>
      <c r="GE63" s="9">
        <f t="shared" ca="1" si="58"/>
        <v>4.2945080707813776E-2</v>
      </c>
      <c r="GF63" s="9">
        <f t="shared" ca="1" si="58"/>
        <v>2.3458959869300244E-2</v>
      </c>
      <c r="GG63" s="9">
        <f t="shared" ca="1" si="58"/>
        <v>7.8507714820750252E-3</v>
      </c>
      <c r="GH63" s="9">
        <f t="shared" ca="1" si="58"/>
        <v>4.3644968751096136E-2</v>
      </c>
      <c r="GI63" s="9">
        <f t="shared" ca="1" si="58"/>
        <v>8.8707560765239335E-2</v>
      </c>
      <c r="GJ63" s="9">
        <f t="shared" ca="1" si="58"/>
        <v>8.3420723032608501E-2</v>
      </c>
      <c r="GK63" s="9">
        <f t="shared" ca="1" si="58"/>
        <v>8.1505204010034804E-2</v>
      </c>
      <c r="GL63" s="9">
        <f t="shared" ref="GL63:IW63" ca="1" si="59">IF(GL36="","",ABS(GL36))</f>
        <v>9.5136702425681285E-2</v>
      </c>
      <c r="GM63" s="9">
        <f t="shared" ca="1" si="59"/>
        <v>8.4440706693548861E-2</v>
      </c>
      <c r="GN63" s="9">
        <f t="shared" ca="1" si="59"/>
        <v>9.4964801725862524E-2</v>
      </c>
      <c r="GO63" s="9">
        <f t="shared" ca="1" si="59"/>
        <v>4.3970652718689829E-2</v>
      </c>
      <c r="GP63" s="9">
        <f t="shared" ca="1" si="59"/>
        <v>0.22481320108890746</v>
      </c>
      <c r="GQ63" s="9">
        <f t="shared" ca="1" si="59"/>
        <v>0.11261747460807592</v>
      </c>
      <c r="GR63" s="9">
        <f t="shared" ca="1" si="59"/>
        <v>9.2288765214634916E-2</v>
      </c>
      <c r="GS63" s="9" t="str">
        <f t="shared" ca="1" si="59"/>
        <v/>
      </c>
      <c r="GT63" s="9" t="str">
        <f t="shared" ca="1" si="59"/>
        <v/>
      </c>
      <c r="GU63" s="9" t="str">
        <f t="shared" ca="1" si="59"/>
        <v/>
      </c>
      <c r="GV63" s="9" t="str">
        <f t="shared" ca="1" si="59"/>
        <v/>
      </c>
      <c r="GW63" s="9" t="str">
        <f t="shared" ca="1" si="59"/>
        <v/>
      </c>
      <c r="GX63" s="9" t="str">
        <f t="shared" ca="1" si="59"/>
        <v/>
      </c>
      <c r="GY63" s="9" t="str">
        <f t="shared" ca="1" si="59"/>
        <v/>
      </c>
      <c r="GZ63" s="9" t="str">
        <f t="shared" ca="1" si="59"/>
        <v/>
      </c>
      <c r="HA63" s="9" t="str">
        <f t="shared" ca="1" si="59"/>
        <v/>
      </c>
      <c r="HB63" s="9" t="str">
        <f t="shared" ca="1" si="59"/>
        <v/>
      </c>
      <c r="HC63" s="9" t="str">
        <f t="shared" ca="1" si="59"/>
        <v/>
      </c>
      <c r="HD63" s="9" t="str">
        <f t="shared" ca="1" si="59"/>
        <v/>
      </c>
      <c r="HE63" s="9" t="str">
        <f t="shared" ca="1" si="59"/>
        <v/>
      </c>
      <c r="HF63" s="9" t="str">
        <f t="shared" ca="1" si="59"/>
        <v/>
      </c>
      <c r="HG63" s="9" t="str">
        <f t="shared" ca="1" si="59"/>
        <v/>
      </c>
      <c r="HH63" s="9" t="str">
        <f t="shared" ca="1" si="59"/>
        <v/>
      </c>
      <c r="HI63" s="9" t="str">
        <f t="shared" ca="1" si="59"/>
        <v/>
      </c>
      <c r="HJ63" s="9" t="str">
        <f t="shared" ca="1" si="59"/>
        <v/>
      </c>
      <c r="HK63" s="9" t="str">
        <f t="shared" ca="1" si="59"/>
        <v/>
      </c>
      <c r="HL63" s="9" t="str">
        <f t="shared" ca="1" si="59"/>
        <v/>
      </c>
      <c r="HM63" s="9" t="str">
        <f t="shared" ca="1" si="59"/>
        <v/>
      </c>
      <c r="HN63" s="9" t="str">
        <f t="shared" ca="1" si="59"/>
        <v/>
      </c>
      <c r="HO63" s="9" t="str">
        <f t="shared" ca="1" si="59"/>
        <v/>
      </c>
      <c r="HP63" s="9" t="str">
        <f t="shared" ca="1" si="59"/>
        <v/>
      </c>
      <c r="HQ63" s="9" t="str">
        <f t="shared" ca="1" si="59"/>
        <v/>
      </c>
      <c r="HR63" s="9" t="str">
        <f t="shared" ca="1" si="59"/>
        <v/>
      </c>
      <c r="HS63" s="9" t="str">
        <f t="shared" ca="1" si="59"/>
        <v/>
      </c>
      <c r="HT63" s="9" t="str">
        <f t="shared" ca="1" si="59"/>
        <v/>
      </c>
      <c r="HU63" s="9" t="str">
        <f t="shared" ca="1" si="59"/>
        <v/>
      </c>
      <c r="HV63" s="9" t="str">
        <f t="shared" ca="1" si="59"/>
        <v/>
      </c>
      <c r="HW63" s="9" t="str">
        <f t="shared" ca="1" si="59"/>
        <v/>
      </c>
      <c r="HX63" s="9" t="str">
        <f t="shared" ca="1" si="59"/>
        <v/>
      </c>
      <c r="HY63" s="9" t="str">
        <f t="shared" ca="1" si="59"/>
        <v/>
      </c>
      <c r="HZ63" s="9" t="str">
        <f t="shared" ca="1" si="59"/>
        <v/>
      </c>
      <c r="IA63" s="9" t="str">
        <f t="shared" ca="1" si="59"/>
        <v/>
      </c>
      <c r="IB63" s="9" t="str">
        <f t="shared" ca="1" si="59"/>
        <v/>
      </c>
      <c r="IC63" s="9" t="str">
        <f t="shared" ca="1" si="59"/>
        <v/>
      </c>
      <c r="ID63" s="9" t="str">
        <f t="shared" ca="1" si="59"/>
        <v/>
      </c>
      <c r="IE63" s="9" t="str">
        <f t="shared" ca="1" si="59"/>
        <v/>
      </c>
      <c r="IF63" s="9" t="str">
        <f t="shared" ca="1" si="59"/>
        <v/>
      </c>
      <c r="IG63" s="9" t="str">
        <f t="shared" ca="1" si="59"/>
        <v/>
      </c>
      <c r="IH63" s="9" t="str">
        <f t="shared" ca="1" si="59"/>
        <v/>
      </c>
      <c r="II63" s="9" t="str">
        <f t="shared" ca="1" si="59"/>
        <v/>
      </c>
      <c r="IJ63" s="9" t="str">
        <f t="shared" ca="1" si="59"/>
        <v/>
      </c>
      <c r="IK63" s="9" t="str">
        <f t="shared" ca="1" si="59"/>
        <v/>
      </c>
      <c r="IL63" s="9" t="str">
        <f t="shared" ca="1" si="59"/>
        <v/>
      </c>
      <c r="IM63" s="9" t="str">
        <f t="shared" ca="1" si="59"/>
        <v/>
      </c>
      <c r="IN63" s="9" t="str">
        <f t="shared" ca="1" si="59"/>
        <v/>
      </c>
      <c r="IO63" s="9" t="str">
        <f t="shared" ca="1" si="59"/>
        <v/>
      </c>
      <c r="IP63" s="9" t="str">
        <f t="shared" ca="1" si="59"/>
        <v/>
      </c>
      <c r="IQ63" s="9" t="str">
        <f t="shared" ca="1" si="59"/>
        <v/>
      </c>
      <c r="IR63" s="9" t="str">
        <f t="shared" ca="1" si="59"/>
        <v/>
      </c>
      <c r="IS63" s="9" t="str">
        <f t="shared" ca="1" si="59"/>
        <v/>
      </c>
      <c r="IT63" s="9" t="str">
        <f t="shared" ca="1" si="59"/>
        <v/>
      </c>
      <c r="IU63" s="9" t="str">
        <f t="shared" ca="1" si="59"/>
        <v/>
      </c>
      <c r="IV63" s="9" t="str">
        <f t="shared" ca="1" si="59"/>
        <v/>
      </c>
      <c r="IW63" s="9" t="str">
        <f t="shared" ca="1" si="59"/>
        <v/>
      </c>
      <c r="IX63" s="9" t="str">
        <f t="shared" ref="IX63:JH63" ca="1" si="60">IF(IX36="","",ABS(IX36))</f>
        <v/>
      </c>
      <c r="IY63" s="9" t="str">
        <f t="shared" ca="1" si="60"/>
        <v/>
      </c>
      <c r="IZ63" s="9" t="str">
        <f t="shared" ca="1" si="60"/>
        <v/>
      </c>
      <c r="JA63" s="9" t="str">
        <f t="shared" ca="1" si="60"/>
        <v/>
      </c>
      <c r="JB63" s="9" t="str">
        <f t="shared" ca="1" si="60"/>
        <v/>
      </c>
      <c r="JC63" s="9" t="str">
        <f t="shared" ca="1" si="60"/>
        <v/>
      </c>
      <c r="JD63" s="9" t="str">
        <f t="shared" ca="1" si="60"/>
        <v/>
      </c>
      <c r="JE63" s="9" t="str">
        <f t="shared" ca="1" si="60"/>
        <v/>
      </c>
      <c r="JF63" s="9" t="str">
        <f t="shared" ca="1" si="60"/>
        <v/>
      </c>
      <c r="JG63" s="9" t="str">
        <f t="shared" ca="1" si="60"/>
        <v/>
      </c>
      <c r="JH63" s="9" t="str">
        <f t="shared" ca="1" si="60"/>
        <v/>
      </c>
      <c r="JI63" s="13">
        <f t="shared" ca="1" si="25"/>
        <v>8.119257743238692E-2</v>
      </c>
      <c r="JJ63" s="13">
        <f t="shared" ca="1" si="26"/>
        <v>8.6574133729394098E-2</v>
      </c>
      <c r="JK63" s="14">
        <f t="shared" ca="1" si="27"/>
        <v>1.943232372694432E-3</v>
      </c>
      <c r="JL63" s="17">
        <f t="shared" ca="1" si="35"/>
        <v>4.4082109440162137E-2</v>
      </c>
      <c r="JM63" s="15" t="str">
        <f t="shared" ca="1" si="28"/>
        <v>[ -0,70% ; 16,94% ]</v>
      </c>
      <c r="JN63" s="17">
        <f t="shared" ca="1" si="29"/>
        <v>5.6425100083407537E-2</v>
      </c>
      <c r="LY63" s="1"/>
    </row>
    <row r="64" spans="1:337" x14ac:dyDescent="0.25">
      <c r="A64" s="4">
        <v>8</v>
      </c>
      <c r="B64" s="9">
        <f t="shared" ref="B64:BM64" ca="1" si="61">IF(B37="","",ABS(B37))</f>
        <v>2.8498558537533469E-2</v>
      </c>
      <c r="C64" s="9">
        <f t="shared" ca="1" si="61"/>
        <v>1.7249951793751217E-2</v>
      </c>
      <c r="D64" s="9">
        <f t="shared" ca="1" si="61"/>
        <v>1.8271464400029691E-2</v>
      </c>
      <c r="E64" s="9">
        <f t="shared" ca="1" si="61"/>
        <v>1.5176649268260789E-2</v>
      </c>
      <c r="F64" s="9">
        <f t="shared" ca="1" si="61"/>
        <v>5.9574880145202957E-2</v>
      </c>
      <c r="G64" s="9">
        <f t="shared" ca="1" si="61"/>
        <v>1.8123804611002603E-2</v>
      </c>
      <c r="H64" s="9">
        <f t="shared" ca="1" si="61"/>
        <v>1.6777458997705885E-2</v>
      </c>
      <c r="I64" s="9">
        <f t="shared" ca="1" si="61"/>
        <v>9.7904601367624355E-3</v>
      </c>
      <c r="J64" s="9">
        <f t="shared" ca="1" si="61"/>
        <v>4.4076276032014583E-3</v>
      </c>
      <c r="K64" s="9">
        <f t="shared" ca="1" si="61"/>
        <v>1.3634779860764668E-2</v>
      </c>
      <c r="L64" s="9">
        <f t="shared" ca="1" si="61"/>
        <v>6.1113833358104053E-3</v>
      </c>
      <c r="M64" s="9">
        <f t="shared" ca="1" si="61"/>
        <v>1.6822578683428624E-3</v>
      </c>
      <c r="N64" s="9">
        <f t="shared" ca="1" si="61"/>
        <v>9.1995182299007272E-3</v>
      </c>
      <c r="O64" s="9">
        <f t="shared" ca="1" si="61"/>
        <v>6.556168472316104E-3</v>
      </c>
      <c r="P64" s="9">
        <f t="shared" ca="1" si="61"/>
        <v>1.0613014740044724E-2</v>
      </c>
      <c r="Q64" s="9">
        <f t="shared" ca="1" si="61"/>
        <v>2.4461604925505753E-2</v>
      </c>
      <c r="R64" s="9">
        <f t="shared" ca="1" si="61"/>
        <v>3.5905697981095219E-2</v>
      </c>
      <c r="S64" s="9">
        <f t="shared" ca="1" si="61"/>
        <v>2.5844550712358139E-2</v>
      </c>
      <c r="T64" s="9">
        <f t="shared" ca="1" si="61"/>
        <v>1.401845955267067E-2</v>
      </c>
      <c r="U64" s="9">
        <f t="shared" ca="1" si="61"/>
        <v>3.7238321873521274E-2</v>
      </c>
      <c r="V64" s="9">
        <f t="shared" ca="1" si="61"/>
        <v>4.883089655736006E-2</v>
      </c>
      <c r="W64" s="9">
        <f t="shared" ca="1" si="61"/>
        <v>3.6389380842101193E-2</v>
      </c>
      <c r="X64" s="9">
        <f t="shared" ca="1" si="61"/>
        <v>4.1560222716167106E-2</v>
      </c>
      <c r="Y64" s="9">
        <f t="shared" ca="1" si="61"/>
        <v>2.5908303782582909E-2</v>
      </c>
      <c r="Z64" s="9">
        <f t="shared" ca="1" si="61"/>
        <v>2.5065087437567524E-2</v>
      </c>
      <c r="AA64" s="9">
        <f t="shared" ca="1" si="61"/>
        <v>1.3598642131667393E-2</v>
      </c>
      <c r="AB64" s="9">
        <f t="shared" ca="1" si="61"/>
        <v>2.1088206468740101E-2</v>
      </c>
      <c r="AC64" s="9">
        <f t="shared" ca="1" si="61"/>
        <v>1.5584356680539369E-2</v>
      </c>
      <c r="AD64" s="9">
        <f t="shared" ca="1" si="61"/>
        <v>3.3587952118094622E-2</v>
      </c>
      <c r="AE64" s="9">
        <f t="shared" ca="1" si="61"/>
        <v>3.8209264037909252E-2</v>
      </c>
      <c r="AF64" s="9">
        <f t="shared" ca="1" si="61"/>
        <v>4.3571691487763742E-2</v>
      </c>
      <c r="AG64" s="9">
        <f t="shared" ca="1" si="61"/>
        <v>4.9540888422782814E-2</v>
      </c>
      <c r="AH64" s="9">
        <f t="shared" ca="1" si="61"/>
        <v>2.9557438468069464E-2</v>
      </c>
      <c r="AI64" s="9">
        <f t="shared" ca="1" si="61"/>
        <v>2.7065469322480107E-2</v>
      </c>
      <c r="AJ64" s="9">
        <f t="shared" ca="1" si="61"/>
        <v>4.1625956802351372E-3</v>
      </c>
      <c r="AK64" s="9">
        <f t="shared" ca="1" si="61"/>
        <v>2.9180008038801164E-2</v>
      </c>
      <c r="AL64" s="9">
        <f t="shared" ca="1" si="61"/>
        <v>5.6214521899609182E-2</v>
      </c>
      <c r="AM64" s="9">
        <f t="shared" ca="1" si="61"/>
        <v>6.2549580735311916E-2</v>
      </c>
      <c r="AN64" s="9">
        <f t="shared" ca="1" si="61"/>
        <v>6.2325002389427619E-2</v>
      </c>
      <c r="AO64" s="9">
        <f t="shared" ca="1" si="61"/>
        <v>6.7880673790058244E-2</v>
      </c>
      <c r="AP64" s="9">
        <f t="shared" ca="1" si="61"/>
        <v>3.6922535910509646E-2</v>
      </c>
      <c r="AQ64" s="9">
        <f t="shared" ca="1" si="61"/>
        <v>5.3388488341877705E-2</v>
      </c>
      <c r="AR64" s="9">
        <f t="shared" ca="1" si="61"/>
        <v>7.737049732198964E-2</v>
      </c>
      <c r="AS64" s="9">
        <f t="shared" ca="1" si="61"/>
        <v>7.4108592261384887E-2</v>
      </c>
      <c r="AT64" s="9">
        <f t="shared" ca="1" si="61"/>
        <v>9.8677153496727787E-2</v>
      </c>
      <c r="AU64" s="9">
        <f t="shared" ca="1" si="61"/>
        <v>0.13577361218042305</v>
      </c>
      <c r="AV64" s="9">
        <f t="shared" ca="1" si="61"/>
        <v>0.16020074728402867</v>
      </c>
      <c r="AW64" s="9">
        <f t="shared" ca="1" si="61"/>
        <v>0.18483911134003328</v>
      </c>
      <c r="AX64" s="9">
        <f t="shared" ca="1" si="61"/>
        <v>0.21051474942162529</v>
      </c>
      <c r="AY64" s="9">
        <f t="shared" ca="1" si="61"/>
        <v>0.19984842232941069</v>
      </c>
      <c r="AZ64" s="9">
        <f t="shared" ca="1" si="61"/>
        <v>0.24734660564249755</v>
      </c>
      <c r="BA64" s="9">
        <f t="shared" ca="1" si="61"/>
        <v>0.28317739811630416</v>
      </c>
      <c r="BB64" s="9">
        <f t="shared" ca="1" si="61"/>
        <v>0.28660549732077611</v>
      </c>
      <c r="BC64" s="9">
        <f t="shared" ca="1" si="61"/>
        <v>0.26181946879029261</v>
      </c>
      <c r="BD64" s="9">
        <f t="shared" ca="1" si="61"/>
        <v>0.2257186720734542</v>
      </c>
      <c r="BE64" s="9">
        <f t="shared" ca="1" si="61"/>
        <v>0.21048948339289431</v>
      </c>
      <c r="BF64" s="9">
        <f t="shared" ca="1" si="61"/>
        <v>0.20287722969277466</v>
      </c>
      <c r="BG64" s="9">
        <f t="shared" ca="1" si="61"/>
        <v>0.20659332380100226</v>
      </c>
      <c r="BH64" s="9">
        <f t="shared" ca="1" si="61"/>
        <v>5.2894175721210024E-2</v>
      </c>
      <c r="BI64" s="9">
        <f t="shared" ca="1" si="61"/>
        <v>4.6575760474276029E-2</v>
      </c>
      <c r="BJ64" s="9">
        <f t="shared" ca="1" si="61"/>
        <v>0.15227616388247389</v>
      </c>
      <c r="BK64" s="9">
        <f t="shared" ca="1" si="61"/>
        <v>0.11846792470283107</v>
      </c>
      <c r="BL64" s="9">
        <f t="shared" ca="1" si="61"/>
        <v>0.14860098402380606</v>
      </c>
      <c r="BM64" s="9">
        <f t="shared" ca="1" si="61"/>
        <v>0.22106530619231068</v>
      </c>
      <c r="BN64" s="9">
        <f t="shared" ref="BN64:DY64" ca="1" si="62">IF(BN37="","",ABS(BN37))</f>
        <v>0.20920911617658122</v>
      </c>
      <c r="BO64" s="9">
        <f t="shared" ca="1" si="62"/>
        <v>0.19806238701710521</v>
      </c>
      <c r="BP64" s="9">
        <f t="shared" ca="1" si="62"/>
        <v>0.14071165917086415</v>
      </c>
      <c r="BQ64" s="9">
        <f t="shared" ca="1" si="62"/>
        <v>8.0672773244161444E-3</v>
      </c>
      <c r="BR64" s="9">
        <f t="shared" ca="1" si="62"/>
        <v>2.8781034430184205E-2</v>
      </c>
      <c r="BS64" s="9">
        <f t="shared" ca="1" si="62"/>
        <v>2.3400335459640931E-2</v>
      </c>
      <c r="BT64" s="9">
        <f t="shared" ca="1" si="62"/>
        <v>0.10387188239610423</v>
      </c>
      <c r="BU64" s="9">
        <f t="shared" ca="1" si="62"/>
        <v>2.7996395675607522E-2</v>
      </c>
      <c r="BV64" s="9">
        <f t="shared" ca="1" si="62"/>
        <v>3.4238933824644269E-2</v>
      </c>
      <c r="BW64" s="9">
        <f t="shared" ca="1" si="62"/>
        <v>6.0348467519831139E-2</v>
      </c>
      <c r="BX64" s="9">
        <f t="shared" ca="1" si="62"/>
        <v>5.3630734351046261E-2</v>
      </c>
      <c r="BY64" s="9">
        <f t="shared" ca="1" si="62"/>
        <v>7.7494335661283387E-2</v>
      </c>
      <c r="BZ64" s="9">
        <f t="shared" ca="1" si="62"/>
        <v>7.1299571662304606E-2</v>
      </c>
      <c r="CA64" s="9">
        <f t="shared" ca="1" si="62"/>
        <v>4.1416328399547675E-2</v>
      </c>
      <c r="CB64" s="9">
        <f t="shared" ca="1" si="62"/>
        <v>8.9885222729171321E-3</v>
      </c>
      <c r="CC64" s="9">
        <f t="shared" ca="1" si="62"/>
        <v>1.5272338568025345E-2</v>
      </c>
      <c r="CD64" s="9">
        <f t="shared" ca="1" si="62"/>
        <v>1.6923445340450316E-2</v>
      </c>
      <c r="CE64" s="9">
        <f t="shared" ca="1" si="62"/>
        <v>2.6289802885865909E-2</v>
      </c>
      <c r="CF64" s="9">
        <f t="shared" ca="1" si="62"/>
        <v>1.2124233108238069E-2</v>
      </c>
      <c r="CG64" s="9">
        <f t="shared" ca="1" si="62"/>
        <v>1.4490906644373469E-2</v>
      </c>
      <c r="CH64" s="9">
        <f t="shared" ca="1" si="62"/>
        <v>1.6559133628819889E-2</v>
      </c>
      <c r="CI64" s="9">
        <f t="shared" ca="1" si="62"/>
        <v>4.0725814948294747E-3</v>
      </c>
      <c r="CJ64" s="9">
        <f t="shared" ca="1" si="62"/>
        <v>3.3873239522931531E-2</v>
      </c>
      <c r="CK64" s="9">
        <f t="shared" ca="1" si="62"/>
        <v>5.4587715088456945E-2</v>
      </c>
      <c r="CL64" s="9">
        <f t="shared" ca="1" si="62"/>
        <v>3.7338193480608739E-2</v>
      </c>
      <c r="CM64" s="9">
        <f t="shared" ca="1" si="62"/>
        <v>2.5669299249467814E-2</v>
      </c>
      <c r="CN64" s="9">
        <f t="shared" ca="1" si="62"/>
        <v>4.8288657874556717E-3</v>
      </c>
      <c r="CO64" s="9">
        <f t="shared" ca="1" si="62"/>
        <v>6.5880401202155214E-3</v>
      </c>
      <c r="CP64" s="9">
        <f t="shared" ca="1" si="62"/>
        <v>6.5754061779842554E-2</v>
      </c>
      <c r="CQ64" s="9">
        <f t="shared" ca="1" si="62"/>
        <v>5.5968041423267945E-2</v>
      </c>
      <c r="CR64" s="9">
        <f t="shared" ca="1" si="62"/>
        <v>5.2442334868266771E-3</v>
      </c>
      <c r="CS64" s="9">
        <f t="shared" ca="1" si="62"/>
        <v>4.4154166646857562E-2</v>
      </c>
      <c r="CT64" s="9">
        <f t="shared" ca="1" si="62"/>
        <v>8.2510022168509889E-2</v>
      </c>
      <c r="CU64" s="9">
        <f t="shared" ca="1" si="62"/>
        <v>2.657305910800134E-2</v>
      </c>
      <c r="CV64" s="9">
        <f t="shared" ca="1" si="62"/>
        <v>1.0050469637628123E-2</v>
      </c>
      <c r="CW64" s="9">
        <f t="shared" ca="1" si="62"/>
        <v>2.4385900626429091E-3</v>
      </c>
      <c r="CX64" s="9">
        <f t="shared" ca="1" si="62"/>
        <v>3.4731495322226413E-2</v>
      </c>
      <c r="CY64" s="9">
        <f t="shared" ca="1" si="62"/>
        <v>2.4600978811216256E-2</v>
      </c>
      <c r="CZ64" s="9">
        <f t="shared" ca="1" si="62"/>
        <v>7.547888709756867E-3</v>
      </c>
      <c r="DA64" s="9">
        <f t="shared" ca="1" si="62"/>
        <v>8.9482846724504572E-2</v>
      </c>
      <c r="DB64" s="9">
        <f t="shared" ca="1" si="62"/>
        <v>9.6644577978948654E-2</v>
      </c>
      <c r="DC64" s="9">
        <f t="shared" ca="1" si="62"/>
        <v>3.1142784158845194E-2</v>
      </c>
      <c r="DD64" s="9">
        <f t="shared" ca="1" si="62"/>
        <v>8.9791563774271888E-2</v>
      </c>
      <c r="DE64" s="9">
        <f t="shared" ca="1" si="62"/>
        <v>0.1309576909767538</v>
      </c>
      <c r="DF64" s="9">
        <f t="shared" ca="1" si="62"/>
        <v>8.037428675714331E-2</v>
      </c>
      <c r="DG64" s="9">
        <f t="shared" ca="1" si="62"/>
        <v>0.12634204081226197</v>
      </c>
      <c r="DH64" s="9">
        <f t="shared" ca="1" si="62"/>
        <v>4.3856338133724915E-2</v>
      </c>
      <c r="DI64" s="9">
        <f t="shared" ca="1" si="62"/>
        <v>5.7409463261402838E-2</v>
      </c>
      <c r="DJ64" s="9">
        <f t="shared" ca="1" si="62"/>
        <v>5.8817042784417906E-2</v>
      </c>
      <c r="DK64" s="9">
        <f t="shared" ca="1" si="62"/>
        <v>4.4155781107848346E-2</v>
      </c>
      <c r="DL64" s="9">
        <f t="shared" ca="1" si="62"/>
        <v>3.2400982930068878E-2</v>
      </c>
      <c r="DM64" s="9">
        <f t="shared" ca="1" si="62"/>
        <v>2.3196494268621803E-2</v>
      </c>
      <c r="DN64" s="9">
        <f t="shared" ca="1" si="62"/>
        <v>4.6260025828355644E-2</v>
      </c>
      <c r="DO64" s="9">
        <f t="shared" ca="1" si="62"/>
        <v>5.3690840928265482E-3</v>
      </c>
      <c r="DP64" s="9">
        <f t="shared" ca="1" si="62"/>
        <v>5.8023187880560823E-2</v>
      </c>
      <c r="DQ64" s="9">
        <f t="shared" ca="1" si="62"/>
        <v>5.4927737164025325E-2</v>
      </c>
      <c r="DR64" s="9">
        <f t="shared" ca="1" si="62"/>
        <v>9.7429495870831051E-3</v>
      </c>
      <c r="DS64" s="9">
        <f t="shared" ca="1" si="62"/>
        <v>3.1320777820700307E-3</v>
      </c>
      <c r="DT64" s="9">
        <f t="shared" ca="1" si="62"/>
        <v>1.7880697328062745E-2</v>
      </c>
      <c r="DU64" s="9">
        <f t="shared" ca="1" si="62"/>
        <v>5.034792484147399E-3</v>
      </c>
      <c r="DV64" s="9">
        <f t="shared" ca="1" si="62"/>
        <v>6.075555128147947E-3</v>
      </c>
      <c r="DW64" s="9">
        <f t="shared" ca="1" si="62"/>
        <v>2.8419677795890719E-2</v>
      </c>
      <c r="DX64" s="9">
        <f t="shared" ca="1" si="62"/>
        <v>1.0543669746246209E-2</v>
      </c>
      <c r="DY64" s="9">
        <f t="shared" ca="1" si="62"/>
        <v>2.5554619165304437E-2</v>
      </c>
      <c r="DZ64" s="9">
        <f t="shared" ref="DZ64:GK64" ca="1" si="63">IF(DZ37="","",ABS(DZ37))</f>
        <v>3.4660265045586947E-2</v>
      </c>
      <c r="EA64" s="9">
        <f t="shared" ca="1" si="63"/>
        <v>3.5041405924921776E-2</v>
      </c>
      <c r="EB64" s="9">
        <f t="shared" ca="1" si="63"/>
        <v>5.6362068406755617E-2</v>
      </c>
      <c r="EC64" s="9">
        <f t="shared" ca="1" si="63"/>
        <v>2.4398200202377929E-3</v>
      </c>
      <c r="ED64" s="9">
        <f t="shared" ca="1" si="63"/>
        <v>7.1108328752795824E-3</v>
      </c>
      <c r="EE64" s="9">
        <f t="shared" ca="1" si="63"/>
        <v>1.755627879488264E-2</v>
      </c>
      <c r="EF64" s="9">
        <f t="shared" ca="1" si="63"/>
        <v>3.4106084364802003E-2</v>
      </c>
      <c r="EG64" s="9">
        <f t="shared" ca="1" si="63"/>
        <v>2.9285213740796956E-2</v>
      </c>
      <c r="EH64" s="9">
        <f t="shared" ca="1" si="63"/>
        <v>8.3571366175446138E-2</v>
      </c>
      <c r="EI64" s="9">
        <f t="shared" ca="1" si="63"/>
        <v>7.7391843432603857E-2</v>
      </c>
      <c r="EJ64" s="9">
        <f t="shared" ca="1" si="63"/>
        <v>6.1106365412520347E-2</v>
      </c>
      <c r="EK64" s="9">
        <f t="shared" ca="1" si="63"/>
        <v>6.7005349380583334E-3</v>
      </c>
      <c r="EL64" s="9">
        <f t="shared" ca="1" si="63"/>
        <v>3.0821780364251428E-2</v>
      </c>
      <c r="EM64" s="9">
        <f t="shared" ca="1" si="63"/>
        <v>5.1536062299689878E-2</v>
      </c>
      <c r="EN64" s="9">
        <f t="shared" ca="1" si="63"/>
        <v>0.10440218798685375</v>
      </c>
      <c r="EO64" s="9">
        <f t="shared" ca="1" si="63"/>
        <v>4.9256395933056973E-2</v>
      </c>
      <c r="EP64" s="9">
        <f t="shared" ca="1" si="63"/>
        <v>4.1447663808209301E-2</v>
      </c>
      <c r="EQ64" s="9">
        <f t="shared" ca="1" si="63"/>
        <v>5.1159358614435213E-2</v>
      </c>
      <c r="ER64" s="9">
        <f t="shared" ca="1" si="63"/>
        <v>4.8550634881564747E-2</v>
      </c>
      <c r="ES64" s="9">
        <f t="shared" ca="1" si="63"/>
        <v>1.475233168273915E-3</v>
      </c>
      <c r="ET64" s="9">
        <f t="shared" ca="1" si="63"/>
        <v>1.7422091078002633E-2</v>
      </c>
      <c r="EU64" s="9">
        <f t="shared" ca="1" si="63"/>
        <v>5.1903237553993953E-2</v>
      </c>
      <c r="EV64" s="9">
        <f t="shared" ca="1" si="63"/>
        <v>5.3662481243989313E-2</v>
      </c>
      <c r="EW64" s="9">
        <f t="shared" ca="1" si="63"/>
        <v>2.6663841639910646E-2</v>
      </c>
      <c r="EX64" s="9">
        <f t="shared" ca="1" si="63"/>
        <v>2.2522945545538686E-2</v>
      </c>
      <c r="EY64" s="9">
        <f t="shared" ca="1" si="63"/>
        <v>4.9371531619255449E-2</v>
      </c>
      <c r="EZ64" s="9">
        <f t="shared" ca="1" si="63"/>
        <v>3.048438638687756E-3</v>
      </c>
      <c r="FA64" s="9">
        <f t="shared" ca="1" si="63"/>
        <v>1.8571809503868053E-2</v>
      </c>
      <c r="FB64" s="9">
        <f t="shared" ca="1" si="63"/>
        <v>5.7121595871106878E-3</v>
      </c>
      <c r="FC64" s="9">
        <f t="shared" ca="1" si="63"/>
        <v>2.4313201454551625E-2</v>
      </c>
      <c r="FD64" s="9">
        <f t="shared" ca="1" si="63"/>
        <v>4.4921300797716723E-3</v>
      </c>
      <c r="FE64" s="9">
        <f t="shared" ca="1" si="63"/>
        <v>1.5323357573771013E-3</v>
      </c>
      <c r="FF64" s="9">
        <f t="shared" ca="1" si="63"/>
        <v>6.4916618788141811E-2</v>
      </c>
      <c r="FG64" s="9">
        <f t="shared" ca="1" si="63"/>
        <v>4.4662764760096563E-2</v>
      </c>
      <c r="FH64" s="9">
        <f t="shared" ca="1" si="63"/>
        <v>4.9211898539500698E-3</v>
      </c>
      <c r="FI64" s="9">
        <f t="shared" ca="1" si="63"/>
        <v>9.320713065013253E-3</v>
      </c>
      <c r="FJ64" s="9">
        <f t="shared" ca="1" si="63"/>
        <v>2.9157904622679753E-2</v>
      </c>
      <c r="FK64" s="9">
        <f t="shared" ca="1" si="63"/>
        <v>1.8375087162238568E-2</v>
      </c>
      <c r="FL64" s="9">
        <f t="shared" ca="1" si="63"/>
        <v>9.9737932528730755E-2</v>
      </c>
      <c r="FM64" s="9">
        <f t="shared" ca="1" si="63"/>
        <v>0.10311788356509666</v>
      </c>
      <c r="FN64" s="9">
        <f t="shared" ca="1" si="63"/>
        <v>8.164247326813745E-2</v>
      </c>
      <c r="FO64" s="9">
        <f t="shared" ca="1" si="63"/>
        <v>4.0788131423751706E-2</v>
      </c>
      <c r="FP64" s="9">
        <f t="shared" ca="1" si="63"/>
        <v>2.2750243120874925E-2</v>
      </c>
      <c r="FQ64" s="9">
        <f t="shared" ca="1" si="63"/>
        <v>3.8395688838323672E-2</v>
      </c>
      <c r="FR64" s="9">
        <f t="shared" ca="1" si="63"/>
        <v>9.8258579195941831E-2</v>
      </c>
      <c r="FS64" s="9">
        <f t="shared" ca="1" si="63"/>
        <v>9.8808656083740454E-2</v>
      </c>
      <c r="FT64" s="9">
        <f t="shared" ca="1" si="63"/>
        <v>0.10649084605124592</v>
      </c>
      <c r="FU64" s="9">
        <f t="shared" ca="1" si="63"/>
        <v>9.2673368232477404E-2</v>
      </c>
      <c r="FV64" s="9">
        <f t="shared" ca="1" si="63"/>
        <v>7.7956242437377199E-2</v>
      </c>
      <c r="FW64" s="9">
        <f t="shared" ca="1" si="63"/>
        <v>5.4024161437385976E-2</v>
      </c>
      <c r="FX64" s="9">
        <f t="shared" ca="1" si="63"/>
        <v>9.3206389299043124E-3</v>
      </c>
      <c r="FY64" s="9">
        <f t="shared" ca="1" si="63"/>
        <v>7.4602903463459991E-2</v>
      </c>
      <c r="FZ64" s="9">
        <f t="shared" ca="1" si="63"/>
        <v>0.1401909226017386</v>
      </c>
      <c r="GA64" s="9">
        <f t="shared" ca="1" si="63"/>
        <v>0.12888523389631623</v>
      </c>
      <c r="GB64" s="9">
        <f t="shared" ca="1" si="63"/>
        <v>0.12233895541278095</v>
      </c>
      <c r="GC64" s="9">
        <f t="shared" ca="1" si="63"/>
        <v>0.10294017232265751</v>
      </c>
      <c r="GD64" s="9">
        <f t="shared" ca="1" si="63"/>
        <v>7.8829345011250274E-2</v>
      </c>
      <c r="GE64" s="9">
        <f t="shared" ca="1" si="63"/>
        <v>4.6764308212848937E-2</v>
      </c>
      <c r="GF64" s="9">
        <f t="shared" ca="1" si="63"/>
        <v>3.2914489004531866E-4</v>
      </c>
      <c r="GG64" s="9">
        <f t="shared" ca="1" si="63"/>
        <v>5.5346970036695531E-2</v>
      </c>
      <c r="GH64" s="9">
        <f t="shared" ca="1" si="63"/>
        <v>0.10283681651528209</v>
      </c>
      <c r="GI64" s="9">
        <f t="shared" ca="1" si="63"/>
        <v>8.4384102001378247E-2</v>
      </c>
      <c r="GJ64" s="9">
        <f t="shared" ca="1" si="63"/>
        <v>7.8295713387920185E-2</v>
      </c>
      <c r="GK64" s="9">
        <f t="shared" ca="1" si="63"/>
        <v>8.0613936287907029E-2</v>
      </c>
      <c r="GL64" s="9">
        <f t="shared" ref="GL64:IW64" ca="1" si="64">IF(GL37="","",ABS(GL37))</f>
        <v>9.0024926466888755E-2</v>
      </c>
      <c r="GM64" s="9">
        <f t="shared" ca="1" si="64"/>
        <v>5.0388689668403486E-2</v>
      </c>
      <c r="GN64" s="9">
        <f t="shared" ca="1" si="64"/>
        <v>8.6274356592004553E-2</v>
      </c>
      <c r="GO64" s="9">
        <f t="shared" ca="1" si="64"/>
        <v>6.0618616490476507E-2</v>
      </c>
      <c r="GP64" s="9">
        <f t="shared" ca="1" si="64"/>
        <v>0.21466125869664898</v>
      </c>
      <c r="GQ64" s="9">
        <f t="shared" ca="1" si="64"/>
        <v>0.12423921466407362</v>
      </c>
      <c r="GR64" s="9" t="str">
        <f t="shared" ca="1" si="64"/>
        <v/>
      </c>
      <c r="GS64" s="9" t="str">
        <f t="shared" ca="1" si="64"/>
        <v/>
      </c>
      <c r="GT64" s="9" t="str">
        <f t="shared" ca="1" si="64"/>
        <v/>
      </c>
      <c r="GU64" s="9" t="str">
        <f t="shared" ca="1" si="64"/>
        <v/>
      </c>
      <c r="GV64" s="9" t="str">
        <f t="shared" ca="1" si="64"/>
        <v/>
      </c>
      <c r="GW64" s="9" t="str">
        <f t="shared" ca="1" si="64"/>
        <v/>
      </c>
      <c r="GX64" s="9" t="str">
        <f t="shared" ca="1" si="64"/>
        <v/>
      </c>
      <c r="GY64" s="9" t="str">
        <f t="shared" ca="1" si="64"/>
        <v/>
      </c>
      <c r="GZ64" s="9" t="str">
        <f t="shared" ca="1" si="64"/>
        <v/>
      </c>
      <c r="HA64" s="9" t="str">
        <f t="shared" ca="1" si="64"/>
        <v/>
      </c>
      <c r="HB64" s="9" t="str">
        <f t="shared" ca="1" si="64"/>
        <v/>
      </c>
      <c r="HC64" s="9" t="str">
        <f t="shared" ca="1" si="64"/>
        <v/>
      </c>
      <c r="HD64" s="9" t="str">
        <f t="shared" ca="1" si="64"/>
        <v/>
      </c>
      <c r="HE64" s="9" t="str">
        <f t="shared" ca="1" si="64"/>
        <v/>
      </c>
      <c r="HF64" s="9" t="str">
        <f t="shared" ca="1" si="64"/>
        <v/>
      </c>
      <c r="HG64" s="9" t="str">
        <f t="shared" ca="1" si="64"/>
        <v/>
      </c>
      <c r="HH64" s="9" t="str">
        <f t="shared" ca="1" si="64"/>
        <v/>
      </c>
      <c r="HI64" s="9" t="str">
        <f t="shared" ca="1" si="64"/>
        <v/>
      </c>
      <c r="HJ64" s="9" t="str">
        <f t="shared" ca="1" si="64"/>
        <v/>
      </c>
      <c r="HK64" s="9" t="str">
        <f t="shared" ca="1" si="64"/>
        <v/>
      </c>
      <c r="HL64" s="9" t="str">
        <f t="shared" ca="1" si="64"/>
        <v/>
      </c>
      <c r="HM64" s="9" t="str">
        <f t="shared" ca="1" si="64"/>
        <v/>
      </c>
      <c r="HN64" s="9" t="str">
        <f t="shared" ca="1" si="64"/>
        <v/>
      </c>
      <c r="HO64" s="9" t="str">
        <f t="shared" ca="1" si="64"/>
        <v/>
      </c>
      <c r="HP64" s="9" t="str">
        <f t="shared" ca="1" si="64"/>
        <v/>
      </c>
      <c r="HQ64" s="9" t="str">
        <f t="shared" ca="1" si="64"/>
        <v/>
      </c>
      <c r="HR64" s="9" t="str">
        <f t="shared" ca="1" si="64"/>
        <v/>
      </c>
      <c r="HS64" s="9" t="str">
        <f t="shared" ca="1" si="64"/>
        <v/>
      </c>
      <c r="HT64" s="9" t="str">
        <f t="shared" ca="1" si="64"/>
        <v/>
      </c>
      <c r="HU64" s="9" t="str">
        <f t="shared" ca="1" si="64"/>
        <v/>
      </c>
      <c r="HV64" s="9" t="str">
        <f t="shared" ca="1" si="64"/>
        <v/>
      </c>
      <c r="HW64" s="9" t="str">
        <f t="shared" ca="1" si="64"/>
        <v/>
      </c>
      <c r="HX64" s="9" t="str">
        <f t="shared" ca="1" si="64"/>
        <v/>
      </c>
      <c r="HY64" s="9" t="str">
        <f t="shared" ca="1" si="64"/>
        <v/>
      </c>
      <c r="HZ64" s="9" t="str">
        <f t="shared" ca="1" si="64"/>
        <v/>
      </c>
      <c r="IA64" s="9" t="str">
        <f t="shared" ca="1" si="64"/>
        <v/>
      </c>
      <c r="IB64" s="9" t="str">
        <f t="shared" ca="1" si="64"/>
        <v/>
      </c>
      <c r="IC64" s="9" t="str">
        <f t="shared" ca="1" si="64"/>
        <v/>
      </c>
      <c r="ID64" s="9" t="str">
        <f t="shared" ca="1" si="64"/>
        <v/>
      </c>
      <c r="IE64" s="9" t="str">
        <f t="shared" ca="1" si="64"/>
        <v/>
      </c>
      <c r="IF64" s="9" t="str">
        <f t="shared" ca="1" si="64"/>
        <v/>
      </c>
      <c r="IG64" s="9" t="str">
        <f t="shared" ca="1" si="64"/>
        <v/>
      </c>
      <c r="IH64" s="9" t="str">
        <f t="shared" ca="1" si="64"/>
        <v/>
      </c>
      <c r="II64" s="9" t="str">
        <f t="shared" ca="1" si="64"/>
        <v/>
      </c>
      <c r="IJ64" s="9" t="str">
        <f t="shared" ca="1" si="64"/>
        <v/>
      </c>
      <c r="IK64" s="9" t="str">
        <f t="shared" ca="1" si="64"/>
        <v/>
      </c>
      <c r="IL64" s="9" t="str">
        <f t="shared" ca="1" si="64"/>
        <v/>
      </c>
      <c r="IM64" s="9" t="str">
        <f t="shared" ca="1" si="64"/>
        <v/>
      </c>
      <c r="IN64" s="9" t="str">
        <f t="shared" ca="1" si="64"/>
        <v/>
      </c>
      <c r="IO64" s="9" t="str">
        <f t="shared" ca="1" si="64"/>
        <v/>
      </c>
      <c r="IP64" s="9" t="str">
        <f t="shared" ca="1" si="64"/>
        <v/>
      </c>
      <c r="IQ64" s="9" t="str">
        <f t="shared" ca="1" si="64"/>
        <v/>
      </c>
      <c r="IR64" s="9" t="str">
        <f t="shared" ca="1" si="64"/>
        <v/>
      </c>
      <c r="IS64" s="9" t="str">
        <f t="shared" ca="1" si="64"/>
        <v/>
      </c>
      <c r="IT64" s="9" t="str">
        <f t="shared" ca="1" si="64"/>
        <v/>
      </c>
      <c r="IU64" s="9" t="str">
        <f t="shared" ca="1" si="64"/>
        <v/>
      </c>
      <c r="IV64" s="9" t="str">
        <f t="shared" ca="1" si="64"/>
        <v/>
      </c>
      <c r="IW64" s="9" t="str">
        <f t="shared" ca="1" si="64"/>
        <v/>
      </c>
      <c r="IX64" s="9" t="str">
        <f t="shared" ref="IX64:JH64" ca="1" si="65">IF(IX37="","",ABS(IX37))</f>
        <v/>
      </c>
      <c r="IY64" s="9" t="str">
        <f t="shared" ca="1" si="65"/>
        <v/>
      </c>
      <c r="IZ64" s="9" t="str">
        <f t="shared" ca="1" si="65"/>
        <v/>
      </c>
      <c r="JA64" s="9" t="str">
        <f t="shared" ca="1" si="65"/>
        <v/>
      </c>
      <c r="JB64" s="9" t="str">
        <f t="shared" ca="1" si="65"/>
        <v/>
      </c>
      <c r="JC64" s="9" t="str">
        <f t="shared" ca="1" si="65"/>
        <v/>
      </c>
      <c r="JD64" s="9" t="str">
        <f t="shared" ca="1" si="65"/>
        <v/>
      </c>
      <c r="JE64" s="9" t="str">
        <f t="shared" ca="1" si="65"/>
        <v/>
      </c>
      <c r="JF64" s="9" t="str">
        <f t="shared" ca="1" si="65"/>
        <v/>
      </c>
      <c r="JG64" s="9" t="str">
        <f t="shared" ca="1" si="65"/>
        <v/>
      </c>
      <c r="JH64" s="9" t="str">
        <f t="shared" ca="1" si="65"/>
        <v/>
      </c>
      <c r="JI64" s="13">
        <f t="shared" ca="1" si="25"/>
        <v>8.5129398808339765E-2</v>
      </c>
      <c r="JJ64" s="13">
        <f t="shared" ca="1" si="26"/>
        <v>8.4384102001378247E-2</v>
      </c>
      <c r="JK64" s="14">
        <f t="shared" ca="1" si="27"/>
        <v>1.729390408373288E-3</v>
      </c>
      <c r="JL64" s="17">
        <f t="shared" ca="1" si="35"/>
        <v>4.1585940032338911E-2</v>
      </c>
      <c r="JM64" s="15" t="str">
        <f t="shared" ca="1" si="28"/>
        <v>[ 0,20% ; 16,83% ]</v>
      </c>
      <c r="JN64" s="17">
        <f t="shared" ca="1" si="29"/>
        <v>5.3230003241393806E-2</v>
      </c>
      <c r="LY64" s="1"/>
    </row>
    <row r="65" spans="1:337" x14ac:dyDescent="0.25">
      <c r="A65" s="4">
        <v>9</v>
      </c>
      <c r="B65" s="9">
        <f t="shared" ref="B65:BM65" ca="1" si="66">IF(B38="","",ABS(B38))</f>
        <v>3.8007481403073751E-2</v>
      </c>
      <c r="C65" s="9">
        <f t="shared" ca="1" si="66"/>
        <v>1.4314622572378477E-2</v>
      </c>
      <c r="D65" s="9">
        <f t="shared" ca="1" si="66"/>
        <v>5.8388955306085677E-3</v>
      </c>
      <c r="E65" s="9">
        <f t="shared" ca="1" si="66"/>
        <v>1.9344785773552253E-2</v>
      </c>
      <c r="F65" s="9">
        <f t="shared" ca="1" si="66"/>
        <v>3.945838560285142E-2</v>
      </c>
      <c r="G65" s="9">
        <f t="shared" ca="1" si="66"/>
        <v>2.7349449365922762E-2</v>
      </c>
      <c r="H65" s="9">
        <f t="shared" ca="1" si="66"/>
        <v>2.0492108254634989E-2</v>
      </c>
      <c r="I65" s="9">
        <f t="shared" ca="1" si="66"/>
        <v>1.5252044722931846E-2</v>
      </c>
      <c r="J65" s="9">
        <f t="shared" ca="1" si="66"/>
        <v>5.6133559312498971E-3</v>
      </c>
      <c r="K65" s="9">
        <f t="shared" ca="1" si="66"/>
        <v>6.8780230598946002E-3</v>
      </c>
      <c r="L65" s="9">
        <f t="shared" ca="1" si="66"/>
        <v>9.1324695684005253E-3</v>
      </c>
      <c r="M65" s="9">
        <f t="shared" ca="1" si="66"/>
        <v>9.9500826703282641E-3</v>
      </c>
      <c r="N65" s="9">
        <f t="shared" ca="1" si="66"/>
        <v>1.6860401113356627E-3</v>
      </c>
      <c r="O65" s="9">
        <f t="shared" ca="1" si="66"/>
        <v>3.7465215835290611E-3</v>
      </c>
      <c r="P65" s="9">
        <f t="shared" ca="1" si="66"/>
        <v>1.4927249058074743E-2</v>
      </c>
      <c r="Q65" s="9">
        <f t="shared" ca="1" si="66"/>
        <v>3.3749015951483941E-2</v>
      </c>
      <c r="R65" s="9">
        <f t="shared" ca="1" si="66"/>
        <v>3.4702622059709087E-2</v>
      </c>
      <c r="S65" s="9">
        <f t="shared" ca="1" si="66"/>
        <v>3.4573065855391327E-2</v>
      </c>
      <c r="T65" s="9">
        <f t="shared" ca="1" si="66"/>
        <v>2.3795859638346961E-2</v>
      </c>
      <c r="U65" s="9">
        <f t="shared" ca="1" si="66"/>
        <v>4.6132219691274567E-2</v>
      </c>
      <c r="V65" s="9">
        <f t="shared" ca="1" si="66"/>
        <v>3.6796000006879881E-2</v>
      </c>
      <c r="W65" s="9">
        <f t="shared" ca="1" si="66"/>
        <v>4.2474133945022086E-2</v>
      </c>
      <c r="X65" s="9">
        <f t="shared" ca="1" si="66"/>
        <v>4.0819415143751314E-2</v>
      </c>
      <c r="Y65" s="9">
        <f t="shared" ca="1" si="66"/>
        <v>2.9636466315230647E-2</v>
      </c>
      <c r="Z65" s="9">
        <f t="shared" ca="1" si="66"/>
        <v>2.4678070840331356E-2</v>
      </c>
      <c r="AA65" s="9">
        <f t="shared" ca="1" si="66"/>
        <v>2.4677806156740756E-2</v>
      </c>
      <c r="AB65" s="9">
        <f t="shared" ca="1" si="66"/>
        <v>3.4031218078054426E-2</v>
      </c>
      <c r="AC65" s="9">
        <f t="shared" ca="1" si="66"/>
        <v>3.9139067978715358E-2</v>
      </c>
      <c r="AD65" s="9">
        <f t="shared" ca="1" si="66"/>
        <v>3.3660181216350393E-2</v>
      </c>
      <c r="AE65" s="9">
        <f t="shared" ca="1" si="66"/>
        <v>3.8829119275365809E-2</v>
      </c>
      <c r="AF65" s="9">
        <f t="shared" ca="1" si="66"/>
        <v>4.7220599869206348E-2</v>
      </c>
      <c r="AG65" s="9">
        <f t="shared" ca="1" si="66"/>
        <v>2.8146567957601398E-2</v>
      </c>
      <c r="AH65" s="9">
        <f t="shared" ca="1" si="66"/>
        <v>2.4002708673567907E-2</v>
      </c>
      <c r="AI65" s="9">
        <f t="shared" ca="1" si="66"/>
        <v>1.1778240518291128E-2</v>
      </c>
      <c r="AJ65" s="9">
        <f t="shared" ca="1" si="66"/>
        <v>1.936187372769449E-2</v>
      </c>
      <c r="AK65" s="9">
        <f t="shared" ca="1" si="66"/>
        <v>3.8518072602775399E-2</v>
      </c>
      <c r="AL65" s="9">
        <f t="shared" ca="1" si="66"/>
        <v>5.3286489468263087E-2</v>
      </c>
      <c r="AM65" s="9">
        <f t="shared" ca="1" si="66"/>
        <v>6.049367393601579E-2</v>
      </c>
      <c r="AN65" s="9">
        <f t="shared" ca="1" si="66"/>
        <v>6.2521399730327332E-2</v>
      </c>
      <c r="AO65" s="9">
        <f t="shared" ca="1" si="66"/>
        <v>4.8318908074042377E-2</v>
      </c>
      <c r="AP65" s="9">
        <f t="shared" ca="1" si="66"/>
        <v>6.0604569895222449E-2</v>
      </c>
      <c r="AQ65" s="9">
        <f t="shared" ca="1" si="66"/>
        <v>8.7841816878419632E-2</v>
      </c>
      <c r="AR65" s="9">
        <f t="shared" ca="1" si="66"/>
        <v>8.4601977914887327E-2</v>
      </c>
      <c r="AS65" s="9">
        <f t="shared" ca="1" si="66"/>
        <v>0.11020669831988605</v>
      </c>
      <c r="AT65" s="9">
        <f t="shared" ca="1" si="66"/>
        <v>0.13392163113675681</v>
      </c>
      <c r="AU65" s="9">
        <f t="shared" ca="1" si="66"/>
        <v>0.15999535400454301</v>
      </c>
      <c r="AV65" s="9">
        <f t="shared" ca="1" si="66"/>
        <v>0.18673623149503016</v>
      </c>
      <c r="AW65" s="9">
        <f t="shared" ca="1" si="66"/>
        <v>0.20675108475810955</v>
      </c>
      <c r="AX65" s="9">
        <f t="shared" ca="1" si="66"/>
        <v>0.21830673672983458</v>
      </c>
      <c r="AY65" s="9">
        <f t="shared" ca="1" si="66"/>
        <v>0.27553653097689124</v>
      </c>
      <c r="AZ65" s="9">
        <f t="shared" ca="1" si="66"/>
        <v>0.28883512924226995</v>
      </c>
      <c r="BA65" s="9">
        <f t="shared" ca="1" si="66"/>
        <v>0.30942345730013232</v>
      </c>
      <c r="BB65" s="9">
        <f t="shared" ca="1" si="66"/>
        <v>0.29184879557510102</v>
      </c>
      <c r="BC65" s="9">
        <f t="shared" ca="1" si="66"/>
        <v>0.2872165383805978</v>
      </c>
      <c r="BD65" s="9">
        <f t="shared" ca="1" si="66"/>
        <v>0.26083334226172328</v>
      </c>
      <c r="BE65" s="9">
        <f t="shared" ca="1" si="66"/>
        <v>0.22385045293696848</v>
      </c>
      <c r="BF65" s="9">
        <f t="shared" ca="1" si="66"/>
        <v>0.2021470798003715</v>
      </c>
      <c r="BG65" s="9">
        <f t="shared" ca="1" si="66"/>
        <v>0.17793896720461411</v>
      </c>
      <c r="BH65" s="9">
        <f t="shared" ca="1" si="66"/>
        <v>1.1608045876123518E-2</v>
      </c>
      <c r="BI65" s="9">
        <f t="shared" ca="1" si="66"/>
        <v>5.950060687477654E-2</v>
      </c>
      <c r="BJ65" s="9">
        <f t="shared" ca="1" si="66"/>
        <v>0.20667650730083431</v>
      </c>
      <c r="BK65" s="9">
        <f t="shared" ca="1" si="66"/>
        <v>8.5570490554726764E-2</v>
      </c>
      <c r="BL65" s="9">
        <f t="shared" ca="1" si="66"/>
        <v>0.20132823977863468</v>
      </c>
      <c r="BM65" s="9">
        <f t="shared" ca="1" si="66"/>
        <v>0.23170712194705989</v>
      </c>
      <c r="BN65" s="9">
        <f t="shared" ref="BN65:DY65" ca="1" si="67">IF(BN38="","",ABS(BN38))</f>
        <v>0.22973632946236533</v>
      </c>
      <c r="BO65" s="9">
        <f t="shared" ca="1" si="67"/>
        <v>0.21304873746119357</v>
      </c>
      <c r="BP65" s="9">
        <f t="shared" ca="1" si="67"/>
        <v>0.15571204086220947</v>
      </c>
      <c r="BQ65" s="9">
        <f t="shared" ca="1" si="67"/>
        <v>2.2214805097336088E-2</v>
      </c>
      <c r="BR65" s="9">
        <f t="shared" ca="1" si="67"/>
        <v>3.3729219670639354E-2</v>
      </c>
      <c r="BS65" s="9">
        <f t="shared" ca="1" si="67"/>
        <v>2.5502576368248708E-2</v>
      </c>
      <c r="BT65" s="9">
        <f t="shared" ca="1" si="67"/>
        <v>0.11655201328341303</v>
      </c>
      <c r="BU65" s="9">
        <f t="shared" ca="1" si="67"/>
        <v>2.254290091999489E-2</v>
      </c>
      <c r="BV65" s="9">
        <f t="shared" ca="1" si="67"/>
        <v>7.1610952778648596E-2</v>
      </c>
      <c r="BW65" s="9">
        <f t="shared" ca="1" si="67"/>
        <v>5.2779135051466808E-2</v>
      </c>
      <c r="BX65" s="9">
        <f t="shared" ca="1" si="67"/>
        <v>6.0563950535848843E-2</v>
      </c>
      <c r="BY65" s="9">
        <f t="shared" ca="1" si="67"/>
        <v>9.7716106337662811E-2</v>
      </c>
      <c r="BZ65" s="9">
        <f t="shared" ca="1" si="67"/>
        <v>6.0709830783409968E-2</v>
      </c>
      <c r="CA65" s="9">
        <f t="shared" ca="1" si="67"/>
        <v>4.8243442034676676E-2</v>
      </c>
      <c r="CB65" s="9">
        <f t="shared" ca="1" si="67"/>
        <v>1.2297820699566531E-2</v>
      </c>
      <c r="CC65" s="9">
        <f t="shared" ca="1" si="67"/>
        <v>1.6220201909389997E-2</v>
      </c>
      <c r="CD65" s="9">
        <f t="shared" ca="1" si="67"/>
        <v>2.0758364152006825E-2</v>
      </c>
      <c r="CE65" s="9">
        <f t="shared" ca="1" si="67"/>
        <v>4.1725040915060685E-2</v>
      </c>
      <c r="CF65" s="9">
        <f t="shared" ca="1" si="67"/>
        <v>1.239388153899279E-2</v>
      </c>
      <c r="CG65" s="9">
        <f t="shared" ca="1" si="67"/>
        <v>2.36512251962957E-2</v>
      </c>
      <c r="CH65" s="9">
        <f t="shared" ca="1" si="67"/>
        <v>3.4035556061867478E-2</v>
      </c>
      <c r="CI65" s="9">
        <f t="shared" ca="1" si="67"/>
        <v>1.5888747502914469E-2</v>
      </c>
      <c r="CJ65" s="9">
        <f t="shared" ca="1" si="67"/>
        <v>3.0919477935371309E-2</v>
      </c>
      <c r="CK65" s="9">
        <f t="shared" ca="1" si="67"/>
        <v>3.0023720173626756E-2</v>
      </c>
      <c r="CL65" s="9">
        <f t="shared" ca="1" si="67"/>
        <v>5.6323787961574889E-2</v>
      </c>
      <c r="CM65" s="9">
        <f t="shared" ca="1" si="67"/>
        <v>3.7729135878988296E-2</v>
      </c>
      <c r="CN65" s="9">
        <f t="shared" ca="1" si="67"/>
        <v>1.4059154691710929E-2</v>
      </c>
      <c r="CO65" s="9">
        <f t="shared" ca="1" si="67"/>
        <v>1.7712683255045492E-2</v>
      </c>
      <c r="CP65" s="9">
        <f t="shared" ca="1" si="67"/>
        <v>7.2035029404284412E-2</v>
      </c>
      <c r="CQ65" s="9">
        <f t="shared" ca="1" si="67"/>
        <v>5.7646558142932514E-2</v>
      </c>
      <c r="CR65" s="9">
        <f t="shared" ca="1" si="67"/>
        <v>2.3625324154052496E-2</v>
      </c>
      <c r="CS65" s="9">
        <f t="shared" ca="1" si="67"/>
        <v>4.2518427209751186E-2</v>
      </c>
      <c r="CT65" s="9">
        <f t="shared" ca="1" si="67"/>
        <v>5.2127836647689163E-2</v>
      </c>
      <c r="CU65" s="9">
        <f t="shared" ca="1" si="67"/>
        <v>3.2281844409110194E-2</v>
      </c>
      <c r="CV65" s="9">
        <f t="shared" ca="1" si="67"/>
        <v>1.6760583501603032E-2</v>
      </c>
      <c r="CW65" s="9">
        <f t="shared" ca="1" si="67"/>
        <v>1.1693250134750421E-2</v>
      </c>
      <c r="CX65" s="9">
        <f t="shared" ca="1" si="67"/>
        <v>3.7992382253336343E-2</v>
      </c>
      <c r="CY65" s="9">
        <f t="shared" ca="1" si="67"/>
        <v>4.0647689901930573E-2</v>
      </c>
      <c r="CZ65" s="9">
        <f t="shared" ca="1" si="67"/>
        <v>2.448116517076504E-2</v>
      </c>
      <c r="DA65" s="9">
        <f t="shared" ca="1" si="67"/>
        <v>0.11772603158042094</v>
      </c>
      <c r="DB65" s="9">
        <f t="shared" ca="1" si="67"/>
        <v>0.11196052082851415</v>
      </c>
      <c r="DC65" s="9">
        <f t="shared" ca="1" si="67"/>
        <v>3.7610506986203385E-2</v>
      </c>
      <c r="DD65" s="9">
        <f t="shared" ca="1" si="67"/>
        <v>0.10072333089975194</v>
      </c>
      <c r="DE65" s="9">
        <f t="shared" ca="1" si="67"/>
        <v>0.14184312381724529</v>
      </c>
      <c r="DF65" s="9">
        <f t="shared" ca="1" si="67"/>
        <v>0.10988358855253066</v>
      </c>
      <c r="DG65" s="9">
        <f t="shared" ca="1" si="67"/>
        <v>0.10576412524357814</v>
      </c>
      <c r="DH65" s="9">
        <f t="shared" ca="1" si="67"/>
        <v>4.6083072627245647E-2</v>
      </c>
      <c r="DI65" s="9">
        <f t="shared" ca="1" si="67"/>
        <v>9.5541488911551564E-2</v>
      </c>
      <c r="DJ65" s="9">
        <f t="shared" ca="1" si="67"/>
        <v>5.4551024017514438E-2</v>
      </c>
      <c r="DK65" s="9">
        <f t="shared" ca="1" si="67"/>
        <v>4.718466396702814E-2</v>
      </c>
      <c r="DL65" s="9">
        <f t="shared" ca="1" si="67"/>
        <v>3.3663638969182008E-2</v>
      </c>
      <c r="DM65" s="9">
        <f t="shared" ca="1" si="67"/>
        <v>3.3307736402842902E-2</v>
      </c>
      <c r="DN65" s="9">
        <f t="shared" ca="1" si="67"/>
        <v>5.41479958579687E-2</v>
      </c>
      <c r="DO65" s="9">
        <f t="shared" ca="1" si="67"/>
        <v>9.4727072348100849E-3</v>
      </c>
      <c r="DP65" s="9">
        <f t="shared" ca="1" si="67"/>
        <v>5.1466685391479139E-2</v>
      </c>
      <c r="DQ65" s="9">
        <f t="shared" ca="1" si="67"/>
        <v>6.4196291122436522E-2</v>
      </c>
      <c r="DR65" s="9">
        <f t="shared" ca="1" si="67"/>
        <v>5.1750892431916551E-3</v>
      </c>
      <c r="DS65" s="9">
        <f t="shared" ca="1" si="67"/>
        <v>2.8559489435396546E-2</v>
      </c>
      <c r="DT65" s="9">
        <f t="shared" ca="1" si="67"/>
        <v>3.3480977324189531E-3</v>
      </c>
      <c r="DU65" s="9">
        <f t="shared" ca="1" si="67"/>
        <v>5.4211488983428868E-3</v>
      </c>
      <c r="DV65" s="9">
        <f t="shared" ca="1" si="67"/>
        <v>5.8848666885833456E-3</v>
      </c>
      <c r="DW65" s="9">
        <f t="shared" ca="1" si="67"/>
        <v>2.0959114217651287E-2</v>
      </c>
      <c r="DX65" s="9">
        <f t="shared" ca="1" si="67"/>
        <v>1.1938340158833105E-2</v>
      </c>
      <c r="DY65" s="9">
        <f t="shared" ca="1" si="67"/>
        <v>5.6571716950380768E-2</v>
      </c>
      <c r="DZ65" s="9">
        <f t="shared" ref="DZ65:GK65" ca="1" si="68">IF(DZ38="","",ABS(DZ38))</f>
        <v>3.8890931634553594E-2</v>
      </c>
      <c r="EA65" s="9">
        <f t="shared" ca="1" si="68"/>
        <v>3.1869723462786936E-2</v>
      </c>
      <c r="EB65" s="9">
        <f t="shared" ca="1" si="68"/>
        <v>3.8769652011676481E-2</v>
      </c>
      <c r="EC65" s="9">
        <f t="shared" ca="1" si="68"/>
        <v>1.2361264125933524E-2</v>
      </c>
      <c r="ED65" s="9">
        <f t="shared" ca="1" si="68"/>
        <v>1.5125628692175708E-2</v>
      </c>
      <c r="EE65" s="9">
        <f t="shared" ca="1" si="68"/>
        <v>1.0467889467763114E-2</v>
      </c>
      <c r="EF65" s="9">
        <f t="shared" ca="1" si="68"/>
        <v>2.4512873538555247E-2</v>
      </c>
      <c r="EG65" s="9">
        <f t="shared" ca="1" si="68"/>
        <v>3.490819379818777E-2</v>
      </c>
      <c r="EH65" s="9">
        <f t="shared" ca="1" si="68"/>
        <v>8.8506207740403076E-2</v>
      </c>
      <c r="EI65" s="9">
        <f t="shared" ca="1" si="68"/>
        <v>8.2873633614905406E-2</v>
      </c>
      <c r="EJ65" s="9">
        <f t="shared" ca="1" si="68"/>
        <v>5.634574649041435E-2</v>
      </c>
      <c r="EK65" s="9">
        <f t="shared" ca="1" si="68"/>
        <v>1.01011406678575E-2</v>
      </c>
      <c r="EL65" s="9">
        <f t="shared" ca="1" si="68"/>
        <v>5.4161211553363842E-2</v>
      </c>
      <c r="EM65" s="9">
        <f t="shared" ca="1" si="68"/>
        <v>5.9056086437192512E-2</v>
      </c>
      <c r="EN65" s="9">
        <f t="shared" ca="1" si="68"/>
        <v>0.10144910849783506</v>
      </c>
      <c r="EO65" s="9">
        <f t="shared" ca="1" si="68"/>
        <v>4.1964089944791727E-2</v>
      </c>
      <c r="EP65" s="9">
        <f t="shared" ca="1" si="68"/>
        <v>5.7027908645116865E-2</v>
      </c>
      <c r="EQ65" s="9">
        <f t="shared" ca="1" si="68"/>
        <v>4.4166212360596591E-2</v>
      </c>
      <c r="ER65" s="9">
        <f t="shared" ca="1" si="68"/>
        <v>3.1117095693967922E-2</v>
      </c>
      <c r="ES65" s="9">
        <f t="shared" ca="1" si="68"/>
        <v>5.7707903393280358E-3</v>
      </c>
      <c r="ET65" s="9">
        <f t="shared" ca="1" si="68"/>
        <v>1.1557931006393463E-2</v>
      </c>
      <c r="EU65" s="9">
        <f t="shared" ca="1" si="68"/>
        <v>5.5031139871652202E-2</v>
      </c>
      <c r="EV65" s="9">
        <f t="shared" ca="1" si="68"/>
        <v>6.4387774004934895E-2</v>
      </c>
      <c r="EW65" s="9">
        <f t="shared" ca="1" si="68"/>
        <v>4.7206466593557983E-2</v>
      </c>
      <c r="EX65" s="9">
        <f t="shared" ca="1" si="68"/>
        <v>2.8030325712001147E-2</v>
      </c>
      <c r="EY65" s="9">
        <f t="shared" ca="1" si="68"/>
        <v>4.1635094820577589E-2</v>
      </c>
      <c r="EZ65" s="9">
        <f t="shared" ca="1" si="68"/>
        <v>1.1950511176726297E-2</v>
      </c>
      <c r="FA65" s="9">
        <f t="shared" ca="1" si="68"/>
        <v>2.2729904841243709E-2</v>
      </c>
      <c r="FB65" s="9">
        <f t="shared" ca="1" si="68"/>
        <v>7.3464780778970118E-3</v>
      </c>
      <c r="FC65" s="9">
        <f t="shared" ca="1" si="68"/>
        <v>3.7211819464004758E-3</v>
      </c>
      <c r="FD65" s="9">
        <f t="shared" ca="1" si="68"/>
        <v>3.8884238044890607E-3</v>
      </c>
      <c r="FE65" s="9">
        <f t="shared" ca="1" si="68"/>
        <v>4.8255714328859778E-3</v>
      </c>
      <c r="FF65" s="9">
        <f t="shared" ca="1" si="68"/>
        <v>4.3644909989736247E-2</v>
      </c>
      <c r="FG65" s="9">
        <f t="shared" ca="1" si="68"/>
        <v>4.1009789060807211E-2</v>
      </c>
      <c r="FH65" s="9">
        <f t="shared" ca="1" si="68"/>
        <v>7.0747211573402025E-3</v>
      </c>
      <c r="FI65" s="9">
        <f t="shared" ca="1" si="68"/>
        <v>3.6057489972669554E-3</v>
      </c>
      <c r="FJ65" s="9">
        <f t="shared" ca="1" si="68"/>
        <v>3.943152314182985E-2</v>
      </c>
      <c r="FK65" s="9">
        <f t="shared" ca="1" si="68"/>
        <v>9.8474588571160204E-3</v>
      </c>
      <c r="FL65" s="9">
        <f t="shared" ca="1" si="68"/>
        <v>9.6349636331168553E-2</v>
      </c>
      <c r="FM65" s="9">
        <f t="shared" ca="1" si="68"/>
        <v>0.11330773490658508</v>
      </c>
      <c r="FN65" s="9">
        <f t="shared" ca="1" si="68"/>
        <v>9.4782837040575219E-2</v>
      </c>
      <c r="FO65" s="9">
        <f t="shared" ca="1" si="68"/>
        <v>1.5009320803735071E-2</v>
      </c>
      <c r="FP65" s="9">
        <f t="shared" ca="1" si="68"/>
        <v>7.8024400430833918E-3</v>
      </c>
      <c r="FQ65" s="9">
        <f t="shared" ca="1" si="68"/>
        <v>6.094262727841171E-2</v>
      </c>
      <c r="FR65" s="9">
        <f t="shared" ca="1" si="68"/>
        <v>9.1397772373269515E-2</v>
      </c>
      <c r="FS65" s="9">
        <f t="shared" ca="1" si="68"/>
        <v>0.10495000411369171</v>
      </c>
      <c r="FT65" s="9">
        <f t="shared" ca="1" si="68"/>
        <v>0.11210923531464312</v>
      </c>
      <c r="FU65" s="9">
        <f t="shared" ca="1" si="68"/>
        <v>7.4945995527461839E-2</v>
      </c>
      <c r="FV65" s="9">
        <f t="shared" ca="1" si="68"/>
        <v>6.0387851511383817E-2</v>
      </c>
      <c r="FW65" s="9">
        <f t="shared" ca="1" si="68"/>
        <v>3.9603311929227614E-2</v>
      </c>
      <c r="FX65" s="9">
        <f t="shared" ca="1" si="68"/>
        <v>2.4171015467866708E-2</v>
      </c>
      <c r="FY65" s="9">
        <f t="shared" ca="1" si="68"/>
        <v>8.1532676902488221E-2</v>
      </c>
      <c r="FZ65" s="9">
        <f t="shared" ca="1" si="68"/>
        <v>0.16369552207292715</v>
      </c>
      <c r="GA65" s="9">
        <f t="shared" ca="1" si="68"/>
        <v>0.13235719562146819</v>
      </c>
      <c r="GB65" s="9">
        <f t="shared" ca="1" si="68"/>
        <v>0.12112322711375345</v>
      </c>
      <c r="GC65" s="9">
        <f t="shared" ca="1" si="68"/>
        <v>0.1145861834005597</v>
      </c>
      <c r="GD65" s="9">
        <f t="shared" ca="1" si="68"/>
        <v>8.2282811409992496E-2</v>
      </c>
      <c r="GE65" s="9">
        <f t="shared" ca="1" si="68"/>
        <v>2.6839614371785281E-2</v>
      </c>
      <c r="GF65" s="9">
        <f t="shared" ca="1" si="68"/>
        <v>6.4227163434390944E-2</v>
      </c>
      <c r="GG65" s="9">
        <f t="shared" ca="1" si="68"/>
        <v>0.11885240445696277</v>
      </c>
      <c r="GH65" s="9">
        <f t="shared" ca="1" si="68"/>
        <v>9.9432334019182611E-2</v>
      </c>
      <c r="GI65" s="9">
        <f t="shared" ca="1" si="68"/>
        <v>7.040550771161791E-2</v>
      </c>
      <c r="GJ65" s="9">
        <f t="shared" ca="1" si="68"/>
        <v>7.4245062516361982E-2</v>
      </c>
      <c r="GK65" s="9">
        <f t="shared" ca="1" si="68"/>
        <v>8.1026118660801449E-2</v>
      </c>
      <c r="GL65" s="9">
        <f t="shared" ref="GL65:IW65" ca="1" si="69">IF(GL38="","",ABS(GL38))</f>
        <v>5.6456205604470733E-2</v>
      </c>
      <c r="GM65" s="9">
        <f t="shared" ca="1" si="69"/>
        <v>5.1583269815596022E-2</v>
      </c>
      <c r="GN65" s="9">
        <f t="shared" ca="1" si="69"/>
        <v>7.6666065711979647E-2</v>
      </c>
      <c r="GO65" s="9">
        <f t="shared" ca="1" si="69"/>
        <v>4.3736381782337741E-2</v>
      </c>
      <c r="GP65" s="9">
        <f t="shared" ca="1" si="69"/>
        <v>0.22698890535605987</v>
      </c>
      <c r="GQ65" s="9" t="str">
        <f t="shared" ca="1" si="69"/>
        <v/>
      </c>
      <c r="GR65" s="9" t="str">
        <f t="shared" ca="1" si="69"/>
        <v/>
      </c>
      <c r="GS65" s="9" t="str">
        <f t="shared" ca="1" si="69"/>
        <v/>
      </c>
      <c r="GT65" s="9" t="str">
        <f t="shared" ca="1" si="69"/>
        <v/>
      </c>
      <c r="GU65" s="9" t="str">
        <f t="shared" ca="1" si="69"/>
        <v/>
      </c>
      <c r="GV65" s="9" t="str">
        <f t="shared" ca="1" si="69"/>
        <v/>
      </c>
      <c r="GW65" s="9" t="str">
        <f t="shared" ca="1" si="69"/>
        <v/>
      </c>
      <c r="GX65" s="9" t="str">
        <f t="shared" ca="1" si="69"/>
        <v/>
      </c>
      <c r="GY65" s="9" t="str">
        <f t="shared" ca="1" si="69"/>
        <v/>
      </c>
      <c r="GZ65" s="9" t="str">
        <f t="shared" ca="1" si="69"/>
        <v/>
      </c>
      <c r="HA65" s="9" t="str">
        <f t="shared" ca="1" si="69"/>
        <v/>
      </c>
      <c r="HB65" s="9" t="str">
        <f t="shared" ca="1" si="69"/>
        <v/>
      </c>
      <c r="HC65" s="9" t="str">
        <f t="shared" ca="1" si="69"/>
        <v/>
      </c>
      <c r="HD65" s="9" t="str">
        <f t="shared" ca="1" si="69"/>
        <v/>
      </c>
      <c r="HE65" s="9" t="str">
        <f t="shared" ca="1" si="69"/>
        <v/>
      </c>
      <c r="HF65" s="9" t="str">
        <f t="shared" ca="1" si="69"/>
        <v/>
      </c>
      <c r="HG65" s="9" t="str">
        <f t="shared" ca="1" si="69"/>
        <v/>
      </c>
      <c r="HH65" s="9" t="str">
        <f t="shared" ca="1" si="69"/>
        <v/>
      </c>
      <c r="HI65" s="9" t="str">
        <f t="shared" ca="1" si="69"/>
        <v/>
      </c>
      <c r="HJ65" s="9" t="str">
        <f t="shared" ca="1" si="69"/>
        <v/>
      </c>
      <c r="HK65" s="9" t="str">
        <f t="shared" ca="1" si="69"/>
        <v/>
      </c>
      <c r="HL65" s="9" t="str">
        <f t="shared" ca="1" si="69"/>
        <v/>
      </c>
      <c r="HM65" s="9" t="str">
        <f t="shared" ca="1" si="69"/>
        <v/>
      </c>
      <c r="HN65" s="9" t="str">
        <f t="shared" ca="1" si="69"/>
        <v/>
      </c>
      <c r="HO65" s="9" t="str">
        <f t="shared" ca="1" si="69"/>
        <v/>
      </c>
      <c r="HP65" s="9" t="str">
        <f t="shared" ca="1" si="69"/>
        <v/>
      </c>
      <c r="HQ65" s="9" t="str">
        <f t="shared" ca="1" si="69"/>
        <v/>
      </c>
      <c r="HR65" s="9" t="str">
        <f t="shared" ca="1" si="69"/>
        <v/>
      </c>
      <c r="HS65" s="9" t="str">
        <f t="shared" ca="1" si="69"/>
        <v/>
      </c>
      <c r="HT65" s="9" t="str">
        <f t="shared" ca="1" si="69"/>
        <v/>
      </c>
      <c r="HU65" s="9" t="str">
        <f t="shared" ca="1" si="69"/>
        <v/>
      </c>
      <c r="HV65" s="9" t="str">
        <f t="shared" ca="1" si="69"/>
        <v/>
      </c>
      <c r="HW65" s="9" t="str">
        <f t="shared" ca="1" si="69"/>
        <v/>
      </c>
      <c r="HX65" s="9" t="str">
        <f t="shared" ca="1" si="69"/>
        <v/>
      </c>
      <c r="HY65" s="9" t="str">
        <f t="shared" ca="1" si="69"/>
        <v/>
      </c>
      <c r="HZ65" s="9" t="str">
        <f t="shared" ca="1" si="69"/>
        <v/>
      </c>
      <c r="IA65" s="9" t="str">
        <f t="shared" ca="1" si="69"/>
        <v/>
      </c>
      <c r="IB65" s="9" t="str">
        <f t="shared" ca="1" si="69"/>
        <v/>
      </c>
      <c r="IC65" s="9" t="str">
        <f t="shared" ca="1" si="69"/>
        <v/>
      </c>
      <c r="ID65" s="9" t="str">
        <f t="shared" ca="1" si="69"/>
        <v/>
      </c>
      <c r="IE65" s="9" t="str">
        <f t="shared" ca="1" si="69"/>
        <v/>
      </c>
      <c r="IF65" s="9" t="str">
        <f t="shared" ca="1" si="69"/>
        <v/>
      </c>
      <c r="IG65" s="9" t="str">
        <f t="shared" ca="1" si="69"/>
        <v/>
      </c>
      <c r="IH65" s="9" t="str">
        <f t="shared" ca="1" si="69"/>
        <v/>
      </c>
      <c r="II65" s="9" t="str">
        <f t="shared" ca="1" si="69"/>
        <v/>
      </c>
      <c r="IJ65" s="9" t="str">
        <f t="shared" ca="1" si="69"/>
        <v/>
      </c>
      <c r="IK65" s="9" t="str">
        <f t="shared" ca="1" si="69"/>
        <v/>
      </c>
      <c r="IL65" s="9" t="str">
        <f t="shared" ca="1" si="69"/>
        <v/>
      </c>
      <c r="IM65" s="9" t="str">
        <f t="shared" ca="1" si="69"/>
        <v/>
      </c>
      <c r="IN65" s="9" t="str">
        <f t="shared" ca="1" si="69"/>
        <v/>
      </c>
      <c r="IO65" s="9" t="str">
        <f t="shared" ca="1" si="69"/>
        <v/>
      </c>
      <c r="IP65" s="9" t="str">
        <f t="shared" ca="1" si="69"/>
        <v/>
      </c>
      <c r="IQ65" s="9" t="str">
        <f t="shared" ca="1" si="69"/>
        <v/>
      </c>
      <c r="IR65" s="9" t="str">
        <f t="shared" ca="1" si="69"/>
        <v/>
      </c>
      <c r="IS65" s="9" t="str">
        <f t="shared" ca="1" si="69"/>
        <v/>
      </c>
      <c r="IT65" s="9" t="str">
        <f t="shared" ca="1" si="69"/>
        <v/>
      </c>
      <c r="IU65" s="9" t="str">
        <f t="shared" ca="1" si="69"/>
        <v/>
      </c>
      <c r="IV65" s="9" t="str">
        <f t="shared" ca="1" si="69"/>
        <v/>
      </c>
      <c r="IW65" s="9" t="str">
        <f t="shared" ca="1" si="69"/>
        <v/>
      </c>
      <c r="IX65" s="9" t="str">
        <f t="shared" ref="IX65:JH65" ca="1" si="70">IF(IX38="","",ABS(IX38))</f>
        <v/>
      </c>
      <c r="IY65" s="9" t="str">
        <f t="shared" ca="1" si="70"/>
        <v/>
      </c>
      <c r="IZ65" s="9" t="str">
        <f t="shared" ca="1" si="70"/>
        <v/>
      </c>
      <c r="JA65" s="9" t="str">
        <f t="shared" ca="1" si="70"/>
        <v/>
      </c>
      <c r="JB65" s="9" t="str">
        <f t="shared" ca="1" si="70"/>
        <v/>
      </c>
      <c r="JC65" s="9" t="str">
        <f t="shared" ca="1" si="70"/>
        <v/>
      </c>
      <c r="JD65" s="9" t="str">
        <f t="shared" ca="1" si="70"/>
        <v/>
      </c>
      <c r="JE65" s="9" t="str">
        <f t="shared" ca="1" si="70"/>
        <v/>
      </c>
      <c r="JF65" s="9" t="str">
        <f t="shared" ca="1" si="70"/>
        <v/>
      </c>
      <c r="JG65" s="9" t="str">
        <f t="shared" ca="1" si="70"/>
        <v/>
      </c>
      <c r="JH65" s="9" t="str">
        <f t="shared" ca="1" si="70"/>
        <v/>
      </c>
      <c r="JI65" s="13">
        <f t="shared" ca="1" si="25"/>
        <v>8.671324859533433E-2</v>
      </c>
      <c r="JJ65" s="13">
        <f t="shared" ca="1" si="26"/>
        <v>7.8846092186390548E-2</v>
      </c>
      <c r="JK65" s="14">
        <f t="shared" ca="1" si="27"/>
        <v>1.8521834791690168E-3</v>
      </c>
      <c r="JL65" s="17">
        <f t="shared" ca="1" si="35"/>
        <v>4.303700127993372E-2</v>
      </c>
      <c r="JM65" s="15" t="str">
        <f t="shared" ca="1" si="28"/>
        <v>[ 0,06% ; 17,28% ]</v>
      </c>
      <c r="JN65" s="17">
        <f t="shared" ca="1" si="29"/>
        <v>5.5087361638315166E-2</v>
      </c>
      <c r="LY65" s="1"/>
    </row>
    <row r="66" spans="1:337" x14ac:dyDescent="0.25">
      <c r="A66" s="4">
        <v>10</v>
      </c>
      <c r="B66" s="9">
        <f t="shared" ref="B66:BM66" ca="1" si="71">IF(B39="","",ABS(B39))</f>
        <v>4.4223016038606566E-2</v>
      </c>
      <c r="C66" s="9">
        <f t="shared" ca="1" si="71"/>
        <v>2.5401039184538288E-3</v>
      </c>
      <c r="D66" s="9">
        <f t="shared" ca="1" si="71"/>
        <v>1.034783327732347E-2</v>
      </c>
      <c r="E66" s="9">
        <f t="shared" ca="1" si="71"/>
        <v>4.7428054733471559E-3</v>
      </c>
      <c r="F66" s="9">
        <f t="shared" ca="1" si="71"/>
        <v>4.1431896205933683E-2</v>
      </c>
      <c r="G66" s="9">
        <f t="shared" ca="1" si="71"/>
        <v>2.8919877120032966E-2</v>
      </c>
      <c r="H66" s="9">
        <f t="shared" ca="1" si="71"/>
        <v>1.767483825370797E-2</v>
      </c>
      <c r="I66" s="9">
        <f t="shared" ca="1" si="71"/>
        <v>1.2876092519420013E-2</v>
      </c>
      <c r="J66" s="9">
        <f t="shared" ca="1" si="71"/>
        <v>2.1509891346937593E-2</v>
      </c>
      <c r="K66" s="9">
        <f t="shared" ca="1" si="71"/>
        <v>9.3011311771192817E-3</v>
      </c>
      <c r="L66" s="9">
        <f t="shared" ca="1" si="71"/>
        <v>2.1602217633789667E-2</v>
      </c>
      <c r="M66" s="9">
        <f t="shared" ca="1" si="71"/>
        <v>5.4325744319129177E-3</v>
      </c>
      <c r="N66" s="9">
        <f t="shared" ca="1" si="71"/>
        <v>1.0233385602033795E-2</v>
      </c>
      <c r="O66" s="9">
        <f t="shared" ca="1" si="71"/>
        <v>2.9023380702078105E-2</v>
      </c>
      <c r="P66" s="9">
        <f t="shared" ca="1" si="71"/>
        <v>2.223347115181884E-2</v>
      </c>
      <c r="Q66" s="9">
        <f t="shared" ca="1" si="71"/>
        <v>3.2729483953048089E-2</v>
      </c>
      <c r="R66" s="9">
        <f t="shared" ca="1" si="71"/>
        <v>3.7174818823484168E-2</v>
      </c>
      <c r="S66" s="9">
        <f t="shared" ca="1" si="71"/>
        <v>4.3573216350524913E-2</v>
      </c>
      <c r="T66" s="9">
        <f t="shared" ca="1" si="71"/>
        <v>3.2523465220517966E-2</v>
      </c>
      <c r="U66" s="9">
        <f t="shared" ca="1" si="71"/>
        <v>3.3621356352561804E-2</v>
      </c>
      <c r="V66" s="9">
        <f t="shared" ca="1" si="71"/>
        <v>4.7506506575165863E-2</v>
      </c>
      <c r="W66" s="9">
        <f t="shared" ca="1" si="71"/>
        <v>3.4576363860794102E-2</v>
      </c>
      <c r="X66" s="9">
        <f t="shared" ca="1" si="71"/>
        <v>4.5337127565815649E-2</v>
      </c>
      <c r="Y66" s="9">
        <f t="shared" ca="1" si="71"/>
        <v>2.5763175250585801E-2</v>
      </c>
      <c r="Z66" s="9">
        <f t="shared" ca="1" si="71"/>
        <v>3.5117917841553492E-2</v>
      </c>
      <c r="AA66" s="9">
        <f t="shared" ca="1" si="71"/>
        <v>3.5769417925402891E-2</v>
      </c>
      <c r="AB66" s="9">
        <f t="shared" ca="1" si="71"/>
        <v>5.8367229038888579E-2</v>
      </c>
      <c r="AC66" s="9">
        <f t="shared" ca="1" si="71"/>
        <v>3.8653025830958976E-2</v>
      </c>
      <c r="AD66" s="9">
        <f t="shared" ca="1" si="71"/>
        <v>3.4737752535407118E-2</v>
      </c>
      <c r="AE66" s="9">
        <f t="shared" ca="1" si="71"/>
        <v>4.253834572720705E-2</v>
      </c>
      <c r="AF66" s="9">
        <f t="shared" ca="1" si="71"/>
        <v>2.6608629527941519E-2</v>
      </c>
      <c r="AG66" s="9">
        <f t="shared" ca="1" si="71"/>
        <v>2.1437144201161829E-2</v>
      </c>
      <c r="AH66" s="9">
        <f t="shared" ca="1" si="71"/>
        <v>1.1675014913529624E-2</v>
      </c>
      <c r="AI66" s="9">
        <f t="shared" ca="1" si="71"/>
        <v>1.1547690318570725E-2</v>
      </c>
      <c r="AJ66" s="9">
        <f t="shared" ca="1" si="71"/>
        <v>2.9024687087619738E-2</v>
      </c>
      <c r="AK66" s="9">
        <f t="shared" ca="1" si="71"/>
        <v>3.6417048802050656E-2</v>
      </c>
      <c r="AL66" s="9">
        <f t="shared" ca="1" si="71"/>
        <v>5.1143053994821774E-2</v>
      </c>
      <c r="AM66" s="9">
        <f t="shared" ca="1" si="71"/>
        <v>6.2579527319864381E-2</v>
      </c>
      <c r="AN66" s="9">
        <f t="shared" ca="1" si="71"/>
        <v>4.5092721777349798E-2</v>
      </c>
      <c r="AO66" s="9">
        <f t="shared" ca="1" si="71"/>
        <v>7.1368542566728754E-2</v>
      </c>
      <c r="AP66" s="9">
        <f t="shared" ca="1" si="71"/>
        <v>9.2808172620874263E-2</v>
      </c>
      <c r="AQ66" s="9">
        <f t="shared" ca="1" si="71"/>
        <v>9.5461941662701388E-2</v>
      </c>
      <c r="AR66" s="9">
        <f t="shared" ca="1" si="71"/>
        <v>0.12232708671421499</v>
      </c>
      <c r="AS66" s="9">
        <f t="shared" ca="1" si="71"/>
        <v>0.14463099163888904</v>
      </c>
      <c r="AT66" s="9">
        <f t="shared" ca="1" si="71"/>
        <v>0.15786873881207886</v>
      </c>
      <c r="AU66" s="9">
        <f t="shared" ca="1" si="71"/>
        <v>0.18914422878531922</v>
      </c>
      <c r="AV66" s="9">
        <f t="shared" ca="1" si="71"/>
        <v>0.20905406849907104</v>
      </c>
      <c r="AW66" s="9">
        <f t="shared" ca="1" si="71"/>
        <v>0.21719042159396662</v>
      </c>
      <c r="AX66" s="9">
        <f t="shared" ca="1" si="71"/>
        <v>0.2906965485479327</v>
      </c>
      <c r="AY66" s="9">
        <f t="shared" ca="1" si="71"/>
        <v>0.31588510612102716</v>
      </c>
      <c r="AZ66" s="9">
        <f t="shared" ca="1" si="71"/>
        <v>0.31482079887445258</v>
      </c>
      <c r="BA66" s="9">
        <f t="shared" ca="1" si="71"/>
        <v>0.31594742078204396</v>
      </c>
      <c r="BB66" s="9">
        <f t="shared" ca="1" si="71"/>
        <v>0.31825452141882915</v>
      </c>
      <c r="BC66" s="9">
        <f t="shared" ca="1" si="71"/>
        <v>0.3239290350364995</v>
      </c>
      <c r="BD66" s="9">
        <f t="shared" ca="1" si="71"/>
        <v>0.27242733948401399</v>
      </c>
      <c r="BE66" s="9">
        <f t="shared" ca="1" si="71"/>
        <v>0.2260542073526941</v>
      </c>
      <c r="BF66" s="9">
        <f t="shared" ca="1" si="71"/>
        <v>0.17331629371406487</v>
      </c>
      <c r="BG66" s="9">
        <f t="shared" ca="1" si="71"/>
        <v>0.15598443504171999</v>
      </c>
      <c r="BH66" s="9">
        <f t="shared" ca="1" si="71"/>
        <v>7.2864721490908391E-3</v>
      </c>
      <c r="BI66" s="9">
        <f t="shared" ca="1" si="71"/>
        <v>0.10774114837452609</v>
      </c>
      <c r="BJ66" s="9">
        <f t="shared" ca="1" si="71"/>
        <v>0.19069891720460341</v>
      </c>
      <c r="BK66" s="9">
        <f t="shared" ca="1" si="71"/>
        <v>0.11413346220235909</v>
      </c>
      <c r="BL66" s="9">
        <f t="shared" ca="1" si="71"/>
        <v>0.2260182937089561</v>
      </c>
      <c r="BM66" s="9">
        <f t="shared" ca="1" si="71"/>
        <v>0.24905234571229773</v>
      </c>
      <c r="BN66" s="9">
        <f t="shared" ref="BN66:DY66" ca="1" si="72">IF(BN39="","",ABS(BN39))</f>
        <v>0.2426767869074109</v>
      </c>
      <c r="BO66" s="9">
        <f t="shared" ca="1" si="72"/>
        <v>0.23099885250406649</v>
      </c>
      <c r="BP66" s="9">
        <f t="shared" ca="1" si="72"/>
        <v>0.18426007309182846</v>
      </c>
      <c r="BQ66" s="9">
        <f t="shared" ca="1" si="72"/>
        <v>4.0195060999196564E-2</v>
      </c>
      <c r="BR66" s="9">
        <f t="shared" ca="1" si="72"/>
        <v>3.2794188055633056E-2</v>
      </c>
      <c r="BS66" s="9">
        <f t="shared" ca="1" si="72"/>
        <v>1.7370800906280848E-2</v>
      </c>
      <c r="BT66" s="9">
        <f t="shared" ca="1" si="72"/>
        <v>0.10264006764960332</v>
      </c>
      <c r="BU66" s="9">
        <f t="shared" ca="1" si="72"/>
        <v>5.4505961060286712E-2</v>
      </c>
      <c r="BV66" s="9">
        <f t="shared" ca="1" si="72"/>
        <v>4.6320423802141519E-2</v>
      </c>
      <c r="BW66" s="9">
        <f t="shared" ca="1" si="72"/>
        <v>5.6076458030523302E-2</v>
      </c>
      <c r="BX66" s="9">
        <f t="shared" ca="1" si="72"/>
        <v>7.9652724749574633E-2</v>
      </c>
      <c r="BY66" s="9">
        <f t="shared" ca="1" si="72"/>
        <v>8.8868260476538063E-2</v>
      </c>
      <c r="BZ66" s="9">
        <f t="shared" ca="1" si="72"/>
        <v>6.7564096232748394E-2</v>
      </c>
      <c r="CA66" s="9">
        <f t="shared" ca="1" si="72"/>
        <v>5.9130292270346718E-2</v>
      </c>
      <c r="CB66" s="9">
        <f t="shared" ca="1" si="72"/>
        <v>2.0391440864848231E-2</v>
      </c>
      <c r="CC66" s="9">
        <f t="shared" ca="1" si="72"/>
        <v>7.6928084217868786E-3</v>
      </c>
      <c r="CD66" s="9">
        <f t="shared" ca="1" si="72"/>
        <v>2.2122040931776388E-2</v>
      </c>
      <c r="CE66" s="9">
        <f t="shared" ca="1" si="72"/>
        <v>4.6862073297387008E-2</v>
      </c>
      <c r="CF66" s="9">
        <f t="shared" ca="1" si="72"/>
        <v>1.169947434928309E-2</v>
      </c>
      <c r="CG66" s="9">
        <f t="shared" ca="1" si="72"/>
        <v>8.4606679982668354E-3</v>
      </c>
      <c r="CH66" s="9">
        <f t="shared" ca="1" si="72"/>
        <v>4.5280036569924964E-2</v>
      </c>
      <c r="CI66" s="9">
        <f t="shared" ca="1" si="72"/>
        <v>1.4261114661141439E-2</v>
      </c>
      <c r="CJ66" s="9">
        <f t="shared" ca="1" si="72"/>
        <v>1.6838148904277261E-2</v>
      </c>
      <c r="CK66" s="9">
        <f t="shared" ca="1" si="72"/>
        <v>4.7307466792112729E-2</v>
      </c>
      <c r="CL66" s="9">
        <f t="shared" ca="1" si="72"/>
        <v>7.1408993525383546E-2</v>
      </c>
      <c r="CM66" s="9">
        <f t="shared" ca="1" si="72"/>
        <v>4.5935040005666061E-2</v>
      </c>
      <c r="CN66" s="9">
        <f t="shared" ca="1" si="72"/>
        <v>3.0618157738168339E-2</v>
      </c>
      <c r="CO66" s="9">
        <f t="shared" ca="1" si="72"/>
        <v>2.0191549420302879E-2</v>
      </c>
      <c r="CP66" s="9">
        <f t="shared" ca="1" si="72"/>
        <v>7.263087503275889E-2</v>
      </c>
      <c r="CQ66" s="9">
        <f t="shared" ca="1" si="72"/>
        <v>7.8347824644634745E-2</v>
      </c>
      <c r="CR66" s="9">
        <f t="shared" ca="1" si="72"/>
        <v>2.058037866888851E-2</v>
      </c>
      <c r="CS66" s="9">
        <f t="shared" ca="1" si="72"/>
        <v>1.2711474499613851E-2</v>
      </c>
      <c r="CT66" s="9">
        <f t="shared" ca="1" si="72"/>
        <v>7.3157460232735394E-2</v>
      </c>
      <c r="CU66" s="9">
        <f t="shared" ca="1" si="72"/>
        <v>3.9335224848308203E-2</v>
      </c>
      <c r="CV66" s="9">
        <f t="shared" ca="1" si="72"/>
        <v>8.0734239631030658E-4</v>
      </c>
      <c r="CW66" s="9">
        <f t="shared" ca="1" si="72"/>
        <v>1.7177555786289433E-2</v>
      </c>
      <c r="CX66" s="9">
        <f t="shared" ca="1" si="72"/>
        <v>4.9614141044542315E-2</v>
      </c>
      <c r="CY66" s="9">
        <f t="shared" ca="1" si="72"/>
        <v>6.0350764660386469E-2</v>
      </c>
      <c r="CZ66" s="9">
        <f t="shared" ca="1" si="72"/>
        <v>5.1243134962588588E-2</v>
      </c>
      <c r="DA66" s="9">
        <f t="shared" ca="1" si="72"/>
        <v>0.12965075499555856</v>
      </c>
      <c r="DB66" s="9">
        <f t="shared" ca="1" si="72"/>
        <v>0.12545852831213655</v>
      </c>
      <c r="DC66" s="9">
        <f t="shared" ca="1" si="72"/>
        <v>4.0025352183926888E-2</v>
      </c>
      <c r="DD66" s="9">
        <f t="shared" ca="1" si="72"/>
        <v>0.10565142238696956</v>
      </c>
      <c r="DE66" s="9">
        <f t="shared" ca="1" si="72"/>
        <v>0.17363138100028119</v>
      </c>
      <c r="DF66" s="9">
        <f t="shared" ca="1" si="72"/>
        <v>9.8618032616195173E-2</v>
      </c>
      <c r="DG66" s="9">
        <f t="shared" ca="1" si="72"/>
        <v>0.10886034970086711</v>
      </c>
      <c r="DH66" s="9">
        <f t="shared" ca="1" si="72"/>
        <v>8.318167260293774E-2</v>
      </c>
      <c r="DI66" s="9">
        <f t="shared" ca="1" si="72"/>
        <v>9.8223823192694404E-2</v>
      </c>
      <c r="DJ66" s="9">
        <f t="shared" ca="1" si="72"/>
        <v>5.8219595675659708E-2</v>
      </c>
      <c r="DK66" s="9">
        <f t="shared" ca="1" si="72"/>
        <v>4.963563647688729E-2</v>
      </c>
      <c r="DL66" s="9">
        <f t="shared" ca="1" si="72"/>
        <v>4.4913732100122061E-2</v>
      </c>
      <c r="DM66" s="9">
        <f t="shared" ca="1" si="72"/>
        <v>4.0221599629122196E-2</v>
      </c>
      <c r="DN66" s="9">
        <f t="shared" ca="1" si="72"/>
        <v>5.7604931497816425E-2</v>
      </c>
      <c r="DO66" s="9">
        <f t="shared" ca="1" si="72"/>
        <v>2.5245639401222708E-2</v>
      </c>
      <c r="DP66" s="9">
        <f t="shared" ca="1" si="72"/>
        <v>6.3678593713667242E-2</v>
      </c>
      <c r="DQ66" s="9">
        <f t="shared" ca="1" si="72"/>
        <v>0.1075643013155243</v>
      </c>
      <c r="DR66" s="9">
        <f t="shared" ca="1" si="72"/>
        <v>1.6329553705340061E-2</v>
      </c>
      <c r="DS66" s="9">
        <f t="shared" ca="1" si="72"/>
        <v>7.9772662307255882E-3</v>
      </c>
      <c r="DT66" s="9">
        <f t="shared" ca="1" si="72"/>
        <v>2.4198247863702615E-3</v>
      </c>
      <c r="DU66" s="9">
        <f t="shared" ca="1" si="72"/>
        <v>1.0980254593192074E-2</v>
      </c>
      <c r="DV66" s="9">
        <f t="shared" ca="1" si="72"/>
        <v>1.8324592655745153E-3</v>
      </c>
      <c r="DW66" s="9">
        <f t="shared" ca="1" si="72"/>
        <v>1.5625341586469887E-2</v>
      </c>
      <c r="DX66" s="9">
        <f t="shared" ca="1" si="72"/>
        <v>3.7196458405335031E-2</v>
      </c>
      <c r="DY66" s="9">
        <f t="shared" ca="1" si="72"/>
        <v>6.2892430043179681E-2</v>
      </c>
      <c r="DZ66" s="9">
        <f t="shared" ref="DZ66:GK66" ca="1" si="73">IF(DZ39="","",ABS(DZ39))</f>
        <v>3.4391470824508774E-2</v>
      </c>
      <c r="EA66" s="9">
        <f t="shared" ca="1" si="73"/>
        <v>9.4650539921155019E-3</v>
      </c>
      <c r="EB66" s="9">
        <f t="shared" ca="1" si="73"/>
        <v>3.5259143939686988E-2</v>
      </c>
      <c r="EC66" s="9">
        <f t="shared" ca="1" si="73"/>
        <v>1.4339434461764222E-2</v>
      </c>
      <c r="ED66" s="9">
        <f t="shared" ca="1" si="73"/>
        <v>1.1413292053561563E-2</v>
      </c>
      <c r="EE66" s="9">
        <f t="shared" ca="1" si="73"/>
        <v>4.7073620783630865E-3</v>
      </c>
      <c r="EF66" s="9">
        <f t="shared" ca="1" si="73"/>
        <v>2.0341750170593587E-2</v>
      </c>
      <c r="EG66" s="9">
        <f t="shared" ca="1" si="73"/>
        <v>3.1778859193564712E-2</v>
      </c>
      <c r="EH66" s="9">
        <f t="shared" ca="1" si="73"/>
        <v>9.4608352463566803E-2</v>
      </c>
      <c r="EI66" s="9">
        <f t="shared" ca="1" si="73"/>
        <v>7.7266420833088434E-2</v>
      </c>
      <c r="EJ66" s="9">
        <f t="shared" ca="1" si="73"/>
        <v>3.6215916379542468E-2</v>
      </c>
      <c r="EK66" s="9">
        <f t="shared" ca="1" si="73"/>
        <v>3.2737114548653912E-2</v>
      </c>
      <c r="EL66" s="9">
        <f t="shared" ca="1" si="73"/>
        <v>6.2249980313012099E-2</v>
      </c>
      <c r="EM66" s="9">
        <f t="shared" ca="1" si="73"/>
        <v>4.9646468566744817E-2</v>
      </c>
      <c r="EN66" s="9">
        <f t="shared" ca="1" si="73"/>
        <v>9.8205374356325592E-2</v>
      </c>
      <c r="EO66" s="9">
        <f t="shared" ca="1" si="73"/>
        <v>5.0759290778361388E-2</v>
      </c>
      <c r="EP66" s="9">
        <f t="shared" ca="1" si="73"/>
        <v>4.6451365177636372E-2</v>
      </c>
      <c r="EQ66" s="9">
        <f t="shared" ca="1" si="73"/>
        <v>2.4208596469433186E-2</v>
      </c>
      <c r="ER66" s="9">
        <f t="shared" ca="1" si="73"/>
        <v>4.1230878092250345E-2</v>
      </c>
      <c r="ES66" s="9">
        <f t="shared" ca="1" si="73"/>
        <v>9.1113345357267672E-3</v>
      </c>
      <c r="ET66" s="9">
        <f t="shared" ca="1" si="73"/>
        <v>9.4189373000633791E-3</v>
      </c>
      <c r="EU66" s="9">
        <f t="shared" ca="1" si="73"/>
        <v>6.1322008434779085E-2</v>
      </c>
      <c r="EV66" s="9">
        <f t="shared" ca="1" si="73"/>
        <v>8.5817864924192078E-2</v>
      </c>
      <c r="EW66" s="9">
        <f t="shared" ca="1" si="73"/>
        <v>5.5413002202734485E-2</v>
      </c>
      <c r="EX66" s="9">
        <f t="shared" ca="1" si="73"/>
        <v>2.3520269499048507E-2</v>
      </c>
      <c r="EY66" s="9">
        <f t="shared" ca="1" si="73"/>
        <v>5.5795705915120619E-2</v>
      </c>
      <c r="EZ66" s="9">
        <f t="shared" ca="1" si="73"/>
        <v>1.2260507989923508E-2</v>
      </c>
      <c r="FA66" s="9">
        <f t="shared" ca="1" si="73"/>
        <v>1.6286455429257218E-2</v>
      </c>
      <c r="FB66" s="9">
        <f t="shared" ca="1" si="73"/>
        <v>1.5334946461319721E-2</v>
      </c>
      <c r="FC66" s="9">
        <f t="shared" ca="1" si="73"/>
        <v>1.0040534695088255E-2</v>
      </c>
      <c r="FD66" s="9">
        <f t="shared" ca="1" si="73"/>
        <v>8.6063032088083968E-3</v>
      </c>
      <c r="FE66" s="9">
        <f t="shared" ca="1" si="73"/>
        <v>2.4921058004379493E-2</v>
      </c>
      <c r="FF66" s="9">
        <f t="shared" ca="1" si="73"/>
        <v>4.0074752105934808E-2</v>
      </c>
      <c r="FG66" s="9">
        <f t="shared" ca="1" si="73"/>
        <v>2.7878132899863628E-2</v>
      </c>
      <c r="FH66" s="9">
        <f t="shared" ca="1" si="73"/>
        <v>2.0565455472335015E-2</v>
      </c>
      <c r="FI66" s="9">
        <f t="shared" ca="1" si="73"/>
        <v>1.3499741906756513E-2</v>
      </c>
      <c r="FJ66" s="9">
        <f t="shared" ca="1" si="73"/>
        <v>5.2091108162554134E-2</v>
      </c>
      <c r="FK66" s="9">
        <f t="shared" ca="1" si="73"/>
        <v>2.5013000162769305E-2</v>
      </c>
      <c r="FL66" s="9">
        <f t="shared" ca="1" si="73"/>
        <v>0.10522069561846081</v>
      </c>
      <c r="FM66" s="9">
        <f t="shared" ca="1" si="73"/>
        <v>0.13001403983786486</v>
      </c>
      <c r="FN66" s="9">
        <f t="shared" ca="1" si="73"/>
        <v>7.3520978194239306E-2</v>
      </c>
      <c r="FO66" s="9">
        <f t="shared" ca="1" si="73"/>
        <v>1.332601370340547E-2</v>
      </c>
      <c r="FP66" s="9">
        <f t="shared" ca="1" si="73"/>
        <v>3.1714553572681936E-2</v>
      </c>
      <c r="FQ66" s="9">
        <f t="shared" ca="1" si="73"/>
        <v>6.041544949102895E-2</v>
      </c>
      <c r="FR66" s="9">
        <f t="shared" ca="1" si="73"/>
        <v>9.7172038417227657E-2</v>
      </c>
      <c r="FS66" s="9">
        <f t="shared" ca="1" si="73"/>
        <v>0.10640266134317833</v>
      </c>
      <c r="FT66" s="9">
        <f t="shared" ca="1" si="73"/>
        <v>9.6576646469382021E-2</v>
      </c>
      <c r="FU66" s="9">
        <f t="shared" ca="1" si="73"/>
        <v>5.6945961433428671E-2</v>
      </c>
      <c r="FV66" s="9">
        <f t="shared" ca="1" si="73"/>
        <v>4.66774239921941E-2</v>
      </c>
      <c r="FW66" s="9">
        <f t="shared" ca="1" si="73"/>
        <v>2.8134013394425894E-2</v>
      </c>
      <c r="FX66" s="9">
        <f t="shared" ca="1" si="73"/>
        <v>2.8512960254591602E-2</v>
      </c>
      <c r="FY66" s="9">
        <f t="shared" ca="1" si="73"/>
        <v>0.10617863572878494</v>
      </c>
      <c r="FZ66" s="9">
        <f t="shared" ca="1" si="73"/>
        <v>0.17812324383910982</v>
      </c>
      <c r="GA66" s="9">
        <f t="shared" ca="1" si="73"/>
        <v>0.13474899163228782</v>
      </c>
      <c r="GB66" s="9">
        <f t="shared" ca="1" si="73"/>
        <v>0.13684811520551354</v>
      </c>
      <c r="GC66" s="9">
        <f t="shared" ca="1" si="73"/>
        <v>0.11832627447271671</v>
      </c>
      <c r="GD66" s="9">
        <f t="shared" ca="1" si="73"/>
        <v>6.4886492694577913E-2</v>
      </c>
      <c r="GE66" s="9">
        <f t="shared" ca="1" si="73"/>
        <v>9.0028748029970962E-2</v>
      </c>
      <c r="GF66" s="9">
        <f t="shared" ca="1" si="73"/>
        <v>0.13040230268988728</v>
      </c>
      <c r="GG66" s="9">
        <f t="shared" ca="1" si="73"/>
        <v>0.11780626092724922</v>
      </c>
      <c r="GH66" s="9">
        <f t="shared" ca="1" si="73"/>
        <v>9.9246890535372501E-2</v>
      </c>
      <c r="GI66" s="9">
        <f t="shared" ca="1" si="73"/>
        <v>6.5429208058441546E-2</v>
      </c>
      <c r="GJ66" s="9">
        <f t="shared" ca="1" si="73"/>
        <v>6.7951864090256109E-2</v>
      </c>
      <c r="GK66" s="9">
        <f t="shared" ca="1" si="73"/>
        <v>5.2475274796274674E-2</v>
      </c>
      <c r="GL66" s="9">
        <f t="shared" ref="GL66:IW66" ca="1" si="74">IF(GL39="","",ABS(GL39))</f>
        <v>5.3404015594342491E-2</v>
      </c>
      <c r="GM66" s="9">
        <f t="shared" ca="1" si="74"/>
        <v>3.5909950155282311E-2</v>
      </c>
      <c r="GN66" s="9">
        <f t="shared" ca="1" si="74"/>
        <v>9.9054891431268333E-2</v>
      </c>
      <c r="GO66" s="9">
        <f t="shared" ca="1" si="74"/>
        <v>5.0762390669531809E-2</v>
      </c>
      <c r="GP66" s="9" t="str">
        <f t="shared" ca="1" si="74"/>
        <v/>
      </c>
      <c r="GQ66" s="9" t="str">
        <f t="shared" ca="1" si="74"/>
        <v/>
      </c>
      <c r="GR66" s="9" t="str">
        <f t="shared" ca="1" si="74"/>
        <v/>
      </c>
      <c r="GS66" s="9" t="str">
        <f t="shared" ca="1" si="74"/>
        <v/>
      </c>
      <c r="GT66" s="9" t="str">
        <f t="shared" ca="1" si="74"/>
        <v/>
      </c>
      <c r="GU66" s="9" t="str">
        <f t="shared" ca="1" si="74"/>
        <v/>
      </c>
      <c r="GV66" s="9" t="str">
        <f t="shared" ca="1" si="74"/>
        <v/>
      </c>
      <c r="GW66" s="9" t="str">
        <f t="shared" ca="1" si="74"/>
        <v/>
      </c>
      <c r="GX66" s="9" t="str">
        <f t="shared" ca="1" si="74"/>
        <v/>
      </c>
      <c r="GY66" s="9" t="str">
        <f t="shared" ca="1" si="74"/>
        <v/>
      </c>
      <c r="GZ66" s="9" t="str">
        <f t="shared" ca="1" si="74"/>
        <v/>
      </c>
      <c r="HA66" s="9" t="str">
        <f t="shared" ca="1" si="74"/>
        <v/>
      </c>
      <c r="HB66" s="9" t="str">
        <f t="shared" ca="1" si="74"/>
        <v/>
      </c>
      <c r="HC66" s="9" t="str">
        <f t="shared" ca="1" si="74"/>
        <v/>
      </c>
      <c r="HD66" s="9" t="str">
        <f t="shared" ca="1" si="74"/>
        <v/>
      </c>
      <c r="HE66" s="9" t="str">
        <f t="shared" ca="1" si="74"/>
        <v/>
      </c>
      <c r="HF66" s="9" t="str">
        <f t="shared" ca="1" si="74"/>
        <v/>
      </c>
      <c r="HG66" s="9" t="str">
        <f t="shared" ca="1" si="74"/>
        <v/>
      </c>
      <c r="HH66" s="9" t="str">
        <f t="shared" ca="1" si="74"/>
        <v/>
      </c>
      <c r="HI66" s="9" t="str">
        <f t="shared" ca="1" si="74"/>
        <v/>
      </c>
      <c r="HJ66" s="9" t="str">
        <f t="shared" ca="1" si="74"/>
        <v/>
      </c>
      <c r="HK66" s="9" t="str">
        <f t="shared" ca="1" si="74"/>
        <v/>
      </c>
      <c r="HL66" s="9" t="str">
        <f t="shared" ca="1" si="74"/>
        <v/>
      </c>
      <c r="HM66" s="9" t="str">
        <f t="shared" ca="1" si="74"/>
        <v/>
      </c>
      <c r="HN66" s="9" t="str">
        <f t="shared" ca="1" si="74"/>
        <v/>
      </c>
      <c r="HO66" s="9" t="str">
        <f t="shared" ca="1" si="74"/>
        <v/>
      </c>
      <c r="HP66" s="9" t="str">
        <f t="shared" ca="1" si="74"/>
        <v/>
      </c>
      <c r="HQ66" s="9" t="str">
        <f t="shared" ca="1" si="74"/>
        <v/>
      </c>
      <c r="HR66" s="9" t="str">
        <f t="shared" ca="1" si="74"/>
        <v/>
      </c>
      <c r="HS66" s="9" t="str">
        <f t="shared" ca="1" si="74"/>
        <v/>
      </c>
      <c r="HT66" s="9" t="str">
        <f t="shared" ca="1" si="74"/>
        <v/>
      </c>
      <c r="HU66" s="9" t="str">
        <f t="shared" ca="1" si="74"/>
        <v/>
      </c>
      <c r="HV66" s="9" t="str">
        <f t="shared" ca="1" si="74"/>
        <v/>
      </c>
      <c r="HW66" s="9" t="str">
        <f t="shared" ca="1" si="74"/>
        <v/>
      </c>
      <c r="HX66" s="9" t="str">
        <f t="shared" ca="1" si="74"/>
        <v/>
      </c>
      <c r="HY66" s="9" t="str">
        <f t="shared" ca="1" si="74"/>
        <v/>
      </c>
      <c r="HZ66" s="9" t="str">
        <f t="shared" ca="1" si="74"/>
        <v/>
      </c>
      <c r="IA66" s="9" t="str">
        <f t="shared" ca="1" si="74"/>
        <v/>
      </c>
      <c r="IB66" s="9" t="str">
        <f t="shared" ca="1" si="74"/>
        <v/>
      </c>
      <c r="IC66" s="9" t="str">
        <f t="shared" ca="1" si="74"/>
        <v/>
      </c>
      <c r="ID66" s="9" t="str">
        <f t="shared" ca="1" si="74"/>
        <v/>
      </c>
      <c r="IE66" s="9" t="str">
        <f t="shared" ca="1" si="74"/>
        <v/>
      </c>
      <c r="IF66" s="9" t="str">
        <f t="shared" ca="1" si="74"/>
        <v/>
      </c>
      <c r="IG66" s="9" t="str">
        <f t="shared" ca="1" si="74"/>
        <v/>
      </c>
      <c r="IH66" s="9" t="str">
        <f t="shared" ca="1" si="74"/>
        <v/>
      </c>
      <c r="II66" s="9" t="str">
        <f t="shared" ca="1" si="74"/>
        <v/>
      </c>
      <c r="IJ66" s="9" t="str">
        <f t="shared" ca="1" si="74"/>
        <v/>
      </c>
      <c r="IK66" s="9" t="str">
        <f t="shared" ca="1" si="74"/>
        <v/>
      </c>
      <c r="IL66" s="9" t="str">
        <f t="shared" ca="1" si="74"/>
        <v/>
      </c>
      <c r="IM66" s="9" t="str">
        <f t="shared" ca="1" si="74"/>
        <v/>
      </c>
      <c r="IN66" s="9" t="str">
        <f t="shared" ca="1" si="74"/>
        <v/>
      </c>
      <c r="IO66" s="9" t="str">
        <f t="shared" ca="1" si="74"/>
        <v/>
      </c>
      <c r="IP66" s="9" t="str">
        <f t="shared" ca="1" si="74"/>
        <v/>
      </c>
      <c r="IQ66" s="9" t="str">
        <f t="shared" ca="1" si="74"/>
        <v/>
      </c>
      <c r="IR66" s="9" t="str">
        <f t="shared" ca="1" si="74"/>
        <v/>
      </c>
      <c r="IS66" s="9" t="str">
        <f t="shared" ca="1" si="74"/>
        <v/>
      </c>
      <c r="IT66" s="9" t="str">
        <f t="shared" ca="1" si="74"/>
        <v/>
      </c>
      <c r="IU66" s="9" t="str">
        <f t="shared" ca="1" si="74"/>
        <v/>
      </c>
      <c r="IV66" s="9" t="str">
        <f t="shared" ca="1" si="74"/>
        <v/>
      </c>
      <c r="IW66" s="9" t="str">
        <f t="shared" ca="1" si="74"/>
        <v/>
      </c>
      <c r="IX66" s="9" t="str">
        <f t="shared" ref="IX66:JH66" ca="1" si="75">IF(IX39="","",ABS(IX39))</f>
        <v/>
      </c>
      <c r="IY66" s="9" t="str">
        <f t="shared" ca="1" si="75"/>
        <v/>
      </c>
      <c r="IZ66" s="9" t="str">
        <f t="shared" ca="1" si="75"/>
        <v/>
      </c>
      <c r="JA66" s="9" t="str">
        <f t="shared" ca="1" si="75"/>
        <v/>
      </c>
      <c r="JB66" s="9" t="str">
        <f t="shared" ca="1" si="75"/>
        <v/>
      </c>
      <c r="JC66" s="9" t="str">
        <f t="shared" ca="1" si="75"/>
        <v/>
      </c>
      <c r="JD66" s="9" t="str">
        <f t="shared" ca="1" si="75"/>
        <v/>
      </c>
      <c r="JE66" s="9" t="str">
        <f t="shared" ca="1" si="75"/>
        <v/>
      </c>
      <c r="JF66" s="9" t="str">
        <f t="shared" ca="1" si="75"/>
        <v/>
      </c>
      <c r="JG66" s="9" t="str">
        <f t="shared" ca="1" si="75"/>
        <v/>
      </c>
      <c r="JH66" s="9" t="str">
        <f t="shared" ca="1" si="75"/>
        <v/>
      </c>
      <c r="JI66" s="13">
        <f t="shared" ca="1" si="25"/>
        <v>8.4896828213853012E-2</v>
      </c>
      <c r="JJ66" s="13">
        <f t="shared" ca="1" si="26"/>
        <v>9.0028748029970962E-2</v>
      </c>
      <c r="JK66" s="14">
        <f t="shared" ca="1" si="27"/>
        <v>1.4279481611574184E-3</v>
      </c>
      <c r="JL66" s="17">
        <f t="shared" ca="1" si="35"/>
        <v>3.7788201348534944E-2</v>
      </c>
      <c r="JM66" s="15" t="str">
        <f t="shared" ca="1" si="28"/>
        <v>[ 0,93% ; 16,05% ]</v>
      </c>
      <c r="JN66" s="17">
        <f t="shared" ca="1" si="29"/>
        <v>4.8368897726124731E-2</v>
      </c>
      <c r="LY66" s="1"/>
    </row>
    <row r="67" spans="1:337" x14ac:dyDescent="0.25">
      <c r="A67" s="4">
        <v>11</v>
      </c>
      <c r="B67" s="9">
        <f t="shared" ref="B67:BM67" ca="1" si="76">IF(B40="","",ABS(B40))</f>
        <v>3.0958565540792682E-2</v>
      </c>
      <c r="C67" s="9">
        <f t="shared" ca="1" si="76"/>
        <v>4.0885843045208592E-3</v>
      </c>
      <c r="D67" s="9">
        <f t="shared" ca="1" si="76"/>
        <v>3.9527952824122137E-3</v>
      </c>
      <c r="E67" s="9">
        <f t="shared" ca="1" si="76"/>
        <v>1.0617387216030227E-2</v>
      </c>
      <c r="F67" s="9">
        <f t="shared" ca="1" si="76"/>
        <v>5.1260690948882193E-2</v>
      </c>
      <c r="G67" s="9">
        <f t="shared" ca="1" si="76"/>
        <v>1.8907585865087562E-2</v>
      </c>
      <c r="H67" s="9">
        <f t="shared" ca="1" si="76"/>
        <v>2.2168839555644304E-2</v>
      </c>
      <c r="I67" s="9">
        <f t="shared" ca="1" si="76"/>
        <v>2.7237047317530738E-2</v>
      </c>
      <c r="J67" s="9">
        <f t="shared" ca="1" si="76"/>
        <v>5.0439321558504169E-3</v>
      </c>
      <c r="K67" s="9">
        <f t="shared" ca="1" si="76"/>
        <v>2.1465053025948033E-2</v>
      </c>
      <c r="L67" s="9">
        <f t="shared" ca="1" si="76"/>
        <v>1.3870527679787248E-2</v>
      </c>
      <c r="M67" s="9">
        <f t="shared" ca="1" si="76"/>
        <v>8.576450740487962E-3</v>
      </c>
      <c r="N67" s="9">
        <f t="shared" ca="1" si="76"/>
        <v>1.5634949189837544E-2</v>
      </c>
      <c r="O67" s="9">
        <f t="shared" ca="1" si="76"/>
        <v>3.818222849088615E-2</v>
      </c>
      <c r="P67" s="9">
        <f t="shared" ca="1" si="76"/>
        <v>2.1117361182982908E-2</v>
      </c>
      <c r="Q67" s="9">
        <f t="shared" ca="1" si="76"/>
        <v>3.708916044517685E-2</v>
      </c>
      <c r="R67" s="9">
        <f t="shared" ca="1" si="76"/>
        <v>4.8910720805528607E-2</v>
      </c>
      <c r="S67" s="9">
        <f t="shared" ca="1" si="76"/>
        <v>4.6444202899563525E-2</v>
      </c>
      <c r="T67" s="9">
        <f t="shared" ca="1" si="76"/>
        <v>1.70170995090968E-2</v>
      </c>
      <c r="U67" s="9">
        <f t="shared" ca="1" si="76"/>
        <v>3.9004269594736796E-2</v>
      </c>
      <c r="V67" s="9">
        <f t="shared" ca="1" si="76"/>
        <v>4.0261102529765447E-2</v>
      </c>
      <c r="W67" s="9">
        <f t="shared" ca="1" si="76"/>
        <v>3.5698487483441177E-2</v>
      </c>
      <c r="X67" s="9">
        <f t="shared" ca="1" si="76"/>
        <v>4.2914317562877891E-2</v>
      </c>
      <c r="Y67" s="9">
        <f t="shared" ca="1" si="76"/>
        <v>3.8066456422277239E-2</v>
      </c>
      <c r="Z67" s="9">
        <f t="shared" ca="1" si="76"/>
        <v>4.5144319623309226E-2</v>
      </c>
      <c r="AA67" s="9">
        <f t="shared" ca="1" si="76"/>
        <v>5.9157913383755423E-2</v>
      </c>
      <c r="AB67" s="9">
        <f t="shared" ca="1" si="76"/>
        <v>5.6700738502355685E-2</v>
      </c>
      <c r="AC67" s="9">
        <f t="shared" ca="1" si="76"/>
        <v>3.885271857386563E-2</v>
      </c>
      <c r="AD67" s="9">
        <f t="shared" ca="1" si="76"/>
        <v>3.9203693498812919E-2</v>
      </c>
      <c r="AE67" s="9">
        <f t="shared" ca="1" si="76"/>
        <v>2.1652552129952429E-2</v>
      </c>
      <c r="AF67" s="9">
        <f t="shared" ca="1" si="76"/>
        <v>2.0521461928013407E-2</v>
      </c>
      <c r="AG67" s="9">
        <f t="shared" ca="1" si="76"/>
        <v>1.0209562432677011E-2</v>
      </c>
      <c r="AH67" s="9">
        <f t="shared" ca="1" si="76"/>
        <v>1.1863429699252359E-2</v>
      </c>
      <c r="AI67" s="9">
        <f t="shared" ca="1" si="76"/>
        <v>2.1158535673323597E-2</v>
      </c>
      <c r="AJ67" s="9">
        <f t="shared" ca="1" si="76"/>
        <v>2.6699021235430886E-2</v>
      </c>
      <c r="AK67" s="9">
        <f t="shared" ca="1" si="76"/>
        <v>3.4305252564592381E-2</v>
      </c>
      <c r="AL67" s="9">
        <f t="shared" ca="1" si="76"/>
        <v>5.2656798448561526E-2</v>
      </c>
      <c r="AM67" s="9">
        <f t="shared" ca="1" si="76"/>
        <v>4.7095268519843692E-2</v>
      </c>
      <c r="AN67" s="9">
        <f t="shared" ca="1" si="76"/>
        <v>6.884949167427401E-2</v>
      </c>
      <c r="AO67" s="9">
        <f t="shared" ca="1" si="76"/>
        <v>0.10362032020517897</v>
      </c>
      <c r="AP67" s="9">
        <f t="shared" ca="1" si="76"/>
        <v>0.10025364893890953</v>
      </c>
      <c r="AQ67" s="9">
        <f t="shared" ca="1" si="76"/>
        <v>0.13152696660470453</v>
      </c>
      <c r="AR67" s="9">
        <f t="shared" ca="1" si="76"/>
        <v>0.15826469087868478</v>
      </c>
      <c r="AS67" s="9">
        <f t="shared" ca="1" si="76"/>
        <v>0.16776332652681525</v>
      </c>
      <c r="AT67" s="9">
        <f t="shared" ca="1" si="76"/>
        <v>0.18336127848444783</v>
      </c>
      <c r="AU67" s="9">
        <f t="shared" ca="1" si="76"/>
        <v>0.20937411127440542</v>
      </c>
      <c r="AV67" s="9">
        <f t="shared" ca="1" si="76"/>
        <v>0.21742118488452089</v>
      </c>
      <c r="AW67" s="9">
        <f t="shared" ca="1" si="76"/>
        <v>0.28794978254349146</v>
      </c>
      <c r="AX67" s="9">
        <f t="shared" ca="1" si="76"/>
        <v>0.3302922203523313</v>
      </c>
      <c r="AY67" s="9">
        <f t="shared" ca="1" si="76"/>
        <v>0.33938567984382517</v>
      </c>
      <c r="AZ67" s="9">
        <f t="shared" ca="1" si="76"/>
        <v>0.32207854430837812</v>
      </c>
      <c r="BA67" s="9">
        <f t="shared" ca="1" si="76"/>
        <v>0.34339606741810202</v>
      </c>
      <c r="BB67" s="9">
        <f t="shared" ca="1" si="76"/>
        <v>0.35504026623605789</v>
      </c>
      <c r="BC67" s="9">
        <f t="shared" ca="1" si="76"/>
        <v>0.3441483029741973</v>
      </c>
      <c r="BD67" s="9">
        <f t="shared" ca="1" si="76"/>
        <v>0.27463825504467199</v>
      </c>
      <c r="BE67" s="9">
        <f t="shared" ca="1" si="76"/>
        <v>0.20447413091414124</v>
      </c>
      <c r="BF67" s="9">
        <f t="shared" ca="1" si="76"/>
        <v>0.1504275734554763</v>
      </c>
      <c r="BG67" s="9">
        <f t="shared" ca="1" si="76"/>
        <v>0.15077061720818408</v>
      </c>
      <c r="BH67" s="9">
        <f t="shared" ca="1" si="76"/>
        <v>5.2445457426260722E-2</v>
      </c>
      <c r="BI67" s="9">
        <f t="shared" ca="1" si="76"/>
        <v>7.5321300876578734E-2</v>
      </c>
      <c r="BJ67" s="9">
        <f t="shared" ca="1" si="76"/>
        <v>0.23120667444951781</v>
      </c>
      <c r="BK67" s="9">
        <f t="shared" ca="1" si="76"/>
        <v>0.12022062128599331</v>
      </c>
      <c r="BL67" s="9">
        <f t="shared" ca="1" si="76"/>
        <v>0.24931030978272761</v>
      </c>
      <c r="BM67" s="9">
        <f t="shared" ca="1" si="76"/>
        <v>0.25804949876326688</v>
      </c>
      <c r="BN67" s="9">
        <f t="shared" ref="BN67:DY67" ca="1" si="77">IF(BN40="","",ABS(BN40))</f>
        <v>0.25895726310775391</v>
      </c>
      <c r="BO67" s="9">
        <f t="shared" ca="1" si="77"/>
        <v>0.26573463878602577</v>
      </c>
      <c r="BP67" s="9">
        <f t="shared" ca="1" si="77"/>
        <v>0.20251586440783598</v>
      </c>
      <c r="BQ67" s="9">
        <f t="shared" ca="1" si="77"/>
        <v>5.4791645944651579E-2</v>
      </c>
      <c r="BR67" s="9">
        <f t="shared" ca="1" si="77"/>
        <v>4.9692043655799933E-2</v>
      </c>
      <c r="BS67" s="9">
        <f t="shared" ca="1" si="77"/>
        <v>1.9485665040300248E-2</v>
      </c>
      <c r="BT67" s="9">
        <f t="shared" ca="1" si="77"/>
        <v>0.14480086730994013</v>
      </c>
      <c r="BU67" s="9">
        <f t="shared" ca="1" si="77"/>
        <v>3.4816252261267611E-2</v>
      </c>
      <c r="BV67" s="9">
        <f t="shared" ca="1" si="77"/>
        <v>4.6856270510705622E-2</v>
      </c>
      <c r="BW67" s="9">
        <f t="shared" ca="1" si="77"/>
        <v>7.4618131726517101E-2</v>
      </c>
      <c r="BX67" s="9">
        <f t="shared" ca="1" si="77"/>
        <v>7.0082942706467977E-2</v>
      </c>
      <c r="BY67" s="9">
        <f t="shared" ca="1" si="77"/>
        <v>9.472366713714897E-2</v>
      </c>
      <c r="BZ67" s="9">
        <f t="shared" ca="1" si="77"/>
        <v>8.0073564998718538E-2</v>
      </c>
      <c r="CA67" s="9">
        <f t="shared" ca="1" si="77"/>
        <v>6.3409875355039391E-2</v>
      </c>
      <c r="CB67" s="9">
        <f t="shared" ca="1" si="77"/>
        <v>2.4687152207494956E-2</v>
      </c>
      <c r="CC67" s="9">
        <f t="shared" ca="1" si="77"/>
        <v>6.7264945862085535E-3</v>
      </c>
      <c r="CD67" s="9">
        <f t="shared" ca="1" si="77"/>
        <v>2.7241799390332888E-2</v>
      </c>
      <c r="CE67" s="9">
        <f t="shared" ca="1" si="77"/>
        <v>3.6005785713111971E-2</v>
      </c>
      <c r="CF67" s="9">
        <f t="shared" ca="1" si="77"/>
        <v>1.0688351026385101E-2</v>
      </c>
      <c r="CG67" s="9">
        <f t="shared" ca="1" si="77"/>
        <v>4.329806491278565E-3</v>
      </c>
      <c r="CH67" s="9">
        <f t="shared" ca="1" si="77"/>
        <v>4.526946095555584E-2</v>
      </c>
      <c r="CI67" s="9">
        <f t="shared" ca="1" si="77"/>
        <v>3.1491881607619288E-3</v>
      </c>
      <c r="CJ67" s="9">
        <f t="shared" ca="1" si="77"/>
        <v>3.119128393797288E-2</v>
      </c>
      <c r="CK67" s="9">
        <f t="shared" ca="1" si="77"/>
        <v>6.7051703434005572E-2</v>
      </c>
      <c r="CL67" s="9">
        <f t="shared" ca="1" si="77"/>
        <v>8.2894919610722484E-2</v>
      </c>
      <c r="CM67" s="9">
        <f t="shared" ca="1" si="77"/>
        <v>6.3185483576199908E-2</v>
      </c>
      <c r="CN67" s="9">
        <f t="shared" ca="1" si="77"/>
        <v>3.6688104771088081E-2</v>
      </c>
      <c r="CO67" s="9">
        <f t="shared" ca="1" si="77"/>
        <v>2.2762272977980946E-2</v>
      </c>
      <c r="CP67" s="9">
        <f t="shared" ca="1" si="77"/>
        <v>9.6673577933778287E-2</v>
      </c>
      <c r="CQ67" s="9">
        <f t="shared" ca="1" si="77"/>
        <v>7.7614517987576348E-2</v>
      </c>
      <c r="CR67" s="9">
        <f t="shared" ca="1" si="77"/>
        <v>9.8683552148883802E-3</v>
      </c>
      <c r="CS67" s="9">
        <f t="shared" ca="1" si="77"/>
        <v>2.4201513064598834E-2</v>
      </c>
      <c r="CT67" s="9">
        <f t="shared" ca="1" si="77"/>
        <v>8.321505465176271E-2</v>
      </c>
      <c r="CU67" s="9">
        <f t="shared" ca="1" si="77"/>
        <v>2.3597125425197651E-2</v>
      </c>
      <c r="CV67" s="9">
        <f t="shared" ca="1" si="77"/>
        <v>7.226407469561158E-3</v>
      </c>
      <c r="CW67" s="9">
        <f t="shared" ca="1" si="77"/>
        <v>3.6975964633526592E-2</v>
      </c>
      <c r="CX67" s="9">
        <f t="shared" ca="1" si="77"/>
        <v>6.7780219245483053E-2</v>
      </c>
      <c r="CY67" s="9">
        <f t="shared" ca="1" si="77"/>
        <v>8.9605386625868144E-2</v>
      </c>
      <c r="CZ67" s="9">
        <f t="shared" ca="1" si="77"/>
        <v>6.5749486642984856E-2</v>
      </c>
      <c r="DA67" s="9">
        <f t="shared" ca="1" si="77"/>
        <v>0.14090074082482928</v>
      </c>
      <c r="DB67" s="9">
        <f t="shared" ca="1" si="77"/>
        <v>0.12883646950749617</v>
      </c>
      <c r="DC67" s="9">
        <f t="shared" ca="1" si="77"/>
        <v>5.125501912349284E-2</v>
      </c>
      <c r="DD67" s="9">
        <f t="shared" ca="1" si="77"/>
        <v>0.13917907119005402</v>
      </c>
      <c r="DE67" s="9">
        <f t="shared" ca="1" si="77"/>
        <v>0.16427269011667445</v>
      </c>
      <c r="DF67" s="9">
        <f t="shared" ca="1" si="77"/>
        <v>0.10333792142668297</v>
      </c>
      <c r="DG67" s="9">
        <f t="shared" ca="1" si="77"/>
        <v>0.14199187454602558</v>
      </c>
      <c r="DH67" s="9">
        <f t="shared" ca="1" si="77"/>
        <v>8.4527191373408916E-2</v>
      </c>
      <c r="DI67" s="9">
        <f t="shared" ca="1" si="77"/>
        <v>0.10098664065413265</v>
      </c>
      <c r="DJ67" s="9">
        <f t="shared" ca="1" si="77"/>
        <v>6.1475715070574921E-2</v>
      </c>
      <c r="DK67" s="9">
        <f t="shared" ca="1" si="77"/>
        <v>6.2422519158037648E-2</v>
      </c>
      <c r="DL67" s="9">
        <f t="shared" ca="1" si="77"/>
        <v>5.2893498096935776E-2</v>
      </c>
      <c r="DM67" s="9">
        <f t="shared" ca="1" si="77"/>
        <v>3.9833294762865012E-2</v>
      </c>
      <c r="DN67" s="9">
        <f t="shared" ca="1" si="77"/>
        <v>5.3950894281471706E-2</v>
      </c>
      <c r="DO67" s="9">
        <f t="shared" ca="1" si="77"/>
        <v>2.1870511218269328E-2</v>
      </c>
      <c r="DP67" s="9">
        <f t="shared" ca="1" si="77"/>
        <v>9.6665762379887665E-2</v>
      </c>
      <c r="DQ67" s="9">
        <f t="shared" ca="1" si="77"/>
        <v>6.8691001251888206E-2</v>
      </c>
      <c r="DR67" s="9">
        <f t="shared" ca="1" si="77"/>
        <v>9.3577985877080216E-4</v>
      </c>
      <c r="DS67" s="9">
        <f t="shared" ca="1" si="77"/>
        <v>6.9630607678642376E-3</v>
      </c>
      <c r="DT67" s="9">
        <f t="shared" ca="1" si="77"/>
        <v>3.3244798912270834E-3</v>
      </c>
      <c r="DU67" s="9">
        <f t="shared" ca="1" si="77"/>
        <v>2.0307113718313508E-2</v>
      </c>
      <c r="DV67" s="9">
        <f t="shared" ca="1" si="77"/>
        <v>5.822674403167527E-3</v>
      </c>
      <c r="DW67" s="9">
        <f t="shared" ca="1" si="77"/>
        <v>1.2197019418246358E-2</v>
      </c>
      <c r="DX67" s="9">
        <f t="shared" ca="1" si="77"/>
        <v>4.1721974958711439E-2</v>
      </c>
      <c r="DY67" s="9">
        <f t="shared" ca="1" si="77"/>
        <v>6.047511227088842E-2</v>
      </c>
      <c r="DZ67" s="9">
        <f t="shared" ref="DZ67:GK67" ca="1" si="78">IF(DZ40="","",ABS(DZ40))</f>
        <v>1.9954554915425859E-2</v>
      </c>
      <c r="EA67" s="9">
        <f t="shared" ca="1" si="78"/>
        <v>2.6328422888717284E-3</v>
      </c>
      <c r="EB67" s="9">
        <f t="shared" ca="1" si="78"/>
        <v>3.8967984732369176E-2</v>
      </c>
      <c r="EC67" s="9">
        <f t="shared" ca="1" si="78"/>
        <v>2.9876854638741346E-2</v>
      </c>
      <c r="ED67" s="9">
        <f t="shared" ca="1" si="78"/>
        <v>5.9037935338901448E-4</v>
      </c>
      <c r="EE67" s="9">
        <f t="shared" ca="1" si="78"/>
        <v>1.3618893915596342E-2</v>
      </c>
      <c r="EF67" s="9">
        <f t="shared" ca="1" si="78"/>
        <v>2.0348524054594086E-2</v>
      </c>
      <c r="EG67" s="9">
        <f t="shared" ca="1" si="78"/>
        <v>3.0032957346116995E-2</v>
      </c>
      <c r="EH67" s="9">
        <f t="shared" ca="1" si="78"/>
        <v>8.9848865080402796E-2</v>
      </c>
      <c r="EI67" s="9">
        <f t="shared" ca="1" si="78"/>
        <v>7.0901357014267585E-2</v>
      </c>
      <c r="EJ67" s="9">
        <f t="shared" ca="1" si="78"/>
        <v>2.0079209653931729E-2</v>
      </c>
      <c r="EK67" s="9">
        <f t="shared" ca="1" si="78"/>
        <v>3.8934062083142207E-2</v>
      </c>
      <c r="EL67" s="9">
        <f t="shared" ca="1" si="78"/>
        <v>5.6630248080572709E-2</v>
      </c>
      <c r="EM67" s="9">
        <f t="shared" ca="1" si="78"/>
        <v>4.6470495462952455E-2</v>
      </c>
      <c r="EN67" s="9">
        <f t="shared" ca="1" si="78"/>
        <v>0.11322417656095762</v>
      </c>
      <c r="EO67" s="9">
        <f t="shared" ca="1" si="78"/>
        <v>4.1535908800359289E-2</v>
      </c>
      <c r="EP67" s="9">
        <f t="shared" ca="1" si="78"/>
        <v>2.7459033661605625E-2</v>
      </c>
      <c r="EQ67" s="9">
        <f t="shared" ca="1" si="78"/>
        <v>4.1837335869180592E-2</v>
      </c>
      <c r="ER67" s="9">
        <f t="shared" ca="1" si="78"/>
        <v>4.7981477768736847E-2</v>
      </c>
      <c r="ES67" s="9">
        <f t="shared" ca="1" si="78"/>
        <v>1.1752296134312834E-2</v>
      </c>
      <c r="ET67" s="9">
        <f t="shared" ca="1" si="78"/>
        <v>1.2974260691165695E-2</v>
      </c>
      <c r="EU67" s="9">
        <f t="shared" ca="1" si="78"/>
        <v>9.2329317544483813E-2</v>
      </c>
      <c r="EV67" s="9">
        <f t="shared" ca="1" si="78"/>
        <v>9.5251185857739729E-2</v>
      </c>
      <c r="EW67" s="9">
        <f t="shared" ca="1" si="78"/>
        <v>5.4010604326639511E-2</v>
      </c>
      <c r="EX67" s="9">
        <f t="shared" ca="1" si="78"/>
        <v>2.9463989225322895E-2</v>
      </c>
      <c r="EY67" s="9">
        <f t="shared" ca="1" si="78"/>
        <v>5.1208712686512947E-2</v>
      </c>
      <c r="EZ67" s="9">
        <f t="shared" ca="1" si="78"/>
        <v>2.551099480520469E-2</v>
      </c>
      <c r="FA67" s="9">
        <f t="shared" ca="1" si="78"/>
        <v>5.4755301185557936E-2</v>
      </c>
      <c r="FB67" s="9">
        <f t="shared" ca="1" si="78"/>
        <v>2.5802314764859391E-2</v>
      </c>
      <c r="FC67" s="9">
        <f t="shared" ca="1" si="78"/>
        <v>8.8857197923692954E-3</v>
      </c>
      <c r="FD67" s="9">
        <f t="shared" ca="1" si="78"/>
        <v>2.6231233630273021E-2</v>
      </c>
      <c r="FE67" s="9">
        <f t="shared" ca="1" si="78"/>
        <v>2.4821776848524824E-2</v>
      </c>
      <c r="FF67" s="9">
        <f t="shared" ca="1" si="78"/>
        <v>2.7122190410699076E-2</v>
      </c>
      <c r="FG67" s="9">
        <f t="shared" ca="1" si="78"/>
        <v>1.8307813792855399E-2</v>
      </c>
      <c r="FH67" s="9">
        <f t="shared" ca="1" si="78"/>
        <v>2.6770854956358781E-2</v>
      </c>
      <c r="FI67" s="9">
        <f t="shared" ca="1" si="78"/>
        <v>2.4393521691133069E-2</v>
      </c>
      <c r="FJ67" s="9">
        <f t="shared" ca="1" si="78"/>
        <v>4.696563166385348E-2</v>
      </c>
      <c r="FK67" s="9">
        <f t="shared" ca="1" si="78"/>
        <v>2.0096565772735664E-2</v>
      </c>
      <c r="FL67" s="9">
        <f t="shared" ca="1" si="78"/>
        <v>0.11990742093733919</v>
      </c>
      <c r="FM67" s="9">
        <f t="shared" ca="1" si="78"/>
        <v>0.10218072832014158</v>
      </c>
      <c r="FN67" s="9">
        <f t="shared" ca="1" si="78"/>
        <v>5.158751168804443E-2</v>
      </c>
      <c r="FO67" s="9">
        <f t="shared" ca="1" si="78"/>
        <v>3.7861480814761928E-2</v>
      </c>
      <c r="FP67" s="9">
        <f t="shared" ca="1" si="78"/>
        <v>2.9431450851120422E-2</v>
      </c>
      <c r="FQ67" s="9">
        <f t="shared" ca="1" si="78"/>
        <v>6.4978753717308102E-2</v>
      </c>
      <c r="FR67" s="9">
        <f t="shared" ca="1" si="78"/>
        <v>9.8166965326474065E-2</v>
      </c>
      <c r="FS67" s="9">
        <f t="shared" ca="1" si="78"/>
        <v>9.282017095808115E-2</v>
      </c>
      <c r="FT67" s="9">
        <f t="shared" ca="1" si="78"/>
        <v>7.9485619571343147E-2</v>
      </c>
      <c r="FU67" s="9">
        <f t="shared" ca="1" si="78"/>
        <v>3.9306859594498533E-2</v>
      </c>
      <c r="FV67" s="9">
        <f t="shared" ca="1" si="78"/>
        <v>3.711991800142922E-2</v>
      </c>
      <c r="FW67" s="9">
        <f t="shared" ca="1" si="78"/>
        <v>1.9846005299504865E-2</v>
      </c>
      <c r="FX67" s="9">
        <f t="shared" ca="1" si="78"/>
        <v>4.9832300571807653E-2</v>
      </c>
      <c r="FY67" s="9">
        <f t="shared" ca="1" si="78"/>
        <v>0.11248505026519939</v>
      </c>
      <c r="FZ67" s="9">
        <f t="shared" ca="1" si="78"/>
        <v>0.16508349145943524</v>
      </c>
      <c r="GA67" s="9">
        <f t="shared" ca="1" si="78"/>
        <v>0.13295166973082351</v>
      </c>
      <c r="GB67" s="9">
        <f t="shared" ca="1" si="78"/>
        <v>0.13911380247408067</v>
      </c>
      <c r="GC67" s="9">
        <f t="shared" ca="1" si="78"/>
        <v>0.10146961769531593</v>
      </c>
      <c r="GD67" s="9">
        <f t="shared" ca="1" si="78"/>
        <v>0.12873982667847417</v>
      </c>
      <c r="GE67" s="9">
        <f t="shared" ca="1" si="78"/>
        <v>0.15270286521030285</v>
      </c>
      <c r="GF67" s="9">
        <f t="shared" ca="1" si="78"/>
        <v>0.13219001383724294</v>
      </c>
      <c r="GG67" s="9">
        <f t="shared" ca="1" si="78"/>
        <v>0.1135952454228375</v>
      </c>
      <c r="GH67" s="9">
        <f t="shared" ca="1" si="78"/>
        <v>9.3978179818025143E-2</v>
      </c>
      <c r="GI67" s="9">
        <f t="shared" ca="1" si="78"/>
        <v>5.5824382258457872E-2</v>
      </c>
      <c r="GJ67" s="9">
        <f t="shared" ca="1" si="78"/>
        <v>3.1199669091948046E-2</v>
      </c>
      <c r="GK67" s="9">
        <f t="shared" ca="1" si="78"/>
        <v>5.2979499528149843E-2</v>
      </c>
      <c r="GL67" s="9">
        <f t="shared" ref="GL67:IW67" ca="1" si="79">IF(GL40="","",ABS(GL40))</f>
        <v>4.2944951011031018E-2</v>
      </c>
      <c r="GM67" s="9">
        <f t="shared" ca="1" si="79"/>
        <v>4.6884429385131821E-2</v>
      </c>
      <c r="GN67" s="9">
        <f t="shared" ca="1" si="79"/>
        <v>9.0517966438431685E-2</v>
      </c>
      <c r="GO67" s="9" t="str">
        <f t="shared" ca="1" si="79"/>
        <v/>
      </c>
      <c r="GP67" s="9" t="str">
        <f t="shared" ca="1" si="79"/>
        <v/>
      </c>
      <c r="GQ67" s="9" t="str">
        <f t="shared" ca="1" si="79"/>
        <v/>
      </c>
      <c r="GR67" s="9" t="str">
        <f t="shared" ca="1" si="79"/>
        <v/>
      </c>
      <c r="GS67" s="9" t="str">
        <f t="shared" ca="1" si="79"/>
        <v/>
      </c>
      <c r="GT67" s="9" t="str">
        <f t="shared" ca="1" si="79"/>
        <v/>
      </c>
      <c r="GU67" s="9" t="str">
        <f t="shared" ca="1" si="79"/>
        <v/>
      </c>
      <c r="GV67" s="9" t="str">
        <f t="shared" ca="1" si="79"/>
        <v/>
      </c>
      <c r="GW67" s="9" t="str">
        <f t="shared" ca="1" si="79"/>
        <v/>
      </c>
      <c r="GX67" s="9" t="str">
        <f t="shared" ca="1" si="79"/>
        <v/>
      </c>
      <c r="GY67" s="9" t="str">
        <f t="shared" ca="1" si="79"/>
        <v/>
      </c>
      <c r="GZ67" s="9" t="str">
        <f t="shared" ca="1" si="79"/>
        <v/>
      </c>
      <c r="HA67" s="9" t="str">
        <f t="shared" ca="1" si="79"/>
        <v/>
      </c>
      <c r="HB67" s="9" t="str">
        <f t="shared" ca="1" si="79"/>
        <v/>
      </c>
      <c r="HC67" s="9" t="str">
        <f t="shared" ca="1" si="79"/>
        <v/>
      </c>
      <c r="HD67" s="9" t="str">
        <f t="shared" ca="1" si="79"/>
        <v/>
      </c>
      <c r="HE67" s="9" t="str">
        <f t="shared" ca="1" si="79"/>
        <v/>
      </c>
      <c r="HF67" s="9" t="str">
        <f t="shared" ca="1" si="79"/>
        <v/>
      </c>
      <c r="HG67" s="9" t="str">
        <f t="shared" ca="1" si="79"/>
        <v/>
      </c>
      <c r="HH67" s="9" t="str">
        <f t="shared" ca="1" si="79"/>
        <v/>
      </c>
      <c r="HI67" s="9" t="str">
        <f t="shared" ca="1" si="79"/>
        <v/>
      </c>
      <c r="HJ67" s="9" t="str">
        <f t="shared" ca="1" si="79"/>
        <v/>
      </c>
      <c r="HK67" s="9" t="str">
        <f t="shared" ca="1" si="79"/>
        <v/>
      </c>
      <c r="HL67" s="9" t="str">
        <f t="shared" ca="1" si="79"/>
        <v/>
      </c>
      <c r="HM67" s="9" t="str">
        <f t="shared" ca="1" si="79"/>
        <v/>
      </c>
      <c r="HN67" s="9" t="str">
        <f t="shared" ca="1" si="79"/>
        <v/>
      </c>
      <c r="HO67" s="9" t="str">
        <f t="shared" ca="1" si="79"/>
        <v/>
      </c>
      <c r="HP67" s="9" t="str">
        <f t="shared" ca="1" si="79"/>
        <v/>
      </c>
      <c r="HQ67" s="9" t="str">
        <f t="shared" ca="1" si="79"/>
        <v/>
      </c>
      <c r="HR67" s="9" t="str">
        <f t="shared" ca="1" si="79"/>
        <v/>
      </c>
      <c r="HS67" s="9" t="str">
        <f t="shared" ca="1" si="79"/>
        <v/>
      </c>
      <c r="HT67" s="9" t="str">
        <f t="shared" ca="1" si="79"/>
        <v/>
      </c>
      <c r="HU67" s="9" t="str">
        <f t="shared" ca="1" si="79"/>
        <v/>
      </c>
      <c r="HV67" s="9" t="str">
        <f t="shared" ca="1" si="79"/>
        <v/>
      </c>
      <c r="HW67" s="9" t="str">
        <f t="shared" ca="1" si="79"/>
        <v/>
      </c>
      <c r="HX67" s="9" t="str">
        <f t="shared" ca="1" si="79"/>
        <v/>
      </c>
      <c r="HY67" s="9" t="str">
        <f t="shared" ca="1" si="79"/>
        <v/>
      </c>
      <c r="HZ67" s="9" t="str">
        <f t="shared" ca="1" si="79"/>
        <v/>
      </c>
      <c r="IA67" s="9" t="str">
        <f t="shared" ca="1" si="79"/>
        <v/>
      </c>
      <c r="IB67" s="9" t="str">
        <f t="shared" ca="1" si="79"/>
        <v/>
      </c>
      <c r="IC67" s="9" t="str">
        <f t="shared" ca="1" si="79"/>
        <v/>
      </c>
      <c r="ID67" s="9" t="str">
        <f t="shared" ca="1" si="79"/>
        <v/>
      </c>
      <c r="IE67" s="9" t="str">
        <f t="shared" ca="1" si="79"/>
        <v/>
      </c>
      <c r="IF67" s="9" t="str">
        <f t="shared" ca="1" si="79"/>
        <v/>
      </c>
      <c r="IG67" s="9" t="str">
        <f t="shared" ca="1" si="79"/>
        <v/>
      </c>
      <c r="IH67" s="9" t="str">
        <f t="shared" ca="1" si="79"/>
        <v/>
      </c>
      <c r="II67" s="9" t="str">
        <f t="shared" ca="1" si="79"/>
        <v/>
      </c>
      <c r="IJ67" s="9" t="str">
        <f t="shared" ca="1" si="79"/>
        <v/>
      </c>
      <c r="IK67" s="9" t="str">
        <f t="shared" ca="1" si="79"/>
        <v/>
      </c>
      <c r="IL67" s="9" t="str">
        <f t="shared" ca="1" si="79"/>
        <v/>
      </c>
      <c r="IM67" s="9" t="str">
        <f t="shared" ca="1" si="79"/>
        <v/>
      </c>
      <c r="IN67" s="9" t="str">
        <f t="shared" ca="1" si="79"/>
        <v/>
      </c>
      <c r="IO67" s="9" t="str">
        <f t="shared" ca="1" si="79"/>
        <v/>
      </c>
      <c r="IP67" s="9" t="str">
        <f t="shared" ca="1" si="79"/>
        <v/>
      </c>
      <c r="IQ67" s="9" t="str">
        <f t="shared" ca="1" si="79"/>
        <v/>
      </c>
      <c r="IR67" s="9" t="str">
        <f t="shared" ca="1" si="79"/>
        <v/>
      </c>
      <c r="IS67" s="9" t="str">
        <f t="shared" ca="1" si="79"/>
        <v/>
      </c>
      <c r="IT67" s="9" t="str">
        <f t="shared" ca="1" si="79"/>
        <v/>
      </c>
      <c r="IU67" s="9" t="str">
        <f t="shared" ca="1" si="79"/>
        <v/>
      </c>
      <c r="IV67" s="9" t="str">
        <f t="shared" ca="1" si="79"/>
        <v/>
      </c>
      <c r="IW67" s="9" t="str">
        <f t="shared" ca="1" si="79"/>
        <v/>
      </c>
      <c r="IX67" s="9" t="str">
        <f t="shared" ref="IX67:JH67" ca="1" si="80">IF(IX40="","",ABS(IX40))</f>
        <v/>
      </c>
      <c r="IY67" s="9" t="str">
        <f t="shared" ca="1" si="80"/>
        <v/>
      </c>
      <c r="IZ67" s="9" t="str">
        <f t="shared" ca="1" si="80"/>
        <v/>
      </c>
      <c r="JA67" s="9" t="str">
        <f t="shared" ca="1" si="80"/>
        <v/>
      </c>
      <c r="JB67" s="9" t="str">
        <f t="shared" ca="1" si="80"/>
        <v/>
      </c>
      <c r="JC67" s="9" t="str">
        <f t="shared" ca="1" si="80"/>
        <v/>
      </c>
      <c r="JD67" s="9" t="str">
        <f t="shared" ca="1" si="80"/>
        <v/>
      </c>
      <c r="JE67" s="9" t="str">
        <f t="shared" ca="1" si="80"/>
        <v/>
      </c>
      <c r="JF67" s="9" t="str">
        <f t="shared" ca="1" si="80"/>
        <v/>
      </c>
      <c r="JG67" s="9" t="str">
        <f t="shared" ca="1" si="80"/>
        <v/>
      </c>
      <c r="JH67" s="9" t="str">
        <f t="shared" ca="1" si="80"/>
        <v/>
      </c>
      <c r="JI67" s="13">
        <f t="shared" ca="1" si="25"/>
        <v>8.6425718889388936E-2</v>
      </c>
      <c r="JJ67" s="13">
        <f t="shared" ca="1" si="26"/>
        <v>9.1669068698256417E-2</v>
      </c>
      <c r="JK67" s="14">
        <f t="shared" ca="1" si="27"/>
        <v>1.6996584280144268E-3</v>
      </c>
      <c r="JL67" s="17">
        <f t="shared" ca="1" si="35"/>
        <v>4.1226913879338904E-2</v>
      </c>
      <c r="JM67" s="15" t="str">
        <f t="shared" ca="1" si="28"/>
        <v>[ 0,40% ; 16,89% ]</v>
      </c>
      <c r="JN67" s="17">
        <f t="shared" ca="1" si="29"/>
        <v>5.2770449765553798E-2</v>
      </c>
      <c r="LY67" s="1"/>
    </row>
    <row r="68" spans="1:337" x14ac:dyDescent="0.25">
      <c r="A68" s="4">
        <v>12</v>
      </c>
      <c r="B68" s="9">
        <f t="shared" ref="B68:BM68" ca="1" si="81">IF(B41="","",ABS(B41))</f>
        <v>3.8524566874651223E-2</v>
      </c>
      <c r="C68" s="9">
        <f t="shared" ca="1" si="81"/>
        <v>1.1137674811965703E-2</v>
      </c>
      <c r="D68" s="9">
        <f t="shared" ca="1" si="81"/>
        <v>1.1379661592310075E-3</v>
      </c>
      <c r="E68" s="9">
        <f t="shared" ca="1" si="81"/>
        <v>1.3713938704991602E-2</v>
      </c>
      <c r="F68" s="9">
        <f t="shared" ca="1" si="81"/>
        <v>6.3921880961937738E-2</v>
      </c>
      <c r="G68" s="9">
        <f t="shared" ca="1" si="81"/>
        <v>3.8918058761615582E-2</v>
      </c>
      <c r="H68" s="9">
        <f t="shared" ca="1" si="81"/>
        <v>4.0299906071094682E-2</v>
      </c>
      <c r="I68" s="9">
        <f t="shared" ca="1" si="81"/>
        <v>5.6067361263163473E-3</v>
      </c>
      <c r="J68" s="9">
        <f t="shared" ca="1" si="81"/>
        <v>9.9702619377722845E-3</v>
      </c>
      <c r="K68" s="9">
        <f t="shared" ca="1" si="81"/>
        <v>1.5693038103563262E-2</v>
      </c>
      <c r="L68" s="9">
        <f t="shared" ca="1" si="81"/>
        <v>1.972472874425768E-2</v>
      </c>
      <c r="M68" s="9">
        <f t="shared" ca="1" si="81"/>
        <v>1.6901504589788008E-2</v>
      </c>
      <c r="N68" s="9">
        <f t="shared" ca="1" si="81"/>
        <v>2.0857582813786024E-2</v>
      </c>
      <c r="O68" s="9">
        <f t="shared" ca="1" si="81"/>
        <v>3.7681633778565926E-2</v>
      </c>
      <c r="P68" s="9">
        <f t="shared" ca="1" si="81"/>
        <v>2.7502648705673316E-2</v>
      </c>
      <c r="Q68" s="9">
        <f t="shared" ca="1" si="81"/>
        <v>5.0760248290693921E-2</v>
      </c>
      <c r="R68" s="9">
        <f t="shared" ca="1" si="81"/>
        <v>6.2480984690440833E-2</v>
      </c>
      <c r="S68" s="9">
        <f t="shared" ca="1" si="81"/>
        <v>3.3821455551738655E-2</v>
      </c>
      <c r="T68" s="9">
        <f t="shared" ca="1" si="81"/>
        <v>2.1298787742080716E-2</v>
      </c>
      <c r="U68" s="9">
        <f t="shared" ca="1" si="81"/>
        <v>3.1189594170983215E-2</v>
      </c>
      <c r="V68" s="9">
        <f t="shared" ca="1" si="81"/>
        <v>3.6439840042127747E-2</v>
      </c>
      <c r="W68" s="9">
        <f t="shared" ca="1" si="81"/>
        <v>3.4341086382924324E-2</v>
      </c>
      <c r="X68" s="9">
        <f t="shared" ca="1" si="81"/>
        <v>5.432898057505553E-2</v>
      </c>
      <c r="Y68" s="9">
        <f t="shared" ca="1" si="81"/>
        <v>4.5226424650290697E-2</v>
      </c>
      <c r="Z68" s="9">
        <f t="shared" ca="1" si="81"/>
        <v>6.487348560060191E-2</v>
      </c>
      <c r="AA68" s="9">
        <f t="shared" ca="1" si="81"/>
        <v>5.8796354344337942E-2</v>
      </c>
      <c r="AB68" s="9">
        <f t="shared" ca="1" si="81"/>
        <v>5.8415694951995834E-2</v>
      </c>
      <c r="AC68" s="9">
        <f t="shared" ca="1" si="81"/>
        <v>4.2517167792925692E-2</v>
      </c>
      <c r="AD68" s="9">
        <f t="shared" ca="1" si="81"/>
        <v>2.0491981916477497E-2</v>
      </c>
      <c r="AE68" s="9">
        <f t="shared" ca="1" si="81"/>
        <v>1.5141937760890345E-2</v>
      </c>
      <c r="AF68" s="9">
        <f t="shared" ca="1" si="81"/>
        <v>9.5660523332345981E-3</v>
      </c>
      <c r="AG68" s="9">
        <f t="shared" ca="1" si="81"/>
        <v>1.4458029817119411E-2</v>
      </c>
      <c r="AH68" s="9">
        <f t="shared" ca="1" si="81"/>
        <v>2.3055874441623825E-2</v>
      </c>
      <c r="AI68" s="9">
        <f t="shared" ca="1" si="81"/>
        <v>1.9027200343593731E-2</v>
      </c>
      <c r="AJ68" s="9">
        <f t="shared" ca="1" si="81"/>
        <v>2.4358885096458671E-2</v>
      </c>
      <c r="AK68" s="9">
        <f t="shared" ca="1" si="81"/>
        <v>3.7514748182258306E-2</v>
      </c>
      <c r="AL68" s="9">
        <f t="shared" ca="1" si="81"/>
        <v>3.8577747775719651E-2</v>
      </c>
      <c r="AM68" s="9">
        <f t="shared" ca="1" si="81"/>
        <v>6.8296875319989736E-2</v>
      </c>
      <c r="AN68" s="9">
        <f t="shared" ca="1" si="81"/>
        <v>0.10071368522669388</v>
      </c>
      <c r="AO68" s="9">
        <f t="shared" ca="1" si="81"/>
        <v>0.10992791883125963</v>
      </c>
      <c r="AP68" s="9">
        <f t="shared" ca="1" si="81"/>
        <v>0.13836466833969818</v>
      </c>
      <c r="AQ68" s="9">
        <f t="shared" ca="1" si="81"/>
        <v>0.16483951360986204</v>
      </c>
      <c r="AR68" s="9">
        <f t="shared" ca="1" si="81"/>
        <v>0.18117698951090599</v>
      </c>
      <c r="AS68" s="9">
        <f t="shared" ca="1" si="81"/>
        <v>0.19625020726717124</v>
      </c>
      <c r="AT68" s="9">
        <f t="shared" ca="1" si="81"/>
        <v>0.20685286209295983</v>
      </c>
      <c r="AU68" s="9">
        <f t="shared" ca="1" si="81"/>
        <v>0.21928320252461198</v>
      </c>
      <c r="AV68" s="9">
        <f t="shared" ca="1" si="81"/>
        <v>0.28983712779891313</v>
      </c>
      <c r="AW68" s="9">
        <f t="shared" ca="1" si="81"/>
        <v>0.32684531684557361</v>
      </c>
      <c r="AX68" s="9">
        <f t="shared" ca="1" si="81"/>
        <v>0.35509674113654155</v>
      </c>
      <c r="AY68" s="9">
        <f t="shared" ca="1" si="81"/>
        <v>0.34450174617737683</v>
      </c>
      <c r="AZ68" s="9">
        <f t="shared" ca="1" si="81"/>
        <v>0.34864452010106417</v>
      </c>
      <c r="BA68" s="9">
        <f t="shared" ca="1" si="81"/>
        <v>0.37883281062159391</v>
      </c>
      <c r="BB68" s="9">
        <f t="shared" ca="1" si="81"/>
        <v>0.37564772375347466</v>
      </c>
      <c r="BC68" s="9">
        <f t="shared" ca="1" si="81"/>
        <v>0.35041449981876405</v>
      </c>
      <c r="BD68" s="9">
        <f t="shared" ca="1" si="81"/>
        <v>0.25941296600070074</v>
      </c>
      <c r="BE68" s="9">
        <f t="shared" ca="1" si="81"/>
        <v>0.1852944711709632</v>
      </c>
      <c r="BF68" s="9">
        <f t="shared" ca="1" si="81"/>
        <v>0.14474181650443474</v>
      </c>
      <c r="BG68" s="9">
        <f t="shared" ca="1" si="81"/>
        <v>0.12205185930184481</v>
      </c>
      <c r="BH68" s="9">
        <f t="shared" ca="1" si="81"/>
        <v>1.8930932878755913E-2</v>
      </c>
      <c r="BI68" s="9">
        <f t="shared" ca="1" si="81"/>
        <v>0.10377070044788028</v>
      </c>
      <c r="BJ68" s="9">
        <f t="shared" ca="1" si="81"/>
        <v>0.24663588073142928</v>
      </c>
      <c r="BK68" s="9">
        <f t="shared" ca="1" si="81"/>
        <v>0.13222664483439939</v>
      </c>
      <c r="BL68" s="9">
        <f t="shared" ca="1" si="81"/>
        <v>0.2534440051004121</v>
      </c>
      <c r="BM68" s="9">
        <f t="shared" ca="1" si="81"/>
        <v>0.27517178258407382</v>
      </c>
      <c r="BN68" s="9">
        <f t="shared" ref="BN68:DY68" ca="1" si="82">IF(BN41="","",ABS(BN41))</f>
        <v>0.29575993443666238</v>
      </c>
      <c r="BO68" s="9">
        <f t="shared" ca="1" si="82"/>
        <v>0.28355105045682061</v>
      </c>
      <c r="BP68" s="9">
        <f t="shared" ca="1" si="82"/>
        <v>0.21424207875390877</v>
      </c>
      <c r="BQ68" s="9">
        <f t="shared" ca="1" si="82"/>
        <v>7.734147932309221E-2</v>
      </c>
      <c r="BR68" s="9">
        <f t="shared" ca="1" si="82"/>
        <v>4.7757246661908948E-2</v>
      </c>
      <c r="BS68" s="9">
        <f t="shared" ca="1" si="82"/>
        <v>1.104996802336311E-2</v>
      </c>
      <c r="BT68" s="9">
        <f t="shared" ca="1" si="82"/>
        <v>0.12103878719495142</v>
      </c>
      <c r="BU68" s="9">
        <f t="shared" ca="1" si="82"/>
        <v>3.8630788234172542E-2</v>
      </c>
      <c r="BV68" s="9">
        <f t="shared" ca="1" si="82"/>
        <v>6.5933075313467482E-2</v>
      </c>
      <c r="BW68" s="9">
        <f t="shared" ca="1" si="82"/>
        <v>6.7968879606514099E-2</v>
      </c>
      <c r="BX68" s="9">
        <f t="shared" ca="1" si="82"/>
        <v>7.358278355826231E-2</v>
      </c>
      <c r="BY68" s="9">
        <f t="shared" ca="1" si="82"/>
        <v>0.1055665320468735</v>
      </c>
      <c r="BZ68" s="9">
        <f t="shared" ca="1" si="82"/>
        <v>9.1763640081576003E-2</v>
      </c>
      <c r="CA68" s="9">
        <f t="shared" ca="1" si="82"/>
        <v>5.7617435975019893E-2</v>
      </c>
      <c r="CB68" s="9">
        <f t="shared" ca="1" si="82"/>
        <v>2.5029678593997629E-2</v>
      </c>
      <c r="CC68" s="9">
        <f t="shared" ca="1" si="82"/>
        <v>1.0274734852430245E-2</v>
      </c>
      <c r="CD68" s="9">
        <f t="shared" ca="1" si="82"/>
        <v>2.5001765134983422E-2</v>
      </c>
      <c r="CE68" s="9">
        <f t="shared" ca="1" si="82"/>
        <v>4.2513870555867306E-2</v>
      </c>
      <c r="CF68" s="9">
        <f t="shared" ca="1" si="82"/>
        <v>1.8494311169515831E-2</v>
      </c>
      <c r="CG68" s="9">
        <f t="shared" ca="1" si="82"/>
        <v>4.6543036551937034E-3</v>
      </c>
      <c r="CH68" s="9">
        <f t="shared" ca="1" si="82"/>
        <v>2.9901188205728846E-2</v>
      </c>
      <c r="CI68" s="9">
        <f t="shared" ca="1" si="82"/>
        <v>1.4312699950599139E-2</v>
      </c>
      <c r="CJ68" s="9">
        <f t="shared" ca="1" si="82"/>
        <v>4.3701062735720608E-2</v>
      </c>
      <c r="CK68" s="9">
        <f t="shared" ca="1" si="82"/>
        <v>8.5730638468033749E-2</v>
      </c>
      <c r="CL68" s="9">
        <f t="shared" ca="1" si="82"/>
        <v>9.706446372546762E-2</v>
      </c>
      <c r="CM68" s="9">
        <f t="shared" ca="1" si="82"/>
        <v>7.2457707220997314E-2</v>
      </c>
      <c r="CN68" s="9">
        <f t="shared" ca="1" si="82"/>
        <v>3.7631836431259447E-2</v>
      </c>
      <c r="CO68" s="9">
        <f t="shared" ca="1" si="82"/>
        <v>4.7099807102461422E-2</v>
      </c>
      <c r="CP68" s="9">
        <f t="shared" ca="1" si="82"/>
        <v>9.7541185122010932E-2</v>
      </c>
      <c r="CQ68" s="9">
        <f t="shared" ca="1" si="82"/>
        <v>4.6174327460147158E-2</v>
      </c>
      <c r="CR68" s="9">
        <f t="shared" ca="1" si="82"/>
        <v>3.019390509037656E-3</v>
      </c>
      <c r="CS68" s="9">
        <f t="shared" ca="1" si="82"/>
        <v>3.5040799758849883E-2</v>
      </c>
      <c r="CT68" s="9">
        <f t="shared" ca="1" si="82"/>
        <v>6.8630499593433147E-2</v>
      </c>
      <c r="CU68" s="9">
        <f t="shared" ca="1" si="82"/>
        <v>1.6567861547104656E-2</v>
      </c>
      <c r="CV68" s="9">
        <f t="shared" ca="1" si="82"/>
        <v>2.7281652827786607E-2</v>
      </c>
      <c r="CW68" s="9">
        <f t="shared" ca="1" si="82"/>
        <v>5.6665242654197368E-2</v>
      </c>
      <c r="CX68" s="9">
        <f t="shared" ca="1" si="82"/>
        <v>9.534037209066093E-2</v>
      </c>
      <c r="CY68" s="9">
        <f t="shared" ca="1" si="82"/>
        <v>9.8642766859832198E-2</v>
      </c>
      <c r="CZ68" s="9">
        <f t="shared" ca="1" si="82"/>
        <v>8.2419586491630392E-2</v>
      </c>
      <c r="DA68" s="9">
        <f t="shared" ca="1" si="82"/>
        <v>0.14801836603854457</v>
      </c>
      <c r="DB68" s="9">
        <f t="shared" ca="1" si="82"/>
        <v>0.14415914022723952</v>
      </c>
      <c r="DC68" s="9">
        <f t="shared" ca="1" si="82"/>
        <v>8.6879196462424035E-2</v>
      </c>
      <c r="DD68" s="9">
        <f t="shared" ca="1" si="82"/>
        <v>0.1270512355756761</v>
      </c>
      <c r="DE68" s="9">
        <f t="shared" ca="1" si="82"/>
        <v>0.16949430286215228</v>
      </c>
      <c r="DF68" s="9">
        <f t="shared" ca="1" si="82"/>
        <v>0.13399555439610378</v>
      </c>
      <c r="DG68" s="9">
        <f t="shared" ca="1" si="82"/>
        <v>0.15228051175969637</v>
      </c>
      <c r="DH68" s="9">
        <f t="shared" ca="1" si="82"/>
        <v>9.1586564938676229E-2</v>
      </c>
      <c r="DI68" s="9">
        <f t="shared" ca="1" si="82"/>
        <v>0.10313572853592357</v>
      </c>
      <c r="DJ68" s="9">
        <f t="shared" ca="1" si="82"/>
        <v>7.5385611298478539E-2</v>
      </c>
      <c r="DK68" s="9">
        <f t="shared" ca="1" si="82"/>
        <v>7.2091749487709134E-2</v>
      </c>
      <c r="DL68" s="9">
        <f t="shared" ca="1" si="82"/>
        <v>5.3296287073234527E-2</v>
      </c>
      <c r="DM68" s="9">
        <f t="shared" ca="1" si="82"/>
        <v>3.7754706853974529E-2</v>
      </c>
      <c r="DN68" s="9">
        <f t="shared" ca="1" si="82"/>
        <v>5.9078772209516739E-2</v>
      </c>
      <c r="DO68" s="9">
        <f t="shared" ca="1" si="82"/>
        <v>1.6706446021186316E-3</v>
      </c>
      <c r="DP68" s="9">
        <f t="shared" ca="1" si="82"/>
        <v>6.38497719485982E-2</v>
      </c>
      <c r="DQ68" s="9">
        <f t="shared" ca="1" si="82"/>
        <v>9.3635279672159344E-2</v>
      </c>
      <c r="DR68" s="9">
        <f t="shared" ca="1" si="82"/>
        <v>1.9733032147597473E-3</v>
      </c>
      <c r="DS68" s="9">
        <f t="shared" ca="1" si="82"/>
        <v>8.7810177892592156E-3</v>
      </c>
      <c r="DT68" s="9">
        <f t="shared" ca="1" si="82"/>
        <v>1.0225013278012174E-2</v>
      </c>
      <c r="DU68" s="9">
        <f t="shared" ca="1" si="82"/>
        <v>2.3524132687738009E-2</v>
      </c>
      <c r="DV68" s="9">
        <f t="shared" ca="1" si="82"/>
        <v>3.1398409376854453E-2</v>
      </c>
      <c r="DW68" s="9">
        <f t="shared" ca="1" si="82"/>
        <v>1.6028738063969428E-2</v>
      </c>
      <c r="DX68" s="9">
        <f t="shared" ca="1" si="82"/>
        <v>4.1009440958390542E-2</v>
      </c>
      <c r="DY68" s="9">
        <f t="shared" ca="1" si="82"/>
        <v>4.7319884719896788E-2</v>
      </c>
      <c r="DZ68" s="9">
        <f t="shared" ref="DZ68:GK68" ca="1" si="83">IF(DZ41="","",ABS(DZ41))</f>
        <v>1.0942308240908361E-2</v>
      </c>
      <c r="EA68" s="9">
        <f t="shared" ca="1" si="83"/>
        <v>1.2132697443260954E-2</v>
      </c>
      <c r="EB68" s="9">
        <f t="shared" ca="1" si="83"/>
        <v>2.205981913662769E-2</v>
      </c>
      <c r="EC68" s="9">
        <f t="shared" ca="1" si="83"/>
        <v>2.0347799552378865E-2</v>
      </c>
      <c r="ED68" s="9">
        <f t="shared" ca="1" si="83"/>
        <v>7.0356811404357344E-3</v>
      </c>
      <c r="EE68" s="9">
        <f t="shared" ca="1" si="83"/>
        <v>1.1046285010220647E-2</v>
      </c>
      <c r="EF68" s="9">
        <f t="shared" ca="1" si="83"/>
        <v>2.3338492272230282E-2</v>
      </c>
      <c r="EG68" s="9">
        <f t="shared" ca="1" si="83"/>
        <v>1.9511313302688071E-2</v>
      </c>
      <c r="EH68" s="9">
        <f t="shared" ca="1" si="83"/>
        <v>8.4799512423050505E-2</v>
      </c>
      <c r="EI68" s="9">
        <f t="shared" ca="1" si="83"/>
        <v>5.9578682085612678E-2</v>
      </c>
      <c r="EJ68" s="9">
        <f t="shared" ca="1" si="83"/>
        <v>1.9525909484290116E-2</v>
      </c>
      <c r="EK68" s="9">
        <f t="shared" ca="1" si="83"/>
        <v>3.2133900700066942E-2</v>
      </c>
      <c r="EL68" s="9">
        <f t="shared" ca="1" si="83"/>
        <v>5.1085479341846041E-2</v>
      </c>
      <c r="EM68" s="9">
        <f t="shared" ca="1" si="83"/>
        <v>6.6081034179844567E-2</v>
      </c>
      <c r="EN68" s="9">
        <f t="shared" ca="1" si="83"/>
        <v>0.10511148872848386</v>
      </c>
      <c r="EO68" s="9">
        <f t="shared" ca="1" si="83"/>
        <v>2.2827693253006487E-2</v>
      </c>
      <c r="EP68" s="9">
        <f t="shared" ca="1" si="83"/>
        <v>3.9881156065735945E-2</v>
      </c>
      <c r="EQ68" s="9">
        <f t="shared" ca="1" si="83"/>
        <v>4.7459003844336101E-2</v>
      </c>
      <c r="ER68" s="9">
        <f t="shared" ca="1" si="83"/>
        <v>5.343366654858861E-2</v>
      </c>
      <c r="ES68" s="9">
        <f t="shared" ca="1" si="83"/>
        <v>1.069189171010887E-2</v>
      </c>
      <c r="ET68" s="9">
        <f t="shared" ca="1" si="83"/>
        <v>3.7612630967710503E-2</v>
      </c>
      <c r="EU68" s="9">
        <f t="shared" ca="1" si="83"/>
        <v>0.11090190032662295</v>
      </c>
      <c r="EV68" s="9">
        <f t="shared" ca="1" si="83"/>
        <v>9.8637226103108322E-2</v>
      </c>
      <c r="EW68" s="9">
        <f t="shared" ca="1" si="83"/>
        <v>6.1781490266290873E-2</v>
      </c>
      <c r="EX68" s="9">
        <f t="shared" ca="1" si="83"/>
        <v>2.5129732493884505E-2</v>
      </c>
      <c r="EY68" s="9">
        <f t="shared" ca="1" si="83"/>
        <v>5.9106844071105002E-2</v>
      </c>
      <c r="EZ68" s="9">
        <f t="shared" ca="1" si="83"/>
        <v>9.8610216281749263E-3</v>
      </c>
      <c r="FA68" s="9">
        <f t="shared" ca="1" si="83"/>
        <v>7.3893866225595906E-2</v>
      </c>
      <c r="FB68" s="9">
        <f t="shared" ca="1" si="83"/>
        <v>3.2860721546892346E-2</v>
      </c>
      <c r="FC68" s="9">
        <f t="shared" ca="1" si="83"/>
        <v>1.2673592078097151E-2</v>
      </c>
      <c r="FD68" s="9">
        <f t="shared" ca="1" si="83"/>
        <v>2.639772862438039E-2</v>
      </c>
      <c r="FE68" s="9">
        <f t="shared" ca="1" si="83"/>
        <v>3.5795268548560633E-2</v>
      </c>
      <c r="FF68" s="9">
        <f t="shared" ca="1" si="83"/>
        <v>1.7815817954369706E-2</v>
      </c>
      <c r="FG68" s="9">
        <f t="shared" ca="1" si="83"/>
        <v>1.3281756013144852E-2</v>
      </c>
      <c r="FH68" s="9">
        <f t="shared" ca="1" si="83"/>
        <v>3.8417754176307994E-2</v>
      </c>
      <c r="FI68" s="9">
        <f t="shared" ca="1" si="83"/>
        <v>1.5526288266350385E-2</v>
      </c>
      <c r="FJ68" s="9">
        <f t="shared" ca="1" si="83"/>
        <v>4.9421311230720133E-2</v>
      </c>
      <c r="FK68" s="9">
        <f t="shared" ca="1" si="83"/>
        <v>2.1181663514787452E-2</v>
      </c>
      <c r="FL68" s="9">
        <f t="shared" ca="1" si="83"/>
        <v>9.2059061991833779E-2</v>
      </c>
      <c r="FM68" s="9">
        <f t="shared" ca="1" si="83"/>
        <v>7.9667964306166961E-2</v>
      </c>
      <c r="FN68" s="9">
        <f t="shared" ca="1" si="83"/>
        <v>3.3781051703150378E-2</v>
      </c>
      <c r="FO68" s="9">
        <f t="shared" ca="1" si="83"/>
        <v>3.8469683645652397E-2</v>
      </c>
      <c r="FP68" s="9">
        <f t="shared" ca="1" si="83"/>
        <v>3.1359330752093406E-2</v>
      </c>
      <c r="FQ68" s="9">
        <f t="shared" ca="1" si="83"/>
        <v>6.3865038540426244E-2</v>
      </c>
      <c r="FR68" s="9">
        <f t="shared" ca="1" si="83"/>
        <v>8.4046061852693921E-2</v>
      </c>
      <c r="FS68" s="9">
        <f t="shared" ca="1" si="83"/>
        <v>8.0007641421644848E-2</v>
      </c>
      <c r="FT68" s="9">
        <f t="shared" ca="1" si="83"/>
        <v>6.8357602657945327E-2</v>
      </c>
      <c r="FU68" s="9">
        <f t="shared" ca="1" si="83"/>
        <v>2.9392841097015676E-2</v>
      </c>
      <c r="FV68" s="9">
        <f t="shared" ca="1" si="83"/>
        <v>3.2960300314267776E-2</v>
      </c>
      <c r="FW68" s="9">
        <f t="shared" ca="1" si="83"/>
        <v>1.3833947328592444E-2</v>
      </c>
      <c r="FX68" s="9">
        <f t="shared" ca="1" si="83"/>
        <v>5.7926869095525024E-2</v>
      </c>
      <c r="FY68" s="9">
        <f t="shared" ca="1" si="83"/>
        <v>0.11975252691464067</v>
      </c>
      <c r="FZ68" s="9">
        <f t="shared" ca="1" si="83"/>
        <v>0.16397949717311899</v>
      </c>
      <c r="GA68" s="9">
        <f t="shared" ca="1" si="83"/>
        <v>0.14705294443431771</v>
      </c>
      <c r="GB68" s="9">
        <f t="shared" ca="1" si="83"/>
        <v>0.12407787873170339</v>
      </c>
      <c r="GC68" s="9">
        <f t="shared" ca="1" si="83"/>
        <v>0.16386282896934212</v>
      </c>
      <c r="GD68" s="9">
        <f t="shared" ca="1" si="83"/>
        <v>0.1938011141098207</v>
      </c>
      <c r="GE68" s="9">
        <f t="shared" ca="1" si="83"/>
        <v>0.15583604569733622</v>
      </c>
      <c r="GF68" s="9">
        <f t="shared" ca="1" si="83"/>
        <v>0.13203367643388397</v>
      </c>
      <c r="GG68" s="9">
        <f t="shared" ca="1" si="83"/>
        <v>0.11895776539147185</v>
      </c>
      <c r="GH68" s="9">
        <f t="shared" ca="1" si="83"/>
        <v>8.0358743630667973E-2</v>
      </c>
      <c r="GI68" s="9">
        <f t="shared" ca="1" si="83"/>
        <v>3.087099022180162E-2</v>
      </c>
      <c r="GJ68" s="9">
        <f t="shared" ca="1" si="83"/>
        <v>3.0548374912322096E-2</v>
      </c>
      <c r="GK68" s="9">
        <f t="shared" ca="1" si="83"/>
        <v>3.4489112546258971E-2</v>
      </c>
      <c r="GL68" s="9">
        <f t="shared" ref="GL68:IW68" ca="1" si="84">IF(GL41="","",ABS(GL41))</f>
        <v>5.4517712988238487E-2</v>
      </c>
      <c r="GM68" s="9">
        <f t="shared" ca="1" si="84"/>
        <v>5.0519201398294133E-2</v>
      </c>
      <c r="GN68" s="9" t="str">
        <f t="shared" ca="1" si="84"/>
        <v/>
      </c>
      <c r="GO68" s="9" t="str">
        <f t="shared" ca="1" si="84"/>
        <v/>
      </c>
      <c r="GP68" s="9" t="str">
        <f t="shared" ca="1" si="84"/>
        <v/>
      </c>
      <c r="GQ68" s="9" t="str">
        <f t="shared" ca="1" si="84"/>
        <v/>
      </c>
      <c r="GR68" s="9" t="str">
        <f t="shared" ca="1" si="84"/>
        <v/>
      </c>
      <c r="GS68" s="9" t="str">
        <f t="shared" ca="1" si="84"/>
        <v/>
      </c>
      <c r="GT68" s="9" t="str">
        <f t="shared" ca="1" si="84"/>
        <v/>
      </c>
      <c r="GU68" s="9" t="str">
        <f t="shared" ca="1" si="84"/>
        <v/>
      </c>
      <c r="GV68" s="9" t="str">
        <f t="shared" ca="1" si="84"/>
        <v/>
      </c>
      <c r="GW68" s="9" t="str">
        <f t="shared" ca="1" si="84"/>
        <v/>
      </c>
      <c r="GX68" s="9" t="str">
        <f t="shared" ca="1" si="84"/>
        <v/>
      </c>
      <c r="GY68" s="9" t="str">
        <f t="shared" ca="1" si="84"/>
        <v/>
      </c>
      <c r="GZ68" s="9" t="str">
        <f t="shared" ca="1" si="84"/>
        <v/>
      </c>
      <c r="HA68" s="9" t="str">
        <f t="shared" ca="1" si="84"/>
        <v/>
      </c>
      <c r="HB68" s="9" t="str">
        <f t="shared" ca="1" si="84"/>
        <v/>
      </c>
      <c r="HC68" s="9" t="str">
        <f t="shared" ca="1" si="84"/>
        <v/>
      </c>
      <c r="HD68" s="9" t="str">
        <f t="shared" ca="1" si="84"/>
        <v/>
      </c>
      <c r="HE68" s="9" t="str">
        <f t="shared" ca="1" si="84"/>
        <v/>
      </c>
      <c r="HF68" s="9" t="str">
        <f t="shared" ca="1" si="84"/>
        <v/>
      </c>
      <c r="HG68" s="9" t="str">
        <f t="shared" ca="1" si="84"/>
        <v/>
      </c>
      <c r="HH68" s="9" t="str">
        <f t="shared" ca="1" si="84"/>
        <v/>
      </c>
      <c r="HI68" s="9" t="str">
        <f t="shared" ca="1" si="84"/>
        <v/>
      </c>
      <c r="HJ68" s="9" t="str">
        <f t="shared" ca="1" si="84"/>
        <v/>
      </c>
      <c r="HK68" s="9" t="str">
        <f t="shared" ca="1" si="84"/>
        <v/>
      </c>
      <c r="HL68" s="9" t="str">
        <f t="shared" ca="1" si="84"/>
        <v/>
      </c>
      <c r="HM68" s="9" t="str">
        <f t="shared" ca="1" si="84"/>
        <v/>
      </c>
      <c r="HN68" s="9" t="str">
        <f t="shared" ca="1" si="84"/>
        <v/>
      </c>
      <c r="HO68" s="9" t="str">
        <f t="shared" ca="1" si="84"/>
        <v/>
      </c>
      <c r="HP68" s="9" t="str">
        <f t="shared" ca="1" si="84"/>
        <v/>
      </c>
      <c r="HQ68" s="9" t="str">
        <f t="shared" ca="1" si="84"/>
        <v/>
      </c>
      <c r="HR68" s="9" t="str">
        <f t="shared" ca="1" si="84"/>
        <v/>
      </c>
      <c r="HS68" s="9" t="str">
        <f t="shared" ca="1" si="84"/>
        <v/>
      </c>
      <c r="HT68" s="9" t="str">
        <f t="shared" ca="1" si="84"/>
        <v/>
      </c>
      <c r="HU68" s="9" t="str">
        <f t="shared" ca="1" si="84"/>
        <v/>
      </c>
      <c r="HV68" s="9" t="str">
        <f t="shared" ca="1" si="84"/>
        <v/>
      </c>
      <c r="HW68" s="9" t="str">
        <f t="shared" ca="1" si="84"/>
        <v/>
      </c>
      <c r="HX68" s="9" t="str">
        <f t="shared" ca="1" si="84"/>
        <v/>
      </c>
      <c r="HY68" s="9" t="str">
        <f t="shared" ca="1" si="84"/>
        <v/>
      </c>
      <c r="HZ68" s="9" t="str">
        <f t="shared" ca="1" si="84"/>
        <v/>
      </c>
      <c r="IA68" s="9" t="str">
        <f t="shared" ca="1" si="84"/>
        <v/>
      </c>
      <c r="IB68" s="9" t="str">
        <f t="shared" ca="1" si="84"/>
        <v/>
      </c>
      <c r="IC68" s="9" t="str">
        <f t="shared" ca="1" si="84"/>
        <v/>
      </c>
      <c r="ID68" s="9" t="str">
        <f t="shared" ca="1" si="84"/>
        <v/>
      </c>
      <c r="IE68" s="9" t="str">
        <f t="shared" ca="1" si="84"/>
        <v/>
      </c>
      <c r="IF68" s="9" t="str">
        <f t="shared" ca="1" si="84"/>
        <v/>
      </c>
      <c r="IG68" s="9" t="str">
        <f t="shared" ca="1" si="84"/>
        <v/>
      </c>
      <c r="IH68" s="9" t="str">
        <f t="shared" ca="1" si="84"/>
        <v/>
      </c>
      <c r="II68" s="9" t="str">
        <f t="shared" ca="1" si="84"/>
        <v/>
      </c>
      <c r="IJ68" s="9" t="str">
        <f t="shared" ca="1" si="84"/>
        <v/>
      </c>
      <c r="IK68" s="9" t="str">
        <f t="shared" ca="1" si="84"/>
        <v/>
      </c>
      <c r="IL68" s="9" t="str">
        <f t="shared" ca="1" si="84"/>
        <v/>
      </c>
      <c r="IM68" s="9" t="str">
        <f t="shared" ca="1" si="84"/>
        <v/>
      </c>
      <c r="IN68" s="9" t="str">
        <f t="shared" ca="1" si="84"/>
        <v/>
      </c>
      <c r="IO68" s="9" t="str">
        <f t="shared" ca="1" si="84"/>
        <v/>
      </c>
      <c r="IP68" s="9" t="str">
        <f t="shared" ca="1" si="84"/>
        <v/>
      </c>
      <c r="IQ68" s="9" t="str">
        <f t="shared" ca="1" si="84"/>
        <v/>
      </c>
      <c r="IR68" s="9" t="str">
        <f t="shared" ca="1" si="84"/>
        <v/>
      </c>
      <c r="IS68" s="9" t="str">
        <f t="shared" ca="1" si="84"/>
        <v/>
      </c>
      <c r="IT68" s="9" t="str">
        <f t="shared" ca="1" si="84"/>
        <v/>
      </c>
      <c r="IU68" s="9" t="str">
        <f t="shared" ca="1" si="84"/>
        <v/>
      </c>
      <c r="IV68" s="9" t="str">
        <f t="shared" ca="1" si="84"/>
        <v/>
      </c>
      <c r="IW68" s="9" t="str">
        <f t="shared" ca="1" si="84"/>
        <v/>
      </c>
      <c r="IX68" s="9" t="str">
        <f t="shared" ref="IX68:JH68" ca="1" si="85">IF(IX41="","",ABS(IX41))</f>
        <v/>
      </c>
      <c r="IY68" s="9" t="str">
        <f t="shared" ca="1" si="85"/>
        <v/>
      </c>
      <c r="IZ68" s="9" t="str">
        <f t="shared" ca="1" si="85"/>
        <v/>
      </c>
      <c r="JA68" s="9" t="str">
        <f t="shared" ca="1" si="85"/>
        <v/>
      </c>
      <c r="JB68" s="9" t="str">
        <f t="shared" ca="1" si="85"/>
        <v/>
      </c>
      <c r="JC68" s="9" t="str">
        <f t="shared" ca="1" si="85"/>
        <v/>
      </c>
      <c r="JD68" s="9" t="str">
        <f t="shared" ca="1" si="85"/>
        <v/>
      </c>
      <c r="JE68" s="9" t="str">
        <f t="shared" ca="1" si="85"/>
        <v/>
      </c>
      <c r="JF68" s="9" t="str">
        <f t="shared" ca="1" si="85"/>
        <v/>
      </c>
      <c r="JG68" s="9" t="str">
        <f t="shared" ca="1" si="85"/>
        <v/>
      </c>
      <c r="JH68" s="9" t="str">
        <f t="shared" ca="1" si="85"/>
        <v/>
      </c>
      <c r="JI68" s="13">
        <f t="shared" ca="1" si="25"/>
        <v>8.8306465907014367E-2</v>
      </c>
      <c r="JJ68" s="13">
        <f t="shared" ca="1" si="26"/>
        <v>8.0007641421644848E-2</v>
      </c>
      <c r="JK68" s="14">
        <f t="shared" ca="1" si="27"/>
        <v>2.6932616660528116E-3</v>
      </c>
      <c r="JL68" s="17">
        <f t="shared" ca="1" si="35"/>
        <v>5.1896644073126844E-2</v>
      </c>
      <c r="JM68" s="15" t="str">
        <f t="shared" ca="1" si="28"/>
        <v>[ -1,55% ; 19,21% ]</v>
      </c>
      <c r="JN68" s="17">
        <f t="shared" ca="1" si="29"/>
        <v>6.6427704413602365E-2</v>
      </c>
      <c r="LY68" s="1"/>
    </row>
    <row r="70" spans="1:337" hidden="1" x14ac:dyDescent="0.25"/>
    <row r="71" spans="1:337" hidden="1" x14ac:dyDescent="0.25"/>
    <row r="72" spans="1:337" hidden="1" x14ac:dyDescent="0.25"/>
    <row r="73" spans="1:337" hidden="1" x14ac:dyDescent="0.25"/>
    <row r="74" spans="1:337" hidden="1" x14ac:dyDescent="0.25"/>
    <row r="75" spans="1:337" hidden="1" x14ac:dyDescent="0.25"/>
    <row r="76" spans="1:337" hidden="1" x14ac:dyDescent="0.25"/>
    <row r="77" spans="1:337" hidden="1" x14ac:dyDescent="0.25"/>
    <row r="78" spans="1:337" hidden="1" x14ac:dyDescent="0.25"/>
    <row r="79" spans="1:337" hidden="1" x14ac:dyDescent="0.25"/>
    <row r="80" spans="1:337" hidden="1" x14ac:dyDescent="0.25"/>
    <row r="81" spans="1:336" hidden="1" x14ac:dyDescent="0.25"/>
    <row r="82" spans="1:336" x14ac:dyDescent="0.25">
      <c r="A82" s="3" t="s">
        <v>2</v>
      </c>
      <c r="B82" s="7">
        <v>37986</v>
      </c>
      <c r="C82" s="7">
        <v>38017</v>
      </c>
      <c r="D82" s="7">
        <v>38046</v>
      </c>
      <c r="E82" s="7">
        <v>38077</v>
      </c>
      <c r="F82" s="7">
        <v>38107</v>
      </c>
      <c r="G82" s="7">
        <v>38138</v>
      </c>
      <c r="H82" s="7">
        <v>38168</v>
      </c>
      <c r="I82" s="7">
        <v>38199</v>
      </c>
      <c r="J82" s="7">
        <v>38230</v>
      </c>
      <c r="K82" s="7">
        <v>38260</v>
      </c>
      <c r="L82" s="7">
        <v>38291</v>
      </c>
      <c r="M82" s="7">
        <v>38321</v>
      </c>
      <c r="N82" s="7">
        <v>38352</v>
      </c>
      <c r="O82" s="7">
        <v>38383</v>
      </c>
      <c r="P82" s="7">
        <v>38411</v>
      </c>
      <c r="Q82" s="7">
        <v>38442</v>
      </c>
      <c r="R82" s="7">
        <v>38472</v>
      </c>
      <c r="S82" s="7">
        <v>38503</v>
      </c>
      <c r="T82" s="7">
        <v>38533</v>
      </c>
      <c r="U82" s="7">
        <v>38564</v>
      </c>
      <c r="V82" s="7">
        <v>38595</v>
      </c>
      <c r="W82" s="7">
        <v>38625</v>
      </c>
      <c r="X82" s="7">
        <v>38656</v>
      </c>
      <c r="Y82" s="7">
        <v>38686</v>
      </c>
      <c r="Z82" s="7">
        <v>38717</v>
      </c>
      <c r="AA82" s="7">
        <v>38748</v>
      </c>
      <c r="AB82" s="7">
        <v>38776</v>
      </c>
      <c r="AC82" s="7">
        <v>38807</v>
      </c>
      <c r="AD82" s="7">
        <v>38837</v>
      </c>
      <c r="AE82" s="7">
        <v>38868</v>
      </c>
      <c r="AF82" s="7">
        <v>38898</v>
      </c>
      <c r="AG82" s="7">
        <v>38929</v>
      </c>
      <c r="AH82" s="7">
        <v>38960</v>
      </c>
      <c r="AI82" s="7">
        <v>38990</v>
      </c>
      <c r="AJ82" s="7">
        <v>39021</v>
      </c>
      <c r="AK82" s="7">
        <v>39051</v>
      </c>
      <c r="AL82" s="7">
        <v>39082</v>
      </c>
      <c r="AM82" s="7">
        <v>39113</v>
      </c>
      <c r="AN82" s="7">
        <v>39141</v>
      </c>
      <c r="AO82" s="7">
        <v>39172</v>
      </c>
      <c r="AP82" s="7">
        <v>39202</v>
      </c>
      <c r="AQ82" s="7">
        <v>39233</v>
      </c>
      <c r="AR82" s="7">
        <v>39263</v>
      </c>
      <c r="AS82" s="7">
        <v>39294</v>
      </c>
      <c r="AT82" s="7">
        <v>39325</v>
      </c>
      <c r="AU82" s="7">
        <v>39355</v>
      </c>
      <c r="AV82" s="7">
        <v>39386</v>
      </c>
      <c r="AW82" s="7">
        <v>39416</v>
      </c>
      <c r="AX82" s="7">
        <v>39447</v>
      </c>
      <c r="AY82" s="7">
        <v>39478</v>
      </c>
      <c r="AZ82" s="7">
        <v>39507</v>
      </c>
      <c r="BA82" s="7">
        <v>39538</v>
      </c>
      <c r="BB82" s="7">
        <v>39568</v>
      </c>
      <c r="BC82" s="7">
        <v>39599</v>
      </c>
      <c r="BD82" s="7">
        <v>39629</v>
      </c>
      <c r="BE82" s="7">
        <v>39660</v>
      </c>
      <c r="BF82" s="7">
        <v>39691</v>
      </c>
      <c r="BG82" s="7">
        <v>39721</v>
      </c>
      <c r="BH82" s="7">
        <v>39752</v>
      </c>
      <c r="BI82" s="7">
        <v>39782</v>
      </c>
      <c r="BJ82" s="7">
        <v>39813</v>
      </c>
      <c r="BK82" s="7">
        <v>39844</v>
      </c>
      <c r="BL82" s="7">
        <v>39872</v>
      </c>
      <c r="BM82" s="7">
        <v>39903</v>
      </c>
      <c r="BN82" s="7">
        <v>39933</v>
      </c>
      <c r="BO82" s="7">
        <v>39964</v>
      </c>
      <c r="BP82" s="7">
        <v>39994</v>
      </c>
      <c r="BQ82" s="7">
        <v>40025</v>
      </c>
      <c r="BR82" s="7">
        <v>40056</v>
      </c>
      <c r="BS82" s="7">
        <v>40086</v>
      </c>
      <c r="BT82" s="7">
        <v>40117</v>
      </c>
      <c r="BU82" s="7">
        <v>40147</v>
      </c>
      <c r="BV82" s="7">
        <v>40178</v>
      </c>
      <c r="BW82" s="7">
        <v>40209</v>
      </c>
      <c r="BX82" s="7">
        <v>40237</v>
      </c>
      <c r="BY82" s="7">
        <v>40268</v>
      </c>
      <c r="BZ82" s="7">
        <v>40298</v>
      </c>
      <c r="CA82" s="7">
        <v>40329</v>
      </c>
      <c r="CB82" s="7">
        <v>40359</v>
      </c>
      <c r="CC82" s="7">
        <v>40390</v>
      </c>
      <c r="CD82" s="7">
        <v>40421</v>
      </c>
      <c r="CE82" s="7">
        <v>40451</v>
      </c>
      <c r="CF82" s="7">
        <v>40482</v>
      </c>
      <c r="CG82" s="7">
        <v>40512</v>
      </c>
      <c r="CH82" s="7">
        <v>40543</v>
      </c>
      <c r="CI82" s="7">
        <v>40574</v>
      </c>
      <c r="CJ82" s="7">
        <v>40602</v>
      </c>
      <c r="CK82" s="7">
        <v>40633</v>
      </c>
      <c r="CL82" s="7">
        <v>40663</v>
      </c>
      <c r="CM82" s="7">
        <v>40694</v>
      </c>
      <c r="CN82" s="7">
        <v>40724</v>
      </c>
      <c r="CO82" s="7">
        <v>40755</v>
      </c>
      <c r="CP82" s="7">
        <v>40786</v>
      </c>
      <c r="CQ82" s="7">
        <v>40816</v>
      </c>
      <c r="CR82" s="7">
        <v>40847</v>
      </c>
      <c r="CS82" s="7">
        <v>40877</v>
      </c>
      <c r="CT82" s="7">
        <v>40908</v>
      </c>
      <c r="CU82" s="7">
        <v>40939</v>
      </c>
      <c r="CV82" s="7">
        <v>40968</v>
      </c>
      <c r="CW82" s="7">
        <v>40999</v>
      </c>
      <c r="CX82" s="7">
        <v>41029</v>
      </c>
      <c r="CY82" s="7">
        <v>41060</v>
      </c>
      <c r="CZ82" s="7">
        <v>41090</v>
      </c>
      <c r="DA82" s="7">
        <v>41121</v>
      </c>
      <c r="DB82" s="7">
        <v>41152</v>
      </c>
      <c r="DC82" s="7">
        <v>41182</v>
      </c>
      <c r="DD82" s="7">
        <v>41213</v>
      </c>
      <c r="DE82" s="7">
        <v>41243</v>
      </c>
      <c r="DF82" s="7">
        <v>41274</v>
      </c>
      <c r="DG82" s="7">
        <v>41305</v>
      </c>
      <c r="DH82" s="7">
        <v>41333</v>
      </c>
      <c r="DI82" s="7">
        <v>41364</v>
      </c>
      <c r="DJ82" s="7">
        <v>41394</v>
      </c>
      <c r="DK82" s="7">
        <v>41425</v>
      </c>
      <c r="DL82" s="7">
        <v>41455</v>
      </c>
      <c r="DM82" s="7">
        <v>41486</v>
      </c>
      <c r="DN82" s="7">
        <v>41517</v>
      </c>
      <c r="DO82" s="7">
        <v>41547</v>
      </c>
      <c r="DP82" s="7">
        <v>41578</v>
      </c>
      <c r="DQ82" s="7">
        <v>41608</v>
      </c>
      <c r="DR82" s="7">
        <v>41639</v>
      </c>
      <c r="DS82" s="7">
        <v>41670</v>
      </c>
      <c r="DT82" s="7">
        <v>41698</v>
      </c>
      <c r="DU82" s="7">
        <v>41729</v>
      </c>
      <c r="DV82" s="7">
        <v>41759</v>
      </c>
      <c r="DW82" s="7">
        <v>41790</v>
      </c>
      <c r="DX82" s="7">
        <v>41820</v>
      </c>
      <c r="DY82" s="7">
        <v>41851</v>
      </c>
      <c r="DZ82" s="7">
        <v>41882</v>
      </c>
      <c r="EA82" s="7">
        <v>41912</v>
      </c>
      <c r="EB82" s="7">
        <v>41943</v>
      </c>
      <c r="EC82" s="7">
        <v>41973</v>
      </c>
      <c r="ED82" s="7">
        <v>42004</v>
      </c>
      <c r="EE82" s="7">
        <v>42035</v>
      </c>
      <c r="EF82" s="7">
        <v>42063</v>
      </c>
      <c r="EG82" s="7">
        <v>42094</v>
      </c>
      <c r="EH82" s="7">
        <v>42124</v>
      </c>
      <c r="EI82" s="7">
        <v>42155</v>
      </c>
      <c r="EJ82" s="7">
        <v>42185</v>
      </c>
      <c r="EK82" s="7">
        <v>42216</v>
      </c>
      <c r="EL82" s="7">
        <v>42247</v>
      </c>
      <c r="EM82" s="7">
        <v>42277</v>
      </c>
      <c r="EN82" s="7">
        <v>42308</v>
      </c>
      <c r="EO82" s="7">
        <v>42338</v>
      </c>
      <c r="EP82" s="7">
        <v>42369</v>
      </c>
      <c r="EQ82" s="7">
        <v>42400</v>
      </c>
      <c r="ER82" s="7">
        <v>42429</v>
      </c>
      <c r="ES82" s="7">
        <v>42460</v>
      </c>
      <c r="ET82" s="7">
        <v>42490</v>
      </c>
      <c r="EU82" s="7">
        <v>42521</v>
      </c>
      <c r="EV82" s="7">
        <v>42551</v>
      </c>
      <c r="EW82" s="7">
        <v>42582</v>
      </c>
      <c r="EX82" s="7">
        <v>42613</v>
      </c>
      <c r="EY82" s="7">
        <v>42643</v>
      </c>
      <c r="EZ82" s="7">
        <v>42674</v>
      </c>
      <c r="FA82" s="7">
        <v>42704</v>
      </c>
      <c r="FB82" s="7">
        <v>42735</v>
      </c>
      <c r="FC82" s="7">
        <v>42766</v>
      </c>
      <c r="FD82" s="7">
        <v>42794</v>
      </c>
      <c r="FE82" s="7">
        <v>42825</v>
      </c>
      <c r="FF82" s="7">
        <v>42855</v>
      </c>
      <c r="FG82" s="7">
        <v>42886</v>
      </c>
      <c r="FH82" s="7">
        <v>42916</v>
      </c>
      <c r="FI82" s="7">
        <v>42947</v>
      </c>
      <c r="FJ82" s="7">
        <v>42978</v>
      </c>
      <c r="FK82" s="7">
        <v>43008</v>
      </c>
      <c r="FL82" s="7">
        <v>43039</v>
      </c>
      <c r="FM82" s="7">
        <v>43069</v>
      </c>
      <c r="FN82" s="7">
        <v>43100</v>
      </c>
      <c r="FO82" s="7">
        <v>43131</v>
      </c>
      <c r="FP82" s="7">
        <v>43159</v>
      </c>
      <c r="FQ82" s="7">
        <v>43190</v>
      </c>
      <c r="FR82" s="7">
        <v>43220</v>
      </c>
      <c r="FS82" s="7">
        <v>43251</v>
      </c>
      <c r="FT82" s="7">
        <v>43281</v>
      </c>
      <c r="FU82" s="7">
        <v>43312</v>
      </c>
      <c r="FV82" s="7">
        <v>43343</v>
      </c>
      <c r="FW82" s="7">
        <v>43373</v>
      </c>
      <c r="FX82" s="7">
        <v>43404</v>
      </c>
      <c r="FY82" s="7">
        <v>43434</v>
      </c>
      <c r="FZ82" s="7">
        <v>43465</v>
      </c>
      <c r="GA82" s="7">
        <v>43496</v>
      </c>
      <c r="GB82" s="7">
        <v>43524</v>
      </c>
      <c r="GC82" s="7">
        <v>43555</v>
      </c>
      <c r="GD82" s="7">
        <v>43585</v>
      </c>
      <c r="GE82" s="7">
        <v>43616</v>
      </c>
      <c r="GF82" s="7">
        <v>43646</v>
      </c>
      <c r="GG82" s="7">
        <v>43677</v>
      </c>
      <c r="GH82" s="7">
        <v>43708</v>
      </c>
      <c r="GI82" s="7">
        <v>43738</v>
      </c>
      <c r="GJ82" s="7">
        <v>43769</v>
      </c>
      <c r="GK82" s="7">
        <v>43799</v>
      </c>
      <c r="GL82" s="7">
        <v>43830</v>
      </c>
      <c r="GM82" s="7">
        <v>43861</v>
      </c>
      <c r="GN82" s="7">
        <v>43890</v>
      </c>
      <c r="GO82" s="7">
        <v>43921</v>
      </c>
      <c r="GP82" s="7">
        <v>43951</v>
      </c>
      <c r="GQ82" s="7">
        <v>43982</v>
      </c>
      <c r="GR82" s="7">
        <v>44012</v>
      </c>
      <c r="GS82" s="7">
        <v>44043</v>
      </c>
      <c r="GT82" s="7">
        <v>44074</v>
      </c>
      <c r="GU82" s="7">
        <v>44104</v>
      </c>
      <c r="GV82" s="7">
        <v>44135</v>
      </c>
      <c r="GW82" s="7">
        <v>44165</v>
      </c>
      <c r="GX82" s="7">
        <v>44196</v>
      </c>
      <c r="GY82" s="7">
        <v>44227</v>
      </c>
      <c r="GZ82" s="7">
        <v>44255</v>
      </c>
      <c r="HA82" s="7">
        <v>44286</v>
      </c>
      <c r="HB82" s="7">
        <v>44316</v>
      </c>
      <c r="HC82" s="7">
        <v>44347</v>
      </c>
      <c r="HD82" s="7">
        <v>44377</v>
      </c>
      <c r="HE82" s="7">
        <v>44408</v>
      </c>
      <c r="HF82" s="7">
        <v>44439</v>
      </c>
      <c r="HG82" s="7">
        <v>44469</v>
      </c>
      <c r="HH82" s="7">
        <v>44500</v>
      </c>
      <c r="HI82" s="7">
        <v>44530</v>
      </c>
      <c r="HJ82" s="7">
        <v>44561</v>
      </c>
      <c r="HK82" s="7">
        <v>44592</v>
      </c>
      <c r="HL82" s="7">
        <v>44620</v>
      </c>
      <c r="HM82" s="7">
        <v>44651</v>
      </c>
      <c r="HN82" s="7">
        <v>44681</v>
      </c>
      <c r="HO82" s="7">
        <v>44712</v>
      </c>
      <c r="HP82" s="7">
        <v>44742</v>
      </c>
      <c r="HQ82" s="7">
        <v>44773</v>
      </c>
      <c r="HR82" s="7">
        <v>44804</v>
      </c>
      <c r="HS82" s="7">
        <v>44834</v>
      </c>
      <c r="HT82" s="7">
        <v>44865</v>
      </c>
      <c r="HU82" s="7">
        <v>44895</v>
      </c>
      <c r="HV82" s="7">
        <v>44926</v>
      </c>
      <c r="HW82" s="7">
        <v>44957</v>
      </c>
      <c r="HX82" s="7">
        <v>44985</v>
      </c>
      <c r="HY82" s="7">
        <v>45016</v>
      </c>
      <c r="HZ82" s="7">
        <v>45046</v>
      </c>
      <c r="IA82" s="7">
        <v>45077</v>
      </c>
      <c r="IB82" s="7">
        <v>45107</v>
      </c>
      <c r="IC82" s="7">
        <v>45138</v>
      </c>
      <c r="ID82" s="7">
        <v>45169</v>
      </c>
      <c r="IE82" s="7">
        <v>45199</v>
      </c>
      <c r="IF82" s="7">
        <v>45230</v>
      </c>
      <c r="IG82" s="7">
        <v>45260</v>
      </c>
      <c r="IH82" s="7">
        <v>45291</v>
      </c>
      <c r="II82" s="7">
        <v>45322</v>
      </c>
      <c r="IJ82" s="7">
        <v>45351</v>
      </c>
      <c r="IK82" s="7">
        <v>45382</v>
      </c>
      <c r="IL82" s="7">
        <v>45412</v>
      </c>
      <c r="IM82" s="7">
        <v>45443</v>
      </c>
      <c r="IN82" s="7">
        <v>45473</v>
      </c>
      <c r="IO82" s="7">
        <v>45504</v>
      </c>
      <c r="IP82" s="7">
        <v>45535</v>
      </c>
      <c r="IQ82" s="7">
        <v>45565</v>
      </c>
      <c r="IR82" s="7">
        <v>45596</v>
      </c>
      <c r="IS82" s="7">
        <v>45626</v>
      </c>
      <c r="IT82" s="7">
        <v>45657</v>
      </c>
      <c r="IU82" s="7">
        <v>45688</v>
      </c>
      <c r="IV82" s="7">
        <v>45716</v>
      </c>
      <c r="IW82" s="7">
        <v>45747</v>
      </c>
      <c r="IX82" s="7">
        <v>45777</v>
      </c>
      <c r="IY82" s="7">
        <v>45808</v>
      </c>
      <c r="IZ82" s="7">
        <v>45838</v>
      </c>
      <c r="JA82" s="7">
        <v>45869</v>
      </c>
      <c r="JB82" s="7">
        <v>45900</v>
      </c>
      <c r="JC82" s="7">
        <v>45930</v>
      </c>
      <c r="JD82" s="7">
        <v>45961</v>
      </c>
      <c r="JE82" s="7">
        <v>45991</v>
      </c>
      <c r="JF82" s="7">
        <v>46022</v>
      </c>
      <c r="JG82" s="7">
        <v>46053</v>
      </c>
      <c r="JH82" s="7">
        <v>46081</v>
      </c>
      <c r="LT82"/>
      <c r="LU82"/>
      <c r="LV82"/>
      <c r="LW82"/>
      <c r="LX82"/>
    </row>
    <row r="83" spans="1:336" x14ac:dyDescent="0.25"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>
        <f t="shared" ref="AA83:CL83" ca="1" si="86">IF(AA3="","",AVERAGE(Y57:Z57)+CONFIDENCE(0.05,STDEV(B57:Z57),COUNT(B57:Z57)))</f>
        <v>1.9124558935220585E-2</v>
      </c>
      <c r="AB83" s="21">
        <f t="shared" ca="1" si="86"/>
        <v>1.4809812823700592E-2</v>
      </c>
      <c r="AC83" s="21">
        <f t="shared" ca="1" si="86"/>
        <v>1.7685573680298803E-2</v>
      </c>
      <c r="AD83" s="21">
        <f t="shared" ca="1" si="86"/>
        <v>1.8812642212363624E-2</v>
      </c>
      <c r="AE83" s="21">
        <f t="shared" ca="1" si="86"/>
        <v>1.308401100800401E-2</v>
      </c>
      <c r="AF83" s="21">
        <f t="shared" ca="1" si="86"/>
        <v>7.3732806079636528E-3</v>
      </c>
      <c r="AG83" s="21">
        <f t="shared" ca="1" si="86"/>
        <v>7.3623388033581174E-3</v>
      </c>
      <c r="AH83" s="21">
        <f t="shared" ca="1" si="86"/>
        <v>7.7874449561549097E-3</v>
      </c>
      <c r="AI83" s="21">
        <f t="shared" ca="1" si="86"/>
        <v>4.9436040662295729E-3</v>
      </c>
      <c r="AJ83" s="21">
        <f t="shared" ca="1" si="86"/>
        <v>8.3449636129486783E-3</v>
      </c>
      <c r="AK83" s="21">
        <f t="shared" ca="1" si="86"/>
        <v>1.4859870016923163E-2</v>
      </c>
      <c r="AL83" s="21">
        <f t="shared" ca="1" si="86"/>
        <v>2.5676844675421501E-2</v>
      </c>
      <c r="AM83" s="21">
        <f t="shared" ca="1" si="86"/>
        <v>2.3319811837216445E-2</v>
      </c>
      <c r="AN83" s="21">
        <f t="shared" ca="1" si="86"/>
        <v>9.9850672691709948E-3</v>
      </c>
      <c r="AO83" s="21">
        <f t="shared" ca="1" si="86"/>
        <v>6.7572731538310142E-3</v>
      </c>
      <c r="AP83" s="21">
        <f t="shared" ca="1" si="86"/>
        <v>1.3473549364033289E-2</v>
      </c>
      <c r="AQ83" s="21">
        <f t="shared" ca="1" si="86"/>
        <v>1.7072883810317904E-2</v>
      </c>
      <c r="AR83" s="21">
        <f t="shared" ca="1" si="86"/>
        <v>1.5666745002468462E-2</v>
      </c>
      <c r="AS83" s="21">
        <f t="shared" ca="1" si="86"/>
        <v>2.1252904655978011E-2</v>
      </c>
      <c r="AT83" s="21">
        <f t="shared" ca="1" si="86"/>
        <v>2.1128852199679915E-2</v>
      </c>
      <c r="AU83" s="21">
        <f t="shared" ca="1" si="86"/>
        <v>1.0482208440873751E-2</v>
      </c>
      <c r="AV83" s="21">
        <f t="shared" ca="1" si="86"/>
        <v>4.1577393670535583E-3</v>
      </c>
      <c r="AW83" s="21">
        <f t="shared" ca="1" si="86"/>
        <v>7.1904087327994822E-3</v>
      </c>
      <c r="AX83" s="21">
        <f t="shared" ca="1" si="86"/>
        <v>1.1408931012317783E-2</v>
      </c>
      <c r="AY83" s="21">
        <f t="shared" ca="1" si="86"/>
        <v>2.0056750522200264E-2</v>
      </c>
      <c r="AZ83" s="21">
        <f t="shared" ca="1" si="86"/>
        <v>3.5347549888733149E-2</v>
      </c>
      <c r="BA83" s="21">
        <f t="shared" ca="1" si="86"/>
        <v>2.7274881395949725E-2</v>
      </c>
      <c r="BB83" s="21">
        <f t="shared" ca="1" si="86"/>
        <v>2.8602390379764427E-2</v>
      </c>
      <c r="BC83" s="21">
        <f t="shared" ca="1" si="86"/>
        <v>4.2798603708727276E-2</v>
      </c>
      <c r="BD83" s="21">
        <f t="shared" ca="1" si="86"/>
        <v>3.4450895563486864E-2</v>
      </c>
      <c r="BE83" s="21">
        <f t="shared" ca="1" si="86"/>
        <v>2.7343528975739648E-2</v>
      </c>
      <c r="BF83" s="21">
        <f t="shared" ca="1" si="86"/>
        <v>2.4889423656666045E-2</v>
      </c>
      <c r="BG83" s="21">
        <f t="shared" ca="1" si="86"/>
        <v>1.5267048004282715E-2</v>
      </c>
      <c r="BH83" s="21">
        <f t="shared" ca="1" si="86"/>
        <v>4.7268493250371871E-2</v>
      </c>
      <c r="BI83" s="21">
        <f t="shared" ca="1" si="86"/>
        <v>7.281184071577472E-2</v>
      </c>
      <c r="BJ83" s="21">
        <f t="shared" ca="1" si="86"/>
        <v>4.0719473200279674E-2</v>
      </c>
      <c r="BK83" s="21">
        <f t="shared" ca="1" si="86"/>
        <v>2.4984242104680084E-2</v>
      </c>
      <c r="BL83" s="21">
        <f t="shared" ca="1" si="86"/>
        <v>2.4268099031764155E-2</v>
      </c>
      <c r="BM83" s="21">
        <f t="shared" ca="1" si="86"/>
        <v>2.6363873712369146E-2</v>
      </c>
      <c r="BN83" s="21">
        <f t="shared" ca="1" si="86"/>
        <v>2.1883619351136953E-2</v>
      </c>
      <c r="BO83" s="21">
        <f t="shared" ca="1" si="86"/>
        <v>1.90119846647573E-2</v>
      </c>
      <c r="BP83" s="21">
        <f t="shared" ca="1" si="86"/>
        <v>3.6923926566785559E-2</v>
      </c>
      <c r="BQ83" s="21">
        <f t="shared" ca="1" si="86"/>
        <v>4.0242343704596541E-2</v>
      </c>
      <c r="BR83" s="21">
        <f t="shared" ca="1" si="86"/>
        <v>2.3562192186052044E-2</v>
      </c>
      <c r="BS83" s="21">
        <f t="shared" ca="1" si="86"/>
        <v>2.4721918566317697E-2</v>
      </c>
      <c r="BT83" s="21">
        <f t="shared" ca="1" si="86"/>
        <v>4.3432626232399157E-2</v>
      </c>
      <c r="BU83" s="21">
        <f t="shared" ca="1" si="86"/>
        <v>4.5508816563613205E-2</v>
      </c>
      <c r="BV83" s="21">
        <f t="shared" ca="1" si="86"/>
        <v>2.6271800035096743E-2</v>
      </c>
      <c r="BW83" s="21">
        <f t="shared" ca="1" si="86"/>
        <v>1.4339826038801448E-2</v>
      </c>
      <c r="BX83" s="21">
        <f t="shared" ca="1" si="86"/>
        <v>1.5924979611160416E-2</v>
      </c>
      <c r="BY83" s="21">
        <f t="shared" ca="1" si="86"/>
        <v>1.4219862457520766E-2</v>
      </c>
      <c r="BZ83" s="21">
        <f t="shared" ca="1" si="86"/>
        <v>1.5928758417970514E-2</v>
      </c>
      <c r="CA83" s="21">
        <f t="shared" ca="1" si="86"/>
        <v>1.6945740270623035E-2</v>
      </c>
      <c r="CB83" s="21">
        <f t="shared" ca="1" si="86"/>
        <v>1.4418389655757138E-2</v>
      </c>
      <c r="CC83" s="21">
        <f t="shared" ca="1" si="86"/>
        <v>1.6511925081777127E-2</v>
      </c>
      <c r="CD83" s="21">
        <f t="shared" ca="1" si="86"/>
        <v>1.7487060711240125E-2</v>
      </c>
      <c r="CE83" s="21">
        <f t="shared" ca="1" si="86"/>
        <v>2.5256019810567892E-2</v>
      </c>
      <c r="CF83" s="21">
        <f t="shared" ca="1" si="86"/>
        <v>3.161106730228825E-2</v>
      </c>
      <c r="CG83" s="21">
        <f t="shared" ca="1" si="86"/>
        <v>1.6817908910359055E-2</v>
      </c>
      <c r="CH83" s="21">
        <f t="shared" ca="1" si="86"/>
        <v>1.4576190540414341E-2</v>
      </c>
      <c r="CI83" s="21">
        <f t="shared" ca="1" si="86"/>
        <v>1.9243290169902758E-2</v>
      </c>
      <c r="CJ83" s="21">
        <f t="shared" ca="1" si="86"/>
        <v>1.128467962297923E-2</v>
      </c>
      <c r="CK83" s="21">
        <f t="shared" ca="1" si="86"/>
        <v>8.0056170116326458E-3</v>
      </c>
      <c r="CL83" s="21">
        <f t="shared" ca="1" si="86"/>
        <v>8.1152079338312408E-3</v>
      </c>
      <c r="CM83" s="21">
        <f t="shared" ref="CM83:EX83" ca="1" si="87">IF(CM3="","",AVERAGE(CK57:CL57)+CONFIDENCE(0.05,STDEV(BN57:CL57),COUNT(BN57:CL57)))</f>
        <v>1.0452019564096474E-2</v>
      </c>
      <c r="CN83" s="21">
        <f t="shared" ca="1" si="87"/>
        <v>1.4218089539120047E-2</v>
      </c>
      <c r="CO83" s="21">
        <f t="shared" ca="1" si="87"/>
        <v>1.0124057798656178E-2</v>
      </c>
      <c r="CP83" s="21">
        <f t="shared" ca="1" si="87"/>
        <v>1.266292113708185E-2</v>
      </c>
      <c r="CQ83" s="21">
        <f t="shared" ca="1" si="87"/>
        <v>1.7363747089056171E-2</v>
      </c>
      <c r="CR83" s="21">
        <f t="shared" ca="1" si="87"/>
        <v>1.9592979517472159E-2</v>
      </c>
      <c r="CS83" s="21">
        <f t="shared" ca="1" si="87"/>
        <v>1.7799703791681207E-2</v>
      </c>
      <c r="CT83" s="21">
        <f t="shared" ca="1" si="87"/>
        <v>1.7247648832352622E-2</v>
      </c>
      <c r="CU83" s="21">
        <f t="shared" ca="1" si="87"/>
        <v>2.140675435198976E-2</v>
      </c>
      <c r="CV83" s="21">
        <f t="shared" ca="1" si="87"/>
        <v>1.7703422447619955E-2</v>
      </c>
      <c r="CW83" s="21">
        <f t="shared" ca="1" si="87"/>
        <v>1.2705734986780355E-2</v>
      </c>
      <c r="CX83" s="21">
        <f t="shared" ca="1" si="87"/>
        <v>1.1276502935311208E-2</v>
      </c>
      <c r="CY83" s="21">
        <f t="shared" ca="1" si="87"/>
        <v>7.8626249483229257E-3</v>
      </c>
      <c r="CZ83" s="21">
        <f t="shared" ca="1" si="87"/>
        <v>7.8292391077230839E-3</v>
      </c>
      <c r="DA83" s="21">
        <f t="shared" ca="1" si="87"/>
        <v>1.8213527992179283E-2</v>
      </c>
      <c r="DB83" s="21">
        <f t="shared" ca="1" si="87"/>
        <v>1.811845359168918E-2</v>
      </c>
      <c r="DC83" s="21">
        <f t="shared" ca="1" si="87"/>
        <v>2.6654116643961466E-2</v>
      </c>
      <c r="DD83" s="21">
        <f t="shared" ca="1" si="87"/>
        <v>3.2916695574320774E-2</v>
      </c>
      <c r="DE83" s="21">
        <f t="shared" ca="1" si="87"/>
        <v>1.8828674370830769E-2</v>
      </c>
      <c r="DF83" s="21">
        <f t="shared" ca="1" si="87"/>
        <v>1.6986229309822697E-2</v>
      </c>
      <c r="DG83" s="21">
        <f t="shared" ca="1" si="87"/>
        <v>1.3941186320814408E-2</v>
      </c>
      <c r="DH83" s="21">
        <f t="shared" ca="1" si="87"/>
        <v>1.0320503730675917E-2</v>
      </c>
      <c r="DI83" s="21">
        <f t="shared" ca="1" si="87"/>
        <v>1.3125821086809287E-2</v>
      </c>
      <c r="DJ83" s="21">
        <f t="shared" ca="1" si="87"/>
        <v>1.5874226640233247E-2</v>
      </c>
      <c r="DK83" s="21">
        <f t="shared" ca="1" si="87"/>
        <v>1.1760285477132607E-2</v>
      </c>
      <c r="DL83" s="21">
        <f t="shared" ca="1" si="87"/>
        <v>5.2646594623597248E-3</v>
      </c>
      <c r="DM83" s="21">
        <f t="shared" ca="1" si="87"/>
        <v>6.6376803673850885E-3</v>
      </c>
      <c r="DN83" s="21">
        <f t="shared" ca="1" si="87"/>
        <v>5.0192618992618773E-3</v>
      </c>
      <c r="DO83" s="21">
        <f t="shared" ca="1" si="87"/>
        <v>1.7352508118593506E-2</v>
      </c>
      <c r="DP83" s="21">
        <f t="shared" ca="1" si="87"/>
        <v>2.6712538998930592E-2</v>
      </c>
      <c r="DQ83" s="21">
        <f t="shared" ca="1" si="87"/>
        <v>1.3631324340214837E-2</v>
      </c>
      <c r="DR83" s="21">
        <f t="shared" ca="1" si="87"/>
        <v>1.8248731757288375E-2</v>
      </c>
      <c r="DS83" s="21">
        <f t="shared" ca="1" si="87"/>
        <v>1.9561262025318805E-2</v>
      </c>
      <c r="DT83" s="21">
        <f t="shared" ca="1" si="87"/>
        <v>7.6304958623404241E-3</v>
      </c>
      <c r="DU83" s="21">
        <f t="shared" ca="1" si="87"/>
        <v>9.3237469838173392E-3</v>
      </c>
      <c r="DV83" s="21">
        <f t="shared" ca="1" si="87"/>
        <v>8.1106068726924403E-3</v>
      </c>
      <c r="DW83" s="21">
        <f t="shared" ca="1" si="87"/>
        <v>5.4526142992906181E-3</v>
      </c>
      <c r="DX83" s="21">
        <f t="shared" ca="1" si="87"/>
        <v>9.3396195502207114E-3</v>
      </c>
      <c r="DY83" s="21">
        <f t="shared" ca="1" si="87"/>
        <v>1.2515344002422608E-2</v>
      </c>
      <c r="DZ83" s="21">
        <f t="shared" ca="1" si="87"/>
        <v>1.175785608508294E-2</v>
      </c>
      <c r="EA83" s="21">
        <f t="shared" ca="1" si="87"/>
        <v>1.0530707945461331E-2</v>
      </c>
      <c r="EB83" s="21">
        <f t="shared" ca="1" si="87"/>
        <v>1.3507350687651028E-2</v>
      </c>
      <c r="EC83" s="21">
        <f t="shared" ca="1" si="87"/>
        <v>1.9766793719994364E-2</v>
      </c>
      <c r="ED83" s="21">
        <f t="shared" ca="1" si="87"/>
        <v>1.7598724170257526E-2</v>
      </c>
      <c r="EE83" s="21">
        <f t="shared" ca="1" si="87"/>
        <v>1.0648516435893539E-2</v>
      </c>
      <c r="EF83" s="21">
        <f t="shared" ca="1" si="87"/>
        <v>8.5722001437160342E-3</v>
      </c>
      <c r="EG83" s="21">
        <f t="shared" ca="1" si="87"/>
        <v>6.8058501361314434E-3</v>
      </c>
      <c r="EH83" s="21">
        <f t="shared" ca="1" si="87"/>
        <v>1.3628004974731631E-2</v>
      </c>
      <c r="EI83" s="21">
        <f t="shared" ca="1" si="87"/>
        <v>1.6478268214115403E-2</v>
      </c>
      <c r="EJ83" s="21">
        <f t="shared" ca="1" si="87"/>
        <v>1.2213324758364643E-2</v>
      </c>
      <c r="EK83" s="21">
        <f t="shared" ca="1" si="87"/>
        <v>1.9039382547466455E-2</v>
      </c>
      <c r="EL83" s="21">
        <f t="shared" ca="1" si="87"/>
        <v>1.7989138383278321E-2</v>
      </c>
      <c r="EM83" s="21">
        <f t="shared" ca="1" si="87"/>
        <v>9.2910396334448843E-3</v>
      </c>
      <c r="EN83" s="21">
        <f t="shared" ca="1" si="87"/>
        <v>1.312195092227984E-2</v>
      </c>
      <c r="EO83" s="21">
        <f t="shared" ca="1" si="87"/>
        <v>1.8848681944182724E-2</v>
      </c>
      <c r="EP83" s="21">
        <f t="shared" ca="1" si="87"/>
        <v>1.1213451630290496E-2</v>
      </c>
      <c r="EQ83" s="21">
        <f t="shared" ca="1" si="87"/>
        <v>4.765089404868356E-3</v>
      </c>
      <c r="ER83" s="21">
        <f t="shared" ca="1" si="87"/>
        <v>4.6140544404680781E-3</v>
      </c>
      <c r="ES83" s="21">
        <f t="shared" ca="1" si="87"/>
        <v>9.2824389313276162E-3</v>
      </c>
      <c r="ET83" s="21">
        <f t="shared" ca="1" si="87"/>
        <v>1.5711079394655238E-2</v>
      </c>
      <c r="EU83" s="21">
        <f t="shared" ca="1" si="87"/>
        <v>1.8654395070239162E-2</v>
      </c>
      <c r="EV83" s="21">
        <f t="shared" ca="1" si="87"/>
        <v>1.1641708458323834E-2</v>
      </c>
      <c r="EW83" s="21">
        <f t="shared" ca="1" si="87"/>
        <v>1.0682884796790151E-2</v>
      </c>
      <c r="EX83" s="21">
        <f t="shared" ca="1" si="87"/>
        <v>1.5576538259210376E-2</v>
      </c>
      <c r="EY83" s="21">
        <f t="shared" ref="EY83:HJ83" ca="1" si="88">IF(EY3="","",AVERAGE(EW57:EX57)+CONFIDENCE(0.05,STDEV(DZ57:EX57),COUNT(DZ57:EX57)))</f>
        <v>1.0287560771866638E-2</v>
      </c>
      <c r="EZ83" s="21">
        <f t="shared" ca="1" si="88"/>
        <v>9.3568946694657928E-3</v>
      </c>
      <c r="FA83" s="21">
        <f t="shared" ca="1" si="88"/>
        <v>1.7118973529089778E-2</v>
      </c>
      <c r="FB83" s="21">
        <f t="shared" ca="1" si="88"/>
        <v>1.8667481085705123E-2</v>
      </c>
      <c r="FC83" s="21">
        <f t="shared" ca="1" si="88"/>
        <v>1.1530525134745069E-2</v>
      </c>
      <c r="FD83" s="21">
        <f t="shared" ca="1" si="88"/>
        <v>7.2834151223299497E-3</v>
      </c>
      <c r="FE83" s="21">
        <f t="shared" ca="1" si="88"/>
        <v>6.4846959480464594E-3</v>
      </c>
      <c r="FF83" s="21">
        <f t="shared" ca="1" si="88"/>
        <v>1.3647064308948038E-2</v>
      </c>
      <c r="FG83" s="21">
        <f t="shared" ca="1" si="88"/>
        <v>1.2928899575608246E-2</v>
      </c>
      <c r="FH83" s="21">
        <f t="shared" ca="1" si="88"/>
        <v>1.0651672937774363E-2</v>
      </c>
      <c r="FI83" s="21">
        <f t="shared" ca="1" si="88"/>
        <v>1.1615773838234856E-2</v>
      </c>
      <c r="FJ83" s="21">
        <f t="shared" ca="1" si="88"/>
        <v>6.9808177261068312E-3</v>
      </c>
      <c r="FK83" s="21">
        <f t="shared" ca="1" si="88"/>
        <v>1.7673320062878878E-2</v>
      </c>
      <c r="FL83" s="21">
        <f t="shared" ca="1" si="88"/>
        <v>4.0759487623926491E-2</v>
      </c>
      <c r="FM83" s="21">
        <f t="shared" ca="1" si="88"/>
        <v>3.0393492088164404E-2</v>
      </c>
      <c r="FN83" s="21">
        <f t="shared" ca="1" si="88"/>
        <v>1.3321187301665134E-2</v>
      </c>
      <c r="FO83" s="21">
        <f t="shared" ca="1" si="88"/>
        <v>2.2176182282147565E-2</v>
      </c>
      <c r="FP83" s="21">
        <f t="shared" ca="1" si="88"/>
        <v>1.6107258869570495E-2</v>
      </c>
      <c r="FQ83" s="21">
        <f t="shared" ca="1" si="88"/>
        <v>1.028243114138435E-2</v>
      </c>
      <c r="FR83" s="21">
        <f t="shared" ca="1" si="88"/>
        <v>1.5430258623282043E-2</v>
      </c>
      <c r="FS83" s="21">
        <f t="shared" ca="1" si="88"/>
        <v>1.2863437461844571E-2</v>
      </c>
      <c r="FT83" s="21">
        <f t="shared" ca="1" si="88"/>
        <v>8.646984302002541E-3</v>
      </c>
      <c r="FU83" s="21">
        <f t="shared" ca="1" si="88"/>
        <v>1.3157178785135178E-2</v>
      </c>
      <c r="FV83" s="21">
        <f t="shared" ca="1" si="88"/>
        <v>1.277714111804272E-2</v>
      </c>
      <c r="FW83" s="21">
        <f t="shared" ca="1" si="88"/>
        <v>8.163120587178354E-3</v>
      </c>
      <c r="FX83" s="21">
        <f t="shared" ca="1" si="88"/>
        <v>1.8547862163173796E-2</v>
      </c>
      <c r="FY83" s="21">
        <f t="shared" ca="1" si="88"/>
        <v>3.078873259909121E-2</v>
      </c>
      <c r="FZ83" s="21">
        <f t="shared" ca="1" si="88"/>
        <v>2.4327534471895465E-2</v>
      </c>
      <c r="GA83" s="21">
        <f t="shared" ca="1" si="88"/>
        <v>1.2738869595651639E-2</v>
      </c>
      <c r="GB83" s="21">
        <f t="shared" ca="1" si="88"/>
        <v>9.5577558906155997E-3</v>
      </c>
      <c r="GC83" s="21">
        <f t="shared" ca="1" si="88"/>
        <v>8.4365377330440951E-3</v>
      </c>
      <c r="GD83" s="21">
        <f t="shared" ca="1" si="88"/>
        <v>1.607745402537256E-2</v>
      </c>
      <c r="GE83" s="21">
        <f t="shared" ca="1" si="88"/>
        <v>2.4161720008101469E-2</v>
      </c>
      <c r="GF83" s="21">
        <f t="shared" ca="1" si="88"/>
        <v>2.0353859949506961E-2</v>
      </c>
      <c r="GG83" s="21">
        <f t="shared" ca="1" si="88"/>
        <v>1.2371164024991659E-2</v>
      </c>
      <c r="GH83" s="21">
        <f t="shared" ca="1" si="88"/>
        <v>7.1709441398762411E-3</v>
      </c>
      <c r="GI83" s="21">
        <f t="shared" ca="1" si="88"/>
        <v>1.0999916045163812E-2</v>
      </c>
      <c r="GJ83" s="21">
        <f t="shared" ca="1" si="88"/>
        <v>1.0907095783954939E-2</v>
      </c>
      <c r="GK83" s="21">
        <f t="shared" ca="1" si="88"/>
        <v>9.2256639970645996E-3</v>
      </c>
      <c r="GL83" s="21">
        <f t="shared" ca="1" si="88"/>
        <v>1.0506935884710989E-2</v>
      </c>
      <c r="GM83" s="21">
        <f t="shared" ca="1" si="88"/>
        <v>5.7992722799397947E-3</v>
      </c>
      <c r="GN83" s="21">
        <f t="shared" ca="1" si="88"/>
        <v>1.6566534335293627E-2</v>
      </c>
      <c r="GO83" s="21">
        <f t="shared" ca="1" si="88"/>
        <v>5.1174923533653674E-2</v>
      </c>
      <c r="GP83" s="21">
        <f t="shared" ca="1" si="88"/>
        <v>7.0845866210482736E-2</v>
      </c>
      <c r="GQ83" s="21">
        <f t="shared" ca="1" si="88"/>
        <v>4.8440368142113034E-2</v>
      </c>
      <c r="GR83" s="21">
        <f t="shared" ca="1" si="88"/>
        <v>2.323136317979365E-2</v>
      </c>
      <c r="GS83" s="21">
        <f t="shared" ca="1" si="88"/>
        <v>1.8993478629565724E-2</v>
      </c>
      <c r="GT83" s="21">
        <f t="shared" ca="1" si="88"/>
        <v>1.9978280100810861E-2</v>
      </c>
      <c r="GU83" s="21">
        <f t="shared" ca="1" si="88"/>
        <v>2.606965462459216E-2</v>
      </c>
      <c r="GV83" s="21">
        <f t="shared" ca="1" si="88"/>
        <v>2.2395344209280132E-2</v>
      </c>
      <c r="GW83" s="21">
        <f t="shared" ca="1" si="88"/>
        <v>1.3449566868140334E-2</v>
      </c>
      <c r="GX83" s="21">
        <f t="shared" ca="1" si="88"/>
        <v>2.3023912612265995E-2</v>
      </c>
      <c r="GY83" s="21">
        <f t="shared" ca="1" si="88"/>
        <v>2.4774160952860162E-2</v>
      </c>
      <c r="GZ83" s="21">
        <f t="shared" ca="1" si="88"/>
        <v>1.7263981510189222E-2</v>
      </c>
      <c r="HA83" s="21" t="str">
        <f t="shared" si="88"/>
        <v/>
      </c>
      <c r="HB83" s="21" t="str">
        <f t="shared" si="88"/>
        <v/>
      </c>
      <c r="HC83" s="21" t="str">
        <f t="shared" si="88"/>
        <v/>
      </c>
      <c r="HD83" s="21" t="str">
        <f t="shared" si="88"/>
        <v/>
      </c>
      <c r="HE83" s="21" t="str">
        <f t="shared" si="88"/>
        <v/>
      </c>
      <c r="HF83" s="21" t="str">
        <f t="shared" si="88"/>
        <v/>
      </c>
      <c r="HG83" s="21" t="str">
        <f t="shared" si="88"/>
        <v/>
      </c>
      <c r="HH83" s="21" t="str">
        <f t="shared" si="88"/>
        <v/>
      </c>
      <c r="HI83" s="21" t="str">
        <f t="shared" si="88"/>
        <v/>
      </c>
      <c r="HJ83" s="21" t="str">
        <f t="shared" si="88"/>
        <v/>
      </c>
      <c r="HK83" s="21" t="str">
        <f t="shared" ref="HK83:JH83" si="89">IF(HK3="","",AVERAGE(HI57:HJ57)+CONFIDENCE(0.05,STDEV(GL57:HJ57),COUNT(GL57:HJ57)))</f>
        <v/>
      </c>
      <c r="HL83" s="21" t="str">
        <f t="shared" si="89"/>
        <v/>
      </c>
      <c r="HM83" s="21" t="str">
        <f t="shared" si="89"/>
        <v/>
      </c>
      <c r="HN83" s="21" t="str">
        <f t="shared" si="89"/>
        <v/>
      </c>
      <c r="HO83" s="21" t="str">
        <f t="shared" si="89"/>
        <v/>
      </c>
      <c r="HP83" s="21" t="str">
        <f t="shared" si="89"/>
        <v/>
      </c>
      <c r="HQ83" s="21" t="str">
        <f t="shared" si="89"/>
        <v/>
      </c>
      <c r="HR83" s="21" t="str">
        <f t="shared" si="89"/>
        <v/>
      </c>
      <c r="HS83" s="21" t="str">
        <f t="shared" si="89"/>
        <v/>
      </c>
      <c r="HT83" s="21" t="str">
        <f t="shared" si="89"/>
        <v/>
      </c>
      <c r="HU83" s="21" t="str">
        <f t="shared" si="89"/>
        <v/>
      </c>
      <c r="HV83" s="21" t="str">
        <f t="shared" si="89"/>
        <v/>
      </c>
      <c r="HW83" s="21" t="str">
        <f t="shared" si="89"/>
        <v/>
      </c>
      <c r="HX83" s="21" t="str">
        <f t="shared" si="89"/>
        <v/>
      </c>
      <c r="HY83" s="21" t="str">
        <f t="shared" si="89"/>
        <v/>
      </c>
      <c r="HZ83" s="21" t="str">
        <f t="shared" si="89"/>
        <v/>
      </c>
      <c r="IA83" s="21" t="str">
        <f t="shared" si="89"/>
        <v/>
      </c>
      <c r="IB83" s="21" t="str">
        <f t="shared" si="89"/>
        <v/>
      </c>
      <c r="IC83" s="21" t="str">
        <f t="shared" si="89"/>
        <v/>
      </c>
      <c r="ID83" s="21" t="str">
        <f t="shared" si="89"/>
        <v/>
      </c>
      <c r="IE83" s="21" t="str">
        <f t="shared" si="89"/>
        <v/>
      </c>
      <c r="IF83" s="21" t="str">
        <f t="shared" si="89"/>
        <v/>
      </c>
      <c r="IG83" s="21" t="str">
        <f t="shared" si="89"/>
        <v/>
      </c>
      <c r="IH83" s="21" t="str">
        <f t="shared" si="89"/>
        <v/>
      </c>
      <c r="II83" s="21" t="str">
        <f t="shared" si="89"/>
        <v/>
      </c>
      <c r="IJ83" s="21" t="str">
        <f t="shared" si="89"/>
        <v/>
      </c>
      <c r="IK83" s="21" t="str">
        <f t="shared" si="89"/>
        <v/>
      </c>
      <c r="IL83" s="21" t="str">
        <f t="shared" si="89"/>
        <v/>
      </c>
      <c r="IM83" s="21" t="str">
        <f t="shared" si="89"/>
        <v/>
      </c>
      <c r="IN83" s="21" t="str">
        <f t="shared" si="89"/>
        <v/>
      </c>
      <c r="IO83" s="21" t="str">
        <f t="shared" si="89"/>
        <v/>
      </c>
      <c r="IP83" s="21" t="str">
        <f t="shared" si="89"/>
        <v/>
      </c>
      <c r="IQ83" s="21" t="str">
        <f t="shared" si="89"/>
        <v/>
      </c>
      <c r="IR83" s="21" t="str">
        <f t="shared" si="89"/>
        <v/>
      </c>
      <c r="IS83" s="21" t="str">
        <f t="shared" si="89"/>
        <v/>
      </c>
      <c r="IT83" s="21" t="str">
        <f t="shared" si="89"/>
        <v/>
      </c>
      <c r="IU83" s="21" t="str">
        <f t="shared" si="89"/>
        <v/>
      </c>
      <c r="IV83" s="21" t="str">
        <f t="shared" si="89"/>
        <v/>
      </c>
      <c r="IW83" s="21" t="str">
        <f t="shared" si="89"/>
        <v/>
      </c>
      <c r="IX83" s="21" t="str">
        <f t="shared" si="89"/>
        <v/>
      </c>
      <c r="IY83" s="21" t="str">
        <f t="shared" si="89"/>
        <v/>
      </c>
      <c r="IZ83" s="21" t="str">
        <f t="shared" si="89"/>
        <v/>
      </c>
      <c r="JA83" s="21" t="str">
        <f t="shared" si="89"/>
        <v/>
      </c>
      <c r="JB83" s="21" t="str">
        <f t="shared" si="89"/>
        <v/>
      </c>
      <c r="JC83" s="21" t="str">
        <f t="shared" si="89"/>
        <v/>
      </c>
      <c r="JD83" s="21" t="str">
        <f t="shared" si="89"/>
        <v/>
      </c>
      <c r="JE83" s="21" t="str">
        <f t="shared" si="89"/>
        <v/>
      </c>
      <c r="JF83" s="21" t="str">
        <f t="shared" si="89"/>
        <v/>
      </c>
      <c r="JG83" s="21" t="str">
        <f t="shared" si="89"/>
        <v/>
      </c>
      <c r="JH83" s="21" t="str">
        <f t="shared" si="89"/>
        <v/>
      </c>
    </row>
    <row r="84" spans="1:336" x14ac:dyDescent="0.25"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>
        <f t="shared" ref="AA84:CL84" ca="1" si="90">IF(AA4="","",AVERAGE(X58:Z58)+CONFIDENCE(0.05,STDEV(B58:Z58),COUNT(B58:Z58)))</f>
        <v>2.866681570077707E-2</v>
      </c>
      <c r="AB84" s="21">
        <f t="shared" ca="1" si="90"/>
        <v>2.6130862517317277E-2</v>
      </c>
      <c r="AC84" s="21">
        <f t="shared" ca="1" si="90"/>
        <v>2.7451927223607873E-2</v>
      </c>
      <c r="AD84" s="21">
        <f t="shared" ca="1" si="90"/>
        <v>2.17142734066832E-2</v>
      </c>
      <c r="AE84" s="21">
        <f t="shared" ca="1" si="90"/>
        <v>1.5186314848795414E-2</v>
      </c>
      <c r="AF84" s="21">
        <f t="shared" ca="1" si="90"/>
        <v>8.9960021559664736E-3</v>
      </c>
      <c r="AG84" s="21">
        <f t="shared" ca="1" si="90"/>
        <v>9.8522427773665988E-3</v>
      </c>
      <c r="AH84" s="21">
        <f t="shared" ca="1" si="90"/>
        <v>9.2494348893672196E-3</v>
      </c>
      <c r="AI84" s="21">
        <f t="shared" ca="1" si="90"/>
        <v>9.5678741949154524E-3</v>
      </c>
      <c r="AJ84" s="21">
        <f t="shared" ca="1" si="90"/>
        <v>1.464198915333214E-2</v>
      </c>
      <c r="AK84" s="21">
        <f t="shared" ca="1" si="90"/>
        <v>2.7852248458804615E-2</v>
      </c>
      <c r="AL84" s="21">
        <f t="shared" ca="1" si="90"/>
        <v>3.5001404679031567E-2</v>
      </c>
      <c r="AM84" s="21">
        <f t="shared" ca="1" si="90"/>
        <v>3.1381668663987318E-2</v>
      </c>
      <c r="AN84" s="21">
        <f t="shared" ca="1" si="90"/>
        <v>2.060067730886796E-2</v>
      </c>
      <c r="AO84" s="21">
        <f t="shared" ca="1" si="90"/>
        <v>1.5162720896365414E-2</v>
      </c>
      <c r="AP84" s="21">
        <f t="shared" ca="1" si="90"/>
        <v>2.0515958160989438E-2</v>
      </c>
      <c r="AQ84" s="21">
        <f t="shared" ca="1" si="90"/>
        <v>2.5557321492253329E-2</v>
      </c>
      <c r="AR84" s="21">
        <f t="shared" ca="1" si="90"/>
        <v>3.3213417449615854E-2</v>
      </c>
      <c r="AS84" s="21">
        <f t="shared" ca="1" si="90"/>
        <v>3.5465049834721249E-2</v>
      </c>
      <c r="AT84" s="21">
        <f t="shared" ca="1" si="90"/>
        <v>3.1813025935584084E-2</v>
      </c>
      <c r="AU84" s="21">
        <f t="shared" ca="1" si="90"/>
        <v>2.043144541921214E-2</v>
      </c>
      <c r="AV84" s="21">
        <f t="shared" ca="1" si="90"/>
        <v>1.1521038640568981E-2</v>
      </c>
      <c r="AW84" s="21">
        <f t="shared" ca="1" si="90"/>
        <v>8.2823428607236693E-3</v>
      </c>
      <c r="AX84" s="21">
        <f t="shared" ca="1" si="90"/>
        <v>1.2481840223964962E-2</v>
      </c>
      <c r="AY84" s="21">
        <f t="shared" ca="1" si="90"/>
        <v>3.1655625220739586E-2</v>
      </c>
      <c r="AZ84" s="21">
        <f t="shared" ca="1" si="90"/>
        <v>4.7379161240972086E-2</v>
      </c>
      <c r="BA84" s="21">
        <f t="shared" ca="1" si="90"/>
        <v>5.9216773650227802E-2</v>
      </c>
      <c r="BB84" s="21">
        <f t="shared" ca="1" si="90"/>
        <v>6.5833919469805297E-2</v>
      </c>
      <c r="BC84" s="21">
        <f t="shared" ca="1" si="90"/>
        <v>6.9337385628263221E-2</v>
      </c>
      <c r="BD84" s="21">
        <f t="shared" ca="1" si="90"/>
        <v>7.0652957653554838E-2</v>
      </c>
      <c r="BE84" s="21">
        <f t="shared" ca="1" si="90"/>
        <v>5.8326536806762155E-2</v>
      </c>
      <c r="BF84" s="21">
        <f t="shared" ca="1" si="90"/>
        <v>4.4213206036045345E-2</v>
      </c>
      <c r="BG84" s="21">
        <f t="shared" ca="1" si="90"/>
        <v>5.2810331924882672E-2</v>
      </c>
      <c r="BH84" s="21">
        <f t="shared" ca="1" si="90"/>
        <v>8.0418770587592836E-2</v>
      </c>
      <c r="BI84" s="21">
        <f t="shared" ca="1" si="90"/>
        <v>9.5739096366337512E-2</v>
      </c>
      <c r="BJ84" s="21">
        <f t="shared" ca="1" si="90"/>
        <v>7.1017444567777116E-2</v>
      </c>
      <c r="BK84" s="21">
        <f t="shared" ca="1" si="90"/>
        <v>3.6476820478569962E-2</v>
      </c>
      <c r="BL84" s="21">
        <f t="shared" ca="1" si="90"/>
        <v>2.9075913963191841E-2</v>
      </c>
      <c r="BM84" s="21">
        <f t="shared" ca="1" si="90"/>
        <v>3.4564461849031954E-2</v>
      </c>
      <c r="BN84" s="21">
        <f t="shared" ca="1" si="90"/>
        <v>4.0662547009933686E-2</v>
      </c>
      <c r="BO84" s="21">
        <f t="shared" ca="1" si="90"/>
        <v>4.9744293848571833E-2</v>
      </c>
      <c r="BP84" s="21">
        <f t="shared" ca="1" si="90"/>
        <v>7.1352795032197575E-2</v>
      </c>
      <c r="BQ84" s="21">
        <f t="shared" ca="1" si="90"/>
        <v>7.5209362038553162E-2</v>
      </c>
      <c r="BR84" s="21">
        <f t="shared" ca="1" si="90"/>
        <v>6.4840021649415436E-2</v>
      </c>
      <c r="BS84" s="21">
        <f t="shared" ca="1" si="90"/>
        <v>4.2195115444745711E-2</v>
      </c>
      <c r="BT84" s="21">
        <f t="shared" ca="1" si="90"/>
        <v>3.6101082980011717E-2</v>
      </c>
      <c r="BU84" s="21">
        <f t="shared" ca="1" si="90"/>
        <v>3.8876310588975921E-2</v>
      </c>
      <c r="BV84" s="21">
        <f t="shared" ca="1" si="90"/>
        <v>3.4235670290198222E-2</v>
      </c>
      <c r="BW84" s="21">
        <f t="shared" ca="1" si="90"/>
        <v>2.8041232109941885E-2</v>
      </c>
      <c r="BX84" s="21">
        <f t="shared" ca="1" si="90"/>
        <v>1.7772044316894119E-2</v>
      </c>
      <c r="BY84" s="21">
        <f t="shared" ca="1" si="90"/>
        <v>2.0316095517293745E-2</v>
      </c>
      <c r="BZ84" s="21">
        <f t="shared" ca="1" si="90"/>
        <v>2.6754329564283384E-2</v>
      </c>
      <c r="CA84" s="21">
        <f t="shared" ca="1" si="90"/>
        <v>2.7217776730861957E-2</v>
      </c>
      <c r="CB84" s="21">
        <f t="shared" ca="1" si="90"/>
        <v>2.6185171656358676E-2</v>
      </c>
      <c r="CC84" s="21">
        <f t="shared" ca="1" si="90"/>
        <v>2.0773979716580983E-2</v>
      </c>
      <c r="CD84" s="21">
        <f t="shared" ca="1" si="90"/>
        <v>2.1175779684781928E-2</v>
      </c>
      <c r="CE84" s="21">
        <f t="shared" ca="1" si="90"/>
        <v>2.202151202649251E-2</v>
      </c>
      <c r="CF84" s="21">
        <f t="shared" ca="1" si="90"/>
        <v>2.7168801888839939E-2</v>
      </c>
      <c r="CG84" s="21">
        <f t="shared" ca="1" si="90"/>
        <v>2.6944788659527243E-2</v>
      </c>
      <c r="CH84" s="21">
        <f t="shared" ca="1" si="90"/>
        <v>2.9443090128287587E-2</v>
      </c>
      <c r="CI84" s="21">
        <f t="shared" ca="1" si="90"/>
        <v>2.2744436602911339E-2</v>
      </c>
      <c r="CJ84" s="21">
        <f t="shared" ca="1" si="90"/>
        <v>1.7972438085909599E-2</v>
      </c>
      <c r="CK84" s="21">
        <f t="shared" ca="1" si="90"/>
        <v>1.6018370492727807E-2</v>
      </c>
      <c r="CL84" s="21">
        <f t="shared" ca="1" si="90"/>
        <v>1.8353384438323812E-2</v>
      </c>
      <c r="CM84" s="21">
        <f t="shared" ref="CM84:EX84" ca="1" si="91">IF(CM4="","",AVERAGE(CJ58:CL58)+CONFIDENCE(0.05,STDEV(BN58:CL58),COUNT(BN58:CL58)))</f>
        <v>2.35296475644034E-2</v>
      </c>
      <c r="CN84" s="21">
        <f t="shared" ca="1" si="91"/>
        <v>2.3473336353990029E-2</v>
      </c>
      <c r="CO84" s="21">
        <f t="shared" ca="1" si="91"/>
        <v>2.0713187868731282E-2</v>
      </c>
      <c r="CP84" s="21">
        <f t="shared" ca="1" si="91"/>
        <v>1.2749953508011948E-2</v>
      </c>
      <c r="CQ84" s="21">
        <f t="shared" ca="1" si="91"/>
        <v>1.9276554434062447E-2</v>
      </c>
      <c r="CR84" s="21">
        <f t="shared" ca="1" si="91"/>
        <v>1.988395506607827E-2</v>
      </c>
      <c r="CS84" s="21">
        <f t="shared" ca="1" si="91"/>
        <v>2.9722348784961619E-2</v>
      </c>
      <c r="CT84" s="21">
        <f t="shared" ca="1" si="91"/>
        <v>2.1503178758390439E-2</v>
      </c>
      <c r="CU84" s="21">
        <f t="shared" ca="1" si="91"/>
        <v>2.7896920581488766E-2</v>
      </c>
      <c r="CV84" s="21">
        <f t="shared" ca="1" si="91"/>
        <v>2.4799418181272223E-2</v>
      </c>
      <c r="CW84" s="21">
        <f t="shared" ca="1" si="91"/>
        <v>2.6750757819501179E-2</v>
      </c>
      <c r="CX84" s="21">
        <f t="shared" ca="1" si="91"/>
        <v>1.8424524821979191E-2</v>
      </c>
      <c r="CY84" s="21">
        <f t="shared" ca="1" si="91"/>
        <v>1.4457648180256721E-2</v>
      </c>
      <c r="CZ84" s="21">
        <f t="shared" ca="1" si="91"/>
        <v>1.1468212174857446E-2</v>
      </c>
      <c r="DA84" s="21">
        <f t="shared" ca="1" si="91"/>
        <v>1.4659083322921493E-2</v>
      </c>
      <c r="DB84" s="21">
        <f t="shared" ca="1" si="91"/>
        <v>2.7292689682238837E-2</v>
      </c>
      <c r="DC84" s="21">
        <f t="shared" ca="1" si="91"/>
        <v>3.2556145124375463E-2</v>
      </c>
      <c r="DD84" s="21">
        <f t="shared" ca="1" si="91"/>
        <v>3.7451940139576166E-2</v>
      </c>
      <c r="DE84" s="21">
        <f t="shared" ca="1" si="91"/>
        <v>2.4438460511061404E-2</v>
      </c>
      <c r="DF84" s="21">
        <f t="shared" ca="1" si="91"/>
        <v>2.5508353099754282E-2</v>
      </c>
      <c r="DG84" s="21">
        <f t="shared" ca="1" si="91"/>
        <v>2.0644020674562225E-2</v>
      </c>
      <c r="DH84" s="21">
        <f t="shared" ca="1" si="91"/>
        <v>2.6068638685282877E-2</v>
      </c>
      <c r="DI84" s="21">
        <f t="shared" ca="1" si="91"/>
        <v>2.5879550279450516E-2</v>
      </c>
      <c r="DJ84" s="21">
        <f t="shared" ca="1" si="91"/>
        <v>2.8420935467849958E-2</v>
      </c>
      <c r="DK84" s="21">
        <f t="shared" ca="1" si="91"/>
        <v>2.2106028552991205E-2</v>
      </c>
      <c r="DL84" s="21">
        <f t="shared" ca="1" si="91"/>
        <v>1.5940319524862176E-2</v>
      </c>
      <c r="DM84" s="21">
        <f t="shared" ca="1" si="91"/>
        <v>8.4968226399445498E-3</v>
      </c>
      <c r="DN84" s="21">
        <f t="shared" ca="1" si="91"/>
        <v>1.700051476144716E-2</v>
      </c>
      <c r="DO84" s="21">
        <f t="shared" ca="1" si="91"/>
        <v>1.6189381228260254E-2</v>
      </c>
      <c r="DP84" s="21">
        <f t="shared" ca="1" si="91"/>
        <v>2.3364087894163162E-2</v>
      </c>
      <c r="DQ84" s="21">
        <f t="shared" ca="1" si="91"/>
        <v>2.4276862166024735E-2</v>
      </c>
      <c r="DR84" s="21">
        <f t="shared" ca="1" si="91"/>
        <v>3.549134848359916E-2</v>
      </c>
      <c r="DS84" s="21">
        <f t="shared" ca="1" si="91"/>
        <v>2.7746711340279208E-2</v>
      </c>
      <c r="DT84" s="21">
        <f t="shared" ca="1" si="91"/>
        <v>2.0593155972061915E-2</v>
      </c>
      <c r="DU84" s="21">
        <f t="shared" ca="1" si="91"/>
        <v>1.0117873308332689E-2</v>
      </c>
      <c r="DV84" s="21">
        <f t="shared" ca="1" si="91"/>
        <v>1.0229127278014578E-2</v>
      </c>
      <c r="DW84" s="21">
        <f t="shared" ca="1" si="91"/>
        <v>1.0458519234939533E-2</v>
      </c>
      <c r="DX84" s="21">
        <f t="shared" ca="1" si="91"/>
        <v>1.4465070155498066E-2</v>
      </c>
      <c r="DY84" s="21">
        <f t="shared" ca="1" si="91"/>
        <v>1.5409447390534932E-2</v>
      </c>
      <c r="DZ84" s="21">
        <f t="shared" ca="1" si="91"/>
        <v>1.6228253183903672E-2</v>
      </c>
      <c r="EA84" s="21">
        <f t="shared" ca="1" si="91"/>
        <v>1.3425466235505928E-2</v>
      </c>
      <c r="EB84" s="21">
        <f t="shared" ca="1" si="91"/>
        <v>1.256898015700309E-2</v>
      </c>
      <c r="EC84" s="21">
        <f t="shared" ca="1" si="91"/>
        <v>1.0096327674569232E-2</v>
      </c>
      <c r="ED84" s="21">
        <f t="shared" ca="1" si="91"/>
        <v>1.1745881405372197E-2</v>
      </c>
      <c r="EE84" s="21">
        <f t="shared" ca="1" si="91"/>
        <v>1.5114477789265572E-2</v>
      </c>
      <c r="EF84" s="21">
        <f t="shared" ca="1" si="91"/>
        <v>1.5915387669050571E-2</v>
      </c>
      <c r="EG84" s="21">
        <f t="shared" ca="1" si="91"/>
        <v>1.8716142870250765E-2</v>
      </c>
      <c r="EH84" s="21">
        <f t="shared" ca="1" si="91"/>
        <v>2.1713968069579318E-2</v>
      </c>
      <c r="EI84" s="21">
        <f t="shared" ca="1" si="91"/>
        <v>2.4731372532589942E-2</v>
      </c>
      <c r="EJ84" s="21">
        <f t="shared" ca="1" si="91"/>
        <v>2.8023742424653317E-2</v>
      </c>
      <c r="EK84" s="21">
        <f t="shared" ca="1" si="91"/>
        <v>3.2002238364350032E-2</v>
      </c>
      <c r="EL84" s="21">
        <f t="shared" ca="1" si="91"/>
        <v>2.8528109881474698E-2</v>
      </c>
      <c r="EM84" s="21">
        <f t="shared" ca="1" si="91"/>
        <v>2.0697880100175141E-2</v>
      </c>
      <c r="EN84" s="21">
        <f t="shared" ca="1" si="91"/>
        <v>1.1416424170140641E-2</v>
      </c>
      <c r="EO84" s="21">
        <f t="shared" ca="1" si="91"/>
        <v>1.3853563209182311E-2</v>
      </c>
      <c r="EP84" s="21">
        <f t="shared" ca="1" si="91"/>
        <v>1.1855406026079885E-2</v>
      </c>
      <c r="EQ84" s="21">
        <f t="shared" ca="1" si="91"/>
        <v>1.079992121961435E-2</v>
      </c>
      <c r="ER84" s="21">
        <f t="shared" ca="1" si="91"/>
        <v>7.8738676898017189E-3</v>
      </c>
      <c r="ES84" s="21">
        <f t="shared" ca="1" si="91"/>
        <v>1.4344602898651524E-2</v>
      </c>
      <c r="ET84" s="21">
        <f t="shared" ca="1" si="91"/>
        <v>2.6052866282485425E-2</v>
      </c>
      <c r="EU84" s="21">
        <f t="shared" ca="1" si="91"/>
        <v>2.9994991153756877E-2</v>
      </c>
      <c r="EV84" s="21">
        <f t="shared" ca="1" si="91"/>
        <v>2.5882082785151261E-2</v>
      </c>
      <c r="EW84" s="21">
        <f t="shared" ca="1" si="91"/>
        <v>2.4519535530723151E-2</v>
      </c>
      <c r="EX84" s="21">
        <f t="shared" ca="1" si="91"/>
        <v>2.1115707985618633E-2</v>
      </c>
      <c r="EY84" s="21">
        <f t="shared" ref="EY84:HJ84" ca="1" si="92">IF(EY4="","",AVERAGE(EV58:EX58)+CONFIDENCE(0.05,STDEV(DZ58:EX58),COUNT(DZ58:EX58)))</f>
        <v>1.8558605846353046E-2</v>
      </c>
      <c r="EZ84" s="21">
        <f t="shared" ca="1" si="92"/>
        <v>1.7946326192583822E-2</v>
      </c>
      <c r="FA84" s="21">
        <f t="shared" ca="1" si="92"/>
        <v>1.7995706570103812E-2</v>
      </c>
      <c r="FB84" s="21">
        <f t="shared" ca="1" si="92"/>
        <v>2.4495849908324228E-2</v>
      </c>
      <c r="FC84" s="21">
        <f t="shared" ca="1" si="92"/>
        <v>1.9232132073188603E-2</v>
      </c>
      <c r="FD84" s="21">
        <f t="shared" ca="1" si="92"/>
        <v>1.6817494986335849E-2</v>
      </c>
      <c r="FE84" s="21">
        <f t="shared" ca="1" si="92"/>
        <v>1.7218676783484689E-2</v>
      </c>
      <c r="FF84" s="21">
        <f t="shared" ca="1" si="92"/>
        <v>1.9491017511290894E-2</v>
      </c>
      <c r="FG84" s="21">
        <f t="shared" ca="1" si="92"/>
        <v>2.2777827529080731E-2</v>
      </c>
      <c r="FH84" s="21">
        <f t="shared" ca="1" si="92"/>
        <v>1.8792512590905086E-2</v>
      </c>
      <c r="FI84" s="21">
        <f t="shared" ca="1" si="92"/>
        <v>1.2183644134159975E-2</v>
      </c>
      <c r="FJ84" s="21">
        <f t="shared" ca="1" si="92"/>
        <v>1.3594282473817299E-2</v>
      </c>
      <c r="FK84" s="21">
        <f t="shared" ca="1" si="92"/>
        <v>1.6571019846923097E-2</v>
      </c>
      <c r="FL84" s="21">
        <f t="shared" ca="1" si="92"/>
        <v>3.7760664496887121E-2</v>
      </c>
      <c r="FM84" s="21">
        <f t="shared" ca="1" si="92"/>
        <v>3.5340371493262968E-2</v>
      </c>
      <c r="FN84" s="21">
        <f t="shared" ca="1" si="92"/>
        <v>4.1567147987710572E-2</v>
      </c>
      <c r="FO84" s="21">
        <f t="shared" ca="1" si="92"/>
        <v>2.9883178005138275E-2</v>
      </c>
      <c r="FP84" s="21">
        <f t="shared" ca="1" si="92"/>
        <v>2.8781133012392497E-2</v>
      </c>
      <c r="FQ84" s="21">
        <f t="shared" ca="1" si="92"/>
        <v>2.3673475078972689E-2</v>
      </c>
      <c r="FR84" s="21">
        <f t="shared" ca="1" si="92"/>
        <v>2.1424133584115559E-2</v>
      </c>
      <c r="FS84" s="21">
        <f t="shared" ca="1" si="92"/>
        <v>2.2214561550046925E-2</v>
      </c>
      <c r="FT84" s="21">
        <f t="shared" ca="1" si="92"/>
        <v>1.6878427398455798E-2</v>
      </c>
      <c r="FU84" s="21">
        <f t="shared" ca="1" si="92"/>
        <v>1.520100708842282E-2</v>
      </c>
      <c r="FV84" s="21">
        <f t="shared" ca="1" si="92"/>
        <v>1.5077468086538086E-2</v>
      </c>
      <c r="FW84" s="21">
        <f t="shared" ca="1" si="92"/>
        <v>2.1019723293769603E-2</v>
      </c>
      <c r="FX84" s="21">
        <f t="shared" ca="1" si="92"/>
        <v>3.4654733588409439E-2</v>
      </c>
      <c r="FY84" s="21">
        <f t="shared" ca="1" si="92"/>
        <v>4.5280581363569425E-2</v>
      </c>
      <c r="FZ84" s="21">
        <f t="shared" ca="1" si="92"/>
        <v>4.0499035172492606E-2</v>
      </c>
      <c r="GA84" s="21">
        <f t="shared" ca="1" si="92"/>
        <v>2.8090082034746354E-2</v>
      </c>
      <c r="GB84" s="21">
        <f t="shared" ca="1" si="92"/>
        <v>1.7232828556755363E-2</v>
      </c>
      <c r="GC84" s="21">
        <f t="shared" ca="1" si="92"/>
        <v>2.2729223622783401E-2</v>
      </c>
      <c r="GD84" s="21">
        <f t="shared" ca="1" si="92"/>
        <v>3.273212809158605E-2</v>
      </c>
      <c r="GE84" s="21">
        <f t="shared" ca="1" si="92"/>
        <v>4.2531830905664841E-2</v>
      </c>
      <c r="GF84" s="21">
        <f t="shared" ca="1" si="92"/>
        <v>3.9913169693816364E-2</v>
      </c>
      <c r="GG84" s="21">
        <f t="shared" ca="1" si="92"/>
        <v>2.6109042310294789E-2</v>
      </c>
      <c r="GH84" s="21">
        <f t="shared" ca="1" si="92"/>
        <v>1.8383019731639756E-2</v>
      </c>
      <c r="GI84" s="21">
        <f t="shared" ca="1" si="92"/>
        <v>1.7752670513199259E-2</v>
      </c>
      <c r="GJ84" s="21">
        <f t="shared" ca="1" si="92"/>
        <v>1.9422531868041878E-2</v>
      </c>
      <c r="GK84" s="21">
        <f t="shared" ca="1" si="92"/>
        <v>1.7379671253932302E-2</v>
      </c>
      <c r="GL84" s="21">
        <f t="shared" ca="1" si="92"/>
        <v>1.1858283939032833E-2</v>
      </c>
      <c r="GM84" s="21">
        <f t="shared" ca="1" si="92"/>
        <v>1.8155173354774179E-2</v>
      </c>
      <c r="GN84" s="21">
        <f t="shared" ca="1" si="92"/>
        <v>2.7675176888705993E-2</v>
      </c>
      <c r="GO84" s="21">
        <f t="shared" ca="1" si="92"/>
        <v>7.6958418176812704E-2</v>
      </c>
      <c r="GP84" s="21">
        <f t="shared" ca="1" si="92"/>
        <v>8.5051693035812823E-2</v>
      </c>
      <c r="GQ84" s="21">
        <f t="shared" ca="1" si="92"/>
        <v>8.89142332862638E-2</v>
      </c>
      <c r="GR84" s="21">
        <f t="shared" ca="1" si="92"/>
        <v>5.4437223770241849E-2</v>
      </c>
      <c r="GS84" s="21">
        <f t="shared" ca="1" si="92"/>
        <v>4.5407347492675262E-2</v>
      </c>
      <c r="GT84" s="21">
        <f t="shared" ca="1" si="92"/>
        <v>4.3096080736341573E-2</v>
      </c>
      <c r="GU84" s="21">
        <f t="shared" ca="1" si="92"/>
        <v>4.5337565805574929E-2</v>
      </c>
      <c r="GV84" s="21">
        <f t="shared" ca="1" si="92"/>
        <v>3.9829720294079413E-2</v>
      </c>
      <c r="GW84" s="21">
        <f t="shared" ca="1" si="92"/>
        <v>3.2844045922989423E-2</v>
      </c>
      <c r="GX84" s="21">
        <f t="shared" ca="1" si="92"/>
        <v>2.823392407294624E-2</v>
      </c>
      <c r="GY84" s="21">
        <f t="shared" ca="1" si="92"/>
        <v>3.4205243378811319E-2</v>
      </c>
      <c r="GZ84" s="21">
        <f t="shared" ca="1" si="92"/>
        <v>3.4789738935815426E-2</v>
      </c>
      <c r="HA84" s="21" t="str">
        <f t="shared" si="92"/>
        <v/>
      </c>
      <c r="HB84" s="21" t="str">
        <f t="shared" si="92"/>
        <v/>
      </c>
      <c r="HC84" s="21" t="str">
        <f t="shared" si="92"/>
        <v/>
      </c>
      <c r="HD84" s="21" t="str">
        <f t="shared" si="92"/>
        <v/>
      </c>
      <c r="HE84" s="21" t="str">
        <f t="shared" si="92"/>
        <v/>
      </c>
      <c r="HF84" s="21" t="str">
        <f t="shared" si="92"/>
        <v/>
      </c>
      <c r="HG84" s="21" t="str">
        <f t="shared" si="92"/>
        <v/>
      </c>
      <c r="HH84" s="21" t="str">
        <f t="shared" si="92"/>
        <v/>
      </c>
      <c r="HI84" s="21" t="str">
        <f t="shared" si="92"/>
        <v/>
      </c>
      <c r="HJ84" s="21" t="str">
        <f t="shared" si="92"/>
        <v/>
      </c>
      <c r="HK84" s="21" t="str">
        <f t="shared" ref="HK84:JH84" si="93">IF(HK4="","",AVERAGE(HH58:HJ58)+CONFIDENCE(0.05,STDEV(GL58:HJ58),COUNT(GL58:HJ58)))</f>
        <v/>
      </c>
      <c r="HL84" s="21" t="str">
        <f t="shared" si="93"/>
        <v/>
      </c>
      <c r="HM84" s="21" t="str">
        <f t="shared" si="93"/>
        <v/>
      </c>
      <c r="HN84" s="21" t="str">
        <f t="shared" si="93"/>
        <v/>
      </c>
      <c r="HO84" s="21" t="str">
        <f t="shared" si="93"/>
        <v/>
      </c>
      <c r="HP84" s="21" t="str">
        <f t="shared" si="93"/>
        <v/>
      </c>
      <c r="HQ84" s="21" t="str">
        <f t="shared" si="93"/>
        <v/>
      </c>
      <c r="HR84" s="21" t="str">
        <f t="shared" si="93"/>
        <v/>
      </c>
      <c r="HS84" s="21" t="str">
        <f t="shared" si="93"/>
        <v/>
      </c>
      <c r="HT84" s="21" t="str">
        <f t="shared" si="93"/>
        <v/>
      </c>
      <c r="HU84" s="21" t="str">
        <f t="shared" si="93"/>
        <v/>
      </c>
      <c r="HV84" s="21" t="str">
        <f t="shared" si="93"/>
        <v/>
      </c>
      <c r="HW84" s="21" t="str">
        <f t="shared" si="93"/>
        <v/>
      </c>
      <c r="HX84" s="21" t="str">
        <f t="shared" si="93"/>
        <v/>
      </c>
      <c r="HY84" s="21" t="str">
        <f t="shared" si="93"/>
        <v/>
      </c>
      <c r="HZ84" s="21" t="str">
        <f t="shared" si="93"/>
        <v/>
      </c>
      <c r="IA84" s="21" t="str">
        <f t="shared" si="93"/>
        <v/>
      </c>
      <c r="IB84" s="21" t="str">
        <f t="shared" si="93"/>
        <v/>
      </c>
      <c r="IC84" s="21" t="str">
        <f t="shared" si="93"/>
        <v/>
      </c>
      <c r="ID84" s="21" t="str">
        <f t="shared" si="93"/>
        <v/>
      </c>
      <c r="IE84" s="21" t="str">
        <f t="shared" si="93"/>
        <v/>
      </c>
      <c r="IF84" s="21" t="str">
        <f t="shared" si="93"/>
        <v/>
      </c>
      <c r="IG84" s="21" t="str">
        <f t="shared" si="93"/>
        <v/>
      </c>
      <c r="IH84" s="21" t="str">
        <f t="shared" si="93"/>
        <v/>
      </c>
      <c r="II84" s="21" t="str">
        <f t="shared" si="93"/>
        <v/>
      </c>
      <c r="IJ84" s="21" t="str">
        <f t="shared" si="93"/>
        <v/>
      </c>
      <c r="IK84" s="21" t="str">
        <f t="shared" si="93"/>
        <v/>
      </c>
      <c r="IL84" s="21" t="str">
        <f t="shared" si="93"/>
        <v/>
      </c>
      <c r="IM84" s="21" t="str">
        <f t="shared" si="93"/>
        <v/>
      </c>
      <c r="IN84" s="21" t="str">
        <f t="shared" si="93"/>
        <v/>
      </c>
      <c r="IO84" s="21" t="str">
        <f t="shared" si="93"/>
        <v/>
      </c>
      <c r="IP84" s="21" t="str">
        <f t="shared" si="93"/>
        <v/>
      </c>
      <c r="IQ84" s="21" t="str">
        <f t="shared" si="93"/>
        <v/>
      </c>
      <c r="IR84" s="21" t="str">
        <f t="shared" si="93"/>
        <v/>
      </c>
      <c r="IS84" s="21" t="str">
        <f t="shared" si="93"/>
        <v/>
      </c>
      <c r="IT84" s="21" t="str">
        <f t="shared" si="93"/>
        <v/>
      </c>
      <c r="IU84" s="21" t="str">
        <f t="shared" si="93"/>
        <v/>
      </c>
      <c r="IV84" s="21" t="str">
        <f t="shared" si="93"/>
        <v/>
      </c>
      <c r="IW84" s="21" t="str">
        <f t="shared" si="93"/>
        <v/>
      </c>
      <c r="IX84" s="21" t="str">
        <f t="shared" si="93"/>
        <v/>
      </c>
      <c r="IY84" s="21" t="str">
        <f t="shared" si="93"/>
        <v/>
      </c>
      <c r="IZ84" s="21" t="str">
        <f t="shared" si="93"/>
        <v/>
      </c>
      <c r="JA84" s="21" t="str">
        <f t="shared" si="93"/>
        <v/>
      </c>
      <c r="JB84" s="21" t="str">
        <f t="shared" si="93"/>
        <v/>
      </c>
      <c r="JC84" s="21" t="str">
        <f t="shared" si="93"/>
        <v/>
      </c>
      <c r="JD84" s="21" t="str">
        <f t="shared" si="93"/>
        <v/>
      </c>
      <c r="JE84" s="21" t="str">
        <f t="shared" si="93"/>
        <v/>
      </c>
      <c r="JF84" s="21" t="str">
        <f t="shared" si="93"/>
        <v/>
      </c>
      <c r="JG84" s="21" t="str">
        <f t="shared" si="93"/>
        <v/>
      </c>
      <c r="JH84" s="21" t="str">
        <f t="shared" si="93"/>
        <v/>
      </c>
    </row>
    <row r="85" spans="1:336" x14ac:dyDescent="0.25"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>
        <f t="shared" ref="AA85:CL85" ca="1" si="94">IF(AA5="","",AVERAGE(W59:Z59)+CONFIDENCE(0.05,STDEV(B59:Z59),COUNT(B59:Z59)))</f>
        <v>3.303727101611479E-2</v>
      </c>
      <c r="AB85" s="21">
        <f t="shared" ca="1" si="94"/>
        <v>3.3042180756042219E-2</v>
      </c>
      <c r="AC85" s="21">
        <f t="shared" ca="1" si="94"/>
        <v>2.7674992201103352E-2</v>
      </c>
      <c r="AD85" s="21">
        <f t="shared" ca="1" si="94"/>
        <v>2.2925153946418475E-2</v>
      </c>
      <c r="AE85" s="21">
        <f t="shared" ca="1" si="94"/>
        <v>1.8682963880225129E-2</v>
      </c>
      <c r="AF85" s="21">
        <f t="shared" ca="1" si="94"/>
        <v>1.3114278525240775E-2</v>
      </c>
      <c r="AG85" s="21">
        <f t="shared" ca="1" si="94"/>
        <v>1.1541139154137587E-2</v>
      </c>
      <c r="AH85" s="21">
        <f t="shared" ca="1" si="94"/>
        <v>1.2636220756041231E-2</v>
      </c>
      <c r="AI85" s="21">
        <f t="shared" ca="1" si="94"/>
        <v>1.4789650343276197E-2</v>
      </c>
      <c r="AJ85" s="21">
        <f t="shared" ca="1" si="94"/>
        <v>2.5139911038847492E-2</v>
      </c>
      <c r="AK85" s="21">
        <f t="shared" ca="1" si="94"/>
        <v>3.3522475562316169E-2</v>
      </c>
      <c r="AL85" s="21">
        <f t="shared" ca="1" si="94"/>
        <v>3.9575162268365875E-2</v>
      </c>
      <c r="AM85" s="21">
        <f t="shared" ca="1" si="94"/>
        <v>3.8024493678716562E-2</v>
      </c>
      <c r="AN85" s="21">
        <f t="shared" ca="1" si="94"/>
        <v>2.9258688905924833E-2</v>
      </c>
      <c r="AO85" s="21">
        <f t="shared" ca="1" si="94"/>
        <v>2.4909265626381981E-2</v>
      </c>
      <c r="AP85" s="21">
        <f t="shared" ca="1" si="94"/>
        <v>2.6979626555724355E-2</v>
      </c>
      <c r="AQ85" s="21">
        <f t="shared" ca="1" si="94"/>
        <v>3.499439760282317E-2</v>
      </c>
      <c r="AR85" s="21">
        <f t="shared" ca="1" si="94"/>
        <v>4.4166792127663189E-2</v>
      </c>
      <c r="AS85" s="21">
        <f t="shared" ca="1" si="94"/>
        <v>4.560079727302619E-2</v>
      </c>
      <c r="AT85" s="21">
        <f t="shared" ca="1" si="94"/>
        <v>3.9170421617432422E-2</v>
      </c>
      <c r="AU85" s="21">
        <f t="shared" ca="1" si="94"/>
        <v>2.9205570223225858E-2</v>
      </c>
      <c r="AV85" s="21">
        <f t="shared" ca="1" si="94"/>
        <v>1.9444035952392226E-2</v>
      </c>
      <c r="AW85" s="21">
        <f t="shared" ca="1" si="94"/>
        <v>1.7568182531449587E-2</v>
      </c>
      <c r="AX85" s="21">
        <f t="shared" ca="1" si="94"/>
        <v>2.7616514166796394E-2</v>
      </c>
      <c r="AY85" s="21">
        <f t="shared" ca="1" si="94"/>
        <v>4.4684135077773454E-2</v>
      </c>
      <c r="AZ85" s="21">
        <f t="shared" ca="1" si="94"/>
        <v>6.5696919144714122E-2</v>
      </c>
      <c r="BA85" s="21">
        <f t="shared" ca="1" si="94"/>
        <v>8.2580440642260666E-2</v>
      </c>
      <c r="BB85" s="21">
        <f t="shared" ca="1" si="94"/>
        <v>9.631798314711125E-2</v>
      </c>
      <c r="BC85" s="21">
        <f t="shared" ca="1" si="94"/>
        <v>0.10083482102044891</v>
      </c>
      <c r="BD85" s="21">
        <f t="shared" ca="1" si="94"/>
        <v>9.8170192489398511E-2</v>
      </c>
      <c r="BE85" s="21">
        <f t="shared" ca="1" si="94"/>
        <v>8.8523376042684024E-2</v>
      </c>
      <c r="BF85" s="21">
        <f t="shared" ca="1" si="94"/>
        <v>8.6084140792227273E-2</v>
      </c>
      <c r="BG85" s="21">
        <f t="shared" ca="1" si="94"/>
        <v>9.3992037180257462E-2</v>
      </c>
      <c r="BH85" s="21">
        <f t="shared" ca="1" si="94"/>
        <v>0.1116946038726499</v>
      </c>
      <c r="BI85" s="21">
        <f t="shared" ca="1" si="94"/>
        <v>0.1128935543481948</v>
      </c>
      <c r="BJ85" s="21">
        <f t="shared" ca="1" si="94"/>
        <v>9.4095317375069723E-2</v>
      </c>
      <c r="BK85" s="21">
        <f t="shared" ca="1" si="94"/>
        <v>6.8649216146320372E-2</v>
      </c>
      <c r="BL85" s="21">
        <f t="shared" ca="1" si="94"/>
        <v>4.4903331597375688E-2</v>
      </c>
      <c r="BM85" s="21">
        <f t="shared" ca="1" si="94"/>
        <v>3.2865614573651843E-2</v>
      </c>
      <c r="BN85" s="21">
        <f t="shared" ca="1" si="94"/>
        <v>5.0101975911524307E-2</v>
      </c>
      <c r="BO85" s="21">
        <f t="shared" ca="1" si="94"/>
        <v>7.6555340634451838E-2</v>
      </c>
      <c r="BP85" s="21">
        <f t="shared" ca="1" si="94"/>
        <v>9.1764455525905647E-2</v>
      </c>
      <c r="BQ85" s="21">
        <f t="shared" ca="1" si="94"/>
        <v>0.10935584688051803</v>
      </c>
      <c r="BR85" s="21">
        <f t="shared" ca="1" si="94"/>
        <v>9.0306275105467626E-2</v>
      </c>
      <c r="BS85" s="21">
        <f t="shared" ca="1" si="94"/>
        <v>6.2465827540095345E-2</v>
      </c>
      <c r="BT85" s="21">
        <f t="shared" ca="1" si="94"/>
        <v>4.2140517643719434E-2</v>
      </c>
      <c r="BU85" s="21">
        <f t="shared" ca="1" si="94"/>
        <v>3.6774199954720609E-2</v>
      </c>
      <c r="BV85" s="21">
        <f t="shared" ca="1" si="94"/>
        <v>3.7178472780305963E-2</v>
      </c>
      <c r="BW85" s="21">
        <f t="shared" ca="1" si="94"/>
        <v>3.8591876822547333E-2</v>
      </c>
      <c r="BX85" s="21">
        <f t="shared" ca="1" si="94"/>
        <v>3.3559914170953178E-2</v>
      </c>
      <c r="BY85" s="21">
        <f t="shared" ca="1" si="94"/>
        <v>2.5274071908108636E-2</v>
      </c>
      <c r="BZ85" s="21">
        <f t="shared" ca="1" si="94"/>
        <v>3.0119605643715165E-2</v>
      </c>
      <c r="CA85" s="21">
        <f t="shared" ca="1" si="94"/>
        <v>3.6192005767470059E-2</v>
      </c>
      <c r="CB85" s="21">
        <f t="shared" ca="1" si="94"/>
        <v>3.6660098676596253E-2</v>
      </c>
      <c r="CC85" s="21">
        <f t="shared" ca="1" si="94"/>
        <v>4.0671534686563246E-2</v>
      </c>
      <c r="CD85" s="21">
        <f t="shared" ca="1" si="94"/>
        <v>3.5206697680627896E-2</v>
      </c>
      <c r="CE85" s="21">
        <f t="shared" ca="1" si="94"/>
        <v>2.9335349752358242E-2</v>
      </c>
      <c r="CF85" s="21">
        <f t="shared" ca="1" si="94"/>
        <v>2.9832571409874872E-2</v>
      </c>
      <c r="CG85" s="21">
        <f t="shared" ca="1" si="94"/>
        <v>2.2200850351834635E-2</v>
      </c>
      <c r="CH85" s="21">
        <f t="shared" ca="1" si="94"/>
        <v>2.7099266034509229E-2</v>
      </c>
      <c r="CI85" s="21">
        <f t="shared" ca="1" si="94"/>
        <v>2.6004249924439667E-2</v>
      </c>
      <c r="CJ85" s="21">
        <f t="shared" ca="1" si="94"/>
        <v>2.746223766949199E-2</v>
      </c>
      <c r="CK85" s="21">
        <f t="shared" ca="1" si="94"/>
        <v>2.4258039751976768E-2</v>
      </c>
      <c r="CL85" s="21">
        <f t="shared" ca="1" si="94"/>
        <v>2.6909082137482557E-2</v>
      </c>
      <c r="CM85" s="21">
        <f t="shared" ref="CM85:EX85" ca="1" si="95">IF(CM5="","",AVERAGE(CI59:CL59)+CONFIDENCE(0.05,STDEV(BN59:CL59),COUNT(BN59:CL59)))</f>
        <v>3.2808519247028406E-2</v>
      </c>
      <c r="CN85" s="21">
        <f t="shared" ca="1" si="95"/>
        <v>2.8249779619624743E-2</v>
      </c>
      <c r="CO85" s="21">
        <f t="shared" ca="1" si="95"/>
        <v>2.5046132640810275E-2</v>
      </c>
      <c r="CP85" s="21">
        <f t="shared" ca="1" si="95"/>
        <v>1.624061305565425E-2</v>
      </c>
      <c r="CQ85" s="21">
        <f t="shared" ca="1" si="95"/>
        <v>1.4234935571084111E-2</v>
      </c>
      <c r="CR85" s="21">
        <f t="shared" ca="1" si="95"/>
        <v>1.4600033250690828E-2</v>
      </c>
      <c r="CS85" s="21">
        <f t="shared" ca="1" si="95"/>
        <v>1.9506503814958446E-2</v>
      </c>
      <c r="CT85" s="21">
        <f t="shared" ca="1" si="95"/>
        <v>1.8492832789492729E-2</v>
      </c>
      <c r="CU85" s="21">
        <f t="shared" ca="1" si="95"/>
        <v>2.3790766714387974E-2</v>
      </c>
      <c r="CV85" s="21">
        <f t="shared" ca="1" si="95"/>
        <v>2.9923486139486997E-2</v>
      </c>
      <c r="CW85" s="21">
        <f t="shared" ca="1" si="95"/>
        <v>2.8754499299591188E-2</v>
      </c>
      <c r="CX85" s="21">
        <f t="shared" ca="1" si="95"/>
        <v>2.8201936615012021E-2</v>
      </c>
      <c r="CY85" s="21">
        <f t="shared" ca="1" si="95"/>
        <v>1.8797217779344746E-2</v>
      </c>
      <c r="CZ85" s="21">
        <f t="shared" ca="1" si="95"/>
        <v>1.2161873186839397E-2</v>
      </c>
      <c r="DA85" s="21">
        <f t="shared" ca="1" si="95"/>
        <v>1.1144800092441079E-2</v>
      </c>
      <c r="DB85" s="21">
        <f t="shared" ca="1" si="95"/>
        <v>1.8353644046852535E-2</v>
      </c>
      <c r="DC85" s="21">
        <f t="shared" ca="1" si="95"/>
        <v>1.9899213565760882E-2</v>
      </c>
      <c r="DD85" s="21">
        <f t="shared" ca="1" si="95"/>
        <v>2.3414722529843605E-2</v>
      </c>
      <c r="DE85" s="21">
        <f t="shared" ca="1" si="95"/>
        <v>2.2733231067864516E-2</v>
      </c>
      <c r="DF85" s="21">
        <f t="shared" ca="1" si="95"/>
        <v>2.5510533440805019E-2</v>
      </c>
      <c r="DG85" s="21">
        <f t="shared" ca="1" si="95"/>
        <v>3.0985383013291366E-2</v>
      </c>
      <c r="DH85" s="21">
        <f t="shared" ca="1" si="95"/>
        <v>3.7703847427829E-2</v>
      </c>
      <c r="DI85" s="21">
        <f t="shared" ca="1" si="95"/>
        <v>4.2847783765670111E-2</v>
      </c>
      <c r="DJ85" s="21">
        <f t="shared" ca="1" si="95"/>
        <v>4.2270531932502298E-2</v>
      </c>
      <c r="DK85" s="21">
        <f t="shared" ca="1" si="95"/>
        <v>3.6032362111435255E-2</v>
      </c>
      <c r="DL85" s="21">
        <f t="shared" ca="1" si="95"/>
        <v>2.4827561547728461E-2</v>
      </c>
      <c r="DM85" s="21">
        <f t="shared" ca="1" si="95"/>
        <v>2.2752969323745067E-2</v>
      </c>
      <c r="DN85" s="21">
        <f t="shared" ca="1" si="95"/>
        <v>1.4146765723199235E-2</v>
      </c>
      <c r="DO85" s="21">
        <f t="shared" ca="1" si="95"/>
        <v>1.2730091851607795E-2</v>
      </c>
      <c r="DP85" s="21">
        <f t="shared" ca="1" si="95"/>
        <v>1.3556972402689276E-2</v>
      </c>
      <c r="DQ85" s="21">
        <f t="shared" ca="1" si="95"/>
        <v>1.7125717335592178E-2</v>
      </c>
      <c r="DR85" s="21">
        <f t="shared" ca="1" si="95"/>
        <v>2.5533143040405628E-2</v>
      </c>
      <c r="DS85" s="21">
        <f t="shared" ca="1" si="95"/>
        <v>2.7084332739518949E-2</v>
      </c>
      <c r="DT85" s="21">
        <f t="shared" ca="1" si="95"/>
        <v>2.8625661712359779E-2</v>
      </c>
      <c r="DU85" s="21">
        <f t="shared" ca="1" si="95"/>
        <v>1.9801584935405653E-2</v>
      </c>
      <c r="DV85" s="21">
        <f t="shared" ca="1" si="95"/>
        <v>1.3034062342420268E-2</v>
      </c>
      <c r="DW85" s="21">
        <f t="shared" ca="1" si="95"/>
        <v>1.4889047496191658E-2</v>
      </c>
      <c r="DX85" s="21">
        <f t="shared" ca="1" si="95"/>
        <v>1.5461108994118965E-2</v>
      </c>
      <c r="DY85" s="21">
        <f t="shared" ca="1" si="95"/>
        <v>1.6898847465795869E-2</v>
      </c>
      <c r="DZ85" s="21">
        <f t="shared" ca="1" si="95"/>
        <v>1.5734538377767379E-2</v>
      </c>
      <c r="EA85" s="21">
        <f t="shared" ca="1" si="95"/>
        <v>1.4219795951998414E-2</v>
      </c>
      <c r="EB85" s="21">
        <f t="shared" ca="1" si="95"/>
        <v>1.1431817355802959E-2</v>
      </c>
      <c r="EC85" s="21">
        <f t="shared" ca="1" si="95"/>
        <v>1.1666411501441088E-2</v>
      </c>
      <c r="ED85" s="21">
        <f t="shared" ca="1" si="95"/>
        <v>1.2973466127312308E-2</v>
      </c>
      <c r="EE85" s="21">
        <f t="shared" ca="1" si="95"/>
        <v>1.3305165947403681E-2</v>
      </c>
      <c r="EF85" s="21">
        <f t="shared" ca="1" si="95"/>
        <v>2.1999832745559993E-2</v>
      </c>
      <c r="EG85" s="21">
        <f t="shared" ca="1" si="95"/>
        <v>2.5392264486701645E-2</v>
      </c>
      <c r="EH85" s="21">
        <f t="shared" ca="1" si="95"/>
        <v>2.6155287125630471E-2</v>
      </c>
      <c r="EI85" s="21">
        <f t="shared" ca="1" si="95"/>
        <v>3.2946776260156879E-2</v>
      </c>
      <c r="EJ85" s="21">
        <f t="shared" ca="1" si="95"/>
        <v>3.7175082697058826E-2</v>
      </c>
      <c r="EK85" s="21">
        <f t="shared" ca="1" si="95"/>
        <v>3.9708619644148617E-2</v>
      </c>
      <c r="EL85" s="21">
        <f t="shared" ca="1" si="95"/>
        <v>4.2964310884689931E-2</v>
      </c>
      <c r="EM85" s="21">
        <f t="shared" ca="1" si="95"/>
        <v>3.4131142181754372E-2</v>
      </c>
      <c r="EN85" s="21">
        <f t="shared" ca="1" si="95"/>
        <v>2.2827575989357508E-2</v>
      </c>
      <c r="EO85" s="21">
        <f t="shared" ca="1" si="95"/>
        <v>1.8715956753535691E-2</v>
      </c>
      <c r="EP85" s="21">
        <f t="shared" ca="1" si="95"/>
        <v>1.3375153806400031E-2</v>
      </c>
      <c r="EQ85" s="21">
        <f t="shared" ca="1" si="95"/>
        <v>1.4412851518047911E-2</v>
      </c>
      <c r="ER85" s="21">
        <f t="shared" ca="1" si="95"/>
        <v>1.8485911978680072E-2</v>
      </c>
      <c r="ES85" s="21">
        <f t="shared" ca="1" si="95"/>
        <v>2.552867377122528E-2</v>
      </c>
      <c r="ET85" s="21">
        <f t="shared" ca="1" si="95"/>
        <v>3.4626976299705729E-2</v>
      </c>
      <c r="EU85" s="21">
        <f t="shared" ca="1" si="95"/>
        <v>3.5886119586196717E-2</v>
      </c>
      <c r="EV85" s="21">
        <f t="shared" ca="1" si="95"/>
        <v>3.8001854685922695E-2</v>
      </c>
      <c r="EW85" s="21">
        <f t="shared" ca="1" si="95"/>
        <v>3.2880749973710481E-2</v>
      </c>
      <c r="EX85" s="21">
        <f t="shared" ca="1" si="95"/>
        <v>2.7922348176120413E-2</v>
      </c>
      <c r="EY85" s="21">
        <f t="shared" ref="EY85:HJ85" ca="1" si="96">IF(EY5="","",AVERAGE(EU59:EX59)+CONFIDENCE(0.05,STDEV(DZ59:EX59),COUNT(DZ59:EX59)))</f>
        <v>2.8695452607496983E-2</v>
      </c>
      <c r="EZ85" s="21">
        <f t="shared" ca="1" si="96"/>
        <v>2.5137576179153139E-2</v>
      </c>
      <c r="FA85" s="21">
        <f t="shared" ca="1" si="96"/>
        <v>2.0479428489290432E-2</v>
      </c>
      <c r="FB85" s="21">
        <f t="shared" ca="1" si="96"/>
        <v>2.2789058900603034E-2</v>
      </c>
      <c r="FC85" s="21">
        <f t="shared" ca="1" si="96"/>
        <v>2.0537476290858954E-2</v>
      </c>
      <c r="FD85" s="21">
        <f t="shared" ca="1" si="96"/>
        <v>2.2386307577118063E-2</v>
      </c>
      <c r="FE85" s="21">
        <f t="shared" ca="1" si="96"/>
        <v>2.6412694534798574E-2</v>
      </c>
      <c r="FF85" s="21">
        <f t="shared" ca="1" si="96"/>
        <v>2.1897631450922772E-2</v>
      </c>
      <c r="FG85" s="21">
        <f t="shared" ca="1" si="96"/>
        <v>2.2006802347658908E-2</v>
      </c>
      <c r="FH85" s="21">
        <f t="shared" ca="1" si="96"/>
        <v>2.0173739144423407E-2</v>
      </c>
      <c r="FI85" s="21">
        <f t="shared" ca="1" si="96"/>
        <v>1.8155354876705738E-2</v>
      </c>
      <c r="FJ85" s="21">
        <f t="shared" ca="1" si="96"/>
        <v>2.110246207575936E-2</v>
      </c>
      <c r="FK85" s="21">
        <f t="shared" ca="1" si="96"/>
        <v>2.5656648067539749E-2</v>
      </c>
      <c r="FL85" s="21">
        <f t="shared" ca="1" si="96"/>
        <v>3.6308520461192297E-2</v>
      </c>
      <c r="FM85" s="21">
        <f t="shared" ca="1" si="96"/>
        <v>4.0355708081622602E-2</v>
      </c>
      <c r="FN85" s="21">
        <f t="shared" ca="1" si="96"/>
        <v>4.4685019646755544E-2</v>
      </c>
      <c r="FO85" s="21">
        <f t="shared" ca="1" si="96"/>
        <v>4.7252420258432529E-2</v>
      </c>
      <c r="FP85" s="21">
        <f t="shared" ca="1" si="96"/>
        <v>3.7884373128215638E-2</v>
      </c>
      <c r="FQ85" s="21">
        <f t="shared" ca="1" si="96"/>
        <v>3.8055739944968046E-2</v>
      </c>
      <c r="FR85" s="21">
        <f t="shared" ca="1" si="96"/>
        <v>3.4552936777672634E-2</v>
      </c>
      <c r="FS85" s="21">
        <f t="shared" ca="1" si="96"/>
        <v>2.4975488872096677E-2</v>
      </c>
      <c r="FT85" s="21">
        <f t="shared" ca="1" si="96"/>
        <v>2.1655200674210465E-2</v>
      </c>
      <c r="FU85" s="21">
        <f t="shared" ca="1" si="96"/>
        <v>1.6217343898391728E-2</v>
      </c>
      <c r="FV85" s="21">
        <f t="shared" ca="1" si="96"/>
        <v>1.3821970399197893E-2</v>
      </c>
      <c r="FW85" s="21">
        <f t="shared" ca="1" si="96"/>
        <v>2.9400547256203099E-2</v>
      </c>
      <c r="FX85" s="21">
        <f t="shared" ca="1" si="96"/>
        <v>5.2260324726056961E-2</v>
      </c>
      <c r="FY85" s="21">
        <f t="shared" ca="1" si="96"/>
        <v>6.0189398316693413E-2</v>
      </c>
      <c r="FZ85" s="21">
        <f t="shared" ca="1" si="96"/>
        <v>5.7234558642392103E-2</v>
      </c>
      <c r="GA85" s="21">
        <f t="shared" ca="1" si="96"/>
        <v>4.8845228287939711E-2</v>
      </c>
      <c r="GB85" s="21">
        <f t="shared" ca="1" si="96"/>
        <v>3.4319436220225666E-2</v>
      </c>
      <c r="GC85" s="21">
        <f t="shared" ca="1" si="96"/>
        <v>3.6636219277255598E-2</v>
      </c>
      <c r="GD85" s="21">
        <f t="shared" ca="1" si="96"/>
        <v>5.1624915471715674E-2</v>
      </c>
      <c r="GE85" s="21">
        <f t="shared" ca="1" si="96"/>
        <v>5.6990306689899621E-2</v>
      </c>
      <c r="GF85" s="21">
        <f t="shared" ca="1" si="96"/>
        <v>5.4236077055762173E-2</v>
      </c>
      <c r="GG85" s="21">
        <f t="shared" ca="1" si="96"/>
        <v>4.7276758014872355E-2</v>
      </c>
      <c r="GH85" s="21">
        <f t="shared" ca="1" si="96"/>
        <v>3.5262738476008332E-2</v>
      </c>
      <c r="GI85" s="21">
        <f t="shared" ca="1" si="96"/>
        <v>2.4557640981876645E-2</v>
      </c>
      <c r="GJ85" s="21">
        <f t="shared" ca="1" si="96"/>
        <v>2.311168995834207E-2</v>
      </c>
      <c r="GK85" s="21">
        <f t="shared" ca="1" si="96"/>
        <v>2.0471976038064148E-2</v>
      </c>
      <c r="GL85" s="21">
        <f t="shared" ca="1" si="96"/>
        <v>2.2570183457321237E-2</v>
      </c>
      <c r="GM85" s="21">
        <f t="shared" ca="1" si="96"/>
        <v>3.1686422911617856E-2</v>
      </c>
      <c r="GN85" s="21">
        <f t="shared" ca="1" si="96"/>
        <v>5.7744649400447254E-2</v>
      </c>
      <c r="GO85" s="21">
        <f t="shared" ca="1" si="96"/>
        <v>9.001756745057897E-2</v>
      </c>
      <c r="GP85" s="21">
        <f t="shared" ca="1" si="96"/>
        <v>9.0130543908578276E-2</v>
      </c>
      <c r="GQ85" s="21">
        <f t="shared" ca="1" si="96"/>
        <v>0.10034848464941727</v>
      </c>
      <c r="GR85" s="21">
        <f t="shared" ca="1" si="96"/>
        <v>8.4445986622347355E-2</v>
      </c>
      <c r="GS85" s="21">
        <f t="shared" ca="1" si="96"/>
        <v>6.697601639969937E-2</v>
      </c>
      <c r="GT85" s="21">
        <f t="shared" ca="1" si="96"/>
        <v>7.5884054247427141E-2</v>
      </c>
      <c r="GU85" s="21">
        <f t="shared" ca="1" si="96"/>
        <v>6.7534675315438483E-2</v>
      </c>
      <c r="GV85" s="21">
        <f t="shared" ca="1" si="96"/>
        <v>5.8394956206009659E-2</v>
      </c>
      <c r="GW85" s="21">
        <f t="shared" ca="1" si="96"/>
        <v>4.7152545245278191E-2</v>
      </c>
      <c r="GX85" s="21">
        <f t="shared" ca="1" si="96"/>
        <v>3.8626029728407972E-2</v>
      </c>
      <c r="GY85" s="21">
        <f t="shared" ca="1" si="96"/>
        <v>2.8514614739077109E-2</v>
      </c>
      <c r="GZ85" s="21">
        <f t="shared" ca="1" si="96"/>
        <v>3.4385038369483131E-2</v>
      </c>
      <c r="HA85" s="21" t="str">
        <f t="shared" si="96"/>
        <v/>
      </c>
      <c r="HB85" s="21" t="str">
        <f t="shared" si="96"/>
        <v/>
      </c>
      <c r="HC85" s="21" t="str">
        <f t="shared" si="96"/>
        <v/>
      </c>
      <c r="HD85" s="21" t="str">
        <f t="shared" si="96"/>
        <v/>
      </c>
      <c r="HE85" s="21" t="str">
        <f t="shared" si="96"/>
        <v/>
      </c>
      <c r="HF85" s="21" t="str">
        <f t="shared" si="96"/>
        <v/>
      </c>
      <c r="HG85" s="21" t="str">
        <f t="shared" si="96"/>
        <v/>
      </c>
      <c r="HH85" s="21" t="str">
        <f t="shared" si="96"/>
        <v/>
      </c>
      <c r="HI85" s="21" t="str">
        <f t="shared" si="96"/>
        <v/>
      </c>
      <c r="HJ85" s="21" t="str">
        <f t="shared" si="96"/>
        <v/>
      </c>
      <c r="HK85" s="21" t="str">
        <f t="shared" ref="HK85:JH85" si="97">IF(HK5="","",AVERAGE(HG59:HJ59)+CONFIDENCE(0.05,STDEV(GL59:HJ59),COUNT(GL59:HJ59)))</f>
        <v/>
      </c>
      <c r="HL85" s="21" t="str">
        <f t="shared" si="97"/>
        <v/>
      </c>
      <c r="HM85" s="21" t="str">
        <f t="shared" si="97"/>
        <v/>
      </c>
      <c r="HN85" s="21" t="str">
        <f t="shared" si="97"/>
        <v/>
      </c>
      <c r="HO85" s="21" t="str">
        <f t="shared" si="97"/>
        <v/>
      </c>
      <c r="HP85" s="21" t="str">
        <f t="shared" si="97"/>
        <v/>
      </c>
      <c r="HQ85" s="21" t="str">
        <f t="shared" si="97"/>
        <v/>
      </c>
      <c r="HR85" s="21" t="str">
        <f t="shared" si="97"/>
        <v/>
      </c>
      <c r="HS85" s="21" t="str">
        <f t="shared" si="97"/>
        <v/>
      </c>
      <c r="HT85" s="21" t="str">
        <f t="shared" si="97"/>
        <v/>
      </c>
      <c r="HU85" s="21" t="str">
        <f t="shared" si="97"/>
        <v/>
      </c>
      <c r="HV85" s="21" t="str">
        <f t="shared" si="97"/>
        <v/>
      </c>
      <c r="HW85" s="21" t="str">
        <f t="shared" si="97"/>
        <v/>
      </c>
      <c r="HX85" s="21" t="str">
        <f t="shared" si="97"/>
        <v/>
      </c>
      <c r="HY85" s="21" t="str">
        <f t="shared" si="97"/>
        <v/>
      </c>
      <c r="HZ85" s="21" t="str">
        <f t="shared" si="97"/>
        <v/>
      </c>
      <c r="IA85" s="21" t="str">
        <f t="shared" si="97"/>
        <v/>
      </c>
      <c r="IB85" s="21" t="str">
        <f t="shared" si="97"/>
        <v/>
      </c>
      <c r="IC85" s="21" t="str">
        <f t="shared" si="97"/>
        <v/>
      </c>
      <c r="ID85" s="21" t="str">
        <f t="shared" si="97"/>
        <v/>
      </c>
      <c r="IE85" s="21" t="str">
        <f t="shared" si="97"/>
        <v/>
      </c>
      <c r="IF85" s="21" t="str">
        <f t="shared" si="97"/>
        <v/>
      </c>
      <c r="IG85" s="21" t="str">
        <f t="shared" si="97"/>
        <v/>
      </c>
      <c r="IH85" s="21" t="str">
        <f t="shared" si="97"/>
        <v/>
      </c>
      <c r="II85" s="21" t="str">
        <f t="shared" si="97"/>
        <v/>
      </c>
      <c r="IJ85" s="21" t="str">
        <f t="shared" si="97"/>
        <v/>
      </c>
      <c r="IK85" s="21" t="str">
        <f t="shared" si="97"/>
        <v/>
      </c>
      <c r="IL85" s="21" t="str">
        <f t="shared" si="97"/>
        <v/>
      </c>
      <c r="IM85" s="21" t="str">
        <f t="shared" si="97"/>
        <v/>
      </c>
      <c r="IN85" s="21" t="str">
        <f t="shared" si="97"/>
        <v/>
      </c>
      <c r="IO85" s="21" t="str">
        <f t="shared" si="97"/>
        <v/>
      </c>
      <c r="IP85" s="21" t="str">
        <f t="shared" si="97"/>
        <v/>
      </c>
      <c r="IQ85" s="21" t="str">
        <f t="shared" si="97"/>
        <v/>
      </c>
      <c r="IR85" s="21" t="str">
        <f t="shared" si="97"/>
        <v/>
      </c>
      <c r="IS85" s="21" t="str">
        <f t="shared" si="97"/>
        <v/>
      </c>
      <c r="IT85" s="21" t="str">
        <f t="shared" si="97"/>
        <v/>
      </c>
      <c r="IU85" s="21" t="str">
        <f t="shared" si="97"/>
        <v/>
      </c>
      <c r="IV85" s="21" t="str">
        <f t="shared" si="97"/>
        <v/>
      </c>
      <c r="IW85" s="21" t="str">
        <f t="shared" si="97"/>
        <v/>
      </c>
      <c r="IX85" s="21" t="str">
        <f t="shared" si="97"/>
        <v/>
      </c>
      <c r="IY85" s="21" t="str">
        <f t="shared" si="97"/>
        <v/>
      </c>
      <c r="IZ85" s="21" t="str">
        <f t="shared" si="97"/>
        <v/>
      </c>
      <c r="JA85" s="21" t="str">
        <f t="shared" si="97"/>
        <v/>
      </c>
      <c r="JB85" s="21" t="str">
        <f t="shared" si="97"/>
        <v/>
      </c>
      <c r="JC85" s="21" t="str">
        <f t="shared" si="97"/>
        <v/>
      </c>
      <c r="JD85" s="21" t="str">
        <f t="shared" si="97"/>
        <v/>
      </c>
      <c r="JE85" s="21" t="str">
        <f t="shared" si="97"/>
        <v/>
      </c>
      <c r="JF85" s="21" t="str">
        <f t="shared" si="97"/>
        <v/>
      </c>
      <c r="JG85" s="21" t="str">
        <f t="shared" si="97"/>
        <v/>
      </c>
      <c r="JH85" s="21" t="str">
        <f t="shared" si="97"/>
        <v/>
      </c>
    </row>
    <row r="86" spans="1:336" x14ac:dyDescent="0.25"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>
        <f t="shared" ref="AA86:CL86" ca="1" si="98">IF(AA6="","",AVERAGE(V60:Z60)+CONFIDENCE(0.05,STDEV(B60:Z60),COUNT(B60:Z60)))</f>
        <v>3.720068541065135E-2</v>
      </c>
      <c r="AB86" s="21">
        <f t="shared" ca="1" si="98"/>
        <v>3.5791582554745252E-2</v>
      </c>
      <c r="AC86" s="21">
        <f t="shared" ca="1" si="98"/>
        <v>3.4484149721843695E-2</v>
      </c>
      <c r="AD86" s="21">
        <f t="shared" ca="1" si="98"/>
        <v>2.8548377861331437E-2</v>
      </c>
      <c r="AE86" s="21">
        <f t="shared" ca="1" si="98"/>
        <v>2.3495798763440427E-2</v>
      </c>
      <c r="AF86" s="21">
        <f t="shared" ca="1" si="98"/>
        <v>1.7021514472674019E-2</v>
      </c>
      <c r="AG86" s="21">
        <f t="shared" ca="1" si="98"/>
        <v>1.300948236428676E-2</v>
      </c>
      <c r="AH86" s="21">
        <f t="shared" ca="1" si="98"/>
        <v>1.2998237862123257E-2</v>
      </c>
      <c r="AI86" s="21">
        <f t="shared" ca="1" si="98"/>
        <v>2.1454429207035251E-2</v>
      </c>
      <c r="AJ86" s="21">
        <f t="shared" ca="1" si="98"/>
        <v>2.9333691811644698E-2</v>
      </c>
      <c r="AK86" s="21">
        <f t="shared" ca="1" si="98"/>
        <v>3.6329609481710837E-2</v>
      </c>
      <c r="AL86" s="21">
        <f t="shared" ca="1" si="98"/>
        <v>4.2668917333913009E-2</v>
      </c>
      <c r="AM86" s="21">
        <f t="shared" ca="1" si="98"/>
        <v>3.9726932371376006E-2</v>
      </c>
      <c r="AN86" s="21">
        <f t="shared" ca="1" si="98"/>
        <v>3.4841854513756022E-2</v>
      </c>
      <c r="AO86" s="21">
        <f t="shared" ca="1" si="98"/>
        <v>3.245637209417683E-2</v>
      </c>
      <c r="AP86" s="21">
        <f t="shared" ca="1" si="98"/>
        <v>3.7492005800556456E-2</v>
      </c>
      <c r="AQ86" s="21">
        <f t="shared" ca="1" si="98"/>
        <v>4.2177538937215098E-2</v>
      </c>
      <c r="AR86" s="21">
        <f t="shared" ca="1" si="98"/>
        <v>4.9801688960830828E-2</v>
      </c>
      <c r="AS86" s="21">
        <f t="shared" ca="1" si="98"/>
        <v>5.1294455700237142E-2</v>
      </c>
      <c r="AT86" s="21">
        <f t="shared" ca="1" si="98"/>
        <v>4.7680494513450078E-2</v>
      </c>
      <c r="AU86" s="21">
        <f t="shared" ca="1" si="98"/>
        <v>3.6855331513604143E-2</v>
      </c>
      <c r="AV86" s="21">
        <f t="shared" ca="1" si="98"/>
        <v>2.9758909732364835E-2</v>
      </c>
      <c r="AW86" s="21">
        <f t="shared" ca="1" si="98"/>
        <v>3.3496896292377641E-2</v>
      </c>
      <c r="AX86" s="21">
        <f t="shared" ca="1" si="98"/>
        <v>4.0084011967365364E-2</v>
      </c>
      <c r="AY86" s="21">
        <f t="shared" ca="1" si="98"/>
        <v>5.9975860049782885E-2</v>
      </c>
      <c r="AZ86" s="21">
        <f t="shared" ca="1" si="98"/>
        <v>8.4764560273143427E-2</v>
      </c>
      <c r="BA86" s="21">
        <f t="shared" ca="1" si="98"/>
        <v>0.10365611944522075</v>
      </c>
      <c r="BB86" s="21">
        <f t="shared" ca="1" si="98"/>
        <v>0.11913990778404397</v>
      </c>
      <c r="BC86" s="21">
        <f t="shared" ca="1" si="98"/>
        <v>0.13168032114973618</v>
      </c>
      <c r="BD86" s="21">
        <f t="shared" ca="1" si="98"/>
        <v>0.12817452263858173</v>
      </c>
      <c r="BE86" s="21">
        <f t="shared" ca="1" si="98"/>
        <v>0.13096456128424597</v>
      </c>
      <c r="BF86" s="21">
        <f t="shared" ca="1" si="98"/>
        <v>0.13521020541177275</v>
      </c>
      <c r="BG86" s="21">
        <f t="shared" ca="1" si="98"/>
        <v>0.13782768227629158</v>
      </c>
      <c r="BH86" s="21">
        <f t="shared" ca="1" si="98"/>
        <v>0.1430521400550501</v>
      </c>
      <c r="BI86" s="21">
        <f t="shared" ca="1" si="98"/>
        <v>0.1388542114030987</v>
      </c>
      <c r="BJ86" s="21">
        <f t="shared" ca="1" si="98"/>
        <v>0.12081275958419896</v>
      </c>
      <c r="BK86" s="21">
        <f t="shared" ca="1" si="98"/>
        <v>9.7188069570560767E-2</v>
      </c>
      <c r="BL86" s="21">
        <f t="shared" ca="1" si="98"/>
        <v>7.446488563796172E-2</v>
      </c>
      <c r="BM86" s="21">
        <f t="shared" ca="1" si="98"/>
        <v>5.6917909800207583E-2</v>
      </c>
      <c r="BN86" s="21">
        <f t="shared" ca="1" si="98"/>
        <v>7.0794101674263366E-2</v>
      </c>
      <c r="BO86" s="21">
        <f t="shared" ca="1" si="98"/>
        <v>9.1192062060014914E-2</v>
      </c>
      <c r="BP86" s="21">
        <f t="shared" ca="1" si="98"/>
        <v>0.12054269174951704</v>
      </c>
      <c r="BQ86" s="21">
        <f t="shared" ca="1" si="98"/>
        <v>0.12503889357342407</v>
      </c>
      <c r="BR86" s="21">
        <f t="shared" ca="1" si="98"/>
        <v>0.11661894771825193</v>
      </c>
      <c r="BS86" s="21">
        <f t="shared" ca="1" si="98"/>
        <v>9.0815271132415679E-2</v>
      </c>
      <c r="BT86" s="21">
        <f t="shared" ca="1" si="98"/>
        <v>6.6083869571032836E-2</v>
      </c>
      <c r="BU86" s="21">
        <f t="shared" ca="1" si="98"/>
        <v>4.6842555728148688E-2</v>
      </c>
      <c r="BV86" s="21">
        <f t="shared" ca="1" si="98"/>
        <v>3.8799554692002636E-2</v>
      </c>
      <c r="BW86" s="21">
        <f t="shared" ca="1" si="98"/>
        <v>3.9095409802745285E-2</v>
      </c>
      <c r="BX86" s="21">
        <f t="shared" ca="1" si="98"/>
        <v>4.1052455770198566E-2</v>
      </c>
      <c r="BY86" s="21">
        <f t="shared" ca="1" si="98"/>
        <v>4.2865564258163735E-2</v>
      </c>
      <c r="BZ86" s="21">
        <f t="shared" ca="1" si="98"/>
        <v>3.9030540132547337E-2</v>
      </c>
      <c r="CA86" s="21">
        <f t="shared" ca="1" si="98"/>
        <v>4.2682582734295427E-2</v>
      </c>
      <c r="CB86" s="21">
        <f t="shared" ca="1" si="98"/>
        <v>4.7997736933042094E-2</v>
      </c>
      <c r="CC86" s="21">
        <f t="shared" ca="1" si="98"/>
        <v>4.8275610428662734E-2</v>
      </c>
      <c r="CD86" s="21">
        <f t="shared" ca="1" si="98"/>
        <v>4.3537023574395046E-2</v>
      </c>
      <c r="CE86" s="21">
        <f t="shared" ca="1" si="98"/>
        <v>3.9964757189151601E-2</v>
      </c>
      <c r="CF86" s="21">
        <f t="shared" ca="1" si="98"/>
        <v>3.6840037592689806E-2</v>
      </c>
      <c r="CG86" s="21">
        <f t="shared" ca="1" si="98"/>
        <v>3.2365243864212412E-2</v>
      </c>
      <c r="CH86" s="21">
        <f t="shared" ca="1" si="98"/>
        <v>3.6880070642158952E-2</v>
      </c>
      <c r="CI86" s="21">
        <f t="shared" ca="1" si="98"/>
        <v>3.7190654145015219E-2</v>
      </c>
      <c r="CJ86" s="21">
        <f t="shared" ca="1" si="98"/>
        <v>3.4652500647069505E-2</v>
      </c>
      <c r="CK86" s="21">
        <f t="shared" ca="1" si="98"/>
        <v>3.2298166644966715E-2</v>
      </c>
      <c r="CL86" s="21">
        <f t="shared" ca="1" si="98"/>
        <v>3.5472273801852347E-2</v>
      </c>
      <c r="CM86" s="21">
        <f t="shared" ref="CM86:EX86" ca="1" si="99">IF(CM6="","",AVERAGE(CH60:CL60)+CONFIDENCE(0.05,STDEV(BN60:CL60),COUNT(BN60:CL60)))</f>
        <v>3.2028254221340632E-2</v>
      </c>
      <c r="CN86" s="21">
        <f t="shared" ca="1" si="99"/>
        <v>3.1003465262462622E-2</v>
      </c>
      <c r="CO86" s="21">
        <f t="shared" ca="1" si="99"/>
        <v>2.4880914177969667E-2</v>
      </c>
      <c r="CP86" s="21">
        <f t="shared" ca="1" si="99"/>
        <v>2.4880677650504345E-2</v>
      </c>
      <c r="CQ86" s="21">
        <f t="shared" ca="1" si="99"/>
        <v>1.7708409328216993E-2</v>
      </c>
      <c r="CR86" s="21">
        <f t="shared" ca="1" si="99"/>
        <v>1.2312786443413031E-2</v>
      </c>
      <c r="CS86" s="21">
        <f t="shared" ca="1" si="99"/>
        <v>1.260318429435095E-2</v>
      </c>
      <c r="CT86" s="21">
        <f t="shared" ca="1" si="99"/>
        <v>1.205008433462048E-2</v>
      </c>
      <c r="CU86" s="21">
        <f t="shared" ca="1" si="99"/>
        <v>2.3448841898482682E-2</v>
      </c>
      <c r="CV86" s="21">
        <f t="shared" ca="1" si="99"/>
        <v>3.0194522645013135E-2</v>
      </c>
      <c r="CW86" s="21">
        <f t="shared" ca="1" si="99"/>
        <v>3.2047622284929141E-2</v>
      </c>
      <c r="CX86" s="21">
        <f t="shared" ca="1" si="99"/>
        <v>3.3129944788465072E-2</v>
      </c>
      <c r="CY86" s="21">
        <f t="shared" ca="1" si="99"/>
        <v>3.0980485243782448E-2</v>
      </c>
      <c r="CZ86" s="21">
        <f t="shared" ca="1" si="99"/>
        <v>2.6014925085802158E-2</v>
      </c>
      <c r="DA86" s="21">
        <f t="shared" ca="1" si="99"/>
        <v>1.9913681698642431E-2</v>
      </c>
      <c r="DB86" s="21">
        <f t="shared" ca="1" si="99"/>
        <v>2.2752768349427466E-2</v>
      </c>
      <c r="DC86" s="21">
        <f t="shared" ca="1" si="99"/>
        <v>2.4901035520831682E-2</v>
      </c>
      <c r="DD86" s="21">
        <f t="shared" ca="1" si="99"/>
        <v>2.8584354394430325E-2</v>
      </c>
      <c r="DE86" s="21">
        <f t="shared" ca="1" si="99"/>
        <v>2.7609083970440554E-2</v>
      </c>
      <c r="DF86" s="21">
        <f t="shared" ca="1" si="99"/>
        <v>3.8752864812529167E-2</v>
      </c>
      <c r="DG86" s="21">
        <f t="shared" ca="1" si="99"/>
        <v>4.2741366017741464E-2</v>
      </c>
      <c r="DH86" s="21">
        <f t="shared" ca="1" si="99"/>
        <v>4.8546946103855265E-2</v>
      </c>
      <c r="DI86" s="21">
        <f t="shared" ca="1" si="99"/>
        <v>5.2913096191628095E-2</v>
      </c>
      <c r="DJ86" s="21">
        <f t="shared" ca="1" si="99"/>
        <v>5.698148904163873E-2</v>
      </c>
      <c r="DK86" s="21">
        <f t="shared" ca="1" si="99"/>
        <v>4.7468364800057138E-2</v>
      </c>
      <c r="DL86" s="21">
        <f t="shared" ca="1" si="99"/>
        <v>4.8143659984903969E-2</v>
      </c>
      <c r="DM86" s="21">
        <f t="shared" ca="1" si="99"/>
        <v>3.680422077218759E-2</v>
      </c>
      <c r="DN86" s="21">
        <f t="shared" ca="1" si="99"/>
        <v>2.9387013350752101E-2</v>
      </c>
      <c r="DO86" s="21">
        <f t="shared" ca="1" si="99"/>
        <v>2.7065812104169557E-2</v>
      </c>
      <c r="DP86" s="21">
        <f t="shared" ca="1" si="99"/>
        <v>2.5139329192323825E-2</v>
      </c>
      <c r="DQ86" s="21">
        <f t="shared" ca="1" si="99"/>
        <v>2.3006822875160718E-2</v>
      </c>
      <c r="DR86" s="21">
        <f t="shared" ca="1" si="99"/>
        <v>3.0404493340456525E-2</v>
      </c>
      <c r="DS86" s="21">
        <f t="shared" ca="1" si="99"/>
        <v>3.0375496131458318E-2</v>
      </c>
      <c r="DT86" s="21">
        <f t="shared" ca="1" si="99"/>
        <v>2.4714235252306951E-2</v>
      </c>
      <c r="DU86" s="21">
        <f t="shared" ca="1" si="99"/>
        <v>2.5525403181579302E-2</v>
      </c>
      <c r="DV86" s="21">
        <f t="shared" ca="1" si="99"/>
        <v>2.0909784175261729E-2</v>
      </c>
      <c r="DW86" s="21">
        <f t="shared" ca="1" si="99"/>
        <v>1.5562193445833535E-2</v>
      </c>
      <c r="DX86" s="21">
        <f t="shared" ca="1" si="99"/>
        <v>1.8014261250649061E-2</v>
      </c>
      <c r="DY86" s="21">
        <f t="shared" ca="1" si="99"/>
        <v>1.6693188855273794E-2</v>
      </c>
      <c r="DZ86" s="21">
        <f t="shared" ca="1" si="99"/>
        <v>2.0153845358878784E-2</v>
      </c>
      <c r="EA86" s="21">
        <f t="shared" ca="1" si="99"/>
        <v>1.8213453347744296E-2</v>
      </c>
      <c r="EB86" s="21">
        <f t="shared" ca="1" si="99"/>
        <v>1.6851012045495217E-2</v>
      </c>
      <c r="EC86" s="21">
        <f t="shared" ca="1" si="99"/>
        <v>1.7153317859897974E-2</v>
      </c>
      <c r="ED86" s="21">
        <f t="shared" ca="1" si="99"/>
        <v>1.82090867997294E-2</v>
      </c>
      <c r="EE86" s="21">
        <f t="shared" ca="1" si="99"/>
        <v>2.0521844300019659E-2</v>
      </c>
      <c r="EF86" s="21">
        <f t="shared" ca="1" si="99"/>
        <v>2.7748161889215785E-2</v>
      </c>
      <c r="EG86" s="21">
        <f t="shared" ca="1" si="99"/>
        <v>3.0009156617752816E-2</v>
      </c>
      <c r="EH86" s="21">
        <f t="shared" ca="1" si="99"/>
        <v>2.6612162651052602E-2</v>
      </c>
      <c r="EI86" s="21">
        <f t="shared" ca="1" si="99"/>
        <v>3.7123194498459168E-2</v>
      </c>
      <c r="EJ86" s="21">
        <f t="shared" ca="1" si="99"/>
        <v>4.1249642562976314E-2</v>
      </c>
      <c r="EK86" s="21">
        <f t="shared" ca="1" si="99"/>
        <v>4.4199099413970266E-2</v>
      </c>
      <c r="EL86" s="21">
        <f t="shared" ca="1" si="99"/>
        <v>4.3607576652180811E-2</v>
      </c>
      <c r="EM86" s="21">
        <f t="shared" ca="1" si="99"/>
        <v>4.3789905649700644E-2</v>
      </c>
      <c r="EN86" s="21">
        <f t="shared" ca="1" si="99"/>
        <v>3.3422119909386795E-2</v>
      </c>
      <c r="EO86" s="21">
        <f t="shared" ca="1" si="99"/>
        <v>2.6671484107918086E-2</v>
      </c>
      <c r="EP86" s="21">
        <f t="shared" ca="1" si="99"/>
        <v>1.7291849529288004E-2</v>
      </c>
      <c r="EQ86" s="21">
        <f t="shared" ca="1" si="99"/>
        <v>1.8516677651881946E-2</v>
      </c>
      <c r="ER86" s="21">
        <f t="shared" ca="1" si="99"/>
        <v>2.7481878496771958E-2</v>
      </c>
      <c r="ES86" s="21">
        <f t="shared" ca="1" si="99"/>
        <v>3.7894700823665216E-2</v>
      </c>
      <c r="ET86" s="21">
        <f t="shared" ca="1" si="99"/>
        <v>3.9665375664421937E-2</v>
      </c>
      <c r="EU86" s="21">
        <f t="shared" ca="1" si="99"/>
        <v>3.9417280939467357E-2</v>
      </c>
      <c r="EV86" s="21">
        <f t="shared" ca="1" si="99"/>
        <v>3.9870295406437974E-2</v>
      </c>
      <c r="EW86" s="21">
        <f t="shared" ca="1" si="99"/>
        <v>4.0211754454079665E-2</v>
      </c>
      <c r="EX86" s="21">
        <f t="shared" ca="1" si="99"/>
        <v>3.6669834647597127E-2</v>
      </c>
      <c r="EY86" s="21">
        <f t="shared" ref="EY86:HJ86" ca="1" si="100">IF(EY6="","",AVERAGE(ET60:EX60)+CONFIDENCE(0.05,STDEV(DZ60:EX60),COUNT(DZ60:EX60)))</f>
        <v>3.3021841427005233E-2</v>
      </c>
      <c r="EZ86" s="21">
        <f t="shared" ca="1" si="100"/>
        <v>3.4298068416694652E-2</v>
      </c>
      <c r="FA86" s="21">
        <f t="shared" ca="1" si="100"/>
        <v>2.9502266501122879E-2</v>
      </c>
      <c r="FB86" s="21">
        <f t="shared" ca="1" si="100"/>
        <v>2.652031517657388E-2</v>
      </c>
      <c r="FC86" s="21">
        <f t="shared" ca="1" si="100"/>
        <v>2.1809901203403582E-2</v>
      </c>
      <c r="FD86" s="21">
        <f t="shared" ca="1" si="100"/>
        <v>2.4168377872488926E-2</v>
      </c>
      <c r="FE86" s="21">
        <f t="shared" ca="1" si="100"/>
        <v>2.435925432727359E-2</v>
      </c>
      <c r="FF86" s="21">
        <f t="shared" ca="1" si="100"/>
        <v>2.8798258796695987E-2</v>
      </c>
      <c r="FG86" s="21">
        <f t="shared" ca="1" si="100"/>
        <v>2.5251109574718031E-2</v>
      </c>
      <c r="FH86" s="21">
        <f t="shared" ca="1" si="100"/>
        <v>2.3683884814439525E-2</v>
      </c>
      <c r="FI86" s="21">
        <f t="shared" ca="1" si="100"/>
        <v>2.1963986809108361E-2</v>
      </c>
      <c r="FJ86" s="21">
        <f t="shared" ca="1" si="100"/>
        <v>2.5994482682192024E-2</v>
      </c>
      <c r="FK86" s="21">
        <f t="shared" ca="1" si="100"/>
        <v>2.5098235363381776E-2</v>
      </c>
      <c r="FL86" s="21">
        <f t="shared" ca="1" si="100"/>
        <v>2.9933190630384625E-2</v>
      </c>
      <c r="FM86" s="21">
        <f t="shared" ca="1" si="100"/>
        <v>3.5096527836793914E-2</v>
      </c>
      <c r="FN86" s="21">
        <f t="shared" ca="1" si="100"/>
        <v>4.2980593809797019E-2</v>
      </c>
      <c r="FO86" s="21">
        <f t="shared" ca="1" si="100"/>
        <v>4.6943957686119211E-2</v>
      </c>
      <c r="FP86" s="21">
        <f t="shared" ca="1" si="100"/>
        <v>4.8213685396100596E-2</v>
      </c>
      <c r="FQ86" s="21">
        <f t="shared" ca="1" si="100"/>
        <v>4.8748782852638804E-2</v>
      </c>
      <c r="FR86" s="21">
        <f t="shared" ca="1" si="100"/>
        <v>4.4121393318677919E-2</v>
      </c>
      <c r="FS86" s="21">
        <f t="shared" ca="1" si="100"/>
        <v>3.4267109961076847E-2</v>
      </c>
      <c r="FT86" s="21">
        <f t="shared" ca="1" si="100"/>
        <v>2.4439679101131942E-2</v>
      </c>
      <c r="FU86" s="21">
        <f t="shared" ca="1" si="100"/>
        <v>2.7917663363558061E-2</v>
      </c>
      <c r="FV86" s="21">
        <f t="shared" ca="1" si="100"/>
        <v>3.0980859678131602E-2</v>
      </c>
      <c r="FW86" s="21">
        <f t="shared" ca="1" si="100"/>
        <v>4.5880946202091419E-2</v>
      </c>
      <c r="FX86" s="21">
        <f t="shared" ca="1" si="100"/>
        <v>6.197822024216762E-2</v>
      </c>
      <c r="FY86" s="21">
        <f t="shared" ca="1" si="100"/>
        <v>6.9577939268279501E-2</v>
      </c>
      <c r="FZ86" s="21">
        <f t="shared" ca="1" si="100"/>
        <v>6.2137111416497075E-2</v>
      </c>
      <c r="GA86" s="21">
        <f t="shared" ca="1" si="100"/>
        <v>6.0823984242603178E-2</v>
      </c>
      <c r="GB86" s="21">
        <f t="shared" ca="1" si="100"/>
        <v>5.5868910702341956E-2</v>
      </c>
      <c r="GC86" s="21">
        <f t="shared" ca="1" si="100"/>
        <v>5.4906924295600915E-2</v>
      </c>
      <c r="GD86" s="21">
        <f t="shared" ca="1" si="100"/>
        <v>6.303780561359551E-2</v>
      </c>
      <c r="GE86" s="21">
        <f t="shared" ca="1" si="100"/>
        <v>7.3032867099123586E-2</v>
      </c>
      <c r="GF86" s="21">
        <f t="shared" ca="1" si="100"/>
        <v>7.1549043352503033E-2</v>
      </c>
      <c r="GG86" s="21">
        <f t="shared" ca="1" si="100"/>
        <v>6.4352582913625056E-2</v>
      </c>
      <c r="GH86" s="21">
        <f t="shared" ca="1" si="100"/>
        <v>5.198001997252498E-2</v>
      </c>
      <c r="GI86" s="21">
        <f t="shared" ca="1" si="100"/>
        <v>3.6338390733990082E-2</v>
      </c>
      <c r="GJ86" s="21">
        <f t="shared" ca="1" si="100"/>
        <v>2.7698280529465803E-2</v>
      </c>
      <c r="GK86" s="21">
        <f t="shared" ca="1" si="100"/>
        <v>2.7374346286950395E-2</v>
      </c>
      <c r="GL86" s="21">
        <f t="shared" ca="1" si="100"/>
        <v>3.0511627101924305E-2</v>
      </c>
      <c r="GM86" s="21">
        <f t="shared" ca="1" si="100"/>
        <v>5.117751208019844E-2</v>
      </c>
      <c r="GN86" s="21">
        <f t="shared" ca="1" si="100"/>
        <v>7.2503710069528104E-2</v>
      </c>
      <c r="GO86" s="21">
        <f t="shared" ca="1" si="100"/>
        <v>9.7916731118850617E-2</v>
      </c>
      <c r="GP86" s="21">
        <f t="shared" ca="1" si="100"/>
        <v>9.3552392613635738E-2</v>
      </c>
      <c r="GQ86" s="21">
        <f t="shared" ca="1" si="100"/>
        <v>0.10901796942892619</v>
      </c>
      <c r="GR86" s="21">
        <f t="shared" ca="1" si="100"/>
        <v>0.10550272868023988</v>
      </c>
      <c r="GS86" s="21">
        <f t="shared" ca="1" si="100"/>
        <v>9.9402086547377533E-2</v>
      </c>
      <c r="GT86" s="21">
        <f t="shared" ca="1" si="100"/>
        <v>8.7816596114222267E-2</v>
      </c>
      <c r="GU86" s="21">
        <f t="shared" ca="1" si="100"/>
        <v>9.1463154763294502E-2</v>
      </c>
      <c r="GV86" s="21">
        <f t="shared" ca="1" si="100"/>
        <v>7.1648235376496644E-2</v>
      </c>
      <c r="GW86" s="21">
        <f t="shared" ca="1" si="100"/>
        <v>6.3691039196883459E-2</v>
      </c>
      <c r="GX86" s="21">
        <f t="shared" ca="1" si="100"/>
        <v>5.554196541176773E-2</v>
      </c>
      <c r="GY86" s="21">
        <f t="shared" ca="1" si="100"/>
        <v>3.9503770231214347E-2</v>
      </c>
      <c r="GZ86" s="21">
        <f t="shared" ca="1" si="100"/>
        <v>2.7740925413714292E-2</v>
      </c>
      <c r="HA86" s="21" t="str">
        <f t="shared" si="100"/>
        <v/>
      </c>
      <c r="HB86" s="21" t="str">
        <f t="shared" si="100"/>
        <v/>
      </c>
      <c r="HC86" s="21" t="str">
        <f t="shared" si="100"/>
        <v/>
      </c>
      <c r="HD86" s="21" t="str">
        <f t="shared" si="100"/>
        <v/>
      </c>
      <c r="HE86" s="21" t="str">
        <f t="shared" si="100"/>
        <v/>
      </c>
      <c r="HF86" s="21" t="str">
        <f t="shared" si="100"/>
        <v/>
      </c>
      <c r="HG86" s="21" t="str">
        <f t="shared" si="100"/>
        <v/>
      </c>
      <c r="HH86" s="21" t="str">
        <f t="shared" si="100"/>
        <v/>
      </c>
      <c r="HI86" s="21" t="str">
        <f t="shared" si="100"/>
        <v/>
      </c>
      <c r="HJ86" s="21" t="str">
        <f t="shared" si="100"/>
        <v/>
      </c>
      <c r="HK86" s="21" t="str">
        <f t="shared" ref="HK86:JH86" si="101">IF(HK6="","",AVERAGE(HF60:HJ60)+CONFIDENCE(0.05,STDEV(GL60:HJ60),COUNT(GL60:HJ60)))</f>
        <v/>
      </c>
      <c r="HL86" s="21" t="str">
        <f t="shared" si="101"/>
        <v/>
      </c>
      <c r="HM86" s="21" t="str">
        <f t="shared" si="101"/>
        <v/>
      </c>
      <c r="HN86" s="21" t="str">
        <f t="shared" si="101"/>
        <v/>
      </c>
      <c r="HO86" s="21" t="str">
        <f t="shared" si="101"/>
        <v/>
      </c>
      <c r="HP86" s="21" t="str">
        <f t="shared" si="101"/>
        <v/>
      </c>
      <c r="HQ86" s="21" t="str">
        <f t="shared" si="101"/>
        <v/>
      </c>
      <c r="HR86" s="21" t="str">
        <f t="shared" si="101"/>
        <v/>
      </c>
      <c r="HS86" s="21" t="str">
        <f t="shared" si="101"/>
        <v/>
      </c>
      <c r="HT86" s="21" t="str">
        <f t="shared" si="101"/>
        <v/>
      </c>
      <c r="HU86" s="21" t="str">
        <f t="shared" si="101"/>
        <v/>
      </c>
      <c r="HV86" s="21" t="str">
        <f t="shared" si="101"/>
        <v/>
      </c>
      <c r="HW86" s="21" t="str">
        <f t="shared" si="101"/>
        <v/>
      </c>
      <c r="HX86" s="21" t="str">
        <f t="shared" si="101"/>
        <v/>
      </c>
      <c r="HY86" s="21" t="str">
        <f t="shared" si="101"/>
        <v/>
      </c>
      <c r="HZ86" s="21" t="str">
        <f t="shared" si="101"/>
        <v/>
      </c>
      <c r="IA86" s="21" t="str">
        <f t="shared" si="101"/>
        <v/>
      </c>
      <c r="IB86" s="21" t="str">
        <f t="shared" si="101"/>
        <v/>
      </c>
      <c r="IC86" s="21" t="str">
        <f t="shared" si="101"/>
        <v/>
      </c>
      <c r="ID86" s="21" t="str">
        <f t="shared" si="101"/>
        <v/>
      </c>
      <c r="IE86" s="21" t="str">
        <f t="shared" si="101"/>
        <v/>
      </c>
      <c r="IF86" s="21" t="str">
        <f t="shared" si="101"/>
        <v/>
      </c>
      <c r="IG86" s="21" t="str">
        <f t="shared" si="101"/>
        <v/>
      </c>
      <c r="IH86" s="21" t="str">
        <f t="shared" si="101"/>
        <v/>
      </c>
      <c r="II86" s="21" t="str">
        <f t="shared" si="101"/>
        <v/>
      </c>
      <c r="IJ86" s="21" t="str">
        <f t="shared" si="101"/>
        <v/>
      </c>
      <c r="IK86" s="21" t="str">
        <f t="shared" si="101"/>
        <v/>
      </c>
      <c r="IL86" s="21" t="str">
        <f t="shared" si="101"/>
        <v/>
      </c>
      <c r="IM86" s="21" t="str">
        <f t="shared" si="101"/>
        <v/>
      </c>
      <c r="IN86" s="21" t="str">
        <f t="shared" si="101"/>
        <v/>
      </c>
      <c r="IO86" s="21" t="str">
        <f t="shared" si="101"/>
        <v/>
      </c>
      <c r="IP86" s="21" t="str">
        <f t="shared" si="101"/>
        <v/>
      </c>
      <c r="IQ86" s="21" t="str">
        <f t="shared" si="101"/>
        <v/>
      </c>
      <c r="IR86" s="21" t="str">
        <f t="shared" si="101"/>
        <v/>
      </c>
      <c r="IS86" s="21" t="str">
        <f t="shared" si="101"/>
        <v/>
      </c>
      <c r="IT86" s="21" t="str">
        <f t="shared" si="101"/>
        <v/>
      </c>
      <c r="IU86" s="21" t="str">
        <f t="shared" si="101"/>
        <v/>
      </c>
      <c r="IV86" s="21" t="str">
        <f t="shared" si="101"/>
        <v/>
      </c>
      <c r="IW86" s="21" t="str">
        <f t="shared" si="101"/>
        <v/>
      </c>
      <c r="IX86" s="21" t="str">
        <f t="shared" si="101"/>
        <v/>
      </c>
      <c r="IY86" s="21" t="str">
        <f t="shared" si="101"/>
        <v/>
      </c>
      <c r="IZ86" s="21" t="str">
        <f t="shared" si="101"/>
        <v/>
      </c>
      <c r="JA86" s="21" t="str">
        <f t="shared" si="101"/>
        <v/>
      </c>
      <c r="JB86" s="21" t="str">
        <f t="shared" si="101"/>
        <v/>
      </c>
      <c r="JC86" s="21" t="str">
        <f t="shared" si="101"/>
        <v/>
      </c>
      <c r="JD86" s="21" t="str">
        <f t="shared" si="101"/>
        <v/>
      </c>
      <c r="JE86" s="21" t="str">
        <f t="shared" si="101"/>
        <v/>
      </c>
      <c r="JF86" s="21" t="str">
        <f t="shared" si="101"/>
        <v/>
      </c>
      <c r="JG86" s="21" t="str">
        <f t="shared" si="101"/>
        <v/>
      </c>
      <c r="JH86" s="21" t="str">
        <f t="shared" si="101"/>
        <v/>
      </c>
    </row>
    <row r="87" spans="1:336" x14ac:dyDescent="0.25"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>
        <f t="shared" ref="AA87:CL87" ca="1" si="102">IF(AA7="","",AVERAGE(U61:Z61)+CONFIDENCE(0.05,STDEV(B61:Z61),COUNT(B61:Z61)))</f>
        <v>3.8961725122270634E-2</v>
      </c>
      <c r="AB87" s="21">
        <f t="shared" ca="1" si="102"/>
        <v>3.8380128388437684E-2</v>
      </c>
      <c r="AC87" s="21">
        <f t="shared" ca="1" si="102"/>
        <v>3.5904494317240014E-2</v>
      </c>
      <c r="AD87" s="21">
        <f t="shared" ca="1" si="102"/>
        <v>3.207726970545182E-2</v>
      </c>
      <c r="AE87" s="21">
        <f t="shared" ca="1" si="102"/>
        <v>2.6123051152617434E-2</v>
      </c>
      <c r="AF87" s="21">
        <f t="shared" ca="1" si="102"/>
        <v>1.7887597372302527E-2</v>
      </c>
      <c r="AG87" s="21">
        <f t="shared" ca="1" si="102"/>
        <v>1.5612791713837051E-2</v>
      </c>
      <c r="AH87" s="21">
        <f t="shared" ca="1" si="102"/>
        <v>1.9646661541642248E-2</v>
      </c>
      <c r="AI87" s="21">
        <f t="shared" ca="1" si="102"/>
        <v>2.585630266753795E-2</v>
      </c>
      <c r="AJ87" s="21">
        <f t="shared" ca="1" si="102"/>
        <v>3.3714298729764981E-2</v>
      </c>
      <c r="AK87" s="21">
        <f t="shared" ca="1" si="102"/>
        <v>3.9793444039932339E-2</v>
      </c>
      <c r="AL87" s="21">
        <f t="shared" ca="1" si="102"/>
        <v>4.1671361027785882E-2</v>
      </c>
      <c r="AM87" s="21">
        <f t="shared" ca="1" si="102"/>
        <v>4.1126158276763546E-2</v>
      </c>
      <c r="AN87" s="21">
        <f t="shared" ca="1" si="102"/>
        <v>3.9552471030156508E-2</v>
      </c>
      <c r="AO87" s="21">
        <f t="shared" ca="1" si="102"/>
        <v>4.2308497909088937E-2</v>
      </c>
      <c r="AP87" s="21">
        <f t="shared" ca="1" si="102"/>
        <v>4.6648480762480703E-2</v>
      </c>
      <c r="AQ87" s="21">
        <f t="shared" ca="1" si="102"/>
        <v>4.773564805836835E-2</v>
      </c>
      <c r="AR87" s="21">
        <f t="shared" ca="1" si="102"/>
        <v>5.2322623326527234E-2</v>
      </c>
      <c r="AS87" s="21">
        <f t="shared" ca="1" si="102"/>
        <v>5.5345105962680795E-2</v>
      </c>
      <c r="AT87" s="21">
        <f t="shared" ca="1" si="102"/>
        <v>5.0685533424515802E-2</v>
      </c>
      <c r="AU87" s="21">
        <f t="shared" ca="1" si="102"/>
        <v>4.3900362351209588E-2</v>
      </c>
      <c r="AV87" s="21">
        <f t="shared" ca="1" si="102"/>
        <v>4.1312120543806091E-2</v>
      </c>
      <c r="AW87" s="21">
        <f t="shared" ca="1" si="102"/>
        <v>4.4459472159375527E-2</v>
      </c>
      <c r="AX87" s="21">
        <f t="shared" ca="1" si="102"/>
        <v>5.5028174407179206E-2</v>
      </c>
      <c r="AY87" s="21">
        <f t="shared" ca="1" si="102"/>
        <v>7.630462621635771E-2</v>
      </c>
      <c r="AZ87" s="21">
        <f t="shared" ca="1" si="102"/>
        <v>0.10162802870502075</v>
      </c>
      <c r="BA87" s="21">
        <f t="shared" ca="1" si="102"/>
        <v>0.12282049803272152</v>
      </c>
      <c r="BB87" s="21">
        <f t="shared" ca="1" si="102"/>
        <v>0.14093152826496452</v>
      </c>
      <c r="BC87" s="21">
        <f t="shared" ca="1" si="102"/>
        <v>0.1521088655399645</v>
      </c>
      <c r="BD87" s="21">
        <f t="shared" ca="1" si="102"/>
        <v>0.16609949136538418</v>
      </c>
      <c r="BE87" s="21">
        <f t="shared" ca="1" si="102"/>
        <v>0.17274455060854249</v>
      </c>
      <c r="BF87" s="21">
        <f t="shared" ca="1" si="102"/>
        <v>0.17443112506173386</v>
      </c>
      <c r="BG87" s="21">
        <f t="shared" ca="1" si="102"/>
        <v>0.17462807273149988</v>
      </c>
      <c r="BH87" s="21">
        <f t="shared" ca="1" si="102"/>
        <v>0.17758565062393888</v>
      </c>
      <c r="BI87" s="21">
        <f t="shared" ca="1" si="102"/>
        <v>0.1706826892498961</v>
      </c>
      <c r="BJ87" s="21">
        <f t="shared" ca="1" si="102"/>
        <v>0.14986709904546533</v>
      </c>
      <c r="BK87" s="21">
        <f t="shared" ca="1" si="102"/>
        <v>0.12393314415881518</v>
      </c>
      <c r="BL87" s="21">
        <f t="shared" ca="1" si="102"/>
        <v>0.10203803962877042</v>
      </c>
      <c r="BM87" s="21">
        <f t="shared" ca="1" si="102"/>
        <v>9.5047901709317512E-2</v>
      </c>
      <c r="BN87" s="21">
        <f t="shared" ca="1" si="102"/>
        <v>9.4142780174084423E-2</v>
      </c>
      <c r="BO87" s="21">
        <f t="shared" ca="1" si="102"/>
        <v>0.11265506408565225</v>
      </c>
      <c r="BP87" s="21">
        <f t="shared" ca="1" si="102"/>
        <v>0.12565895642546132</v>
      </c>
      <c r="BQ87" s="21">
        <f t="shared" ca="1" si="102"/>
        <v>0.13680824128344926</v>
      </c>
      <c r="BR87" s="21">
        <f t="shared" ca="1" si="102"/>
        <v>0.13520077106143774</v>
      </c>
      <c r="BS87" s="21">
        <f t="shared" ca="1" si="102"/>
        <v>0.1228212174959369</v>
      </c>
      <c r="BT87" s="21">
        <f t="shared" ca="1" si="102"/>
        <v>9.9738133022157976E-2</v>
      </c>
      <c r="BU87" s="21">
        <f t="shared" ca="1" si="102"/>
        <v>7.7434538008136045E-2</v>
      </c>
      <c r="BV87" s="21">
        <f t="shared" ca="1" si="102"/>
        <v>5.7733067996640852E-2</v>
      </c>
      <c r="BW87" s="21">
        <f t="shared" ca="1" si="102"/>
        <v>4.658411962001284E-2</v>
      </c>
      <c r="BX87" s="21">
        <f t="shared" ca="1" si="102"/>
        <v>4.8867657258220135E-2</v>
      </c>
      <c r="BY87" s="21">
        <f t="shared" ca="1" si="102"/>
        <v>5.1020303363241398E-2</v>
      </c>
      <c r="BZ87" s="21">
        <f t="shared" ca="1" si="102"/>
        <v>5.4460402682657102E-2</v>
      </c>
      <c r="CA87" s="21">
        <f t="shared" ca="1" si="102"/>
        <v>5.3804993719954758E-2</v>
      </c>
      <c r="CB87" s="21">
        <f t="shared" ca="1" si="102"/>
        <v>5.8031530328160212E-2</v>
      </c>
      <c r="CC87" s="21">
        <f t="shared" ca="1" si="102"/>
        <v>5.6208480903144856E-2</v>
      </c>
      <c r="CD87" s="21">
        <f t="shared" ca="1" si="102"/>
        <v>5.3763916004714835E-2</v>
      </c>
      <c r="CE87" s="21">
        <f t="shared" ca="1" si="102"/>
        <v>4.9022426498567556E-2</v>
      </c>
      <c r="CF87" s="21">
        <f t="shared" ca="1" si="102"/>
        <v>4.3452374419721891E-2</v>
      </c>
      <c r="CG87" s="21">
        <f t="shared" ca="1" si="102"/>
        <v>3.5543894254815266E-2</v>
      </c>
      <c r="CH87" s="21">
        <f t="shared" ca="1" si="102"/>
        <v>3.7757010055326903E-2</v>
      </c>
      <c r="CI87" s="21">
        <f t="shared" ca="1" si="102"/>
        <v>3.7519216590106257E-2</v>
      </c>
      <c r="CJ87" s="21">
        <f t="shared" ca="1" si="102"/>
        <v>3.6336566581615964E-2</v>
      </c>
      <c r="CK87" s="21">
        <f t="shared" ca="1" si="102"/>
        <v>3.5107674350361801E-2</v>
      </c>
      <c r="CL87" s="21">
        <f t="shared" ca="1" si="102"/>
        <v>3.8337498993458854E-2</v>
      </c>
      <c r="CM87" s="21">
        <f t="shared" ref="CM87:EX87" ca="1" si="103">IF(CM7="","",AVERAGE(CG61:CL61)+CONFIDENCE(0.05,STDEV(BN61:CL61),COUNT(BN61:CL61)))</f>
        <v>3.841802365601292E-2</v>
      </c>
      <c r="CN87" s="21">
        <f t="shared" ca="1" si="103"/>
        <v>3.1585012220800623E-2</v>
      </c>
      <c r="CO87" s="21">
        <f t="shared" ca="1" si="103"/>
        <v>2.7437282572175963E-2</v>
      </c>
      <c r="CP87" s="21">
        <f t="shared" ca="1" si="103"/>
        <v>2.9021904713784911E-2</v>
      </c>
      <c r="CQ87" s="21">
        <f t="shared" ca="1" si="103"/>
        <v>3.1910727436602136E-2</v>
      </c>
      <c r="CR87" s="21">
        <f t="shared" ca="1" si="103"/>
        <v>2.9554402634755336E-2</v>
      </c>
      <c r="CS87" s="21">
        <f t="shared" ca="1" si="103"/>
        <v>2.4513560251337607E-2</v>
      </c>
      <c r="CT87" s="21">
        <f t="shared" ca="1" si="103"/>
        <v>2.2012512356233131E-2</v>
      </c>
      <c r="CU87" s="21">
        <f t="shared" ca="1" si="103"/>
        <v>3.2853198090156875E-2</v>
      </c>
      <c r="CV87" s="21">
        <f t="shared" ca="1" si="103"/>
        <v>3.5180598386345283E-2</v>
      </c>
      <c r="CW87" s="21">
        <f t="shared" ca="1" si="103"/>
        <v>3.6640452921281645E-2</v>
      </c>
      <c r="CX87" s="21">
        <f t="shared" ca="1" si="103"/>
        <v>3.640047788418628E-2</v>
      </c>
      <c r="CY87" s="21">
        <f t="shared" ca="1" si="103"/>
        <v>4.1181852501120261E-2</v>
      </c>
      <c r="CZ87" s="21">
        <f t="shared" ca="1" si="103"/>
        <v>3.8805932916999269E-2</v>
      </c>
      <c r="DA87" s="21">
        <f t="shared" ca="1" si="103"/>
        <v>3.1541799958658016E-2</v>
      </c>
      <c r="DB87" s="21">
        <f t="shared" ca="1" si="103"/>
        <v>3.320432727363095E-2</v>
      </c>
      <c r="DC87" s="21">
        <f t="shared" ca="1" si="103"/>
        <v>3.2969282142462801E-2</v>
      </c>
      <c r="DD87" s="21">
        <f t="shared" ca="1" si="103"/>
        <v>3.098820649772107E-2</v>
      </c>
      <c r="DE87" s="21">
        <f t="shared" ca="1" si="103"/>
        <v>3.1457580815066256E-2</v>
      </c>
      <c r="DF87" s="21">
        <f t="shared" ca="1" si="103"/>
        <v>4.4662987048463214E-2</v>
      </c>
      <c r="DG87" s="21">
        <f t="shared" ca="1" si="103"/>
        <v>5.0956094254637103E-2</v>
      </c>
      <c r="DH87" s="21">
        <f t="shared" ca="1" si="103"/>
        <v>5.6920528574427753E-2</v>
      </c>
      <c r="DI87" s="21">
        <f t="shared" ca="1" si="103"/>
        <v>5.8857216502354551E-2</v>
      </c>
      <c r="DJ87" s="21">
        <f t="shared" ca="1" si="103"/>
        <v>6.578028080985715E-2</v>
      </c>
      <c r="DK87" s="21">
        <f t="shared" ca="1" si="103"/>
        <v>6.7971256509103073E-2</v>
      </c>
      <c r="DL87" s="21">
        <f t="shared" ca="1" si="103"/>
        <v>5.5990806407267044E-2</v>
      </c>
      <c r="DM87" s="21">
        <f t="shared" ca="1" si="103"/>
        <v>4.7446319239033363E-2</v>
      </c>
      <c r="DN87" s="21">
        <f t="shared" ca="1" si="103"/>
        <v>3.7911906084021327E-2</v>
      </c>
      <c r="DO87" s="21">
        <f t="shared" ca="1" si="103"/>
        <v>3.681946159412415E-2</v>
      </c>
      <c r="DP87" s="21">
        <f t="shared" ca="1" si="103"/>
        <v>2.9546882257408889E-2</v>
      </c>
      <c r="DQ87" s="21">
        <f t="shared" ca="1" si="103"/>
        <v>2.6747847223281558E-2</v>
      </c>
      <c r="DR87" s="21">
        <f t="shared" ca="1" si="103"/>
        <v>3.3410615675859484E-2</v>
      </c>
      <c r="DS87" s="21">
        <f t="shared" ca="1" si="103"/>
        <v>3.3785178559956663E-2</v>
      </c>
      <c r="DT87" s="21">
        <f t="shared" ca="1" si="103"/>
        <v>3.2272684218732528E-2</v>
      </c>
      <c r="DU87" s="21">
        <f t="shared" ca="1" si="103"/>
        <v>2.8166234367195515E-2</v>
      </c>
      <c r="DV87" s="21">
        <f t="shared" ca="1" si="103"/>
        <v>2.9578014610297305E-2</v>
      </c>
      <c r="DW87" s="21">
        <f t="shared" ca="1" si="103"/>
        <v>2.3740824173089078E-2</v>
      </c>
      <c r="DX87" s="21">
        <f t="shared" ca="1" si="103"/>
        <v>1.9265737156453716E-2</v>
      </c>
      <c r="DY87" s="21">
        <f t="shared" ca="1" si="103"/>
        <v>2.1767505928165107E-2</v>
      </c>
      <c r="DZ87" s="21">
        <f t="shared" ca="1" si="103"/>
        <v>2.1753783010492356E-2</v>
      </c>
      <c r="EA87" s="21">
        <f t="shared" ca="1" si="103"/>
        <v>2.03755858733639E-2</v>
      </c>
      <c r="EB87" s="21">
        <f t="shared" ca="1" si="103"/>
        <v>2.0660115676296012E-2</v>
      </c>
      <c r="EC87" s="21">
        <f t="shared" ca="1" si="103"/>
        <v>2.4412886113907978E-2</v>
      </c>
      <c r="ED87" s="21">
        <f t="shared" ca="1" si="103"/>
        <v>2.3123606331306289E-2</v>
      </c>
      <c r="EE87" s="21">
        <f t="shared" ca="1" si="103"/>
        <v>2.5679618291722765E-2</v>
      </c>
      <c r="EF87" s="21">
        <f t="shared" ca="1" si="103"/>
        <v>2.9897282462583039E-2</v>
      </c>
      <c r="EG87" s="21">
        <f t="shared" ca="1" si="103"/>
        <v>2.8737676151745255E-2</v>
      </c>
      <c r="EH87" s="21">
        <f t="shared" ca="1" si="103"/>
        <v>2.9263044224896548E-2</v>
      </c>
      <c r="EI87" s="21">
        <f t="shared" ca="1" si="103"/>
        <v>3.6282152165550821E-2</v>
      </c>
      <c r="EJ87" s="21">
        <f t="shared" ca="1" si="103"/>
        <v>4.7358096251931547E-2</v>
      </c>
      <c r="EK87" s="21">
        <f t="shared" ca="1" si="103"/>
        <v>4.9419342900816253E-2</v>
      </c>
      <c r="EL87" s="21">
        <f t="shared" ca="1" si="103"/>
        <v>4.4980319752205178E-2</v>
      </c>
      <c r="EM87" s="21">
        <f t="shared" ca="1" si="103"/>
        <v>4.5460742524984589E-2</v>
      </c>
      <c r="EN87" s="21">
        <f t="shared" ca="1" si="103"/>
        <v>4.3681373258014855E-2</v>
      </c>
      <c r="EO87" s="21">
        <f t="shared" ca="1" si="103"/>
        <v>3.9414664112412859E-2</v>
      </c>
      <c r="EP87" s="21">
        <f t="shared" ca="1" si="103"/>
        <v>3.0501450560001697E-2</v>
      </c>
      <c r="EQ87" s="21">
        <f t="shared" ca="1" si="103"/>
        <v>3.0130899769417886E-2</v>
      </c>
      <c r="ER87" s="21">
        <f t="shared" ca="1" si="103"/>
        <v>3.6747703600586372E-2</v>
      </c>
      <c r="ES87" s="21">
        <f t="shared" ca="1" si="103"/>
        <v>4.4706336348368035E-2</v>
      </c>
      <c r="ET87" s="21">
        <f t="shared" ca="1" si="103"/>
        <v>4.752651702276911E-2</v>
      </c>
      <c r="EU87" s="21">
        <f t="shared" ca="1" si="103"/>
        <v>4.2132427192429239E-2</v>
      </c>
      <c r="EV87" s="21">
        <f t="shared" ca="1" si="103"/>
        <v>4.4717582598148953E-2</v>
      </c>
      <c r="EW87" s="21">
        <f t="shared" ca="1" si="103"/>
        <v>4.7602621513495119E-2</v>
      </c>
      <c r="EX87" s="21">
        <f t="shared" ca="1" si="103"/>
        <v>4.3733745291932191E-2</v>
      </c>
      <c r="EY87" s="21">
        <f t="shared" ref="EY87:HJ87" ca="1" si="104">IF(EY7="","",AVERAGE(ES61:EX61)+CONFIDENCE(0.05,STDEV(DZ61:EX61),COUNT(DZ61:EX61)))</f>
        <v>3.6361971497939627E-2</v>
      </c>
      <c r="EZ87" s="21">
        <f t="shared" ca="1" si="104"/>
        <v>3.4621904189515655E-2</v>
      </c>
      <c r="FA87" s="21">
        <f t="shared" ca="1" si="104"/>
        <v>3.4154767471667194E-2</v>
      </c>
      <c r="FB87" s="21">
        <f t="shared" ca="1" si="104"/>
        <v>2.8681863726059482E-2</v>
      </c>
      <c r="FC87" s="21">
        <f t="shared" ca="1" si="104"/>
        <v>2.1068613982143068E-2</v>
      </c>
      <c r="FD87" s="21">
        <f t="shared" ca="1" si="104"/>
        <v>1.8045228844918333E-2</v>
      </c>
      <c r="FE87" s="21">
        <f t="shared" ca="1" si="104"/>
        <v>2.1018950689662568E-2</v>
      </c>
      <c r="FF87" s="21">
        <f t="shared" ca="1" si="104"/>
        <v>2.2283708871859854E-2</v>
      </c>
      <c r="FG87" s="21">
        <f t="shared" ca="1" si="104"/>
        <v>2.3143879159343198E-2</v>
      </c>
      <c r="FH87" s="21">
        <f t="shared" ca="1" si="104"/>
        <v>2.8496201001773247E-2</v>
      </c>
      <c r="FI87" s="21">
        <f t="shared" ca="1" si="104"/>
        <v>2.9397307027370763E-2</v>
      </c>
      <c r="FJ87" s="21">
        <f t="shared" ca="1" si="104"/>
        <v>3.3370894421262454E-2</v>
      </c>
      <c r="FK87" s="21">
        <f t="shared" ca="1" si="104"/>
        <v>2.9476398711085643E-2</v>
      </c>
      <c r="FL87" s="21">
        <f t="shared" ca="1" si="104"/>
        <v>3.3320598705380226E-2</v>
      </c>
      <c r="FM87" s="21">
        <f t="shared" ca="1" si="104"/>
        <v>4.0463134726970093E-2</v>
      </c>
      <c r="FN87" s="21">
        <f t="shared" ca="1" si="104"/>
        <v>4.6357618955998707E-2</v>
      </c>
      <c r="FO87" s="21">
        <f t="shared" ca="1" si="104"/>
        <v>5.3384106890594377E-2</v>
      </c>
      <c r="FP87" s="21">
        <f t="shared" ca="1" si="104"/>
        <v>5.3269341461955548E-2</v>
      </c>
      <c r="FQ87" s="21">
        <f t="shared" ca="1" si="104"/>
        <v>5.8884393947820912E-2</v>
      </c>
      <c r="FR87" s="21">
        <f t="shared" ca="1" si="104"/>
        <v>5.5450250205408225E-2</v>
      </c>
      <c r="FS87" s="21">
        <f t="shared" ca="1" si="104"/>
        <v>4.8586489157940366E-2</v>
      </c>
      <c r="FT87" s="21">
        <f t="shared" ca="1" si="104"/>
        <v>4.1402221142570084E-2</v>
      </c>
      <c r="FU87" s="21">
        <f t="shared" ca="1" si="104"/>
        <v>4.3227097825051117E-2</v>
      </c>
      <c r="FV87" s="21">
        <f t="shared" ca="1" si="104"/>
        <v>5.0970076159838229E-2</v>
      </c>
      <c r="FW87" s="21">
        <f t="shared" ca="1" si="104"/>
        <v>6.0081960178629143E-2</v>
      </c>
      <c r="FX87" s="21">
        <f t="shared" ca="1" si="104"/>
        <v>7.065020695495032E-2</v>
      </c>
      <c r="FY87" s="21">
        <f t="shared" ca="1" si="104"/>
        <v>7.6958585332862442E-2</v>
      </c>
      <c r="FZ87" s="21">
        <f t="shared" ca="1" si="104"/>
        <v>7.3888165566711822E-2</v>
      </c>
      <c r="GA87" s="21">
        <f t="shared" ca="1" si="104"/>
        <v>7.4002441028229241E-2</v>
      </c>
      <c r="GB87" s="21">
        <f t="shared" ca="1" si="104"/>
        <v>7.4082790972837445E-2</v>
      </c>
      <c r="GC87" s="21">
        <f t="shared" ca="1" si="104"/>
        <v>7.5932838193543156E-2</v>
      </c>
      <c r="GD87" s="21">
        <f t="shared" ca="1" si="104"/>
        <v>7.7699376112372404E-2</v>
      </c>
      <c r="GE87" s="21">
        <f t="shared" ca="1" si="104"/>
        <v>8.2708759052318837E-2</v>
      </c>
      <c r="GF87" s="21">
        <f t="shared" ca="1" si="104"/>
        <v>8.6727384723868997E-2</v>
      </c>
      <c r="GG87" s="21">
        <f t="shared" ca="1" si="104"/>
        <v>7.7887405580686325E-2</v>
      </c>
      <c r="GH87" s="21">
        <f t="shared" ca="1" si="104"/>
        <v>6.6346352334471295E-2</v>
      </c>
      <c r="GI87" s="21">
        <f t="shared" ca="1" si="104"/>
        <v>5.1860017661467091E-2</v>
      </c>
      <c r="GJ87" s="21">
        <f t="shared" ca="1" si="104"/>
        <v>4.2460822132604124E-2</v>
      </c>
      <c r="GK87" s="21">
        <f t="shared" ca="1" si="104"/>
        <v>3.3762177948339807E-2</v>
      </c>
      <c r="GL87" s="21">
        <f t="shared" ca="1" si="104"/>
        <v>4.3992977820154128E-2</v>
      </c>
      <c r="GM87" s="21">
        <f t="shared" ca="1" si="104"/>
        <v>5.9286079769367082E-2</v>
      </c>
      <c r="GN87" s="21">
        <f t="shared" ca="1" si="104"/>
        <v>7.3825523897997486E-2</v>
      </c>
      <c r="GO87" s="21">
        <f t="shared" ca="1" si="104"/>
        <v>9.5386354917233768E-2</v>
      </c>
      <c r="GP87" s="21">
        <f t="shared" ca="1" si="104"/>
        <v>9.0395647110145846E-2</v>
      </c>
      <c r="GQ87" s="21">
        <f t="shared" ca="1" si="104"/>
        <v>0.11435513379274073</v>
      </c>
      <c r="GR87" s="21">
        <f t="shared" ca="1" si="104"/>
        <v>0.11365464750925405</v>
      </c>
      <c r="GS87" s="21">
        <f t="shared" ca="1" si="104"/>
        <v>0.1113899885966585</v>
      </c>
      <c r="GT87" s="21">
        <f t="shared" ca="1" si="104"/>
        <v>0.10542330436478263</v>
      </c>
      <c r="GU87" s="21">
        <f t="shared" ca="1" si="104"/>
        <v>9.0462186409782652E-2</v>
      </c>
      <c r="GV87" s="21">
        <f t="shared" ca="1" si="104"/>
        <v>0.10457142990453684</v>
      </c>
      <c r="GW87" s="21">
        <f t="shared" ca="1" si="104"/>
        <v>8.8197872177673289E-2</v>
      </c>
      <c r="GX87" s="21">
        <f t="shared" ca="1" si="104"/>
        <v>8.0003084753275319E-2</v>
      </c>
      <c r="GY87" s="21">
        <f t="shared" ca="1" si="104"/>
        <v>6.386109503359208E-2</v>
      </c>
      <c r="GZ87" s="21">
        <f t="shared" ca="1" si="104"/>
        <v>5.4159605968439981E-2</v>
      </c>
      <c r="HA87" s="21" t="str">
        <f t="shared" si="104"/>
        <v/>
      </c>
      <c r="HB87" s="21" t="str">
        <f t="shared" si="104"/>
        <v/>
      </c>
      <c r="HC87" s="21" t="str">
        <f t="shared" si="104"/>
        <v/>
      </c>
      <c r="HD87" s="21" t="str">
        <f t="shared" si="104"/>
        <v/>
      </c>
      <c r="HE87" s="21" t="str">
        <f t="shared" si="104"/>
        <v/>
      </c>
      <c r="HF87" s="21" t="str">
        <f t="shared" si="104"/>
        <v/>
      </c>
      <c r="HG87" s="21" t="str">
        <f t="shared" si="104"/>
        <v/>
      </c>
      <c r="HH87" s="21" t="str">
        <f t="shared" si="104"/>
        <v/>
      </c>
      <c r="HI87" s="21" t="str">
        <f t="shared" si="104"/>
        <v/>
      </c>
      <c r="HJ87" s="21" t="str">
        <f t="shared" si="104"/>
        <v/>
      </c>
      <c r="HK87" s="21" t="str">
        <f t="shared" ref="HK87:JH87" si="105">IF(HK7="","",AVERAGE(HE61:HJ61)+CONFIDENCE(0.05,STDEV(GL61:HJ61),COUNT(GL61:HJ61)))</f>
        <v/>
      </c>
      <c r="HL87" s="21" t="str">
        <f t="shared" si="105"/>
        <v/>
      </c>
      <c r="HM87" s="21" t="str">
        <f t="shared" si="105"/>
        <v/>
      </c>
      <c r="HN87" s="21" t="str">
        <f t="shared" si="105"/>
        <v/>
      </c>
      <c r="HO87" s="21" t="str">
        <f t="shared" si="105"/>
        <v/>
      </c>
      <c r="HP87" s="21" t="str">
        <f t="shared" si="105"/>
        <v/>
      </c>
      <c r="HQ87" s="21" t="str">
        <f t="shared" si="105"/>
        <v/>
      </c>
      <c r="HR87" s="21" t="str">
        <f t="shared" si="105"/>
        <v/>
      </c>
      <c r="HS87" s="21" t="str">
        <f t="shared" si="105"/>
        <v/>
      </c>
      <c r="HT87" s="21" t="str">
        <f t="shared" si="105"/>
        <v/>
      </c>
      <c r="HU87" s="21" t="str">
        <f t="shared" si="105"/>
        <v/>
      </c>
      <c r="HV87" s="21" t="str">
        <f t="shared" si="105"/>
        <v/>
      </c>
      <c r="HW87" s="21" t="str">
        <f t="shared" si="105"/>
        <v/>
      </c>
      <c r="HX87" s="21" t="str">
        <f t="shared" si="105"/>
        <v/>
      </c>
      <c r="HY87" s="21" t="str">
        <f t="shared" si="105"/>
        <v/>
      </c>
      <c r="HZ87" s="21" t="str">
        <f t="shared" si="105"/>
        <v/>
      </c>
      <c r="IA87" s="21" t="str">
        <f t="shared" si="105"/>
        <v/>
      </c>
      <c r="IB87" s="21" t="str">
        <f t="shared" si="105"/>
        <v/>
      </c>
      <c r="IC87" s="21" t="str">
        <f t="shared" si="105"/>
        <v/>
      </c>
      <c r="ID87" s="21" t="str">
        <f t="shared" si="105"/>
        <v/>
      </c>
      <c r="IE87" s="21" t="str">
        <f t="shared" si="105"/>
        <v/>
      </c>
      <c r="IF87" s="21" t="str">
        <f t="shared" si="105"/>
        <v/>
      </c>
      <c r="IG87" s="21" t="str">
        <f t="shared" si="105"/>
        <v/>
      </c>
      <c r="IH87" s="21" t="str">
        <f t="shared" si="105"/>
        <v/>
      </c>
      <c r="II87" s="21" t="str">
        <f t="shared" si="105"/>
        <v/>
      </c>
      <c r="IJ87" s="21" t="str">
        <f t="shared" si="105"/>
        <v/>
      </c>
      <c r="IK87" s="21" t="str">
        <f t="shared" si="105"/>
        <v/>
      </c>
      <c r="IL87" s="21" t="str">
        <f t="shared" si="105"/>
        <v/>
      </c>
      <c r="IM87" s="21" t="str">
        <f t="shared" si="105"/>
        <v/>
      </c>
      <c r="IN87" s="21" t="str">
        <f t="shared" si="105"/>
        <v/>
      </c>
      <c r="IO87" s="21" t="str">
        <f t="shared" si="105"/>
        <v/>
      </c>
      <c r="IP87" s="21" t="str">
        <f t="shared" si="105"/>
        <v/>
      </c>
      <c r="IQ87" s="21" t="str">
        <f t="shared" si="105"/>
        <v/>
      </c>
      <c r="IR87" s="21" t="str">
        <f t="shared" si="105"/>
        <v/>
      </c>
      <c r="IS87" s="21" t="str">
        <f t="shared" si="105"/>
        <v/>
      </c>
      <c r="IT87" s="21" t="str">
        <f t="shared" si="105"/>
        <v/>
      </c>
      <c r="IU87" s="21" t="str">
        <f t="shared" si="105"/>
        <v/>
      </c>
      <c r="IV87" s="21" t="str">
        <f t="shared" si="105"/>
        <v/>
      </c>
      <c r="IW87" s="21" t="str">
        <f t="shared" si="105"/>
        <v/>
      </c>
      <c r="IX87" s="21" t="str">
        <f t="shared" si="105"/>
        <v/>
      </c>
      <c r="IY87" s="21" t="str">
        <f t="shared" si="105"/>
        <v/>
      </c>
      <c r="IZ87" s="21" t="str">
        <f t="shared" si="105"/>
        <v/>
      </c>
      <c r="JA87" s="21" t="str">
        <f t="shared" si="105"/>
        <v/>
      </c>
      <c r="JB87" s="21" t="str">
        <f t="shared" si="105"/>
        <v/>
      </c>
      <c r="JC87" s="21" t="str">
        <f t="shared" si="105"/>
        <v/>
      </c>
      <c r="JD87" s="21" t="str">
        <f t="shared" si="105"/>
        <v/>
      </c>
      <c r="JE87" s="21" t="str">
        <f t="shared" si="105"/>
        <v/>
      </c>
      <c r="JF87" s="21" t="str">
        <f t="shared" si="105"/>
        <v/>
      </c>
      <c r="JG87" s="21" t="str">
        <f t="shared" si="105"/>
        <v/>
      </c>
      <c r="JH87" s="21" t="str">
        <f t="shared" si="105"/>
        <v/>
      </c>
    </row>
    <row r="88" spans="1:336" x14ac:dyDescent="0.25"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>
        <f t="shared" ref="AA88:CL88" ca="1" si="106">IF(AA8="","",AVERAGE(T62:Z62)+CONFIDENCE(0.05,STDEV(B62:Z62),COUNT(B62:Z62)))</f>
        <v>3.8350233628251955E-2</v>
      </c>
      <c r="AB88" s="21">
        <f t="shared" ca="1" si="106"/>
        <v>3.8607479879256348E-2</v>
      </c>
      <c r="AC88" s="21">
        <f t="shared" ca="1" si="106"/>
        <v>3.7221685133564858E-2</v>
      </c>
      <c r="AD88" s="21">
        <f t="shared" ca="1" si="106"/>
        <v>3.3752528470092621E-2</v>
      </c>
      <c r="AE88" s="21">
        <f t="shared" ca="1" si="106"/>
        <v>2.833185161487391E-2</v>
      </c>
      <c r="AF88" s="21">
        <f t="shared" ca="1" si="106"/>
        <v>2.1358237270502373E-2</v>
      </c>
      <c r="AG88" s="21">
        <f t="shared" ca="1" si="106"/>
        <v>2.2249635348597949E-2</v>
      </c>
      <c r="AH88" s="21">
        <f t="shared" ca="1" si="106"/>
        <v>2.454455304741171E-2</v>
      </c>
      <c r="AI88" s="21">
        <f t="shared" ca="1" si="106"/>
        <v>2.9601903339451806E-2</v>
      </c>
      <c r="AJ88" s="21">
        <f t="shared" ca="1" si="106"/>
        <v>3.5705161429653604E-2</v>
      </c>
      <c r="AK88" s="21">
        <f t="shared" ca="1" si="106"/>
        <v>3.8049848873574786E-2</v>
      </c>
      <c r="AL88" s="21">
        <f t="shared" ca="1" si="106"/>
        <v>3.9082115846828032E-2</v>
      </c>
      <c r="AM88" s="21">
        <f t="shared" ca="1" si="106"/>
        <v>4.0153129615197139E-2</v>
      </c>
      <c r="AN88" s="21">
        <f t="shared" ca="1" si="106"/>
        <v>4.2892522092986225E-2</v>
      </c>
      <c r="AO88" s="21">
        <f t="shared" ca="1" si="106"/>
        <v>4.712393670827681E-2</v>
      </c>
      <c r="AP88" s="21">
        <f t="shared" ca="1" si="106"/>
        <v>5.0631981071973205E-2</v>
      </c>
      <c r="AQ88" s="21">
        <f t="shared" ca="1" si="106"/>
        <v>5.0154068518393512E-2</v>
      </c>
      <c r="AR88" s="21">
        <f t="shared" ca="1" si="106"/>
        <v>5.283971086155622E-2</v>
      </c>
      <c r="AS88" s="21">
        <f t="shared" ca="1" si="106"/>
        <v>5.4646710260077835E-2</v>
      </c>
      <c r="AT88" s="21">
        <f t="shared" ca="1" si="106"/>
        <v>5.535987738156796E-2</v>
      </c>
      <c r="AU88" s="21">
        <f t="shared" ca="1" si="106"/>
        <v>5.5176728763739018E-2</v>
      </c>
      <c r="AV88" s="21">
        <f t="shared" ca="1" si="106"/>
        <v>5.4829427136121267E-2</v>
      </c>
      <c r="AW88" s="21">
        <f t="shared" ca="1" si="106"/>
        <v>6.1444863657010539E-2</v>
      </c>
      <c r="AX88" s="21">
        <f t="shared" ca="1" si="106"/>
        <v>7.5497179595703595E-2</v>
      </c>
      <c r="AY88" s="21">
        <f t="shared" ca="1" si="106"/>
        <v>9.5870895658618241E-2</v>
      </c>
      <c r="AZ88" s="21">
        <f t="shared" ca="1" si="106"/>
        <v>0.11989110589819396</v>
      </c>
      <c r="BA88" s="21">
        <f t="shared" ca="1" si="106"/>
        <v>0.14030512363826142</v>
      </c>
      <c r="BB88" s="21">
        <f t="shared" ca="1" si="106"/>
        <v>0.15753805981348132</v>
      </c>
      <c r="BC88" s="21">
        <f t="shared" ca="1" si="106"/>
        <v>0.18161963466242062</v>
      </c>
      <c r="BD88" s="21">
        <f t="shared" ca="1" si="106"/>
        <v>0.20020946734078421</v>
      </c>
      <c r="BE88" s="21">
        <f t="shared" ca="1" si="106"/>
        <v>0.2117242391757144</v>
      </c>
      <c r="BF88" s="21">
        <f t="shared" ca="1" si="106"/>
        <v>0.21050959052309318</v>
      </c>
      <c r="BG88" s="21">
        <f t="shared" ca="1" si="106"/>
        <v>0.20817822205882602</v>
      </c>
      <c r="BH88" s="21">
        <f t="shared" ca="1" si="106"/>
        <v>0.21401724277162298</v>
      </c>
      <c r="BI88" s="21">
        <f t="shared" ca="1" si="106"/>
        <v>0.20471302161026764</v>
      </c>
      <c r="BJ88" s="21">
        <f t="shared" ca="1" si="106"/>
        <v>0.17902836627970609</v>
      </c>
      <c r="BK88" s="21">
        <f t="shared" ca="1" si="106"/>
        <v>0.15737068613073923</v>
      </c>
      <c r="BL88" s="21">
        <f t="shared" ca="1" si="106"/>
        <v>0.13569771517515958</v>
      </c>
      <c r="BM88" s="21">
        <f t="shared" ca="1" si="106"/>
        <v>0.13075282725987836</v>
      </c>
      <c r="BN88" s="21">
        <f t="shared" ca="1" si="106"/>
        <v>0.14094731033141686</v>
      </c>
      <c r="BO88" s="21">
        <f t="shared" ca="1" si="106"/>
        <v>0.13599864344241486</v>
      </c>
      <c r="BP88" s="21">
        <f t="shared" ca="1" si="106"/>
        <v>0.14418454807774164</v>
      </c>
      <c r="BQ88" s="21">
        <f t="shared" ca="1" si="106"/>
        <v>0.15346961977047585</v>
      </c>
      <c r="BR88" s="21">
        <f t="shared" ca="1" si="106"/>
        <v>0.14485199184459557</v>
      </c>
      <c r="BS88" s="21">
        <f t="shared" ca="1" si="106"/>
        <v>0.14105929683683313</v>
      </c>
      <c r="BT88" s="21">
        <f t="shared" ca="1" si="106"/>
        <v>0.12759760739398682</v>
      </c>
      <c r="BU88" s="21">
        <f t="shared" ca="1" si="106"/>
        <v>0.1075329894389532</v>
      </c>
      <c r="BV88" s="21">
        <f t="shared" ca="1" si="106"/>
        <v>8.7279101265426734E-2</v>
      </c>
      <c r="BW88" s="21">
        <f t="shared" ca="1" si="106"/>
        <v>6.878284991027396E-2</v>
      </c>
      <c r="BX88" s="21">
        <f t="shared" ca="1" si="106"/>
        <v>5.8632347450016012E-2</v>
      </c>
      <c r="BY88" s="21">
        <f t="shared" ca="1" si="106"/>
        <v>6.2088727453031393E-2</v>
      </c>
      <c r="BZ88" s="21">
        <f t="shared" ca="1" si="106"/>
        <v>6.7271801518548058E-2</v>
      </c>
      <c r="CA88" s="21">
        <f t="shared" ca="1" si="106"/>
        <v>7.0588716224560102E-2</v>
      </c>
      <c r="CB88" s="21">
        <f t="shared" ca="1" si="106"/>
        <v>6.2535430265754519E-2</v>
      </c>
      <c r="CC88" s="21">
        <f t="shared" ca="1" si="106"/>
        <v>6.2970592263336456E-2</v>
      </c>
      <c r="CD88" s="21">
        <f t="shared" ca="1" si="106"/>
        <v>5.8320062369917311E-2</v>
      </c>
      <c r="CE88" s="21">
        <f t="shared" ca="1" si="106"/>
        <v>5.5170976737438808E-2</v>
      </c>
      <c r="CF88" s="21">
        <f t="shared" ca="1" si="106"/>
        <v>5.0801103128039468E-2</v>
      </c>
      <c r="CG88" s="21">
        <f t="shared" ca="1" si="106"/>
        <v>4.2280846452884373E-2</v>
      </c>
      <c r="CH88" s="21">
        <f t="shared" ca="1" si="106"/>
        <v>3.9742641637082132E-2</v>
      </c>
      <c r="CI88" s="21">
        <f t="shared" ca="1" si="106"/>
        <v>3.8822164999857044E-2</v>
      </c>
      <c r="CJ88" s="21">
        <f t="shared" ca="1" si="106"/>
        <v>3.6100575767204685E-2</v>
      </c>
      <c r="CK88" s="21">
        <f t="shared" ca="1" si="106"/>
        <v>3.7097526998255484E-2</v>
      </c>
      <c r="CL88" s="21">
        <f t="shared" ca="1" si="106"/>
        <v>3.9617159934971065E-2</v>
      </c>
      <c r="CM88" s="21">
        <f t="shared" ref="CM88:EX88" ca="1" si="107">IF(CM8="","",AVERAGE(CF62:CL62)+CONFIDENCE(0.05,STDEV(BN62:CL62),COUNT(BN62:CL62)))</f>
        <v>4.2292964060713291E-2</v>
      </c>
      <c r="CN88" s="21">
        <f t="shared" ca="1" si="107"/>
        <v>4.0624792189479543E-2</v>
      </c>
      <c r="CO88" s="21">
        <f t="shared" ca="1" si="107"/>
        <v>3.4656829664021983E-2</v>
      </c>
      <c r="CP88" s="21">
        <f t="shared" ca="1" si="107"/>
        <v>3.0941037290932498E-2</v>
      </c>
      <c r="CQ88" s="21">
        <f t="shared" ca="1" si="107"/>
        <v>3.6327529901414912E-2</v>
      </c>
      <c r="CR88" s="21">
        <f t="shared" ca="1" si="107"/>
        <v>3.9986171577924577E-2</v>
      </c>
      <c r="CS88" s="21">
        <f t="shared" ca="1" si="107"/>
        <v>3.6371029601511284E-2</v>
      </c>
      <c r="CT88" s="21">
        <f t="shared" ca="1" si="107"/>
        <v>3.0329706240314697E-2</v>
      </c>
      <c r="CU88" s="21">
        <f t="shared" ca="1" si="107"/>
        <v>3.4849891991661171E-2</v>
      </c>
      <c r="CV88" s="21">
        <f t="shared" ca="1" si="107"/>
        <v>4.0958599305181823E-2</v>
      </c>
      <c r="CW88" s="21">
        <f t="shared" ca="1" si="107"/>
        <v>4.4259291972723644E-2</v>
      </c>
      <c r="CX88" s="21">
        <f t="shared" ca="1" si="107"/>
        <v>4.0776287823999939E-2</v>
      </c>
      <c r="CY88" s="21">
        <f t="shared" ca="1" si="107"/>
        <v>3.8077693787589101E-2</v>
      </c>
      <c r="CZ88" s="21">
        <f t="shared" ca="1" si="107"/>
        <v>3.7699559000388148E-2</v>
      </c>
      <c r="DA88" s="21">
        <f t="shared" ca="1" si="107"/>
        <v>3.4552901672184444E-2</v>
      </c>
      <c r="DB88" s="21">
        <f t="shared" ca="1" si="107"/>
        <v>3.3124557726371212E-2</v>
      </c>
      <c r="DC88" s="21">
        <f t="shared" ca="1" si="107"/>
        <v>3.1881554944267601E-2</v>
      </c>
      <c r="DD88" s="21">
        <f t="shared" ca="1" si="107"/>
        <v>2.8916306070927083E-2</v>
      </c>
      <c r="DE88" s="21">
        <f t="shared" ca="1" si="107"/>
        <v>3.6399840034686791E-2</v>
      </c>
      <c r="DF88" s="21">
        <f t="shared" ca="1" si="107"/>
        <v>4.9024801753128157E-2</v>
      </c>
      <c r="DG88" s="21">
        <f t="shared" ca="1" si="107"/>
        <v>5.8600677380330896E-2</v>
      </c>
      <c r="DH88" s="21">
        <f t="shared" ca="1" si="107"/>
        <v>7.0326225468091932E-2</v>
      </c>
      <c r="DI88" s="21">
        <f t="shared" ca="1" si="107"/>
        <v>6.8558183636854689E-2</v>
      </c>
      <c r="DJ88" s="21">
        <f t="shared" ca="1" si="107"/>
        <v>7.2711619253133977E-2</v>
      </c>
      <c r="DK88" s="21">
        <f t="shared" ca="1" si="107"/>
        <v>7.3562246951785287E-2</v>
      </c>
      <c r="DL88" s="21">
        <f t="shared" ca="1" si="107"/>
        <v>6.6163579992733632E-2</v>
      </c>
      <c r="DM88" s="21">
        <f t="shared" ca="1" si="107"/>
        <v>5.6527858518810675E-2</v>
      </c>
      <c r="DN88" s="21">
        <f t="shared" ca="1" si="107"/>
        <v>4.9801721887806322E-2</v>
      </c>
      <c r="DO88" s="21">
        <f t="shared" ca="1" si="107"/>
        <v>4.3378893352934121E-2</v>
      </c>
      <c r="DP88" s="21">
        <f t="shared" ca="1" si="107"/>
        <v>3.8896397722582042E-2</v>
      </c>
      <c r="DQ88" s="21">
        <f t="shared" ca="1" si="107"/>
        <v>3.42987158061294E-2</v>
      </c>
      <c r="DR88" s="21">
        <f t="shared" ca="1" si="107"/>
        <v>4.0792263121502526E-2</v>
      </c>
      <c r="DS88" s="21">
        <f t="shared" ca="1" si="107"/>
        <v>4.0404652021710702E-2</v>
      </c>
      <c r="DT88" s="21">
        <f t="shared" ca="1" si="107"/>
        <v>3.9571489713493176E-2</v>
      </c>
      <c r="DU88" s="21">
        <f t="shared" ca="1" si="107"/>
        <v>3.8076072784900591E-2</v>
      </c>
      <c r="DV88" s="21">
        <f t="shared" ca="1" si="107"/>
        <v>3.3542041245943267E-2</v>
      </c>
      <c r="DW88" s="21">
        <f t="shared" ca="1" si="107"/>
        <v>3.4803815451077066E-2</v>
      </c>
      <c r="DX88" s="21">
        <f t="shared" ca="1" si="107"/>
        <v>3.0143080122254886E-2</v>
      </c>
      <c r="DY88" s="21">
        <f t="shared" ca="1" si="107"/>
        <v>2.2170340334414819E-2</v>
      </c>
      <c r="DZ88" s="21">
        <f t="shared" ca="1" si="107"/>
        <v>2.3010506597676755E-2</v>
      </c>
      <c r="EA88" s="21">
        <f t="shared" ca="1" si="107"/>
        <v>2.0807143255614974E-2</v>
      </c>
      <c r="EB88" s="21">
        <f t="shared" ca="1" si="107"/>
        <v>2.1029709892898631E-2</v>
      </c>
      <c r="EC88" s="21">
        <f t="shared" ca="1" si="107"/>
        <v>2.7870209207813509E-2</v>
      </c>
      <c r="ED88" s="21">
        <f t="shared" ca="1" si="107"/>
        <v>2.8184138336098861E-2</v>
      </c>
      <c r="EE88" s="21">
        <f t="shared" ca="1" si="107"/>
        <v>3.0232875740331858E-2</v>
      </c>
      <c r="EF88" s="21">
        <f t="shared" ca="1" si="107"/>
        <v>3.1378551864321792E-2</v>
      </c>
      <c r="EG88" s="21">
        <f t="shared" ca="1" si="107"/>
        <v>2.9852958252887186E-2</v>
      </c>
      <c r="EH88" s="21">
        <f t="shared" ca="1" si="107"/>
        <v>3.2343106369793845E-2</v>
      </c>
      <c r="EI88" s="21">
        <f t="shared" ca="1" si="107"/>
        <v>4.3978521415279193E-2</v>
      </c>
      <c r="EJ88" s="21">
        <f t="shared" ca="1" si="107"/>
        <v>4.6960314507040982E-2</v>
      </c>
      <c r="EK88" s="21">
        <f t="shared" ca="1" si="107"/>
        <v>5.0946744172608249E-2</v>
      </c>
      <c r="EL88" s="21">
        <f t="shared" ca="1" si="107"/>
        <v>4.7847233507215738E-2</v>
      </c>
      <c r="EM88" s="21">
        <f t="shared" ca="1" si="107"/>
        <v>4.5626518219702483E-2</v>
      </c>
      <c r="EN88" s="21">
        <f t="shared" ca="1" si="107"/>
        <v>4.6255308346703362E-2</v>
      </c>
      <c r="EO88" s="21">
        <f t="shared" ca="1" si="107"/>
        <v>5.2086523093373159E-2</v>
      </c>
      <c r="EP88" s="21">
        <f t="shared" ca="1" si="107"/>
        <v>4.6246413434668288E-2</v>
      </c>
      <c r="EQ88" s="21">
        <f t="shared" ca="1" si="107"/>
        <v>4.4840745295461851E-2</v>
      </c>
      <c r="ER88" s="21">
        <f t="shared" ca="1" si="107"/>
        <v>4.4176326422962715E-2</v>
      </c>
      <c r="ES88" s="21">
        <f t="shared" ca="1" si="107"/>
        <v>4.8652004927483242E-2</v>
      </c>
      <c r="ET88" s="21">
        <f t="shared" ca="1" si="107"/>
        <v>5.1832501050276203E-2</v>
      </c>
      <c r="EU88" s="21">
        <f t="shared" ca="1" si="107"/>
        <v>4.970332387795437E-2</v>
      </c>
      <c r="EV88" s="21">
        <f t="shared" ca="1" si="107"/>
        <v>5.0530712856244574E-2</v>
      </c>
      <c r="EW88" s="21">
        <f t="shared" ca="1" si="107"/>
        <v>5.038511108813909E-2</v>
      </c>
      <c r="EX88" s="21">
        <f t="shared" ca="1" si="107"/>
        <v>4.5404445446669571E-2</v>
      </c>
      <c r="EY88" s="21">
        <f t="shared" ref="EY88:HJ88" ca="1" si="108">IF(EY8="","",AVERAGE(ER62:EX62)+CONFIDENCE(0.05,STDEV(DZ62:EX62),COUNT(DZ62:EX62)))</f>
        <v>3.9657854411285762E-2</v>
      </c>
      <c r="EZ88" s="21">
        <f t="shared" ca="1" si="108"/>
        <v>3.5192935074260329E-2</v>
      </c>
      <c r="FA88" s="21">
        <f t="shared" ca="1" si="108"/>
        <v>3.4016756189275216E-2</v>
      </c>
      <c r="FB88" s="21">
        <f t="shared" ca="1" si="108"/>
        <v>3.5312108105570811E-2</v>
      </c>
      <c r="FC88" s="21">
        <f t="shared" ca="1" si="108"/>
        <v>2.6657608671338075E-2</v>
      </c>
      <c r="FD88" s="21">
        <f t="shared" ca="1" si="108"/>
        <v>2.3424166951010753E-2</v>
      </c>
      <c r="FE88" s="21">
        <f t="shared" ca="1" si="108"/>
        <v>2.3693599115131775E-2</v>
      </c>
      <c r="FF88" s="21">
        <f t="shared" ca="1" si="108"/>
        <v>2.9322193032201828E-2</v>
      </c>
      <c r="FG88" s="21">
        <f t="shared" ca="1" si="108"/>
        <v>3.3141621969142235E-2</v>
      </c>
      <c r="FH88" s="21">
        <f t="shared" ca="1" si="108"/>
        <v>3.8600864904151939E-2</v>
      </c>
      <c r="FI88" s="21">
        <f t="shared" ca="1" si="108"/>
        <v>4.1008110703403725E-2</v>
      </c>
      <c r="FJ88" s="21">
        <f t="shared" ca="1" si="108"/>
        <v>4.2897497666245149E-2</v>
      </c>
      <c r="FK88" s="21">
        <f t="shared" ca="1" si="108"/>
        <v>3.9821541571687533E-2</v>
      </c>
      <c r="FL88" s="21">
        <f t="shared" ca="1" si="108"/>
        <v>4.0549729157735817E-2</v>
      </c>
      <c r="FM88" s="21">
        <f t="shared" ca="1" si="108"/>
        <v>4.4447087565604664E-2</v>
      </c>
      <c r="FN88" s="21">
        <f t="shared" ca="1" si="108"/>
        <v>5.2077138737625886E-2</v>
      </c>
      <c r="FO88" s="21">
        <f t="shared" ca="1" si="108"/>
        <v>5.5632412828700205E-2</v>
      </c>
      <c r="FP88" s="21">
        <f t="shared" ca="1" si="108"/>
        <v>5.5455396098890448E-2</v>
      </c>
      <c r="FQ88" s="21">
        <f t="shared" ca="1" si="108"/>
        <v>5.8837833535686571E-2</v>
      </c>
      <c r="FR88" s="21">
        <f t="shared" ca="1" si="108"/>
        <v>6.1685982076006354E-2</v>
      </c>
      <c r="FS88" s="21">
        <f t="shared" ca="1" si="108"/>
        <v>5.9956089204654339E-2</v>
      </c>
      <c r="FT88" s="21">
        <f t="shared" ca="1" si="108"/>
        <v>6.0999561311691097E-2</v>
      </c>
      <c r="FU88" s="21">
        <f t="shared" ca="1" si="108"/>
        <v>6.5126256840093266E-2</v>
      </c>
      <c r="FV88" s="21">
        <f t="shared" ca="1" si="108"/>
        <v>6.5498391496696187E-2</v>
      </c>
      <c r="FW88" s="21">
        <f t="shared" ca="1" si="108"/>
        <v>7.5115534208551382E-2</v>
      </c>
      <c r="FX88" s="21">
        <f t="shared" ca="1" si="108"/>
        <v>8.1826222236615481E-2</v>
      </c>
      <c r="FY88" s="21">
        <f t="shared" ca="1" si="108"/>
        <v>8.270134383192107E-2</v>
      </c>
      <c r="FZ88" s="21">
        <f t="shared" ca="1" si="108"/>
        <v>8.4798437643992988E-2</v>
      </c>
      <c r="GA88" s="21">
        <f t="shared" ca="1" si="108"/>
        <v>8.9823592961585874E-2</v>
      </c>
      <c r="GB88" s="21">
        <f t="shared" ca="1" si="108"/>
        <v>8.8474503059919246E-2</v>
      </c>
      <c r="GC88" s="21">
        <f t="shared" ca="1" si="108"/>
        <v>9.1736393095423641E-2</v>
      </c>
      <c r="GD88" s="21">
        <f t="shared" ca="1" si="108"/>
        <v>9.4273948071691482E-2</v>
      </c>
      <c r="GE88" s="21">
        <f t="shared" ca="1" si="108"/>
        <v>9.35170327262759E-2</v>
      </c>
      <c r="GF88" s="21">
        <f t="shared" ca="1" si="108"/>
        <v>9.5149901077504345E-2</v>
      </c>
      <c r="GG88" s="21">
        <f t="shared" ca="1" si="108"/>
        <v>9.3292727552496568E-2</v>
      </c>
      <c r="GH88" s="21">
        <f t="shared" ca="1" si="108"/>
        <v>8.0716246316362469E-2</v>
      </c>
      <c r="GI88" s="21">
        <f t="shared" ca="1" si="108"/>
        <v>6.9326305934201388E-2</v>
      </c>
      <c r="GJ88" s="21">
        <f t="shared" ca="1" si="108"/>
        <v>5.7710056650249947E-2</v>
      </c>
      <c r="GK88" s="21">
        <f t="shared" ca="1" si="108"/>
        <v>5.4845250868624407E-2</v>
      </c>
      <c r="GL88" s="21">
        <f t="shared" ca="1" si="108"/>
        <v>5.6250728151702692E-2</v>
      </c>
      <c r="GM88" s="21">
        <f t="shared" ca="1" si="108"/>
        <v>6.4412374339432518E-2</v>
      </c>
      <c r="GN88" s="21">
        <f t="shared" ca="1" si="108"/>
        <v>7.4008639841787474E-2</v>
      </c>
      <c r="GO88" s="21">
        <f t="shared" ca="1" si="108"/>
        <v>8.8517931510159978E-2</v>
      </c>
      <c r="GP88" s="21">
        <f t="shared" ca="1" si="108"/>
        <v>9.0502214778752865E-2</v>
      </c>
      <c r="GQ88" s="21">
        <f t="shared" ca="1" si="108"/>
        <v>0.11745432390007582</v>
      </c>
      <c r="GR88" s="21">
        <f t="shared" ca="1" si="108"/>
        <v>0.12160866696806005</v>
      </c>
      <c r="GS88" s="21">
        <f t="shared" ca="1" si="108"/>
        <v>0.12055053014918551</v>
      </c>
      <c r="GT88" s="21">
        <f t="shared" ca="1" si="108"/>
        <v>0.11548881259101665</v>
      </c>
      <c r="GU88" s="21">
        <f t="shared" ca="1" si="108"/>
        <v>0.11776998910125483</v>
      </c>
      <c r="GV88" s="21">
        <f t="shared" ca="1" si="108"/>
        <v>0.1156808440167425</v>
      </c>
      <c r="GW88" s="21">
        <f t="shared" ca="1" si="108"/>
        <v>0.13264903947969056</v>
      </c>
      <c r="GX88" s="21">
        <f t="shared" ca="1" si="108"/>
        <v>0.10654992049612175</v>
      </c>
      <c r="GY88" s="21">
        <f t="shared" ca="1" si="108"/>
        <v>9.213900179051937E-2</v>
      </c>
      <c r="GZ88" s="21">
        <f t="shared" ca="1" si="108"/>
        <v>8.3235543378000584E-2</v>
      </c>
      <c r="HA88" s="21" t="str">
        <f t="shared" si="108"/>
        <v/>
      </c>
      <c r="HB88" s="21" t="str">
        <f t="shared" si="108"/>
        <v/>
      </c>
      <c r="HC88" s="21" t="str">
        <f t="shared" si="108"/>
        <v/>
      </c>
      <c r="HD88" s="21" t="str">
        <f t="shared" si="108"/>
        <v/>
      </c>
      <c r="HE88" s="21" t="str">
        <f t="shared" si="108"/>
        <v/>
      </c>
      <c r="HF88" s="21" t="str">
        <f t="shared" si="108"/>
        <v/>
      </c>
      <c r="HG88" s="21" t="str">
        <f t="shared" si="108"/>
        <v/>
      </c>
      <c r="HH88" s="21" t="str">
        <f t="shared" si="108"/>
        <v/>
      </c>
      <c r="HI88" s="21" t="str">
        <f t="shared" si="108"/>
        <v/>
      </c>
      <c r="HJ88" s="21" t="str">
        <f t="shared" si="108"/>
        <v/>
      </c>
      <c r="HK88" s="21" t="str">
        <f t="shared" ref="HK88:JH88" si="109">IF(HK8="","",AVERAGE(HD62:HJ62)+CONFIDENCE(0.05,STDEV(GL62:HJ62),COUNT(GL62:HJ62)))</f>
        <v/>
      </c>
      <c r="HL88" s="21" t="str">
        <f t="shared" si="109"/>
        <v/>
      </c>
      <c r="HM88" s="21" t="str">
        <f t="shared" si="109"/>
        <v/>
      </c>
      <c r="HN88" s="21" t="str">
        <f t="shared" si="109"/>
        <v/>
      </c>
      <c r="HO88" s="21" t="str">
        <f t="shared" si="109"/>
        <v/>
      </c>
      <c r="HP88" s="21" t="str">
        <f t="shared" si="109"/>
        <v/>
      </c>
      <c r="HQ88" s="21" t="str">
        <f t="shared" si="109"/>
        <v/>
      </c>
      <c r="HR88" s="21" t="str">
        <f t="shared" si="109"/>
        <v/>
      </c>
      <c r="HS88" s="21" t="str">
        <f t="shared" si="109"/>
        <v/>
      </c>
      <c r="HT88" s="21" t="str">
        <f t="shared" si="109"/>
        <v/>
      </c>
      <c r="HU88" s="21" t="str">
        <f t="shared" si="109"/>
        <v/>
      </c>
      <c r="HV88" s="21" t="str">
        <f t="shared" si="109"/>
        <v/>
      </c>
      <c r="HW88" s="21" t="str">
        <f t="shared" si="109"/>
        <v/>
      </c>
      <c r="HX88" s="21" t="str">
        <f t="shared" si="109"/>
        <v/>
      </c>
      <c r="HY88" s="21" t="str">
        <f t="shared" si="109"/>
        <v/>
      </c>
      <c r="HZ88" s="21" t="str">
        <f t="shared" si="109"/>
        <v/>
      </c>
      <c r="IA88" s="21" t="str">
        <f t="shared" si="109"/>
        <v/>
      </c>
      <c r="IB88" s="21" t="str">
        <f t="shared" si="109"/>
        <v/>
      </c>
      <c r="IC88" s="21" t="str">
        <f t="shared" si="109"/>
        <v/>
      </c>
      <c r="ID88" s="21" t="str">
        <f t="shared" si="109"/>
        <v/>
      </c>
      <c r="IE88" s="21" t="str">
        <f t="shared" si="109"/>
        <v/>
      </c>
      <c r="IF88" s="21" t="str">
        <f t="shared" si="109"/>
        <v/>
      </c>
      <c r="IG88" s="21" t="str">
        <f t="shared" si="109"/>
        <v/>
      </c>
      <c r="IH88" s="21" t="str">
        <f t="shared" si="109"/>
        <v/>
      </c>
      <c r="II88" s="21" t="str">
        <f t="shared" si="109"/>
        <v/>
      </c>
      <c r="IJ88" s="21" t="str">
        <f t="shared" si="109"/>
        <v/>
      </c>
      <c r="IK88" s="21" t="str">
        <f t="shared" si="109"/>
        <v/>
      </c>
      <c r="IL88" s="21" t="str">
        <f t="shared" si="109"/>
        <v/>
      </c>
      <c r="IM88" s="21" t="str">
        <f t="shared" si="109"/>
        <v/>
      </c>
      <c r="IN88" s="21" t="str">
        <f t="shared" si="109"/>
        <v/>
      </c>
      <c r="IO88" s="21" t="str">
        <f t="shared" si="109"/>
        <v/>
      </c>
      <c r="IP88" s="21" t="str">
        <f t="shared" si="109"/>
        <v/>
      </c>
      <c r="IQ88" s="21" t="str">
        <f t="shared" si="109"/>
        <v/>
      </c>
      <c r="IR88" s="21" t="str">
        <f t="shared" si="109"/>
        <v/>
      </c>
      <c r="IS88" s="21" t="str">
        <f t="shared" si="109"/>
        <v/>
      </c>
      <c r="IT88" s="21" t="str">
        <f t="shared" si="109"/>
        <v/>
      </c>
      <c r="IU88" s="21" t="str">
        <f t="shared" si="109"/>
        <v/>
      </c>
      <c r="IV88" s="21" t="str">
        <f t="shared" si="109"/>
        <v/>
      </c>
      <c r="IW88" s="21" t="str">
        <f t="shared" si="109"/>
        <v/>
      </c>
      <c r="IX88" s="21" t="str">
        <f t="shared" si="109"/>
        <v/>
      </c>
      <c r="IY88" s="21" t="str">
        <f t="shared" si="109"/>
        <v/>
      </c>
      <c r="IZ88" s="21" t="str">
        <f t="shared" si="109"/>
        <v/>
      </c>
      <c r="JA88" s="21" t="str">
        <f t="shared" si="109"/>
        <v/>
      </c>
      <c r="JB88" s="21" t="str">
        <f t="shared" si="109"/>
        <v/>
      </c>
      <c r="JC88" s="21" t="str">
        <f t="shared" si="109"/>
        <v/>
      </c>
      <c r="JD88" s="21" t="str">
        <f t="shared" si="109"/>
        <v/>
      </c>
      <c r="JE88" s="21" t="str">
        <f t="shared" si="109"/>
        <v/>
      </c>
      <c r="JF88" s="21" t="str">
        <f t="shared" si="109"/>
        <v/>
      </c>
      <c r="JG88" s="21" t="str">
        <f t="shared" si="109"/>
        <v/>
      </c>
      <c r="JH88" s="21" t="str">
        <f t="shared" si="109"/>
        <v/>
      </c>
    </row>
    <row r="89" spans="1:336" x14ac:dyDescent="0.25"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>
        <f t="shared" ref="AA89:CL89" ca="1" si="110">IF(AA9="","",AVERAGE(S63:Z63)+CONFIDENCE(0.05,STDEV(B63:Z63),COUNT(B63:Z63)))</f>
        <v>3.7594515894658932E-2</v>
      </c>
      <c r="AB89" s="21">
        <f t="shared" ca="1" si="110"/>
        <v>3.5949912814795759E-2</v>
      </c>
      <c r="AC89" s="21">
        <f t="shared" ca="1" si="110"/>
        <v>3.5922492773210357E-2</v>
      </c>
      <c r="AD89" s="21">
        <f t="shared" ca="1" si="110"/>
        <v>3.3536346305639737E-2</v>
      </c>
      <c r="AE89" s="21">
        <f t="shared" ca="1" si="110"/>
        <v>2.9425096271655956E-2</v>
      </c>
      <c r="AF89" s="21">
        <f t="shared" ca="1" si="110"/>
        <v>2.7747096785518864E-2</v>
      </c>
      <c r="AG89" s="21">
        <f t="shared" ca="1" si="110"/>
        <v>2.7776197034735727E-2</v>
      </c>
      <c r="AH89" s="21">
        <f t="shared" ca="1" si="110"/>
        <v>2.9803131623651346E-2</v>
      </c>
      <c r="AI89" s="21">
        <f t="shared" ca="1" si="110"/>
        <v>3.3450386332914792E-2</v>
      </c>
      <c r="AJ89" s="21">
        <f t="shared" ca="1" si="110"/>
        <v>3.5096270610165174E-2</v>
      </c>
      <c r="AK89" s="21">
        <f t="shared" ca="1" si="110"/>
        <v>3.5865473477140405E-2</v>
      </c>
      <c r="AL89" s="21">
        <f t="shared" ca="1" si="110"/>
        <v>3.6090046850319385E-2</v>
      </c>
      <c r="AM89" s="21">
        <f t="shared" ca="1" si="110"/>
        <v>4.0807042966517076E-2</v>
      </c>
      <c r="AN89" s="21">
        <f t="shared" ca="1" si="110"/>
        <v>4.4687113433075694E-2</v>
      </c>
      <c r="AO89" s="21">
        <f t="shared" ca="1" si="110"/>
        <v>4.7913867943085164E-2</v>
      </c>
      <c r="AP89" s="21">
        <f t="shared" ca="1" si="110"/>
        <v>5.0690609240513211E-2</v>
      </c>
      <c r="AQ89" s="21">
        <f t="shared" ca="1" si="110"/>
        <v>5.0802013992633774E-2</v>
      </c>
      <c r="AR89" s="21">
        <f t="shared" ca="1" si="110"/>
        <v>5.1028679481023589E-2</v>
      </c>
      <c r="AS89" s="21">
        <f t="shared" ca="1" si="110"/>
        <v>5.4406342870049106E-2</v>
      </c>
      <c r="AT89" s="21">
        <f t="shared" ca="1" si="110"/>
        <v>6.188835620566438E-2</v>
      </c>
      <c r="AU89" s="21">
        <f t="shared" ca="1" si="110"/>
        <v>6.3878250070708173E-2</v>
      </c>
      <c r="AV89" s="21">
        <f t="shared" ca="1" si="110"/>
        <v>6.9622715931223655E-2</v>
      </c>
      <c r="AW89" s="21">
        <f t="shared" ca="1" si="110"/>
        <v>8.1454192919411722E-2</v>
      </c>
      <c r="AX89" s="21">
        <f t="shared" ca="1" si="110"/>
        <v>9.5642426179491369E-2</v>
      </c>
      <c r="AY89" s="21">
        <f t="shared" ca="1" si="110"/>
        <v>0.11606438686177944</v>
      </c>
      <c r="AZ89" s="21">
        <f t="shared" ca="1" si="110"/>
        <v>0.13907741260936962</v>
      </c>
      <c r="BA89" s="21">
        <f t="shared" ca="1" si="110"/>
        <v>0.15655963611683077</v>
      </c>
      <c r="BB89" s="21">
        <f t="shared" ca="1" si="110"/>
        <v>0.1816548230421923</v>
      </c>
      <c r="BC89" s="21">
        <f t="shared" ca="1" si="110"/>
        <v>0.2092718048118129</v>
      </c>
      <c r="BD89" s="21">
        <f t="shared" ca="1" si="110"/>
        <v>0.23045979556019672</v>
      </c>
      <c r="BE89" s="21">
        <f t="shared" ca="1" si="110"/>
        <v>0.24010562452559492</v>
      </c>
      <c r="BF89" s="21">
        <f t="shared" ca="1" si="110"/>
        <v>0.24310453880160415</v>
      </c>
      <c r="BG89" s="21">
        <f t="shared" ca="1" si="110"/>
        <v>0.2427176476194457</v>
      </c>
      <c r="BH89" s="21">
        <f t="shared" ca="1" si="110"/>
        <v>0.24496815288762175</v>
      </c>
      <c r="BI89" s="21">
        <f t="shared" ca="1" si="110"/>
        <v>0.23418906198662187</v>
      </c>
      <c r="BJ89" s="21">
        <f t="shared" ca="1" si="110"/>
        <v>0.20563151535086391</v>
      </c>
      <c r="BK89" s="21">
        <f t="shared" ca="1" si="110"/>
        <v>0.18729655726445793</v>
      </c>
      <c r="BL89" s="21">
        <f t="shared" ca="1" si="110"/>
        <v>0.16409348013520805</v>
      </c>
      <c r="BM89" s="21">
        <f t="shared" ca="1" si="110"/>
        <v>0.1599816442013916</v>
      </c>
      <c r="BN89" s="21">
        <f t="shared" ca="1" si="110"/>
        <v>0.16049645752690164</v>
      </c>
      <c r="BO89" s="21">
        <f t="shared" ca="1" si="110"/>
        <v>0.16157955265441354</v>
      </c>
      <c r="BP89" s="21">
        <f t="shared" ca="1" si="110"/>
        <v>0.1564386180035601</v>
      </c>
      <c r="BQ89" s="21">
        <f t="shared" ca="1" si="110"/>
        <v>0.15925540619087925</v>
      </c>
      <c r="BR89" s="21">
        <f t="shared" ca="1" si="110"/>
        <v>0.16030316552637808</v>
      </c>
      <c r="BS89" s="21">
        <f t="shared" ca="1" si="110"/>
        <v>0.14867888941739332</v>
      </c>
      <c r="BT89" s="21">
        <f t="shared" ca="1" si="110"/>
        <v>0.14379048439772024</v>
      </c>
      <c r="BU89" s="21">
        <f t="shared" ca="1" si="110"/>
        <v>0.13353319841412167</v>
      </c>
      <c r="BV89" s="21">
        <f t="shared" ca="1" si="110"/>
        <v>0.11412424120759537</v>
      </c>
      <c r="BW89" s="21">
        <f t="shared" ca="1" si="110"/>
        <v>9.5762846441233396E-2</v>
      </c>
      <c r="BX89" s="21">
        <f t="shared" ca="1" si="110"/>
        <v>7.8908926584297628E-2</v>
      </c>
      <c r="BY89" s="21">
        <f t="shared" ca="1" si="110"/>
        <v>7.1199068745224345E-2</v>
      </c>
      <c r="BZ89" s="21">
        <f t="shared" ca="1" si="110"/>
        <v>7.853286856281208E-2</v>
      </c>
      <c r="CA89" s="21">
        <f t="shared" ca="1" si="110"/>
        <v>8.1698226011496788E-2</v>
      </c>
      <c r="CB89" s="21">
        <f t="shared" ca="1" si="110"/>
        <v>8.2731504648409032E-2</v>
      </c>
      <c r="CC89" s="21">
        <f t="shared" ca="1" si="110"/>
        <v>7.0763052088541958E-2</v>
      </c>
      <c r="CD89" s="21">
        <f t="shared" ca="1" si="110"/>
        <v>6.8778491492061264E-2</v>
      </c>
      <c r="CE89" s="21">
        <f t="shared" ca="1" si="110"/>
        <v>6.4787381135387401E-2</v>
      </c>
      <c r="CF89" s="21">
        <f t="shared" ca="1" si="110"/>
        <v>6.1558083660822702E-2</v>
      </c>
      <c r="CG89" s="21">
        <f t="shared" ca="1" si="110"/>
        <v>5.3693442133240898E-2</v>
      </c>
      <c r="CH89" s="21">
        <f t="shared" ca="1" si="110"/>
        <v>4.7052105432689631E-2</v>
      </c>
      <c r="CI89" s="21">
        <f t="shared" ca="1" si="110"/>
        <v>4.3142126270146755E-2</v>
      </c>
      <c r="CJ89" s="21">
        <f t="shared" ca="1" si="110"/>
        <v>3.8618213342864957E-2</v>
      </c>
      <c r="CK89" s="21">
        <f t="shared" ca="1" si="110"/>
        <v>3.8658883656628229E-2</v>
      </c>
      <c r="CL89" s="21">
        <f t="shared" ca="1" si="110"/>
        <v>4.3584806668801296E-2</v>
      </c>
      <c r="CM89" s="21">
        <f t="shared" ref="CM89:EX89" ca="1" si="111">IF(CM9="","",AVERAGE(CE63:CL63)+CONFIDENCE(0.05,STDEV(BN63:CL63),COUNT(BN63:CL63)))</f>
        <v>4.6339018365321546E-2</v>
      </c>
      <c r="CN89" s="21">
        <f t="shared" ca="1" si="111"/>
        <v>4.2253707029217116E-2</v>
      </c>
      <c r="CO89" s="21">
        <f t="shared" ca="1" si="111"/>
        <v>3.6586062813381538E-2</v>
      </c>
      <c r="CP89" s="21">
        <f t="shared" ca="1" si="111"/>
        <v>3.2455809553569678E-2</v>
      </c>
      <c r="CQ89" s="21">
        <f t="shared" ca="1" si="111"/>
        <v>3.5592087384087479E-2</v>
      </c>
      <c r="CR89" s="21">
        <f t="shared" ca="1" si="111"/>
        <v>4.028119679560388E-2</v>
      </c>
      <c r="CS89" s="21">
        <f t="shared" ca="1" si="111"/>
        <v>4.0644573989773093E-2</v>
      </c>
      <c r="CT89" s="21">
        <f t="shared" ca="1" si="111"/>
        <v>3.446751441459233E-2</v>
      </c>
      <c r="CU89" s="21">
        <f t="shared" ca="1" si="111"/>
        <v>3.8635778353945049E-2</v>
      </c>
      <c r="CV89" s="21">
        <f t="shared" ca="1" si="111"/>
        <v>4.3942161494015086E-2</v>
      </c>
      <c r="CW89" s="21">
        <f t="shared" ca="1" si="111"/>
        <v>4.3685745636889511E-2</v>
      </c>
      <c r="CX89" s="21">
        <f t="shared" ca="1" si="111"/>
        <v>4.4193140960309504E-2</v>
      </c>
      <c r="CY89" s="21">
        <f t="shared" ca="1" si="111"/>
        <v>3.8610622959908761E-2</v>
      </c>
      <c r="CZ89" s="21">
        <f t="shared" ca="1" si="111"/>
        <v>3.5352690102664661E-2</v>
      </c>
      <c r="DA89" s="21">
        <f t="shared" ca="1" si="111"/>
        <v>3.4761005447002648E-2</v>
      </c>
      <c r="DB89" s="21">
        <f t="shared" ca="1" si="111"/>
        <v>4.1394104882206226E-2</v>
      </c>
      <c r="DC89" s="21">
        <f t="shared" ca="1" si="111"/>
        <v>4.0156484759717587E-2</v>
      </c>
      <c r="DD89" s="21">
        <f t="shared" ca="1" si="111"/>
        <v>3.6725195520053433E-2</v>
      </c>
      <c r="DE89" s="21">
        <f t="shared" ca="1" si="111"/>
        <v>4.6743273845345899E-2</v>
      </c>
      <c r="DF89" s="21">
        <f t="shared" ca="1" si="111"/>
        <v>6.2678131490761929E-2</v>
      </c>
      <c r="DG89" s="21">
        <f t="shared" ca="1" si="111"/>
        <v>7.0878070971432922E-2</v>
      </c>
      <c r="DH89" s="21">
        <f t="shared" ca="1" si="111"/>
        <v>7.9115110817770853E-2</v>
      </c>
      <c r="DI89" s="21">
        <f t="shared" ca="1" si="111"/>
        <v>8.7312950748586193E-2</v>
      </c>
      <c r="DJ89" s="21">
        <f t="shared" ca="1" si="111"/>
        <v>8.4897120353657429E-2</v>
      </c>
      <c r="DK89" s="21">
        <f t="shared" ca="1" si="111"/>
        <v>7.8839230987127723E-2</v>
      </c>
      <c r="DL89" s="21">
        <f t="shared" ca="1" si="111"/>
        <v>8.0516476348512639E-2</v>
      </c>
      <c r="DM89" s="21">
        <f t="shared" ca="1" si="111"/>
        <v>7.4573872028563637E-2</v>
      </c>
      <c r="DN89" s="21">
        <f t="shared" ca="1" si="111"/>
        <v>6.2410487747656854E-2</v>
      </c>
      <c r="DO89" s="21">
        <f t="shared" ca="1" si="111"/>
        <v>5.7220703920654876E-2</v>
      </c>
      <c r="DP89" s="21">
        <f t="shared" ca="1" si="111"/>
        <v>4.7499546194144551E-2</v>
      </c>
      <c r="DQ89" s="21">
        <f t="shared" ca="1" si="111"/>
        <v>4.5306464850743605E-2</v>
      </c>
      <c r="DR89" s="21">
        <f t="shared" ca="1" si="111"/>
        <v>4.6771913256243525E-2</v>
      </c>
      <c r="DS89" s="21">
        <f t="shared" ca="1" si="111"/>
        <v>4.5982969223754E-2</v>
      </c>
      <c r="DT89" s="21">
        <f t="shared" ca="1" si="111"/>
        <v>4.3255963679801265E-2</v>
      </c>
      <c r="DU89" s="21">
        <f t="shared" ca="1" si="111"/>
        <v>4.0530049347699965E-2</v>
      </c>
      <c r="DV89" s="21">
        <f t="shared" ca="1" si="111"/>
        <v>3.9479706587647816E-2</v>
      </c>
      <c r="DW89" s="21">
        <f t="shared" ca="1" si="111"/>
        <v>3.5332737127469468E-2</v>
      </c>
      <c r="DX89" s="21">
        <f t="shared" ca="1" si="111"/>
        <v>3.7631128853440415E-2</v>
      </c>
      <c r="DY89" s="21">
        <f t="shared" ca="1" si="111"/>
        <v>3.1694358236202716E-2</v>
      </c>
      <c r="DZ89" s="21">
        <f t="shared" ca="1" si="111"/>
        <v>2.6121795702374054E-2</v>
      </c>
      <c r="EA89" s="21">
        <f t="shared" ca="1" si="111"/>
        <v>2.5672238159977295E-2</v>
      </c>
      <c r="EB89" s="21">
        <f t="shared" ca="1" si="111"/>
        <v>2.7036098000006156E-2</v>
      </c>
      <c r="EC89" s="21">
        <f t="shared" ca="1" si="111"/>
        <v>3.3629313447729854E-2</v>
      </c>
      <c r="ED89" s="21">
        <f t="shared" ca="1" si="111"/>
        <v>3.2948855098002564E-2</v>
      </c>
      <c r="EE89" s="21">
        <f t="shared" ca="1" si="111"/>
        <v>3.2966034376232752E-2</v>
      </c>
      <c r="EF89" s="21">
        <f t="shared" ca="1" si="111"/>
        <v>3.0413546228213541E-2</v>
      </c>
      <c r="EG89" s="21">
        <f t="shared" ca="1" si="111"/>
        <v>3.0432858124491965E-2</v>
      </c>
      <c r="EH89" s="21">
        <f t="shared" ca="1" si="111"/>
        <v>3.1313808156306668E-2</v>
      </c>
      <c r="EI89" s="21">
        <f t="shared" ca="1" si="111"/>
        <v>4.146496704760911E-2</v>
      </c>
      <c r="EJ89" s="21">
        <f t="shared" ca="1" si="111"/>
        <v>4.7109219684267081E-2</v>
      </c>
      <c r="EK89" s="21">
        <f t="shared" ca="1" si="111"/>
        <v>4.6856953395111339E-2</v>
      </c>
      <c r="EL89" s="21">
        <f t="shared" ca="1" si="111"/>
        <v>4.7209416010094707E-2</v>
      </c>
      <c r="EM89" s="21">
        <f t="shared" ca="1" si="111"/>
        <v>4.6695815085693648E-2</v>
      </c>
      <c r="EN89" s="21">
        <f t="shared" ca="1" si="111"/>
        <v>4.9125926163968665E-2</v>
      </c>
      <c r="EO89" s="21">
        <f t="shared" ca="1" si="111"/>
        <v>5.9696820956846711E-2</v>
      </c>
      <c r="EP89" s="21">
        <f t="shared" ca="1" si="111"/>
        <v>6.2217010307142523E-2</v>
      </c>
      <c r="EQ89" s="21">
        <f t="shared" ca="1" si="111"/>
        <v>5.7719851271710171E-2</v>
      </c>
      <c r="ER89" s="21">
        <f t="shared" ca="1" si="111"/>
        <v>5.292510025692794E-2</v>
      </c>
      <c r="ES89" s="21">
        <f t="shared" ca="1" si="111"/>
        <v>5.2676165422982466E-2</v>
      </c>
      <c r="ET89" s="21">
        <f t="shared" ca="1" si="111"/>
        <v>5.3458511946237929E-2</v>
      </c>
      <c r="EU89" s="21">
        <f t="shared" ca="1" si="111"/>
        <v>5.4544797919095583E-2</v>
      </c>
      <c r="EV89" s="21">
        <f t="shared" ca="1" si="111"/>
        <v>5.7592366741052822E-2</v>
      </c>
      <c r="EW89" s="21">
        <f t="shared" ca="1" si="111"/>
        <v>5.2301796314582497E-2</v>
      </c>
      <c r="EX89" s="21">
        <f t="shared" ca="1" si="111"/>
        <v>4.7855285432686412E-2</v>
      </c>
      <c r="EY89" s="21">
        <f t="shared" ref="EY89:HJ89" ca="1" si="112">IF(EY9="","",AVERAGE(EQ63:EX63)+CONFIDENCE(0.05,STDEV(DZ63:EX63),COUNT(DZ63:EX63)))</f>
        <v>4.23273187780858E-2</v>
      </c>
      <c r="EZ89" s="21">
        <f t="shared" ca="1" si="112"/>
        <v>4.2451929659031745E-2</v>
      </c>
      <c r="FA89" s="21">
        <f t="shared" ca="1" si="112"/>
        <v>3.8124005291133044E-2</v>
      </c>
      <c r="FB89" s="21">
        <f t="shared" ca="1" si="112"/>
        <v>3.794040592463619E-2</v>
      </c>
      <c r="FC89" s="21">
        <f t="shared" ca="1" si="112"/>
        <v>3.6435521727056802E-2</v>
      </c>
      <c r="FD89" s="21">
        <f t="shared" ca="1" si="112"/>
        <v>3.2185891289159559E-2</v>
      </c>
      <c r="FE89" s="21">
        <f t="shared" ca="1" si="112"/>
        <v>3.0730481766777451E-2</v>
      </c>
      <c r="FF89" s="21">
        <f t="shared" ca="1" si="112"/>
        <v>2.8779848819035538E-2</v>
      </c>
      <c r="FG89" s="21">
        <f t="shared" ca="1" si="112"/>
        <v>3.6648911533733779E-2</v>
      </c>
      <c r="FH89" s="21">
        <f t="shared" ca="1" si="112"/>
        <v>3.9569711662326042E-2</v>
      </c>
      <c r="FI89" s="21">
        <f t="shared" ca="1" si="112"/>
        <v>3.8149906699377352E-2</v>
      </c>
      <c r="FJ89" s="21">
        <f t="shared" ca="1" si="112"/>
        <v>3.7551799803558182E-2</v>
      </c>
      <c r="FK89" s="21">
        <f t="shared" ca="1" si="112"/>
        <v>3.7992297335371294E-2</v>
      </c>
      <c r="FL89" s="21">
        <f t="shared" ca="1" si="112"/>
        <v>3.8472665788562795E-2</v>
      </c>
      <c r="FM89" s="21">
        <f t="shared" ca="1" si="112"/>
        <v>4.4567939903221339E-2</v>
      </c>
      <c r="FN89" s="21">
        <f t="shared" ca="1" si="112"/>
        <v>5.7515871557455703E-2</v>
      </c>
      <c r="FO89" s="21">
        <f t="shared" ca="1" si="112"/>
        <v>5.9197927582015815E-2</v>
      </c>
      <c r="FP89" s="21">
        <f t="shared" ca="1" si="112"/>
        <v>5.5191008689230284E-2</v>
      </c>
      <c r="FQ89" s="21">
        <f t="shared" ca="1" si="112"/>
        <v>6.0011312564653786E-2</v>
      </c>
      <c r="FR89" s="21">
        <f t="shared" ca="1" si="112"/>
        <v>5.8219029455236729E-2</v>
      </c>
      <c r="FS89" s="21">
        <f t="shared" ca="1" si="112"/>
        <v>6.4780036065636024E-2</v>
      </c>
      <c r="FT89" s="21">
        <f t="shared" ca="1" si="112"/>
        <v>7.6113747226830369E-2</v>
      </c>
      <c r="FU89" s="21">
        <f t="shared" ca="1" si="112"/>
        <v>7.9090039385886893E-2</v>
      </c>
      <c r="FV89" s="21">
        <f t="shared" ca="1" si="112"/>
        <v>7.7543488812023387E-2</v>
      </c>
      <c r="FW89" s="21">
        <f t="shared" ca="1" si="112"/>
        <v>8.1058579564869199E-2</v>
      </c>
      <c r="FX89" s="21">
        <f t="shared" ca="1" si="112"/>
        <v>8.5490878747827057E-2</v>
      </c>
      <c r="FY89" s="21">
        <f t="shared" ca="1" si="112"/>
        <v>8.1289756122216408E-2</v>
      </c>
      <c r="FZ89" s="21">
        <f t="shared" ca="1" si="112"/>
        <v>8.832039728002937E-2</v>
      </c>
      <c r="GA89" s="21">
        <f t="shared" ca="1" si="112"/>
        <v>9.6309171766962756E-2</v>
      </c>
      <c r="GB89" s="21">
        <f t="shared" ca="1" si="112"/>
        <v>9.7374361925950545E-2</v>
      </c>
      <c r="GC89" s="21">
        <f t="shared" ca="1" si="112"/>
        <v>0.10127300899082484</v>
      </c>
      <c r="GD89" s="21">
        <f t="shared" ca="1" si="112"/>
        <v>0.10498430150760921</v>
      </c>
      <c r="GE89" s="21">
        <f t="shared" ca="1" si="112"/>
        <v>0.10208376751949247</v>
      </c>
      <c r="GF89" s="21">
        <f t="shared" ca="1" si="112"/>
        <v>9.8566336201592664E-2</v>
      </c>
      <c r="GG89" s="21">
        <f t="shared" ca="1" si="112"/>
        <v>0.10078006485897445</v>
      </c>
      <c r="GH89" s="21">
        <f t="shared" ca="1" si="112"/>
        <v>9.4227176375753424E-2</v>
      </c>
      <c r="GI89" s="21">
        <f t="shared" ca="1" si="112"/>
        <v>8.4056547353644678E-2</v>
      </c>
      <c r="GJ89" s="21">
        <f t="shared" ca="1" si="112"/>
        <v>8.0605403656113239E-2</v>
      </c>
      <c r="GK89" s="21">
        <f t="shared" ca="1" si="112"/>
        <v>7.5000537714667317E-2</v>
      </c>
      <c r="GL89" s="21">
        <f t="shared" ca="1" si="112"/>
        <v>7.0803203975730186E-2</v>
      </c>
      <c r="GM89" s="21">
        <f t="shared" ca="1" si="112"/>
        <v>7.2661322309613238E-2</v>
      </c>
      <c r="GN89" s="21">
        <f t="shared" ca="1" si="112"/>
        <v>7.7887003120693049E-2</v>
      </c>
      <c r="GO89" s="21">
        <f t="shared" ca="1" si="112"/>
        <v>8.6597591546464917E-2</v>
      </c>
      <c r="GP89" s="21">
        <f t="shared" ca="1" si="112"/>
        <v>9.112711335948831E-2</v>
      </c>
      <c r="GQ89" s="21">
        <f t="shared" ca="1" si="112"/>
        <v>0.11696691024476592</v>
      </c>
      <c r="GR89" s="21">
        <f t="shared" ca="1" si="112"/>
        <v>0.12005297950105817</v>
      </c>
      <c r="GS89" s="21">
        <f t="shared" ca="1" si="112"/>
        <v>0.12108392835254408</v>
      </c>
      <c r="GT89" s="21">
        <f t="shared" ca="1" si="112"/>
        <v>0.12495272433676466</v>
      </c>
      <c r="GU89" s="21">
        <f t="shared" ca="1" si="112"/>
        <v>0.12770842041633113</v>
      </c>
      <c r="GV89" s="21">
        <f t="shared" ca="1" si="112"/>
        <v>0.1334257844187263</v>
      </c>
      <c r="GW89" s="21">
        <f t="shared" ca="1" si="112"/>
        <v>0.13905320039212152</v>
      </c>
      <c r="GX89" s="21">
        <f t="shared" ca="1" si="112"/>
        <v>0.1635346278996434</v>
      </c>
      <c r="GY89" s="21">
        <f t="shared" ca="1" si="112"/>
        <v>0.1236487591645547</v>
      </c>
      <c r="GZ89" s="21">
        <f t="shared" ca="1" si="112"/>
        <v>0.11435071191049374</v>
      </c>
      <c r="HA89" s="21" t="str">
        <f t="shared" si="112"/>
        <v/>
      </c>
      <c r="HB89" s="21" t="str">
        <f t="shared" si="112"/>
        <v/>
      </c>
      <c r="HC89" s="21" t="str">
        <f t="shared" si="112"/>
        <v/>
      </c>
      <c r="HD89" s="21" t="str">
        <f t="shared" si="112"/>
        <v/>
      </c>
      <c r="HE89" s="21" t="str">
        <f t="shared" si="112"/>
        <v/>
      </c>
      <c r="HF89" s="21" t="str">
        <f t="shared" si="112"/>
        <v/>
      </c>
      <c r="HG89" s="21" t="str">
        <f t="shared" si="112"/>
        <v/>
      </c>
      <c r="HH89" s="21" t="str">
        <f t="shared" si="112"/>
        <v/>
      </c>
      <c r="HI89" s="21" t="str">
        <f t="shared" si="112"/>
        <v/>
      </c>
      <c r="HJ89" s="21" t="str">
        <f t="shared" si="112"/>
        <v/>
      </c>
      <c r="HK89" s="21" t="str">
        <f t="shared" ref="HK89:JH89" si="113">IF(HK9="","",AVERAGE(HC63:HJ63)+CONFIDENCE(0.05,STDEV(GL63:HJ63),COUNT(GL63:HJ63)))</f>
        <v/>
      </c>
      <c r="HL89" s="21" t="str">
        <f t="shared" si="113"/>
        <v/>
      </c>
      <c r="HM89" s="21" t="str">
        <f t="shared" si="113"/>
        <v/>
      </c>
      <c r="HN89" s="21" t="str">
        <f t="shared" si="113"/>
        <v/>
      </c>
      <c r="HO89" s="21" t="str">
        <f t="shared" si="113"/>
        <v/>
      </c>
      <c r="HP89" s="21" t="str">
        <f t="shared" si="113"/>
        <v/>
      </c>
      <c r="HQ89" s="21" t="str">
        <f t="shared" si="113"/>
        <v/>
      </c>
      <c r="HR89" s="21" t="str">
        <f t="shared" si="113"/>
        <v/>
      </c>
      <c r="HS89" s="21" t="str">
        <f t="shared" si="113"/>
        <v/>
      </c>
      <c r="HT89" s="21" t="str">
        <f t="shared" si="113"/>
        <v/>
      </c>
      <c r="HU89" s="21" t="str">
        <f t="shared" si="113"/>
        <v/>
      </c>
      <c r="HV89" s="21" t="str">
        <f t="shared" si="113"/>
        <v/>
      </c>
      <c r="HW89" s="21" t="str">
        <f t="shared" si="113"/>
        <v/>
      </c>
      <c r="HX89" s="21" t="str">
        <f t="shared" si="113"/>
        <v/>
      </c>
      <c r="HY89" s="21" t="str">
        <f t="shared" si="113"/>
        <v/>
      </c>
      <c r="HZ89" s="21" t="str">
        <f t="shared" si="113"/>
        <v/>
      </c>
      <c r="IA89" s="21" t="str">
        <f t="shared" si="113"/>
        <v/>
      </c>
      <c r="IB89" s="21" t="str">
        <f t="shared" si="113"/>
        <v/>
      </c>
      <c r="IC89" s="21" t="str">
        <f t="shared" si="113"/>
        <v/>
      </c>
      <c r="ID89" s="21" t="str">
        <f t="shared" si="113"/>
        <v/>
      </c>
      <c r="IE89" s="21" t="str">
        <f t="shared" si="113"/>
        <v/>
      </c>
      <c r="IF89" s="21" t="str">
        <f t="shared" si="113"/>
        <v/>
      </c>
      <c r="IG89" s="21" t="str">
        <f t="shared" si="113"/>
        <v/>
      </c>
      <c r="IH89" s="21" t="str">
        <f t="shared" si="113"/>
        <v/>
      </c>
      <c r="II89" s="21" t="str">
        <f t="shared" si="113"/>
        <v/>
      </c>
      <c r="IJ89" s="21" t="str">
        <f t="shared" si="113"/>
        <v/>
      </c>
      <c r="IK89" s="21" t="str">
        <f t="shared" si="113"/>
        <v/>
      </c>
      <c r="IL89" s="21" t="str">
        <f t="shared" si="113"/>
        <v/>
      </c>
      <c r="IM89" s="21" t="str">
        <f t="shared" si="113"/>
        <v/>
      </c>
      <c r="IN89" s="21" t="str">
        <f t="shared" si="113"/>
        <v/>
      </c>
      <c r="IO89" s="21" t="str">
        <f t="shared" si="113"/>
        <v/>
      </c>
      <c r="IP89" s="21" t="str">
        <f t="shared" si="113"/>
        <v/>
      </c>
      <c r="IQ89" s="21" t="str">
        <f t="shared" si="113"/>
        <v/>
      </c>
      <c r="IR89" s="21" t="str">
        <f t="shared" si="113"/>
        <v/>
      </c>
      <c r="IS89" s="21" t="str">
        <f t="shared" si="113"/>
        <v/>
      </c>
      <c r="IT89" s="21" t="str">
        <f t="shared" si="113"/>
        <v/>
      </c>
      <c r="IU89" s="21" t="str">
        <f t="shared" si="113"/>
        <v/>
      </c>
      <c r="IV89" s="21" t="str">
        <f t="shared" si="113"/>
        <v/>
      </c>
      <c r="IW89" s="21" t="str">
        <f t="shared" si="113"/>
        <v/>
      </c>
      <c r="IX89" s="21" t="str">
        <f t="shared" si="113"/>
        <v/>
      </c>
      <c r="IY89" s="21" t="str">
        <f t="shared" si="113"/>
        <v/>
      </c>
      <c r="IZ89" s="21" t="str">
        <f t="shared" si="113"/>
        <v/>
      </c>
      <c r="JA89" s="21" t="str">
        <f t="shared" si="113"/>
        <v/>
      </c>
      <c r="JB89" s="21" t="str">
        <f t="shared" si="113"/>
        <v/>
      </c>
      <c r="JC89" s="21" t="str">
        <f t="shared" si="113"/>
        <v/>
      </c>
      <c r="JD89" s="21" t="str">
        <f t="shared" si="113"/>
        <v/>
      </c>
      <c r="JE89" s="21" t="str">
        <f t="shared" si="113"/>
        <v/>
      </c>
      <c r="JF89" s="21" t="str">
        <f t="shared" si="113"/>
        <v/>
      </c>
      <c r="JG89" s="21" t="str">
        <f t="shared" si="113"/>
        <v/>
      </c>
      <c r="JH89" s="21" t="str">
        <f t="shared" si="113"/>
        <v/>
      </c>
    </row>
    <row r="90" spans="1:336" x14ac:dyDescent="0.25"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>
        <f t="shared" ref="AA90:CL90" ca="1" si="114">IF(AA10="","",AVERAGE(R64:Z64)+CONFIDENCE(0.05,STDEV(B64:Z64),COUNT(B64:Z64)))</f>
        <v>3.8048696997416045E-2</v>
      </c>
      <c r="AB90" s="21">
        <f t="shared" ca="1" si="114"/>
        <v>3.5581571167724292E-2</v>
      </c>
      <c r="AC90" s="21">
        <f t="shared" ca="1" si="114"/>
        <v>3.5043053733793905E-2</v>
      </c>
      <c r="AD90" s="21">
        <f t="shared" ca="1" si="114"/>
        <v>3.523083938651498E-2</v>
      </c>
      <c r="AE90" s="21">
        <f t="shared" ca="1" si="114"/>
        <v>3.4876781131035088E-2</v>
      </c>
      <c r="AF90" s="21">
        <f t="shared" ca="1" si="114"/>
        <v>3.3018940186600503E-2</v>
      </c>
      <c r="AG90" s="21">
        <f t="shared" ca="1" si="114"/>
        <v>3.4094349159099147E-2</v>
      </c>
      <c r="AH90" s="21">
        <f t="shared" ca="1" si="114"/>
        <v>3.5360247972997347E-2</v>
      </c>
      <c r="AI90" s="21">
        <f t="shared" ca="1" si="114"/>
        <v>3.5668293102919454E-2</v>
      </c>
      <c r="AJ90" s="21">
        <f t="shared" ca="1" si="114"/>
        <v>3.5650880582850146E-2</v>
      </c>
      <c r="AK90" s="21">
        <f t="shared" ca="1" si="114"/>
        <v>3.4780925581080556E-2</v>
      </c>
      <c r="AL90" s="21">
        <f t="shared" ca="1" si="114"/>
        <v>3.5470681357522155E-2</v>
      </c>
      <c r="AM90" s="21">
        <f t="shared" ca="1" si="114"/>
        <v>4.0107512763583181E-2</v>
      </c>
      <c r="AN90" s="21">
        <f t="shared" ca="1" si="114"/>
        <v>4.3723473237416266E-2</v>
      </c>
      <c r="AO90" s="21">
        <f t="shared" ca="1" si="114"/>
        <v>4.6584940400705953E-2</v>
      </c>
      <c r="AP90" s="21">
        <f t="shared" ca="1" si="114"/>
        <v>4.9613676018714255E-2</v>
      </c>
      <c r="AQ90" s="21">
        <f t="shared" ca="1" si="114"/>
        <v>4.8157843082136075E-2</v>
      </c>
      <c r="AR90" s="21">
        <f t="shared" ca="1" si="114"/>
        <v>5.0961785917356853E-2</v>
      </c>
      <c r="AS90" s="21">
        <f t="shared" ca="1" si="114"/>
        <v>5.7249434758276818E-2</v>
      </c>
      <c r="AT90" s="21">
        <f t="shared" ca="1" si="114"/>
        <v>6.5273104791733719E-2</v>
      </c>
      <c r="AU90" s="21">
        <f t="shared" ca="1" si="114"/>
        <v>7.4265986732860376E-2</v>
      </c>
      <c r="AV90" s="21">
        <f t="shared" ca="1" si="114"/>
        <v>8.5736219773159011E-2</v>
      </c>
      <c r="AW90" s="21">
        <f t="shared" ca="1" si="114"/>
        <v>9.9620113243659159E-2</v>
      </c>
      <c r="AX90" s="21">
        <f t="shared" ca="1" si="114"/>
        <v>0.11659160303554077</v>
      </c>
      <c r="AY90" s="21">
        <f t="shared" ca="1" si="114"/>
        <v>0.1359167415990658</v>
      </c>
      <c r="AZ90" s="21">
        <f t="shared" ca="1" si="114"/>
        <v>0.1562452370384442</v>
      </c>
      <c r="BA90" s="21">
        <f t="shared" ca="1" si="114"/>
        <v>0.18103538842824562</v>
      </c>
      <c r="BB90" s="21">
        <f t="shared" ca="1" si="114"/>
        <v>0.20777187605707581</v>
      </c>
      <c r="BC90" s="21">
        <f t="shared" ca="1" si="114"/>
        <v>0.23432584513676993</v>
      </c>
      <c r="BD90" s="21">
        <f t="shared" ca="1" si="114"/>
        <v>0.25419475864241753</v>
      </c>
      <c r="BE90" s="21">
        <f t="shared" ca="1" si="114"/>
        <v>0.26476160032248447</v>
      </c>
      <c r="BF90" s="21">
        <f t="shared" ca="1" si="114"/>
        <v>0.27049666585658211</v>
      </c>
      <c r="BG90" s="21">
        <f t="shared" ca="1" si="114"/>
        <v>0.27243899981199909</v>
      </c>
      <c r="BH90" s="21">
        <f t="shared" ca="1" si="114"/>
        <v>0.27146292972219366</v>
      </c>
      <c r="BI90" s="21">
        <f t="shared" ca="1" si="114"/>
        <v>0.25466851699042925</v>
      </c>
      <c r="BJ90" s="21">
        <f t="shared" ca="1" si="114"/>
        <v>0.23145415308074713</v>
      </c>
      <c r="BK90" s="21">
        <f t="shared" ca="1" si="114"/>
        <v>0.21565727971977655</v>
      </c>
      <c r="BL90" s="21">
        <f t="shared" ca="1" si="114"/>
        <v>0.19623531774893871</v>
      </c>
      <c r="BM90" s="21">
        <f t="shared" ca="1" si="114"/>
        <v>0.18287373835538157</v>
      </c>
      <c r="BN90" s="21">
        <f t="shared" ca="1" si="114"/>
        <v>0.18190839846211071</v>
      </c>
      <c r="BO90" s="21">
        <f t="shared" ca="1" si="114"/>
        <v>0.18108791568259738</v>
      </c>
      <c r="BP90" s="21">
        <f t="shared" ca="1" si="114"/>
        <v>0.17879168601458034</v>
      </c>
      <c r="BQ90" s="21">
        <f t="shared" ca="1" si="114"/>
        <v>0.16994574126699913</v>
      </c>
      <c r="BR90" s="21">
        <f t="shared" ca="1" si="114"/>
        <v>0.16703435070346964</v>
      </c>
      <c r="BS90" s="21">
        <f t="shared" ca="1" si="114"/>
        <v>0.16622793160235749</v>
      </c>
      <c r="BT90" s="21">
        <f t="shared" ca="1" si="114"/>
        <v>0.15357637323499682</v>
      </c>
      <c r="BU90" s="21">
        <f t="shared" ca="1" si="114"/>
        <v>0.15224968182677223</v>
      </c>
      <c r="BV90" s="21">
        <f t="shared" ca="1" si="114"/>
        <v>0.14061066256375732</v>
      </c>
      <c r="BW90" s="21">
        <f t="shared" ca="1" si="114"/>
        <v>0.12117892111722783</v>
      </c>
      <c r="BX90" s="21">
        <f t="shared" ca="1" si="114"/>
        <v>0.10506129012245791</v>
      </c>
      <c r="BY90" s="21">
        <f t="shared" ca="1" si="114"/>
        <v>8.9491767014505674E-2</v>
      </c>
      <c r="BZ90" s="21">
        <f t="shared" ca="1" si="114"/>
        <v>8.1745165228686911E-2</v>
      </c>
      <c r="CA90" s="21">
        <f t="shared" ca="1" si="114"/>
        <v>8.6951333725449026E-2</v>
      </c>
      <c r="CB90" s="21">
        <f t="shared" ca="1" si="114"/>
        <v>8.6322125502703156E-2</v>
      </c>
      <c r="CC90" s="21">
        <f t="shared" ca="1" si="114"/>
        <v>8.3491808443933821E-2</v>
      </c>
      <c r="CD90" s="21">
        <f t="shared" ca="1" si="114"/>
        <v>7.2844433289720983E-2</v>
      </c>
      <c r="CE90" s="21">
        <f t="shared" ca="1" si="114"/>
        <v>7.0799832365288015E-2</v>
      </c>
      <c r="CF90" s="21">
        <f t="shared" ca="1" si="114"/>
        <v>6.8814888825257117E-2</v>
      </c>
      <c r="CG90" s="21">
        <f t="shared" ca="1" si="114"/>
        <v>6.2085555821571478E-2</v>
      </c>
      <c r="CH90" s="21">
        <f t="shared" ca="1" si="114"/>
        <v>5.8123677217315053E-2</v>
      </c>
      <c r="CI90" s="21">
        <f t="shared" ca="1" si="114"/>
        <v>5.1657110992748126E-2</v>
      </c>
      <c r="CJ90" s="21">
        <f t="shared" ca="1" si="114"/>
        <v>4.390471605693072E-2</v>
      </c>
      <c r="CK90" s="21">
        <f t="shared" ca="1" si="114"/>
        <v>4.2849374476529319E-2</v>
      </c>
      <c r="CL90" s="21">
        <f t="shared" ca="1" si="114"/>
        <v>4.6994809768677176E-2</v>
      </c>
      <c r="CM90" s="21">
        <f t="shared" ref="CM90:EX90" ca="1" si="115">IF(CM10="","",AVERAGE(CD64:CL64)+CONFIDENCE(0.05,STDEV(BN64:CL64),COUNT(BN64:CL64)))</f>
        <v>4.5820437564995473E-2</v>
      </c>
      <c r="CN90" s="21">
        <f t="shared" ca="1" si="115"/>
        <v>4.2727480631528474E-2</v>
      </c>
      <c r="CO90" s="21">
        <f t="shared" ca="1" si="115"/>
        <v>3.5502292133090363E-2</v>
      </c>
      <c r="CP90" s="21">
        <f t="shared" ca="1" si="115"/>
        <v>3.1985480198222893E-2</v>
      </c>
      <c r="CQ90" s="21">
        <f t="shared" ca="1" si="115"/>
        <v>3.7807499629456488E-2</v>
      </c>
      <c r="CR90" s="21">
        <f t="shared" ca="1" si="115"/>
        <v>4.2309423027752618E-2</v>
      </c>
      <c r="CS90" s="21">
        <f t="shared" ca="1" si="115"/>
        <v>4.2675817355702243E-2</v>
      </c>
      <c r="CT90" s="21">
        <f t="shared" ca="1" si="115"/>
        <v>4.2229103894438916E-2</v>
      </c>
      <c r="CU90" s="21">
        <f t="shared" ca="1" si="115"/>
        <v>4.6141797687907216E-2</v>
      </c>
      <c r="CV90" s="21">
        <f t="shared" ca="1" si="115"/>
        <v>4.4967056704946697E-2</v>
      </c>
      <c r="CW90" s="21">
        <f t="shared" ca="1" si="115"/>
        <v>4.3174252998485041E-2</v>
      </c>
      <c r="CX90" s="21">
        <f t="shared" ca="1" si="115"/>
        <v>4.3023720717919094E-2</v>
      </c>
      <c r="CY90" s="21">
        <f t="shared" ca="1" si="115"/>
        <v>4.5376133434611214E-2</v>
      </c>
      <c r="CZ90" s="21">
        <f t="shared" ca="1" si="115"/>
        <v>4.0105996072225078E-2</v>
      </c>
      <c r="DA90" s="21">
        <f t="shared" ca="1" si="115"/>
        <v>3.4769827460503472E-2</v>
      </c>
      <c r="DB90" s="21">
        <f t="shared" ca="1" si="115"/>
        <v>4.5400570415873975E-2</v>
      </c>
      <c r="DC90" s="21">
        <f t="shared" ca="1" si="115"/>
        <v>5.2533565084586523E-2</v>
      </c>
      <c r="DD90" s="21">
        <f t="shared" ca="1" si="115"/>
        <v>4.6757366064854207E-2</v>
      </c>
      <c r="DE90" s="21">
        <f t="shared" ca="1" si="115"/>
        <v>5.4655203624107584E-2</v>
      </c>
      <c r="DF90" s="21">
        <f t="shared" ca="1" si="115"/>
        <v>7.0125912828735648E-2</v>
      </c>
      <c r="DG90" s="21">
        <f t="shared" ca="1" si="115"/>
        <v>7.897701921820928E-2</v>
      </c>
      <c r="DH90" s="21">
        <f t="shared" ca="1" si="115"/>
        <v>9.0446683627626284E-2</v>
      </c>
      <c r="DI90" s="21">
        <f t="shared" ca="1" si="115"/>
        <v>9.2185010891130362E-2</v>
      </c>
      <c r="DJ90" s="21">
        <f t="shared" ca="1" si="115"/>
        <v>9.7691921325980008E-2</v>
      </c>
      <c r="DK90" s="21">
        <f t="shared" ca="1" si="115"/>
        <v>9.4297837184228364E-2</v>
      </c>
      <c r="DL90" s="21">
        <f t="shared" ca="1" si="115"/>
        <v>8.8439381453662577E-2</v>
      </c>
      <c r="DM90" s="21">
        <f t="shared" ca="1" si="115"/>
        <v>8.8518077410159088E-2</v>
      </c>
      <c r="DN90" s="21">
        <f t="shared" ca="1" si="115"/>
        <v>8.0824670257664308E-2</v>
      </c>
      <c r="DO90" s="21">
        <f t="shared" ca="1" si="115"/>
        <v>7.0963385306725163E-2</v>
      </c>
      <c r="DP90" s="21">
        <f t="shared" ca="1" si="115"/>
        <v>6.3055560702115265E-2</v>
      </c>
      <c r="DQ90" s="21">
        <f t="shared" ca="1" si="115"/>
        <v>5.5470925022862327E-2</v>
      </c>
      <c r="DR90" s="21">
        <f t="shared" ca="1" si="115"/>
        <v>5.6230244522425185E-2</v>
      </c>
      <c r="DS90" s="21">
        <f t="shared" ca="1" si="115"/>
        <v>5.1314766464377028E-2</v>
      </c>
      <c r="DT90" s="21">
        <f t="shared" ca="1" si="115"/>
        <v>4.5348799211784994E-2</v>
      </c>
      <c r="DU90" s="21">
        <f t="shared" ca="1" si="115"/>
        <v>4.2525118203640605E-2</v>
      </c>
      <c r="DV90" s="21">
        <f t="shared" ca="1" si="115"/>
        <v>3.9570857861769865E-2</v>
      </c>
      <c r="DW90" s="21">
        <f t="shared" ca="1" si="115"/>
        <v>3.7600738646710638E-2</v>
      </c>
      <c r="DX90" s="21">
        <f t="shared" ca="1" si="115"/>
        <v>3.5660899494597033E-2</v>
      </c>
      <c r="DY90" s="21">
        <f t="shared" ca="1" si="115"/>
        <v>3.6412351479651224E-2</v>
      </c>
      <c r="DZ90" s="21">
        <f t="shared" ca="1" si="115"/>
        <v>3.2569608261607916E-2</v>
      </c>
      <c r="EA90" s="21">
        <f t="shared" ca="1" si="115"/>
        <v>2.9925457851329711E-2</v>
      </c>
      <c r="EB90" s="21">
        <f t="shared" ca="1" si="115"/>
        <v>3.2106928518345249E-2</v>
      </c>
      <c r="EC90" s="21">
        <f t="shared" ca="1" si="115"/>
        <v>3.8031839951183671E-2</v>
      </c>
      <c r="ED90" s="21">
        <f t="shared" ca="1" si="115"/>
        <v>3.6130777845605186E-2</v>
      </c>
      <c r="EE90" s="21">
        <f t="shared" ca="1" si="115"/>
        <v>3.4345469340801363E-2</v>
      </c>
      <c r="EF90" s="21">
        <f t="shared" ca="1" si="115"/>
        <v>3.5069739133644334E-2</v>
      </c>
      <c r="EG90" s="21">
        <f t="shared" ca="1" si="115"/>
        <v>3.2550743720965516E-2</v>
      </c>
      <c r="EH90" s="21">
        <f t="shared" ca="1" si="115"/>
        <v>3.4534293930592867E-2</v>
      </c>
      <c r="EI90" s="21">
        <f t="shared" ca="1" si="115"/>
        <v>4.1849107938602192E-2</v>
      </c>
      <c r="EJ90" s="21">
        <f t="shared" ca="1" si="115"/>
        <v>4.7120205391125464E-2</v>
      </c>
      <c r="EK90" s="21">
        <f t="shared" ca="1" si="115"/>
        <v>5.028135228009499E-2</v>
      </c>
      <c r="EL90" s="21">
        <f t="shared" ca="1" si="115"/>
        <v>4.4948318647238333E-2</v>
      </c>
      <c r="EM90" s="21">
        <f t="shared" ca="1" si="115"/>
        <v>4.8087827230581193E-2</v>
      </c>
      <c r="EN90" s="21">
        <f t="shared" ca="1" si="115"/>
        <v>5.3091239878323301E-2</v>
      </c>
      <c r="EO90" s="21">
        <f t="shared" ca="1" si="115"/>
        <v>6.415395855793346E-2</v>
      </c>
      <c r="EP90" s="21">
        <f t="shared" ca="1" si="115"/>
        <v>6.5735486166427978E-2</v>
      </c>
      <c r="EQ90" s="21">
        <f t="shared" ca="1" si="115"/>
        <v>6.6968768442369334E-2</v>
      </c>
      <c r="ER90" s="21">
        <f t="shared" ca="1" si="115"/>
        <v>6.3279404680872314E-2</v>
      </c>
      <c r="ES90" s="21">
        <f t="shared" ca="1" si="115"/>
        <v>5.9800787778407249E-2</v>
      </c>
      <c r="ET90" s="21">
        <f t="shared" ca="1" si="115"/>
        <v>5.3441748972115968E-2</v>
      </c>
      <c r="EU90" s="21">
        <f t="shared" ca="1" si="115"/>
        <v>5.4444729544660821E-2</v>
      </c>
      <c r="EV90" s="21">
        <f t="shared" ca="1" si="115"/>
        <v>5.6548029001023487E-2</v>
      </c>
      <c r="EW90" s="21">
        <f t="shared" ca="1" si="115"/>
        <v>5.6819471389257775E-2</v>
      </c>
      <c r="EX90" s="21">
        <f t="shared" ca="1" si="115"/>
        <v>4.7967407990220992E-2</v>
      </c>
      <c r="EY90" s="21">
        <f t="shared" ref="EY90:HJ90" ca="1" si="116">IF(EY10="","",AVERAGE(EP64:EX64)+CONFIDENCE(0.05,STDEV(DZ64:EX64),COUNT(DZ64:EX64)))</f>
        <v>4.5027721067936302E-2</v>
      </c>
      <c r="EZ90" s="21">
        <f t="shared" ca="1" si="116"/>
        <v>4.5925713457339645E-2</v>
      </c>
      <c r="FA90" s="21">
        <f t="shared" ca="1" si="116"/>
        <v>4.0993765660228471E-2</v>
      </c>
      <c r="FB90" s="21">
        <f t="shared" ca="1" si="116"/>
        <v>3.768428436286711E-2</v>
      </c>
      <c r="FC90" s="21">
        <f t="shared" ca="1" si="116"/>
        <v>3.808774182191807E-2</v>
      </c>
      <c r="FD90" s="21">
        <f t="shared" ca="1" si="116"/>
        <v>3.8614179598369575E-2</v>
      </c>
      <c r="FE90" s="21">
        <f t="shared" ca="1" si="116"/>
        <v>3.3566851283041078E-2</v>
      </c>
      <c r="FF90" s="21">
        <f t="shared" ca="1" si="116"/>
        <v>2.8157396996615548E-2</v>
      </c>
      <c r="FG90" s="21">
        <f t="shared" ca="1" si="116"/>
        <v>3.2611781556371622E-2</v>
      </c>
      <c r="FH90" s="21">
        <f t="shared" ca="1" si="116"/>
        <v>3.4446474130413428E-2</v>
      </c>
      <c r="FI90" s="21">
        <f t="shared" ca="1" si="116"/>
        <v>2.9231119670607333E-2</v>
      </c>
      <c r="FJ90" s="21">
        <f t="shared" ca="1" si="116"/>
        <v>2.9840932251489882E-2</v>
      </c>
      <c r="FK90" s="21">
        <f t="shared" ca="1" si="116"/>
        <v>3.0813279476951248E-2</v>
      </c>
      <c r="FL90" s="21">
        <f t="shared" ca="1" si="116"/>
        <v>3.2281705129774164E-2</v>
      </c>
      <c r="FM90" s="21">
        <f t="shared" ca="1" si="116"/>
        <v>4.1918382132537901E-2</v>
      </c>
      <c r="FN90" s="21">
        <f t="shared" ca="1" si="116"/>
        <v>5.2825010634935568E-2</v>
      </c>
      <c r="FO90" s="21">
        <f t="shared" ca="1" si="116"/>
        <v>6.2291833497716262E-2</v>
      </c>
      <c r="FP90" s="21">
        <f t="shared" ca="1" si="116"/>
        <v>5.9608705587707575E-2</v>
      </c>
      <c r="FQ90" s="21">
        <f t="shared" ca="1" si="116"/>
        <v>5.7135768262713188E-2</v>
      </c>
      <c r="FR90" s="21">
        <f t="shared" ca="1" si="116"/>
        <v>6.0800493130077911E-2</v>
      </c>
      <c r="FS90" s="21">
        <f t="shared" ca="1" si="116"/>
        <v>7.1430602918528111E-2</v>
      </c>
      <c r="FT90" s="21">
        <f t="shared" ca="1" si="116"/>
        <v>7.9953138094717921E-2</v>
      </c>
      <c r="FU90" s="21">
        <f t="shared" ca="1" si="116"/>
        <v>9.0708689880320437E-2</v>
      </c>
      <c r="FV90" s="21">
        <f t="shared" ca="1" si="116"/>
        <v>9.0439618432821806E-2</v>
      </c>
      <c r="FW90" s="21">
        <f t="shared" ca="1" si="116"/>
        <v>8.7798122889004682E-2</v>
      </c>
      <c r="FX90" s="21">
        <f t="shared" ca="1" si="116"/>
        <v>8.46080460083143E-2</v>
      </c>
      <c r="FY90" s="21">
        <f t="shared" ca="1" si="116"/>
        <v>8.1417294731746567E-2</v>
      </c>
      <c r="FZ90" s="21">
        <f t="shared" ca="1" si="116"/>
        <v>8.6907932583986894E-2</v>
      </c>
      <c r="GA90" s="21">
        <f t="shared" ca="1" si="116"/>
        <v>9.9638439229542727E-2</v>
      </c>
      <c r="GB90" s="21">
        <f t="shared" ca="1" si="116"/>
        <v>0.10357264502053753</v>
      </c>
      <c r="GC90" s="21">
        <f t="shared" ca="1" si="116"/>
        <v>0.10665717030597682</v>
      </c>
      <c r="GD90" s="21">
        <f t="shared" ca="1" si="116"/>
        <v>0.10585297885298517</v>
      </c>
      <c r="GE90" s="21">
        <f t="shared" ca="1" si="116"/>
        <v>0.10346004204607312</v>
      </c>
      <c r="GF90" s="21">
        <f t="shared" ca="1" si="116"/>
        <v>0.10009351696543119</v>
      </c>
      <c r="GG90" s="21">
        <f t="shared" ca="1" si="116"/>
        <v>9.4922693611704911E-2</v>
      </c>
      <c r="GH90" s="21">
        <f t="shared" ca="1" si="116"/>
        <v>9.9282149490998561E-2</v>
      </c>
      <c r="GI90" s="21">
        <f t="shared" ca="1" si="116"/>
        <v>0.10184358169793506</v>
      </c>
      <c r="GJ90" s="21">
        <f t="shared" ca="1" si="116"/>
        <v>9.523857471701061E-2</v>
      </c>
      <c r="GK90" s="21">
        <f t="shared" ca="1" si="116"/>
        <v>8.8879041262854966E-2</v>
      </c>
      <c r="GL90" s="21">
        <f t="shared" ca="1" si="116"/>
        <v>8.4130690050963255E-2</v>
      </c>
      <c r="GM90" s="21">
        <f t="shared" ca="1" si="116"/>
        <v>8.2576133788314326E-2</v>
      </c>
      <c r="GN90" s="21">
        <f t="shared" ca="1" si="116"/>
        <v>7.9553702049662528E-2</v>
      </c>
      <c r="GO90" s="21">
        <f t="shared" ca="1" si="116"/>
        <v>8.3684843109989693E-2</v>
      </c>
      <c r="GP90" s="21">
        <f t="shared" ca="1" si="116"/>
        <v>8.9739618536856414E-2</v>
      </c>
      <c r="GQ90" s="21">
        <f t="shared" ca="1" si="116"/>
        <v>0.11082113872433547</v>
      </c>
      <c r="GR90" s="21">
        <f t="shared" ca="1" si="116"/>
        <v>0.11345092262536904</v>
      </c>
      <c r="GS90" s="21">
        <f t="shared" ca="1" si="116"/>
        <v>0.11566477149421778</v>
      </c>
      <c r="GT90" s="21">
        <f t="shared" ca="1" si="116"/>
        <v>0.1191874398695377</v>
      </c>
      <c r="GU90" s="21">
        <f t="shared" ca="1" si="116"/>
        <v>0.12341522238390297</v>
      </c>
      <c r="GV90" s="21">
        <f t="shared" ca="1" si="116"/>
        <v>0.12720250804123101</v>
      </c>
      <c r="GW90" s="21">
        <f t="shared" ca="1" si="116"/>
        <v>0.14219429439972575</v>
      </c>
      <c r="GX90" s="21">
        <f t="shared" ca="1" si="116"/>
        <v>0.15336249403997571</v>
      </c>
      <c r="GY90" s="21">
        <f t="shared" ca="1" si="116"/>
        <v>0.19071410187287435</v>
      </c>
      <c r="GZ90" s="21">
        <f t="shared" ca="1" si="116"/>
        <v>0.14599458866019202</v>
      </c>
      <c r="HA90" s="21" t="str">
        <f t="shared" si="116"/>
        <v/>
      </c>
      <c r="HB90" s="21" t="str">
        <f t="shared" si="116"/>
        <v/>
      </c>
      <c r="HC90" s="21" t="str">
        <f t="shared" si="116"/>
        <v/>
      </c>
      <c r="HD90" s="21" t="str">
        <f t="shared" si="116"/>
        <v/>
      </c>
      <c r="HE90" s="21" t="str">
        <f t="shared" si="116"/>
        <v/>
      </c>
      <c r="HF90" s="21" t="str">
        <f t="shared" si="116"/>
        <v/>
      </c>
      <c r="HG90" s="21" t="str">
        <f t="shared" si="116"/>
        <v/>
      </c>
      <c r="HH90" s="21" t="str">
        <f t="shared" si="116"/>
        <v/>
      </c>
      <c r="HI90" s="21" t="str">
        <f t="shared" si="116"/>
        <v/>
      </c>
      <c r="HJ90" s="21" t="str">
        <f t="shared" si="116"/>
        <v/>
      </c>
      <c r="HK90" s="21" t="str">
        <f t="shared" ref="HK90:JH90" si="117">IF(HK10="","",AVERAGE(HB64:HJ64)+CONFIDENCE(0.05,STDEV(GL64:HJ64),COUNT(GL64:HJ64)))</f>
        <v/>
      </c>
      <c r="HL90" s="21" t="str">
        <f t="shared" si="117"/>
        <v/>
      </c>
      <c r="HM90" s="21" t="str">
        <f t="shared" si="117"/>
        <v/>
      </c>
      <c r="HN90" s="21" t="str">
        <f t="shared" si="117"/>
        <v/>
      </c>
      <c r="HO90" s="21" t="str">
        <f t="shared" si="117"/>
        <v/>
      </c>
      <c r="HP90" s="21" t="str">
        <f t="shared" si="117"/>
        <v/>
      </c>
      <c r="HQ90" s="21" t="str">
        <f t="shared" si="117"/>
        <v/>
      </c>
      <c r="HR90" s="21" t="str">
        <f t="shared" si="117"/>
        <v/>
      </c>
      <c r="HS90" s="21" t="str">
        <f t="shared" si="117"/>
        <v/>
      </c>
      <c r="HT90" s="21" t="str">
        <f t="shared" si="117"/>
        <v/>
      </c>
      <c r="HU90" s="21" t="str">
        <f t="shared" si="117"/>
        <v/>
      </c>
      <c r="HV90" s="21" t="str">
        <f t="shared" si="117"/>
        <v/>
      </c>
      <c r="HW90" s="21" t="str">
        <f t="shared" si="117"/>
        <v/>
      </c>
      <c r="HX90" s="21" t="str">
        <f t="shared" si="117"/>
        <v/>
      </c>
      <c r="HY90" s="21" t="str">
        <f t="shared" si="117"/>
        <v/>
      </c>
      <c r="HZ90" s="21" t="str">
        <f t="shared" si="117"/>
        <v/>
      </c>
      <c r="IA90" s="21" t="str">
        <f t="shared" si="117"/>
        <v/>
      </c>
      <c r="IB90" s="21" t="str">
        <f t="shared" si="117"/>
        <v/>
      </c>
      <c r="IC90" s="21" t="str">
        <f t="shared" si="117"/>
        <v/>
      </c>
      <c r="ID90" s="21" t="str">
        <f t="shared" si="117"/>
        <v/>
      </c>
      <c r="IE90" s="21" t="str">
        <f t="shared" si="117"/>
        <v/>
      </c>
      <c r="IF90" s="21" t="str">
        <f t="shared" si="117"/>
        <v/>
      </c>
      <c r="IG90" s="21" t="str">
        <f t="shared" si="117"/>
        <v/>
      </c>
      <c r="IH90" s="21" t="str">
        <f t="shared" si="117"/>
        <v/>
      </c>
      <c r="II90" s="21" t="str">
        <f t="shared" si="117"/>
        <v/>
      </c>
      <c r="IJ90" s="21" t="str">
        <f t="shared" si="117"/>
        <v/>
      </c>
      <c r="IK90" s="21" t="str">
        <f t="shared" si="117"/>
        <v/>
      </c>
      <c r="IL90" s="21" t="str">
        <f t="shared" si="117"/>
        <v/>
      </c>
      <c r="IM90" s="21" t="str">
        <f t="shared" si="117"/>
        <v/>
      </c>
      <c r="IN90" s="21" t="str">
        <f t="shared" si="117"/>
        <v/>
      </c>
      <c r="IO90" s="21" t="str">
        <f t="shared" si="117"/>
        <v/>
      </c>
      <c r="IP90" s="21" t="str">
        <f t="shared" si="117"/>
        <v/>
      </c>
      <c r="IQ90" s="21" t="str">
        <f t="shared" si="117"/>
        <v/>
      </c>
      <c r="IR90" s="21" t="str">
        <f t="shared" si="117"/>
        <v/>
      </c>
      <c r="IS90" s="21" t="str">
        <f t="shared" si="117"/>
        <v/>
      </c>
      <c r="IT90" s="21" t="str">
        <f t="shared" si="117"/>
        <v/>
      </c>
      <c r="IU90" s="21" t="str">
        <f t="shared" si="117"/>
        <v/>
      </c>
      <c r="IV90" s="21" t="str">
        <f t="shared" si="117"/>
        <v/>
      </c>
      <c r="IW90" s="21" t="str">
        <f t="shared" si="117"/>
        <v/>
      </c>
      <c r="IX90" s="21" t="str">
        <f t="shared" si="117"/>
        <v/>
      </c>
      <c r="IY90" s="21" t="str">
        <f t="shared" si="117"/>
        <v/>
      </c>
      <c r="IZ90" s="21" t="str">
        <f t="shared" si="117"/>
        <v/>
      </c>
      <c r="JA90" s="21" t="str">
        <f t="shared" si="117"/>
        <v/>
      </c>
      <c r="JB90" s="21" t="str">
        <f t="shared" si="117"/>
        <v/>
      </c>
      <c r="JC90" s="21" t="str">
        <f t="shared" si="117"/>
        <v/>
      </c>
      <c r="JD90" s="21" t="str">
        <f t="shared" si="117"/>
        <v/>
      </c>
      <c r="JE90" s="21" t="str">
        <f t="shared" si="117"/>
        <v/>
      </c>
      <c r="JF90" s="21" t="str">
        <f t="shared" si="117"/>
        <v/>
      </c>
      <c r="JG90" s="21" t="str">
        <f t="shared" si="117"/>
        <v/>
      </c>
      <c r="JH90" s="21" t="str">
        <f t="shared" si="117"/>
        <v/>
      </c>
    </row>
    <row r="91" spans="1:336" x14ac:dyDescent="0.25"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>
        <f t="shared" ref="AA91:CL91" ca="1" si="118">IF(AA11="","",AVERAGE(Q65:Z65)+CONFIDENCE(0.05,STDEV(B65:Z65),COUNT(B65:Z65)))</f>
        <v>4.0183176779804458E-2</v>
      </c>
      <c r="AB91" s="21">
        <f t="shared" ca="1" si="118"/>
        <v>3.9142262310659454E-2</v>
      </c>
      <c r="AC91" s="21">
        <f t="shared" ca="1" si="118"/>
        <v>3.9102084458120266E-2</v>
      </c>
      <c r="AD91" s="21">
        <f t="shared" ca="1" si="118"/>
        <v>3.9494165213989796E-2</v>
      </c>
      <c r="AE91" s="21">
        <f t="shared" ca="1" si="118"/>
        <v>4.0505808133770485E-2</v>
      </c>
      <c r="AF91" s="21">
        <f t="shared" ca="1" si="118"/>
        <v>3.9764983213986624E-2</v>
      </c>
      <c r="AG91" s="21">
        <f t="shared" ca="1" si="118"/>
        <v>4.1078902143568047E-2</v>
      </c>
      <c r="AH91" s="21">
        <f t="shared" ca="1" si="118"/>
        <v>3.962904907245629E-2</v>
      </c>
      <c r="AI91" s="21">
        <f t="shared" ca="1" si="118"/>
        <v>3.7876632253231395E-2</v>
      </c>
      <c r="AJ91" s="21">
        <f t="shared" ca="1" si="118"/>
        <v>3.5958070972885496E-2</v>
      </c>
      <c r="AK91" s="21">
        <f t="shared" ca="1" si="118"/>
        <v>3.5210571211930629E-2</v>
      </c>
      <c r="AL91" s="21">
        <f t="shared" ca="1" si="118"/>
        <v>3.643546313459721E-2</v>
      </c>
      <c r="AM91" s="21">
        <f t="shared" ca="1" si="118"/>
        <v>3.8475327208882845E-2</v>
      </c>
      <c r="AN91" s="21">
        <f t="shared" ca="1" si="118"/>
        <v>4.0573523336639265E-2</v>
      </c>
      <c r="AO91" s="21">
        <f t="shared" ca="1" si="118"/>
        <v>4.3398953519778113E-2</v>
      </c>
      <c r="AP91" s="21">
        <f t="shared" ca="1" si="118"/>
        <v>4.4166016227277637E-2</v>
      </c>
      <c r="AQ91" s="21">
        <f t="shared" ca="1" si="118"/>
        <v>4.5856301248541287E-2</v>
      </c>
      <c r="AR91" s="21">
        <f t="shared" ca="1" si="118"/>
        <v>5.3152538889759182E-2</v>
      </c>
      <c r="AS91" s="21">
        <f t="shared" ca="1" si="118"/>
        <v>6.0089083936296341E-2</v>
      </c>
      <c r="AT91" s="21">
        <f t="shared" ca="1" si="118"/>
        <v>7.1533763133109204E-2</v>
      </c>
      <c r="AU91" s="21">
        <f t="shared" ca="1" si="118"/>
        <v>8.5379086441009708E-2</v>
      </c>
      <c r="AV91" s="21">
        <f t="shared" ca="1" si="118"/>
        <v>0.1004410738285727</v>
      </c>
      <c r="AW91" s="21">
        <f t="shared" ca="1" si="118"/>
        <v>0.11715525474653858</v>
      </c>
      <c r="AX91" s="21">
        <f t="shared" ca="1" si="118"/>
        <v>0.13514451329593871</v>
      </c>
      <c r="AY91" s="21">
        <f t="shared" ca="1" si="118"/>
        <v>0.15364102353010584</v>
      </c>
      <c r="AZ91" s="21">
        <f t="shared" ca="1" si="118"/>
        <v>0.18076553163109699</v>
      </c>
      <c r="BA91" s="21">
        <f t="shared" ca="1" si="118"/>
        <v>0.20739092046781438</v>
      </c>
      <c r="BB91" s="21">
        <f t="shared" ca="1" si="118"/>
        <v>0.23329008075477109</v>
      </c>
      <c r="BC91" s="21">
        <f t="shared" ca="1" si="118"/>
        <v>0.25642944496292541</v>
      </c>
      <c r="BD91" s="21">
        <f t="shared" ca="1" si="118"/>
        <v>0.27579660284524088</v>
      </c>
      <c r="BE91" s="21">
        <f t="shared" ca="1" si="118"/>
        <v>0.28919396680417586</v>
      </c>
      <c r="BF91" s="21">
        <f t="shared" ca="1" si="118"/>
        <v>0.29551684445757703</v>
      </c>
      <c r="BG91" s="21">
        <f t="shared" ca="1" si="118"/>
        <v>0.29623567063161826</v>
      </c>
      <c r="BH91" s="21">
        <f t="shared" ca="1" si="118"/>
        <v>0.29208527770551984</v>
      </c>
      <c r="BI91" s="21">
        <f t="shared" ca="1" si="118"/>
        <v>0.27141944919666428</v>
      </c>
      <c r="BJ91" s="21">
        <f t="shared" ca="1" si="118"/>
        <v>0.2490348898150008</v>
      </c>
      <c r="BK91" s="21">
        <f t="shared" ca="1" si="118"/>
        <v>0.23975347301485295</v>
      </c>
      <c r="BL91" s="21">
        <f t="shared" ca="1" si="118"/>
        <v>0.21683426778354423</v>
      </c>
      <c r="BM91" s="21">
        <f t="shared" ca="1" si="118"/>
        <v>0.20687302944460245</v>
      </c>
      <c r="BN91" s="21">
        <f t="shared" ca="1" si="118"/>
        <v>0.20051427226928556</v>
      </c>
      <c r="BO91" s="21">
        <f t="shared" ca="1" si="118"/>
        <v>0.19598923039311003</v>
      </c>
      <c r="BP91" s="21">
        <f t="shared" ca="1" si="118"/>
        <v>0.19339685216306426</v>
      </c>
      <c r="BQ91" s="21">
        <f t="shared" ca="1" si="118"/>
        <v>0.18778023162020424</v>
      </c>
      <c r="BR91" s="21">
        <f t="shared" ca="1" si="118"/>
        <v>0.17396295032585921</v>
      </c>
      <c r="BS91" s="21">
        <f t="shared" ca="1" si="118"/>
        <v>0.17789811321049878</v>
      </c>
      <c r="BT91" s="21">
        <f t="shared" ca="1" si="118"/>
        <v>0.17658143386947103</v>
      </c>
      <c r="BU91" s="21">
        <f t="shared" ca="1" si="118"/>
        <v>0.167902884254722</v>
      </c>
      <c r="BV91" s="21">
        <f t="shared" ca="1" si="118"/>
        <v>0.16365016039209185</v>
      </c>
      <c r="BW91" s="21">
        <f t="shared" ca="1" si="118"/>
        <v>0.15140176872280156</v>
      </c>
      <c r="BX91" s="21">
        <f t="shared" ca="1" si="118"/>
        <v>0.13431422497835083</v>
      </c>
      <c r="BY91" s="21">
        <f t="shared" ca="1" si="118"/>
        <v>0.11704936215366835</v>
      </c>
      <c r="BZ91" s="21">
        <f t="shared" ca="1" si="118"/>
        <v>0.10415242513666828</v>
      </c>
      <c r="CA91" s="21">
        <f t="shared" ca="1" si="118"/>
        <v>9.2775466990664496E-2</v>
      </c>
      <c r="CB91" s="21">
        <f t="shared" ca="1" si="118"/>
        <v>9.3674645274042706E-2</v>
      </c>
      <c r="CC91" s="21">
        <f t="shared" ca="1" si="118"/>
        <v>9.0032613487118357E-2</v>
      </c>
      <c r="CD91" s="21">
        <f t="shared" ca="1" si="118"/>
        <v>8.7752696135956168E-2</v>
      </c>
      <c r="CE91" s="21">
        <f t="shared" ca="1" si="118"/>
        <v>7.7312542521463273E-2</v>
      </c>
      <c r="CF91" s="21">
        <f t="shared" ca="1" si="118"/>
        <v>7.8298428277336019E-2</v>
      </c>
      <c r="CG91" s="21">
        <f t="shared" ca="1" si="118"/>
        <v>7.211311104883357E-2</v>
      </c>
      <c r="CH91" s="21">
        <f t="shared" ca="1" si="118"/>
        <v>6.902621608138787E-2</v>
      </c>
      <c r="CI91" s="21">
        <f t="shared" ca="1" si="118"/>
        <v>6.6579893900828718E-2</v>
      </c>
      <c r="CJ91" s="21">
        <f t="shared" ca="1" si="118"/>
        <v>5.7089054289816282E-2</v>
      </c>
      <c r="CK91" s="21">
        <f t="shared" ca="1" si="118"/>
        <v>5.4316918285686383E-2</v>
      </c>
      <c r="CL91" s="21">
        <f t="shared" ca="1" si="118"/>
        <v>5.0719082244387287E-2</v>
      </c>
      <c r="CM91" s="21">
        <f t="shared" ref="CM91:EX91" ca="1" si="119">IF(CM11="","",AVERAGE(CC65:CL65)+CONFIDENCE(0.05,STDEV(BN65:CL65),COUNT(BN65:CL65)))</f>
        <v>5.1533642612451427E-2</v>
      </c>
      <c r="CN91" s="21">
        <f t="shared" ca="1" si="119"/>
        <v>4.9173013834285767E-2</v>
      </c>
      <c r="CO91" s="21">
        <f t="shared" ca="1" si="119"/>
        <v>4.3416513245933729E-2</v>
      </c>
      <c r="CP91" s="21">
        <f t="shared" ca="1" si="119"/>
        <v>3.7736057091427341E-2</v>
      </c>
      <c r="CQ91" s="21">
        <f t="shared" ca="1" si="119"/>
        <v>4.3914211284892569E-2</v>
      </c>
      <c r="CR91" s="21">
        <f t="shared" ca="1" si="119"/>
        <v>4.7373538507948079E-2</v>
      </c>
      <c r="CS91" s="21">
        <f t="shared" ca="1" si="119"/>
        <v>4.6351959038274437E-2</v>
      </c>
      <c r="CT91" s="21">
        <f t="shared" ca="1" si="119"/>
        <v>4.7125637517823227E-2</v>
      </c>
      <c r="CU91" s="21">
        <f t="shared" ca="1" si="119"/>
        <v>4.9199229252002638E-2</v>
      </c>
      <c r="CV91" s="21">
        <f t="shared" ca="1" si="119"/>
        <v>4.9057622324997739E-2</v>
      </c>
      <c r="CW91" s="21">
        <f t="shared" ca="1" si="119"/>
        <v>4.5184635893000258E-2</v>
      </c>
      <c r="CX91" s="21">
        <f t="shared" ca="1" si="119"/>
        <v>4.2581512699371125E-2</v>
      </c>
      <c r="CY91" s="21">
        <f t="shared" ca="1" si="119"/>
        <v>4.3290685834738482E-2</v>
      </c>
      <c r="CZ91" s="21">
        <f t="shared" ca="1" si="119"/>
        <v>4.5231952860072644E-2</v>
      </c>
      <c r="DA91" s="21">
        <f t="shared" ca="1" si="119"/>
        <v>4.0361663632691613E-2</v>
      </c>
      <c r="DB91" s="21">
        <f t="shared" ca="1" si="119"/>
        <v>4.9139532732996767E-2</v>
      </c>
      <c r="DC91" s="21">
        <f t="shared" ca="1" si="119"/>
        <v>5.9627289784013965E-2</v>
      </c>
      <c r="DD91" s="21">
        <f t="shared" ca="1" si="119"/>
        <v>5.9033976737569993E-2</v>
      </c>
      <c r="DE91" s="21">
        <f t="shared" ca="1" si="119"/>
        <v>6.4914014508661771E-2</v>
      </c>
      <c r="DF91" s="21">
        <f t="shared" ca="1" si="119"/>
        <v>7.7973383058657197E-2</v>
      </c>
      <c r="DG91" s="21">
        <f t="shared" ca="1" si="119"/>
        <v>8.797747160387967E-2</v>
      </c>
      <c r="DH91" s="21">
        <f t="shared" ca="1" si="119"/>
        <v>9.7935005929286612E-2</v>
      </c>
      <c r="DI91" s="21">
        <f t="shared" ca="1" si="119"/>
        <v>9.8443280591557311E-2</v>
      </c>
      <c r="DJ91" s="21">
        <f t="shared" ca="1" si="119"/>
        <v>0.10413107295625496</v>
      </c>
      <c r="DK91" s="21">
        <f t="shared" ca="1" si="119"/>
        <v>0.10697355812601604</v>
      </c>
      <c r="DL91" s="21">
        <f t="shared" ca="1" si="119"/>
        <v>9.9944835689249265E-2</v>
      </c>
      <c r="DM91" s="21">
        <f t="shared" ca="1" si="119"/>
        <v>9.2154112125766019E-2</v>
      </c>
      <c r="DN91" s="21">
        <f t="shared" ca="1" si="119"/>
        <v>9.1434701900009491E-2</v>
      </c>
      <c r="DO91" s="21">
        <f t="shared" ca="1" si="119"/>
        <v>8.639763250784277E-2</v>
      </c>
      <c r="DP91" s="21">
        <f t="shared" ca="1" si="119"/>
        <v>7.3661368362337887E-2</v>
      </c>
      <c r="DQ91" s="21">
        <f t="shared" ca="1" si="119"/>
        <v>6.7827452116877018E-2</v>
      </c>
      <c r="DR91" s="21">
        <f t="shared" ca="1" si="119"/>
        <v>6.3417319572660308E-2</v>
      </c>
      <c r="DS91" s="21">
        <f t="shared" ca="1" si="119"/>
        <v>5.9883924418978919E-2</v>
      </c>
      <c r="DT91" s="21">
        <f t="shared" ca="1" si="119"/>
        <v>5.3352013077815279E-2</v>
      </c>
      <c r="DU91" s="21">
        <f t="shared" ca="1" si="119"/>
        <v>4.8689950242336501E-2</v>
      </c>
      <c r="DV91" s="21">
        <f t="shared" ca="1" si="119"/>
        <v>4.471671147668338E-2</v>
      </c>
      <c r="DW91" s="21">
        <f t="shared" ca="1" si="119"/>
        <v>4.2046440508827554E-2</v>
      </c>
      <c r="DX91" s="21">
        <f t="shared" ca="1" si="119"/>
        <v>4.0980598815180111E-2</v>
      </c>
      <c r="DY91" s="21">
        <f t="shared" ca="1" si="119"/>
        <v>3.7065973890020663E-2</v>
      </c>
      <c r="DZ91" s="21">
        <f t="shared" ca="1" si="119"/>
        <v>4.1613052416063709E-2</v>
      </c>
      <c r="EA91" s="21">
        <f t="shared" ca="1" si="119"/>
        <v>3.9535014316230022E-2</v>
      </c>
      <c r="EB91" s="21">
        <f t="shared" ca="1" si="119"/>
        <v>3.5534344319167771E-2</v>
      </c>
      <c r="EC91" s="21">
        <f t="shared" ca="1" si="119"/>
        <v>3.8888946417955393E-2</v>
      </c>
      <c r="ED91" s="21">
        <f t="shared" ca="1" si="119"/>
        <v>3.6858354010173316E-2</v>
      </c>
      <c r="EE91" s="21">
        <f t="shared" ca="1" si="119"/>
        <v>3.576409002508929E-2</v>
      </c>
      <c r="EF91" s="21">
        <f t="shared" ca="1" si="119"/>
        <v>3.4980190259346643E-2</v>
      </c>
      <c r="EG91" s="21">
        <f t="shared" ca="1" si="119"/>
        <v>3.5180061298054913E-2</v>
      </c>
      <c r="EH91" s="21">
        <f t="shared" ca="1" si="119"/>
        <v>3.6505476689443359E-2</v>
      </c>
      <c r="EI91" s="21">
        <f t="shared" ca="1" si="119"/>
        <v>4.3852225549177622E-2</v>
      </c>
      <c r="EJ91" s="21">
        <f t="shared" ca="1" si="119"/>
        <v>4.7223775069503995E-2</v>
      </c>
      <c r="EK91" s="21">
        <f t="shared" ca="1" si="119"/>
        <v>4.9088356970777E-2</v>
      </c>
      <c r="EL91" s="21">
        <f t="shared" ca="1" si="119"/>
        <v>4.7074935060931952E-2</v>
      </c>
      <c r="EM91" s="21">
        <f t="shared" ca="1" si="119"/>
        <v>4.8771601888955657E-2</v>
      </c>
      <c r="EN91" s="21">
        <f t="shared" ca="1" si="119"/>
        <v>5.3517031851723434E-2</v>
      </c>
      <c r="EO91" s="21">
        <f t="shared" ca="1" si="119"/>
        <v>6.3315624256101891E-2</v>
      </c>
      <c r="EP91" s="21">
        <f t="shared" ca="1" si="119"/>
        <v>6.6408039827457674E-2</v>
      </c>
      <c r="EQ91" s="21">
        <f t="shared" ca="1" si="119"/>
        <v>6.9556533906272103E-2</v>
      </c>
      <c r="ER91" s="21">
        <f t="shared" ca="1" si="119"/>
        <v>7.0205358798014816E-2</v>
      </c>
      <c r="ES91" s="21">
        <f t="shared" ca="1" si="119"/>
        <v>6.4454710428691428E-2</v>
      </c>
      <c r="ET91" s="21">
        <f t="shared" ca="1" si="119"/>
        <v>5.6696155218288399E-2</v>
      </c>
      <c r="EU91" s="21">
        <f t="shared" ca="1" si="119"/>
        <v>5.2108218443683837E-2</v>
      </c>
      <c r="EV91" s="21">
        <f t="shared" ca="1" si="119"/>
        <v>5.6346320193396873E-2</v>
      </c>
      <c r="EW91" s="21">
        <f t="shared" ca="1" si="119"/>
        <v>5.7422851827156701E-2</v>
      </c>
      <c r="EX91" s="21">
        <f t="shared" ca="1" si="119"/>
        <v>5.5954979493345096E-2</v>
      </c>
      <c r="EY91" s="21">
        <f t="shared" ref="EY91:HJ91" ca="1" si="120">IF(EY11="","",AVERAGE(EO65:EX65)+CONFIDENCE(0.05,STDEV(DZ65:EX65),COUNT(DZ65:EX65)))</f>
        <v>4.8614860635355819E-2</v>
      </c>
      <c r="EZ91" s="21">
        <f t="shared" ca="1" si="120"/>
        <v>4.857911443290594E-2</v>
      </c>
      <c r="FA91" s="21">
        <f t="shared" ca="1" si="120"/>
        <v>4.4318969008966341E-2</v>
      </c>
      <c r="FB91" s="21">
        <f t="shared" ca="1" si="120"/>
        <v>4.2275883467580336E-2</v>
      </c>
      <c r="FC91" s="21">
        <f t="shared" ca="1" si="120"/>
        <v>3.9993284587997675E-2</v>
      </c>
      <c r="FD91" s="21">
        <f t="shared" ca="1" si="120"/>
        <v>4.000072659926078E-2</v>
      </c>
      <c r="FE91" s="21">
        <f t="shared" ca="1" si="120"/>
        <v>3.9361786972011224E-2</v>
      </c>
      <c r="FF91" s="21">
        <f t="shared" ca="1" si="120"/>
        <v>3.4624440607239564E-2</v>
      </c>
      <c r="FG91" s="21">
        <f t="shared" ca="1" si="120"/>
        <v>3.2551730555880468E-2</v>
      </c>
      <c r="FH91" s="21">
        <f t="shared" ca="1" si="120"/>
        <v>3.1175263330130043E-2</v>
      </c>
      <c r="FI91" s="21">
        <f t="shared" ca="1" si="120"/>
        <v>2.86341007183624E-2</v>
      </c>
      <c r="FJ91" s="21">
        <f t="shared" ca="1" si="120"/>
        <v>2.4939479299169318E-2</v>
      </c>
      <c r="FK91" s="21">
        <f t="shared" ca="1" si="120"/>
        <v>2.753714231167291E-2</v>
      </c>
      <c r="FL91" s="21">
        <f t="shared" ca="1" si="120"/>
        <v>2.6259910930352588E-2</v>
      </c>
      <c r="FM91" s="21">
        <f t="shared" ca="1" si="120"/>
        <v>3.6209432647703078E-2</v>
      </c>
      <c r="FN91" s="21">
        <f t="shared" ca="1" si="120"/>
        <v>4.7674246098571446E-2</v>
      </c>
      <c r="FO91" s="21">
        <f t="shared" ca="1" si="120"/>
        <v>5.7729052299292559E-2</v>
      </c>
      <c r="FP91" s="21">
        <f t="shared" ca="1" si="120"/>
        <v>5.8719469043829665E-2</v>
      </c>
      <c r="FQ91" s="21">
        <f t="shared" ca="1" si="120"/>
        <v>5.5270345113289591E-2</v>
      </c>
      <c r="FR91" s="21">
        <f t="shared" ca="1" si="120"/>
        <v>5.7461337291580282E-2</v>
      </c>
      <c r="FS91" s="21">
        <f t="shared" ca="1" si="120"/>
        <v>6.6454990189799709E-2</v>
      </c>
      <c r="FT91" s="21">
        <f t="shared" ca="1" si="120"/>
        <v>7.7437134887808928E-2</v>
      </c>
      <c r="FU91" s="21">
        <f t="shared" ca="1" si="120"/>
        <v>8.5748617556639109E-2</v>
      </c>
      <c r="FV91" s="21">
        <f t="shared" ca="1" si="120"/>
        <v>9.2376101723955745E-2</v>
      </c>
      <c r="FW91" s="21">
        <f t="shared" ca="1" si="120"/>
        <v>8.8835459750044088E-2</v>
      </c>
      <c r="FX91" s="21">
        <f t="shared" ca="1" si="120"/>
        <v>8.1414262828327685E-2</v>
      </c>
      <c r="FY91" s="21">
        <f t="shared" ca="1" si="120"/>
        <v>7.4435423205306023E-2</v>
      </c>
      <c r="FZ91" s="21">
        <f t="shared" ca="1" si="120"/>
        <v>8.1133003088959571E-2</v>
      </c>
      <c r="GA91" s="21">
        <f t="shared" ca="1" si="120"/>
        <v>9.9112653800269998E-2</v>
      </c>
      <c r="GB91" s="21">
        <f t="shared" ca="1" si="120"/>
        <v>0.10692438443409258</v>
      </c>
      <c r="GC91" s="21">
        <f t="shared" ca="1" si="120"/>
        <v>0.11001327097473687</v>
      </c>
      <c r="GD91" s="21">
        <f t="shared" ca="1" si="120"/>
        <v>0.11078891582666911</v>
      </c>
      <c r="GE91" s="21">
        <f t="shared" ca="1" si="120"/>
        <v>0.1071359257852439</v>
      </c>
      <c r="GF91" s="21">
        <f t="shared" ca="1" si="120"/>
        <v>0.10253030483543248</v>
      </c>
      <c r="GG91" s="21">
        <f t="shared" ca="1" si="120"/>
        <v>0.1027755351669811</v>
      </c>
      <c r="GH91" s="21">
        <f t="shared" ca="1" si="120"/>
        <v>0.11033482734577116</v>
      </c>
      <c r="GI91" s="21">
        <f t="shared" ca="1" si="120"/>
        <v>0.11697044059911035</v>
      </c>
      <c r="GJ91" s="21">
        <f t="shared" ca="1" si="120"/>
        <v>0.11556998313505776</v>
      </c>
      <c r="GK91" s="21">
        <f t="shared" ca="1" si="120"/>
        <v>0.10561339189719611</v>
      </c>
      <c r="GL91" s="21">
        <f t="shared" ca="1" si="120"/>
        <v>0.10043379860304186</v>
      </c>
      <c r="GM91" s="21">
        <f t="shared" ca="1" si="120"/>
        <v>9.3850745458144938E-2</v>
      </c>
      <c r="GN91" s="21">
        <f t="shared" ca="1" si="120"/>
        <v>8.7640067198919952E-2</v>
      </c>
      <c r="GO91" s="21">
        <f t="shared" ca="1" si="120"/>
        <v>8.6201107278304143E-2</v>
      </c>
      <c r="GP91" s="21">
        <f t="shared" ca="1" si="120"/>
        <v>8.6978411660680599E-2</v>
      </c>
      <c r="GQ91" s="21">
        <f t="shared" ca="1" si="120"/>
        <v>0.10737190530437918</v>
      </c>
      <c r="GR91" s="21">
        <f t="shared" ca="1" si="120"/>
        <v>0.10489881267975015</v>
      </c>
      <c r="GS91" s="21">
        <f t="shared" ca="1" si="120"/>
        <v>0.1040556608553567</v>
      </c>
      <c r="GT91" s="21">
        <f t="shared" ca="1" si="120"/>
        <v>0.10689998466875766</v>
      </c>
      <c r="GU91" s="21">
        <f t="shared" ca="1" si="120"/>
        <v>0.10999892470147371</v>
      </c>
      <c r="GV91" s="21">
        <f t="shared" ca="1" si="120"/>
        <v>0.1125681659190001</v>
      </c>
      <c r="GW91" s="21">
        <f t="shared" ca="1" si="120"/>
        <v>0.12178085049470513</v>
      </c>
      <c r="GX91" s="21">
        <f t="shared" ca="1" si="120"/>
        <v>0.13782730591683984</v>
      </c>
      <c r="GY91" s="21">
        <f t="shared" ca="1" si="120"/>
        <v>0.15868201121293896</v>
      </c>
      <c r="GZ91" s="21">
        <f t="shared" ca="1" si="120"/>
        <v>0.25011021131810096</v>
      </c>
      <c r="HA91" s="21" t="str">
        <f t="shared" si="120"/>
        <v/>
      </c>
      <c r="HB91" s="21" t="str">
        <f t="shared" si="120"/>
        <v/>
      </c>
      <c r="HC91" s="21" t="str">
        <f t="shared" si="120"/>
        <v/>
      </c>
      <c r="HD91" s="21" t="str">
        <f t="shared" si="120"/>
        <v/>
      </c>
      <c r="HE91" s="21" t="str">
        <f t="shared" si="120"/>
        <v/>
      </c>
      <c r="HF91" s="21" t="str">
        <f t="shared" si="120"/>
        <v/>
      </c>
      <c r="HG91" s="21" t="str">
        <f t="shared" si="120"/>
        <v/>
      </c>
      <c r="HH91" s="21" t="str">
        <f t="shared" si="120"/>
        <v/>
      </c>
      <c r="HI91" s="21" t="str">
        <f t="shared" si="120"/>
        <v/>
      </c>
      <c r="HJ91" s="21" t="str">
        <f t="shared" si="120"/>
        <v/>
      </c>
      <c r="HK91" s="21" t="str">
        <f t="shared" ref="HK91:JH91" si="121">IF(HK11="","",AVERAGE(HA65:HJ65)+CONFIDENCE(0.05,STDEV(GL65:HJ65),COUNT(GL65:HJ65)))</f>
        <v/>
      </c>
      <c r="HL91" s="21" t="str">
        <f t="shared" si="121"/>
        <v/>
      </c>
      <c r="HM91" s="21" t="str">
        <f t="shared" si="121"/>
        <v/>
      </c>
      <c r="HN91" s="21" t="str">
        <f t="shared" si="121"/>
        <v/>
      </c>
      <c r="HO91" s="21" t="str">
        <f t="shared" si="121"/>
        <v/>
      </c>
      <c r="HP91" s="21" t="str">
        <f t="shared" si="121"/>
        <v/>
      </c>
      <c r="HQ91" s="21" t="str">
        <f t="shared" si="121"/>
        <v/>
      </c>
      <c r="HR91" s="21" t="str">
        <f t="shared" si="121"/>
        <v/>
      </c>
      <c r="HS91" s="21" t="str">
        <f t="shared" si="121"/>
        <v/>
      </c>
      <c r="HT91" s="21" t="str">
        <f t="shared" si="121"/>
        <v/>
      </c>
      <c r="HU91" s="21" t="str">
        <f t="shared" si="121"/>
        <v/>
      </c>
      <c r="HV91" s="21" t="str">
        <f t="shared" si="121"/>
        <v/>
      </c>
      <c r="HW91" s="21" t="str">
        <f t="shared" si="121"/>
        <v/>
      </c>
      <c r="HX91" s="21" t="str">
        <f t="shared" si="121"/>
        <v/>
      </c>
      <c r="HY91" s="21" t="str">
        <f t="shared" si="121"/>
        <v/>
      </c>
      <c r="HZ91" s="21" t="str">
        <f t="shared" si="121"/>
        <v/>
      </c>
      <c r="IA91" s="21" t="str">
        <f t="shared" si="121"/>
        <v/>
      </c>
      <c r="IB91" s="21" t="str">
        <f t="shared" si="121"/>
        <v/>
      </c>
      <c r="IC91" s="21" t="str">
        <f t="shared" si="121"/>
        <v/>
      </c>
      <c r="ID91" s="21" t="str">
        <f t="shared" si="121"/>
        <v/>
      </c>
      <c r="IE91" s="21" t="str">
        <f t="shared" si="121"/>
        <v/>
      </c>
      <c r="IF91" s="21" t="str">
        <f t="shared" si="121"/>
        <v/>
      </c>
      <c r="IG91" s="21" t="str">
        <f t="shared" si="121"/>
        <v/>
      </c>
      <c r="IH91" s="21" t="str">
        <f t="shared" si="121"/>
        <v/>
      </c>
      <c r="II91" s="21" t="str">
        <f t="shared" si="121"/>
        <v/>
      </c>
      <c r="IJ91" s="21" t="str">
        <f t="shared" si="121"/>
        <v/>
      </c>
      <c r="IK91" s="21" t="str">
        <f t="shared" si="121"/>
        <v/>
      </c>
      <c r="IL91" s="21" t="str">
        <f t="shared" si="121"/>
        <v/>
      </c>
      <c r="IM91" s="21" t="str">
        <f t="shared" si="121"/>
        <v/>
      </c>
      <c r="IN91" s="21" t="str">
        <f t="shared" si="121"/>
        <v/>
      </c>
      <c r="IO91" s="21" t="str">
        <f t="shared" si="121"/>
        <v/>
      </c>
      <c r="IP91" s="21" t="str">
        <f t="shared" si="121"/>
        <v/>
      </c>
      <c r="IQ91" s="21" t="str">
        <f t="shared" si="121"/>
        <v/>
      </c>
      <c r="IR91" s="21" t="str">
        <f t="shared" si="121"/>
        <v/>
      </c>
      <c r="IS91" s="21" t="str">
        <f t="shared" si="121"/>
        <v/>
      </c>
      <c r="IT91" s="21" t="str">
        <f t="shared" si="121"/>
        <v/>
      </c>
      <c r="IU91" s="21" t="str">
        <f t="shared" si="121"/>
        <v/>
      </c>
      <c r="IV91" s="21" t="str">
        <f t="shared" si="121"/>
        <v/>
      </c>
      <c r="IW91" s="21" t="str">
        <f t="shared" si="121"/>
        <v/>
      </c>
      <c r="IX91" s="21" t="str">
        <f t="shared" si="121"/>
        <v/>
      </c>
      <c r="IY91" s="21" t="str">
        <f t="shared" si="121"/>
        <v/>
      </c>
      <c r="IZ91" s="21" t="str">
        <f t="shared" si="121"/>
        <v/>
      </c>
      <c r="JA91" s="21" t="str">
        <f t="shared" si="121"/>
        <v/>
      </c>
      <c r="JB91" s="21" t="str">
        <f t="shared" si="121"/>
        <v/>
      </c>
      <c r="JC91" s="21" t="str">
        <f t="shared" si="121"/>
        <v/>
      </c>
      <c r="JD91" s="21" t="str">
        <f t="shared" si="121"/>
        <v/>
      </c>
      <c r="JE91" s="21" t="str">
        <f t="shared" si="121"/>
        <v/>
      </c>
      <c r="JF91" s="21" t="str">
        <f t="shared" si="121"/>
        <v/>
      </c>
      <c r="JG91" s="21" t="str">
        <f t="shared" si="121"/>
        <v/>
      </c>
      <c r="JH91" s="21" t="str">
        <f t="shared" si="121"/>
        <v/>
      </c>
    </row>
    <row r="92" spans="1:336" x14ac:dyDescent="0.25"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>
        <f t="shared" ref="AA92:CL92" ca="1" si="122">IF(AA12="","",AVERAGE(P66:Z66)+CONFIDENCE(0.05,STDEV(B66:Z66),COUNT(B66:Z66)))</f>
        <v>4.0927245429002876E-2</v>
      </c>
      <c r="AB92" s="21">
        <f t="shared" ca="1" si="122"/>
        <v>4.2015480243098147E-2</v>
      </c>
      <c r="AC92" s="21">
        <f t="shared" ca="1" si="122"/>
        <v>4.4587758832126664E-2</v>
      </c>
      <c r="AD92" s="21">
        <f t="shared" ca="1" si="122"/>
        <v>4.4591438398667749E-2</v>
      </c>
      <c r="AE92" s="21">
        <f t="shared" ca="1" si="122"/>
        <v>4.3426267580698973E-2</v>
      </c>
      <c r="AF92" s="21">
        <f t="shared" ca="1" si="122"/>
        <v>4.4353097853153958E-2</v>
      </c>
      <c r="AG92" s="21">
        <f t="shared" ca="1" si="122"/>
        <v>4.3722739893312018E-2</v>
      </c>
      <c r="AH92" s="21">
        <f t="shared" ca="1" si="122"/>
        <v>4.1301899157919542E-2</v>
      </c>
      <c r="AI92" s="21">
        <f t="shared" ca="1" si="122"/>
        <v>3.9247405977467967E-2</v>
      </c>
      <c r="AJ92" s="21">
        <f t="shared" ca="1" si="122"/>
        <v>3.6343531055221812E-2</v>
      </c>
      <c r="AK92" s="21">
        <f t="shared" ca="1" si="122"/>
        <v>3.6364567755991249E-2</v>
      </c>
      <c r="AL92" s="21">
        <f t="shared" ca="1" si="122"/>
        <v>3.6445048015326047E-2</v>
      </c>
      <c r="AM92" s="21">
        <f t="shared" ca="1" si="122"/>
        <v>3.7605465354884807E-2</v>
      </c>
      <c r="AN92" s="21">
        <f t="shared" ca="1" si="122"/>
        <v>3.8147878071067939E-2</v>
      </c>
      <c r="AO92" s="21">
        <f t="shared" ca="1" si="122"/>
        <v>3.8766116126704088E-2</v>
      </c>
      <c r="AP92" s="21">
        <f t="shared" ca="1" si="122"/>
        <v>4.2702968512563964E-2</v>
      </c>
      <c r="AQ92" s="21">
        <f t="shared" ca="1" si="122"/>
        <v>4.8743687388720085E-2</v>
      </c>
      <c r="AR92" s="21">
        <f t="shared" ca="1" si="122"/>
        <v>5.6233599799936348E-2</v>
      </c>
      <c r="AS92" s="21">
        <f t="shared" ca="1" si="122"/>
        <v>6.7524536613884634E-2</v>
      </c>
      <c r="AT92" s="21">
        <f t="shared" ca="1" si="122"/>
        <v>8.2134854490221648E-2</v>
      </c>
      <c r="AU92" s="21">
        <f t="shared" ca="1" si="122"/>
        <v>9.7877465237496172E-2</v>
      </c>
      <c r="AV92" s="21">
        <f t="shared" ca="1" si="122"/>
        <v>0.11567501706471392</v>
      </c>
      <c r="AW92" s="21">
        <f t="shared" ca="1" si="122"/>
        <v>0.13456546161466487</v>
      </c>
      <c r="AX92" s="21">
        <f t="shared" ca="1" si="122"/>
        <v>0.15251688409131806</v>
      </c>
      <c r="AY92" s="21">
        <f t="shared" ca="1" si="122"/>
        <v>0.17816932226657067</v>
      </c>
      <c r="AZ92" s="21">
        <f t="shared" ca="1" si="122"/>
        <v>0.20756180504987987</v>
      </c>
      <c r="BA92" s="21">
        <f t="shared" ca="1" si="122"/>
        <v>0.23332183863064801</v>
      </c>
      <c r="BB92" s="21">
        <f t="shared" ca="1" si="122"/>
        <v>0.25671720776591556</v>
      </c>
      <c r="BC92" s="21">
        <f t="shared" ca="1" si="122"/>
        <v>0.27930316685929601</v>
      </c>
      <c r="BD92" s="21">
        <f t="shared" ca="1" si="122"/>
        <v>0.29948926985405638</v>
      </c>
      <c r="BE92" s="21">
        <f t="shared" ca="1" si="122"/>
        <v>0.31150242740390882</v>
      </c>
      <c r="BF92" s="21">
        <f t="shared" ca="1" si="122"/>
        <v>0.31692249278579104</v>
      </c>
      <c r="BG92" s="21">
        <f t="shared" ca="1" si="122"/>
        <v>0.31408253618298188</v>
      </c>
      <c r="BH92" s="21">
        <f t="shared" ca="1" si="122"/>
        <v>0.30745320985745861</v>
      </c>
      <c r="BI92" s="21">
        <f t="shared" ca="1" si="122"/>
        <v>0.2884760013923926</v>
      </c>
      <c r="BJ92" s="21">
        <f t="shared" ca="1" si="122"/>
        <v>0.27058275438055945</v>
      </c>
      <c r="BK92" s="21">
        <f t="shared" ca="1" si="122"/>
        <v>0.25765233498390588</v>
      </c>
      <c r="BL92" s="21">
        <f t="shared" ca="1" si="122"/>
        <v>0.23838337597593268</v>
      </c>
      <c r="BM92" s="21">
        <f t="shared" ca="1" si="122"/>
        <v>0.22907557516365451</v>
      </c>
      <c r="BN92" s="21">
        <f t="shared" ca="1" si="122"/>
        <v>0.22115050271904255</v>
      </c>
      <c r="BO92" s="21">
        <f t="shared" ca="1" si="122"/>
        <v>0.21240988272658692</v>
      </c>
      <c r="BP92" s="21">
        <f t="shared" ca="1" si="122"/>
        <v>0.20747487717218002</v>
      </c>
      <c r="BQ92" s="21">
        <f t="shared" ca="1" si="122"/>
        <v>0.20242280110344948</v>
      </c>
      <c r="BR92" s="21">
        <f t="shared" ca="1" si="122"/>
        <v>0.19241856291988307</v>
      </c>
      <c r="BS92" s="21">
        <f t="shared" ca="1" si="122"/>
        <v>0.18365461632616148</v>
      </c>
      <c r="BT92" s="21">
        <f t="shared" ca="1" si="122"/>
        <v>0.1873219811212859</v>
      </c>
      <c r="BU92" s="21">
        <f t="shared" ca="1" si="122"/>
        <v>0.18758340055568162</v>
      </c>
      <c r="BV92" s="21">
        <f t="shared" ca="1" si="122"/>
        <v>0.17669141684217576</v>
      </c>
      <c r="BW92" s="21">
        <f t="shared" ca="1" si="122"/>
        <v>0.17194460412669746</v>
      </c>
      <c r="BX92" s="21">
        <f t="shared" ca="1" si="122"/>
        <v>0.15664026746241896</v>
      </c>
      <c r="BY92" s="21">
        <f t="shared" ca="1" si="122"/>
        <v>0.14016604213324046</v>
      </c>
      <c r="BZ92" s="21">
        <f t="shared" ca="1" si="122"/>
        <v>0.12464750599307939</v>
      </c>
      <c r="CA92" s="21">
        <f t="shared" ca="1" si="122"/>
        <v>0.10805501237404666</v>
      </c>
      <c r="CB92" s="21">
        <f t="shared" ca="1" si="122"/>
        <v>9.4454257310359849E-2</v>
      </c>
      <c r="CC92" s="21">
        <f t="shared" ca="1" si="122"/>
        <v>9.0166285085516593E-2</v>
      </c>
      <c r="CD92" s="21">
        <f t="shared" ca="1" si="122"/>
        <v>8.6666213603547662E-2</v>
      </c>
      <c r="CE92" s="21">
        <f t="shared" ca="1" si="122"/>
        <v>8.6402840164943873E-2</v>
      </c>
      <c r="CF92" s="21">
        <f t="shared" ca="1" si="122"/>
        <v>8.108576799003267E-2</v>
      </c>
      <c r="CG92" s="21">
        <f t="shared" ca="1" si="122"/>
        <v>7.7527898319196903E-2</v>
      </c>
      <c r="CH92" s="21">
        <f t="shared" ca="1" si="122"/>
        <v>7.4065944165906034E-2</v>
      </c>
      <c r="CI92" s="21">
        <f t="shared" ca="1" si="122"/>
        <v>7.3268877590063647E-2</v>
      </c>
      <c r="CJ92" s="21">
        <f t="shared" ca="1" si="122"/>
        <v>6.674110699056704E-2</v>
      </c>
      <c r="CK92" s="21">
        <f t="shared" ca="1" si="122"/>
        <v>6.0498706792363161E-2</v>
      </c>
      <c r="CL92" s="21">
        <f t="shared" ca="1" si="122"/>
        <v>5.6333585604082845E-2</v>
      </c>
      <c r="CM92" s="21">
        <f t="shared" ref="CM92:EX92" ca="1" si="123">IF(CM12="","",AVERAGE(CB66:CL66)+CONFIDENCE(0.05,STDEV(BN66:CL66),COUNT(BN66:CL66)))</f>
        <v>5.3589898806423758E-2</v>
      </c>
      <c r="CN92" s="21">
        <f t="shared" ca="1" si="123"/>
        <v>5.131147341108229E-2</v>
      </c>
      <c r="CO92" s="21">
        <f t="shared" ca="1" si="123"/>
        <v>4.7762223942887802E-2</v>
      </c>
      <c r="CP92" s="21">
        <f t="shared" ca="1" si="123"/>
        <v>4.2851559145775459E-2</v>
      </c>
      <c r="CQ92" s="21">
        <f t="shared" ca="1" si="123"/>
        <v>4.5466624426989212E-2</v>
      </c>
      <c r="CR92" s="21">
        <f t="shared" ca="1" si="123"/>
        <v>5.1832047818646268E-2</v>
      </c>
      <c r="CS92" s="21">
        <f t="shared" ca="1" si="123"/>
        <v>5.2883568590110085E-2</v>
      </c>
      <c r="CT92" s="21">
        <f t="shared" ca="1" si="123"/>
        <v>4.9141905256759925E-2</v>
      </c>
      <c r="CU92" s="21">
        <f t="shared" ca="1" si="123"/>
        <v>5.4751893754847479E-2</v>
      </c>
      <c r="CV92" s="21">
        <f t="shared" ca="1" si="123"/>
        <v>5.6795320063738323E-2</v>
      </c>
      <c r="CW92" s="21">
        <f t="shared" ca="1" si="123"/>
        <v>5.2999555278219104E-2</v>
      </c>
      <c r="CX92" s="21">
        <f t="shared" ca="1" si="123"/>
        <v>4.7703310950401707E-2</v>
      </c>
      <c r="CY92" s="21">
        <f t="shared" ca="1" si="123"/>
        <v>4.7212488078752154E-2</v>
      </c>
      <c r="CZ92" s="21">
        <f t="shared" ca="1" si="123"/>
        <v>4.9777419714824835E-2</v>
      </c>
      <c r="DA92" s="21">
        <f t="shared" ca="1" si="123"/>
        <v>5.2493464381150656E-2</v>
      </c>
      <c r="DB92" s="21">
        <f t="shared" ca="1" si="123"/>
        <v>6.0177077754063987E-2</v>
      </c>
      <c r="DC92" s="21">
        <f t="shared" ca="1" si="123"/>
        <v>6.5938841872579368E-2</v>
      </c>
      <c r="DD92" s="21">
        <f t="shared" ca="1" si="123"/>
        <v>6.7586511286874637E-2</v>
      </c>
      <c r="DE92" s="21">
        <f t="shared" ca="1" si="123"/>
        <v>7.6868750637838643E-2</v>
      </c>
      <c r="DF92" s="21">
        <f t="shared" ca="1" si="123"/>
        <v>8.8834382599568981E-2</v>
      </c>
      <c r="DG92" s="21">
        <f t="shared" ca="1" si="123"/>
        <v>9.4144590844960352E-2</v>
      </c>
      <c r="DH92" s="21">
        <f t="shared" ca="1" si="123"/>
        <v>0.10440544281975168</v>
      </c>
      <c r="DI92" s="21">
        <f t="shared" ca="1" si="123"/>
        <v>0.11007152480482874</v>
      </c>
      <c r="DJ92" s="21">
        <f t="shared" ca="1" si="123"/>
        <v>0.11427075018186408</v>
      </c>
      <c r="DK92" s="21">
        <f t="shared" ca="1" si="123"/>
        <v>0.11401932299744251</v>
      </c>
      <c r="DL92" s="21">
        <f t="shared" ca="1" si="123"/>
        <v>0.11392101323348827</v>
      </c>
      <c r="DM92" s="21">
        <f t="shared" ca="1" si="123"/>
        <v>0.10622567310926201</v>
      </c>
      <c r="DN92" s="21">
        <f t="shared" ca="1" si="123"/>
        <v>9.8363221236112186E-2</v>
      </c>
      <c r="DO92" s="21">
        <f t="shared" ca="1" si="123"/>
        <v>9.9548922662650724E-2</v>
      </c>
      <c r="DP92" s="21">
        <f t="shared" ca="1" si="123"/>
        <v>9.2571114809451724E-2</v>
      </c>
      <c r="DQ92" s="21">
        <f t="shared" ca="1" si="123"/>
        <v>8.2543175527799717E-2</v>
      </c>
      <c r="DR92" s="21">
        <f t="shared" ca="1" si="123"/>
        <v>8.326138187233896E-2</v>
      </c>
      <c r="DS92" s="21">
        <f t="shared" ca="1" si="123"/>
        <v>7.4772027845456154E-2</v>
      </c>
      <c r="DT92" s="21">
        <f t="shared" ca="1" si="123"/>
        <v>6.8615053669677059E-2</v>
      </c>
      <c r="DU92" s="21">
        <f t="shared" ca="1" si="123"/>
        <v>6.0519443492795651E-2</v>
      </c>
      <c r="DV92" s="21">
        <f t="shared" ca="1" si="123"/>
        <v>5.6003425132733764E-2</v>
      </c>
      <c r="DW92" s="21">
        <f t="shared" ca="1" si="123"/>
        <v>5.1969977498591211E-2</v>
      </c>
      <c r="DX92" s="21">
        <f t="shared" ca="1" si="123"/>
        <v>4.9689717846851986E-2</v>
      </c>
      <c r="DY92" s="21">
        <f t="shared" ca="1" si="123"/>
        <v>4.9528915371749818E-2</v>
      </c>
      <c r="DZ92" s="21">
        <f t="shared" ca="1" si="123"/>
        <v>4.998756051480685E-2</v>
      </c>
      <c r="EA92" s="21">
        <f t="shared" ca="1" si="123"/>
        <v>5.008265934951512E-2</v>
      </c>
      <c r="EB92" s="21">
        <f t="shared" ca="1" si="123"/>
        <v>4.4676090345872013E-2</v>
      </c>
      <c r="EC92" s="21">
        <f t="shared" ca="1" si="123"/>
        <v>3.8132731328347574E-2</v>
      </c>
      <c r="ED92" s="21">
        <f t="shared" ca="1" si="123"/>
        <v>3.7677287269204968E-2</v>
      </c>
      <c r="EE92" s="21">
        <f t="shared" ca="1" si="123"/>
        <v>3.4838874975527664E-2</v>
      </c>
      <c r="EF92" s="21">
        <f t="shared" ca="1" si="123"/>
        <v>3.4604450455384947E-2</v>
      </c>
      <c r="EG92" s="21">
        <f t="shared" ca="1" si="123"/>
        <v>3.4249908020417073E-2</v>
      </c>
      <c r="EH92" s="21">
        <f t="shared" ca="1" si="123"/>
        <v>3.6340358455278596E-2</v>
      </c>
      <c r="EI92" s="21">
        <f t="shared" ca="1" si="123"/>
        <v>4.339083126132677E-2</v>
      </c>
      <c r="EJ92" s="21">
        <f t="shared" ca="1" si="123"/>
        <v>4.7393952110546769E-2</v>
      </c>
      <c r="EK92" s="21">
        <f t="shared" ca="1" si="123"/>
        <v>4.4907443244003781E-2</v>
      </c>
      <c r="EL92" s="21">
        <f t="shared" ca="1" si="123"/>
        <v>4.4725944665861363E-2</v>
      </c>
      <c r="EM92" s="21">
        <f t="shared" ca="1" si="123"/>
        <v>4.9731993291629334E-2</v>
      </c>
      <c r="EN92" s="21">
        <f t="shared" ca="1" si="123"/>
        <v>5.0955996306949747E-2</v>
      </c>
      <c r="EO92" s="21">
        <f t="shared" ca="1" si="123"/>
        <v>5.958701052361301E-2</v>
      </c>
      <c r="EP92" s="21">
        <f t="shared" ca="1" si="123"/>
        <v>6.303026059502928E-2</v>
      </c>
      <c r="EQ92" s="21">
        <f t="shared" ca="1" si="123"/>
        <v>6.5431162494842571E-2</v>
      </c>
      <c r="ER92" s="21">
        <f t="shared" ca="1" si="123"/>
        <v>6.5715180175876062E-2</v>
      </c>
      <c r="ES92" s="21">
        <f t="shared" ca="1" si="123"/>
        <v>6.6355679005769219E-2</v>
      </c>
      <c r="ET92" s="21">
        <f t="shared" ca="1" si="123"/>
        <v>5.8458457412445285E-2</v>
      </c>
      <c r="EU92" s="21">
        <f t="shared" ca="1" si="123"/>
        <v>5.2315616283466773E-2</v>
      </c>
      <c r="EV92" s="21">
        <f t="shared" ca="1" si="123"/>
        <v>5.4375049774034581E-2</v>
      </c>
      <c r="EW92" s="21">
        <f t="shared" ca="1" si="123"/>
        <v>5.9650237239077232E-2</v>
      </c>
      <c r="EX92" s="21">
        <f t="shared" ca="1" si="123"/>
        <v>5.9075438644038365E-2</v>
      </c>
      <c r="EY92" s="21">
        <f t="shared" ref="EY92:HJ92" ca="1" si="124">IF(EY12="","",AVERAGE(EN66:EX66)+CONFIDENCE(0.05,STDEV(DZ66:EX66),COUNT(DZ66:EX66)))</f>
        <v>5.6662185409232457E-2</v>
      </c>
      <c r="EZ92" s="21">
        <f t="shared" ca="1" si="124"/>
        <v>5.2856163194032441E-2</v>
      </c>
      <c r="FA92" s="21">
        <f t="shared" ca="1" si="124"/>
        <v>4.9304849350140303E-2</v>
      </c>
      <c r="FB92" s="21">
        <f t="shared" ca="1" si="124"/>
        <v>4.6738212287426237E-2</v>
      </c>
      <c r="FC92" s="21">
        <f t="shared" ca="1" si="124"/>
        <v>4.5916172235459761E-2</v>
      </c>
      <c r="FD92" s="21">
        <f t="shared" ca="1" si="124"/>
        <v>4.3105150641012571E-2</v>
      </c>
      <c r="FE92" s="21">
        <f t="shared" ca="1" si="124"/>
        <v>4.2980103591757968E-2</v>
      </c>
      <c r="FF92" s="21">
        <f t="shared" ca="1" si="124"/>
        <v>4.433883126775974E-2</v>
      </c>
      <c r="FG92" s="21">
        <f t="shared" ca="1" si="124"/>
        <v>4.2379756559517756E-2</v>
      </c>
      <c r="FH92" s="21">
        <f t="shared" ca="1" si="124"/>
        <v>3.624512908100222E-2</v>
      </c>
      <c r="FI92" s="21">
        <f t="shared" ca="1" si="124"/>
        <v>3.2661646314163281E-2</v>
      </c>
      <c r="FJ92" s="21">
        <f t="shared" ca="1" si="124"/>
        <v>3.1924630013322922E-2</v>
      </c>
      <c r="FK92" s="21">
        <f t="shared" ca="1" si="124"/>
        <v>3.1667478353000419E-2</v>
      </c>
      <c r="FL92" s="21">
        <f t="shared" ca="1" si="124"/>
        <v>3.2633613190507088E-2</v>
      </c>
      <c r="FM92" s="21">
        <f t="shared" ca="1" si="124"/>
        <v>4.2152161932793523E-2</v>
      </c>
      <c r="FN92" s="21">
        <f t="shared" ca="1" si="124"/>
        <v>5.3912680263551491E-2</v>
      </c>
      <c r="FO92" s="21">
        <f t="shared" ca="1" si="124"/>
        <v>5.9954593901532266E-2</v>
      </c>
      <c r="FP92" s="21">
        <f t="shared" ca="1" si="124"/>
        <v>6.0534014134424524E-2</v>
      </c>
      <c r="FQ92" s="21">
        <f t="shared" ca="1" si="124"/>
        <v>6.11123246619499E-2</v>
      </c>
      <c r="FR92" s="21">
        <f t="shared" ca="1" si="124"/>
        <v>6.3076937163065797E-2</v>
      </c>
      <c r="FS92" s="21">
        <f t="shared" ca="1" si="124"/>
        <v>6.9900861011238505E-2</v>
      </c>
      <c r="FT92" s="21">
        <f t="shared" ca="1" si="124"/>
        <v>7.8306694041069311E-2</v>
      </c>
      <c r="FU92" s="21">
        <f t="shared" ca="1" si="124"/>
        <v>8.6362798746963162E-2</v>
      </c>
      <c r="FV92" s="21">
        <f t="shared" ca="1" si="124"/>
        <v>8.6494255092680675E-2</v>
      </c>
      <c r="FW92" s="21">
        <f t="shared" ca="1" si="124"/>
        <v>8.8446621475802414E-2</v>
      </c>
      <c r="FX92" s="21">
        <f t="shared" ca="1" si="124"/>
        <v>8.1395006831462224E-2</v>
      </c>
      <c r="FY92" s="21">
        <f t="shared" ca="1" si="124"/>
        <v>7.2217801751208538E-2</v>
      </c>
      <c r="FZ92" s="21">
        <f t="shared" ca="1" si="124"/>
        <v>7.5677130988043198E-2</v>
      </c>
      <c r="GA92" s="21">
        <f t="shared" ca="1" si="124"/>
        <v>9.3540605438259164E-2</v>
      </c>
      <c r="GB92" s="21">
        <f t="shared" ca="1" si="124"/>
        <v>0.103626976956122</v>
      </c>
      <c r="GC92" s="21">
        <f t="shared" ca="1" si="124"/>
        <v>0.11102759652276244</v>
      </c>
      <c r="GD92" s="21">
        <f t="shared" ca="1" si="124"/>
        <v>0.11278199069936552</v>
      </c>
      <c r="GE92" s="21">
        <f t="shared" ca="1" si="124"/>
        <v>0.10864377489473026</v>
      </c>
      <c r="GF92" s="21">
        <f t="shared" ca="1" si="124"/>
        <v>0.10791262888440203</v>
      </c>
      <c r="GG92" s="21">
        <f t="shared" ca="1" si="124"/>
        <v>0.11471343339350343</v>
      </c>
      <c r="GH92" s="21">
        <f t="shared" ca="1" si="124"/>
        <v>0.12081207031525895</v>
      </c>
      <c r="GI92" s="21">
        <f t="shared" ca="1" si="124"/>
        <v>0.12641825455579822</v>
      </c>
      <c r="GJ92" s="21">
        <f t="shared" ca="1" si="124"/>
        <v>0.1296388243597566</v>
      </c>
      <c r="GK92" s="21">
        <f t="shared" ca="1" si="124"/>
        <v>0.12549207734070339</v>
      </c>
      <c r="GL92" s="21">
        <f t="shared" ca="1" si="124"/>
        <v>0.11422612813609365</v>
      </c>
      <c r="GM92" s="21">
        <f t="shared" ca="1" si="124"/>
        <v>0.10658828984714606</v>
      </c>
      <c r="GN92" s="21">
        <f t="shared" ca="1" si="124"/>
        <v>9.7810370650606465E-2</v>
      </c>
      <c r="GO92" s="21">
        <f t="shared" ca="1" si="124"/>
        <v>9.5153850081265728E-2</v>
      </c>
      <c r="GP92" s="21">
        <f t="shared" ca="1" si="124"/>
        <v>9.3524678421542745E-2</v>
      </c>
      <c r="GQ92" s="21">
        <f t="shared" ca="1" si="124"/>
        <v>9.2867636058180963E-2</v>
      </c>
      <c r="GR92" s="21">
        <f t="shared" ca="1" si="124"/>
        <v>8.7625119663368195E-2</v>
      </c>
      <c r="GS92" s="21">
        <f t="shared" ca="1" si="124"/>
        <v>8.2461960323799016E-2</v>
      </c>
      <c r="GT92" s="21">
        <f t="shared" ca="1" si="124"/>
        <v>7.8432068234122854E-2</v>
      </c>
      <c r="GU92" s="21">
        <f t="shared" ca="1" si="124"/>
        <v>7.8347119437502027E-2</v>
      </c>
      <c r="GV92" s="21">
        <f t="shared" ca="1" si="124"/>
        <v>7.7280160034948531E-2</v>
      </c>
      <c r="GW92" s="21">
        <f t="shared" ca="1" si="124"/>
        <v>7.863424113860748E-2</v>
      </c>
      <c r="GX92" s="21">
        <f t="shared" ca="1" si="124"/>
        <v>8.0408460014704045E-2</v>
      </c>
      <c r="GY92" s="21">
        <f t="shared" ca="1" si="124"/>
        <v>9.4540798934596798E-2</v>
      </c>
      <c r="GZ92" s="21">
        <f t="shared" ca="1" si="124"/>
        <v>6.810109071250918E-2</v>
      </c>
      <c r="HA92" s="21" t="str">
        <f t="shared" si="124"/>
        <v/>
      </c>
      <c r="HB92" s="21" t="str">
        <f t="shared" si="124"/>
        <v/>
      </c>
      <c r="HC92" s="21" t="str">
        <f t="shared" si="124"/>
        <v/>
      </c>
      <c r="HD92" s="21" t="str">
        <f t="shared" si="124"/>
        <v/>
      </c>
      <c r="HE92" s="21" t="str">
        <f t="shared" si="124"/>
        <v/>
      </c>
      <c r="HF92" s="21" t="str">
        <f t="shared" si="124"/>
        <v/>
      </c>
      <c r="HG92" s="21" t="str">
        <f t="shared" si="124"/>
        <v/>
      </c>
      <c r="HH92" s="21" t="str">
        <f t="shared" si="124"/>
        <v/>
      </c>
      <c r="HI92" s="21" t="str">
        <f t="shared" si="124"/>
        <v/>
      </c>
      <c r="HJ92" s="21" t="str">
        <f t="shared" si="124"/>
        <v/>
      </c>
      <c r="HK92" s="21" t="str">
        <f t="shared" ref="HK92:JH92" si="125">IF(HK12="","",AVERAGE(GZ66:HJ66)+CONFIDENCE(0.05,STDEV(GL66:HJ66),COUNT(GL66:HJ66)))</f>
        <v/>
      </c>
      <c r="HL92" s="21" t="str">
        <f t="shared" si="125"/>
        <v/>
      </c>
      <c r="HM92" s="21" t="str">
        <f t="shared" si="125"/>
        <v/>
      </c>
      <c r="HN92" s="21" t="str">
        <f t="shared" si="125"/>
        <v/>
      </c>
      <c r="HO92" s="21" t="str">
        <f t="shared" si="125"/>
        <v/>
      </c>
      <c r="HP92" s="21" t="str">
        <f t="shared" si="125"/>
        <v/>
      </c>
      <c r="HQ92" s="21" t="str">
        <f t="shared" si="125"/>
        <v/>
      </c>
      <c r="HR92" s="21" t="str">
        <f t="shared" si="125"/>
        <v/>
      </c>
      <c r="HS92" s="21" t="str">
        <f t="shared" si="125"/>
        <v/>
      </c>
      <c r="HT92" s="21" t="str">
        <f t="shared" si="125"/>
        <v/>
      </c>
      <c r="HU92" s="21" t="str">
        <f t="shared" si="125"/>
        <v/>
      </c>
      <c r="HV92" s="21" t="str">
        <f t="shared" si="125"/>
        <v/>
      </c>
      <c r="HW92" s="21" t="str">
        <f t="shared" si="125"/>
        <v/>
      </c>
      <c r="HX92" s="21" t="str">
        <f t="shared" si="125"/>
        <v/>
      </c>
      <c r="HY92" s="21" t="str">
        <f t="shared" si="125"/>
        <v/>
      </c>
      <c r="HZ92" s="21" t="str">
        <f t="shared" si="125"/>
        <v/>
      </c>
      <c r="IA92" s="21" t="str">
        <f t="shared" si="125"/>
        <v/>
      </c>
      <c r="IB92" s="21" t="str">
        <f t="shared" si="125"/>
        <v/>
      </c>
      <c r="IC92" s="21" t="str">
        <f t="shared" si="125"/>
        <v/>
      </c>
      <c r="ID92" s="21" t="str">
        <f t="shared" si="125"/>
        <v/>
      </c>
      <c r="IE92" s="21" t="str">
        <f t="shared" si="125"/>
        <v/>
      </c>
      <c r="IF92" s="21" t="str">
        <f t="shared" si="125"/>
        <v/>
      </c>
      <c r="IG92" s="21" t="str">
        <f t="shared" si="125"/>
        <v/>
      </c>
      <c r="IH92" s="21" t="str">
        <f t="shared" si="125"/>
        <v/>
      </c>
      <c r="II92" s="21" t="str">
        <f t="shared" si="125"/>
        <v/>
      </c>
      <c r="IJ92" s="21" t="str">
        <f t="shared" si="125"/>
        <v/>
      </c>
      <c r="IK92" s="21" t="str">
        <f t="shared" si="125"/>
        <v/>
      </c>
      <c r="IL92" s="21" t="str">
        <f t="shared" si="125"/>
        <v/>
      </c>
      <c r="IM92" s="21" t="str">
        <f t="shared" si="125"/>
        <v/>
      </c>
      <c r="IN92" s="21" t="str">
        <f t="shared" si="125"/>
        <v/>
      </c>
      <c r="IO92" s="21" t="str">
        <f t="shared" si="125"/>
        <v/>
      </c>
      <c r="IP92" s="21" t="str">
        <f t="shared" si="125"/>
        <v/>
      </c>
      <c r="IQ92" s="21" t="str">
        <f t="shared" si="125"/>
        <v/>
      </c>
      <c r="IR92" s="21" t="str">
        <f t="shared" si="125"/>
        <v/>
      </c>
      <c r="IS92" s="21" t="str">
        <f t="shared" si="125"/>
        <v/>
      </c>
      <c r="IT92" s="21" t="str">
        <f t="shared" si="125"/>
        <v/>
      </c>
      <c r="IU92" s="21" t="str">
        <f t="shared" si="125"/>
        <v/>
      </c>
      <c r="IV92" s="21" t="str">
        <f t="shared" si="125"/>
        <v/>
      </c>
      <c r="IW92" s="21" t="str">
        <f t="shared" si="125"/>
        <v/>
      </c>
      <c r="IX92" s="21" t="str">
        <f t="shared" si="125"/>
        <v/>
      </c>
      <c r="IY92" s="21" t="str">
        <f t="shared" si="125"/>
        <v/>
      </c>
      <c r="IZ92" s="21" t="str">
        <f t="shared" si="125"/>
        <v/>
      </c>
      <c r="JA92" s="21" t="str">
        <f t="shared" si="125"/>
        <v/>
      </c>
      <c r="JB92" s="21" t="str">
        <f t="shared" si="125"/>
        <v/>
      </c>
      <c r="JC92" s="21" t="str">
        <f t="shared" si="125"/>
        <v/>
      </c>
      <c r="JD92" s="21" t="str">
        <f t="shared" si="125"/>
        <v/>
      </c>
      <c r="JE92" s="21" t="str">
        <f t="shared" si="125"/>
        <v/>
      </c>
      <c r="JF92" s="21" t="str">
        <f t="shared" si="125"/>
        <v/>
      </c>
      <c r="JG92" s="21" t="str">
        <f t="shared" si="125"/>
        <v/>
      </c>
      <c r="JH92" s="21" t="str">
        <f t="shared" si="125"/>
        <v/>
      </c>
    </row>
    <row r="93" spans="1:336" x14ac:dyDescent="0.25"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>
        <f t="shared" ref="AA93:CL93" ca="1" si="126">IF(AA13="","",AVERAGE(O67:Z67)+CONFIDENCE(0.05,STDEV(B67:Z67),COUNT(B67:Z67)))</f>
        <v>4.3415169597435924E-2</v>
      </c>
      <c r="AB93" s="21">
        <f t="shared" ca="1" si="126"/>
        <v>4.5664279508396008E-2</v>
      </c>
      <c r="AC93" s="21">
        <f t="shared" ca="1" si="126"/>
        <v>4.8674941347432325E-2</v>
      </c>
      <c r="AD93" s="21">
        <f t="shared" ca="1" si="126"/>
        <v>4.8471685689036897E-2</v>
      </c>
      <c r="AE93" s="21">
        <f t="shared" ca="1" si="126"/>
        <v>4.7430171827175474E-2</v>
      </c>
      <c r="AF93" s="21">
        <f t="shared" ca="1" si="126"/>
        <v>4.5236308231007008E-2</v>
      </c>
      <c r="AG93" s="21">
        <f t="shared" ca="1" si="126"/>
        <v>4.5506333672288915E-2</v>
      </c>
      <c r="AH93" s="21">
        <f t="shared" ca="1" si="126"/>
        <v>4.3310778704228454E-2</v>
      </c>
      <c r="AI93" s="21">
        <f t="shared" ca="1" si="126"/>
        <v>4.1134324462291059E-2</v>
      </c>
      <c r="AJ93" s="21">
        <f t="shared" ca="1" si="126"/>
        <v>3.9609904310180806E-2</v>
      </c>
      <c r="AK93" s="21">
        <f t="shared" ca="1" si="126"/>
        <v>3.8214892158726053E-2</v>
      </c>
      <c r="AL93" s="21">
        <f t="shared" ca="1" si="126"/>
        <v>3.771557086982557E-2</v>
      </c>
      <c r="AM93" s="21">
        <f t="shared" ca="1" si="126"/>
        <v>3.8196402330773871E-2</v>
      </c>
      <c r="AN93" s="21">
        <f t="shared" ca="1" si="126"/>
        <v>3.7056310395023662E-2</v>
      </c>
      <c r="AO93" s="21">
        <f t="shared" ca="1" si="126"/>
        <v>3.8673778581519616E-2</v>
      </c>
      <c r="AP93" s="21">
        <f t="shared" ca="1" si="126"/>
        <v>4.5916189061087367E-2</v>
      </c>
      <c r="AQ93" s="21">
        <f t="shared" ca="1" si="126"/>
        <v>5.2314349229023768E-2</v>
      </c>
      <c r="AR93" s="21">
        <f t="shared" ca="1" si="126"/>
        <v>6.3838231293265491E-2</v>
      </c>
      <c r="AS93" s="21">
        <f t="shared" ca="1" si="126"/>
        <v>7.8313491186975587E-2</v>
      </c>
      <c r="AT93" s="21">
        <f t="shared" ca="1" si="126"/>
        <v>9.3846413910820964E-2</v>
      </c>
      <c r="AU93" s="21">
        <f t="shared" ca="1" si="126"/>
        <v>0.11077603078286745</v>
      </c>
      <c r="AV93" s="21">
        <f t="shared" ca="1" si="126"/>
        <v>0.12951229365064698</v>
      </c>
      <c r="AW93" s="21">
        <f t="shared" ca="1" si="126"/>
        <v>0.14803692966468687</v>
      </c>
      <c r="AX93" s="21">
        <f t="shared" ca="1" si="126"/>
        <v>0.17397056500367469</v>
      </c>
      <c r="AY93" s="21">
        <f t="shared" ca="1" si="126"/>
        <v>0.20240119508894924</v>
      </c>
      <c r="AZ93" s="21">
        <f t="shared" ca="1" si="126"/>
        <v>0.231213170265955</v>
      </c>
      <c r="BA93" s="21">
        <f t="shared" ca="1" si="126"/>
        <v>0.25540985609445083</v>
      </c>
      <c r="BB93" s="21">
        <f t="shared" ca="1" si="126"/>
        <v>0.27846584810928154</v>
      </c>
      <c r="BC93" s="21">
        <f t="shared" ca="1" si="126"/>
        <v>0.3022362579690917</v>
      </c>
      <c r="BD93" s="21">
        <f t="shared" ca="1" si="126"/>
        <v>0.32159712239169813</v>
      </c>
      <c r="BE93" s="21">
        <f t="shared" ca="1" si="126"/>
        <v>0.33086368686914147</v>
      </c>
      <c r="BF93" s="21">
        <f t="shared" ca="1" si="126"/>
        <v>0.3325352052103388</v>
      </c>
      <c r="BG93" s="21">
        <f t="shared" ca="1" si="126"/>
        <v>0.32796359976984901</v>
      </c>
      <c r="BH93" s="21">
        <f t="shared" ca="1" si="126"/>
        <v>0.32110441037673543</v>
      </c>
      <c r="BI93" s="21">
        <f t="shared" ca="1" si="126"/>
        <v>0.30668041722421258</v>
      </c>
      <c r="BJ93" s="21">
        <f t="shared" ca="1" si="126"/>
        <v>0.28798141442750602</v>
      </c>
      <c r="BK93" s="21">
        <f t="shared" ca="1" si="126"/>
        <v>0.27793723977141332</v>
      </c>
      <c r="BL93" s="21">
        <f t="shared" ca="1" si="126"/>
        <v>0.25848512249665839</v>
      </c>
      <c r="BM93" s="21">
        <f t="shared" ca="1" si="126"/>
        <v>0.25060321536956853</v>
      </c>
      <c r="BN93" s="21">
        <f t="shared" ca="1" si="126"/>
        <v>0.24195492374301247</v>
      </c>
      <c r="BO93" s="21">
        <f t="shared" ca="1" si="126"/>
        <v>0.23294521551918732</v>
      </c>
      <c r="BP93" s="21">
        <f t="shared" ca="1" si="126"/>
        <v>0.22516464887371798</v>
      </c>
      <c r="BQ93" s="21">
        <f t="shared" ca="1" si="126"/>
        <v>0.2183249891975434</v>
      </c>
      <c r="BR93" s="21">
        <f t="shared" ca="1" si="126"/>
        <v>0.2081820778033843</v>
      </c>
      <c r="BS93" s="21">
        <f t="shared" ca="1" si="126"/>
        <v>0.20214205757285078</v>
      </c>
      <c r="BT93" s="21">
        <f t="shared" ca="1" si="126"/>
        <v>0.19428925699138588</v>
      </c>
      <c r="BU93" s="21">
        <f t="shared" ca="1" si="126"/>
        <v>0.20234874296749733</v>
      </c>
      <c r="BV93" s="21">
        <f t="shared" ca="1" si="126"/>
        <v>0.20123086652203775</v>
      </c>
      <c r="BW93" s="21">
        <f t="shared" ca="1" si="126"/>
        <v>0.18700246584237384</v>
      </c>
      <c r="BX93" s="21">
        <f t="shared" ca="1" si="126"/>
        <v>0.1827473558777889</v>
      </c>
      <c r="BY93" s="21">
        <f t="shared" ca="1" si="126"/>
        <v>0.1668234162165449</v>
      </c>
      <c r="BZ93" s="21">
        <f t="shared" ca="1" si="126"/>
        <v>0.15189348836629918</v>
      </c>
      <c r="CA93" s="21">
        <f t="shared" ca="1" si="126"/>
        <v>0.13485445039298485</v>
      </c>
      <c r="CB93" s="21">
        <f t="shared" ca="1" si="126"/>
        <v>0.11506149607047192</v>
      </c>
      <c r="CC93" s="21">
        <f t="shared" ca="1" si="126"/>
        <v>9.7495553783361194E-2</v>
      </c>
      <c r="CD93" s="21">
        <f t="shared" ca="1" si="126"/>
        <v>9.2683296703207602E-2</v>
      </c>
      <c r="CE93" s="21">
        <f t="shared" ca="1" si="126"/>
        <v>9.0811269279285942E-2</v>
      </c>
      <c r="CF93" s="21">
        <f t="shared" ca="1" si="126"/>
        <v>9.2552572278193163E-2</v>
      </c>
      <c r="CG93" s="21">
        <f t="shared" ca="1" si="126"/>
        <v>8.2010398216289609E-2</v>
      </c>
      <c r="CH93" s="21">
        <f t="shared" ca="1" si="126"/>
        <v>8.0113147260163484E-2</v>
      </c>
      <c r="CI93" s="21">
        <f t="shared" ca="1" si="126"/>
        <v>8.0195199794223751E-2</v>
      </c>
      <c r="CJ93" s="21">
        <f t="shared" ca="1" si="126"/>
        <v>7.3286863275772468E-2</v>
      </c>
      <c r="CK93" s="21">
        <f t="shared" ca="1" si="126"/>
        <v>7.0250013052110233E-2</v>
      </c>
      <c r="CL93" s="21">
        <f t="shared" ca="1" si="126"/>
        <v>6.5297169041032166E-2</v>
      </c>
      <c r="CM93" s="21">
        <f t="shared" ref="CM93:EX93" ca="1" si="127">IF(CM13="","",AVERAGE(CA67:CL67)+CONFIDENCE(0.05,STDEV(BN67:CL67),COUNT(BN67:CL67)))</f>
        <v>6.2007361010632915E-2</v>
      </c>
      <c r="CN93" s="21">
        <f t="shared" ca="1" si="127"/>
        <v>5.7545144105121473E-2</v>
      </c>
      <c r="CO93" s="21">
        <f t="shared" ca="1" si="127"/>
        <v>5.2077568297075161E-2</v>
      </c>
      <c r="CP93" s="21">
        <f t="shared" ca="1" si="127"/>
        <v>4.8786183658215229E-2</v>
      </c>
      <c r="CQ93" s="21">
        <f t="shared" ca="1" si="127"/>
        <v>5.5122811792359831E-2</v>
      </c>
      <c r="CR93" s="21">
        <f t="shared" ca="1" si="127"/>
        <v>5.8769710833941682E-2</v>
      </c>
      <c r="CS93" s="21">
        <f t="shared" ca="1" si="127"/>
        <v>5.8861680637475988E-2</v>
      </c>
      <c r="CT93" s="21">
        <f t="shared" ca="1" si="127"/>
        <v>5.8284573556074956E-2</v>
      </c>
      <c r="CU93" s="21">
        <f t="shared" ca="1" si="127"/>
        <v>6.178076054672655E-2</v>
      </c>
      <c r="CV93" s="21">
        <f t="shared" ca="1" si="127"/>
        <v>6.362941944981336E-2</v>
      </c>
      <c r="CW93" s="21">
        <f t="shared" ca="1" si="127"/>
        <v>6.1779248276662826E-2</v>
      </c>
      <c r="CX93" s="21">
        <f t="shared" ca="1" si="127"/>
        <v>5.9089276721064482E-2</v>
      </c>
      <c r="CY93" s="21">
        <f t="shared" ca="1" si="127"/>
        <v>5.7249812809090042E-2</v>
      </c>
      <c r="CZ93" s="21">
        <f t="shared" ca="1" si="127"/>
        <v>5.968053950468076E-2</v>
      </c>
      <c r="DA93" s="21">
        <f t="shared" ca="1" si="127"/>
        <v>6.2131632804206895E-2</v>
      </c>
      <c r="DB93" s="21">
        <f t="shared" ca="1" si="127"/>
        <v>7.4223011906474096E-2</v>
      </c>
      <c r="DC93" s="21">
        <f t="shared" ca="1" si="127"/>
        <v>7.7926610885865499E-2</v>
      </c>
      <c r="DD93" s="21">
        <f t="shared" ca="1" si="127"/>
        <v>7.5600573950277208E-2</v>
      </c>
      <c r="DE93" s="21">
        <f t="shared" ca="1" si="127"/>
        <v>8.7790280466784221E-2</v>
      </c>
      <c r="DF93" s="21">
        <f t="shared" ca="1" si="127"/>
        <v>0.10107805778030268</v>
      </c>
      <c r="DG93" s="21">
        <f t="shared" ca="1" si="127"/>
        <v>0.10237164690746664</v>
      </c>
      <c r="DH93" s="21">
        <f t="shared" ca="1" si="127"/>
        <v>0.11310888896342897</v>
      </c>
      <c r="DI93" s="21">
        <f t="shared" ca="1" si="127"/>
        <v>0.11873289839327045</v>
      </c>
      <c r="DJ93" s="21">
        <f t="shared" ca="1" si="127"/>
        <v>0.12383800679559204</v>
      </c>
      <c r="DK93" s="21">
        <f t="shared" ca="1" si="127"/>
        <v>0.12333745486700881</v>
      </c>
      <c r="DL93" s="21">
        <f t="shared" ca="1" si="127"/>
        <v>0.12109583029888667</v>
      </c>
      <c r="DM93" s="21">
        <f t="shared" ca="1" si="127"/>
        <v>0.12008942188270161</v>
      </c>
      <c r="DN93" s="21">
        <f t="shared" ca="1" si="127"/>
        <v>0.11162457585112583</v>
      </c>
      <c r="DO93" s="21">
        <f t="shared" ca="1" si="127"/>
        <v>0.10494933792256678</v>
      </c>
      <c r="DP93" s="21">
        <f t="shared" ca="1" si="127"/>
        <v>0.10293518293540521</v>
      </c>
      <c r="DQ93" s="21">
        <f t="shared" ca="1" si="127"/>
        <v>9.948634654858228E-2</v>
      </c>
      <c r="DR93" s="21">
        <f t="shared" ca="1" si="127"/>
        <v>9.0726927036426763E-2</v>
      </c>
      <c r="DS93" s="21">
        <f t="shared" ca="1" si="127"/>
        <v>8.2750730023325975E-2</v>
      </c>
      <c r="DT93" s="21">
        <f t="shared" ca="1" si="127"/>
        <v>7.2298937730236448E-2</v>
      </c>
      <c r="DU93" s="21">
        <f t="shared" ca="1" si="127"/>
        <v>6.5949125437901851E-2</v>
      </c>
      <c r="DV93" s="21">
        <f t="shared" ca="1" si="127"/>
        <v>5.8959882034904015E-2</v>
      </c>
      <c r="DW93" s="21">
        <f t="shared" ca="1" si="127"/>
        <v>5.4864372275287648E-2</v>
      </c>
      <c r="DX93" s="21">
        <f t="shared" ca="1" si="127"/>
        <v>5.1237757177774415E-2</v>
      </c>
      <c r="DY93" s="21">
        <f t="shared" ca="1" si="127"/>
        <v>5.0340130503131644E-2</v>
      </c>
      <c r="DZ93" s="21">
        <f t="shared" ca="1" si="127"/>
        <v>5.2066551176920134E-2</v>
      </c>
      <c r="EA93" s="21">
        <f t="shared" ca="1" si="127"/>
        <v>4.8570826622086102E-2</v>
      </c>
      <c r="EB93" s="21">
        <f t="shared" ca="1" si="127"/>
        <v>4.6683937818996199E-2</v>
      </c>
      <c r="EC93" s="21">
        <f t="shared" ca="1" si="127"/>
        <v>4.1924314862840359E-2</v>
      </c>
      <c r="ED93" s="21">
        <f t="shared" ca="1" si="127"/>
        <v>3.7492551214016748E-2</v>
      </c>
      <c r="EE93" s="21">
        <f t="shared" ca="1" si="127"/>
        <v>3.5263458100732517E-2</v>
      </c>
      <c r="EF93" s="21">
        <f t="shared" ca="1" si="127"/>
        <v>3.5234306451142318E-2</v>
      </c>
      <c r="EG93" s="21">
        <f t="shared" ca="1" si="127"/>
        <v>3.4182680113816977E-2</v>
      </c>
      <c r="EH93" s="21">
        <f t="shared" ca="1" si="127"/>
        <v>3.4348497418661389E-2</v>
      </c>
      <c r="EI93" s="21">
        <f t="shared" ca="1" si="127"/>
        <v>4.0960112526745904E-2</v>
      </c>
      <c r="EJ93" s="21">
        <f t="shared" ca="1" si="127"/>
        <v>4.6026111537440802E-2</v>
      </c>
      <c r="EK93" s="21">
        <f t="shared" ca="1" si="127"/>
        <v>4.4037941977502701E-2</v>
      </c>
      <c r="EL93" s="21">
        <f t="shared" ca="1" si="127"/>
        <v>4.2133586670189176E-2</v>
      </c>
      <c r="EM93" s="21">
        <f t="shared" ca="1" si="127"/>
        <v>4.5343426294857048E-2</v>
      </c>
      <c r="EN93" s="21">
        <f t="shared" ca="1" si="127"/>
        <v>4.8920580108321461E-2</v>
      </c>
      <c r="EO93" s="21">
        <f t="shared" ca="1" si="127"/>
        <v>5.6755856741226782E-2</v>
      </c>
      <c r="EP93" s="21">
        <f t="shared" ca="1" si="127"/>
        <v>5.6736134573854305E-2</v>
      </c>
      <c r="EQ93" s="21">
        <f t="shared" ca="1" si="127"/>
        <v>5.8633367828404628E-2</v>
      </c>
      <c r="ER93" s="21">
        <f t="shared" ca="1" si="127"/>
        <v>6.0702281338731262E-2</v>
      </c>
      <c r="ES93" s="21">
        <f t="shared" ca="1" si="127"/>
        <v>6.2823305156472053E-2</v>
      </c>
      <c r="ET93" s="21">
        <f t="shared" ca="1" si="127"/>
        <v>6.1156237952419056E-2</v>
      </c>
      <c r="EU93" s="21">
        <f t="shared" ca="1" si="127"/>
        <v>5.4835325259145702E-2</v>
      </c>
      <c r="EV93" s="21">
        <f t="shared" ca="1" si="127"/>
        <v>5.7201770211507137E-2</v>
      </c>
      <c r="EW93" s="21">
        <f t="shared" ca="1" si="127"/>
        <v>6.4053346107413534E-2</v>
      </c>
      <c r="EX93" s="21">
        <f t="shared" ca="1" si="127"/>
        <v>6.5342883459257636E-2</v>
      </c>
      <c r="EY93" s="21">
        <f t="shared" ref="EY93:HJ93" ca="1" si="128">IF(EY13="","",AVERAGE(EM67:EX67)+CONFIDENCE(0.05,STDEV(DZ67:EX67),COUNT(DZ67:EX67)))</f>
        <v>6.3037519569457426E-2</v>
      </c>
      <c r="EZ93" s="21">
        <f t="shared" ca="1" si="128"/>
        <v>6.3315043920189246E-2</v>
      </c>
      <c r="FA93" s="21">
        <f t="shared" ca="1" si="128"/>
        <v>5.5631189876416069E-2</v>
      </c>
      <c r="FB93" s="21">
        <f t="shared" ca="1" si="128"/>
        <v>5.6755147736229201E-2</v>
      </c>
      <c r="FC93" s="21">
        <f t="shared" ca="1" si="128"/>
        <v>5.6655415567900172E-2</v>
      </c>
      <c r="FD93" s="21">
        <f t="shared" ca="1" si="128"/>
        <v>5.3722139414639554E-2</v>
      </c>
      <c r="FE93" s="21">
        <f t="shared" ca="1" si="128"/>
        <v>5.172718810287287E-2</v>
      </c>
      <c r="FF93" s="21">
        <f t="shared" ca="1" si="128"/>
        <v>5.2756925336286703E-2</v>
      </c>
      <c r="FG93" s="21">
        <f t="shared" ca="1" si="128"/>
        <v>5.3964517817566525E-2</v>
      </c>
      <c r="FH93" s="21">
        <f t="shared" ca="1" si="128"/>
        <v>4.7367388260568959E-2</v>
      </c>
      <c r="FI93" s="21">
        <f t="shared" ca="1" si="128"/>
        <v>4.1467313391213706E-2</v>
      </c>
      <c r="FJ93" s="21">
        <f t="shared" ca="1" si="128"/>
        <v>3.8949606895863534E-2</v>
      </c>
      <c r="FK93" s="21">
        <f t="shared" ca="1" si="128"/>
        <v>4.0417233525208873E-2</v>
      </c>
      <c r="FL93" s="21">
        <f t="shared" ca="1" si="128"/>
        <v>3.7873552652754765E-2</v>
      </c>
      <c r="FM93" s="21">
        <f t="shared" ca="1" si="128"/>
        <v>4.7487682482968141E-2</v>
      </c>
      <c r="FN93" s="21">
        <f t="shared" ca="1" si="128"/>
        <v>5.1054365861385897E-2</v>
      </c>
      <c r="FO93" s="21">
        <f t="shared" ca="1" si="128"/>
        <v>5.3225313131051138E-2</v>
      </c>
      <c r="FP93" s="21">
        <f t="shared" ca="1" si="128"/>
        <v>5.5581883991053377E-2</v>
      </c>
      <c r="FQ93" s="21">
        <f t="shared" ca="1" si="128"/>
        <v>5.5897485423803364E-2</v>
      </c>
      <c r="FR93" s="21">
        <f t="shared" ca="1" si="128"/>
        <v>5.9368138705068213E-2</v>
      </c>
      <c r="FS93" s="21">
        <f t="shared" ca="1" si="128"/>
        <v>6.5741421588710394E-2</v>
      </c>
      <c r="FT93" s="21">
        <f t="shared" ca="1" si="128"/>
        <v>7.2137227689608119E-2</v>
      </c>
      <c r="FU93" s="21">
        <f t="shared" ca="1" si="128"/>
        <v>7.6290396663388216E-2</v>
      </c>
      <c r="FV93" s="21">
        <f t="shared" ca="1" si="128"/>
        <v>7.6968194861970485E-2</v>
      </c>
      <c r="FW93" s="21">
        <f t="shared" ca="1" si="128"/>
        <v>7.6159690726988166E-2</v>
      </c>
      <c r="FX93" s="21">
        <f t="shared" ca="1" si="128"/>
        <v>7.625190694386709E-2</v>
      </c>
      <c r="FY93" s="21">
        <f t="shared" ca="1" si="128"/>
        <v>7.0409039985415783E-2</v>
      </c>
      <c r="FZ93" s="21">
        <f t="shared" ca="1" si="128"/>
        <v>7.2223434321893654E-2</v>
      </c>
      <c r="GA93" s="21">
        <f t="shared" ca="1" si="128"/>
        <v>8.4562919741283465E-2</v>
      </c>
      <c r="GB93" s="21">
        <f t="shared" ca="1" si="128"/>
        <v>9.3472607379460365E-2</v>
      </c>
      <c r="GC93" s="21">
        <f t="shared" ca="1" si="128"/>
        <v>0.10325666916370657</v>
      </c>
      <c r="GD93" s="21">
        <f t="shared" ca="1" si="128"/>
        <v>0.10626615080199098</v>
      </c>
      <c r="GE93" s="21">
        <f t="shared" ca="1" si="128"/>
        <v>0.10912723977726099</v>
      </c>
      <c r="GF93" s="21">
        <f t="shared" ca="1" si="128"/>
        <v>0.11486689460109725</v>
      </c>
      <c r="GG93" s="21">
        <f t="shared" ca="1" si="128"/>
        <v>0.11915164293666168</v>
      </c>
      <c r="GH93" s="21">
        <f t="shared" ca="1" si="128"/>
        <v>0.12498011166594999</v>
      </c>
      <c r="GI93" s="21">
        <f t="shared" ca="1" si="128"/>
        <v>0.12906114087172701</v>
      </c>
      <c r="GJ93" s="21">
        <f t="shared" ca="1" si="128"/>
        <v>0.13194287513099442</v>
      </c>
      <c r="GK93" s="21">
        <f t="shared" ca="1" si="128"/>
        <v>0.13013314493488154</v>
      </c>
      <c r="GL93" s="21">
        <f t="shared" ca="1" si="128"/>
        <v>0.1251614382369837</v>
      </c>
      <c r="GM93" s="21">
        <f t="shared" ca="1" si="128"/>
        <v>0.11522579019125709</v>
      </c>
      <c r="GN93" s="21">
        <f t="shared" ca="1" si="128"/>
        <v>0.10811140230211971</v>
      </c>
      <c r="GO93" s="21">
        <f t="shared" ca="1" si="128"/>
        <v>0.10368588269120695</v>
      </c>
      <c r="GP93" s="21">
        <f t="shared" ca="1" si="128"/>
        <v>0.10244473926308459</v>
      </c>
      <c r="GQ93" s="21">
        <f t="shared" ca="1" si="128"/>
        <v>9.8775719136863324E-2</v>
      </c>
      <c r="GR93" s="21">
        <f t="shared" ca="1" si="128"/>
        <v>9.1626384535436173E-2</v>
      </c>
      <c r="GS93" s="21">
        <f t="shared" ca="1" si="128"/>
        <v>8.5154271818851726E-2</v>
      </c>
      <c r="GT93" s="21">
        <f t="shared" ca="1" si="128"/>
        <v>7.9323710517013604E-2</v>
      </c>
      <c r="GU93" s="21">
        <f t="shared" ca="1" si="128"/>
        <v>7.3973076444489361E-2</v>
      </c>
      <c r="GV93" s="21">
        <f t="shared" ca="1" si="128"/>
        <v>7.3813224984667955E-2</v>
      </c>
      <c r="GW93" s="21">
        <f t="shared" ca="1" si="128"/>
        <v>7.8658287987950021E-2</v>
      </c>
      <c r="GX93" s="21">
        <f t="shared" ca="1" si="128"/>
        <v>8.087715886899613E-2</v>
      </c>
      <c r="GY93" s="21">
        <f t="shared" ca="1" si="128"/>
        <v>9.0822275308109338E-2</v>
      </c>
      <c r="GZ93" s="21">
        <f t="shared" ca="1" si="128"/>
        <v>0.11207958577990988</v>
      </c>
      <c r="HA93" s="21" t="str">
        <f t="shared" si="128"/>
        <v/>
      </c>
      <c r="HB93" s="21" t="str">
        <f t="shared" si="128"/>
        <v/>
      </c>
      <c r="HC93" s="21" t="str">
        <f t="shared" si="128"/>
        <v/>
      </c>
      <c r="HD93" s="21" t="str">
        <f t="shared" si="128"/>
        <v/>
      </c>
      <c r="HE93" s="21" t="str">
        <f t="shared" si="128"/>
        <v/>
      </c>
      <c r="HF93" s="21" t="str">
        <f t="shared" si="128"/>
        <v/>
      </c>
      <c r="HG93" s="21" t="str">
        <f t="shared" si="128"/>
        <v/>
      </c>
      <c r="HH93" s="21" t="str">
        <f t="shared" si="128"/>
        <v/>
      </c>
      <c r="HI93" s="21" t="str">
        <f t="shared" si="128"/>
        <v/>
      </c>
      <c r="HJ93" s="21" t="str">
        <f t="shared" si="128"/>
        <v/>
      </c>
      <c r="HK93" s="21" t="str">
        <f t="shared" ref="HK93:JH93" si="129">IF(HK13="","",AVERAGE(GY67:HJ67)+CONFIDENCE(0.05,STDEV(GL67:HJ67),COUNT(GL67:HJ67)))</f>
        <v/>
      </c>
      <c r="HL93" s="21" t="str">
        <f t="shared" si="129"/>
        <v/>
      </c>
      <c r="HM93" s="21" t="str">
        <f t="shared" si="129"/>
        <v/>
      </c>
      <c r="HN93" s="21" t="str">
        <f t="shared" si="129"/>
        <v/>
      </c>
      <c r="HO93" s="21" t="str">
        <f t="shared" si="129"/>
        <v/>
      </c>
      <c r="HP93" s="21" t="str">
        <f t="shared" si="129"/>
        <v/>
      </c>
      <c r="HQ93" s="21" t="str">
        <f t="shared" si="129"/>
        <v/>
      </c>
      <c r="HR93" s="21" t="str">
        <f t="shared" si="129"/>
        <v/>
      </c>
      <c r="HS93" s="21" t="str">
        <f t="shared" si="129"/>
        <v/>
      </c>
      <c r="HT93" s="21" t="str">
        <f t="shared" si="129"/>
        <v/>
      </c>
      <c r="HU93" s="21" t="str">
        <f t="shared" si="129"/>
        <v/>
      </c>
      <c r="HV93" s="21" t="str">
        <f t="shared" si="129"/>
        <v/>
      </c>
      <c r="HW93" s="21" t="str">
        <f t="shared" si="129"/>
        <v/>
      </c>
      <c r="HX93" s="21" t="str">
        <f t="shared" si="129"/>
        <v/>
      </c>
      <c r="HY93" s="21" t="str">
        <f t="shared" si="129"/>
        <v/>
      </c>
      <c r="HZ93" s="21" t="str">
        <f t="shared" si="129"/>
        <v/>
      </c>
      <c r="IA93" s="21" t="str">
        <f t="shared" si="129"/>
        <v/>
      </c>
      <c r="IB93" s="21" t="str">
        <f t="shared" si="129"/>
        <v/>
      </c>
      <c r="IC93" s="21" t="str">
        <f t="shared" si="129"/>
        <v/>
      </c>
      <c r="ID93" s="21" t="str">
        <f t="shared" si="129"/>
        <v/>
      </c>
      <c r="IE93" s="21" t="str">
        <f t="shared" si="129"/>
        <v/>
      </c>
      <c r="IF93" s="21" t="str">
        <f t="shared" si="129"/>
        <v/>
      </c>
      <c r="IG93" s="21" t="str">
        <f t="shared" si="129"/>
        <v/>
      </c>
      <c r="IH93" s="21" t="str">
        <f t="shared" si="129"/>
        <v/>
      </c>
      <c r="II93" s="21" t="str">
        <f t="shared" si="129"/>
        <v/>
      </c>
      <c r="IJ93" s="21" t="str">
        <f t="shared" si="129"/>
        <v/>
      </c>
      <c r="IK93" s="21" t="str">
        <f t="shared" si="129"/>
        <v/>
      </c>
      <c r="IL93" s="21" t="str">
        <f t="shared" si="129"/>
        <v/>
      </c>
      <c r="IM93" s="21" t="str">
        <f t="shared" si="129"/>
        <v/>
      </c>
      <c r="IN93" s="21" t="str">
        <f t="shared" si="129"/>
        <v/>
      </c>
      <c r="IO93" s="21" t="str">
        <f t="shared" si="129"/>
        <v/>
      </c>
      <c r="IP93" s="21" t="str">
        <f t="shared" si="129"/>
        <v/>
      </c>
      <c r="IQ93" s="21" t="str">
        <f t="shared" si="129"/>
        <v/>
      </c>
      <c r="IR93" s="21" t="str">
        <f t="shared" si="129"/>
        <v/>
      </c>
      <c r="IS93" s="21" t="str">
        <f t="shared" si="129"/>
        <v/>
      </c>
      <c r="IT93" s="21" t="str">
        <f t="shared" si="129"/>
        <v/>
      </c>
      <c r="IU93" s="21" t="str">
        <f t="shared" si="129"/>
        <v/>
      </c>
      <c r="IV93" s="21" t="str">
        <f t="shared" si="129"/>
        <v/>
      </c>
      <c r="IW93" s="21" t="str">
        <f t="shared" si="129"/>
        <v/>
      </c>
      <c r="IX93" s="21" t="str">
        <f t="shared" si="129"/>
        <v/>
      </c>
      <c r="IY93" s="21" t="str">
        <f t="shared" si="129"/>
        <v/>
      </c>
      <c r="IZ93" s="21" t="str">
        <f t="shared" si="129"/>
        <v/>
      </c>
      <c r="JA93" s="21" t="str">
        <f t="shared" si="129"/>
        <v/>
      </c>
      <c r="JB93" s="21" t="str">
        <f t="shared" si="129"/>
        <v/>
      </c>
      <c r="JC93" s="21" t="str">
        <f t="shared" si="129"/>
        <v/>
      </c>
      <c r="JD93" s="21" t="str">
        <f t="shared" si="129"/>
        <v/>
      </c>
      <c r="JE93" s="21" t="str">
        <f t="shared" si="129"/>
        <v/>
      </c>
      <c r="JF93" s="21" t="str">
        <f t="shared" si="129"/>
        <v/>
      </c>
      <c r="JG93" s="21" t="str">
        <f t="shared" si="129"/>
        <v/>
      </c>
      <c r="JH93" s="21" t="str">
        <f t="shared" si="129"/>
        <v/>
      </c>
    </row>
    <row r="94" spans="1:336" x14ac:dyDescent="0.25"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>
        <f t="shared" ref="AA94:CL94" ca="1" si="130">IF(AA14="","",AVERAGE(N68:Z68)+CONFIDENCE(0.05,STDEV(B68:Z68),COUNT(B68:Z68)))</f>
        <v>4.7255076497756981E-2</v>
      </c>
      <c r="AB94" s="21">
        <f t="shared" ca="1" si="130"/>
        <v>5.0463515416004183E-2</v>
      </c>
      <c r="AC94" s="21">
        <f t="shared" ca="1" si="130"/>
        <v>5.2105464099086389E-2</v>
      </c>
      <c r="AD94" s="21">
        <f t="shared" ca="1" si="130"/>
        <v>5.2767367494331689E-2</v>
      </c>
      <c r="AE94" s="21">
        <f t="shared" ca="1" si="130"/>
        <v>5.0319353945913796E-2</v>
      </c>
      <c r="AF94" s="21">
        <f t="shared" ca="1" si="130"/>
        <v>4.6493716877180478E-2</v>
      </c>
      <c r="AG94" s="21">
        <f t="shared" ca="1" si="130"/>
        <v>4.4893455384402023E-2</v>
      </c>
      <c r="AH94" s="21">
        <f t="shared" ca="1" si="130"/>
        <v>4.449517457006423E-2</v>
      </c>
      <c r="AI94" s="21">
        <f t="shared" ca="1" si="130"/>
        <v>4.3575957164021684E-2</v>
      </c>
      <c r="AJ94" s="21">
        <f t="shared" ca="1" si="130"/>
        <v>4.2075920961263537E-2</v>
      </c>
      <c r="AK94" s="21">
        <f t="shared" ca="1" si="130"/>
        <v>4.1194587994538269E-2</v>
      </c>
      <c r="AL94" s="21">
        <f t="shared" ca="1" si="130"/>
        <v>3.9805567881809167E-2</v>
      </c>
      <c r="AM94" s="21">
        <f t="shared" ca="1" si="130"/>
        <v>3.9139060132624678E-2</v>
      </c>
      <c r="AN94" s="21">
        <f t="shared" ca="1" si="130"/>
        <v>3.9790966961665772E-2</v>
      </c>
      <c r="AO94" s="21">
        <f t="shared" ca="1" si="130"/>
        <v>4.4664161603597194E-2</v>
      </c>
      <c r="AP94" s="21">
        <f t="shared" ca="1" si="130"/>
        <v>5.020588081694001E-2</v>
      </c>
      <c r="AQ94" s="21">
        <f t="shared" ca="1" si="130"/>
        <v>6.0077608722427234E-2</v>
      </c>
      <c r="AR94" s="21">
        <f t="shared" ca="1" si="130"/>
        <v>7.4238220617643347E-2</v>
      </c>
      <c r="AS94" s="21">
        <f t="shared" ca="1" si="130"/>
        <v>9.0006632021108784E-2</v>
      </c>
      <c r="AT94" s="21">
        <f t="shared" ca="1" si="130"/>
        <v>0.10711789042721663</v>
      </c>
      <c r="AU94" s="21">
        <f t="shared" ca="1" si="130"/>
        <v>0.1245133070740536</v>
      </c>
      <c r="AV94" s="21">
        <f t="shared" ca="1" si="130"/>
        <v>0.14211280032645887</v>
      </c>
      <c r="AW94" s="21">
        <f t="shared" ca="1" si="130"/>
        <v>0.16747099571062854</v>
      </c>
      <c r="AX94" s="21">
        <f t="shared" ca="1" si="130"/>
        <v>0.1958107528579934</v>
      </c>
      <c r="AY94" s="21">
        <f t="shared" ca="1" si="130"/>
        <v>0.22514988879908931</v>
      </c>
      <c r="AZ94" s="21">
        <f t="shared" ca="1" si="130"/>
        <v>0.25236248982370901</v>
      </c>
      <c r="BA94" s="21">
        <f t="shared" ca="1" si="130"/>
        <v>0.27696575323606615</v>
      </c>
      <c r="BB94" s="21">
        <f t="shared" ca="1" si="130"/>
        <v>0.30161565962607528</v>
      </c>
      <c r="BC94" s="21">
        <f t="shared" ca="1" si="130"/>
        <v>0.32433230937909896</v>
      </c>
      <c r="BD94" s="21">
        <f t="shared" ca="1" si="130"/>
        <v>0.34137734834004396</v>
      </c>
      <c r="BE94" s="21">
        <f t="shared" ca="1" si="130"/>
        <v>0.34744449840314917</v>
      </c>
      <c r="BF94" s="21">
        <f t="shared" ca="1" si="130"/>
        <v>0.34581469755502342</v>
      </c>
      <c r="BG94" s="21">
        <f t="shared" ca="1" si="130"/>
        <v>0.33995169797165076</v>
      </c>
      <c r="BH94" s="21">
        <f t="shared" ca="1" si="130"/>
        <v>0.33177691891513644</v>
      </c>
      <c r="BI94" s="21">
        <f t="shared" ca="1" si="130"/>
        <v>0.31636756678708344</v>
      </c>
      <c r="BJ94" s="21">
        <f t="shared" ca="1" si="130"/>
        <v>0.30055271668730127</v>
      </c>
      <c r="BK94" s="21">
        <f t="shared" ca="1" si="130"/>
        <v>0.29244121757262159</v>
      </c>
      <c r="BL94" s="21">
        <f t="shared" ca="1" si="130"/>
        <v>0.27351085874580761</v>
      </c>
      <c r="BM94" s="21">
        <f t="shared" ca="1" si="130"/>
        <v>0.26484404950062401</v>
      </c>
      <c r="BN94" s="21">
        <f t="shared" ca="1" si="130"/>
        <v>0.25813158174420431</v>
      </c>
      <c r="BO94" s="21">
        <f t="shared" ca="1" si="130"/>
        <v>0.25081910782881628</v>
      </c>
      <c r="BP94" s="21">
        <f t="shared" ca="1" si="130"/>
        <v>0.24303543474916489</v>
      </c>
      <c r="BQ94" s="21">
        <f t="shared" ca="1" si="130"/>
        <v>0.23210446315166636</v>
      </c>
      <c r="BR94" s="21">
        <f t="shared" ca="1" si="130"/>
        <v>0.22007222690443079</v>
      </c>
      <c r="BS94" s="21">
        <f t="shared" ca="1" si="130"/>
        <v>0.21220280995175805</v>
      </c>
      <c r="BT94" s="21">
        <f t="shared" ca="1" si="130"/>
        <v>0.20541547671131044</v>
      </c>
      <c r="BU94" s="21">
        <f t="shared" ca="1" si="130"/>
        <v>0.20608579921120768</v>
      </c>
      <c r="BV94" s="21">
        <f t="shared" ca="1" si="130"/>
        <v>0.20942557436578155</v>
      </c>
      <c r="BW94" s="21">
        <f t="shared" ca="1" si="130"/>
        <v>0.2068918087761151</v>
      </c>
      <c r="BX94" s="21">
        <f t="shared" ca="1" si="130"/>
        <v>0.19256242690959488</v>
      </c>
      <c r="BY94" s="21">
        <f t="shared" ca="1" si="130"/>
        <v>0.18717138817085316</v>
      </c>
      <c r="BZ94" s="21">
        <f t="shared" ca="1" si="130"/>
        <v>0.17402203572137359</v>
      </c>
      <c r="CA94" s="21">
        <f t="shared" ca="1" si="130"/>
        <v>0.15690868397860536</v>
      </c>
      <c r="CB94" s="21">
        <f t="shared" ca="1" si="130"/>
        <v>0.13533383281994479</v>
      </c>
      <c r="CC94" s="21">
        <f t="shared" ca="1" si="130"/>
        <v>0.11274486486938926</v>
      </c>
      <c r="CD94" s="21">
        <f t="shared" ca="1" si="130"/>
        <v>9.6739828650547352E-2</v>
      </c>
      <c r="CE94" s="21">
        <f t="shared" ca="1" si="130"/>
        <v>9.3125910734056849E-2</v>
      </c>
      <c r="CF94" s="21">
        <f t="shared" ca="1" si="130"/>
        <v>9.3095684302896595E-2</v>
      </c>
      <c r="CG94" s="21">
        <f t="shared" ca="1" si="130"/>
        <v>9.4386923263642591E-2</v>
      </c>
      <c r="CH94" s="21">
        <f t="shared" ca="1" si="130"/>
        <v>8.5669536403332705E-2</v>
      </c>
      <c r="CI94" s="21">
        <f t="shared" ca="1" si="130"/>
        <v>8.549061391105689E-2</v>
      </c>
      <c r="CJ94" s="21">
        <f t="shared" ca="1" si="130"/>
        <v>8.0303643471821673E-2</v>
      </c>
      <c r="CK94" s="21">
        <f t="shared" ca="1" si="130"/>
        <v>7.852291394492053E-2</v>
      </c>
      <c r="CL94" s="21">
        <f t="shared" ca="1" si="130"/>
        <v>7.7007309131704449E-2</v>
      </c>
      <c r="CM94" s="21">
        <f t="shared" ref="CM94:EX94" ca="1" si="131">IF(CM14="","",AVERAGE(BZ68:CL68)+CONFIDENCE(0.05,STDEV(BN68:CL68),COUNT(BN68:CL68)))</f>
        <v>7.2684243067690349E-2</v>
      </c>
      <c r="CN94" s="21">
        <f t="shared" ca="1" si="131"/>
        <v>6.5517412269204309E-2</v>
      </c>
      <c r="CO94" s="21">
        <f t="shared" ca="1" si="131"/>
        <v>5.6898958415962639E-2</v>
      </c>
      <c r="CP94" s="21">
        <f t="shared" ca="1" si="131"/>
        <v>5.33617094100476E-2</v>
      </c>
      <c r="CQ94" s="21">
        <f t="shared" ca="1" si="131"/>
        <v>6.0422111182559884E-2</v>
      </c>
      <c r="CR94" s="21">
        <f t="shared" ca="1" si="131"/>
        <v>6.2055665495810458E-2</v>
      </c>
      <c r="CS94" s="21">
        <f t="shared" ca="1" si="131"/>
        <v>5.9197967291156846E-2</v>
      </c>
      <c r="CT94" s="21">
        <f t="shared" ca="1" si="131"/>
        <v>5.9300138364588008E-2</v>
      </c>
      <c r="CU94" s="21">
        <f t="shared" ca="1" si="131"/>
        <v>6.4278061482280116E-2</v>
      </c>
      <c r="CV94" s="21">
        <f t="shared" ca="1" si="131"/>
        <v>6.3470648520627421E-2</v>
      </c>
      <c r="CW94" s="21">
        <f t="shared" ca="1" si="131"/>
        <v>6.4473643855379584E-2</v>
      </c>
      <c r="CX94" s="21">
        <f t="shared" ca="1" si="131"/>
        <v>6.5308137189032764E-2</v>
      </c>
      <c r="CY94" s="21">
        <f t="shared" ca="1" si="131"/>
        <v>6.5751594597494287E-2</v>
      </c>
      <c r="CZ94" s="21">
        <f t="shared" ca="1" si="131"/>
        <v>6.6053817702042911E-2</v>
      </c>
      <c r="DA94" s="21">
        <f t="shared" ca="1" si="131"/>
        <v>6.7123003550268276E-2</v>
      </c>
      <c r="DB94" s="21">
        <f t="shared" ca="1" si="131"/>
        <v>7.7773075668206154E-2</v>
      </c>
      <c r="DC94" s="21">
        <f t="shared" ca="1" si="131"/>
        <v>8.6505690329020418E-2</v>
      </c>
      <c r="DD94" s="21">
        <f t="shared" ca="1" si="131"/>
        <v>8.5614565265238765E-2</v>
      </c>
      <c r="DE94" s="21">
        <f t="shared" ca="1" si="131"/>
        <v>9.2612611348346585E-2</v>
      </c>
      <c r="DF94" s="21">
        <f t="shared" ca="1" si="131"/>
        <v>0.10696459490598972</v>
      </c>
      <c r="DG94" s="21">
        <f t="shared" ca="1" si="131"/>
        <v>0.11445291461312382</v>
      </c>
      <c r="DH94" s="21">
        <f t="shared" ca="1" si="131"/>
        <v>0.12149222795544121</v>
      </c>
      <c r="DI94" s="21">
        <f t="shared" ca="1" si="131"/>
        <v>0.1264963044049319</v>
      </c>
      <c r="DJ94" s="21">
        <f t="shared" ca="1" si="131"/>
        <v>0.13210785019001905</v>
      </c>
      <c r="DK94" s="21">
        <f t="shared" ca="1" si="131"/>
        <v>0.13356371828464303</v>
      </c>
      <c r="DL94" s="21">
        <f t="shared" ca="1" si="131"/>
        <v>0.13177048338390407</v>
      </c>
      <c r="DM94" s="21">
        <f t="shared" ca="1" si="131"/>
        <v>0.12842367997491436</v>
      </c>
      <c r="DN94" s="21">
        <f t="shared" ca="1" si="131"/>
        <v>0.12498591267594693</v>
      </c>
      <c r="DO94" s="21">
        <f t="shared" ca="1" si="131"/>
        <v>0.11801399375668477</v>
      </c>
      <c r="DP94" s="21">
        <f t="shared" ca="1" si="131"/>
        <v>0.10813101794885523</v>
      </c>
      <c r="DQ94" s="21">
        <f t="shared" ca="1" si="131"/>
        <v>0.10620834346474697</v>
      </c>
      <c r="DR94" s="21">
        <f t="shared" ca="1" si="131"/>
        <v>0.10254949635843158</v>
      </c>
      <c r="DS94" s="21">
        <f t="shared" ca="1" si="131"/>
        <v>9.04331811945666E-2</v>
      </c>
      <c r="DT94" s="21">
        <f t="shared" ca="1" si="131"/>
        <v>8.1678252777428267E-2</v>
      </c>
      <c r="DU94" s="21">
        <f t="shared" ca="1" si="131"/>
        <v>7.0892382209651508E-2</v>
      </c>
      <c r="DV94" s="21">
        <f t="shared" ca="1" si="131"/>
        <v>6.5724865303978253E-2</v>
      </c>
      <c r="DW94" s="21">
        <f t="shared" ca="1" si="131"/>
        <v>6.0499615967031871E-2</v>
      </c>
      <c r="DX94" s="21">
        <f t="shared" ca="1" si="131"/>
        <v>5.6481413490546244E-2</v>
      </c>
      <c r="DY94" s="21">
        <f t="shared" ca="1" si="131"/>
        <v>5.4172569225261799E-2</v>
      </c>
      <c r="DZ94" s="21">
        <f t="shared" ca="1" si="131"/>
        <v>5.379715260660111E-2</v>
      </c>
      <c r="EA94" s="21">
        <f t="shared" ca="1" si="131"/>
        <v>5.1275146997900839E-2</v>
      </c>
      <c r="EB94" s="21">
        <f t="shared" ca="1" si="131"/>
        <v>4.7033152994416003E-2</v>
      </c>
      <c r="EC94" s="21">
        <f t="shared" ca="1" si="131"/>
        <v>4.8714237341412683E-2</v>
      </c>
      <c r="ED94" s="21">
        <f t="shared" ca="1" si="131"/>
        <v>4.4738922709811335E-2</v>
      </c>
      <c r="EE94" s="21">
        <f t="shared" ca="1" si="131"/>
        <v>3.5857782829173707E-2</v>
      </c>
      <c r="EF94" s="21">
        <f t="shared" ca="1" si="131"/>
        <v>3.5186502364609316E-2</v>
      </c>
      <c r="EG94" s="21">
        <f t="shared" ca="1" si="131"/>
        <v>3.3411010526455634E-2</v>
      </c>
      <c r="EH94" s="21">
        <f t="shared" ca="1" si="131"/>
        <v>3.3362837134500112E-2</v>
      </c>
      <c r="EI94" s="21">
        <f t="shared" ca="1" si="131"/>
        <v>3.7443511412664027E-2</v>
      </c>
      <c r="EJ94" s="21">
        <f t="shared" ca="1" si="131"/>
        <v>3.9287610292679992E-2</v>
      </c>
      <c r="EK94" s="21">
        <f t="shared" ca="1" si="131"/>
        <v>3.9109387510142306E-2</v>
      </c>
      <c r="EL94" s="21">
        <f t="shared" ca="1" si="131"/>
        <v>3.8263206803530792E-2</v>
      </c>
      <c r="EM94" s="21">
        <f t="shared" ca="1" si="131"/>
        <v>3.8672141611667196E-2</v>
      </c>
      <c r="EN94" s="21">
        <f t="shared" ca="1" si="131"/>
        <v>4.3054934737154729E-2</v>
      </c>
      <c r="EO94" s="21">
        <f t="shared" ca="1" si="131"/>
        <v>5.1454587995508283E-2</v>
      </c>
      <c r="EP94" s="21">
        <f t="shared" ca="1" si="131"/>
        <v>5.1306320251434494E-2</v>
      </c>
      <c r="EQ94" s="21">
        <f t="shared" ca="1" si="131"/>
        <v>5.1695431886186402E-2</v>
      </c>
      <c r="ER94" s="21">
        <f t="shared" ca="1" si="131"/>
        <v>5.4578211727047111E-2</v>
      </c>
      <c r="ES94" s="21">
        <f t="shared" ca="1" si="131"/>
        <v>5.7747348619883697E-2</v>
      </c>
      <c r="ET94" s="21">
        <f t="shared" ca="1" si="131"/>
        <v>5.6766920450002596E-2</v>
      </c>
      <c r="EU94" s="21">
        <f t="shared" ca="1" si="131"/>
        <v>5.8114074860508944E-2</v>
      </c>
      <c r="EV94" s="21">
        <f t="shared" ca="1" si="131"/>
        <v>6.1769978351919677E-2</v>
      </c>
      <c r="EW94" s="21">
        <f t="shared" ca="1" si="131"/>
        <v>6.5536458819085763E-2</v>
      </c>
      <c r="EX94" s="21">
        <f t="shared" ca="1" si="131"/>
        <v>6.8883656633545606E-2</v>
      </c>
      <c r="EY94" s="21">
        <f t="shared" ref="EY94:HJ94" ca="1" si="132">IF(EY14="","",AVERAGE(EL68:EX68)+CONFIDENCE(0.05,STDEV(DZ68:EX68),COUNT(DZ68:EX68)))</f>
        <v>6.8418859493868889E-2</v>
      </c>
      <c r="EZ94" s="21">
        <f t="shared" ca="1" si="132"/>
        <v>6.8830652254217264E-2</v>
      </c>
      <c r="FA94" s="21">
        <f t="shared" ca="1" si="132"/>
        <v>6.454593914188117E-2</v>
      </c>
      <c r="FB94" s="21">
        <f t="shared" ca="1" si="132"/>
        <v>6.2226397618658877E-2</v>
      </c>
      <c r="FC94" s="21">
        <f t="shared" ca="1" si="132"/>
        <v>6.2867526707761204E-2</v>
      </c>
      <c r="FD94" s="21">
        <f t="shared" ca="1" si="132"/>
        <v>6.0663472367752838E-2</v>
      </c>
      <c r="FE94" s="21">
        <f t="shared" ca="1" si="132"/>
        <v>5.8806739873352512E-2</v>
      </c>
      <c r="FF94" s="21">
        <f t="shared" ca="1" si="132"/>
        <v>5.7325722833236996E-2</v>
      </c>
      <c r="FG94" s="21">
        <f t="shared" ca="1" si="132"/>
        <v>5.7901150711475065E-2</v>
      </c>
      <c r="FH94" s="21">
        <f t="shared" ca="1" si="132"/>
        <v>5.5923359485364532E-2</v>
      </c>
      <c r="FI94" s="21">
        <f t="shared" ca="1" si="132"/>
        <v>5.0294540549862647E-2</v>
      </c>
      <c r="FJ94" s="21">
        <f t="shared" ca="1" si="132"/>
        <v>4.3960749427832575E-2</v>
      </c>
      <c r="FK94" s="21">
        <f t="shared" ca="1" si="132"/>
        <v>4.2976066130977701E-2</v>
      </c>
      <c r="FL94" s="21">
        <f t="shared" ca="1" si="132"/>
        <v>4.2803942541818185E-2</v>
      </c>
      <c r="FM94" s="21">
        <f t="shared" ca="1" si="132"/>
        <v>4.5833626871096628E-2</v>
      </c>
      <c r="FN94" s="21">
        <f t="shared" ca="1" si="132"/>
        <v>5.0529889167458208E-2</v>
      </c>
      <c r="FO94" s="21">
        <f t="shared" ca="1" si="132"/>
        <v>4.7349162084544545E-2</v>
      </c>
      <c r="FP94" s="21">
        <f t="shared" ca="1" si="132"/>
        <v>4.7784374668650924E-2</v>
      </c>
      <c r="FQ94" s="21">
        <f t="shared" ca="1" si="132"/>
        <v>4.9259154957474426E-2</v>
      </c>
      <c r="FR94" s="21">
        <f t="shared" ca="1" si="132"/>
        <v>5.2230854812697097E-2</v>
      </c>
      <c r="FS94" s="21">
        <f t="shared" ca="1" si="132"/>
        <v>5.6036482366776288E-2</v>
      </c>
      <c r="FT94" s="21">
        <f t="shared" ca="1" si="132"/>
        <v>6.108679316937176E-2</v>
      </c>
      <c r="FU94" s="21">
        <f t="shared" ca="1" si="132"/>
        <v>6.4301665919628853E-2</v>
      </c>
      <c r="FV94" s="21">
        <f t="shared" ca="1" si="132"/>
        <v>6.2799159913885738E-2</v>
      </c>
      <c r="FW94" s="21">
        <f t="shared" ca="1" si="132"/>
        <v>6.4062331716530946E-2</v>
      </c>
      <c r="FX94" s="21">
        <f t="shared" ca="1" si="132"/>
        <v>6.1491362469691585E-2</v>
      </c>
      <c r="FY94" s="21">
        <f t="shared" ca="1" si="132"/>
        <v>6.4305573705266239E-2</v>
      </c>
      <c r="FZ94" s="21">
        <f t="shared" ca="1" si="132"/>
        <v>6.7784333302303476E-2</v>
      </c>
      <c r="GA94" s="21">
        <f t="shared" ca="1" si="132"/>
        <v>7.7417484794522165E-2</v>
      </c>
      <c r="GB94" s="21">
        <f t="shared" ca="1" si="132"/>
        <v>8.7913120801685174E-2</v>
      </c>
      <c r="GC94" s="21">
        <f t="shared" ca="1" si="132"/>
        <v>9.4992711259696813E-2</v>
      </c>
      <c r="GD94" s="21">
        <f t="shared" ca="1" si="132"/>
        <v>0.10684562289750596</v>
      </c>
      <c r="GE94" s="21">
        <f t="shared" ca="1" si="132"/>
        <v>0.11925909339926999</v>
      </c>
      <c r="GF94" s="21">
        <f t="shared" ca="1" si="132"/>
        <v>0.12532927390427137</v>
      </c>
      <c r="GG94" s="21">
        <f t="shared" ca="1" si="132"/>
        <v>0.12911026090041178</v>
      </c>
      <c r="GH94" s="21">
        <f t="shared" ca="1" si="132"/>
        <v>0.1329013885599282</v>
      </c>
      <c r="GI94" s="21">
        <f t="shared" ca="1" si="132"/>
        <v>0.13606444730697068</v>
      </c>
      <c r="GJ94" s="21">
        <f t="shared" ca="1" si="132"/>
        <v>0.13617361861794536</v>
      </c>
      <c r="GK94" s="21">
        <f t="shared" ca="1" si="132"/>
        <v>0.13728217624671207</v>
      </c>
      <c r="GL94" s="21">
        <f t="shared" ca="1" si="132"/>
        <v>0.13587677964748171</v>
      </c>
      <c r="GM94" s="21">
        <f t="shared" ca="1" si="132"/>
        <v>0.13098800425713969</v>
      </c>
      <c r="GN94" s="21">
        <f t="shared" ca="1" si="132"/>
        <v>0.12204674455833114</v>
      </c>
      <c r="GO94" s="21">
        <f t="shared" ca="1" si="132"/>
        <v>0.11876652190273054</v>
      </c>
      <c r="GP94" s="21">
        <f t="shared" ca="1" si="132"/>
        <v>0.1167581530374957</v>
      </c>
      <c r="GQ94" s="21">
        <f t="shared" ca="1" si="132"/>
        <v>0.11077358270606079</v>
      </c>
      <c r="GR94" s="21">
        <f t="shared" ca="1" si="132"/>
        <v>0.10013565969784415</v>
      </c>
      <c r="GS94" s="21">
        <f t="shared" ca="1" si="132"/>
        <v>9.1408573731927206E-2</v>
      </c>
      <c r="GT94" s="21">
        <f t="shared" ca="1" si="132"/>
        <v>8.3289895481114706E-2</v>
      </c>
      <c r="GU94" s="21">
        <f t="shared" ca="1" si="132"/>
        <v>7.3550901434151827E-2</v>
      </c>
      <c r="GV94" s="21">
        <f t="shared" ca="1" si="132"/>
        <v>6.7445858755714128E-2</v>
      </c>
      <c r="GW94" s="21">
        <f t="shared" ca="1" si="132"/>
        <v>6.9359498756760354E-2</v>
      </c>
      <c r="GX94" s="21">
        <f t="shared" ca="1" si="132"/>
        <v>7.4482592697757907E-2</v>
      </c>
      <c r="GY94" s="21">
        <f t="shared" ca="1" si="132"/>
        <v>8.2503190567160475E-2</v>
      </c>
      <c r="GZ94" s="21">
        <f t="shared" ca="1" si="132"/>
        <v>8.1488605849901766E-2</v>
      </c>
      <c r="HA94" s="21" t="str">
        <f t="shared" si="132"/>
        <v/>
      </c>
      <c r="HB94" s="21" t="str">
        <f t="shared" si="132"/>
        <v/>
      </c>
      <c r="HC94" s="21" t="str">
        <f t="shared" si="132"/>
        <v/>
      </c>
      <c r="HD94" s="21" t="str">
        <f t="shared" si="132"/>
        <v/>
      </c>
      <c r="HE94" s="21" t="str">
        <f t="shared" si="132"/>
        <v/>
      </c>
      <c r="HF94" s="21" t="str">
        <f t="shared" si="132"/>
        <v/>
      </c>
      <c r="HG94" s="21" t="str">
        <f t="shared" si="132"/>
        <v/>
      </c>
      <c r="HH94" s="21" t="str">
        <f t="shared" si="132"/>
        <v/>
      </c>
      <c r="HI94" s="21" t="str">
        <f t="shared" si="132"/>
        <v/>
      </c>
      <c r="HJ94" s="21" t="str">
        <f t="shared" si="132"/>
        <v/>
      </c>
      <c r="HK94" s="21" t="str">
        <f t="shared" ref="HK94:JH94" si="133">IF(HK14="","",AVERAGE(GX68:HJ68)+CONFIDENCE(0.05,STDEV(GL68:HJ68),COUNT(GL68:HJ68)))</f>
        <v/>
      </c>
      <c r="HL94" s="21" t="str">
        <f t="shared" si="133"/>
        <v/>
      </c>
      <c r="HM94" s="21" t="str">
        <f t="shared" si="133"/>
        <v/>
      </c>
      <c r="HN94" s="21" t="str">
        <f t="shared" si="133"/>
        <v/>
      </c>
      <c r="HO94" s="21" t="str">
        <f t="shared" si="133"/>
        <v/>
      </c>
      <c r="HP94" s="21" t="str">
        <f t="shared" si="133"/>
        <v/>
      </c>
      <c r="HQ94" s="21" t="str">
        <f t="shared" si="133"/>
        <v/>
      </c>
      <c r="HR94" s="21" t="str">
        <f t="shared" si="133"/>
        <v/>
      </c>
      <c r="HS94" s="21" t="str">
        <f t="shared" si="133"/>
        <v/>
      </c>
      <c r="HT94" s="21" t="str">
        <f t="shared" si="133"/>
        <v/>
      </c>
      <c r="HU94" s="21" t="str">
        <f t="shared" si="133"/>
        <v/>
      </c>
      <c r="HV94" s="21" t="str">
        <f t="shared" si="133"/>
        <v/>
      </c>
      <c r="HW94" s="21" t="str">
        <f t="shared" si="133"/>
        <v/>
      </c>
      <c r="HX94" s="21" t="str">
        <f t="shared" si="133"/>
        <v/>
      </c>
      <c r="HY94" s="21" t="str">
        <f t="shared" si="133"/>
        <v/>
      </c>
      <c r="HZ94" s="21" t="str">
        <f t="shared" si="133"/>
        <v/>
      </c>
      <c r="IA94" s="21" t="str">
        <f t="shared" si="133"/>
        <v/>
      </c>
      <c r="IB94" s="21" t="str">
        <f t="shared" si="133"/>
        <v/>
      </c>
      <c r="IC94" s="21" t="str">
        <f t="shared" si="133"/>
        <v/>
      </c>
      <c r="ID94" s="21" t="str">
        <f t="shared" si="133"/>
        <v/>
      </c>
      <c r="IE94" s="21" t="str">
        <f t="shared" si="133"/>
        <v/>
      </c>
      <c r="IF94" s="21" t="str">
        <f t="shared" si="133"/>
        <v/>
      </c>
      <c r="IG94" s="21" t="str">
        <f t="shared" si="133"/>
        <v/>
      </c>
      <c r="IH94" s="21" t="str">
        <f t="shared" si="133"/>
        <v/>
      </c>
      <c r="II94" s="21" t="str">
        <f t="shared" si="133"/>
        <v/>
      </c>
      <c r="IJ94" s="21" t="str">
        <f t="shared" si="133"/>
        <v/>
      </c>
      <c r="IK94" s="21" t="str">
        <f t="shared" si="133"/>
        <v/>
      </c>
      <c r="IL94" s="21" t="str">
        <f t="shared" si="133"/>
        <v/>
      </c>
      <c r="IM94" s="21" t="str">
        <f t="shared" si="133"/>
        <v/>
      </c>
      <c r="IN94" s="21" t="str">
        <f t="shared" si="133"/>
        <v/>
      </c>
      <c r="IO94" s="21" t="str">
        <f t="shared" si="133"/>
        <v/>
      </c>
      <c r="IP94" s="21" t="str">
        <f t="shared" si="133"/>
        <v/>
      </c>
      <c r="IQ94" s="21" t="str">
        <f t="shared" si="133"/>
        <v/>
      </c>
      <c r="IR94" s="21" t="str">
        <f t="shared" si="133"/>
        <v/>
      </c>
      <c r="IS94" s="21" t="str">
        <f t="shared" si="133"/>
        <v/>
      </c>
      <c r="IT94" s="21" t="str">
        <f t="shared" si="133"/>
        <v/>
      </c>
      <c r="IU94" s="21" t="str">
        <f t="shared" si="133"/>
        <v/>
      </c>
      <c r="IV94" s="21" t="str">
        <f t="shared" si="133"/>
        <v/>
      </c>
      <c r="IW94" s="21" t="str">
        <f t="shared" si="133"/>
        <v/>
      </c>
      <c r="IX94" s="21" t="str">
        <f t="shared" si="133"/>
        <v/>
      </c>
      <c r="IY94" s="21" t="str">
        <f t="shared" si="133"/>
        <v/>
      </c>
      <c r="IZ94" s="21" t="str">
        <f t="shared" si="133"/>
        <v/>
      </c>
      <c r="JA94" s="21" t="str">
        <f t="shared" si="133"/>
        <v/>
      </c>
      <c r="JB94" s="21" t="str">
        <f t="shared" si="133"/>
        <v/>
      </c>
      <c r="JC94" s="21" t="str">
        <f t="shared" si="133"/>
        <v/>
      </c>
      <c r="JD94" s="21" t="str">
        <f t="shared" si="133"/>
        <v/>
      </c>
      <c r="JE94" s="21" t="str">
        <f t="shared" si="133"/>
        <v/>
      </c>
      <c r="JF94" s="21" t="str">
        <f t="shared" si="133"/>
        <v/>
      </c>
      <c r="JG94" s="21" t="str">
        <f t="shared" si="133"/>
        <v/>
      </c>
      <c r="JH94" s="21" t="str">
        <f t="shared" si="133"/>
        <v/>
      </c>
    </row>
    <row r="96" spans="1:336" x14ac:dyDescent="0.25">
      <c r="DD96" s="21"/>
      <c r="DE96" s="21"/>
    </row>
    <row r="97" spans="108:109" x14ac:dyDescent="0.25">
      <c r="DD97" s="21"/>
      <c r="DE97" s="21"/>
    </row>
    <row r="98" spans="108:109" x14ac:dyDescent="0.25">
      <c r="DD98" s="21"/>
      <c r="DE98" s="21"/>
    </row>
    <row r="99" spans="108:109" x14ac:dyDescent="0.25">
      <c r="DD99" s="21"/>
      <c r="DE99" s="21"/>
    </row>
    <row r="100" spans="108:109" x14ac:dyDescent="0.25">
      <c r="DD100" s="21"/>
      <c r="DE100" s="21"/>
    </row>
    <row r="101" spans="108:109" x14ac:dyDescent="0.25">
      <c r="DD101" s="21"/>
      <c r="DE101" s="21"/>
    </row>
    <row r="102" spans="108:109" x14ac:dyDescent="0.25">
      <c r="DD102" s="21"/>
      <c r="DE102" s="21"/>
    </row>
    <row r="103" spans="108:109" x14ac:dyDescent="0.25">
      <c r="DD103" s="21"/>
      <c r="DE103" s="21"/>
    </row>
    <row r="104" spans="108:109" x14ac:dyDescent="0.25">
      <c r="DD104" s="21"/>
      <c r="DE104" s="21"/>
    </row>
    <row r="105" spans="108:109" x14ac:dyDescent="0.25">
      <c r="DD105" s="21"/>
      <c r="DE105" s="21"/>
    </row>
    <row r="106" spans="108:109" x14ac:dyDescent="0.25">
      <c r="DD106" s="21"/>
      <c r="DE106" s="21"/>
    </row>
    <row r="107" spans="108:109" x14ac:dyDescent="0.25">
      <c r="DD107" s="21"/>
      <c r="DE107" s="21"/>
    </row>
    <row r="108" spans="108:109" x14ac:dyDescent="0.25">
      <c r="DD108" s="21"/>
      <c r="DE108" s="21"/>
    </row>
    <row r="109" spans="108:109" x14ac:dyDescent="0.25">
      <c r="DD109" s="21"/>
      <c r="DE109" s="21"/>
    </row>
    <row r="110" spans="108:109" x14ac:dyDescent="0.25">
      <c r="DD110" s="21"/>
      <c r="DE110" s="21"/>
    </row>
    <row r="111" spans="108:109" x14ac:dyDescent="0.25">
      <c r="DD111" s="21"/>
      <c r="DE111" s="21"/>
    </row>
    <row r="112" spans="108:109" x14ac:dyDescent="0.25">
      <c r="DD112" s="21"/>
      <c r="DE112" s="21"/>
    </row>
    <row r="113" spans="108:109" x14ac:dyDescent="0.25">
      <c r="DD113" s="21"/>
      <c r="DE113" s="21"/>
    </row>
    <row r="114" spans="108:109" x14ac:dyDescent="0.25">
      <c r="DD114" s="21"/>
      <c r="DE114" s="21"/>
    </row>
    <row r="115" spans="108:109" x14ac:dyDescent="0.25">
      <c r="DD115" s="21"/>
      <c r="DE115" s="21"/>
    </row>
    <row r="116" spans="108:109" x14ac:dyDescent="0.25">
      <c r="DD116" s="21"/>
      <c r="DE116" s="21"/>
    </row>
    <row r="117" spans="108:109" x14ac:dyDescent="0.25">
      <c r="DD117" s="21"/>
      <c r="DE117" s="21"/>
    </row>
    <row r="118" spans="108:109" x14ac:dyDescent="0.25">
      <c r="DD118" s="21"/>
      <c r="DE118" s="21"/>
    </row>
    <row r="119" spans="108:109" x14ac:dyDescent="0.25">
      <c r="DD119" s="21"/>
      <c r="DE119" s="21"/>
    </row>
    <row r="120" spans="108:109" x14ac:dyDescent="0.25">
      <c r="DD120" s="21"/>
    </row>
    <row r="121" spans="108:109" x14ac:dyDescent="0.25">
      <c r="DD121" s="21"/>
    </row>
    <row r="122" spans="108:109" x14ac:dyDescent="0.25">
      <c r="DD122" s="21"/>
    </row>
  </sheetData>
  <conditionalFormatting sqref="B30:JH53">
    <cfRule type="expression" dxfId="3" priority="2">
      <formula>B30&lt;-$JN30</formula>
    </cfRule>
    <cfRule type="expression" dxfId="2" priority="3">
      <formula>B30&gt;$JN30</formula>
    </cfRule>
  </conditionalFormatting>
  <conditionalFormatting sqref="B30:JH53 B57:JH68">
    <cfRule type="cellIs" dxfId="1" priority="1" operator="equal">
      <formula>""</formula>
    </cfRule>
  </conditionalFormatting>
  <conditionalFormatting sqref="B57:JH68">
    <cfRule type="expression" dxfId="0" priority="4">
      <formula>B57&gt;$CB57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445"/>
  <sheetViews>
    <sheetView workbookViewId="0">
      <selection activeCell="D4" sqref="D4"/>
    </sheetView>
  </sheetViews>
  <sheetFormatPr baseColWidth="10" defaultRowHeight="15" x14ac:dyDescent="0.25"/>
  <cols>
    <col min="1" max="1" width="10.7109375" style="2" bestFit="1" customWidth="1"/>
    <col min="2" max="2" width="12" bestFit="1" customWidth="1"/>
  </cols>
  <sheetData>
    <row r="1" spans="1:5" x14ac:dyDescent="0.25">
      <c r="A1" s="2" t="s">
        <v>0</v>
      </c>
      <c r="B1" t="s">
        <v>1</v>
      </c>
      <c r="D1" t="s">
        <v>8</v>
      </c>
      <c r="E1" t="s">
        <v>9</v>
      </c>
    </row>
    <row r="2" spans="1:5" x14ac:dyDescent="0.25">
      <c r="A2" s="2">
        <v>35095</v>
      </c>
      <c r="B2" s="1">
        <f>IF([1]Rseries!A7="","",[1]Rseries!A7)</f>
        <v>123152</v>
      </c>
      <c r="D2">
        <f>COUNT(Mediana!3:3)-Amplitud</f>
        <v>172</v>
      </c>
      <c r="E2">
        <v>36</v>
      </c>
    </row>
    <row r="3" spans="1:5" x14ac:dyDescent="0.25">
      <c r="A3" s="2">
        <v>35124</v>
      </c>
      <c r="B3" s="1">
        <f>IF([1]Rseries!A8="","",[1]Rseries!A8)</f>
        <v>124017</v>
      </c>
    </row>
    <row r="4" spans="1:5" x14ac:dyDescent="0.25">
      <c r="A4" s="2">
        <v>35155</v>
      </c>
      <c r="B4" s="1">
        <f>IF([1]Rseries!A9="","",[1]Rseries!A9)</f>
        <v>122268</v>
      </c>
    </row>
    <row r="5" spans="1:5" x14ac:dyDescent="0.25">
      <c r="A5" s="2">
        <v>35185</v>
      </c>
      <c r="B5" s="1">
        <f>IF([1]Rseries!A10="","",[1]Rseries!A10)</f>
        <v>118182</v>
      </c>
    </row>
    <row r="6" spans="1:5" x14ac:dyDescent="0.25">
      <c r="A6" s="2">
        <v>35216</v>
      </c>
      <c r="B6" s="1">
        <f>IF([1]Rseries!A11="","",[1]Rseries!A11)</f>
        <v>114263</v>
      </c>
    </row>
    <row r="7" spans="1:5" x14ac:dyDescent="0.25">
      <c r="A7" s="2">
        <v>35246</v>
      </c>
      <c r="B7" s="1">
        <f>IF([1]Rseries!A12="","",[1]Rseries!A12)</f>
        <v>113023</v>
      </c>
    </row>
    <row r="8" spans="1:5" x14ac:dyDescent="0.25">
      <c r="A8" s="2">
        <v>35277</v>
      </c>
      <c r="B8" s="1">
        <f>IF([1]Rseries!A13="","",[1]Rseries!A13)</f>
        <v>108888</v>
      </c>
    </row>
    <row r="9" spans="1:5" x14ac:dyDescent="0.25">
      <c r="A9" s="2">
        <v>35308</v>
      </c>
      <c r="B9" s="1">
        <f>IF([1]Rseries!A14="","",[1]Rseries!A14)</f>
        <v>108001</v>
      </c>
    </row>
    <row r="10" spans="1:5" x14ac:dyDescent="0.25">
      <c r="A10" s="2">
        <v>35338</v>
      </c>
      <c r="B10" s="1">
        <f>IF([1]Rseries!A15="","",[1]Rseries!A15)</f>
        <v>107205</v>
      </c>
    </row>
    <row r="11" spans="1:5" x14ac:dyDescent="0.25">
      <c r="A11" s="2">
        <v>35369</v>
      </c>
      <c r="B11" s="1">
        <f>IF([1]Rseries!A16="","",[1]Rseries!A16)</f>
        <v>109355</v>
      </c>
    </row>
    <row r="12" spans="1:5" x14ac:dyDescent="0.25">
      <c r="A12" s="2">
        <v>35399</v>
      </c>
      <c r="B12" s="1">
        <f>IF([1]Rseries!A17="","",[1]Rseries!A17)</f>
        <v>110795</v>
      </c>
    </row>
    <row r="13" spans="1:5" x14ac:dyDescent="0.25">
      <c r="A13" s="2">
        <v>35430</v>
      </c>
      <c r="B13" s="1">
        <f>IF([1]Rseries!A18="","",[1]Rseries!A18)</f>
        <v>114385</v>
      </c>
    </row>
    <row r="14" spans="1:5" x14ac:dyDescent="0.25">
      <c r="A14" s="2">
        <v>35461</v>
      </c>
      <c r="B14" s="1">
        <f>IF([1]Rseries!A19="","",[1]Rseries!A19)</f>
        <v>117895</v>
      </c>
    </row>
    <row r="15" spans="1:5" x14ac:dyDescent="0.25">
      <c r="A15" s="2">
        <v>35489</v>
      </c>
      <c r="B15" s="1">
        <f>IF([1]Rseries!A20="","",[1]Rseries!A20)</f>
        <v>118650</v>
      </c>
    </row>
    <row r="16" spans="1:5" x14ac:dyDescent="0.25">
      <c r="A16" s="2">
        <v>35520</v>
      </c>
      <c r="B16" s="1">
        <f>IF([1]Rseries!A21="","",[1]Rseries!A21)</f>
        <v>116934</v>
      </c>
    </row>
    <row r="17" spans="1:2" x14ac:dyDescent="0.25">
      <c r="A17" s="2">
        <v>35550</v>
      </c>
      <c r="B17" s="1">
        <f>IF([1]Rseries!A22="","",[1]Rseries!A22)</f>
        <v>112564</v>
      </c>
    </row>
    <row r="18" spans="1:2" x14ac:dyDescent="0.25">
      <c r="A18" s="2">
        <v>35581</v>
      </c>
      <c r="B18" s="1">
        <f>IF([1]Rseries!A23="","",[1]Rseries!A23)</f>
        <v>107998</v>
      </c>
    </row>
    <row r="19" spans="1:2" x14ac:dyDescent="0.25">
      <c r="A19" s="2">
        <v>35611</v>
      </c>
      <c r="B19" s="1">
        <f>IF([1]Rseries!A24="","",[1]Rseries!A24)</f>
        <v>106336</v>
      </c>
    </row>
    <row r="20" spans="1:2" x14ac:dyDescent="0.25">
      <c r="A20" s="2">
        <v>35642</v>
      </c>
      <c r="B20" s="1">
        <f>IF([1]Rseries!A25="","",[1]Rseries!A25)</f>
        <v>101285</v>
      </c>
    </row>
    <row r="21" spans="1:2" x14ac:dyDescent="0.25">
      <c r="A21" s="2">
        <v>35673</v>
      </c>
      <c r="B21" s="1">
        <f>IF([1]Rseries!A26="","",[1]Rseries!A26)</f>
        <v>100865</v>
      </c>
    </row>
    <row r="22" spans="1:2" x14ac:dyDescent="0.25">
      <c r="A22" s="2">
        <v>35703</v>
      </c>
      <c r="B22" s="1">
        <f>IF([1]Rseries!A27="","",[1]Rseries!A27)</f>
        <v>100753</v>
      </c>
    </row>
    <row r="23" spans="1:2" x14ac:dyDescent="0.25">
      <c r="A23" s="2">
        <v>35734</v>
      </c>
      <c r="B23" s="1">
        <f>IF([1]Rseries!A28="","",[1]Rseries!A28)</f>
        <v>101670</v>
      </c>
    </row>
    <row r="24" spans="1:2" x14ac:dyDescent="0.25">
      <c r="A24" s="2">
        <v>35764</v>
      </c>
      <c r="B24" s="1">
        <f>IF([1]Rseries!A29="","",[1]Rseries!A29)</f>
        <v>103811</v>
      </c>
    </row>
    <row r="25" spans="1:2" x14ac:dyDescent="0.25">
      <c r="A25" s="2">
        <v>35795</v>
      </c>
      <c r="B25" s="1">
        <f>IF([1]Rseries!A30="","",[1]Rseries!A30)</f>
        <v>110674</v>
      </c>
    </row>
    <row r="26" spans="1:2" x14ac:dyDescent="0.25">
      <c r="A26" s="2">
        <v>35826</v>
      </c>
      <c r="B26" s="1">
        <f>IF([1]Rseries!A31="","",[1]Rseries!A31)</f>
        <v>110601</v>
      </c>
    </row>
    <row r="27" spans="1:2" x14ac:dyDescent="0.25">
      <c r="A27" s="2">
        <v>35854</v>
      </c>
      <c r="B27" s="1">
        <f>IF([1]Rseries!A32="","",[1]Rseries!A32)</f>
        <v>109846</v>
      </c>
    </row>
    <row r="28" spans="1:2" x14ac:dyDescent="0.25">
      <c r="A28" s="2">
        <v>35885</v>
      </c>
      <c r="B28" s="1">
        <f>IF([1]Rseries!A33="","",[1]Rseries!A33)</f>
        <v>107855</v>
      </c>
    </row>
    <row r="29" spans="1:2" x14ac:dyDescent="0.25">
      <c r="A29" s="2">
        <v>35915</v>
      </c>
      <c r="B29" s="1">
        <f>IF([1]Rseries!A34="","",[1]Rseries!A34)</f>
        <v>103080</v>
      </c>
    </row>
    <row r="30" spans="1:2" x14ac:dyDescent="0.25">
      <c r="A30" s="2">
        <v>35946</v>
      </c>
      <c r="B30" s="1">
        <f>IF([1]Rseries!A35="","",[1]Rseries!A35)</f>
        <v>98199</v>
      </c>
    </row>
    <row r="31" spans="1:2" x14ac:dyDescent="0.25">
      <c r="A31" s="2">
        <v>35976</v>
      </c>
      <c r="B31" s="1">
        <f>IF([1]Rseries!A36="","",[1]Rseries!A36)</f>
        <v>95838</v>
      </c>
    </row>
    <row r="32" spans="1:2" x14ac:dyDescent="0.25">
      <c r="A32" s="2">
        <v>36007</v>
      </c>
      <c r="B32" s="1">
        <f>IF([1]Rseries!A37="","",[1]Rseries!A37)</f>
        <v>90920</v>
      </c>
    </row>
    <row r="33" spans="1:2" x14ac:dyDescent="0.25">
      <c r="A33" s="2">
        <v>36038</v>
      </c>
      <c r="B33" s="1">
        <f>IF([1]Rseries!A38="","",[1]Rseries!A38)</f>
        <v>90735</v>
      </c>
    </row>
    <row r="34" spans="1:2" x14ac:dyDescent="0.25">
      <c r="A34" s="2">
        <v>36068</v>
      </c>
      <c r="B34" s="1">
        <f>IF([1]Rseries!A39="","",[1]Rseries!A39)</f>
        <v>88838</v>
      </c>
    </row>
    <row r="35" spans="1:2" x14ac:dyDescent="0.25">
      <c r="A35" s="2">
        <v>36099</v>
      </c>
      <c r="B35" s="1">
        <f>IF([1]Rseries!A40="","",[1]Rseries!A40)</f>
        <v>90299</v>
      </c>
    </row>
    <row r="36" spans="1:2" x14ac:dyDescent="0.25">
      <c r="A36" s="2">
        <v>36129</v>
      </c>
      <c r="B36" s="1">
        <f>IF([1]Rseries!A41="","",[1]Rseries!A41)</f>
        <v>90180</v>
      </c>
    </row>
    <row r="37" spans="1:2" x14ac:dyDescent="0.25">
      <c r="A37" s="2">
        <v>36160</v>
      </c>
      <c r="B37" s="1">
        <f>IF([1]Rseries!A42="","",[1]Rseries!A42)</f>
        <v>94923</v>
      </c>
    </row>
    <row r="38" spans="1:2" x14ac:dyDescent="0.25">
      <c r="A38" s="2">
        <v>36191</v>
      </c>
      <c r="B38" s="1">
        <f>IF([1]Rseries!A43="","",[1]Rseries!A43)</f>
        <v>95462</v>
      </c>
    </row>
    <row r="39" spans="1:2" x14ac:dyDescent="0.25">
      <c r="A39" s="2">
        <v>36219</v>
      </c>
      <c r="B39" s="1">
        <f>IF([1]Rseries!A44="","",[1]Rseries!A44)</f>
        <v>93472</v>
      </c>
    </row>
    <row r="40" spans="1:2" x14ac:dyDescent="0.25">
      <c r="A40" s="2">
        <v>36250</v>
      </c>
      <c r="B40" s="1">
        <f>IF([1]Rseries!A45="","",[1]Rseries!A45)</f>
        <v>94240</v>
      </c>
    </row>
    <row r="41" spans="1:2" x14ac:dyDescent="0.25">
      <c r="A41" s="2">
        <v>36280</v>
      </c>
      <c r="B41" s="1">
        <f>IF([1]Rseries!A46="","",[1]Rseries!A46)</f>
        <v>93365</v>
      </c>
    </row>
    <row r="42" spans="1:2" x14ac:dyDescent="0.25">
      <c r="A42" s="2">
        <v>36311</v>
      </c>
      <c r="B42" s="1">
        <f>IF([1]Rseries!A47="","",[1]Rseries!A47)</f>
        <v>90809</v>
      </c>
    </row>
    <row r="43" spans="1:2" x14ac:dyDescent="0.25">
      <c r="A43" s="2">
        <v>36341</v>
      </c>
      <c r="B43" s="1">
        <f>IF([1]Rseries!A48="","",[1]Rseries!A48)</f>
        <v>87286</v>
      </c>
    </row>
    <row r="44" spans="1:2" x14ac:dyDescent="0.25">
      <c r="A44" s="2">
        <v>36372</v>
      </c>
      <c r="B44" s="1">
        <f>IF([1]Rseries!A49="","",[1]Rseries!A49)</f>
        <v>82626</v>
      </c>
    </row>
    <row r="45" spans="1:2" x14ac:dyDescent="0.25">
      <c r="A45" s="2">
        <v>36403</v>
      </c>
      <c r="B45" s="1">
        <f>IF([1]Rseries!A50="","",[1]Rseries!A50)</f>
        <v>83058</v>
      </c>
    </row>
    <row r="46" spans="1:2" x14ac:dyDescent="0.25">
      <c r="A46" s="2">
        <v>36433</v>
      </c>
      <c r="B46" s="1">
        <f>IF([1]Rseries!A51="","",[1]Rseries!A51)</f>
        <v>83072</v>
      </c>
    </row>
    <row r="47" spans="1:2" x14ac:dyDescent="0.25">
      <c r="A47" s="2">
        <v>36464</v>
      </c>
      <c r="B47" s="1">
        <f>IF([1]Rseries!A52="","",[1]Rseries!A52)</f>
        <v>84751</v>
      </c>
    </row>
    <row r="48" spans="1:2" x14ac:dyDescent="0.25">
      <c r="A48" s="2">
        <v>36494</v>
      </c>
      <c r="B48" s="1">
        <f>IF([1]Rseries!A53="","",[1]Rseries!A53)</f>
        <v>85931</v>
      </c>
    </row>
    <row r="49" spans="1:2" x14ac:dyDescent="0.25">
      <c r="A49" s="2">
        <v>36525</v>
      </c>
      <c r="B49" s="1">
        <f>IF([1]Rseries!A54="","",[1]Rseries!A54)</f>
        <v>89274</v>
      </c>
    </row>
    <row r="50" spans="1:2" x14ac:dyDescent="0.25">
      <c r="A50" s="2">
        <v>36556</v>
      </c>
      <c r="B50" s="1">
        <f>IF([1]Rseries!A55="","",[1]Rseries!A55)</f>
        <v>93055</v>
      </c>
    </row>
    <row r="51" spans="1:2" x14ac:dyDescent="0.25">
      <c r="A51" s="2">
        <v>36585</v>
      </c>
      <c r="B51" s="1">
        <f>IF([1]Rseries!A56="","",[1]Rseries!A56)</f>
        <v>93320</v>
      </c>
    </row>
    <row r="52" spans="1:2" x14ac:dyDescent="0.25">
      <c r="A52" s="2">
        <v>36616</v>
      </c>
      <c r="B52" s="1">
        <f>IF([1]Rseries!A57="","",[1]Rseries!A57)</f>
        <v>92301</v>
      </c>
    </row>
    <row r="53" spans="1:2" x14ac:dyDescent="0.25">
      <c r="A53" s="2">
        <v>36646</v>
      </c>
      <c r="B53" s="1">
        <f>IF([1]Rseries!A58="","",[1]Rseries!A58)</f>
        <v>89590</v>
      </c>
    </row>
    <row r="54" spans="1:2" x14ac:dyDescent="0.25">
      <c r="A54" s="2">
        <v>36677</v>
      </c>
      <c r="B54" s="1">
        <f>IF([1]Rseries!A59="","",[1]Rseries!A59)</f>
        <v>86411</v>
      </c>
    </row>
    <row r="55" spans="1:2" x14ac:dyDescent="0.25">
      <c r="A55" s="2">
        <v>36707</v>
      </c>
      <c r="B55" s="1">
        <f>IF([1]Rseries!A60="","",[1]Rseries!A60)</f>
        <v>84892</v>
      </c>
    </row>
    <row r="56" spans="1:2" x14ac:dyDescent="0.25">
      <c r="A56" s="2">
        <v>36738</v>
      </c>
      <c r="B56" s="1">
        <f>IF([1]Rseries!A61="","",[1]Rseries!A61)</f>
        <v>82579</v>
      </c>
    </row>
    <row r="57" spans="1:2" x14ac:dyDescent="0.25">
      <c r="A57" s="2">
        <v>36769</v>
      </c>
      <c r="B57" s="1">
        <f>IF([1]Rseries!A62="","",[1]Rseries!A62)</f>
        <v>82211</v>
      </c>
    </row>
    <row r="58" spans="1:2" x14ac:dyDescent="0.25">
      <c r="A58" s="2">
        <v>36799</v>
      </c>
      <c r="B58" s="1">
        <f>IF([1]Rseries!A63="","",[1]Rseries!A63)</f>
        <v>82149</v>
      </c>
    </row>
    <row r="59" spans="1:2" x14ac:dyDescent="0.25">
      <c r="A59" s="2">
        <v>36830</v>
      </c>
      <c r="B59" s="1">
        <f>IF([1]Rseries!A64="","",[1]Rseries!A64)</f>
        <v>83838</v>
      </c>
    </row>
    <row r="60" spans="1:2" x14ac:dyDescent="0.25">
      <c r="A60" s="2">
        <v>36860</v>
      </c>
      <c r="B60" s="1">
        <f>IF([1]Rseries!A65="","",[1]Rseries!A65)</f>
        <v>85063</v>
      </c>
    </row>
    <row r="61" spans="1:2" x14ac:dyDescent="0.25">
      <c r="A61" s="2">
        <v>36891</v>
      </c>
      <c r="B61" s="1">
        <f>IF([1]Rseries!A66="","",[1]Rseries!A66)</f>
        <v>88302</v>
      </c>
    </row>
    <row r="62" spans="1:2" x14ac:dyDescent="0.25">
      <c r="A62" s="2">
        <v>36922</v>
      </c>
      <c r="B62" s="1">
        <f>IF([1]Rseries!A67="","",[1]Rseries!A67)</f>
        <v>93001</v>
      </c>
    </row>
    <row r="63" spans="1:2" x14ac:dyDescent="0.25">
      <c r="A63" s="2">
        <v>36950</v>
      </c>
      <c r="B63" s="1">
        <f>IF([1]Rseries!A68="","",[1]Rseries!A68)</f>
        <v>93581</v>
      </c>
    </row>
    <row r="64" spans="1:2" x14ac:dyDescent="0.25">
      <c r="A64" s="2">
        <v>36981</v>
      </c>
      <c r="B64" s="1">
        <f>IF([1]Rseries!A69="","",[1]Rseries!A69)</f>
        <v>93645</v>
      </c>
    </row>
    <row r="65" spans="1:2" x14ac:dyDescent="0.25">
      <c r="A65" s="2">
        <v>37011</v>
      </c>
      <c r="B65" s="1">
        <f>IF([1]Rseries!A70="","",[1]Rseries!A70)</f>
        <v>88520</v>
      </c>
    </row>
    <row r="66" spans="1:2" x14ac:dyDescent="0.25">
      <c r="A66" s="2">
        <v>37042</v>
      </c>
      <c r="B66" s="1">
        <f>IF([1]Rseries!A71="","",[1]Rseries!A71)</f>
        <v>88157</v>
      </c>
    </row>
    <row r="67" spans="1:2" x14ac:dyDescent="0.25">
      <c r="A67" s="2">
        <v>37072</v>
      </c>
      <c r="B67" s="1">
        <f>IF([1]Rseries!A72="","",[1]Rseries!A72)</f>
        <v>81964</v>
      </c>
    </row>
    <row r="68" spans="1:2" x14ac:dyDescent="0.25">
      <c r="A68" s="2">
        <v>37103</v>
      </c>
      <c r="B68" s="1">
        <f>IF([1]Rseries!A73="","",[1]Rseries!A73)</f>
        <v>79467</v>
      </c>
    </row>
    <row r="69" spans="1:2" x14ac:dyDescent="0.25">
      <c r="A69" s="2">
        <v>37134</v>
      </c>
      <c r="B69" s="1">
        <f>IF([1]Rseries!A74="","",[1]Rseries!A74)</f>
        <v>81933</v>
      </c>
    </row>
    <row r="70" spans="1:2" x14ac:dyDescent="0.25">
      <c r="A70" s="2">
        <v>37164</v>
      </c>
      <c r="B70" s="1">
        <f>IF([1]Rseries!A75="","",[1]Rseries!A75)</f>
        <v>82111</v>
      </c>
    </row>
    <row r="71" spans="1:2" x14ac:dyDescent="0.25">
      <c r="A71" s="2">
        <v>37195</v>
      </c>
      <c r="B71" s="1">
        <f>IF([1]Rseries!A76="","",[1]Rseries!A76)</f>
        <v>83271</v>
      </c>
    </row>
    <row r="72" spans="1:2" x14ac:dyDescent="0.25">
      <c r="A72" s="2">
        <v>37225</v>
      </c>
      <c r="B72" s="1">
        <f>IF([1]Rseries!A77="","",[1]Rseries!A77)</f>
        <v>85485</v>
      </c>
    </row>
    <row r="73" spans="1:2" x14ac:dyDescent="0.25">
      <c r="A73" s="2">
        <v>37256</v>
      </c>
      <c r="B73" s="1">
        <f>IF([1]Rseries!A78="","",[1]Rseries!A78)</f>
        <v>88037</v>
      </c>
    </row>
    <row r="74" spans="1:2" x14ac:dyDescent="0.25">
      <c r="A74" s="2">
        <v>37287</v>
      </c>
      <c r="B74" s="1">
        <f>IF([1]Rseries!A79="","",[1]Rseries!A79)</f>
        <v>93366</v>
      </c>
    </row>
    <row r="75" spans="1:2" x14ac:dyDescent="0.25">
      <c r="A75" s="2">
        <v>37315</v>
      </c>
      <c r="B75" s="1">
        <f>IF([1]Rseries!A80="","",[1]Rseries!A80)</f>
        <v>96485</v>
      </c>
    </row>
    <row r="76" spans="1:2" x14ac:dyDescent="0.25">
      <c r="A76" s="2">
        <v>37346</v>
      </c>
      <c r="B76" s="1">
        <f>IF([1]Rseries!A81="","",[1]Rseries!A81)</f>
        <v>95470</v>
      </c>
    </row>
    <row r="77" spans="1:2" x14ac:dyDescent="0.25">
      <c r="A77" s="2">
        <v>37376</v>
      </c>
      <c r="B77" s="1">
        <f>IF([1]Rseries!A82="","",[1]Rseries!A82)</f>
        <v>91052</v>
      </c>
    </row>
    <row r="78" spans="1:2" x14ac:dyDescent="0.25">
      <c r="A78" s="2">
        <v>37407</v>
      </c>
      <c r="B78" s="1">
        <f>IF([1]Rseries!A83="","",[1]Rseries!A83)</f>
        <v>87301</v>
      </c>
    </row>
    <row r="79" spans="1:2" x14ac:dyDescent="0.25">
      <c r="A79" s="2">
        <v>37437</v>
      </c>
      <c r="B79" s="1">
        <f>IF([1]Rseries!A84="","",[1]Rseries!A84)</f>
        <v>85016</v>
      </c>
    </row>
    <row r="80" spans="1:2" x14ac:dyDescent="0.25">
      <c r="A80" s="2">
        <v>37468</v>
      </c>
      <c r="B80" s="1">
        <f>IF([1]Rseries!A85="","",[1]Rseries!A85)</f>
        <v>83026</v>
      </c>
    </row>
    <row r="81" spans="1:2" x14ac:dyDescent="0.25">
      <c r="A81" s="2">
        <v>37499</v>
      </c>
      <c r="B81" s="1">
        <f>IF([1]Rseries!A86="","",[1]Rseries!A86)</f>
        <v>83756</v>
      </c>
    </row>
    <row r="82" spans="1:2" x14ac:dyDescent="0.25">
      <c r="A82" s="2">
        <v>37529</v>
      </c>
      <c r="B82" s="1">
        <f>IF([1]Rseries!A87="","",[1]Rseries!A87)</f>
        <v>84414</v>
      </c>
    </row>
    <row r="83" spans="1:2" x14ac:dyDescent="0.25">
      <c r="A83" s="2">
        <v>37560</v>
      </c>
      <c r="B83" s="1">
        <f>IF([1]Rseries!A88="","",[1]Rseries!A88)</f>
        <v>85971</v>
      </c>
    </row>
    <row r="84" spans="1:2" x14ac:dyDescent="0.25">
      <c r="A84" s="2">
        <v>37590</v>
      </c>
      <c r="B84" s="1">
        <f>IF([1]Rseries!A89="","",[1]Rseries!A89)</f>
        <v>88297</v>
      </c>
    </row>
    <row r="85" spans="1:2" x14ac:dyDescent="0.25">
      <c r="A85" s="2">
        <v>37621</v>
      </c>
      <c r="B85" s="1">
        <f>IF([1]Rseries!A90="","",[1]Rseries!A90)</f>
        <v>92219</v>
      </c>
    </row>
    <row r="86" spans="1:2" x14ac:dyDescent="0.25">
      <c r="A86" s="2">
        <v>37652</v>
      </c>
      <c r="B86" s="1">
        <f>IF([1]Rseries!A91="","",[1]Rseries!A91)</f>
        <v>96183</v>
      </c>
    </row>
    <row r="87" spans="1:2" x14ac:dyDescent="0.25">
      <c r="A87" s="2">
        <v>37680</v>
      </c>
      <c r="B87" s="1">
        <f>IF([1]Rseries!A92="","",[1]Rseries!A92)</f>
        <v>96484</v>
      </c>
    </row>
    <row r="88" spans="1:2" x14ac:dyDescent="0.25">
      <c r="A88" s="2">
        <v>37711</v>
      </c>
      <c r="B88" s="1">
        <f>IF([1]Rseries!A93="","",[1]Rseries!A93)</f>
        <v>95855</v>
      </c>
    </row>
    <row r="89" spans="1:2" x14ac:dyDescent="0.25">
      <c r="A89" s="2">
        <v>37741</v>
      </c>
      <c r="B89" s="1">
        <f>IF([1]Rseries!A94="","",[1]Rseries!A94)</f>
        <v>91768</v>
      </c>
    </row>
    <row r="90" spans="1:2" x14ac:dyDescent="0.25">
      <c r="A90" s="2">
        <v>37772</v>
      </c>
      <c r="B90" s="1">
        <f>IF([1]Rseries!A95="","",[1]Rseries!A95)</f>
        <v>88677</v>
      </c>
    </row>
    <row r="91" spans="1:2" x14ac:dyDescent="0.25">
      <c r="A91" s="2">
        <v>37802</v>
      </c>
      <c r="B91" s="1">
        <f>IF([1]Rseries!A96="","",[1]Rseries!A96)</f>
        <v>88018</v>
      </c>
    </row>
    <row r="92" spans="1:2" x14ac:dyDescent="0.25">
      <c r="A92" s="2">
        <v>37833</v>
      </c>
      <c r="B92" s="1">
        <f>IF([1]Rseries!A97="","",[1]Rseries!A97)</f>
        <v>85578</v>
      </c>
    </row>
    <row r="93" spans="1:2" x14ac:dyDescent="0.25">
      <c r="A93" s="2">
        <v>37864</v>
      </c>
      <c r="B93" s="1">
        <f>IF([1]Rseries!A98="","",[1]Rseries!A98)</f>
        <v>86911</v>
      </c>
    </row>
    <row r="94" spans="1:2" x14ac:dyDescent="0.25">
      <c r="A94" s="2">
        <v>37894</v>
      </c>
      <c r="B94" s="1">
        <f>IF([1]Rseries!A99="","",[1]Rseries!A99)</f>
        <v>87816</v>
      </c>
    </row>
    <row r="95" spans="1:2" x14ac:dyDescent="0.25">
      <c r="A95" s="2">
        <v>37925</v>
      </c>
      <c r="B95" s="1">
        <f>IF([1]Rseries!A100="","",[1]Rseries!A100)</f>
        <v>90414</v>
      </c>
    </row>
    <row r="96" spans="1:2" x14ac:dyDescent="0.25">
      <c r="A96" s="2">
        <v>37955</v>
      </c>
      <c r="B96" s="1">
        <f>IF([1]Rseries!A101="","",[1]Rseries!A101)</f>
        <v>92071</v>
      </c>
    </row>
    <row r="97" spans="1:2" x14ac:dyDescent="0.25">
      <c r="A97" s="2">
        <v>37986</v>
      </c>
      <c r="B97" s="1">
        <f>IF([1]Rseries!A102="","",[1]Rseries!A102)</f>
        <v>97191</v>
      </c>
    </row>
    <row r="98" spans="1:2" x14ac:dyDescent="0.25">
      <c r="A98" s="2">
        <v>38017</v>
      </c>
      <c r="B98" s="1">
        <f>IF([1]Rseries!A103="","",[1]Rseries!A103)</f>
        <v>99259</v>
      </c>
    </row>
    <row r="99" spans="1:2" x14ac:dyDescent="0.25">
      <c r="A99" s="2">
        <v>38046</v>
      </c>
      <c r="B99" s="1">
        <f>IF([1]Rseries!A104="","",[1]Rseries!A104)</f>
        <v>99393</v>
      </c>
    </row>
    <row r="100" spans="1:2" x14ac:dyDescent="0.25">
      <c r="A100" s="2">
        <v>38077</v>
      </c>
      <c r="B100" s="1">
        <f>IF([1]Rseries!A105="","",[1]Rseries!A105)</f>
        <v>99994</v>
      </c>
    </row>
    <row r="101" spans="1:2" x14ac:dyDescent="0.25">
      <c r="A101" s="2">
        <v>38107</v>
      </c>
      <c r="B101" s="1">
        <f>IF([1]Rseries!A106="","",[1]Rseries!A106)</f>
        <v>99858</v>
      </c>
    </row>
    <row r="102" spans="1:2" x14ac:dyDescent="0.25">
      <c r="A102" s="2">
        <v>38138</v>
      </c>
      <c r="B102" s="1">
        <f>IF([1]Rseries!A107="","",[1]Rseries!A107)</f>
        <v>93726</v>
      </c>
    </row>
    <row r="103" spans="1:2" x14ac:dyDescent="0.25">
      <c r="A103" s="2">
        <v>38168</v>
      </c>
      <c r="B103" s="1">
        <f>IF([1]Rseries!A108="","",[1]Rseries!A108)</f>
        <v>89509</v>
      </c>
    </row>
    <row r="104" spans="1:2" x14ac:dyDescent="0.25">
      <c r="A104" s="2">
        <v>38199</v>
      </c>
      <c r="B104" s="1">
        <f>IF([1]Rseries!A109="","",[1]Rseries!A109)</f>
        <v>86135</v>
      </c>
    </row>
    <row r="105" spans="1:2" x14ac:dyDescent="0.25">
      <c r="A105" s="2">
        <v>38230</v>
      </c>
      <c r="B105" s="1">
        <f>IF([1]Rseries!A110="","",[1]Rseries!A110)</f>
        <v>87719</v>
      </c>
    </row>
    <row r="106" spans="1:2" x14ac:dyDescent="0.25">
      <c r="A106" s="2">
        <v>38260</v>
      </c>
      <c r="B106" s="1">
        <f>IF([1]Rseries!A111="","",[1]Rseries!A111)</f>
        <v>87808</v>
      </c>
    </row>
    <row r="107" spans="1:2" x14ac:dyDescent="0.25">
      <c r="A107" s="2">
        <v>38291</v>
      </c>
      <c r="B107" s="1">
        <f>IF([1]Rseries!A112="","",[1]Rseries!A112)</f>
        <v>89772</v>
      </c>
    </row>
    <row r="108" spans="1:2" x14ac:dyDescent="0.25">
      <c r="A108" s="2">
        <v>38321</v>
      </c>
      <c r="B108" s="1">
        <f>IF([1]Rseries!A113="","",[1]Rseries!A113)</f>
        <v>92635</v>
      </c>
    </row>
    <row r="109" spans="1:2" x14ac:dyDescent="0.25">
      <c r="A109" s="2">
        <v>38352</v>
      </c>
      <c r="B109" s="1">
        <f>IF([1]Rseries!A114="","",[1]Rseries!A114)</f>
        <v>96491</v>
      </c>
    </row>
    <row r="110" spans="1:2" x14ac:dyDescent="0.25">
      <c r="A110" s="2">
        <v>38383</v>
      </c>
      <c r="B110" s="1">
        <f>IF([1]Rseries!A115="","",[1]Rseries!A115)</f>
        <v>100733</v>
      </c>
    </row>
    <row r="111" spans="1:2" x14ac:dyDescent="0.25">
      <c r="A111" s="2">
        <v>38411</v>
      </c>
      <c r="B111" s="1">
        <f>IF([1]Rseries!A116="","",[1]Rseries!A116)</f>
        <v>100828</v>
      </c>
    </row>
    <row r="112" spans="1:2" x14ac:dyDescent="0.25">
      <c r="A112" s="2">
        <v>38442</v>
      </c>
      <c r="B112" s="1">
        <f>IF([1]Rseries!A117="","",[1]Rseries!A117)</f>
        <v>100457</v>
      </c>
    </row>
    <row r="113" spans="1:2" x14ac:dyDescent="0.25">
      <c r="A113" s="2">
        <v>38472</v>
      </c>
      <c r="B113" s="1">
        <f>IF([1]Rseries!A118="","",[1]Rseries!A118)</f>
        <v>98431</v>
      </c>
    </row>
    <row r="114" spans="1:2" x14ac:dyDescent="0.25">
      <c r="A114" s="2">
        <v>38503</v>
      </c>
      <c r="B114" s="1">
        <f>IF([1]Rseries!A119="","",[1]Rseries!A119)</f>
        <v>93613</v>
      </c>
    </row>
    <row r="115" spans="1:2" x14ac:dyDescent="0.25">
      <c r="A115" s="2">
        <v>38533</v>
      </c>
      <c r="B115" s="1">
        <f>IF([1]Rseries!A120="","",[1]Rseries!A120)</f>
        <v>88509</v>
      </c>
    </row>
    <row r="116" spans="1:2" x14ac:dyDescent="0.25">
      <c r="A116" s="2">
        <v>38564</v>
      </c>
      <c r="B116" s="1">
        <f>IF([1]Rseries!A121="","",[1]Rseries!A121)</f>
        <v>87210</v>
      </c>
    </row>
    <row r="117" spans="1:2" x14ac:dyDescent="0.25">
      <c r="A117" s="2">
        <v>38595</v>
      </c>
      <c r="B117" s="1">
        <f>IF([1]Rseries!A122="","",[1]Rseries!A122)</f>
        <v>89637</v>
      </c>
    </row>
    <row r="118" spans="1:2" x14ac:dyDescent="0.25">
      <c r="A118" s="2">
        <v>38625</v>
      </c>
      <c r="B118" s="1">
        <f>IF([1]Rseries!A123="","",[1]Rseries!A123)</f>
        <v>89417</v>
      </c>
    </row>
    <row r="119" spans="1:2" x14ac:dyDescent="0.25">
      <c r="A119" s="2">
        <v>38656</v>
      </c>
      <c r="B119" s="1">
        <f>IF([1]Rseries!A124="","",[1]Rseries!A124)</f>
        <v>91645</v>
      </c>
    </row>
    <row r="120" spans="1:2" x14ac:dyDescent="0.25">
      <c r="A120" s="2">
        <v>38686</v>
      </c>
      <c r="B120" s="1">
        <f>IF([1]Rseries!A125="","",[1]Rseries!A125)</f>
        <v>91975</v>
      </c>
    </row>
    <row r="121" spans="1:2" x14ac:dyDescent="0.25">
      <c r="A121" s="2">
        <v>38717</v>
      </c>
      <c r="B121" s="1">
        <f>IF([1]Rseries!A126="","",[1]Rseries!A126)</f>
        <v>95023</v>
      </c>
    </row>
    <row r="122" spans="1:2" x14ac:dyDescent="0.25">
      <c r="A122" s="2">
        <v>38748</v>
      </c>
      <c r="B122" s="1">
        <f>IF([1]Rseries!A127="","",[1]Rseries!A127)</f>
        <v>98802</v>
      </c>
    </row>
    <row r="123" spans="1:2" x14ac:dyDescent="0.25">
      <c r="A123" s="2">
        <v>38776</v>
      </c>
      <c r="B123" s="1">
        <f>IF([1]Rseries!A128="","",[1]Rseries!A128)</f>
        <v>99123</v>
      </c>
    </row>
    <row r="124" spans="1:2" x14ac:dyDescent="0.25">
      <c r="A124" s="2">
        <v>38807</v>
      </c>
      <c r="B124" s="1">
        <f>IF([1]Rseries!A129="","",[1]Rseries!A129)</f>
        <v>97741</v>
      </c>
    </row>
    <row r="125" spans="1:2" x14ac:dyDescent="0.25">
      <c r="A125" s="2">
        <v>38837</v>
      </c>
      <c r="B125" s="1">
        <f>IF([1]Rseries!A130="","",[1]Rseries!A130)</f>
        <v>94341</v>
      </c>
    </row>
    <row r="126" spans="1:2" x14ac:dyDescent="0.25">
      <c r="A126" s="2">
        <v>38868</v>
      </c>
      <c r="B126" s="1">
        <f>IF([1]Rseries!A131="","",[1]Rseries!A131)</f>
        <v>91406</v>
      </c>
    </row>
    <row r="127" spans="1:2" x14ac:dyDescent="0.25">
      <c r="A127" s="2">
        <v>38898</v>
      </c>
      <c r="B127" s="1">
        <f>IF([1]Rseries!A132="","",[1]Rseries!A132)</f>
        <v>87349</v>
      </c>
    </row>
    <row r="128" spans="1:2" x14ac:dyDescent="0.25">
      <c r="A128" s="2">
        <v>38929</v>
      </c>
      <c r="B128" s="1">
        <f>IF([1]Rseries!A133="","",[1]Rseries!A133)</f>
        <v>85770</v>
      </c>
    </row>
    <row r="129" spans="1:2" x14ac:dyDescent="0.25">
      <c r="A129" s="2">
        <v>38960</v>
      </c>
      <c r="B129" s="1">
        <f>IF([1]Rseries!A134="","",[1]Rseries!A134)</f>
        <v>87411</v>
      </c>
    </row>
    <row r="130" spans="1:2" x14ac:dyDescent="0.25">
      <c r="A130" s="2">
        <v>38990</v>
      </c>
      <c r="B130" s="1">
        <f>IF([1]Rseries!A135="","",[1]Rseries!A135)</f>
        <v>87757</v>
      </c>
    </row>
    <row r="131" spans="1:2" x14ac:dyDescent="0.25">
      <c r="A131" s="2">
        <v>39021</v>
      </c>
      <c r="B131" s="1">
        <f>IF([1]Rseries!A136="","",[1]Rseries!A136)</f>
        <v>88743</v>
      </c>
    </row>
    <row r="132" spans="1:2" x14ac:dyDescent="0.25">
      <c r="A132" s="2">
        <v>39051</v>
      </c>
      <c r="B132" s="1">
        <f>IF([1]Rseries!A137="","",[1]Rseries!A137)</f>
        <v>89435</v>
      </c>
    </row>
    <row r="133" spans="1:2" x14ac:dyDescent="0.25">
      <c r="A133" s="2">
        <v>39082</v>
      </c>
      <c r="B133" s="1">
        <f>IF([1]Rseries!A138="","",[1]Rseries!A138)</f>
        <v>90921</v>
      </c>
    </row>
    <row r="134" spans="1:2" x14ac:dyDescent="0.25">
      <c r="A134" s="2">
        <v>39113</v>
      </c>
      <c r="B134" s="1">
        <f>IF([1]Rseries!A139="","",[1]Rseries!A139)</f>
        <v>94590</v>
      </c>
    </row>
    <row r="135" spans="1:2" x14ac:dyDescent="0.25">
      <c r="A135" s="2">
        <v>39141</v>
      </c>
      <c r="B135" s="1">
        <f>IF([1]Rseries!A140="","",[1]Rseries!A140)</f>
        <v>95029</v>
      </c>
    </row>
    <row r="136" spans="1:2" x14ac:dyDescent="0.25">
      <c r="A136" s="2">
        <v>39172</v>
      </c>
      <c r="B136" s="1">
        <f>IF([1]Rseries!A141="","",[1]Rseries!A141)</f>
        <v>94166</v>
      </c>
    </row>
    <row r="137" spans="1:2" x14ac:dyDescent="0.25">
      <c r="A137" s="2">
        <v>39202</v>
      </c>
      <c r="B137" s="1">
        <f>IF([1]Rseries!A142="","",[1]Rseries!A142)</f>
        <v>92925</v>
      </c>
    </row>
    <row r="138" spans="1:2" x14ac:dyDescent="0.25">
      <c r="A138" s="2">
        <v>39233</v>
      </c>
      <c r="B138" s="1">
        <f>IF([1]Rseries!A143="","",[1]Rseries!A143)</f>
        <v>89991</v>
      </c>
    </row>
    <row r="139" spans="1:2" x14ac:dyDescent="0.25">
      <c r="A139" s="2">
        <v>39263</v>
      </c>
      <c r="B139" s="1">
        <f>IF([1]Rseries!A144="","",[1]Rseries!A144)</f>
        <v>87208</v>
      </c>
    </row>
    <row r="140" spans="1:2" x14ac:dyDescent="0.25">
      <c r="A140" s="2">
        <v>39294</v>
      </c>
      <c r="B140" s="1">
        <f>IF([1]Rseries!A145="","",[1]Rseries!A145)</f>
        <v>87073</v>
      </c>
    </row>
    <row r="141" spans="1:2" x14ac:dyDescent="0.25">
      <c r="A141" s="2">
        <v>39325</v>
      </c>
      <c r="B141" s="1">
        <f>IF([1]Rseries!A146="","",[1]Rseries!A146)</f>
        <v>89685</v>
      </c>
    </row>
    <row r="142" spans="1:2" x14ac:dyDescent="0.25">
      <c r="A142" s="2">
        <v>39355</v>
      </c>
      <c r="B142" s="1">
        <f>IF([1]Rseries!A147="","",[1]Rseries!A147)</f>
        <v>89772</v>
      </c>
    </row>
    <row r="143" spans="1:2" x14ac:dyDescent="0.25">
      <c r="A143" s="2">
        <v>39386</v>
      </c>
      <c r="B143" s="1">
        <f>IF([1]Rseries!A148="","",[1]Rseries!A148)</f>
        <v>91355</v>
      </c>
    </row>
    <row r="144" spans="1:2" x14ac:dyDescent="0.25">
      <c r="A144" s="2">
        <v>39416</v>
      </c>
      <c r="B144" s="1">
        <f>IF([1]Rseries!A149="","",[1]Rseries!A149)</f>
        <v>93163</v>
      </c>
    </row>
    <row r="145" spans="1:2" x14ac:dyDescent="0.25">
      <c r="A145" s="2">
        <v>39447</v>
      </c>
      <c r="B145" s="1">
        <f>IF([1]Rseries!A150="","",[1]Rseries!A150)</f>
        <v>94955</v>
      </c>
    </row>
    <row r="146" spans="1:2" x14ac:dyDescent="0.25">
      <c r="A146" s="2">
        <v>39478</v>
      </c>
      <c r="B146" s="1">
        <f>IF([1]Rseries!A151="","",[1]Rseries!A151)</f>
        <v>101138</v>
      </c>
    </row>
    <row r="147" spans="1:2" x14ac:dyDescent="0.25">
      <c r="A147" s="2">
        <v>39507</v>
      </c>
      <c r="B147" s="1">
        <f>IF([1]Rseries!A152="","",[1]Rseries!A152)</f>
        <v>105519</v>
      </c>
    </row>
    <row r="148" spans="1:2" x14ac:dyDescent="0.25">
      <c r="A148" s="2">
        <v>39538</v>
      </c>
      <c r="B148" s="1">
        <f>IF([1]Rseries!A153="","",[1]Rseries!A153)</f>
        <v>105658</v>
      </c>
    </row>
    <row r="149" spans="1:2" x14ac:dyDescent="0.25">
      <c r="A149" s="2">
        <v>39568</v>
      </c>
      <c r="B149" s="1">
        <f>IF([1]Rseries!A154="","",[1]Rseries!A154)</f>
        <v>107385</v>
      </c>
    </row>
    <row r="150" spans="1:2" x14ac:dyDescent="0.25">
      <c r="A150" s="2">
        <v>39599</v>
      </c>
      <c r="B150" s="1">
        <f>IF([1]Rseries!A155="","",[1]Rseries!A155)</f>
        <v>107589</v>
      </c>
    </row>
    <row r="151" spans="1:2" x14ac:dyDescent="0.25">
      <c r="A151" s="2">
        <v>39629</v>
      </c>
      <c r="B151" s="1">
        <f>IF([1]Rseries!A156="","",[1]Rseries!A156)</f>
        <v>106446</v>
      </c>
    </row>
    <row r="152" spans="1:2" x14ac:dyDescent="0.25">
      <c r="A152" s="2">
        <v>39660</v>
      </c>
      <c r="B152" s="1">
        <f>IF([1]Rseries!A157="","",[1]Rseries!A157)</f>
        <v>108350</v>
      </c>
    </row>
    <row r="153" spans="1:2" x14ac:dyDescent="0.25">
      <c r="A153" s="2">
        <v>39691</v>
      </c>
      <c r="B153" s="1">
        <f>IF([1]Rseries!A158="","",[1]Rseries!A158)</f>
        <v>113485</v>
      </c>
    </row>
    <row r="154" spans="1:2" x14ac:dyDescent="0.25">
      <c r="A154" s="2">
        <v>39721</v>
      </c>
      <c r="B154" s="1">
        <f>IF([1]Rseries!A159="","",[1]Rseries!A159)</f>
        <v>115345</v>
      </c>
    </row>
    <row r="155" spans="1:2" x14ac:dyDescent="0.25">
      <c r="A155" s="2">
        <v>39752</v>
      </c>
      <c r="B155" s="1">
        <f>IF([1]Rseries!A160="","",[1]Rseries!A160)</f>
        <v>128948</v>
      </c>
    </row>
    <row r="156" spans="1:2" x14ac:dyDescent="0.25">
      <c r="A156" s="2">
        <v>39782</v>
      </c>
      <c r="B156" s="1">
        <f>IF([1]Rseries!A161="","",[1]Rseries!A161)</f>
        <v>138689</v>
      </c>
    </row>
    <row r="157" spans="1:2" x14ac:dyDescent="0.25">
      <c r="A157" s="2">
        <v>39813</v>
      </c>
      <c r="B157" s="1">
        <f>IF([1]Rseries!A162="","",[1]Rseries!A162)</f>
        <v>147817</v>
      </c>
    </row>
    <row r="158" spans="1:2" x14ac:dyDescent="0.25">
      <c r="A158" s="2">
        <v>39844</v>
      </c>
      <c r="B158" s="1">
        <f>IF([1]Rseries!A163="","",[1]Rseries!A163)</f>
        <v>155680</v>
      </c>
    </row>
    <row r="159" spans="1:2" x14ac:dyDescent="0.25">
      <c r="A159" s="2">
        <v>39872</v>
      </c>
      <c r="B159" s="1">
        <f>IF([1]Rseries!A164="","",[1]Rseries!A164)</f>
        <v>164532</v>
      </c>
    </row>
    <row r="160" spans="1:2" x14ac:dyDescent="0.25">
      <c r="A160" s="2">
        <v>39903</v>
      </c>
      <c r="B160" s="1">
        <f>IF([1]Rseries!A165="","",[1]Rseries!A165)</f>
        <v>173051</v>
      </c>
    </row>
    <row r="161" spans="1:2" x14ac:dyDescent="0.25">
      <c r="A161" s="2">
        <v>39933</v>
      </c>
      <c r="B161" s="1">
        <f>IF([1]Rseries!A166="","",[1]Rseries!A166)</f>
        <v>176136</v>
      </c>
    </row>
    <row r="162" spans="1:2" x14ac:dyDescent="0.25">
      <c r="A162" s="2">
        <v>39964</v>
      </c>
      <c r="B162" s="1">
        <f>IF([1]Rseries!A167="","",[1]Rseries!A167)</f>
        <v>174729</v>
      </c>
    </row>
    <row r="163" spans="1:2" x14ac:dyDescent="0.25">
      <c r="A163" s="2">
        <v>39994</v>
      </c>
      <c r="B163" s="1">
        <f>IF([1]Rseries!A168="","",[1]Rseries!A168)</f>
        <v>168442</v>
      </c>
    </row>
    <row r="164" spans="1:2" x14ac:dyDescent="0.25">
      <c r="A164" s="2">
        <v>40025</v>
      </c>
      <c r="B164" s="1">
        <f>IF([1]Rseries!A169="","",[1]Rseries!A169)</f>
        <v>165797</v>
      </c>
    </row>
    <row r="165" spans="1:2" x14ac:dyDescent="0.25">
      <c r="A165" s="2">
        <v>40056</v>
      </c>
      <c r="B165" s="1">
        <f>IF([1]Rseries!A170="","",[1]Rseries!A170)</f>
        <v>169165</v>
      </c>
    </row>
    <row r="166" spans="1:2" x14ac:dyDescent="0.25">
      <c r="A166" s="2">
        <v>40086</v>
      </c>
      <c r="B166" s="1">
        <f>IF([1]Rseries!A171="","",[1]Rseries!A171)</f>
        <v>166821</v>
      </c>
    </row>
    <row r="167" spans="1:2" x14ac:dyDescent="0.25">
      <c r="A167" s="2">
        <v>40117</v>
      </c>
      <c r="B167" s="1">
        <f>IF([1]Rseries!A172="","",[1]Rseries!A172)</f>
        <v>179229</v>
      </c>
    </row>
    <row r="168" spans="1:2" x14ac:dyDescent="0.25">
      <c r="A168" s="2">
        <v>40147</v>
      </c>
      <c r="B168" s="1">
        <f>IF([1]Rseries!A173="","",[1]Rseries!A173)</f>
        <v>181683</v>
      </c>
    </row>
    <row r="169" spans="1:2" x14ac:dyDescent="0.25">
      <c r="A169" s="2">
        <v>40178</v>
      </c>
      <c r="B169" s="1">
        <f>IF([1]Rseries!A174="","",[1]Rseries!A174)</f>
        <v>188150</v>
      </c>
    </row>
    <row r="170" spans="1:2" x14ac:dyDescent="0.25">
      <c r="A170" s="2">
        <v>40209</v>
      </c>
      <c r="B170" s="1">
        <f>IF([1]Rseries!A175="","",[1]Rseries!A175)</f>
        <v>193499</v>
      </c>
    </row>
    <row r="171" spans="1:2" x14ac:dyDescent="0.25">
      <c r="A171" s="2">
        <v>40237</v>
      </c>
      <c r="B171" s="1">
        <f>IF([1]Rseries!A176="","",[1]Rseries!A176)</f>
        <v>199917</v>
      </c>
    </row>
    <row r="172" spans="1:2" x14ac:dyDescent="0.25">
      <c r="A172" s="2">
        <v>40268</v>
      </c>
      <c r="B172" s="1">
        <f>IF([1]Rseries!A177="","",[1]Rseries!A177)</f>
        <v>204382</v>
      </c>
    </row>
    <row r="173" spans="1:2" x14ac:dyDescent="0.25">
      <c r="A173" s="2">
        <v>40298</v>
      </c>
      <c r="B173" s="1">
        <f>IF([1]Rseries!A178="","",[1]Rseries!A178)</f>
        <v>202869</v>
      </c>
    </row>
    <row r="174" spans="1:2" x14ac:dyDescent="0.25">
      <c r="A174" s="2">
        <v>40329</v>
      </c>
      <c r="B174" s="1">
        <f>IF([1]Rseries!A179="","",[1]Rseries!A179)</f>
        <v>198430</v>
      </c>
    </row>
    <row r="175" spans="1:2" x14ac:dyDescent="0.25">
      <c r="A175" s="2">
        <v>40359</v>
      </c>
      <c r="B175" s="1">
        <f>IF([1]Rseries!A180="","",[1]Rseries!A180)</f>
        <v>192897</v>
      </c>
    </row>
    <row r="176" spans="1:2" x14ac:dyDescent="0.25">
      <c r="A176" s="2">
        <v>40390</v>
      </c>
      <c r="B176" s="1">
        <f>IF([1]Rseries!A181="","",[1]Rseries!A181)</f>
        <v>188971</v>
      </c>
    </row>
    <row r="177" spans="1:2" x14ac:dyDescent="0.25">
      <c r="A177" s="2">
        <v>40421</v>
      </c>
      <c r="B177" s="1">
        <f>IF([1]Rseries!A182="","",[1]Rseries!A182)</f>
        <v>193287</v>
      </c>
    </row>
    <row r="178" spans="1:2" x14ac:dyDescent="0.25">
      <c r="A178" s="2">
        <v>40451</v>
      </c>
      <c r="B178" s="1">
        <f>IF([1]Rseries!A183="","",[1]Rseries!A183)</f>
        <v>187473</v>
      </c>
    </row>
    <row r="179" spans="1:2" x14ac:dyDescent="0.25">
      <c r="A179" s="2">
        <v>40482</v>
      </c>
      <c r="B179" s="1">
        <f>IF([1]Rseries!A184="","",[1]Rseries!A184)</f>
        <v>199057</v>
      </c>
    </row>
    <row r="180" spans="1:2" x14ac:dyDescent="0.25">
      <c r="A180" s="2">
        <v>40512</v>
      </c>
      <c r="B180" s="1">
        <f>IF([1]Rseries!A185="","",[1]Rseries!A185)</f>
        <v>202677</v>
      </c>
    </row>
    <row r="181" spans="1:2" x14ac:dyDescent="0.25">
      <c r="A181" s="2">
        <v>40543</v>
      </c>
      <c r="B181" s="1">
        <f>IF([1]Rseries!A186="","",[1]Rseries!A186)</f>
        <v>205134</v>
      </c>
    </row>
    <row r="182" spans="1:2" x14ac:dyDescent="0.25">
      <c r="A182" s="2">
        <v>40574</v>
      </c>
      <c r="B182" s="1">
        <f>IF([1]Rseries!A187="","",[1]Rseries!A187)</f>
        <v>212593</v>
      </c>
    </row>
    <row r="183" spans="1:2" x14ac:dyDescent="0.25">
      <c r="A183" s="2">
        <v>40602</v>
      </c>
      <c r="B183" s="1">
        <f>IF([1]Rseries!A188="","",[1]Rseries!A188)</f>
        <v>216637</v>
      </c>
    </row>
    <row r="184" spans="1:2" x14ac:dyDescent="0.25">
      <c r="A184" s="2">
        <v>40633</v>
      </c>
      <c r="B184" s="1">
        <f>IF([1]Rseries!A189="","",[1]Rseries!A189)</f>
        <v>217745</v>
      </c>
    </row>
    <row r="185" spans="1:2" x14ac:dyDescent="0.25">
      <c r="A185" s="2">
        <v>40663</v>
      </c>
      <c r="B185" s="1">
        <f>IF([1]Rseries!A190="","",[1]Rseries!A190)</f>
        <v>215621</v>
      </c>
    </row>
    <row r="186" spans="1:2" x14ac:dyDescent="0.25">
      <c r="A186" s="2">
        <v>40694</v>
      </c>
      <c r="B186" s="1">
        <f>IF([1]Rseries!A191="","",[1]Rseries!A191)</f>
        <v>212433</v>
      </c>
    </row>
    <row r="187" spans="1:2" x14ac:dyDescent="0.25">
      <c r="A187" s="2">
        <v>40724</v>
      </c>
      <c r="B187" s="1">
        <f>IF([1]Rseries!A192="","",[1]Rseries!A192)</f>
        <v>209193</v>
      </c>
    </row>
    <row r="188" spans="1:2" x14ac:dyDescent="0.25">
      <c r="A188" s="2">
        <v>40755</v>
      </c>
      <c r="B188" s="1">
        <f>IF([1]Rseries!A193="","",[1]Rseries!A193)</f>
        <v>206611</v>
      </c>
    </row>
    <row r="189" spans="1:2" x14ac:dyDescent="0.25">
      <c r="A189" s="2">
        <v>40786</v>
      </c>
      <c r="B189" s="1">
        <f>IF([1]Rseries!A194="","",[1]Rseries!A194)</f>
        <v>208349</v>
      </c>
    </row>
    <row r="190" spans="1:2" x14ac:dyDescent="0.25">
      <c r="A190" s="2">
        <v>40816</v>
      </c>
      <c r="B190" s="1">
        <f>IF([1]Rseries!A195="","",[1]Rseries!A195)</f>
        <v>207595</v>
      </c>
    </row>
    <row r="191" spans="1:2" x14ac:dyDescent="0.25">
      <c r="A191" s="2">
        <v>40847</v>
      </c>
      <c r="B191" s="1">
        <f>IF([1]Rseries!A196="","",[1]Rseries!A196)</f>
        <v>221543</v>
      </c>
    </row>
    <row r="192" spans="1:2" x14ac:dyDescent="0.25">
      <c r="A192" s="2">
        <v>40877</v>
      </c>
      <c r="B192" s="1">
        <f>IF([1]Rseries!A197="","",[1]Rseries!A197)</f>
        <v>225101</v>
      </c>
    </row>
    <row r="193" spans="1:2" x14ac:dyDescent="0.25">
      <c r="A193" s="2">
        <v>40908</v>
      </c>
      <c r="B193" s="1">
        <f>IF([1]Rseries!A198="","",[1]Rseries!A198)</f>
        <v>225842</v>
      </c>
    </row>
    <row r="194" spans="1:2" x14ac:dyDescent="0.25">
      <c r="A194" s="2">
        <v>40939</v>
      </c>
      <c r="B194" s="1">
        <f>IF([1]Rseries!A199="","",[1]Rseries!A199)</f>
        <v>236795</v>
      </c>
    </row>
    <row r="195" spans="1:2" x14ac:dyDescent="0.25">
      <c r="A195" s="2">
        <v>40968</v>
      </c>
      <c r="B195" s="1">
        <f>IF([1]Rseries!A200="","",[1]Rseries!A200)</f>
        <v>245048</v>
      </c>
    </row>
    <row r="196" spans="1:2" x14ac:dyDescent="0.25">
      <c r="A196" s="2">
        <v>40999</v>
      </c>
      <c r="B196" s="1">
        <f>IF([1]Rseries!A201="","",[1]Rseries!A201)</f>
        <v>249625</v>
      </c>
    </row>
    <row r="197" spans="1:2" x14ac:dyDescent="0.25">
      <c r="A197" s="2">
        <v>41029</v>
      </c>
      <c r="B197" s="1">
        <f>IF([1]Rseries!A202="","",[1]Rseries!A202)</f>
        <v>251360</v>
      </c>
    </row>
    <row r="198" spans="1:2" x14ac:dyDescent="0.25">
      <c r="A198" s="2">
        <v>41060</v>
      </c>
      <c r="B198" s="1">
        <f>IF([1]Rseries!A203="","",[1]Rseries!A203)</f>
        <v>248583</v>
      </c>
    </row>
    <row r="199" spans="1:2" x14ac:dyDescent="0.25">
      <c r="A199" s="2">
        <v>41090</v>
      </c>
      <c r="B199" s="1">
        <f>IF([1]Rseries!A204="","",[1]Rseries!A204)</f>
        <v>242823</v>
      </c>
    </row>
    <row r="200" spans="1:2" x14ac:dyDescent="0.25">
      <c r="A200" s="2">
        <v>41121</v>
      </c>
      <c r="B200" s="1">
        <f>IF([1]Rseries!A205="","",[1]Rseries!A205)</f>
        <v>245464</v>
      </c>
    </row>
    <row r="201" spans="1:2" x14ac:dyDescent="0.25">
      <c r="A201" s="2">
        <v>41152</v>
      </c>
      <c r="B201" s="1">
        <f>IF([1]Rseries!A206="","",[1]Rseries!A206)</f>
        <v>248008</v>
      </c>
    </row>
    <row r="202" spans="1:2" x14ac:dyDescent="0.25">
      <c r="A202" s="2">
        <v>41182</v>
      </c>
      <c r="B202" s="1">
        <f>IF([1]Rseries!A207="","",[1]Rseries!A207)</f>
        <v>239235</v>
      </c>
    </row>
    <row r="203" spans="1:2" x14ac:dyDescent="0.25">
      <c r="A203" s="2">
        <v>41213</v>
      </c>
      <c r="B203" s="1">
        <f>IF([1]Rseries!A208="","",[1]Rseries!A208)</f>
        <v>256026</v>
      </c>
    </row>
    <row r="204" spans="1:2" x14ac:dyDescent="0.25">
      <c r="A204" s="2">
        <v>41243</v>
      </c>
      <c r="B204" s="1">
        <f>IF([1]Rseries!A209="","",[1]Rseries!A209)</f>
        <v>262882</v>
      </c>
    </row>
    <row r="205" spans="1:2" x14ac:dyDescent="0.25">
      <c r="A205" s="2">
        <v>41274</v>
      </c>
      <c r="B205" s="1">
        <f>IF([1]Rseries!A210="","",[1]Rseries!A210)</f>
        <v>262340</v>
      </c>
    </row>
    <row r="206" spans="1:2" x14ac:dyDescent="0.25">
      <c r="A206" s="2">
        <v>41305</v>
      </c>
      <c r="B206" s="1">
        <f>IF([1]Rseries!A211="","",[1]Rseries!A211)</f>
        <v>271610</v>
      </c>
    </row>
    <row r="207" spans="1:2" x14ac:dyDescent="0.25">
      <c r="A207" s="2">
        <v>41333</v>
      </c>
      <c r="B207" s="1">
        <f>IF([1]Rseries!A212="","",[1]Rseries!A212)</f>
        <v>274688</v>
      </c>
    </row>
    <row r="208" spans="1:2" x14ac:dyDescent="0.25">
      <c r="A208" s="2">
        <v>41364</v>
      </c>
      <c r="B208" s="1">
        <f>IF([1]Rseries!A213="","",[1]Rseries!A213)</f>
        <v>274210</v>
      </c>
    </row>
    <row r="209" spans="1:2" x14ac:dyDescent="0.25">
      <c r="A209" s="2">
        <v>41394</v>
      </c>
      <c r="B209" s="1">
        <f>IF([1]Rseries!A214="","",[1]Rseries!A214)</f>
        <v>268188</v>
      </c>
    </row>
    <row r="210" spans="1:2" x14ac:dyDescent="0.25">
      <c r="A210" s="2">
        <v>41425</v>
      </c>
      <c r="B210" s="1">
        <f>IF([1]Rseries!A215="","",[1]Rseries!A215)</f>
        <v>261542</v>
      </c>
    </row>
    <row r="211" spans="1:2" x14ac:dyDescent="0.25">
      <c r="A211" s="2">
        <v>41455</v>
      </c>
      <c r="B211" s="1">
        <f>IF([1]Rseries!A216="","",[1]Rseries!A216)</f>
        <v>252409</v>
      </c>
    </row>
    <row r="212" spans="1:2" x14ac:dyDescent="0.25">
      <c r="A212" s="2">
        <v>41486</v>
      </c>
      <c r="B212" s="1">
        <f>IF([1]Rseries!A217="","",[1]Rseries!A217)</f>
        <v>249806</v>
      </c>
    </row>
    <row r="213" spans="1:2" x14ac:dyDescent="0.25">
      <c r="A213" s="2">
        <v>41517</v>
      </c>
      <c r="B213" s="1">
        <f>IF([1]Rseries!A218="","",[1]Rseries!A218)</f>
        <v>250630</v>
      </c>
    </row>
    <row r="214" spans="1:2" x14ac:dyDescent="0.25">
      <c r="A214" s="2">
        <v>41547</v>
      </c>
      <c r="B214" s="1">
        <f>IF([1]Rseries!A219="","",[1]Rseries!A219)</f>
        <v>238590</v>
      </c>
    </row>
    <row r="215" spans="1:2" x14ac:dyDescent="0.25">
      <c r="A215" s="2">
        <v>41578</v>
      </c>
      <c r="B215" s="1">
        <f>IF([1]Rseries!A220="","",[1]Rseries!A220)</f>
        <v>255034</v>
      </c>
    </row>
    <row r="216" spans="1:2" x14ac:dyDescent="0.25">
      <c r="A216" s="2">
        <v>41608</v>
      </c>
      <c r="B216" s="1">
        <f>IF([1]Rseries!A221="","",[1]Rseries!A221)</f>
        <v>258725</v>
      </c>
    </row>
    <row r="217" spans="1:2" x14ac:dyDescent="0.25">
      <c r="A217" s="2">
        <v>41639</v>
      </c>
      <c r="B217" s="1">
        <f>IF([1]Rseries!A222="","",[1]Rseries!A222)</f>
        <v>252114</v>
      </c>
    </row>
    <row r="218" spans="1:2" x14ac:dyDescent="0.25">
      <c r="A218" s="2">
        <v>41670</v>
      </c>
      <c r="B218" s="1">
        <f>IF([1]Rseries!A223="","",[1]Rseries!A223)</f>
        <v>257721</v>
      </c>
    </row>
    <row r="219" spans="1:2" x14ac:dyDescent="0.25">
      <c r="A219" s="2">
        <v>41698</v>
      </c>
      <c r="B219" s="1">
        <f>IF([1]Rseries!A224="","",[1]Rseries!A224)</f>
        <v>260156</v>
      </c>
    </row>
    <row r="220" spans="1:2" x14ac:dyDescent="0.25">
      <c r="A220" s="2">
        <v>41729</v>
      </c>
      <c r="B220" s="1">
        <f>IF([1]Rseries!A225="","",[1]Rseries!A225)</f>
        <v>260023</v>
      </c>
    </row>
    <row r="221" spans="1:2" x14ac:dyDescent="0.25">
      <c r="A221" s="2">
        <v>41759</v>
      </c>
      <c r="B221" s="1">
        <f>IF([1]Rseries!A226="","",[1]Rseries!A226)</f>
        <v>253649</v>
      </c>
    </row>
    <row r="222" spans="1:2" x14ac:dyDescent="0.25">
      <c r="A222" s="2">
        <v>41790</v>
      </c>
      <c r="B222" s="1">
        <f>IF([1]Rseries!A227="","",[1]Rseries!A227)</f>
        <v>246325</v>
      </c>
    </row>
    <row r="223" spans="1:2" x14ac:dyDescent="0.25">
      <c r="A223" s="2">
        <v>41820</v>
      </c>
      <c r="B223" s="1">
        <f>IF([1]Rseries!A228="","",[1]Rseries!A228)</f>
        <v>238895</v>
      </c>
    </row>
    <row r="224" spans="1:2" x14ac:dyDescent="0.25">
      <c r="A224" s="2">
        <v>41851</v>
      </c>
      <c r="B224" s="1">
        <f>IF([1]Rseries!A229="","",[1]Rseries!A229)</f>
        <v>236705</v>
      </c>
    </row>
    <row r="225" spans="1:2" x14ac:dyDescent="0.25">
      <c r="A225" s="2">
        <v>41882</v>
      </c>
      <c r="B225" s="1">
        <f>IF([1]Rseries!A230="","",[1]Rseries!A230)</f>
        <v>235049</v>
      </c>
    </row>
    <row r="226" spans="1:2" x14ac:dyDescent="0.25">
      <c r="A226" s="2">
        <v>41912</v>
      </c>
      <c r="B226" s="1">
        <f>IF([1]Rseries!A231="","",[1]Rseries!A231)</f>
        <v>224993</v>
      </c>
    </row>
    <row r="227" spans="1:2" x14ac:dyDescent="0.25">
      <c r="A227" s="2">
        <v>41943</v>
      </c>
      <c r="B227" s="1">
        <f>IF([1]Rseries!A232="","",[1]Rseries!A232)</f>
        <v>239674</v>
      </c>
    </row>
    <row r="228" spans="1:2" x14ac:dyDescent="0.25">
      <c r="A228" s="2">
        <v>41973</v>
      </c>
      <c r="B228" s="1">
        <f>IF([1]Rseries!A233="","",[1]Rseries!A233)</f>
        <v>238370</v>
      </c>
    </row>
    <row r="229" spans="1:2" x14ac:dyDescent="0.25">
      <c r="A229" s="2">
        <v>42004</v>
      </c>
      <c r="B229" s="1">
        <f>IF([1]Rseries!A234="","",[1]Rseries!A234)</f>
        <v>237240</v>
      </c>
    </row>
    <row r="230" spans="1:2" x14ac:dyDescent="0.25">
      <c r="A230" s="2">
        <v>42035</v>
      </c>
      <c r="B230" s="1">
        <f>IF([1]Rseries!A235="","",[1]Rseries!A235)</f>
        <v>242266</v>
      </c>
    </row>
    <row r="231" spans="1:2" x14ac:dyDescent="0.25">
      <c r="A231" s="2">
        <v>42063</v>
      </c>
      <c r="B231" s="1">
        <f>IF([1]Rseries!A236="","",[1]Rseries!A236)</f>
        <v>242405</v>
      </c>
    </row>
    <row r="232" spans="1:2" x14ac:dyDescent="0.25">
      <c r="A232" s="2">
        <v>42094</v>
      </c>
      <c r="B232" s="1">
        <f>IF([1]Rseries!A237="","",[1]Rseries!A237)</f>
        <v>240823</v>
      </c>
    </row>
    <row r="233" spans="1:2" x14ac:dyDescent="0.25">
      <c r="A233" s="2">
        <v>42124</v>
      </c>
      <c r="B233" s="1">
        <f>IF([1]Rseries!A238="","",[1]Rseries!A238)</f>
        <v>229610</v>
      </c>
    </row>
    <row r="234" spans="1:2" x14ac:dyDescent="0.25">
      <c r="A234" s="2">
        <v>42155</v>
      </c>
      <c r="B234" s="1">
        <f>IF([1]Rseries!A239="","",[1]Rseries!A239)</f>
        <v>222016</v>
      </c>
    </row>
    <row r="235" spans="1:2" x14ac:dyDescent="0.25">
      <c r="A235" s="2">
        <v>42185</v>
      </c>
      <c r="B235" s="1">
        <f>IF([1]Rseries!A240="","",[1]Rseries!A240)</f>
        <v>215225</v>
      </c>
    </row>
    <row r="236" spans="1:2" x14ac:dyDescent="0.25">
      <c r="A236" s="2">
        <v>42216</v>
      </c>
      <c r="B236" s="1">
        <f>IF([1]Rseries!A241="","",[1]Rseries!A241)</f>
        <v>215136</v>
      </c>
    </row>
    <row r="237" spans="1:2" x14ac:dyDescent="0.25">
      <c r="A237" s="2">
        <v>42247</v>
      </c>
      <c r="B237" s="1">
        <f>IF([1]Rseries!A242="","",[1]Rseries!A242)</f>
        <v>216248</v>
      </c>
    </row>
    <row r="238" spans="1:2" x14ac:dyDescent="0.25">
      <c r="A238" s="2">
        <v>42277</v>
      </c>
      <c r="B238" s="1">
        <f>IF([1]Rseries!A243="","",[1]Rseries!A243)</f>
        <v>207316</v>
      </c>
    </row>
    <row r="239" spans="1:2" x14ac:dyDescent="0.25">
      <c r="A239" s="2">
        <v>42308</v>
      </c>
      <c r="B239" s="1">
        <f>IF([1]Rseries!A244="","",[1]Rseries!A244)</f>
        <v>223159</v>
      </c>
    </row>
    <row r="240" spans="1:2" x14ac:dyDescent="0.25">
      <c r="A240" s="2">
        <v>42338</v>
      </c>
      <c r="B240" s="1">
        <f>IF([1]Rseries!A245="","",[1]Rseries!A245)</f>
        <v>221335</v>
      </c>
    </row>
    <row r="241" spans="1:2" x14ac:dyDescent="0.25">
      <c r="A241" s="2">
        <v>42369</v>
      </c>
      <c r="B241" s="1">
        <f>IF([1]Rseries!A246="","",[1]Rseries!A246)</f>
        <v>219897</v>
      </c>
    </row>
    <row r="242" spans="1:2" x14ac:dyDescent="0.25">
      <c r="A242" s="2">
        <v>42400</v>
      </c>
      <c r="B242" s="1">
        <f>IF([1]Rseries!A247="","",[1]Rseries!A247)</f>
        <v>225183</v>
      </c>
    </row>
    <row r="243" spans="1:2" x14ac:dyDescent="0.25">
      <c r="A243" s="2">
        <v>42429</v>
      </c>
      <c r="B243" s="1">
        <f>IF([1]Rseries!A248="","",[1]Rseries!A248)</f>
        <v>226843</v>
      </c>
    </row>
    <row r="244" spans="1:2" x14ac:dyDescent="0.25">
      <c r="A244" s="2">
        <v>42460</v>
      </c>
      <c r="B244" s="1">
        <f>IF([1]Rseries!A249="","",[1]Rseries!A249)</f>
        <v>223322</v>
      </c>
    </row>
    <row r="245" spans="1:2" x14ac:dyDescent="0.25">
      <c r="A245" s="2">
        <v>42490</v>
      </c>
      <c r="B245" s="1">
        <f>IF([1]Rseries!A250="","",[1]Rseries!A250)</f>
        <v>212617</v>
      </c>
    </row>
    <row r="246" spans="1:2" x14ac:dyDescent="0.25">
      <c r="A246" s="2">
        <v>42521</v>
      </c>
      <c r="B246" s="1">
        <f>IF([1]Rseries!A251="","",[1]Rseries!A251)</f>
        <v>201498</v>
      </c>
    </row>
    <row r="247" spans="1:2" x14ac:dyDescent="0.25">
      <c r="A247" s="2">
        <v>42551</v>
      </c>
      <c r="B247" s="1">
        <f>IF([1]Rseries!A252="","",[1]Rseries!A252)</f>
        <v>193129</v>
      </c>
    </row>
    <row r="248" spans="1:2" x14ac:dyDescent="0.25">
      <c r="A248" s="2">
        <v>42582</v>
      </c>
      <c r="B248" s="1">
        <f>IF([1]Rseries!A253="","",[1]Rseries!A253)</f>
        <v>192450</v>
      </c>
    </row>
    <row r="249" spans="1:2" x14ac:dyDescent="0.25">
      <c r="A249" s="2">
        <v>42613</v>
      </c>
      <c r="B249" s="1">
        <f>IF([1]Rseries!A254="","",[1]Rseries!A254)</f>
        <v>193863</v>
      </c>
    </row>
    <row r="250" spans="1:2" x14ac:dyDescent="0.25">
      <c r="A250" s="2">
        <v>42643</v>
      </c>
      <c r="B250" s="1">
        <f>IF([1]Rseries!A255="","",[1]Rseries!A255)</f>
        <v>184365</v>
      </c>
    </row>
    <row r="251" spans="1:2" x14ac:dyDescent="0.25">
      <c r="A251" s="2">
        <v>42674</v>
      </c>
      <c r="B251" s="1">
        <f>IF([1]Rseries!A256="","",[1]Rseries!A256)</f>
        <v>198229</v>
      </c>
    </row>
    <row r="252" spans="1:2" x14ac:dyDescent="0.25">
      <c r="A252" s="2">
        <v>42704</v>
      </c>
      <c r="B252" s="1">
        <f>IF([1]Rseries!A257="","",[1]Rseries!A257)</f>
        <v>201767</v>
      </c>
    </row>
    <row r="253" spans="1:2" x14ac:dyDescent="0.25">
      <c r="A253" s="2">
        <v>42735</v>
      </c>
      <c r="B253" s="1">
        <f>IF([1]Rseries!A258="","",[1]Rseries!A258)</f>
        <v>198299</v>
      </c>
    </row>
    <row r="254" spans="1:2" x14ac:dyDescent="0.25">
      <c r="A254" s="2">
        <v>42766</v>
      </c>
      <c r="B254" s="1">
        <f>IF([1]Rseries!A259="","",[1]Rseries!A259)</f>
        <v>202226</v>
      </c>
    </row>
    <row r="255" spans="1:2" x14ac:dyDescent="0.25">
      <c r="A255" s="2">
        <v>42794</v>
      </c>
      <c r="B255" s="1">
        <f>IF([1]Rseries!A260="","",[1]Rseries!A260)</f>
        <v>202647</v>
      </c>
    </row>
    <row r="256" spans="1:2" x14ac:dyDescent="0.25">
      <c r="A256" s="2">
        <v>42825</v>
      </c>
      <c r="B256" s="1">
        <f>IF([1]Rseries!A261="","",[1]Rseries!A261)</f>
        <v>200487</v>
      </c>
    </row>
    <row r="257" spans="1:2" x14ac:dyDescent="0.25">
      <c r="A257" s="2">
        <v>42855</v>
      </c>
      <c r="B257" s="1">
        <f>IF([1]Rseries!A262="","",[1]Rseries!A262)</f>
        <v>196196</v>
      </c>
    </row>
    <row r="258" spans="1:2" x14ac:dyDescent="0.25">
      <c r="A258" s="2">
        <v>42886</v>
      </c>
      <c r="B258" s="1">
        <f>IF([1]Rseries!A263="","",[1]Rseries!A263)</f>
        <v>188183</v>
      </c>
    </row>
    <row r="259" spans="1:2" x14ac:dyDescent="0.25">
      <c r="A259" s="2">
        <v>42916</v>
      </c>
      <c r="B259" s="1">
        <f>IF([1]Rseries!A264="","",[1]Rseries!A264)</f>
        <v>178922</v>
      </c>
    </row>
    <row r="260" spans="1:2" x14ac:dyDescent="0.25">
      <c r="A260" s="2">
        <v>42947</v>
      </c>
      <c r="B260" s="1">
        <f>IF([1]Rseries!A265="","",[1]Rseries!A265)</f>
        <v>178023</v>
      </c>
    </row>
    <row r="261" spans="1:2" x14ac:dyDescent="0.25">
      <c r="A261" s="2">
        <v>42978</v>
      </c>
      <c r="B261" s="1">
        <f>IF([1]Rseries!A266="","",[1]Rseries!A266)</f>
        <v>177716</v>
      </c>
    </row>
    <row r="262" spans="1:2" x14ac:dyDescent="0.25">
      <c r="A262" s="2">
        <v>43008</v>
      </c>
      <c r="B262" s="1">
        <f>IF([1]Rseries!A267="","",[1]Rseries!A267)</f>
        <v>173581</v>
      </c>
    </row>
    <row r="263" spans="1:2" x14ac:dyDescent="0.25">
      <c r="A263" s="2">
        <v>43039</v>
      </c>
      <c r="B263" s="1">
        <f>IF([1]Rseries!A268="","",[1]Rseries!A268)</f>
        <v>178530</v>
      </c>
    </row>
    <row r="264" spans="1:2" x14ac:dyDescent="0.25">
      <c r="A264" s="2">
        <v>43069</v>
      </c>
      <c r="B264" s="1">
        <f>IF([1]Rseries!A269="","",[1]Rseries!A269)</f>
        <v>178984</v>
      </c>
    </row>
    <row r="265" spans="1:2" x14ac:dyDescent="0.25">
      <c r="A265" s="2">
        <v>43100</v>
      </c>
      <c r="B265" s="1">
        <f>IF([1]Rseries!A270="","",[1]Rseries!A270)</f>
        <v>178569</v>
      </c>
    </row>
    <row r="266" spans="1:2" x14ac:dyDescent="0.25">
      <c r="A266" s="2">
        <v>43131</v>
      </c>
      <c r="B266" s="1">
        <f>IF([1]Rseries!A271="","",[1]Rseries!A271)</f>
        <v>186718</v>
      </c>
    </row>
    <row r="267" spans="1:2" x14ac:dyDescent="0.25">
      <c r="A267" s="2">
        <v>43159</v>
      </c>
      <c r="B267" s="1">
        <f>IF([1]Rseries!A272="","",[1]Rseries!A272)</f>
        <v>187939</v>
      </c>
    </row>
    <row r="268" spans="1:2" x14ac:dyDescent="0.25">
      <c r="A268" s="2">
        <v>43190</v>
      </c>
      <c r="B268" s="1">
        <f>IF([1]Rseries!A273="","",[1]Rseries!A273)</f>
        <v>188240</v>
      </c>
    </row>
    <row r="269" spans="1:2" x14ac:dyDescent="0.25">
      <c r="A269" s="2">
        <v>43220</v>
      </c>
      <c r="B269" s="1">
        <f>IF([1]Rseries!A274="","",[1]Rseries!A274)</f>
        <v>185040</v>
      </c>
    </row>
    <row r="270" spans="1:2" x14ac:dyDescent="0.25">
      <c r="A270" s="2">
        <v>43251</v>
      </c>
      <c r="B270" s="1">
        <f>IF([1]Rseries!A275="","",[1]Rseries!A275)</f>
        <v>179233</v>
      </c>
    </row>
    <row r="271" spans="1:2" x14ac:dyDescent="0.25">
      <c r="A271" s="2">
        <v>43281</v>
      </c>
      <c r="B271" s="1">
        <f>IF([1]Rseries!A276="","",[1]Rseries!A276)</f>
        <v>173090</v>
      </c>
    </row>
    <row r="272" spans="1:2" x14ac:dyDescent="0.25">
      <c r="A272" s="2">
        <v>43312</v>
      </c>
      <c r="B272" s="1">
        <f>IF([1]Rseries!A277="","",[1]Rseries!A277)</f>
        <v>170272</v>
      </c>
    </row>
    <row r="273" spans="1:2" x14ac:dyDescent="0.25">
      <c r="A273" s="2">
        <v>43343</v>
      </c>
      <c r="B273" s="1">
        <f>IF([1]Rseries!A278="","",[1]Rseries!A278)</f>
        <v>171749</v>
      </c>
    </row>
    <row r="274" spans="1:2" x14ac:dyDescent="0.25">
      <c r="A274" s="2">
        <v>43373</v>
      </c>
      <c r="B274" s="1">
        <f>IF([1]Rseries!A279="","",[1]Rseries!A279)</f>
        <v>166553</v>
      </c>
    </row>
    <row r="275" spans="1:2" x14ac:dyDescent="0.25">
      <c r="A275" s="2">
        <v>43404</v>
      </c>
      <c r="B275" s="1">
        <f>IF([1]Rseries!A280="","",[1]Rseries!A280)</f>
        <v>172162</v>
      </c>
    </row>
    <row r="276" spans="1:2" x14ac:dyDescent="0.25">
      <c r="A276" s="2">
        <v>43434</v>
      </c>
      <c r="B276" s="1">
        <f>IF([1]Rseries!A281="","",[1]Rseries!A281)</f>
        <v>168653</v>
      </c>
    </row>
    <row r="277" spans="1:2" x14ac:dyDescent="0.25">
      <c r="A277" s="2">
        <v>43465</v>
      </c>
      <c r="B277" s="1">
        <f>IF([1]Rseries!A282="","",[1]Rseries!A282)</f>
        <v>165041</v>
      </c>
    </row>
    <row r="278" spans="1:2" x14ac:dyDescent="0.25">
      <c r="A278" s="2">
        <v>43496</v>
      </c>
      <c r="B278" s="1">
        <f>IF([1]Rseries!A283="","",[1]Rseries!A283)</f>
        <v>171456</v>
      </c>
    </row>
    <row r="279" spans="1:2" x14ac:dyDescent="0.25">
      <c r="A279" s="2">
        <v>43524</v>
      </c>
      <c r="B279" s="1">
        <f>IF([1]Rseries!A284="","",[1]Rseries!A284)</f>
        <v>172517</v>
      </c>
    </row>
    <row r="280" spans="1:2" x14ac:dyDescent="0.25">
      <c r="A280" s="2">
        <v>43555</v>
      </c>
      <c r="B280" s="1">
        <f>IF([1]Rseries!A285="","",[1]Rseries!A285)</f>
        <v>171873</v>
      </c>
    </row>
    <row r="281" spans="1:2" x14ac:dyDescent="0.25">
      <c r="A281" s="2">
        <v>43585</v>
      </c>
      <c r="B281" s="1">
        <f>IF([1]Rseries!A286="","",[1]Rseries!A286)</f>
        <v>170186</v>
      </c>
    </row>
    <row r="282" spans="1:2" x14ac:dyDescent="0.25">
      <c r="A282" s="2">
        <v>43616</v>
      </c>
      <c r="B282" s="1">
        <f>IF([1]Rseries!A287="","",[1]Rseries!A287)</f>
        <v>167137</v>
      </c>
    </row>
    <row r="283" spans="1:2" x14ac:dyDescent="0.25">
      <c r="A283" s="2">
        <v>43646</v>
      </c>
      <c r="B283" s="1">
        <f>IF([1]Rseries!A288="","",[1]Rseries!A288)</f>
        <v>163325</v>
      </c>
    </row>
    <row r="284" spans="1:2" x14ac:dyDescent="0.25">
      <c r="A284" s="2">
        <v>43677</v>
      </c>
      <c r="B284" s="1">
        <f>IF([1]Rseries!A289="","",[1]Rseries!A289)</f>
        <v>163035</v>
      </c>
    </row>
    <row r="285" spans="1:2" x14ac:dyDescent="0.25">
      <c r="A285" s="2">
        <v>43708</v>
      </c>
      <c r="B285" s="1">
        <f>IF([1]Rseries!A290="","",[1]Rseries!A290)</f>
        <v>165147</v>
      </c>
    </row>
    <row r="286" spans="1:2" x14ac:dyDescent="0.25">
      <c r="A286" s="2">
        <v>43738</v>
      </c>
      <c r="B286" s="1">
        <f>IF([1]Rseries!A291="","",[1]Rseries!A291)</f>
        <v>163002</v>
      </c>
    </row>
    <row r="287" spans="1:2" x14ac:dyDescent="0.25">
      <c r="A287" s="2">
        <v>43769</v>
      </c>
      <c r="B287" s="1">
        <f>IF([1]Rseries!A292="","",[1]Rseries!A292)</f>
        <v>171837</v>
      </c>
    </row>
    <row r="288" spans="1:2" x14ac:dyDescent="0.25">
      <c r="A288" s="2">
        <v>43799</v>
      </c>
      <c r="B288" s="1">
        <f>IF([1]Rseries!A293="","",[1]Rseries!A293)</f>
        <v>170609</v>
      </c>
    </row>
    <row r="289" spans="1:2" x14ac:dyDescent="0.25">
      <c r="A289" s="2">
        <v>43830</v>
      </c>
      <c r="B289" s="1">
        <f>IF([1]Rseries!A294="","",[1]Rseries!A294)</f>
        <v>170311</v>
      </c>
    </row>
    <row r="290" spans="1:2" x14ac:dyDescent="0.25">
      <c r="A290" s="2">
        <v>43861</v>
      </c>
      <c r="B290" s="1">
        <f>IF([1]Rseries!A295="","",[1]Rseries!A295)</f>
        <v>177587</v>
      </c>
    </row>
    <row r="291" spans="1:2" x14ac:dyDescent="0.25">
      <c r="A291" s="2">
        <v>43890</v>
      </c>
      <c r="B291" s="1">
        <f>IF([1]Rseries!A296="","",[1]Rseries!A296)</f>
        <v>175741</v>
      </c>
    </row>
    <row r="292" spans="1:2" x14ac:dyDescent="0.25">
      <c r="A292" s="2">
        <v>43921</v>
      </c>
      <c r="B292" s="1">
        <f>IF([1]Rseries!A297="","",[1]Rseries!A297)</f>
        <v>188012</v>
      </c>
    </row>
    <row r="293" spans="1:2" x14ac:dyDescent="0.25">
      <c r="A293" s="2">
        <v>43951</v>
      </c>
      <c r="B293" s="1">
        <f>IF([1]Rseries!A298="","",[1]Rseries!A298)</f>
        <v>199019</v>
      </c>
    </row>
    <row r="294" spans="1:2" x14ac:dyDescent="0.25">
      <c r="A294" s="2">
        <v>43982</v>
      </c>
      <c r="B294" s="1">
        <f>IF([1]Rseries!A299="","",[1]Rseries!A299)</f>
        <v>193944</v>
      </c>
    </row>
    <row r="295" spans="1:2" x14ac:dyDescent="0.25">
      <c r="A295" s="2">
        <v>44012</v>
      </c>
      <c r="B295" s="1">
        <f>IF([1]Rseries!A300="","",[1]Rseries!A300)</f>
        <v>187732</v>
      </c>
    </row>
    <row r="296" spans="1:2" x14ac:dyDescent="0.25">
      <c r="A296" s="2">
        <v>44043</v>
      </c>
      <c r="B296" s="1">
        <f>IF([1]Rseries!A301="","",[1]Rseries!A301)</f>
        <v>186107</v>
      </c>
    </row>
    <row r="297" spans="1:2" x14ac:dyDescent="0.25">
      <c r="A297" s="2">
        <v>44074</v>
      </c>
      <c r="B297" s="1">
        <f>IF([1]Rseries!A302="","",[1]Rseries!A302)</f>
        <v>185775</v>
      </c>
    </row>
    <row r="298" spans="1:2" x14ac:dyDescent="0.25">
      <c r="A298" s="2">
        <v>44104</v>
      </c>
      <c r="B298" s="1">
        <f>IF([1]Rseries!A303="","",[1]Rseries!A303)</f>
        <v>178088</v>
      </c>
    </row>
    <row r="299" spans="1:2" x14ac:dyDescent="0.25">
      <c r="A299" s="2">
        <v>44135</v>
      </c>
      <c r="B299" s="1">
        <f>IF([1]Rseries!A304="","",[1]Rseries!A304)</f>
        <v>184314</v>
      </c>
    </row>
    <row r="300" spans="1:2" x14ac:dyDescent="0.25">
      <c r="A300" s="2">
        <v>44165</v>
      </c>
      <c r="B300" s="1">
        <f>IF([1]Rseries!A305="","",[1]Rseries!A305)</f>
        <v>182652</v>
      </c>
    </row>
    <row r="301" spans="1:2" x14ac:dyDescent="0.25">
      <c r="A301" s="2">
        <v>44196</v>
      </c>
      <c r="B301" s="1">
        <f>IF([1]Rseries!A306="","",[1]Rseries!A306)</f>
        <v>186273</v>
      </c>
    </row>
    <row r="302" spans="1:2" x14ac:dyDescent="0.25">
      <c r="A302" s="2">
        <v>44227</v>
      </c>
      <c r="B302" s="1">
        <f>IF([1]Rseries!A307="","",[1]Rseries!A307)</f>
        <v>192205</v>
      </c>
    </row>
    <row r="303" spans="1:2" x14ac:dyDescent="0.25">
      <c r="A303" s="2">
        <v>44255</v>
      </c>
      <c r="B303" s="1">
        <f>IF([1]Rseries!A308="","",[1]Rseries!A308)</f>
        <v>194990</v>
      </c>
    </row>
    <row r="304" spans="1:2" x14ac:dyDescent="0.25">
      <c r="A304" s="2">
        <v>44286</v>
      </c>
      <c r="B304" s="1" t="str">
        <f>IF([1]Rseries!A309="","",[1]Rseries!A309)</f>
        <v/>
      </c>
    </row>
    <row r="305" spans="1:2" x14ac:dyDescent="0.25">
      <c r="A305" s="2">
        <v>44316</v>
      </c>
      <c r="B305" s="1" t="str">
        <f>IF([1]Rseries!A310="","",[1]Rseries!A310)</f>
        <v/>
      </c>
    </row>
    <row r="306" spans="1:2" x14ac:dyDescent="0.25">
      <c r="A306" s="2">
        <v>44347</v>
      </c>
      <c r="B306" s="1" t="str">
        <f>IF([1]Rseries!A311="","",[1]Rseries!A311)</f>
        <v/>
      </c>
    </row>
    <row r="307" spans="1:2" x14ac:dyDescent="0.25">
      <c r="A307" s="2">
        <v>44377</v>
      </c>
      <c r="B307" s="1" t="str">
        <f>IF([1]Rseries!A312="","",[1]Rseries!A312)</f>
        <v/>
      </c>
    </row>
    <row r="308" spans="1:2" x14ac:dyDescent="0.25">
      <c r="A308" s="2">
        <v>44408</v>
      </c>
      <c r="B308" s="1" t="str">
        <f>IF([1]Rseries!A313="","",[1]Rseries!A313)</f>
        <v/>
      </c>
    </row>
    <row r="309" spans="1:2" x14ac:dyDescent="0.25">
      <c r="A309" s="2">
        <v>44439</v>
      </c>
      <c r="B309" s="1" t="str">
        <f>IF([1]Rseries!A314="","",[1]Rseries!A314)</f>
        <v/>
      </c>
    </row>
    <row r="310" spans="1:2" x14ac:dyDescent="0.25">
      <c r="A310" s="2">
        <v>44469</v>
      </c>
      <c r="B310" s="1" t="str">
        <f>IF([1]Rseries!A315="","",[1]Rseries!A315)</f>
        <v/>
      </c>
    </row>
    <row r="311" spans="1:2" x14ac:dyDescent="0.25">
      <c r="A311" s="2">
        <v>44500</v>
      </c>
      <c r="B311" s="1" t="str">
        <f>IF([1]Rseries!A316="","",[1]Rseries!A316)</f>
        <v/>
      </c>
    </row>
    <row r="312" spans="1:2" x14ac:dyDescent="0.25">
      <c r="A312" s="2">
        <v>44530</v>
      </c>
      <c r="B312" s="1" t="str">
        <f>IF([1]Rseries!A317="","",[1]Rseries!A317)</f>
        <v/>
      </c>
    </row>
    <row r="313" spans="1:2" x14ac:dyDescent="0.25">
      <c r="A313" s="2">
        <v>44561</v>
      </c>
      <c r="B313" s="1" t="str">
        <f>IF([1]Rseries!A318="","",[1]Rseries!A318)</f>
        <v/>
      </c>
    </row>
    <row r="314" spans="1:2" x14ac:dyDescent="0.25">
      <c r="A314" s="2">
        <v>44592</v>
      </c>
      <c r="B314" s="1" t="str">
        <f>IF([1]Rseries!A319="","",[1]Rseries!A319)</f>
        <v/>
      </c>
    </row>
    <row r="315" spans="1:2" x14ac:dyDescent="0.25">
      <c r="A315" s="2">
        <v>44620</v>
      </c>
      <c r="B315" s="1" t="str">
        <f>IF([1]Rseries!A320="","",[1]Rseries!A320)</f>
        <v/>
      </c>
    </row>
    <row r="316" spans="1:2" x14ac:dyDescent="0.25">
      <c r="A316" s="2">
        <v>44651</v>
      </c>
      <c r="B316" s="1" t="str">
        <f>IF([1]Rseries!A321="","",[1]Rseries!A321)</f>
        <v/>
      </c>
    </row>
    <row r="317" spans="1:2" x14ac:dyDescent="0.25">
      <c r="A317" s="2">
        <v>44681</v>
      </c>
      <c r="B317" s="1" t="str">
        <f>IF([1]Rseries!A322="","",[1]Rseries!A322)</f>
        <v/>
      </c>
    </row>
    <row r="318" spans="1:2" x14ac:dyDescent="0.25">
      <c r="A318" s="2">
        <v>44712</v>
      </c>
      <c r="B318" s="1" t="str">
        <f>IF([1]Rseries!A323="","",[1]Rseries!A323)</f>
        <v/>
      </c>
    </row>
    <row r="319" spans="1:2" x14ac:dyDescent="0.25">
      <c r="A319" s="2">
        <v>44742</v>
      </c>
      <c r="B319" s="1" t="str">
        <f>IF([1]Rseries!A324="","",[1]Rseries!A324)</f>
        <v/>
      </c>
    </row>
    <row r="320" spans="1:2" x14ac:dyDescent="0.25">
      <c r="A320" s="2">
        <v>44773</v>
      </c>
      <c r="B320" s="1" t="str">
        <f>IF([1]Rseries!A325="","",[1]Rseries!A325)</f>
        <v/>
      </c>
    </row>
    <row r="321" spans="1:2" x14ac:dyDescent="0.25">
      <c r="A321" s="2">
        <v>44804</v>
      </c>
      <c r="B321" s="1" t="str">
        <f>IF([1]Rseries!A326="","",[1]Rseries!A326)</f>
        <v/>
      </c>
    </row>
    <row r="322" spans="1:2" x14ac:dyDescent="0.25">
      <c r="A322" s="2">
        <v>44834</v>
      </c>
      <c r="B322" s="1" t="str">
        <f>IF([1]Rseries!A327="","",[1]Rseries!A327)</f>
        <v/>
      </c>
    </row>
    <row r="323" spans="1:2" x14ac:dyDescent="0.25">
      <c r="A323" s="2">
        <v>44865</v>
      </c>
      <c r="B323" s="1" t="str">
        <f>IF([1]Rseries!A328="","",[1]Rseries!A328)</f>
        <v/>
      </c>
    </row>
    <row r="324" spans="1:2" x14ac:dyDescent="0.25">
      <c r="A324" s="2">
        <v>44895</v>
      </c>
      <c r="B324" s="1" t="str">
        <f>IF([1]Rseries!A329="","",[1]Rseries!A329)</f>
        <v/>
      </c>
    </row>
    <row r="325" spans="1:2" x14ac:dyDescent="0.25">
      <c r="A325" s="2">
        <v>44926</v>
      </c>
      <c r="B325" s="1" t="str">
        <f>IF([1]Rseries!A330="","",[1]Rseries!A330)</f>
        <v/>
      </c>
    </row>
    <row r="326" spans="1:2" x14ac:dyDescent="0.25">
      <c r="A326" s="2">
        <v>44957</v>
      </c>
      <c r="B326" s="1" t="str">
        <f>IF([1]Rseries!A331="","",[1]Rseries!A331)</f>
        <v/>
      </c>
    </row>
    <row r="327" spans="1:2" x14ac:dyDescent="0.25">
      <c r="A327" s="2">
        <v>44985</v>
      </c>
      <c r="B327" s="1" t="str">
        <f>IF([1]Rseries!A332="","",[1]Rseries!A332)</f>
        <v/>
      </c>
    </row>
    <row r="328" spans="1:2" x14ac:dyDescent="0.25">
      <c r="A328" s="2">
        <v>45016</v>
      </c>
      <c r="B328" s="1" t="str">
        <f>IF([1]Rseries!A333="","",[1]Rseries!A333)</f>
        <v/>
      </c>
    </row>
    <row r="329" spans="1:2" x14ac:dyDescent="0.25">
      <c r="A329" s="2">
        <v>45046</v>
      </c>
      <c r="B329" s="1" t="str">
        <f>IF([1]Rseries!A334="","",[1]Rseries!A334)</f>
        <v/>
      </c>
    </row>
    <row r="330" spans="1:2" x14ac:dyDescent="0.25">
      <c r="A330" s="2">
        <v>45077</v>
      </c>
      <c r="B330" s="1" t="str">
        <f>IF([1]Rseries!A335="","",[1]Rseries!A335)</f>
        <v/>
      </c>
    </row>
    <row r="331" spans="1:2" x14ac:dyDescent="0.25">
      <c r="A331" s="2">
        <v>45107</v>
      </c>
      <c r="B331" s="1" t="str">
        <f>IF([1]Rseries!A336="","",[1]Rseries!A336)</f>
        <v/>
      </c>
    </row>
    <row r="332" spans="1:2" x14ac:dyDescent="0.25">
      <c r="A332" s="2">
        <v>45138</v>
      </c>
      <c r="B332" s="1" t="str">
        <f>IF([1]Rseries!A337="","",[1]Rseries!A337)</f>
        <v/>
      </c>
    </row>
    <row r="333" spans="1:2" x14ac:dyDescent="0.25">
      <c r="A333" s="2">
        <v>45169</v>
      </c>
      <c r="B333" s="1" t="str">
        <f>IF([1]Rseries!A338="","",[1]Rseries!A338)</f>
        <v/>
      </c>
    </row>
    <row r="334" spans="1:2" x14ac:dyDescent="0.25">
      <c r="A334" s="2">
        <v>45199</v>
      </c>
      <c r="B334" s="1" t="str">
        <f>IF([1]Rseries!A339="","",[1]Rseries!A339)</f>
        <v/>
      </c>
    </row>
    <row r="335" spans="1:2" x14ac:dyDescent="0.25">
      <c r="A335" s="2">
        <v>45230</v>
      </c>
      <c r="B335" s="1" t="str">
        <f>IF([1]Rseries!A340="","",[1]Rseries!A340)</f>
        <v/>
      </c>
    </row>
    <row r="336" spans="1:2" x14ac:dyDescent="0.25">
      <c r="A336" s="2">
        <v>45260</v>
      </c>
      <c r="B336" s="1" t="str">
        <f>IF([1]Rseries!A341="","",[1]Rseries!A341)</f>
        <v/>
      </c>
    </row>
    <row r="337" spans="1:2" x14ac:dyDescent="0.25">
      <c r="A337" s="2">
        <v>45291</v>
      </c>
      <c r="B337" s="1" t="str">
        <f>IF([1]Rseries!A342="","",[1]Rseries!A342)</f>
        <v/>
      </c>
    </row>
    <row r="338" spans="1:2" x14ac:dyDescent="0.25">
      <c r="A338" s="2">
        <v>45322</v>
      </c>
      <c r="B338" s="1" t="str">
        <f>IF([1]Rseries!A343="","",[1]Rseries!A343)</f>
        <v/>
      </c>
    </row>
    <row r="339" spans="1:2" x14ac:dyDescent="0.25">
      <c r="A339" s="2">
        <v>45351</v>
      </c>
      <c r="B339" s="1" t="str">
        <f>IF([1]Rseries!A344="","",[1]Rseries!A344)</f>
        <v/>
      </c>
    </row>
    <row r="340" spans="1:2" x14ac:dyDescent="0.25">
      <c r="A340" s="2">
        <v>45382</v>
      </c>
      <c r="B340" s="1" t="str">
        <f>IF([1]Rseries!A345="","",[1]Rseries!A345)</f>
        <v/>
      </c>
    </row>
    <row r="341" spans="1:2" x14ac:dyDescent="0.25">
      <c r="A341" s="2">
        <v>45412</v>
      </c>
      <c r="B341" s="1" t="str">
        <f>IF([1]Rseries!A346="","",[1]Rseries!A346)</f>
        <v/>
      </c>
    </row>
    <row r="342" spans="1:2" x14ac:dyDescent="0.25">
      <c r="A342" s="2">
        <v>45443</v>
      </c>
      <c r="B342" s="1" t="str">
        <f>IF([1]Rseries!A347="","",[1]Rseries!A347)</f>
        <v/>
      </c>
    </row>
    <row r="343" spans="1:2" x14ac:dyDescent="0.25">
      <c r="A343" s="2">
        <v>45473</v>
      </c>
      <c r="B343" s="1" t="str">
        <f>IF([1]Rseries!A348="","",[1]Rseries!A348)</f>
        <v/>
      </c>
    </row>
    <row r="344" spans="1:2" x14ac:dyDescent="0.25">
      <c r="A344" s="2">
        <v>45504</v>
      </c>
      <c r="B344" s="1" t="str">
        <f>IF([1]Rseries!A349="","",[1]Rseries!A349)</f>
        <v/>
      </c>
    </row>
    <row r="345" spans="1:2" x14ac:dyDescent="0.25">
      <c r="A345" s="2">
        <v>45535</v>
      </c>
      <c r="B345" s="1" t="str">
        <f>IF([1]Rseries!A350="","",[1]Rseries!A350)</f>
        <v/>
      </c>
    </row>
    <row r="346" spans="1:2" x14ac:dyDescent="0.25">
      <c r="A346" s="2">
        <v>45565</v>
      </c>
      <c r="B346" s="1" t="str">
        <f>IF([1]Rseries!A351="","",[1]Rseries!A351)</f>
        <v/>
      </c>
    </row>
    <row r="347" spans="1:2" x14ac:dyDescent="0.25">
      <c r="A347" s="2">
        <v>45596</v>
      </c>
      <c r="B347" s="1" t="str">
        <f>IF([1]Rseries!A352="","",[1]Rseries!A352)</f>
        <v/>
      </c>
    </row>
    <row r="348" spans="1:2" x14ac:dyDescent="0.25">
      <c r="A348" s="2">
        <v>45626</v>
      </c>
      <c r="B348" s="1" t="str">
        <f>IF([1]Rseries!A353="","",[1]Rseries!A353)</f>
        <v/>
      </c>
    </row>
    <row r="349" spans="1:2" x14ac:dyDescent="0.25">
      <c r="A349" s="2">
        <v>45657</v>
      </c>
      <c r="B349" s="1" t="str">
        <f>IF([1]Rseries!A354="","",[1]Rseries!A354)</f>
        <v/>
      </c>
    </row>
    <row r="350" spans="1:2" x14ac:dyDescent="0.25">
      <c r="A350" s="2">
        <v>45688</v>
      </c>
      <c r="B350" s="1" t="str">
        <f>IF([1]Rseries!A355="","",[1]Rseries!A355)</f>
        <v/>
      </c>
    </row>
    <row r="351" spans="1:2" x14ac:dyDescent="0.25">
      <c r="A351" s="2">
        <v>45716</v>
      </c>
      <c r="B351" s="1" t="str">
        <f>IF([1]Rseries!A356="","",[1]Rseries!A356)</f>
        <v/>
      </c>
    </row>
    <row r="352" spans="1:2" x14ac:dyDescent="0.25">
      <c r="A352" s="2">
        <v>45747</v>
      </c>
      <c r="B352" s="1" t="str">
        <f>IF([1]Rseries!A357="","",[1]Rseries!A357)</f>
        <v/>
      </c>
    </row>
    <row r="353" spans="1:2" x14ac:dyDescent="0.25">
      <c r="A353" s="2">
        <v>45777</v>
      </c>
      <c r="B353" s="1" t="str">
        <f>IF([1]Rseries!A358="","",[1]Rseries!A358)</f>
        <v/>
      </c>
    </row>
    <row r="354" spans="1:2" x14ac:dyDescent="0.25">
      <c r="A354" s="2">
        <v>45808</v>
      </c>
      <c r="B354" s="1" t="str">
        <f>IF([1]Rseries!A359="","",[1]Rseries!A359)</f>
        <v/>
      </c>
    </row>
    <row r="355" spans="1:2" x14ac:dyDescent="0.25">
      <c r="A355" s="2">
        <v>45838</v>
      </c>
      <c r="B355" s="1" t="str">
        <f>IF([1]Rseries!A360="","",[1]Rseries!A360)</f>
        <v/>
      </c>
    </row>
    <row r="356" spans="1:2" x14ac:dyDescent="0.25">
      <c r="A356" s="2">
        <v>45869</v>
      </c>
      <c r="B356" s="1" t="str">
        <f>IF([1]Rseries!A361="","",[1]Rseries!A361)</f>
        <v/>
      </c>
    </row>
    <row r="357" spans="1:2" x14ac:dyDescent="0.25">
      <c r="A357" s="2">
        <v>45900</v>
      </c>
      <c r="B357" s="1" t="str">
        <f>IF([1]Rseries!A362="","",[1]Rseries!A362)</f>
        <v/>
      </c>
    </row>
    <row r="358" spans="1:2" x14ac:dyDescent="0.25">
      <c r="A358" s="2">
        <v>45930</v>
      </c>
      <c r="B358" s="1" t="str">
        <f>IF([1]Rseries!A363="","",[1]Rseries!A363)</f>
        <v/>
      </c>
    </row>
    <row r="359" spans="1:2" x14ac:dyDescent="0.25">
      <c r="A359" s="2">
        <v>45961</v>
      </c>
      <c r="B359" s="1" t="str">
        <f>IF([1]Rseries!A364="","",[1]Rseries!A364)</f>
        <v/>
      </c>
    </row>
    <row r="360" spans="1:2" x14ac:dyDescent="0.25">
      <c r="A360" s="2">
        <v>45991</v>
      </c>
      <c r="B360" s="1" t="str">
        <f>IF([1]Rseries!A365="","",[1]Rseries!A365)</f>
        <v/>
      </c>
    </row>
    <row r="361" spans="1:2" x14ac:dyDescent="0.25">
      <c r="A361" s="2">
        <v>46022</v>
      </c>
      <c r="B361" s="1" t="str">
        <f>IF([1]Rseries!A366="","",[1]Rseries!A366)</f>
        <v/>
      </c>
    </row>
    <row r="362" spans="1:2" x14ac:dyDescent="0.25">
      <c r="A362" s="2">
        <v>46053</v>
      </c>
      <c r="B362" s="1" t="str">
        <f>IF([1]Rseries!A367="","",[1]Rseries!A367)</f>
        <v/>
      </c>
    </row>
    <row r="363" spans="1:2" x14ac:dyDescent="0.25">
      <c r="A363" s="2">
        <v>46081</v>
      </c>
      <c r="B363" s="1" t="str">
        <f>IF([1]Rseries!A368="","",[1]Rseries!A368)</f>
        <v/>
      </c>
    </row>
    <row r="364" spans="1:2" x14ac:dyDescent="0.25">
      <c r="A364" s="2">
        <v>46112</v>
      </c>
      <c r="B364" s="1" t="str">
        <f>IF([1]Rseries!A369="","",[1]Rseries!A369)</f>
        <v/>
      </c>
    </row>
    <row r="365" spans="1:2" x14ac:dyDescent="0.25">
      <c r="A365" s="2">
        <v>46142</v>
      </c>
      <c r="B365" s="1" t="str">
        <f>IF([1]Rseries!A370="","",[1]Rseries!A370)</f>
        <v/>
      </c>
    </row>
    <row r="366" spans="1:2" x14ac:dyDescent="0.25">
      <c r="A366" s="2">
        <v>46173</v>
      </c>
      <c r="B366" s="1" t="str">
        <f>IF([1]Rseries!A371="","",[1]Rseries!A371)</f>
        <v/>
      </c>
    </row>
    <row r="367" spans="1:2" x14ac:dyDescent="0.25">
      <c r="A367" s="2">
        <v>46203</v>
      </c>
      <c r="B367" s="1" t="str">
        <f>IF([1]Rseries!A372="","",[1]Rseries!A372)</f>
        <v/>
      </c>
    </row>
    <row r="368" spans="1:2" x14ac:dyDescent="0.25">
      <c r="A368" s="2">
        <v>46234</v>
      </c>
      <c r="B368" s="1" t="str">
        <f>IF([1]Rseries!A373="","",[1]Rseries!A373)</f>
        <v/>
      </c>
    </row>
    <row r="369" spans="1:2" x14ac:dyDescent="0.25">
      <c r="A369" s="2">
        <v>46265</v>
      </c>
      <c r="B369" s="1" t="str">
        <f>IF([1]Rseries!A374="","",[1]Rseries!A374)</f>
        <v/>
      </c>
    </row>
    <row r="370" spans="1:2" x14ac:dyDescent="0.25">
      <c r="A370" s="2">
        <v>46295</v>
      </c>
      <c r="B370" s="1" t="str">
        <f>IF([1]Rseries!A375="","",[1]Rseries!A375)</f>
        <v/>
      </c>
    </row>
    <row r="371" spans="1:2" x14ac:dyDescent="0.25">
      <c r="A371" s="2">
        <v>46326</v>
      </c>
      <c r="B371" s="1" t="str">
        <f>IF([1]Rseries!A376="","",[1]Rseries!A376)</f>
        <v/>
      </c>
    </row>
    <row r="372" spans="1:2" x14ac:dyDescent="0.25">
      <c r="A372" s="2">
        <v>46356</v>
      </c>
      <c r="B372" s="1" t="str">
        <f>IF([1]Rseries!A377="","",[1]Rseries!A377)</f>
        <v/>
      </c>
    </row>
    <row r="373" spans="1:2" x14ac:dyDescent="0.25">
      <c r="A373" s="2">
        <v>46387</v>
      </c>
      <c r="B373" s="1" t="str">
        <f>IF([1]Rseries!A378="","",[1]Rseries!A378)</f>
        <v/>
      </c>
    </row>
    <row r="374" spans="1:2" x14ac:dyDescent="0.25">
      <c r="A374" s="2">
        <v>46418</v>
      </c>
      <c r="B374" s="1" t="str">
        <f>IF([1]Rseries!A379="","",[1]Rseries!A379)</f>
        <v/>
      </c>
    </row>
    <row r="375" spans="1:2" x14ac:dyDescent="0.25">
      <c r="A375" s="2">
        <v>46446</v>
      </c>
      <c r="B375" s="1" t="str">
        <f>IF([1]Rseries!A380="","",[1]Rseries!A380)</f>
        <v/>
      </c>
    </row>
    <row r="376" spans="1:2" x14ac:dyDescent="0.25">
      <c r="A376" s="2">
        <v>46477</v>
      </c>
      <c r="B376" s="1" t="str">
        <f>IF([1]Rseries!A381="","",[1]Rseries!A381)</f>
        <v/>
      </c>
    </row>
    <row r="377" spans="1:2" x14ac:dyDescent="0.25">
      <c r="A377" s="2">
        <v>46507</v>
      </c>
      <c r="B377" s="1" t="str">
        <f>IF([1]Rseries!A382="","",[1]Rseries!A382)</f>
        <v/>
      </c>
    </row>
    <row r="378" spans="1:2" x14ac:dyDescent="0.25">
      <c r="A378" s="2">
        <v>46538</v>
      </c>
      <c r="B378" s="1" t="str">
        <f>IF([1]Rseries!A383="","",[1]Rseries!A383)</f>
        <v/>
      </c>
    </row>
    <row r="379" spans="1:2" x14ac:dyDescent="0.25">
      <c r="A379" s="2">
        <v>46568</v>
      </c>
      <c r="B379" s="1" t="str">
        <f>IF([1]Rseries!A384="","",[1]Rseries!A384)</f>
        <v/>
      </c>
    </row>
    <row r="380" spans="1:2" x14ac:dyDescent="0.25">
      <c r="A380" s="2">
        <v>46599</v>
      </c>
      <c r="B380" s="1" t="str">
        <f>IF([1]Rseries!A385="","",[1]Rseries!A385)</f>
        <v/>
      </c>
    </row>
    <row r="381" spans="1:2" x14ac:dyDescent="0.25">
      <c r="A381" s="2">
        <v>46630</v>
      </c>
      <c r="B381" s="1" t="str">
        <f>IF([1]Rseries!A386="","",[1]Rseries!A386)</f>
        <v/>
      </c>
    </row>
    <row r="382" spans="1:2" x14ac:dyDescent="0.25">
      <c r="A382" s="2">
        <v>46660</v>
      </c>
      <c r="B382" s="1" t="str">
        <f>IF([1]Rseries!A387="","",[1]Rseries!A387)</f>
        <v/>
      </c>
    </row>
    <row r="383" spans="1:2" x14ac:dyDescent="0.25">
      <c r="A383" s="2">
        <v>46691</v>
      </c>
      <c r="B383" s="1" t="str">
        <f>IF([1]Rseries!A388="","",[1]Rseries!A388)</f>
        <v/>
      </c>
    </row>
    <row r="384" spans="1:2" x14ac:dyDescent="0.25">
      <c r="A384" s="2">
        <v>46721</v>
      </c>
      <c r="B384" s="1" t="str">
        <f>IF([1]Rseries!A389="","",[1]Rseries!A389)</f>
        <v/>
      </c>
    </row>
    <row r="385" spans="1:2" x14ac:dyDescent="0.25">
      <c r="A385" s="2">
        <v>46752</v>
      </c>
      <c r="B385" s="1" t="str">
        <f>IF([1]Rseries!A390="","",[1]Rseries!A390)</f>
        <v/>
      </c>
    </row>
    <row r="386" spans="1:2" x14ac:dyDescent="0.25">
      <c r="A386" s="2">
        <v>46783</v>
      </c>
      <c r="B386" s="1" t="str">
        <f>IF([1]Rseries!A391="","",[1]Rseries!A391)</f>
        <v/>
      </c>
    </row>
    <row r="387" spans="1:2" x14ac:dyDescent="0.25">
      <c r="A387" s="2">
        <v>46812</v>
      </c>
      <c r="B387" s="1" t="str">
        <f>IF([1]Rseries!A392="","",[1]Rseries!A392)</f>
        <v/>
      </c>
    </row>
    <row r="388" spans="1:2" x14ac:dyDescent="0.25">
      <c r="A388" s="2">
        <v>46843</v>
      </c>
      <c r="B388" s="1" t="str">
        <f>IF([1]Rseries!A393="","",[1]Rseries!A393)</f>
        <v/>
      </c>
    </row>
    <row r="389" spans="1:2" x14ac:dyDescent="0.25">
      <c r="A389" s="2">
        <v>46873</v>
      </c>
      <c r="B389" s="1" t="str">
        <f>IF([1]Rseries!A394="","",[1]Rseries!A394)</f>
        <v/>
      </c>
    </row>
    <row r="390" spans="1:2" x14ac:dyDescent="0.25">
      <c r="A390" s="2">
        <v>46904</v>
      </c>
      <c r="B390" s="1" t="str">
        <f>IF([1]Rseries!A395="","",[1]Rseries!A395)</f>
        <v/>
      </c>
    </row>
    <row r="391" spans="1:2" x14ac:dyDescent="0.25">
      <c r="A391" s="2">
        <v>46934</v>
      </c>
      <c r="B391" s="1" t="str">
        <f>IF([1]Rseries!A396="","",[1]Rseries!A396)</f>
        <v/>
      </c>
    </row>
    <row r="392" spans="1:2" x14ac:dyDescent="0.25">
      <c r="A392" s="2">
        <v>46965</v>
      </c>
      <c r="B392" s="1" t="str">
        <f>IF([1]Rseries!A397="","",[1]Rseries!A397)</f>
        <v/>
      </c>
    </row>
    <row r="393" spans="1:2" x14ac:dyDescent="0.25">
      <c r="A393" s="2">
        <v>46996</v>
      </c>
      <c r="B393" s="1" t="str">
        <f>IF([1]Rseries!A398="","",[1]Rseries!A398)</f>
        <v/>
      </c>
    </row>
    <row r="394" spans="1:2" x14ac:dyDescent="0.25">
      <c r="A394" s="2">
        <v>47026</v>
      </c>
      <c r="B394" s="1" t="str">
        <f>IF([1]Rseries!A399="","",[1]Rseries!A399)</f>
        <v/>
      </c>
    </row>
    <row r="395" spans="1:2" x14ac:dyDescent="0.25">
      <c r="A395" s="2">
        <v>47057</v>
      </c>
      <c r="B395" s="1" t="str">
        <f>IF([1]Rseries!A400="","",[1]Rseries!A400)</f>
        <v/>
      </c>
    </row>
    <row r="396" spans="1:2" x14ac:dyDescent="0.25">
      <c r="A396" s="2">
        <v>47087</v>
      </c>
      <c r="B396" s="1" t="str">
        <f>IF([1]Rseries!A401="","",[1]Rseries!A401)</f>
        <v/>
      </c>
    </row>
    <row r="397" spans="1:2" x14ac:dyDescent="0.25">
      <c r="A397" s="2">
        <v>47118</v>
      </c>
      <c r="B397" s="1" t="str">
        <f>IF([1]Rseries!A402="","",[1]Rseries!A402)</f>
        <v/>
      </c>
    </row>
    <row r="398" spans="1:2" x14ac:dyDescent="0.25">
      <c r="A398" s="2">
        <v>47149</v>
      </c>
      <c r="B398" s="1" t="str">
        <f>IF([1]Rseries!A403="","",[1]Rseries!A403)</f>
        <v/>
      </c>
    </row>
    <row r="399" spans="1:2" x14ac:dyDescent="0.25">
      <c r="A399" s="2">
        <v>47177</v>
      </c>
      <c r="B399" s="1" t="str">
        <f>IF([1]Rseries!A404="","",[1]Rseries!A404)</f>
        <v/>
      </c>
    </row>
    <row r="400" spans="1:2" x14ac:dyDescent="0.25">
      <c r="A400" s="2">
        <v>47208</v>
      </c>
      <c r="B400" s="1" t="str">
        <f>IF([1]Rseries!A405="","",[1]Rseries!A405)</f>
        <v/>
      </c>
    </row>
    <row r="401" spans="1:2" x14ac:dyDescent="0.25">
      <c r="A401" s="2">
        <v>47238</v>
      </c>
      <c r="B401" s="1" t="str">
        <f>IF([1]Rseries!A406="","",[1]Rseries!A406)</f>
        <v/>
      </c>
    </row>
    <row r="402" spans="1:2" x14ac:dyDescent="0.25">
      <c r="A402" s="2">
        <v>47269</v>
      </c>
      <c r="B402" s="1" t="str">
        <f>IF([1]Rseries!A407="","",[1]Rseries!A407)</f>
        <v/>
      </c>
    </row>
    <row r="403" spans="1:2" x14ac:dyDescent="0.25">
      <c r="A403" s="2">
        <v>47299</v>
      </c>
      <c r="B403" s="1" t="str">
        <f>IF([1]Rseries!A408="","",[1]Rseries!A408)</f>
        <v/>
      </c>
    </row>
    <row r="404" spans="1:2" x14ac:dyDescent="0.25">
      <c r="A404" s="2">
        <v>47330</v>
      </c>
      <c r="B404" s="1" t="str">
        <f>IF([1]Rseries!A409="","",[1]Rseries!A409)</f>
        <v/>
      </c>
    </row>
    <row r="405" spans="1:2" x14ac:dyDescent="0.25">
      <c r="A405" s="2">
        <v>47361</v>
      </c>
      <c r="B405" s="1" t="str">
        <f>IF([1]Rseries!A410="","",[1]Rseries!A410)</f>
        <v/>
      </c>
    </row>
    <row r="406" spans="1:2" x14ac:dyDescent="0.25">
      <c r="A406" s="2">
        <v>47391</v>
      </c>
      <c r="B406" s="1" t="str">
        <f>IF([1]Rseries!A411="","",[1]Rseries!A411)</f>
        <v/>
      </c>
    </row>
    <row r="407" spans="1:2" x14ac:dyDescent="0.25">
      <c r="A407" s="2">
        <v>47422</v>
      </c>
      <c r="B407" s="1" t="str">
        <f>IF([1]Rseries!A412="","",[1]Rseries!A412)</f>
        <v/>
      </c>
    </row>
    <row r="408" spans="1:2" x14ac:dyDescent="0.25">
      <c r="A408" s="2">
        <v>47452</v>
      </c>
      <c r="B408" s="1" t="str">
        <f>IF([1]Rseries!A413="","",[1]Rseries!A413)</f>
        <v/>
      </c>
    </row>
    <row r="409" spans="1:2" x14ac:dyDescent="0.25">
      <c r="A409" s="2">
        <v>47483</v>
      </c>
      <c r="B409" s="1" t="str">
        <f>IF([1]Rseries!A414="","",[1]Rseries!A414)</f>
        <v/>
      </c>
    </row>
    <row r="410" spans="1:2" x14ac:dyDescent="0.25">
      <c r="A410" s="2">
        <v>47514</v>
      </c>
      <c r="B410" s="1" t="str">
        <f>IF([1]Rseries!A415="","",[1]Rseries!A415)</f>
        <v/>
      </c>
    </row>
    <row r="411" spans="1:2" x14ac:dyDescent="0.25">
      <c r="A411" s="2">
        <v>47542</v>
      </c>
      <c r="B411" s="1" t="str">
        <f>IF([1]Rseries!A416="","",[1]Rseries!A416)</f>
        <v/>
      </c>
    </row>
    <row r="412" spans="1:2" x14ac:dyDescent="0.25">
      <c r="A412" s="2">
        <v>47573</v>
      </c>
      <c r="B412" s="1" t="str">
        <f>IF([1]Rseries!A417="","",[1]Rseries!A417)</f>
        <v/>
      </c>
    </row>
    <row r="413" spans="1:2" x14ac:dyDescent="0.25">
      <c r="A413" s="2">
        <v>47603</v>
      </c>
      <c r="B413" s="1" t="str">
        <f>IF([1]Rseries!A418="","",[1]Rseries!A418)</f>
        <v/>
      </c>
    </row>
    <row r="414" spans="1:2" x14ac:dyDescent="0.25">
      <c r="A414" s="2">
        <v>47634</v>
      </c>
      <c r="B414" s="1" t="str">
        <f>IF([1]Rseries!A419="","",[1]Rseries!A419)</f>
        <v/>
      </c>
    </row>
    <row r="415" spans="1:2" x14ac:dyDescent="0.25">
      <c r="A415" s="2">
        <v>47664</v>
      </c>
      <c r="B415" s="1" t="str">
        <f>IF([1]Rseries!A420="","",[1]Rseries!A420)</f>
        <v/>
      </c>
    </row>
    <row r="416" spans="1:2" x14ac:dyDescent="0.25">
      <c r="A416" s="2">
        <v>47695</v>
      </c>
      <c r="B416" s="1" t="str">
        <f>IF([1]Rseries!A421="","",[1]Rseries!A421)</f>
        <v/>
      </c>
    </row>
    <row r="417" spans="1:2" x14ac:dyDescent="0.25">
      <c r="A417" s="2">
        <v>47726</v>
      </c>
      <c r="B417" s="1" t="str">
        <f>IF([1]Rseries!A422="","",[1]Rseries!A422)</f>
        <v/>
      </c>
    </row>
    <row r="418" spans="1:2" x14ac:dyDescent="0.25">
      <c r="A418" s="2">
        <v>47756</v>
      </c>
      <c r="B418" s="1" t="str">
        <f>IF([1]Rseries!A423="","",[1]Rseries!A423)</f>
        <v/>
      </c>
    </row>
    <row r="419" spans="1:2" x14ac:dyDescent="0.25">
      <c r="A419" s="2">
        <v>47787</v>
      </c>
      <c r="B419" s="1" t="str">
        <f>IF([1]Rseries!A424="","",[1]Rseries!A424)</f>
        <v/>
      </c>
    </row>
    <row r="420" spans="1:2" x14ac:dyDescent="0.25">
      <c r="A420" s="2">
        <v>47817</v>
      </c>
      <c r="B420" s="1" t="str">
        <f>IF([1]Rseries!A425="","",[1]Rseries!A425)</f>
        <v/>
      </c>
    </row>
    <row r="421" spans="1:2" x14ac:dyDescent="0.25">
      <c r="A421" s="2">
        <v>47848</v>
      </c>
      <c r="B421" s="1" t="str">
        <f>IF([1]Rseries!A426="","",[1]Rseries!A426)</f>
        <v/>
      </c>
    </row>
    <row r="422" spans="1:2" x14ac:dyDescent="0.25">
      <c r="A422" s="2">
        <v>47879</v>
      </c>
      <c r="B422" s="1" t="str">
        <f>IF([1]Rseries!A427="","",[1]Rseries!A427)</f>
        <v/>
      </c>
    </row>
    <row r="423" spans="1:2" x14ac:dyDescent="0.25">
      <c r="A423" s="2">
        <v>47907</v>
      </c>
      <c r="B423" s="1" t="str">
        <f>IF([1]Rseries!A428="","",[1]Rseries!A428)</f>
        <v/>
      </c>
    </row>
    <row r="424" spans="1:2" x14ac:dyDescent="0.25">
      <c r="A424" s="2">
        <v>47938</v>
      </c>
      <c r="B424" s="1" t="str">
        <f>IF([1]Rseries!A429="","",[1]Rseries!A429)</f>
        <v/>
      </c>
    </row>
    <row r="425" spans="1:2" x14ac:dyDescent="0.25">
      <c r="A425" s="2">
        <v>47968</v>
      </c>
      <c r="B425" s="1" t="str">
        <f>IF([1]Rseries!A430="","",[1]Rseries!A430)</f>
        <v/>
      </c>
    </row>
    <row r="426" spans="1:2" x14ac:dyDescent="0.25">
      <c r="A426" s="2">
        <v>47999</v>
      </c>
      <c r="B426" s="1" t="str">
        <f>IF([1]Rseries!A431="","",[1]Rseries!A431)</f>
        <v/>
      </c>
    </row>
    <row r="427" spans="1:2" x14ac:dyDescent="0.25">
      <c r="A427" s="2">
        <v>48029</v>
      </c>
      <c r="B427" s="1" t="str">
        <f>IF([1]Rseries!A432="","",[1]Rseries!A432)</f>
        <v/>
      </c>
    </row>
    <row r="428" spans="1:2" x14ac:dyDescent="0.25">
      <c r="A428" s="2">
        <v>48060</v>
      </c>
      <c r="B428" s="1" t="str">
        <f>IF([1]Rseries!A433="","",[1]Rseries!A433)</f>
        <v/>
      </c>
    </row>
    <row r="429" spans="1:2" x14ac:dyDescent="0.25">
      <c r="A429" s="2">
        <v>48091</v>
      </c>
      <c r="B429" s="1" t="str">
        <f>IF([1]Rseries!A434="","",[1]Rseries!A434)</f>
        <v/>
      </c>
    </row>
    <row r="430" spans="1:2" x14ac:dyDescent="0.25">
      <c r="A430" s="2">
        <v>48121</v>
      </c>
      <c r="B430" s="1" t="str">
        <f>IF([1]Rseries!A435="","",[1]Rseries!A435)</f>
        <v/>
      </c>
    </row>
    <row r="431" spans="1:2" x14ac:dyDescent="0.25">
      <c r="A431" s="2">
        <v>48152</v>
      </c>
      <c r="B431" s="1" t="str">
        <f>IF([1]Rseries!A436="","",[1]Rseries!A436)</f>
        <v/>
      </c>
    </row>
    <row r="432" spans="1:2" x14ac:dyDescent="0.25">
      <c r="A432" s="2">
        <v>48182</v>
      </c>
      <c r="B432" s="1" t="str">
        <f>IF([1]Rseries!A437="","",[1]Rseries!A437)</f>
        <v/>
      </c>
    </row>
    <row r="433" spans="1:2" x14ac:dyDescent="0.25">
      <c r="A433" s="2">
        <v>48213</v>
      </c>
      <c r="B433" s="1" t="str">
        <f>IF([1]Rseries!A438="","",[1]Rseries!A438)</f>
        <v/>
      </c>
    </row>
    <row r="434" spans="1:2" x14ac:dyDescent="0.25">
      <c r="A434" s="2">
        <v>48244</v>
      </c>
      <c r="B434" s="1" t="str">
        <f>IF([1]Rseries!A439="","",[1]Rseries!A439)</f>
        <v/>
      </c>
    </row>
    <row r="435" spans="1:2" x14ac:dyDescent="0.25">
      <c r="A435" s="2">
        <v>48273</v>
      </c>
      <c r="B435" s="1" t="str">
        <f>IF([1]Rseries!A440="","",[1]Rseries!A440)</f>
        <v/>
      </c>
    </row>
    <row r="436" spans="1:2" x14ac:dyDescent="0.25">
      <c r="A436" s="2">
        <v>48304</v>
      </c>
      <c r="B436" s="1" t="str">
        <f>IF([1]Rseries!A441="","",[1]Rseries!A441)</f>
        <v/>
      </c>
    </row>
    <row r="437" spans="1:2" x14ac:dyDescent="0.25">
      <c r="A437" s="2">
        <v>48334</v>
      </c>
      <c r="B437" s="1" t="str">
        <f>IF([1]Rseries!A442="","",[1]Rseries!A442)</f>
        <v/>
      </c>
    </row>
    <row r="438" spans="1:2" x14ac:dyDescent="0.25">
      <c r="A438" s="2">
        <v>48365</v>
      </c>
      <c r="B438" s="1" t="str">
        <f>IF([1]Rseries!A443="","",[1]Rseries!A443)</f>
        <v/>
      </c>
    </row>
    <row r="439" spans="1:2" x14ac:dyDescent="0.25">
      <c r="A439" s="2">
        <v>48395</v>
      </c>
      <c r="B439" s="1" t="str">
        <f>IF([1]Rseries!A444="","",[1]Rseries!A444)</f>
        <v/>
      </c>
    </row>
    <row r="440" spans="1:2" x14ac:dyDescent="0.25">
      <c r="A440" s="2">
        <v>48426</v>
      </c>
      <c r="B440" s="1" t="str">
        <f>IF([1]Rseries!A445="","",[1]Rseries!A445)</f>
        <v/>
      </c>
    </row>
    <row r="441" spans="1:2" x14ac:dyDescent="0.25">
      <c r="A441" s="2">
        <v>48457</v>
      </c>
      <c r="B441" s="1" t="str">
        <f>IF([1]Rseries!A446="","",[1]Rseries!A446)</f>
        <v/>
      </c>
    </row>
    <row r="442" spans="1:2" x14ac:dyDescent="0.25">
      <c r="A442" s="2">
        <v>48487</v>
      </c>
      <c r="B442" s="1" t="str">
        <f>IF([1]Rseries!A447="","",[1]Rseries!A447)</f>
        <v/>
      </c>
    </row>
    <row r="443" spans="1:2" x14ac:dyDescent="0.25">
      <c r="A443" s="2">
        <v>48518</v>
      </c>
      <c r="B443" s="1" t="str">
        <f>IF([1]Rseries!A448="","",[1]Rseries!A448)</f>
        <v/>
      </c>
    </row>
    <row r="444" spans="1:2" x14ac:dyDescent="0.25">
      <c r="A444" s="2">
        <v>48548</v>
      </c>
      <c r="B444" s="1" t="str">
        <f>IF([1]Rseries!A449="","",[1]Rseries!A449)</f>
        <v/>
      </c>
    </row>
    <row r="445" spans="1:2" x14ac:dyDescent="0.25">
      <c r="A445" s="2">
        <v>48579</v>
      </c>
      <c r="B445" s="1" t="str">
        <f>IF([1]Rseries!A450="","",[1]Rseries!A450)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ParoRegCLM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2012-08-28T12:21:50Z</cp:lastPrinted>
  <dcterms:created xsi:type="dcterms:W3CDTF">2012-03-02T12:51:06Z</dcterms:created>
  <dcterms:modified xsi:type="dcterms:W3CDTF">2021-03-05T11:47:11Z</dcterms:modified>
</cp:coreProperties>
</file>